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95fac83da642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4de9eae54eef4ae1"/>
    <x:sheet xmlns:r="http://schemas.openxmlformats.org/officeDocument/2006/relationships" name="Decision" sheetId="2" r:id="Rd8be7d52c9594c84"/>
    <x:sheet xmlns:r="http://schemas.openxmlformats.org/officeDocument/2006/relationships" name="Candidates" sheetId="3" r:id="Ref1be9d0f52549cb"/>
    <x:sheet xmlns:r="http://schemas.openxmlformats.org/officeDocument/2006/relationships" name="System Contracts" sheetId="4" r:id="R4de01d625e6a4dd5"/>
    <x:sheet xmlns:r="http://schemas.openxmlformats.org/officeDocument/2006/relationships" name="Service Stages" sheetId="5" r:id="R7e1636ca9f1449b0"/>
    <x:sheet xmlns:r="http://schemas.openxmlformats.org/officeDocument/2006/relationships" name="Routes" sheetId="6" r:id="R74cb2559905b46c0"/>
    <x:sheet xmlns:r="http://schemas.openxmlformats.org/officeDocument/2006/relationships" name="Family Allocation" sheetId="7" r:id="Rf34fc4886e7742ca"/>
    <x:sheet xmlns:r="http://schemas.openxmlformats.org/officeDocument/2006/relationships" name="Route Campaign" sheetId="8" r:id="R368d67782eec407c"/>
    <x:sheet xmlns:r="http://schemas.openxmlformats.org/officeDocument/2006/relationships" name="Stage Vector" sheetId="9" r:id="R623f5c6ea5c845bc"/>
    <x:sheet xmlns:r="http://schemas.openxmlformats.org/officeDocument/2006/relationships" name="Route-Stage Ledger" sheetId="10" r:id="Rb1a761c341e44777"/>
    <x:sheet xmlns:r="http://schemas.openxmlformats.org/officeDocument/2006/relationships" name="Exchange Domains" sheetId="11" r:id="R8bff805cae4f4936"/>
    <x:sheet xmlns:r="http://schemas.openxmlformats.org/officeDocument/2006/relationships" name="Exchange Schema" sheetId="12" r:id="Rb5817263dddf473f"/>
    <x:sheet xmlns:r="http://schemas.openxmlformats.org/officeDocument/2006/relationships" name="Directed Interfaces" sheetId="13" r:id="R5eaeab1b52ba46e5"/>
    <x:sheet xmlns:r="http://schemas.openxmlformats.org/officeDocument/2006/relationships" name="Campaign Register" sheetId="14" r:id="R4ddaac343e9d43f4"/>
    <x:sheet xmlns:r="http://schemas.openxmlformats.org/officeDocument/2006/relationships" name="Economics" sheetId="15" r:id="R37297549807f40f6"/>
    <x:sheet xmlns:r="http://schemas.openxmlformats.org/officeDocument/2006/relationships" name="Controls" sheetId="16" r:id="R9715553343214e01"/>
    <x:sheet xmlns:r="http://schemas.openxmlformats.org/officeDocument/2006/relationships" name="Audits" sheetId="17" r:id="R6b957c7191584f2f"/>
    <x:sheet xmlns:r="http://schemas.openxmlformats.org/officeDocument/2006/relationships" name="Sources" sheetId="18" r:id="Rcf9d4911f34445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0.0"/>
    <x:numFmt numFmtId="202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243447"/>
      <x:name val="Carlito"/>
    </x:font>
    <x:font>
      <x:b/>
      <x:sz val="11"/>
      <x:color rgb="FFFFFFFF"/>
      <x:name val="Carlito"/>
    </x:font>
    <x:font>
      <x:sz val="10"/>
      <x:color rgb="FF24344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2E75B6"/>
      </x:patternFill>
    </x:fill>
    <x:fill>
      <x:patternFill patternType="solid">
        <x:fgColor rgb="FFE2F0D9"/>
      </x:patternFill>
    </x:fill>
    <x:fill>
      <x:patternFill patternType="solid">
        <x:fgColor rgb="FF2E75B6"/>
      </x:patternFill>
    </x:fill>
  </x:fills>
  <x:borders count="3">
    <x:border/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1" fontId="4" fillId="0" borderId="2" xfId="0" applyNumberFormat="1" applyFont="1" applyFill="1" applyBorder="1" applyAlignment="1">
      <x:alignment vertical="top" wrapText="1"/>
    </x:xf>
    <x:xf numFmtId="202" fontId="4" fillId="0" borderId="2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c6076c25be4a54" /><Relationship Type="http://schemas.openxmlformats.org/officeDocument/2006/relationships/theme" Target="/xl/theme/theme1.xml" Id="R336aefca982044cc" /><Relationship Type="http://schemas.openxmlformats.org/officeDocument/2006/relationships/sharedStrings" Target="/xl/sharedStrings.xml" Id="R0e8a632840e3422a" /><Relationship Type="http://schemas.openxmlformats.org/officeDocument/2006/relationships/worksheet" Target="/xl/worksheets/sheet1.xml" Id="R4de9eae54eef4ae1" /><Relationship Type="http://schemas.openxmlformats.org/officeDocument/2006/relationships/worksheet" Target="/xl/worksheets/sheet2.xml" Id="Rd8be7d52c9594c84" /><Relationship Type="http://schemas.openxmlformats.org/officeDocument/2006/relationships/worksheet" Target="/xl/worksheets/sheet3.xml" Id="Ref1be9d0f52549cb" /><Relationship Type="http://schemas.openxmlformats.org/officeDocument/2006/relationships/worksheet" Target="/xl/worksheets/sheet4.xml" Id="R4de01d625e6a4dd5" /><Relationship Type="http://schemas.openxmlformats.org/officeDocument/2006/relationships/worksheet" Target="/xl/worksheets/sheet5.xml" Id="R7e1636ca9f1449b0" /><Relationship Type="http://schemas.openxmlformats.org/officeDocument/2006/relationships/worksheet" Target="/xl/worksheets/sheet6.xml" Id="R74cb2559905b46c0" /><Relationship Type="http://schemas.openxmlformats.org/officeDocument/2006/relationships/worksheet" Target="/xl/worksheets/sheet7.xml" Id="Rf34fc4886e7742ca" /><Relationship Type="http://schemas.openxmlformats.org/officeDocument/2006/relationships/worksheet" Target="/xl/worksheets/sheet8.xml" Id="R368d67782eec407c" /><Relationship Type="http://schemas.openxmlformats.org/officeDocument/2006/relationships/worksheet" Target="/xl/worksheets/sheet9.xml" Id="R623f5c6ea5c845bc" /><Relationship Type="http://schemas.openxmlformats.org/officeDocument/2006/relationships/worksheet" Target="/xl/worksheets/sheet10.xml" Id="Rb1a761c341e44777" /><Relationship Type="http://schemas.openxmlformats.org/officeDocument/2006/relationships/worksheet" Target="/xl/worksheets/sheet11.xml" Id="R8bff805cae4f4936" /><Relationship Type="http://schemas.openxmlformats.org/officeDocument/2006/relationships/worksheet" Target="/xl/worksheets/sheet12.xml" Id="Rb5817263dddf473f" /><Relationship Type="http://schemas.openxmlformats.org/officeDocument/2006/relationships/worksheet" Target="/xl/worksheets/sheet13.xml" Id="R5eaeab1b52ba46e5" /><Relationship Type="http://schemas.openxmlformats.org/officeDocument/2006/relationships/worksheet" Target="/xl/worksheets/sheet14.xml" Id="R4ddaac343e9d43f4" /><Relationship Type="http://schemas.openxmlformats.org/officeDocument/2006/relationships/worksheet" Target="/xl/worksheets/sheet15.xml" Id="R37297549807f40f6" /><Relationship Type="http://schemas.openxmlformats.org/officeDocument/2006/relationships/worksheet" Target="/xl/worksheets/sheet16.xml" Id="R9715553343214e01" /><Relationship Type="http://schemas.openxmlformats.org/officeDocument/2006/relationships/worksheet" Target="/xl/worksheets/sheet17.xml" Id="R6b957c7191584f2f" /><Relationship Type="http://schemas.openxmlformats.org/officeDocument/2006/relationships/worksheet" Target="/xl/worksheets/sheet18.xml" Id="Rcf9d4911f344456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b7c6c992cdf483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Technology competition allocation (USD B)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Technology USD B</c:v>
          </c:tx>
          <c:spPr>
            <a:solidFill xmlns:a="http://schemas.openxmlformats.org/drawingml/2006/main">
              <a:srgbClr val="2A7F7F"/>
            </a:solidFill>
          </c:spPr>
          <c:cat>
            <c:strRef>
              <c:f>'System Contracts'!$B$5:$B$10</c:f>
              <c:strCache>
                <c:ptCount val="0"/>
              </c:strCache>
            </c:strRef>
          </c:cat>
          <c:val>
            <c:numRef>
              <c:f>'System Contracts'!$K$5:$K$10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14</xdr:col>
      <xdr:colOff>0</xdr:colOff>
      <xdr:row>3</xdr:row>
      <xdr:rowOff>0</xdr:rowOff>
    </xdr:from>
    <xdr:to>
      <xdr:col>22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7c6c992cdf483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f0d0b8ed68f34c8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10" hidden="0" customWidth="1"/>
  </x:cols>
  <x:sheetData>
    <x:row r="1" ht="19.200000762939453" hidden="0" customHeight="1">
      <x:c r="A1" s="3" t="str">
        <x:v>Pass 172 | All-six contract and exchange grammar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15" hidden="0" customHeight="1">
      <x:c r="A2" s="7" t="str">
        <x:v>Purpose: make the complete mission—not a fleet or dashboard—the unit of technical truth.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/>
    <x:row r="4" ht="132" hidden="0" customHeight="1">
      <x:c r="A4" s="12" t="str">
        <x:v>Decision</x:v>
      </x:c>
      <x:c r="B4" s="16" t="str">
        <x:v>Six asynchronous seven-stage service contracts joined by thirty typed directed exchange records.</x:v>
      </x:c>
    </x:row>
    <x:row r="5" ht="24" hidden="0" customHeight="1">
      <x:c r="A5" s="12" t="str">
        <x:v>Verdict</x:v>
      </x:c>
      <x:c r="B5" s="16" t="str">
        <x:v>CLOSE — A6XG-1</x:v>
      </x:c>
    </x:row>
    <x:row r="6" ht="108" hidden="0" customHeight="1">
      <x:c r="A6" s="12" t="str">
        <x:v>Selection</x:v>
      </x:c>
      <x:c r="B6" s="16" t="str">
        <x:v>Federated 6 × 7 state vector + locally verifiable, append-only mission exchange records</x:v>
      </x:c>
    </x:row>
    <x:row r="7" ht="108" hidden="0" customHeight="1">
      <x:c r="A7" s="12" t="str">
        <x:v>Rejected</x:v>
      </x:c>
      <x:c r="B7" s="16" t="str">
        <x:v>Universal phase; six independent contracts; bespoke handshake mesh; central digital twin</x:v>
      </x:c>
    </x:row>
    <x:row r="8" ht="108" hidden="0" customHeight="1">
      <x:c r="A8" s="12" t="str">
        <x:v>Inherited force</x:v>
      </x:c>
      <x:c r="B8" s="16" t="str">
        <x:v>48 families · 28 routes · 2,420 demand · 5,251 N−1 inventory · USD 9.41T formation capital</x:v>
      </x:c>
    </x:row>
    <x:row r="9" ht="108" hidden="0" customHeight="1">
      <x:c r="A9" s="12" t="str">
        <x:v>Evidence estate</x:v>
      </x:c>
      <x:c r="B9" s="16" t="str">
        <x:v>120 missions · 5,040 stage judgments · 3,600 records · 21,600 domain judgments</x:v>
      </x:c>
    </x:row>
    <x:row r="10" ht="156" hidden="0" customHeight="1">
      <x:c r="A10" s="12" t="str">
        <x:v>Credit law</x:v>
      </x:c>
      <x:c r="B10" s="16" t="str">
        <x:v>PROVISIONAL plans; RELEASED can satisfy a prerequisite; ACCEPTED earns credit; EXPIRED/REVOKED removes it.</x:v>
      </x:c>
    </x:row>
    <x:row r="11" ht="132" hidden="0" customHeight="1">
      <x:c r="A11" s="12" t="str">
        <x:v>Disconnection law</x:v>
      </x:c>
      <x:c r="B11" s="16" t="str">
        <x:v>Records verify locally, append rather than overwrite, and reconcile after network restoration.</x:v>
      </x:c>
    </x:row>
    <x:row r="12" ht="132" hidden="0" customHeight="1">
      <x:c r="A12" s="12" t="str">
        <x:v>Use</x:v>
      </x:c>
      <x:c r="B12" s="16" t="str">
        <x:v>Blue cells are governing definitions; formula cells trace inherited quantities and evidence burden.</x:v>
      </x:c>
    </x:row>
    <x:row r="13" ht="108" hidden="0" customHeight="1">
      <x:c r="A13" s="12" t="str">
        <x:v>Not authorized</x:v>
      </x:c>
      <x:c r="B13" s="16" t="str">
        <x:v>Readiness, procurement, supplier selection, site selection, exterior form or rendering.</x:v>
      </x:c>
    </x:row>
    <x:row r="14" ht="108" hidden="0" customHeight="1">
      <x:c r="A14" s="12" t="str">
        <x:v>Source boundary</x:v>
      </x:c>
      <x:c r="B14" s="16" t="str">
        <x:v>Internal Passes 167–171 only; no external evidence or websites added in this pass.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54" hidden="0" customWidth="1"/>
    <x:col min="3" max="3" width="68" hidden="0" customWidth="1"/>
  </x:cols>
  <x:sheetData>
    <x:row r="1" ht="19.200000762939453" hidden="0" customHeight="1">
      <x:c r="A1" s="3" t="str">
        <x:v>Constitutional decision</x:v>
      </x:c>
      <x:c r="B1" s="3"/>
      <x:c r="C1" s="3"/>
      <x:c r="D1" s="3"/>
      <x:c r="E1" s="3"/>
      <x:c r="F1" s="3"/>
      <x:c r="G1" s="3"/>
      <x:c r="H1" s="3"/>
    </x:row>
    <x:row r="2" ht="15" hidden="0" customHeight="1">
      <x:c r="A2" s="7" t="str">
        <x:v>The grammar is a safety and evidence architecture, not an incident-management dashboard.</x:v>
      </x:c>
      <x:c r="B2" s="7"/>
      <x:c r="C2" s="7"/>
      <x:c r="D2" s="7"/>
      <x:c r="E2" s="7"/>
      <x:c r="F2" s="7"/>
      <x:c r="G2" s="7"/>
      <x:c r="H2" s="7"/>
    </x:row>
    <x:row r="3"/>
    <x:row r="4" ht="52.79999923706055" hidden="0" customHeight="1">
      <x:c r="A4" s="12" t="str">
        <x:v>Rule</x:v>
      </x:c>
      <x:c r="B4" s="12" t="str">
        <x:v>Selected constitution</x:v>
      </x:c>
      <x:c r="C4" s="12" t="str">
        <x:v>Operational consequence</x:v>
      </x:c>
    </x:row>
    <x:row r="5" ht="72" hidden="0" customHeight="1">
      <x:c r="A5" s="16" t="str">
        <x:v>Mission state</x:v>
      </x:c>
      <x:c r="B5" s="16" t="str">
        <x:v>6 × 7 asynchronous vector</x:v>
      </x:c>
      <x:c r="C5" s="16" t="str">
        <x:v>No global scalar phase or false synchronization</x:v>
      </x:c>
    </x:row>
    <x:row r="6" ht="60" hidden="0" customHeight="1">
      <x:c r="A6" s="16" t="str">
        <x:v>Dependency</x:v>
      </x:c>
      <x:c r="B6" s="16" t="str">
        <x:v>Thirty directed typed records</x:v>
      </x:c>
      <x:c r="C6" s="16" t="str">
        <x:v>A recipient can name and test every prerequisite</x:v>
      </x:c>
    </x:row>
    <x:row r="7" ht="72" hidden="0" customHeight="1">
      <x:c r="A7" s="16" t="str">
        <x:v>Domains</x:v>
      </x:c>
      <x:c r="B7" s="16" t="str">
        <x:v>Six mandatory domains; explicit NONE permitted</x:v>
      </x:c>
      <x:c r="C7" s="16" t="str">
        <x:v>No blank authority, custody, evidence or residual state</x:v>
      </x:c>
    </x:row>
    <x:row r="8" ht="84" hidden="0" customHeight="1">
      <x:c r="A8" s="16" t="str">
        <x:v>Record state</x:v>
      </x:c>
      <x:c r="B8" s="16" t="str">
        <x:v>PROVISIONAL → RELEASED → ACCEPTED; EXPIRED / REVOKED</x:v>
      </x:c>
      <x:c r="C8" s="16" t="str">
        <x:v>Planning information cannot masquerade as accepted service</x:v>
      </x:c>
    </x:row>
    <x:row r="9" ht="108" hidden="0" customHeight="1">
      <x:c r="A9" s="16" t="str">
        <x:v>Mutual dependency</x:v>
      </x:c>
      <x:c r="B9" s="16" t="str">
        <x:v>Prepare concurrently; commit at joint-release barrier; timeout to safe rollback</x:v>
      </x:c>
      <x:c r="C9" s="16" t="str">
        <x:v>Circular dependencies become observable and reversible</x:v>
      </x:c>
    </x:row>
    <x:row r="10" ht="72" hidden="0" customHeight="1">
      <x:c r="A10" s="16" t="str">
        <x:v>Network</x:v>
      </x:c>
      <x:c r="B10" s="16" t="str">
        <x:v>Local verification; append-only; reconnection merge</x:v>
      </x:c>
      <x:c r="C10" s="16" t="str">
        <x:v>No common-mode central broker</x:v>
      </x:c>
    </x:row>
    <x:row r="11" ht="60" hidden="0" customHeight="1">
      <x:c r="A11" s="16" t="str">
        <x:v>Closure</x:v>
      </x:c>
      <x:c r="B11" s="16" t="str">
        <x:v>Six terminal contracts + every residual owned</x:v>
      </x:c>
      <x:c r="C11" s="16" t="str">
        <x:v>No system-local victory can close the mission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45" hidden="0" customWidth="1"/>
    <x:col min="3" max="3" width="18" hidden="0" customWidth="1"/>
    <x:col min="4" max="4" width="18" hidden="0" customWidth="1"/>
    <x:col min="5" max="5" width="20" hidden="0" customWidth="1"/>
    <x:col min="6" max="6" width="18" hidden="0" customWidth="1"/>
    <x:col min="7" max="7" width="22" hidden="0" customWidth="1"/>
    <x:col min="8" max="8" width="14" hidden="0" customWidth="1"/>
  </x:cols>
  <x:sheetData>
    <x:row r="1" ht="19.200000762939453" hidden="0" customHeight="1">
      <x:c r="A1" s="3" t="str">
        <x:v>Candidate grammar screen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15" hidden="0" customHeight="1">
      <x:c r="A2" s="7" t="str">
        <x:v>Only one candidate preserves coupled evidence without a scalar fiction or central common-mode dependency.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/>
    <x:row r="4" ht="52.79999923706055" hidden="0" customHeight="1">
      <x:c r="A4" s="12" t="str">
        <x:v>ID</x:v>
      </x:c>
      <x:c r="B4" s="12" t="str">
        <x:v>Candidate</x:v>
      </x:c>
      <x:c r="C4" s="12" t="str">
        <x:v>Asynchronous truth</x:v>
      </x:c>
      <x:c r="D4" s="12" t="str">
        <x:v>Typed dependencies</x:v>
      </x:c>
      <x:c r="E4" s="12" t="str">
        <x:v>Disconnected operation</x:v>
      </x:c>
      <x:c r="F4" s="12" t="str">
        <x:v>Residual closure</x:v>
      </x:c>
      <x:c r="G4" s="12" t="str">
        <x:v>No central common mode</x:v>
      </x:c>
      <x:c r="H4" s="12" t="str">
        <x:v>Decision</x:v>
      </x:c>
    </x:row>
    <x:row r="5" ht="48" hidden="0" customHeight="1">
      <x:c r="A5" s="16" t="str">
        <x:v>A</x:v>
      </x:c>
      <x:c r="B5" s="16" t="str">
        <x:v>Universal scalar incident phase</x:v>
      </x:c>
      <x:c r="C5" s="16" t="str">
        <x:v>FAIL</x:v>
      </x:c>
      <x:c r="D5" s="16" t="str">
        <x:v>FAIL</x:v>
      </x:c>
      <x:c r="E5" s="16" t="str">
        <x:v>PASS</x:v>
      </x:c>
      <x:c r="F5" s="16" t="str">
        <x:v>FAIL</x:v>
      </x:c>
      <x:c r="G5" s="16" t="str">
        <x:v>PASS</x:v>
      </x:c>
      <x:c r="H5" s="16" t="str">
        <x:v>REJECT</x:v>
      </x:c>
    </x:row>
    <x:row r="6" ht="48" hidden="0" customHeight="1">
      <x:c r="A6" s="16" t="str">
        <x:v>B</x:v>
      </x:c>
      <x:c r="B6" s="16" t="str">
        <x:v>Six independent service contracts</x:v>
      </x:c>
      <x:c r="C6" s="16" t="str">
        <x:v>PASS</x:v>
      </x:c>
      <x:c r="D6" s="16" t="str">
        <x:v>FAIL</x:v>
      </x:c>
      <x:c r="E6" s="16" t="str">
        <x:v>PASS</x:v>
      </x:c>
      <x:c r="F6" s="16" t="str">
        <x:v>FAIL</x:v>
      </x:c>
      <x:c r="G6" s="16" t="str">
        <x:v>PASS</x:v>
      </x:c>
      <x:c r="H6" s="16" t="str">
        <x:v>REJECT</x:v>
      </x:c>
    </x:row>
    <x:row r="7" ht="48" hidden="0" customHeight="1">
      <x:c r="A7" s="16" t="str">
        <x:v>C</x:v>
      </x:c>
      <x:c r="B7" s="16" t="str">
        <x:v>Pair-specific handshake mesh</x:v>
      </x:c>
      <x:c r="C7" s="16" t="str">
        <x:v>PASS</x:v>
      </x:c>
      <x:c r="D7" s="16" t="str">
        <x:v>PARTIAL</x:v>
      </x:c>
      <x:c r="E7" s="16" t="str">
        <x:v>PARTIAL</x:v>
      </x:c>
      <x:c r="F7" s="16" t="str">
        <x:v>PARTIAL</x:v>
      </x:c>
      <x:c r="G7" s="16" t="str">
        <x:v>PASS</x:v>
      </x:c>
      <x:c r="H7" s="16" t="str">
        <x:v>REJECT</x:v>
      </x:c>
    </x:row>
    <x:row r="8" ht="60" hidden="0" customHeight="1">
      <x:c r="A8" s="16" t="str">
        <x:v>D</x:v>
      </x:c>
      <x:c r="B8" s="16" t="str">
        <x:v>Central digital twin or clearinghouse</x:v>
      </x:c>
      <x:c r="C8" s="16" t="str">
        <x:v>PASS</x:v>
      </x:c>
      <x:c r="D8" s="16" t="str">
        <x:v>PASS</x:v>
      </x:c>
      <x:c r="E8" s="16" t="str">
        <x:v>FAIL</x:v>
      </x:c>
      <x:c r="F8" s="16" t="str">
        <x:v>PASS</x:v>
      </x:c>
      <x:c r="G8" s="16" t="str">
        <x:v>FAIL</x:v>
      </x:c>
      <x:c r="H8" s="16" t="str">
        <x:v>REJECT</x:v>
      </x:c>
    </x:row>
    <x:row r="9" ht="60" hidden="0" customHeight="1">
      <x:c r="A9" s="16" t="str">
        <x:v>E</x:v>
      </x:c>
      <x:c r="B9" s="16" t="str">
        <x:v>Federated vector + typed mission exchanges</x:v>
      </x:c>
      <x:c r="C9" s="16" t="str">
        <x:v>PASS</x:v>
      </x:c>
      <x:c r="D9" s="16" t="str">
        <x:v>PASS</x:v>
      </x:c>
      <x:c r="E9" s="16" t="str">
        <x:v>PASS</x:v>
      </x:c>
      <x:c r="F9" s="16" t="str">
        <x:v>PASS</x:v>
      </x:c>
      <x:c r="G9" s="16" t="str">
        <x:v>PASS</x:v>
      </x:c>
      <x:c r="H9" s="17" t="str">
        <x:v>SELECT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4" hidden="0" customWidth="1"/>
    <x:col min="3" max="3" width="78" hidden="0" customWidth="1"/>
    <x:col min="4" max="4" width="10" hidden="0" customWidth="1"/>
    <x:col min="5" max="5" width="10" hidden="0" customWidth="1"/>
    <x:col min="6" max="6" width="11" hidden="0" customWidth="1"/>
    <x:col min="7" max="7" width="14" hidden="0" customWidth="1"/>
    <x:col min="8" max="8" width="15" hidden="0" customWidth="1"/>
    <x:col min="9" max="9" width="16" hidden="0" customWidth="1"/>
    <x:col min="10" max="10" width="16" hidden="0" customWidth="1"/>
    <x:col min="11" max="11" width="16" hidden="0" customWidth="1"/>
    <x:col min="12" max="12" width="13" hidden="0" customWidth="1"/>
    <x:col min="13" max="13" width="13" hidden="0" customWidth="1"/>
  </x:cols>
  <x:sheetData>
    <x:row r="1" ht="19.200000762939453" hidden="0" customHeight="1">
      <x:c r="A1" s="3" t="str">
        <x:v>Six mission-system contracts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15" hidden="0" customHeight="1">
      <x:c r="A2" s="7" t="str">
        <x:v>Each system owns a complete operational chain. Equal constitutional standing does not mean equal money or formation mass.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/>
    <x:row r="4" ht="26.399999618530273" hidden="0" customHeight="1">
      <x:c r="A4" s="12" t="str">
        <x:v>System</x:v>
      </x:c>
      <x:c r="B4" s="12" t="str">
        <x:v>Name</x:v>
      </x:c>
      <x:c r="C4" s="12" t="str">
        <x:v>Service promise</x:v>
      </x:c>
      <x:c r="D4" s="12" t="str">
        <x:v>Routes</x:v>
      </x:c>
      <x:c r="E4" s="12" t="str">
        <x:v>Families</x:v>
      </x:c>
      <x:c r="F4" s="12" t="str">
        <x:v>Demand</x:v>
      </x:c>
      <x:c r="G4" s="12" t="str">
        <x:v>N−1 inventory</x:v>
      </x:c>
      <x:c r="H4" s="12" t="str">
        <x:v>Billets</x:v>
      </x:c>
      <x:c r="I4" s="12" t="str">
        <x:v>Capital USD B</x:v>
      </x:c>
      <x:c r="J4" s="12" t="str">
        <x:v>Unclosed demand</x:v>
      </x:c>
      <x:c r="K4" s="12" t="str">
        <x:v>Technology USD B</x:v>
      </x:c>
      <x:c r="L4" s="12" t="str">
        <x:v>Demand share</x:v>
      </x:c>
      <x:c r="M4" s="12" t="str">
        <x:v>Capital share</x:v>
      </x:c>
    </x:row>
    <x:row r="5" ht="132" hidden="0" customHeight="1">
      <x:c r="A5" s="16" t="str">
        <x:v>MS-ET</x:v>
      </x:c>
      <x:c r="B5" s="16" t="str">
        <x:v>Theater entry</x:v>
      </x:c>
      <x:c r="C5" s="16" t="str">
        <x:v>Establish and sustain lawful entry, access, movement and temporary works across broken geography</x:v>
      </x:c>
      <x:c r="D5" s="16" t="n">
        <x:f>COUNTIF(Routes!$B$5:$B$32,A5)</x:f>
        <x:v>5</x:v>
      </x:c>
      <x:c r="E5" s="16" t="n">
        <x:f>SUMIF(Routes!$B$5:$B$32,A5,Routes!$D$5:$D$32)</x:f>
        <x:v>9</x:v>
      </x:c>
      <x:c r="F5" s="16" t="n">
        <x:f>SUMIF(Routes!$B$5:$B$32,A5,Routes!$E$5:$E$32)</x:f>
        <x:v>369</x:v>
      </x:c>
      <x:c r="G5" s="16" t="n">
        <x:f>SUMIF(Routes!$B$5:$B$32,A5,Routes!$F$5:$F$32)</x:f>
        <x:v>827</x:v>
      </x:c>
      <x:c r="H5" s="16" t="n">
        <x:f>SUMIF(Routes!$B$5:$B$32,A5,Routes!$G$5:$G$32)</x:f>
        <x:v>1012600</x:v>
      </x:c>
      <x:c r="I5" s="19" t="n">
        <x:f>SUMIF(Routes!$B$5:$B$32,A5,Routes!$H$5:$H$32)</x:f>
        <x:v>2054.5</x:v>
      </x:c>
      <x:c r="J5" s="19" t="n">
        <x:f>SUMIF(Routes!$B$5:$B$32,A5,Routes!$I$5:$I$32)</x:f>
        <x:v>201.8</x:v>
      </x:c>
      <x:c r="K5" s="19" t="n">
        <x:v>89.0234</x:v>
      </x:c>
      <x:c r="L5" s="20" t="n">
        <x:f>F5/SUM($F$5:$F$10)</x:f>
        <x:v>0.1524793388429752</x:v>
      </x:c>
      <x:c r="M5" s="20" t="n">
        <x:f>I5/SUM($I$5:$I$10)</x:f>
        <x:v>0.21831856977693145</x:v>
      </x:c>
    </x:row>
    <x:row r="6" ht="120" hidden="0" customHeight="1">
      <x:c r="A6" s="16" t="str">
        <x:v>MS-CT</x:v>
      </x:c>
      <x:c r="B6" s="16" t="str">
        <x:v>Civil terrain</x:v>
      </x:c>
      <x:c r="C6" s="16" t="str">
        <x:v>Establish trusted civil authority, causal operating truth, public communication and origin-level reach</x:v>
      </x:c>
      <x:c r="D6" s="16" t="n">
        <x:f>COUNTIF(Routes!$B$5:$B$32,A6)</x:f>
        <x:v>5</x:v>
      </x:c>
      <x:c r="E6" s="16" t="n">
        <x:f>SUMIF(Routes!$B$5:$B$32,A6,Routes!$D$5:$D$32)</x:f>
        <x:v>6</x:v>
      </x:c>
      <x:c r="F6" s="16" t="n">
        <x:f>SUMIF(Routes!$B$5:$B$32,A6,Routes!$E$5:$E$32)</x:f>
        <x:v>343</x:v>
      </x:c>
      <x:c r="G6" s="16" t="n">
        <x:f>SUMIF(Routes!$B$5:$B$32,A6,Routes!$F$5:$F$32)</x:f>
        <x:v>724</x:v>
      </x:c>
      <x:c r="H6" s="16" t="n">
        <x:f>SUMIF(Routes!$B$5:$B$32,A6,Routes!$G$5:$G$32)</x:f>
        <x:v>3380998</x:v>
      </x:c>
      <x:c r="I6" s="19" t="n">
        <x:f>SUMIF(Routes!$B$5:$B$32,A6,Routes!$H$5:$H$32)</x:f>
        <x:v>1505.46</x:v>
      </x:c>
      <x:c r="J6" s="19" t="n">
        <x:f>SUMIF(Routes!$B$5:$B$32,A6,Routes!$I$5:$I$32)</x:f>
        <x:v>161.55</x:v>
      </x:c>
      <x:c r="K6" s="19" t="n">
        <x:v>91.8728</x:v>
      </x:c>
      <x:c r="L6" s="20" t="n">
        <x:f>F6/SUM($F$5:$F$10)</x:f>
        <x:v>0.14173553719008264</x:v>
      </x:c>
      <x:c r="M6" s="20" t="n">
        <x:f>I6/SUM($I$5:$I$10)</x:f>
        <x:v>0.15997560187704027</x:v>
      </x:c>
    </x:row>
    <x:row r="7" ht="120" hidden="0" customHeight="1">
      <x:c r="A7" s="16" t="str">
        <x:v>MS-HC</x:v>
      </x:c>
      <x:c r="B7" s="16" t="str">
        <x:v>Hazard control</x:v>
      </x:c>
      <x:c r="C7" s="16" t="str">
        <x:v>Control fire, atmosphere, water, debris and geophysical pathways to a declared safe envelope</x:v>
      </x:c>
      <x:c r="D7" s="16" t="n">
        <x:f>COUNTIF(Routes!$B$5:$B$32,A7)</x:f>
        <x:v>3</x:v>
      </x:c>
      <x:c r="E7" s="16" t="n">
        <x:f>SUMIF(Routes!$B$5:$B$32,A7,Routes!$D$5:$D$32)</x:f>
        <x:v>4</x:v>
      </x:c>
      <x:c r="F7" s="16" t="n">
        <x:f>SUMIF(Routes!$B$5:$B$32,A7,Routes!$E$5:$E$32)</x:f>
        <x:v>170</x:v>
      </x:c>
      <x:c r="G7" s="16" t="n">
        <x:f>SUMIF(Routes!$B$5:$B$32,A7,Routes!$F$5:$F$32)</x:f>
        <x:v>370</x:v>
      </x:c>
      <x:c r="H7" s="16" t="n">
        <x:f>SUMIF(Routes!$B$5:$B$32,A7,Routes!$G$5:$G$32)</x:f>
        <x:v>460870</x:v>
      </x:c>
      <x:c r="I7" s="19" t="n">
        <x:f>SUMIF(Routes!$B$5:$B$32,A7,Routes!$H$5:$H$32)</x:f>
        <x:v>767.4</x:v>
      </x:c>
      <x:c r="J7" s="19" t="n">
        <x:f>SUMIF(Routes!$B$5:$B$32,A7,Routes!$I$5:$I$32)</x:f>
        <x:v>64.44999999999999</x:v>
      </x:c>
      <x:c r="K7" s="19" t="n">
        <x:v>54.648</x:v>
      </x:c>
      <x:c r="L7" s="20" t="n">
        <x:f>F7/SUM($F$5:$F$10)</x:f>
        <x:v>0.07024793388429752</x:v>
      </x:c>
      <x:c r="M7" s="20" t="n">
        <x:f>I7/SUM($I$5:$I$10)</x:f>
        <x:v>0.08154668797606093</x:v>
      </x:c>
    </x:row>
    <x:row r="8" ht="108" hidden="0" customHeight="1">
      <x:c r="A8" s="16" t="str">
        <x:v>MS-LF</x:v>
      </x:c>
      <x:c r="B8" s="16" t="str">
        <x:v>Lifeline production</x:v>
      </x:c>
      <x:c r="C8" s="16" t="str">
        <x:v>Produce and deliver water, sanitation, power, grid bridge and thermal safety at point of use</x:v>
      </x:c>
      <x:c r="D8" s="16" t="n">
        <x:f>COUNTIF(Routes!$B$5:$B$32,A8)</x:f>
        <x:v>5</x:v>
      </x:c>
      <x:c r="E8" s="16" t="n">
        <x:f>SUMIF(Routes!$B$5:$B$32,A8,Routes!$D$5:$D$32)</x:f>
        <x:v>5</x:v>
      </x:c>
      <x:c r="F8" s="16" t="n">
        <x:f>SUMIF(Routes!$B$5:$B$32,A8,Routes!$E$5:$E$32)</x:f>
        <x:v>256</x:v>
      </x:c>
      <x:c r="G8" s="16" t="n">
        <x:f>SUMIF(Routes!$B$5:$B$32,A8,Routes!$F$5:$F$32)</x:f>
        <x:v>554</x:v>
      </x:c>
      <x:c r="H8" s="16" t="n">
        <x:f>SUMIF(Routes!$B$5:$B$32,A8,Routes!$G$5:$G$32)</x:f>
        <x:v>2338110</x:v>
      </x:c>
      <x:c r="I8" s="19" t="n">
        <x:f>SUMIF(Routes!$B$5:$B$32,A8,Routes!$H$5:$H$32)</x:f>
        <x:v>804</x:v>
      </x:c>
      <x:c r="J8" s="19" t="n">
        <x:f>SUMIF(Routes!$B$5:$B$32,A8,Routes!$I$5:$I$32)</x:f>
        <x:v>87.65</x:v>
      </x:c>
      <x:c r="K8" s="19" t="n">
        <x:v>71.953</x:v>
      </x:c>
      <x:c r="L8" s="20" t="n">
        <x:f>F8/SUM($F$5:$F$10)</x:f>
        <x:v>0.10578512396694215</x:v>
      </x:c>
      <x:c r="M8" s="20" t="n">
        <x:f>I8/SUM($I$5:$I$10)</x:f>
        <x:v>0.08543593579978237</x:v>
      </x:c>
    </x:row>
    <x:row r="9" ht="168" hidden="0" customHeight="1">
      <x:c r="A9" s="16" t="str">
        <x:v>MS-HU</x:v>
      </x:c>
      <x:c r="B9" s="16" t="str">
        <x:v>Human continuity</x:v>
      </x:c>
      <x:c r="C9" s="16" t="str">
        <x:v>Preserve person–household–care relationships through support, care, transfer, relocation and workforce replacement</x:v>
      </x:c>
      <x:c r="D9" s="16" t="n">
        <x:f>COUNTIF(Routes!$B$5:$B$32,A9)</x:f>
        <x:v>5</x:v>
      </x:c>
      <x:c r="E9" s="16" t="n">
        <x:f>SUMIF(Routes!$B$5:$B$32,A9,Routes!$D$5:$D$32)</x:f>
        <x:v>15</x:v>
      </x:c>
      <x:c r="F9" s="16" t="n">
        <x:f>SUMIF(Routes!$B$5:$B$32,A9,Routes!$E$5:$E$32)</x:f>
        <x:v>879</x:v>
      </x:c>
      <x:c r="G9" s="16" t="n">
        <x:f>SUMIF(Routes!$B$5:$B$32,A9,Routes!$F$5:$F$32)</x:f>
        <x:v>1944</x:v>
      </x:c>
      <x:c r="H9" s="16" t="n">
        <x:f>SUMIF(Routes!$B$5:$B$32,A9,Routes!$G$5:$G$32)</x:f>
        <x:v>3251860</x:v>
      </x:c>
      <x:c r="I9" s="19" t="n">
        <x:f>SUMIF(Routes!$B$5:$B$32,A9,Routes!$H$5:$H$32)</x:f>
        <x:v>2482.8</x:v>
      </x:c>
      <x:c r="J9" s="19" t="n">
        <x:f>SUMIF(Routes!$B$5:$B$32,A9,Routes!$I$5:$I$32)</x:f>
        <x:v>413.85</x:v>
      </x:c>
      <x:c r="K9" s="19" t="n">
        <x:v>153.102</x:v>
      </x:c>
      <x:c r="L9" s="20" t="n">
        <x:f>F9/SUM($F$5:$F$10)</x:f>
        <x:v>0.3632231404958678</x:v>
      </x:c>
      <x:c r="M9" s="20" t="n">
        <x:f>I9/SUM($I$5:$I$10)</x:f>
        <x:v>0.26383127040261156</x:v>
      </x:c>
    </x:row>
    <x:row r="10" ht="108" hidden="0" customHeight="1">
      <x:c r="A10" s="16" t="str">
        <x:v>MS-RT</x:v>
      </x:c>
      <x:c r="B10" s="16" t="str">
        <x:v>Regeneration and transfer</x:v>
      </x:c>
      <x:c r="C10" s="16" t="str">
        <x:v>Replenish, repair, replace, transfer, return and regenerate the force and civil systems</x:v>
      </x:c>
      <x:c r="D10" s="16" t="n">
        <x:f>COUNTIF(Routes!$B$5:$B$32,A10)</x:f>
        <x:v>5</x:v>
      </x:c>
      <x:c r="E10" s="16" t="n">
        <x:f>SUMIF(Routes!$B$5:$B$32,A10,Routes!$D$5:$D$32)</x:f>
        <x:v>9</x:v>
      </x:c>
      <x:c r="F10" s="16" t="n">
        <x:f>SUMIF(Routes!$B$5:$B$32,A10,Routes!$E$5:$E$32)</x:f>
        <x:v>403</x:v>
      </x:c>
      <x:c r="G10" s="16" t="n">
        <x:f>SUMIF(Routes!$B$5:$B$32,A10,Routes!$F$5:$F$32)</x:f>
        <x:v>832</x:v>
      </x:c>
      <x:c r="H10" s="16" t="n">
        <x:f>SUMIF(Routes!$B$5:$B$32,A10,Routes!$G$5:$G$32)</x:f>
        <x:v>1020775</x:v>
      </x:c>
      <x:c r="I10" s="19" t="n">
        <x:f>SUMIF(Routes!$B$5:$B$32,A10,Routes!$H$5:$H$32)</x:f>
        <x:v>1796.4</x:v>
      </x:c>
      <x:c r="J10" s="19" t="n">
        <x:f>SUMIF(Routes!$B$5:$B$32,A10,Routes!$I$5:$I$32)</x:f>
        <x:v>224.25</x:v>
      </x:c>
      <x:c r="K10" s="19" t="n">
        <x:v>89.4011</x:v>
      </x:c>
      <x:c r="L10" s="20" t="n">
        <x:f>F10/SUM($F$5:$F$10)</x:f>
        <x:v>0.1665289256198347</x:v>
      </x:c>
      <x:c r="M10" s="20" t="n">
        <x:f>I10/SUM($I$5:$I$10)</x:f>
        <x:v>0.19089193416757347</x:v>
      </x:c>
    </x:row>
  </x:sheetData>
  <x:mergeCells>
    <x:mergeCell ref="A1:N1"/>
    <x:mergeCell ref="A2:N2"/>
  </x:mergeCells>
  <x:pageMargins left="0.7" right="0.7" top="0.75" bottom="0.75" header="0.3" footer="0.3"/>
  <x:drawing xmlns:r="http://schemas.openxmlformats.org/officeDocument/2006/relationships" r:id="Rf0d0b8ed68f34c84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30" hidden="0" customWidth="1"/>
    <x:col min="3" max="3" width="88" hidden="0" customWidth="1"/>
    <x:col min="4" max="4" width="48" hidden="0" customWidth="1"/>
  </x:cols>
  <x:sheetData>
    <x:row r="1" ht="19.200000762939453" hidden="0" customHeight="1">
      <x:c r="A1" s="3" t="str">
        <x:v>Common seven-stage completion law</x:v>
      </x:c>
      <x:c r="B1" s="3"/>
      <x:c r="C1" s="3"/>
      <x:c r="D1" s="3"/>
      <x:c r="E1" s="3"/>
      <x:c r="F1" s="3"/>
      <x:c r="G1" s="3"/>
      <x:c r="H1" s="3"/>
    </x:row>
    <x:row r="2" ht="15" hidden="0" customHeight="1">
      <x:c r="A2" s="7" t="str">
        <x:v>The verbs are shared; the physical evidence and protected object remain system-specific.</x:v>
      </x:c>
      <x:c r="B2" s="7"/>
      <x:c r="C2" s="7"/>
      <x:c r="D2" s="7"/>
      <x:c r="E2" s="7"/>
      <x:c r="F2" s="7"/>
      <x:c r="G2" s="7"/>
      <x:c r="H2" s="7"/>
    </x:row>
    <x:row r="3"/>
    <x:row r="4" ht="39.599998474121094" hidden="0" customHeight="1">
      <x:c r="A4" s="12" t="str">
        <x:v>Stage</x:v>
      </x:c>
      <x:c r="B4" s="12" t="str">
        <x:v>Verb</x:v>
      </x:c>
      <x:c r="C4" s="12" t="str">
        <x:v>Joint evidence condition</x:v>
      </x:c>
      <x:c r="D4" s="12" t="str">
        <x:v>Rollback trigger</x:v>
      </x:c>
    </x:row>
    <x:row r="5" ht="120" hidden="0" customHeight="1">
      <x:c r="A5" s="16" t="str">
        <x:v>S1</x:v>
      </x:c>
      <x:c r="B5" s="16" t="str">
        <x:v>Establish state and authority</x:v>
      </x:c>
      <x:c r="C5" s="16" t="str">
        <x:v>Affected service, population, place, uncertainty, invitation, rights and accountable owner are evidenced.</x:v>
      </x:c>
      <x:c r="D5" s="16" t="str">
        <x:v>Authority or state invalidated</x:v>
      </x:c>
    </x:row>
    <x:row r="6" ht="120" hidden="0" customHeight="1">
      <x:c r="A6" s="16" t="str">
        <x:v>S2</x:v>
      </x:c>
      <x:c r="B6" s="16" t="str">
        <x:v>Bound immediate failure</x:v>
      </x:c>
      <x:c r="C6" s="16" t="str">
        <x:v>Uncontrolled worsening is arrested within the system's declared safety or continuity envelope.</x:v>
      </x:c>
      <x:c r="D6" s="16" t="str">
        <x:v>Prerequisite expires, is revoked or is contradicted</x:v>
      </x:c>
    </x:row>
    <x:row r="7" ht="108" hidden="0" customHeight="1">
      <x:c r="A7" s="16" t="str">
        <x:v>S3</x:v>
      </x:c>
      <x:c r="B7" s="16" t="str">
        <x:v>Assign service</x:v>
      </x:c>
      <x:c r="C7" s="16" t="str">
        <x:v>Provider, receiver, capacity, validity interval and non-service consequence are bound.</x:v>
      </x:c>
      <x:c r="D7" s="16" t="str">
        <x:v>Prerequisite expires, is revoked or is contradicted</x:v>
      </x:c>
    </x:row>
    <x:row r="8" ht="96" hidden="0" customHeight="1">
      <x:c r="A8" s="16" t="str">
        <x:v>S4</x:v>
      </x:c>
      <x:c r="B8" s="16" t="str">
        <x:v>Prepare the path</x:v>
      </x:c>
      <x:c r="C8" s="16" t="str">
        <x:v>Origin, route, endpoint, access, custody and fallback are configured.</x:v>
      </x:c>
      <x:c r="D8" s="16" t="str">
        <x:v>Prerequisite expires, is revoked or is contradicted</x:v>
      </x:c>
    </x:row>
    <x:row r="9" ht="108" hidden="0" customHeight="1">
      <x:c r="A9" s="16" t="str">
        <x:v>S5</x:v>
      </x:c>
      <x:c r="B9" s="16" t="str">
        <x:v>Deliver or produce</x:v>
      </x:c>
      <x:c r="C9" s="16" t="str">
        <x:v>Person, object, energy, material or information moves—or service is projected to origin.</x:v>
      </x:c>
      <x:c r="D9" s="16" t="str">
        <x:v>Prerequisite expires, is revoked or is contradicted</x:v>
      </x:c>
    </x:row>
    <x:row r="10" ht="132" hidden="0" customHeight="1">
      <x:c r="A10" s="16" t="str">
        <x:v>S6</x:v>
      </x:c>
      <x:c r="B10" s="16" t="str">
        <x:v>Accept and sustain</x:v>
      </x:c>
      <x:c r="C10" s="16" t="str">
        <x:v>Receiver verifies usable service under quality, rate, duration and exception limits.</x:v>
      </x:c>
      <x:c r="D10" s="16" t="str">
        <x:v>Prerequisite expires, is revoked or is contradicted</x:v>
      </x:c>
    </x:row>
    <x:row r="11" ht="108" hidden="0" customHeight="1">
      <x:c r="A11" s="16" t="str">
        <x:v>S7</x:v>
      </x:c>
      <x:c r="B11" s="16" t="str">
        <x:v>Transfer and regenerate</x:v>
      </x:c>
      <x:c r="C11" s="16" t="str">
        <x:v>Authority returns, residuals close, capability renews and configuration history persists.</x:v>
      </x:c>
      <x:c r="D11" s="16" t="str">
        <x:v>Residual reopens or regeneration fails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48" hidden="0" customWidth="1"/>
    <x:col min="4" max="4" width="10" hidden="0" customWidth="1"/>
    <x:col min="5" max="5" width="11" hidden="0" customWidth="1"/>
    <x:col min="6" max="6" width="14" hidden="0" customWidth="1"/>
    <x:col min="7" max="7" width="14" hidden="0" customWidth="1"/>
    <x:col min="8" max="8" width="16" hidden="0" customWidth="1"/>
    <x:col min="9" max="9" width="16" hidden="0" customWidth="1"/>
    <x:col min="10" max="10" width="18" hidden="0" customWidth="1"/>
  </x:cols>
  <x:sheetData>
    <x:row r="1" ht="19.200000762939453" hidden="0" customHeight="1">
      <x:c r="A1" s="3" t="str">
        <x:v>Twenty-eight complete service routes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15" hidden="0" customHeight="1">
      <x:c r="A2" s="7" t="str">
        <x:v>Formula-backed aggregation of the canonical family allocation and ten campaign load cases.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3"/>
    <x:row r="4" ht="39.599998474121094" hidden="0" customHeight="1">
      <x:c r="A4" s="12" t="str">
        <x:v>Route ID</x:v>
      </x:c>
      <x:c r="B4" s="12" t="str">
        <x:v>System</x:v>
      </x:c>
      <x:c r="C4" s="12" t="str">
        <x:v>Service route</x:v>
      </x:c>
      <x:c r="D4" s="12" t="str">
        <x:v>Families</x:v>
      </x:c>
      <x:c r="E4" s="12" t="str">
        <x:v>Demand</x:v>
      </x:c>
      <x:c r="F4" s="12" t="str">
        <x:v>N−1 inventory</x:v>
      </x:c>
      <x:c r="G4" s="12" t="str">
        <x:v>Billets</x:v>
      </x:c>
      <x:c r="H4" s="12" t="str">
        <x:v>Capital USD B</x:v>
      </x:c>
      <x:c r="I4" s="12" t="str">
        <x:v>Unclosed demand</x:v>
      </x:c>
      <x:c r="J4" s="12" t="str">
        <x:v>Completeness weighted</x:v>
      </x:c>
      <x:c r="K4" s="12" t="str">
        <x:v>C1</x:v>
      </x:c>
      <x:c r="L4" s="12" t="str">
        <x:v>C2</x:v>
      </x:c>
      <x:c r="M4" s="12" t="str">
        <x:v>C3</x:v>
      </x:c>
      <x:c r="N4" s="12" t="str">
        <x:v>M1</x:v>
      </x:c>
      <x:c r="O4" s="12" t="str">
        <x:v>M2</x:v>
      </x:c>
      <x:c r="P4" s="12" t="str">
        <x:v>M3</x:v>
      </x:c>
      <x:c r="Q4" s="12" t="str">
        <x:v>M4</x:v>
      </x:c>
      <x:c r="R4" s="12" t="str">
        <x:v>M5</x:v>
      </x:c>
      <x:c r="S4" s="12" t="str">
        <x:v>I1</x:v>
      </x:c>
      <x:c r="T4" s="12" t="str">
        <x:v>I2</x:v>
      </x:c>
    </x:row>
    <x:row r="5" ht="48" hidden="0" customHeight="1">
      <x:c r="A5" s="16" t="str">
        <x:v>ET-R1</x:v>
      </x:c>
      <x:c r="B5" s="16" t="str">
        <x:v>MS-ET</x:v>
      </x:c>
      <x:c r="C5" s="16" t="str">
        <x:v>Theater opening and command</x:v>
      </x:c>
      <x:c r="D5" s="16" t="n">
        <x:f>COUNTIF('Family Allocation'!$B$5:$B$52,A5)</x:f>
        <x:v>1</x:v>
      </x:c>
      <x:c r="E5" s="16" t="n">
        <x:f>SUMIF('Family Allocation'!$B$5:$B$52,A5,'Family Allocation'!$G$5:$G$52)</x:f>
        <x:v>23</x:v>
      </x:c>
      <x:c r="F5" s="16" t="n">
        <x:f>SUMIF('Family Allocation'!$B$5:$B$52,A5,'Family Allocation'!$H$5:$H$52)</x:f>
        <x:v>45</x:v>
      </x:c>
      <x:c r="G5" s="16" t="n">
        <x:f>SUMIF('Family Allocation'!$B$5:$B$52,A5,'Family Allocation'!$I$5:$I$52)</x:f>
        <x:v>67500</x:v>
      </x:c>
      <x:c r="H5" s="19" t="n">
        <x:f>SUMIF('Family Allocation'!$B$5:$B$52,A5,'Family Allocation'!$J$5:$J$52)</x:f>
        <x:v>54</x:v>
      </x:c>
      <x:c r="I5" s="19" t="n">
        <x:f>SUMIF('Family Allocation'!$B$5:$B$52,A5,'Family Allocation'!$K$5:$K$52)</x:f>
        <x:v>11.5</x:v>
      </x:c>
      <x:c r="J5" s="18" t="n">
        <x:f>SUMPRODUCT(('Family Allocation'!$B$5:$B$52=A5)*'Family Allocation'!$F$5:$F$52*'Family Allocation'!$G$5:$G$52)/E5</x:f>
        <x:v>0.5</x:v>
      </x:c>
      <x:c r="K5" s="16" t="n">
        <x:f>SUMIF('Family Allocation'!$B$5:$B$52,A5,'Family Allocation'!$L$5:$L$52)</x:f>
        <x:v>2</x:v>
      </x:c>
      <x:c r="L5" s="16" t="n">
        <x:f>SUMIF('Family Allocation'!$B$5:$B$52,A5,'Family Allocation'!$M$5:$M$52)</x:f>
        <x:v>3</x:v>
      </x:c>
      <x:c r="M5" s="16" t="n">
        <x:f>SUMIF('Family Allocation'!$B$5:$B$52,A5,'Family Allocation'!$N$5:$N$52)</x:f>
        <x:v>4</x:v>
      </x:c>
      <x:c r="N5" s="16" t="n">
        <x:f>SUMIF('Family Allocation'!$B$5:$B$52,A5,'Family Allocation'!$O$5:$O$52)</x:f>
        <x:v>1</x:v>
      </x:c>
      <x:c r="O5" s="16" t="n">
        <x:f>SUMIF('Family Allocation'!$B$5:$B$52,A5,'Family Allocation'!$P$5:$P$52)</x:f>
        <x:v>1</x:v>
      </x:c>
      <x:c r="P5" s="16" t="n">
        <x:f>SUMIF('Family Allocation'!$B$5:$B$52,A5,'Family Allocation'!$Q$5:$Q$52)</x:f>
        <x:v>2</x:v>
      </x:c>
      <x:c r="Q5" s="16" t="n">
        <x:f>SUMIF('Family Allocation'!$B$5:$B$52,A5,'Family Allocation'!$R$5:$R$52)</x:f>
        <x:v>2</x:v>
      </x:c>
      <x:c r="R5" s="16" t="n">
        <x:f>SUMIF('Family Allocation'!$B$5:$B$52,A5,'Family Allocation'!$S$5:$S$52)</x:f>
        <x:v>2</x:v>
      </x:c>
      <x:c r="S5" s="16" t="n">
        <x:f>SUMIF('Family Allocation'!$B$5:$B$52,A5,'Family Allocation'!$T$5:$T$52)</x:f>
        <x:v>3</x:v>
      </x:c>
      <x:c r="T5" s="16" t="n">
        <x:f>SUMIF('Family Allocation'!$B$5:$B$52,A5,'Family Allocation'!$U$5:$U$52)</x:f>
        <x:v>3</x:v>
      </x:c>
    </x:row>
    <x:row r="6" ht="36" hidden="0" customHeight="1">
      <x:c r="A6" s="16" t="str">
        <x:v>ET-R2</x:v>
      </x:c>
      <x:c r="B6" s="16" t="str">
        <x:v>MS-ET</x:v>
      </x:c>
      <x:c r="C6" s="16" t="str">
        <x:v>Strategic intertheater lift</x:v>
      </x:c>
      <x:c r="D6" s="16" t="n">
        <x:f>COUNTIF('Family Allocation'!$B$5:$B$52,A6)</x:f>
        <x:v>1</x:v>
      </x:c>
      <x:c r="E6" s="16" t="n">
        <x:f>SUMIF('Family Allocation'!$B$5:$B$52,A6,'Family Allocation'!$G$5:$G$52)</x:f>
        <x:v>31</x:v>
      </x:c>
      <x:c r="F6" s="16" t="n">
        <x:f>SUMIF('Family Allocation'!$B$5:$B$52,A6,'Family Allocation'!$H$5:$H$52)</x:f>
        <x:v>72</x:v>
      </x:c>
      <x:c r="G6" s="16" t="n">
        <x:f>SUMIF('Family Allocation'!$B$5:$B$52,A6,'Family Allocation'!$I$5:$I$52)</x:f>
        <x:v>194400</x:v>
      </x:c>
      <x:c r="H6" s="19" t="n">
        <x:f>SUMIF('Family Allocation'!$B$5:$B$52,A6,'Family Allocation'!$J$5:$J$52)</x:f>
        <x:v>576</x:v>
      </x:c>
      <x:c r="I6" s="19" t="n">
        <x:f>SUMIF('Family Allocation'!$B$5:$B$52,A6,'Family Allocation'!$K$5:$K$52)</x:f>
        <x:v>17.05</x:v>
      </x:c>
      <x:c r="J6" s="18" t="n">
        <x:f>SUMPRODUCT(('Family Allocation'!$B$5:$B$52=A6)*'Family Allocation'!$F$5:$F$52*'Family Allocation'!$G$5:$G$52)/E6</x:f>
        <x:v>0.45</x:v>
      </x:c>
      <x:c r="K6" s="16" t="n">
        <x:f>SUMIF('Family Allocation'!$B$5:$B$52,A6,'Family Allocation'!$L$5:$L$52)</x:f>
        <x:v>2</x:v>
      </x:c>
      <x:c r="L6" s="16" t="n">
        <x:f>SUMIF('Family Allocation'!$B$5:$B$52,A6,'Family Allocation'!$M$5:$M$52)</x:f>
        <x:v>3</x:v>
      </x:c>
      <x:c r="M6" s="16" t="n">
        <x:f>SUMIF('Family Allocation'!$B$5:$B$52,A6,'Family Allocation'!$N$5:$N$52)</x:f>
        <x:v>4</x:v>
      </x:c>
      <x:c r="N6" s="16" t="n">
        <x:f>SUMIF('Family Allocation'!$B$5:$B$52,A6,'Family Allocation'!$O$5:$O$52)</x:f>
        <x:v>2</x:v>
      </x:c>
      <x:c r="O6" s="16" t="n">
        <x:f>SUMIF('Family Allocation'!$B$5:$B$52,A6,'Family Allocation'!$P$5:$P$52)</x:f>
        <x:v>2</x:v>
      </x:c>
      <x:c r="P6" s="16" t="n">
        <x:f>SUMIF('Family Allocation'!$B$5:$B$52,A6,'Family Allocation'!$Q$5:$Q$52)</x:f>
        <x:v>2</x:v>
      </x:c>
      <x:c r="Q6" s="16" t="n">
        <x:f>SUMIF('Family Allocation'!$B$5:$B$52,A6,'Family Allocation'!$R$5:$R$52)</x:f>
        <x:v>3</x:v>
      </x:c>
      <x:c r="R6" s="16" t="n">
        <x:f>SUMIF('Family Allocation'!$B$5:$B$52,A6,'Family Allocation'!$S$5:$S$52)</x:f>
        <x:v>3</x:v>
      </x:c>
      <x:c r="S6" s="16" t="n">
        <x:f>SUMIF('Family Allocation'!$B$5:$B$52,A6,'Family Allocation'!$T$5:$T$52)</x:f>
        <x:v>5</x:v>
      </x:c>
      <x:c r="T6" s="16" t="n">
        <x:f>SUMIF('Family Allocation'!$B$5:$B$52,A6,'Family Allocation'!$U$5:$U$52)</x:f>
        <x:v>5</x:v>
      </x:c>
    </x:row>
    <x:row r="7" ht="48" hidden="0" customHeight="1">
      <x:c r="A7" s="16" t="str">
        <x:v>ET-R3</x:v>
      </x:c>
      <x:c r="B7" s="16" t="str">
        <x:v>MS-ET</x:v>
      </x:c>
      <x:c r="C7" s="16" t="str">
        <x:v>Port, littoral and inland-waterway entry</x:v>
      </x:c>
      <x:c r="D7" s="16" t="n">
        <x:f>COUNTIF('Family Allocation'!$B$5:$B$52,A7)</x:f>
        <x:v>3</x:v>
      </x:c>
      <x:c r="E7" s="16" t="n">
        <x:f>SUMIF('Family Allocation'!$B$5:$B$52,A7,'Family Allocation'!$G$5:$G$52)</x:f>
        <x:v>98</x:v>
      </x:c>
      <x:c r="F7" s="16" t="n">
        <x:f>SUMIF('Family Allocation'!$B$5:$B$52,A7,'Family Allocation'!$H$5:$H$52)</x:f>
        <x:v>227</x:v>
      </x:c>
      <x:c r="G7" s="16" t="n">
        <x:f>SUMIF('Family Allocation'!$B$5:$B$52,A7,'Family Allocation'!$I$5:$I$52)</x:f>
        <x:v>240450</x:v>
      </x:c>
      <x:c r="H7" s="19" t="n">
        <x:f>SUMIF('Family Allocation'!$B$5:$B$52,A7,'Family Allocation'!$J$5:$J$52)</x:f>
        <x:v>494.5</x:v>
      </x:c>
      <x:c r="I7" s="19" t="n">
        <x:f>SUMIF('Family Allocation'!$B$5:$B$52,A7,'Family Allocation'!$K$5:$K$52)</x:f>
        <x:v>53.900000000000006</x:v>
      </x:c>
      <x:c r="J7" s="18" t="n">
        <x:f>SUMPRODUCT(('Family Allocation'!$B$5:$B$52=A7)*'Family Allocation'!$F$5:$F$52*'Family Allocation'!$G$5:$G$52)/E7</x:f>
        <x:v>0.45000000000000007</x:v>
      </x:c>
      <x:c r="K7" s="16" t="n">
        <x:f>SUMIF('Family Allocation'!$B$5:$B$52,A7,'Family Allocation'!$L$5:$L$52)</x:f>
        <x:v>4</x:v>
      </x:c>
      <x:c r="L7" s="16" t="n">
        <x:f>SUMIF('Family Allocation'!$B$5:$B$52,A7,'Family Allocation'!$M$5:$M$52)</x:f>
        <x:v>14</x:v>
      </x:c>
      <x:c r="M7" s="16" t="n">
        <x:f>SUMIF('Family Allocation'!$B$5:$B$52,A7,'Family Allocation'!$N$5:$N$52)</x:f>
        <x:v>18</x:v>
      </x:c>
      <x:c r="N7" s="16" t="n">
        <x:f>SUMIF('Family Allocation'!$B$5:$B$52,A7,'Family Allocation'!$O$5:$O$52)</x:f>
        <x:v>0</x:v>
      </x:c>
      <x:c r="O7" s="16" t="n">
        <x:f>SUMIF('Family Allocation'!$B$5:$B$52,A7,'Family Allocation'!$P$5:$P$52)</x:f>
        <x:v>0</x:v>
      </x:c>
      <x:c r="P7" s="16" t="n">
        <x:f>SUMIF('Family Allocation'!$B$5:$B$52,A7,'Family Allocation'!$Q$5:$Q$52)</x:f>
        <x:v>11</x:v>
      </x:c>
      <x:c r="Q7" s="16" t="n">
        <x:f>SUMIF('Family Allocation'!$B$5:$B$52,A7,'Family Allocation'!$R$5:$R$52)</x:f>
        <x:v>5</x:v>
      </x:c>
      <x:c r="R7" s="16" t="n">
        <x:f>SUMIF('Family Allocation'!$B$5:$B$52,A7,'Family Allocation'!$S$5:$S$52)</x:f>
        <x:v>9</x:v>
      </x:c>
      <x:c r="S7" s="16" t="n">
        <x:f>SUMIF('Family Allocation'!$B$5:$B$52,A7,'Family Allocation'!$T$5:$T$52)</x:f>
        <x:v>17</x:v>
      </x:c>
      <x:c r="T7" s="16" t="n">
        <x:f>SUMIF('Family Allocation'!$B$5:$B$52,A7,'Family Allocation'!$U$5:$U$52)</x:f>
        <x:v>20</x:v>
      </x:c>
    </x:row>
    <x:row r="8" ht="72" hidden="0" customHeight="1">
      <x:c r="A8" s="16" t="str">
        <x:v>ET-R4</x:v>
      </x:c>
      <x:c r="B8" s="16" t="str">
        <x:v>MS-ET</x:v>
      </x:c>
      <x:c r="C8" s="16" t="str">
        <x:v>Austere access, tactical distribution and route opening</x:v>
      </x:c>
      <x:c r="D8" s="16" t="n">
        <x:f>COUNTIF('Family Allocation'!$B$5:$B$52,A8)</x:f>
        <x:v>3</x:v>
      </x:c>
      <x:c r="E8" s="16" t="n">
        <x:f>SUMIF('Family Allocation'!$B$5:$B$52,A8,'Family Allocation'!$G$5:$G$52)</x:f>
        <x:v>164</x:v>
      </x:c>
      <x:c r="F8" s="16" t="n">
        <x:f>SUMIF('Family Allocation'!$B$5:$B$52,A8,'Family Allocation'!$H$5:$H$52)</x:f>
        <x:v>369</x:v>
      </x:c>
      <x:c r="G8" s="16" t="n">
        <x:f>SUMIF('Family Allocation'!$B$5:$B$52,A8,'Family Allocation'!$I$5:$I$52)</x:f>
        <x:v>406510</x:v>
      </x:c>
      <x:c r="H8" s="19" t="n">
        <x:f>SUMIF('Family Allocation'!$B$5:$B$52,A8,'Family Allocation'!$J$5:$J$52)</x:f>
        <x:v>793.2</x:v>
      </x:c>
      <x:c r="I8" s="19" t="n">
        <x:f>SUMIF('Family Allocation'!$B$5:$B$52,A8,'Family Allocation'!$K$5:$K$52)</x:f>
        <x:v>90.2</x:v>
      </x:c>
      <x:c r="J8" s="18" t="n">
        <x:f>SUMPRODUCT(('Family Allocation'!$B$5:$B$52=A8)*'Family Allocation'!$F$5:$F$52*'Family Allocation'!$G$5:$G$52)/E8</x:f>
        <x:v>0.45000000000000007</x:v>
      </x:c>
      <x:c r="K8" s="16" t="n">
        <x:f>SUMIF('Family Allocation'!$B$5:$B$52,A8,'Family Allocation'!$L$5:$L$52)</x:f>
        <x:v>10</x:v>
      </x:c>
      <x:c r="L8" s="16" t="n">
        <x:f>SUMIF('Family Allocation'!$B$5:$B$52,A8,'Family Allocation'!$M$5:$M$52)</x:f>
        <x:v>18</x:v>
      </x:c>
      <x:c r="M8" s="16" t="n">
        <x:f>SUMIF('Family Allocation'!$B$5:$B$52,A8,'Family Allocation'!$N$5:$N$52)</x:f>
        <x:v>26</x:v>
      </x:c>
      <x:c r="N8" s="16" t="n">
        <x:f>SUMIF('Family Allocation'!$B$5:$B$52,A8,'Family Allocation'!$O$5:$O$52)</x:f>
        <x:v>12</x:v>
      </x:c>
      <x:c r="O8" s="16" t="n">
        <x:f>SUMIF('Family Allocation'!$B$5:$B$52,A8,'Family Allocation'!$P$5:$P$52)</x:f>
        <x:v>8</x:v>
      </x:c>
      <x:c r="P8" s="16" t="n">
        <x:f>SUMIF('Family Allocation'!$B$5:$B$52,A8,'Family Allocation'!$Q$5:$Q$52)</x:f>
        <x:v>14</x:v>
      </x:c>
      <x:c r="Q8" s="16" t="n">
        <x:f>SUMIF('Family Allocation'!$B$5:$B$52,A8,'Family Allocation'!$R$5:$R$52)</x:f>
        <x:v>20</x:v>
      </x:c>
      <x:c r="R8" s="16" t="n">
        <x:f>SUMIF('Family Allocation'!$B$5:$B$52,A8,'Family Allocation'!$S$5:$S$52)</x:f>
        <x:v>12</x:v>
      </x:c>
      <x:c r="S8" s="16" t="n">
        <x:f>SUMIF('Family Allocation'!$B$5:$B$52,A8,'Family Allocation'!$T$5:$T$52)</x:f>
        <x:v>23</x:v>
      </x:c>
      <x:c r="T8" s="16" t="n">
        <x:f>SUMIF('Family Allocation'!$B$5:$B$52,A8,'Family Allocation'!$U$5:$U$52)</x:f>
        <x:v>21</x:v>
      </x:c>
    </x:row>
    <x:row r="9" ht="60" hidden="0" customHeight="1">
      <x:c r="A9" s="16" t="str">
        <x:v>ET-R5</x:v>
      </x:c>
      <x:c r="B9" s="16" t="str">
        <x:v>MS-ET</x:v>
      </x:c>
      <x:c r="C9" s="16" t="str">
        <x:v>Temporary works, crossings and node preparation</x:v>
      </x:c>
      <x:c r="D9" s="16" t="n">
        <x:f>COUNTIF('Family Allocation'!$B$5:$B$52,A9)</x:f>
        <x:v>1</x:v>
      </x:c>
      <x:c r="E9" s="16" t="n">
        <x:f>SUMIF('Family Allocation'!$B$5:$B$52,A9,'Family Allocation'!$G$5:$G$52)</x:f>
        <x:v>53</x:v>
      </x:c>
      <x:c r="F9" s="16" t="n">
        <x:f>SUMIF('Family Allocation'!$B$5:$B$52,A9,'Family Allocation'!$H$5:$H$52)</x:f>
        <x:v>114</x:v>
      </x:c>
      <x:c r="G9" s="16" t="n">
        <x:f>SUMIF('Family Allocation'!$B$5:$B$52,A9,'Family Allocation'!$I$5:$I$52)</x:f>
        <x:v>103740</x:v>
      </x:c>
      <x:c r="H9" s="19" t="n">
        <x:f>SUMIF('Family Allocation'!$B$5:$B$52,A9,'Family Allocation'!$J$5:$J$52)</x:f>
        <x:v>136.79999999999998</x:v>
      </x:c>
      <x:c r="I9" s="19" t="n">
        <x:f>SUMIF('Family Allocation'!$B$5:$B$52,A9,'Family Allocation'!$K$5:$K$52)</x:f>
        <x:v>29.150000000000002</x:v>
      </x:c>
      <x:c r="J9" s="18" t="n">
        <x:f>SUMPRODUCT(('Family Allocation'!$B$5:$B$52=A9)*'Family Allocation'!$F$5:$F$52*'Family Allocation'!$G$5:$G$52)/E9</x:f>
        <x:v>0.45</x:v>
      </x:c>
      <x:c r="K9" s="16" t="n">
        <x:f>SUMIF('Family Allocation'!$B$5:$B$52,A9,'Family Allocation'!$L$5:$L$52)</x:f>
        <x:v>3</x:v>
      </x:c>
      <x:c r="L9" s="16" t="n">
        <x:f>SUMIF('Family Allocation'!$B$5:$B$52,A9,'Family Allocation'!$M$5:$M$52)</x:f>
        <x:v>6</x:v>
      </x:c>
      <x:c r="M9" s="16" t="n">
        <x:f>SUMIF('Family Allocation'!$B$5:$B$52,A9,'Family Allocation'!$N$5:$N$52)</x:f>
        <x:v>10</x:v>
      </x:c>
      <x:c r="N9" s="16" t="n">
        <x:f>SUMIF('Family Allocation'!$B$5:$B$52,A9,'Family Allocation'!$O$5:$O$52)</x:f>
        <x:v>1</x:v>
      </x:c>
      <x:c r="O9" s="16" t="n">
        <x:f>SUMIF('Family Allocation'!$B$5:$B$52,A9,'Family Allocation'!$P$5:$P$52)</x:f>
        <x:v>1</x:v>
      </x:c>
      <x:c r="P9" s="16" t="n">
        <x:f>SUMIF('Family Allocation'!$B$5:$B$52,A9,'Family Allocation'!$Q$5:$Q$52)</x:f>
        <x:v>6</x:v>
      </x:c>
      <x:c r="Q9" s="16" t="n">
        <x:f>SUMIF('Family Allocation'!$B$5:$B$52,A9,'Family Allocation'!$R$5:$R$52)</x:f>
        <x:v>8</x:v>
      </x:c>
      <x:c r="R9" s="16" t="n">
        <x:f>SUMIF('Family Allocation'!$B$5:$B$52,A9,'Family Allocation'!$S$5:$S$52)</x:f>
        <x:v>4</x:v>
      </x:c>
      <x:c r="S9" s="16" t="n">
        <x:f>SUMIF('Family Allocation'!$B$5:$B$52,A9,'Family Allocation'!$T$5:$T$52)</x:f>
        <x:v>8</x:v>
      </x:c>
      <x:c r="T9" s="16" t="n">
        <x:f>SUMIF('Family Allocation'!$B$5:$B$52,A9,'Family Allocation'!$U$5:$U$52)</x:f>
        <x:v>6</x:v>
      </x:c>
    </x:row>
    <x:row r="10" ht="60" hidden="0" customHeight="1">
      <x:c r="A10" s="16" t="str">
        <x:v>CT-R1</x:v>
      </x:c>
      <x:c r="B10" s="16" t="str">
        <x:v>MS-CT</x:v>
      </x:c>
      <x:c r="C10" s="16" t="str">
        <x:v>Civil authority and effects coordination</x:v>
      </x:c>
      <x:c r="D10" s="16" t="n">
        <x:f>COUNTIF('Family Allocation'!$B$5:$B$52,A10)</x:f>
        <x:v>1</x:v>
      </x:c>
      <x:c r="E10" s="16" t="n">
        <x:f>SUMIF('Family Allocation'!$B$5:$B$52,A10,'Family Allocation'!$G$5:$G$52)</x:f>
        <x:v>34</x:v>
      </x:c>
      <x:c r="F10" s="16" t="n">
        <x:f>SUMIF('Family Allocation'!$B$5:$B$52,A10,'Family Allocation'!$H$5:$H$52)</x:f>
        <x:v>66</x:v>
      </x:c>
      <x:c r="G10" s="16" t="n">
        <x:f>SUMIF('Family Allocation'!$B$5:$B$52,A10,'Family Allocation'!$I$5:$I$52)</x:f>
        <x:v>19800</x:v>
      </x:c>
      <x:c r="H10" s="19" t="n">
        <x:f>SUMIF('Family Allocation'!$B$5:$B$52,A10,'Family Allocation'!$J$5:$J$52)</x:f>
        <x:v>16.5</x:v>
      </x:c>
      <x:c r="I10" s="19" t="n">
        <x:f>SUMIF('Family Allocation'!$B$5:$B$52,A10,'Family Allocation'!$K$5:$K$52)</x:f>
        <x:v>18.700000000000003</x:v>
      </x:c>
      <x:c r="J10" s="18" t="n">
        <x:f>SUMPRODUCT(('Family Allocation'!$B$5:$B$52=A10)*'Family Allocation'!$F$5:$F$52*'Family Allocation'!$G$5:$G$52)/E10</x:f>
        <x:v>0.45</x:v>
      </x:c>
      <x:c r="K10" s="16" t="n">
        <x:f>SUMIF('Family Allocation'!$B$5:$B$52,A10,'Family Allocation'!$L$5:$L$52)</x:f>
        <x:v>4</x:v>
      </x:c>
      <x:c r="L10" s="16" t="n">
        <x:f>SUMIF('Family Allocation'!$B$5:$B$52,A10,'Family Allocation'!$M$5:$M$52)</x:f>
        <x:v>4</x:v>
      </x:c>
      <x:c r="M10" s="16" t="n">
        <x:f>SUMIF('Family Allocation'!$B$5:$B$52,A10,'Family Allocation'!$N$5:$N$52)</x:f>
        <x:v>5</x:v>
      </x:c>
      <x:c r="N10" s="16" t="n">
        <x:f>SUMIF('Family Allocation'!$B$5:$B$52,A10,'Family Allocation'!$O$5:$O$52)</x:f>
        <x:v>2</x:v>
      </x:c>
      <x:c r="O10" s="16" t="n">
        <x:f>SUMIF('Family Allocation'!$B$5:$B$52,A10,'Family Allocation'!$P$5:$P$52)</x:f>
        <x:v>2</x:v>
      </x:c>
      <x:c r="P10" s="16" t="n">
        <x:f>SUMIF('Family Allocation'!$B$5:$B$52,A10,'Family Allocation'!$Q$5:$Q$52)</x:f>
        <x:v>3</x:v>
      </x:c>
      <x:c r="Q10" s="16" t="n">
        <x:f>SUMIF('Family Allocation'!$B$5:$B$52,A10,'Family Allocation'!$R$5:$R$52)</x:f>
        <x:v>3</x:v>
      </x:c>
      <x:c r="R10" s="16" t="n">
        <x:f>SUMIF('Family Allocation'!$B$5:$B$52,A10,'Family Allocation'!$S$5:$S$52)</x:f>
        <x:v>3</x:v>
      </x:c>
      <x:c r="S10" s="16" t="n">
        <x:f>SUMIF('Family Allocation'!$B$5:$B$52,A10,'Family Allocation'!$T$5:$T$52)</x:f>
        <x:v>4</x:v>
      </x:c>
      <x:c r="T10" s="16" t="n">
        <x:f>SUMIF('Family Allocation'!$B$5:$B$52,A10,'Family Allocation'!$U$5:$U$52)</x:f>
        <x:v>4</x:v>
      </x:c>
    </x:row>
    <x:row r="11" ht="48" hidden="0" customHeight="1">
      <x:c r="A11" s="16" t="str">
        <x:v>CT-R2</x:v>
      </x:c>
      <x:c r="B11" s="16" t="str">
        <x:v>MS-CT</x:v>
      </x:c>
      <x:c r="C11" s="16" t="str">
        <x:v>Incident observation and causal picture</x:v>
      </x:c>
      <x:c r="D11" s="16" t="n">
        <x:f>COUNTIF('Family Allocation'!$B$5:$B$52,A11)</x:f>
        <x:v>2</x:v>
      </x:c>
      <x:c r="E11" s="16" t="n">
        <x:f>SUMIF('Family Allocation'!$B$5:$B$52,A11,'Family Allocation'!$G$5:$G$52)</x:f>
        <x:v>99</x:v>
      </x:c>
      <x:c r="F11" s="16" t="n">
        <x:f>SUMIF('Family Allocation'!$B$5:$B$52,A11,'Family Allocation'!$H$5:$H$52)</x:f>
        <x:v>207</x:v>
      </x:c>
      <x:c r="G11" s="16" t="n">
        <x:f>SUMIF('Family Allocation'!$B$5:$B$52,A11,'Family Allocation'!$I$5:$I$52)</x:f>
        <x:v>152820</x:v>
      </x:c>
      <x:c r="H11" s="19" t="n">
        <x:f>SUMIF('Family Allocation'!$B$5:$B$52,A11,'Family Allocation'!$J$5:$J$52)</x:f>
        <x:v>214.2</x:v>
      </x:c>
      <x:c r="I11" s="19" t="n">
        <x:f>SUMIF('Family Allocation'!$B$5:$B$52,A11,'Family Allocation'!$K$5:$K$52)</x:f>
        <x:v>51.5</x:v>
      </x:c>
      <x:c r="J11" s="18" t="n">
        <x:f>SUMPRODUCT(('Family Allocation'!$B$5:$B$52=A11)*'Family Allocation'!$F$5:$F$52*'Family Allocation'!$G$5:$G$52)/E11</x:f>
        <x:v>0.4797979797979798</x:v>
      </x:c>
      <x:c r="K11" s="16" t="n">
        <x:f>SUMIF('Family Allocation'!$B$5:$B$52,A11,'Family Allocation'!$L$5:$L$52)</x:f>
        <x:v>9</x:v>
      </x:c>
      <x:c r="L11" s="16" t="n">
        <x:f>SUMIF('Family Allocation'!$B$5:$B$52,A11,'Family Allocation'!$M$5:$M$52)</x:f>
        <x:v>10</x:v>
      </x:c>
      <x:c r="M11" s="16" t="n">
        <x:f>SUMIF('Family Allocation'!$B$5:$B$52,A11,'Family Allocation'!$N$5:$N$52)</x:f>
        <x:v>13</x:v>
      </x:c>
      <x:c r="N11" s="16" t="n">
        <x:f>SUMIF('Family Allocation'!$B$5:$B$52,A11,'Family Allocation'!$O$5:$O$52)</x:f>
        <x:v>9</x:v>
      </x:c>
      <x:c r="O11" s="16" t="n">
        <x:f>SUMIF('Family Allocation'!$B$5:$B$52,A11,'Family Allocation'!$P$5:$P$52)</x:f>
        <x:v>7</x:v>
      </x:c>
      <x:c r="P11" s="16" t="n">
        <x:f>SUMIF('Family Allocation'!$B$5:$B$52,A11,'Family Allocation'!$Q$5:$Q$52)</x:f>
        <x:v>8</x:v>
      </x:c>
      <x:c r="Q11" s="16" t="n">
        <x:f>SUMIF('Family Allocation'!$B$5:$B$52,A11,'Family Allocation'!$R$5:$R$52)</x:f>
        <x:v>9</x:v>
      </x:c>
      <x:c r="R11" s="16" t="n">
        <x:f>SUMIF('Family Allocation'!$B$5:$B$52,A11,'Family Allocation'!$S$5:$S$52)</x:f>
        <x:v>8</x:v>
      </x:c>
      <x:c r="S11" s="16" t="n">
        <x:f>SUMIF('Family Allocation'!$B$5:$B$52,A11,'Family Allocation'!$T$5:$T$52)</x:f>
        <x:v>13</x:v>
      </x:c>
      <x:c r="T11" s="16" t="n">
        <x:f>SUMIF('Family Allocation'!$B$5:$B$52,A11,'Family Allocation'!$U$5:$U$52)</x:f>
        <x:v>13</x:v>
      </x:c>
    </x:row>
    <x:row r="12" ht="48" hidden="0" customHeight="1">
      <x:c r="A12" s="16" t="str">
        <x:v>CT-R3</x:v>
      </x:c>
      <x:c r="B12" s="16" t="str">
        <x:v>MS-CT</x:v>
      </x:c>
      <x:c r="C12" s="16" t="str">
        <x:v>Disconnected public communications</x:v>
      </x:c>
      <x:c r="D12" s="16" t="n">
        <x:f>COUNTIF('Family Allocation'!$B$5:$B$52,A12)</x:f>
        <x:v>1</x:v>
      </x:c>
      <x:c r="E12" s="16" t="n">
        <x:f>SUMIF('Family Allocation'!$B$5:$B$52,A12,'Family Allocation'!$G$5:$G$52)</x:f>
        <x:v>59</x:v>
      </x:c>
      <x:c r="F12" s="16" t="n">
        <x:f>SUMIF('Family Allocation'!$B$5:$B$52,A12,'Family Allocation'!$H$5:$H$52)</x:f>
        <x:v>127</x:v>
      </x:c>
      <x:c r="G12" s="16" t="n">
        <x:f>SUMIF('Family Allocation'!$B$5:$B$52,A12,'Family Allocation'!$I$5:$I$52)</x:f>
        <x:v>95250</x:v>
      </x:c>
      <x:c r="H12" s="19" t="n">
        <x:f>SUMIF('Family Allocation'!$B$5:$B$52,A12,'Family Allocation'!$J$5:$J$52)</x:f>
        <x:v>127</x:v>
      </x:c>
      <x:c r="I12" s="19" t="n">
        <x:f>SUMIF('Family Allocation'!$B$5:$B$52,A12,'Family Allocation'!$K$5:$K$52)</x:f>
        <x:v>32.45</x:v>
      </x:c>
      <x:c r="J12" s="18" t="n">
        <x:f>SUMPRODUCT(('Family Allocation'!$B$5:$B$52=A12)*'Family Allocation'!$F$5:$F$52*'Family Allocation'!$G$5:$G$52)/E12</x:f>
        <x:v>0.45</x:v>
      </x:c>
      <x:c r="K12" s="16" t="n">
        <x:f>SUMIF('Family Allocation'!$B$5:$B$52,A12,'Family Allocation'!$L$5:$L$52)</x:f>
        <x:v>6</x:v>
      </x:c>
      <x:c r="L12" s="16" t="n">
        <x:f>SUMIF('Family Allocation'!$B$5:$B$52,A12,'Family Allocation'!$M$5:$M$52)</x:f>
        <x:v>6</x:v>
      </x:c>
      <x:c r="M12" s="16" t="n">
        <x:f>SUMIF('Family Allocation'!$B$5:$B$52,A12,'Family Allocation'!$N$5:$N$52)</x:f>
        <x:v>8</x:v>
      </x:c>
      <x:c r="N12" s="16" t="n">
        <x:f>SUMIF('Family Allocation'!$B$5:$B$52,A12,'Family Allocation'!$O$5:$O$52)</x:f>
        <x:v>4</x:v>
      </x:c>
      <x:c r="O12" s="16" t="n">
        <x:f>SUMIF('Family Allocation'!$B$5:$B$52,A12,'Family Allocation'!$P$5:$P$52)</x:f>
        <x:v>4</x:v>
      </x:c>
      <x:c r="P12" s="16" t="n">
        <x:f>SUMIF('Family Allocation'!$B$5:$B$52,A12,'Family Allocation'!$Q$5:$Q$52)</x:f>
        <x:v>5</x:v>
      </x:c>
      <x:c r="Q12" s="16" t="n">
        <x:f>SUMIF('Family Allocation'!$B$5:$B$52,A12,'Family Allocation'!$R$5:$R$52)</x:f>
        <x:v>5</x:v>
      </x:c>
      <x:c r="R12" s="16" t="n">
        <x:f>SUMIF('Family Allocation'!$B$5:$B$52,A12,'Family Allocation'!$S$5:$S$52)</x:f>
        <x:v>5</x:v>
      </x:c>
      <x:c r="S12" s="16" t="n">
        <x:f>SUMIF('Family Allocation'!$B$5:$B$52,A12,'Family Allocation'!$T$5:$T$52)</x:f>
        <x:v>8</x:v>
      </x:c>
      <x:c r="T12" s="16" t="n">
        <x:f>SUMIF('Family Allocation'!$B$5:$B$52,A12,'Family Allocation'!$U$5:$U$52)</x:f>
        <x:v>8</x:v>
      </x:c>
    </x:row>
    <x:row r="13" ht="48" hidden="0" customHeight="1">
      <x:c r="A13" s="16" t="str">
        <x:v>CT-R4</x:v>
      </x:c>
      <x:c r="B13" s="16" t="str">
        <x:v>MS-CT</x:v>
      </x:c>
      <x:c r="C13" s="16" t="str">
        <x:v>Accessible public-service transaction</x:v>
      </x:c>
      <x:c r="D13" s="16" t="n">
        <x:f>COUNTIF('Family Allocation'!$B$5:$B$52,A13)</x:f>
        <x:v>1</x:v>
      </x:c>
      <x:c r="E13" s="16" t="n">
        <x:f>SUMIF('Family Allocation'!$B$5:$B$52,A13,'Family Allocation'!$G$5:$G$52)</x:f>
        <x:v>82</x:v>
      </x:c>
      <x:c r="F13" s="16" t="n">
        <x:f>SUMIF('Family Allocation'!$B$5:$B$52,A13,'Family Allocation'!$H$5:$H$52)</x:f>
        <x:v>164</x:v>
      </x:c>
      <x:c r="G13" s="16" t="n">
        <x:f>SUMIF('Family Allocation'!$B$5:$B$52,A13,'Family Allocation'!$I$5:$I$52)</x:f>
        <x:v>73800</x:v>
      </x:c>
      <x:c r="H13" s="19" t="n">
        <x:f>SUMIF('Family Allocation'!$B$5:$B$52,A13,'Family Allocation'!$J$5:$J$52)</x:f>
        <x:v>49.199999999999996</x:v>
      </x:c>
      <x:c r="I13" s="19" t="n">
        <x:f>SUMIF('Family Allocation'!$B$5:$B$52,A13,'Family Allocation'!$K$5:$K$52)</x:f>
        <x:v>45.1</x:v>
      </x:c>
      <x:c r="J13" s="18" t="n">
        <x:f>SUMPRODUCT(('Family Allocation'!$B$5:$B$52=A13)*'Family Allocation'!$F$5:$F$52*'Family Allocation'!$G$5:$G$52)/E13</x:f>
        <x:v>0.44999999999999996</x:v>
      </x:c>
      <x:c r="K13" s="16" t="n">
        <x:f>SUMIF('Family Allocation'!$B$5:$B$52,A13,'Family Allocation'!$L$5:$L$52)</x:f>
        <x:v>8</x:v>
      </x:c>
      <x:c r="L13" s="16" t="n">
        <x:f>SUMIF('Family Allocation'!$B$5:$B$52,A13,'Family Allocation'!$M$5:$M$52)</x:f>
        <x:v>10</x:v>
      </x:c>
      <x:c r="M13" s="16" t="n">
        <x:f>SUMIF('Family Allocation'!$B$5:$B$52,A13,'Family Allocation'!$N$5:$N$52)</x:f>
        <x:v>12</x:v>
      </x:c>
      <x:c r="N13" s="16" t="n">
        <x:f>SUMIF('Family Allocation'!$B$5:$B$52,A13,'Family Allocation'!$O$5:$O$52)</x:f>
        <x:v>4</x:v>
      </x:c>
      <x:c r="O13" s="16" t="n">
        <x:f>SUMIF('Family Allocation'!$B$5:$B$52,A13,'Family Allocation'!$P$5:$P$52)</x:f>
        <x:v>6</x:v>
      </x:c>
      <x:c r="P13" s="16" t="n">
        <x:f>SUMIF('Family Allocation'!$B$5:$B$52,A13,'Family Allocation'!$Q$5:$Q$52)</x:f>
        <x:v>6</x:v>
      </x:c>
      <x:c r="Q13" s="16" t="n">
        <x:f>SUMIF('Family Allocation'!$B$5:$B$52,A13,'Family Allocation'!$R$5:$R$52)</x:f>
        <x:v>8</x:v>
      </x:c>
      <x:c r="R13" s="16" t="n">
        <x:f>SUMIF('Family Allocation'!$B$5:$B$52,A13,'Family Allocation'!$S$5:$S$52)</x:f>
        <x:v>6</x:v>
      </x:c>
      <x:c r="S13" s="16" t="n">
        <x:f>SUMIF('Family Allocation'!$B$5:$B$52,A13,'Family Allocation'!$T$5:$T$52)</x:f>
        <x:v>10</x:v>
      </x:c>
      <x:c r="T13" s="16" t="n">
        <x:f>SUMIF('Family Allocation'!$B$5:$B$52,A13,'Family Allocation'!$U$5:$U$52)</x:f>
        <x:v>12</x:v>
      </x:c>
    </x:row>
    <x:row r="14" ht="48" hidden="0" customHeight="1">
      <x:c r="A14" s="16" t="str">
        <x:v>CT-R5</x:v>
      </x:c>
      <x:c r="B14" s="16" t="str">
        <x:v>MS-CT</x:v>
      </x:c>
      <x:c r="C14" s="16" t="str">
        <x:v>Household and building-origin reach</x:v>
      </x:c>
      <x:c r="D14" s="16" t="n">
        <x:f>COUNTIF('Family Allocation'!$B$5:$B$52,A14)</x:f>
        <x:v>1</x:v>
      </x:c>
      <x:c r="E14" s="16" t="n">
        <x:f>SUMIF('Family Allocation'!$B$5:$B$52,A14,'Family Allocation'!$G$5:$G$52)</x:f>
        <x:v>69</x:v>
      </x:c>
      <x:c r="F14" s="16" t="n">
        <x:f>SUMIF('Family Allocation'!$B$5:$B$52,A14,'Family Allocation'!$H$5:$H$52)</x:f>
        <x:v>160</x:v>
      </x:c>
      <x:c r="G14" s="16" t="n">
        <x:f>SUMIF('Family Allocation'!$B$5:$B$52,A14,'Family Allocation'!$I$5:$I$52)</x:f>
        <x:v>3039328</x:v>
      </x:c>
      <x:c r="H14" s="19" t="n">
        <x:f>SUMIF('Family Allocation'!$B$5:$B$52,A14,'Family Allocation'!$J$5:$J$52)</x:f>
        <x:v>1098.56</x:v>
      </x:c>
      <x:c r="I14" s="19" t="n">
        <x:f>SUMIF('Family Allocation'!$B$5:$B$52,A14,'Family Allocation'!$K$5:$K$52)</x:f>
        <x:v>13.799999999999997</x:v>
      </x:c>
      <x:c r="J14" s="18" t="n">
        <x:f>SUMPRODUCT(('Family Allocation'!$B$5:$B$52=A14)*'Family Allocation'!$F$5:$F$52*'Family Allocation'!$G$5:$G$52)/E14</x:f>
        <x:v>0.8</x:v>
      </x:c>
      <x:c r="K14" s="16" t="n">
        <x:f>SUMIF('Family Allocation'!$B$5:$B$52,A14,'Family Allocation'!$L$5:$L$52)</x:f>
        <x:v>6</x:v>
      </x:c>
      <x:c r="L14" s="16" t="n">
        <x:f>SUMIF('Family Allocation'!$B$5:$B$52,A14,'Family Allocation'!$M$5:$M$52)</x:f>
        <x:v>8</x:v>
      </x:c>
      <x:c r="M14" s="16" t="n">
        <x:f>SUMIF('Family Allocation'!$B$5:$B$52,A14,'Family Allocation'!$N$5:$N$52)</x:f>
        <x:v>10</x:v>
      </x:c>
      <x:c r="N14" s="16" t="n">
        <x:f>SUMIF('Family Allocation'!$B$5:$B$52,A14,'Family Allocation'!$O$5:$O$52)</x:f>
        <x:v>3</x:v>
      </x:c>
      <x:c r="O14" s="16" t="n">
        <x:f>SUMIF('Family Allocation'!$B$5:$B$52,A14,'Family Allocation'!$P$5:$P$52)</x:f>
        <x:v>6</x:v>
      </x:c>
      <x:c r="P14" s="16" t="n">
        <x:f>SUMIF('Family Allocation'!$B$5:$B$52,A14,'Family Allocation'!$Q$5:$Q$52)</x:f>
        <x:v>5</x:v>
      </x:c>
      <x:c r="Q14" s="16" t="n">
        <x:f>SUMIF('Family Allocation'!$B$5:$B$52,A14,'Family Allocation'!$R$5:$R$52)</x:f>
        <x:v>6</x:v>
      </x:c>
      <x:c r="R14" s="16" t="n">
        <x:f>SUMIF('Family Allocation'!$B$5:$B$52,A14,'Family Allocation'!$S$5:$S$52)</x:f>
        <x:v>5</x:v>
      </x:c>
      <x:c r="S14" s="16" t="n">
        <x:f>SUMIF('Family Allocation'!$B$5:$B$52,A14,'Family Allocation'!$T$5:$T$52)</x:f>
        <x:v>10</x:v>
      </x:c>
      <x:c r="T14" s="16" t="n">
        <x:f>SUMIF('Family Allocation'!$B$5:$B$52,A14,'Family Allocation'!$U$5:$U$52)</x:f>
        <x:v>10</x:v>
      </x:c>
    </x:row>
    <x:row r="15" ht="36" hidden="0" customHeight="1">
      <x:c r="A15" s="16" t="str">
        <x:v>HC-R1</x:v>
      </x:c>
      <x:c r="B15" s="16" t="str">
        <x:v>MS-HC</x:v>
      </x:c>
      <x:c r="C15" s="16" t="str">
        <x:v>Fire and atmospheric control</x:v>
      </x:c>
      <x:c r="D15" s="16" t="n">
        <x:f>COUNTIF('Family Allocation'!$B$5:$B$52,A15)</x:f>
        <x:v>2</x:v>
      </x:c>
      <x:c r="E15" s="16" t="n">
        <x:f>SUMIF('Family Allocation'!$B$5:$B$52,A15,'Family Allocation'!$G$5:$G$52)</x:f>
        <x:v>55</x:v>
      </x:c>
      <x:c r="F15" s="16" t="n">
        <x:f>SUMIF('Family Allocation'!$B$5:$B$52,A15,'Family Allocation'!$H$5:$H$52)</x:f>
        <x:v>122</x:v>
      </x:c>
      <x:c r="G15" s="16" t="n">
        <x:f>SUMIF('Family Allocation'!$B$5:$B$52,A15,'Family Allocation'!$I$5:$I$52)</x:f>
        <x:v>174870</x:v>
      </x:c>
      <x:c r="H15" s="19" t="n">
        <x:f>SUMIF('Family Allocation'!$B$5:$B$52,A15,'Family Allocation'!$J$5:$J$52)</x:f>
        <x:v>377</x:v>
      </x:c>
      <x:c r="I15" s="19" t="n">
        <x:f>SUMIF('Family Allocation'!$B$5:$B$52,A15,'Family Allocation'!$K$5:$K$52)</x:f>
        <x:v>18.7</x:v>
      </x:c>
      <x:c r="J15" s="18" t="n">
        <x:f>SUMPRODUCT(('Family Allocation'!$B$5:$B$52=A15)*'Family Allocation'!$F$5:$F$52*'Family Allocation'!$G$5:$G$52)/E15</x:f>
        <x:v>0.66</x:v>
      </x:c>
      <x:c r="K15" s="16" t="n">
        <x:f>SUMIF('Family Allocation'!$B$5:$B$52,A15,'Family Allocation'!$L$5:$L$52)</x:f>
        <x:v>3</x:v>
      </x:c>
      <x:c r="L15" s="16" t="n">
        <x:f>SUMIF('Family Allocation'!$B$5:$B$52,A15,'Family Allocation'!$M$5:$M$52)</x:f>
        <x:v>5</x:v>
      </x:c>
      <x:c r="M15" s="16" t="n">
        <x:f>SUMIF('Family Allocation'!$B$5:$B$52,A15,'Family Allocation'!$N$5:$N$52)</x:f>
        <x:v>6</x:v>
      </x:c>
      <x:c r="N15" s="16" t="n">
        <x:f>SUMIF('Family Allocation'!$B$5:$B$52,A15,'Family Allocation'!$O$5:$O$52)</x:f>
        <x:v>22</x:v>
      </x:c>
      <x:c r="O15" s="16" t="n">
        <x:f>SUMIF('Family Allocation'!$B$5:$B$52,A15,'Family Allocation'!$P$5:$P$52)</x:f>
        <x:v>5</x:v>
      </x:c>
      <x:c r="P15" s="16" t="n">
        <x:f>SUMIF('Family Allocation'!$B$5:$B$52,A15,'Family Allocation'!$Q$5:$Q$52)</x:f>
        <x:v>1</x:v>
      </x:c>
      <x:c r="Q15" s="16" t="n">
        <x:f>SUMIF('Family Allocation'!$B$5:$B$52,A15,'Family Allocation'!$R$5:$R$52)</x:f>
        <x:v>3</x:v>
      </x:c>
      <x:c r="R15" s="16" t="n">
        <x:f>SUMIF('Family Allocation'!$B$5:$B$52,A15,'Family Allocation'!$S$5:$S$52)</x:f>
        <x:v>3</x:v>
      </x:c>
      <x:c r="S15" s="16" t="n">
        <x:f>SUMIF('Family Allocation'!$B$5:$B$52,A15,'Family Allocation'!$T$5:$T$52)</x:f>
        <x:v>4</x:v>
      </x:c>
      <x:c r="T15" s="16" t="n">
        <x:f>SUMIF('Family Allocation'!$B$5:$B$52,A15,'Family Allocation'!$U$5:$U$52)</x:f>
        <x:v>3</x:v>
      </x:c>
    </x:row>
    <x:row r="16" ht="36" hidden="0" customHeight="1">
      <x:c r="A16" s="16" t="str">
        <x:v>HC-R2</x:v>
      </x:c>
      <x:c r="B16" s="16" t="str">
        <x:v>MS-HC</x:v>
      </x:c>
      <x:c r="C16" s="16" t="str">
        <x:v>Flood and hydraulic control</x:v>
      </x:c>
      <x:c r="D16" s="16" t="n">
        <x:f>COUNTIF('Family Allocation'!$B$5:$B$52,A16)</x:f>
        <x:v>1</x:v>
      </x:c>
      <x:c r="E16" s="16" t="n">
        <x:f>SUMIF('Family Allocation'!$B$5:$B$52,A16,'Family Allocation'!$G$5:$G$52)</x:f>
        <x:v>50</x:v>
      </x:c>
      <x:c r="F16" s="16" t="n">
        <x:f>SUMIF('Family Allocation'!$B$5:$B$52,A16,'Family Allocation'!$H$5:$H$52)</x:f>
        <x:v>108</x:v>
      </x:c>
      <x:c r="G16" s="16" t="n">
        <x:f>SUMIF('Family Allocation'!$B$5:$B$52,A16,'Family Allocation'!$I$5:$I$52)</x:f>
        <x:v>140400</x:v>
      </x:c>
      <x:c r="H16" s="19" t="n">
        <x:f>SUMIF('Family Allocation'!$B$5:$B$52,A16,'Family Allocation'!$J$5:$J$52)</x:f>
        <x:v>194.4</x:v>
      </x:c>
      <x:c r="I16" s="19" t="n">
        <x:f>SUMIF('Family Allocation'!$B$5:$B$52,A16,'Family Allocation'!$K$5:$K$52)</x:f>
        <x:v>9.999999999999998</x:v>
      </x:c>
      <x:c r="J16" s="18" t="n">
        <x:f>SUMPRODUCT(('Family Allocation'!$B$5:$B$52=A16)*'Family Allocation'!$F$5:$F$52*'Family Allocation'!$G$5:$G$52)/E16</x:f>
        <x:v>0.8</x:v>
      </x:c>
      <x:c r="K16" s="16" t="n">
        <x:f>SUMIF('Family Allocation'!$B$5:$B$52,A16,'Family Allocation'!$L$5:$L$52)</x:f>
        <x:v>1</x:v>
      </x:c>
      <x:c r="L16" s="16" t="n">
        <x:f>SUMIF('Family Allocation'!$B$5:$B$52,A16,'Family Allocation'!$M$5:$M$52)</x:f>
        <x:v>10</x:v>
      </x:c>
      <x:c r="M16" s="16" t="n">
        <x:f>SUMIF('Family Allocation'!$B$5:$B$52,A16,'Family Allocation'!$N$5:$N$52)</x:f>
        <x:v>6</x:v>
      </x:c>
      <x:c r="N16" s="16" t="n">
        <x:f>SUMIF('Family Allocation'!$B$5:$B$52,A16,'Family Allocation'!$O$5:$O$52)</x:f>
        <x:v>0</x:v>
      </x:c>
      <x:c r="O16" s="16" t="n">
        <x:f>SUMIF('Family Allocation'!$B$5:$B$52,A16,'Family Allocation'!$P$5:$P$52)</x:f>
        <x:v>0</x:v>
      </x:c>
      <x:c r="P16" s="16" t="n">
        <x:f>SUMIF('Family Allocation'!$B$5:$B$52,A16,'Family Allocation'!$Q$5:$Q$52)</x:f>
        <x:v>12</x:v>
      </x:c>
      <x:c r="Q16" s="16" t="n">
        <x:f>SUMIF('Family Allocation'!$B$5:$B$52,A16,'Family Allocation'!$R$5:$R$52)</x:f>
        <x:v>3</x:v>
      </x:c>
      <x:c r="R16" s="16" t="n">
        <x:f>SUMIF('Family Allocation'!$B$5:$B$52,A16,'Family Allocation'!$S$5:$S$52)</x:f>
        <x:v>2</x:v>
      </x:c>
      <x:c r="S16" s="16" t="n">
        <x:f>SUMIF('Family Allocation'!$B$5:$B$52,A16,'Family Allocation'!$T$5:$T$52)</x:f>
        <x:v>4</x:v>
      </x:c>
      <x:c r="T16" s="16" t="n">
        <x:f>SUMIF('Family Allocation'!$B$5:$B$52,A16,'Family Allocation'!$U$5:$U$52)</x:f>
        <x:v>12</x:v>
      </x:c>
    </x:row>
    <x:row r="17" ht="60" hidden="0" customHeight="1">
      <x:c r="A17" s="16" t="str">
        <x:v>HC-R3</x:v>
      </x:c>
      <x:c r="B17" s="16" t="str">
        <x:v>MS-HC</x:v>
      </x:c>
      <x:c r="C17" s="16" t="str">
        <x:v>Debris, material and geophysical control</x:v>
      </x:c>
      <x:c r="D17" s="16" t="n">
        <x:f>COUNTIF('Family Allocation'!$B$5:$B$52,A17)</x:f>
        <x:v>1</x:v>
      </x:c>
      <x:c r="E17" s="16" t="n">
        <x:f>SUMIF('Family Allocation'!$B$5:$B$52,A17,'Family Allocation'!$G$5:$G$52)</x:f>
        <x:v>65</x:v>
      </x:c>
      <x:c r="F17" s="16" t="n">
        <x:f>SUMIF('Family Allocation'!$B$5:$B$52,A17,'Family Allocation'!$H$5:$H$52)</x:f>
        <x:v>140</x:v>
      </x:c>
      <x:c r="G17" s="16" t="n">
        <x:f>SUMIF('Family Allocation'!$B$5:$B$52,A17,'Family Allocation'!$I$5:$I$52)</x:f>
        <x:v>145600</x:v>
      </x:c>
      <x:c r="H17" s="19" t="n">
        <x:f>SUMIF('Family Allocation'!$B$5:$B$52,A17,'Family Allocation'!$J$5:$J$52)</x:f>
        <x:v>196</x:v>
      </x:c>
      <x:c r="I17" s="19" t="n">
        <x:f>SUMIF('Family Allocation'!$B$5:$B$52,A17,'Family Allocation'!$K$5:$K$52)</x:f>
        <x:v>35.75</x:v>
      </x:c>
      <x:c r="J17" s="18" t="n">
        <x:f>SUMPRODUCT(('Family Allocation'!$B$5:$B$52=A17)*'Family Allocation'!$F$5:$F$52*'Family Allocation'!$G$5:$G$52)/E17</x:f>
        <x:v>0.45</x:v>
      </x:c>
      <x:c r="K17" s="16" t="n">
        <x:f>SUMIF('Family Allocation'!$B$5:$B$52,A17,'Family Allocation'!$L$5:$L$52)</x:f>
        <x:v>2</x:v>
      </x:c>
      <x:c r="L17" s="16" t="n">
        <x:f>SUMIF('Family Allocation'!$B$5:$B$52,A17,'Family Allocation'!$M$5:$M$52)</x:f>
        <x:v>8</x:v>
      </x:c>
      <x:c r="M17" s="16" t="n">
        <x:f>SUMIF('Family Allocation'!$B$5:$B$52,A17,'Family Allocation'!$N$5:$N$52)</x:f>
        <x:v>12</x:v>
      </x:c>
      <x:c r="N17" s="16" t="n">
        <x:f>SUMIF('Family Allocation'!$B$5:$B$52,A17,'Family Allocation'!$O$5:$O$52)</x:f>
        <x:v>2</x:v>
      </x:c>
      <x:c r="O17" s="16" t="n">
        <x:f>SUMIF('Family Allocation'!$B$5:$B$52,A17,'Family Allocation'!$P$5:$P$52)</x:f>
        <x:v>1</x:v>
      </x:c>
      <x:c r="P17" s="16" t="n">
        <x:f>SUMIF('Family Allocation'!$B$5:$B$52,A17,'Family Allocation'!$Q$5:$Q$52)</x:f>
        <x:v>8</x:v>
      </x:c>
      <x:c r="Q17" s="16" t="n">
        <x:f>SUMIF('Family Allocation'!$B$5:$B$52,A17,'Family Allocation'!$R$5:$R$52)</x:f>
        <x:v>12</x:v>
      </x:c>
      <x:c r="R17" s="16" t="n">
        <x:f>SUMIF('Family Allocation'!$B$5:$B$52,A17,'Family Allocation'!$S$5:$S$52)</x:f>
        <x:v>2</x:v>
      </x:c>
      <x:c r="S17" s="16" t="n">
        <x:f>SUMIF('Family Allocation'!$B$5:$B$52,A17,'Family Allocation'!$T$5:$T$52)</x:f>
        <x:v>10</x:v>
      </x:c>
      <x:c r="T17" s="16" t="n">
        <x:f>SUMIF('Family Allocation'!$B$5:$B$52,A17,'Family Allocation'!$U$5:$U$52)</x:f>
        <x:v>8</x:v>
      </x:c>
    </x:row>
    <x:row r="18" ht="48" hidden="0" customHeight="1">
      <x:c r="A18" s="16" t="str">
        <x:v>LF-R1</x:v>
      </x:c>
      <x:c r="B18" s="16" t="str">
        <x:v>MS-LF</x:v>
      </x:c>
      <x:c r="C18" s="16" t="str">
        <x:v>Strategic and maritime production</x:v>
      </x:c>
      <x:c r="D18" s="16" t="n">
        <x:f>COUNTIF('Family Allocation'!$B$5:$B$52,A18)</x:f>
        <x:v>1</x:v>
      </x:c>
      <x:c r="E18" s="16" t="n">
        <x:f>SUMIF('Family Allocation'!$B$5:$B$52,A18,'Family Allocation'!$G$5:$G$52)</x:f>
        <x:v>28</x:v>
      </x:c>
      <x:c r="F18" s="16" t="n">
        <x:f>SUMIF('Family Allocation'!$B$5:$B$52,A18,'Family Allocation'!$H$5:$H$52)</x:f>
        <x:v>65</x:v>
      </x:c>
      <x:c r="G18" s="16" t="n">
        <x:f>SUMIF('Family Allocation'!$B$5:$B$52,A18,'Family Allocation'!$I$5:$I$52)</x:f>
        <x:v>175500</x:v>
      </x:c>
      <x:c r="H18" s="19" t="n">
        <x:f>SUMIF('Family Allocation'!$B$5:$B$52,A18,'Family Allocation'!$J$5:$J$52)</x:f>
        <x:v>97.5</x:v>
      </x:c>
      <x:c r="I18" s="19" t="n">
        <x:f>SUMIF('Family Allocation'!$B$5:$B$52,A18,'Family Allocation'!$K$5:$K$52)</x:f>
        <x:v>5.599999999999999</x:v>
      </x:c>
      <x:c r="J18" s="18" t="n">
        <x:f>SUMPRODUCT(('Family Allocation'!$B$5:$B$52=A18)*'Family Allocation'!$F$5:$F$52*'Family Allocation'!$G$5:$G$52)/E18</x:f>
        <x:v>0.8</x:v>
      </x:c>
      <x:c r="K18" s="16" t="n">
        <x:f>SUMIF('Family Allocation'!$B$5:$B$52,A18,'Family Allocation'!$L$5:$L$52)</x:f>
        <x:v>2</x:v>
      </x:c>
      <x:c r="L18" s="16" t="n">
        <x:f>SUMIF('Family Allocation'!$B$5:$B$52,A18,'Family Allocation'!$M$5:$M$52)</x:f>
        <x:v>4</x:v>
      </x:c>
      <x:c r="M18" s="16" t="n">
        <x:f>SUMIF('Family Allocation'!$B$5:$B$52,A18,'Family Allocation'!$N$5:$N$52)</x:f>
        <x:v>4</x:v>
      </x:c>
      <x:c r="N18" s="16" t="n">
        <x:f>SUMIF('Family Allocation'!$B$5:$B$52,A18,'Family Allocation'!$O$5:$O$52)</x:f>
        <x:v>1</x:v>
      </x:c>
      <x:c r="O18" s="16" t="n">
        <x:f>SUMIF('Family Allocation'!$B$5:$B$52,A18,'Family Allocation'!$P$5:$P$52)</x:f>
        <x:v>2</x:v>
      </x:c>
      <x:c r="P18" s="16" t="n">
        <x:f>SUMIF('Family Allocation'!$B$5:$B$52,A18,'Family Allocation'!$Q$5:$Q$52)</x:f>
        <x:v>2</x:v>
      </x:c>
      <x:c r="Q18" s="16" t="n">
        <x:f>SUMIF('Family Allocation'!$B$5:$B$52,A18,'Family Allocation'!$R$5:$R$52)</x:f>
        <x:v>1</x:v>
      </x:c>
      <x:c r="R18" s="16" t="n">
        <x:f>SUMIF('Family Allocation'!$B$5:$B$52,A18,'Family Allocation'!$S$5:$S$52)</x:f>
        <x:v>4</x:v>
      </x:c>
      <x:c r="S18" s="16" t="n">
        <x:f>SUMIF('Family Allocation'!$B$5:$B$52,A18,'Family Allocation'!$T$5:$T$52)</x:f>
        <x:v>4</x:v>
      </x:c>
      <x:c r="T18" s="16" t="n">
        <x:f>SUMIF('Family Allocation'!$B$5:$B$52,A18,'Family Allocation'!$U$5:$U$52)</x:f>
        <x:v>4</x:v>
      </x:c>
    </x:row>
    <x:row r="19" ht="48" hidden="0" customHeight="1">
      <x:c r="A19" s="16" t="str">
        <x:v>LF-R2</x:v>
      </x:c>
      <x:c r="B19" s="16" t="str">
        <x:v>MS-LF</x:v>
      </x:c>
      <x:c r="C19" s="16" t="str">
        <x:v>Water and wastewater at point of use</x:v>
      </x:c>
      <x:c r="D19" s="16" t="n">
        <x:f>COUNTIF('Family Allocation'!$B$5:$B$52,A19)</x:f>
        <x:v>1</x:v>
      </x:c>
      <x:c r="E19" s="16" t="n">
        <x:f>SUMIF('Family Allocation'!$B$5:$B$52,A19,'Family Allocation'!$G$5:$G$52)</x:f>
        <x:v>54</x:v>
      </x:c>
      <x:c r="F19" s="16" t="n">
        <x:f>SUMIF('Family Allocation'!$B$5:$B$52,A19,'Family Allocation'!$H$5:$H$52)</x:f>
        <x:v>116</x:v>
      </x:c>
      <x:c r="G19" s="16" t="n">
        <x:f>SUMIF('Family Allocation'!$B$5:$B$52,A19,'Family Allocation'!$I$5:$I$52)</x:f>
        <x:v>737760</x:v>
      </x:c>
      <x:c r="H19" s="19" t="n">
        <x:f>SUMIF('Family Allocation'!$B$5:$B$52,A19,'Family Allocation'!$J$5:$J$52)</x:f>
        <x:v>174</x:v>
      </x:c>
      <x:c r="I19" s="19" t="n">
        <x:f>SUMIF('Family Allocation'!$B$5:$B$52,A19,'Family Allocation'!$K$5:$K$52)</x:f>
        <x:v>10.799999999999997</x:v>
      </x:c>
      <x:c r="J19" s="18" t="n">
        <x:f>SUMPRODUCT(('Family Allocation'!$B$5:$B$52=A19)*'Family Allocation'!$F$5:$F$52*'Family Allocation'!$G$5:$G$52)/E19</x:f>
        <x:v>0.8</x:v>
      </x:c>
      <x:c r="K19" s="16" t="n">
        <x:f>SUMIF('Family Allocation'!$B$5:$B$52,A19,'Family Allocation'!$L$5:$L$52)</x:f>
        <x:v>6</x:v>
      </x:c>
      <x:c r="L19" s="16" t="n">
        <x:f>SUMIF('Family Allocation'!$B$5:$B$52,A19,'Family Allocation'!$M$5:$M$52)</x:f>
        <x:v>6</x:v>
      </x:c>
      <x:c r="M19" s="16" t="n">
        <x:f>SUMIF('Family Allocation'!$B$5:$B$52,A19,'Family Allocation'!$N$5:$N$52)</x:f>
        <x:v>8</x:v>
      </x:c>
      <x:c r="N19" s="16" t="n">
        <x:f>SUMIF('Family Allocation'!$B$5:$B$52,A19,'Family Allocation'!$O$5:$O$52)</x:f>
        <x:v>2</x:v>
      </x:c>
      <x:c r="O19" s="16" t="n">
        <x:f>SUMIF('Family Allocation'!$B$5:$B$52,A19,'Family Allocation'!$P$5:$P$52)</x:f>
        <x:v>2</x:v>
      </x:c>
      <x:c r="P19" s="16" t="n">
        <x:f>SUMIF('Family Allocation'!$B$5:$B$52,A19,'Family Allocation'!$Q$5:$Q$52)</x:f>
        <x:v>4</x:v>
      </x:c>
      <x:c r="Q19" s="16" t="n">
        <x:f>SUMIF('Family Allocation'!$B$5:$B$52,A19,'Family Allocation'!$R$5:$R$52)</x:f>
        <x:v>3</x:v>
      </x:c>
      <x:c r="R19" s="16" t="n">
        <x:f>SUMIF('Family Allocation'!$B$5:$B$52,A19,'Family Allocation'!$S$5:$S$52)</x:f>
        <x:v>8</x:v>
      </x:c>
      <x:c r="S19" s="16" t="n">
        <x:f>SUMIF('Family Allocation'!$B$5:$B$52,A19,'Family Allocation'!$T$5:$T$52)</x:f>
        <x:v>8</x:v>
      </x:c>
      <x:c r="T19" s="16" t="n">
        <x:f>SUMIF('Family Allocation'!$B$5:$B$52,A19,'Family Allocation'!$U$5:$U$52)</x:f>
        <x:v>7</x:v>
      </x:c>
    </x:row>
    <x:row r="20" ht="24" hidden="0" customHeight="1">
      <x:c r="A20" s="16" t="str">
        <x:v>LF-R3</x:v>
      </x:c>
      <x:c r="B20" s="16" t="str">
        <x:v>MS-LF</x:v>
      </x:c>
      <x:c r="C20" s="16" t="str">
        <x:v>Local power</x:v>
      </x:c>
      <x:c r="D20" s="16" t="n">
        <x:f>COUNTIF('Family Allocation'!$B$5:$B$52,A20)</x:f>
        <x:v>1</x:v>
      </x:c>
      <x:c r="E20" s="16" t="n">
        <x:f>SUMIF('Family Allocation'!$B$5:$B$52,A20,'Family Allocation'!$G$5:$G$52)</x:f>
        <x:v>63</x:v>
      </x:c>
      <x:c r="F20" s="16" t="n">
        <x:f>SUMIF('Family Allocation'!$B$5:$B$52,A20,'Family Allocation'!$H$5:$H$52)</x:f>
        <x:v>135</x:v>
      </x:c>
      <x:c r="G20" s="16" t="n">
        <x:f>SUMIF('Family Allocation'!$B$5:$B$52,A20,'Family Allocation'!$I$5:$I$52)</x:f>
        <x:v>891000</x:v>
      </x:c>
      <x:c r="H20" s="19" t="n">
        <x:f>SUMIF('Family Allocation'!$B$5:$B$52,A20,'Family Allocation'!$J$5:$J$52)</x:f>
        <x:v>270</x:v>
      </x:c>
      <x:c r="I20" s="19" t="n">
        <x:f>SUMIF('Family Allocation'!$B$5:$B$52,A20,'Family Allocation'!$K$5:$K$52)</x:f>
        <x:v>12.599999999999998</x:v>
      </x:c>
      <x:c r="J20" s="18" t="n">
        <x:f>SUMPRODUCT(('Family Allocation'!$B$5:$B$52=A20)*'Family Allocation'!$F$5:$F$52*'Family Allocation'!$G$5:$G$52)/E20</x:f>
        <x:v>0.8</x:v>
      </x:c>
      <x:c r="K20" s="16" t="n">
        <x:f>SUMIF('Family Allocation'!$B$5:$B$52,A20,'Family Allocation'!$L$5:$L$52)</x:f>
        <x:v>8</x:v>
      </x:c>
      <x:c r="L20" s="16" t="n">
        <x:f>SUMIF('Family Allocation'!$B$5:$B$52,A20,'Family Allocation'!$M$5:$M$52)</x:f>
        <x:v>6</x:v>
      </x:c>
      <x:c r="M20" s="16" t="n">
        <x:f>SUMIF('Family Allocation'!$B$5:$B$52,A20,'Family Allocation'!$N$5:$N$52)</x:f>
        <x:v>10</x:v>
      </x:c>
      <x:c r="N20" s="16" t="n">
        <x:f>SUMIF('Family Allocation'!$B$5:$B$52,A20,'Family Allocation'!$O$5:$O$52)</x:f>
        <x:v>3</x:v>
      </x:c>
      <x:c r="O20" s="16" t="n">
        <x:f>SUMIF('Family Allocation'!$B$5:$B$52,A20,'Family Allocation'!$P$5:$P$52)</x:f>
        <x:v>6</x:v>
      </x:c>
      <x:c r="P20" s="16" t="n">
        <x:f>SUMIF('Family Allocation'!$B$5:$B$52,A20,'Family Allocation'!$Q$5:$Q$52)</x:f>
        <x:v>5</x:v>
      </x:c>
      <x:c r="Q20" s="16" t="n">
        <x:f>SUMIF('Family Allocation'!$B$5:$B$52,A20,'Family Allocation'!$R$5:$R$52)</x:f>
        <x:v>4</x:v>
      </x:c>
      <x:c r="R20" s="16" t="n">
        <x:f>SUMIF('Family Allocation'!$B$5:$B$52,A20,'Family Allocation'!$S$5:$S$52)</x:f>
        <x:v>6</x:v>
      </x:c>
      <x:c r="S20" s="16" t="n">
        <x:f>SUMIF('Family Allocation'!$B$5:$B$52,A20,'Family Allocation'!$T$5:$T$52)</x:f>
        <x:v>8</x:v>
      </x:c>
      <x:c r="T20" s="16" t="n">
        <x:f>SUMIF('Family Allocation'!$B$5:$B$52,A20,'Family Allocation'!$U$5:$U$52)</x:f>
        <x:v>7</x:v>
      </x:c>
    </x:row>
    <x:row r="21" ht="15" hidden="0" customHeight="1">
      <x:c r="A21" s="16" t="str">
        <x:v>LF-R4</x:v>
      </x:c>
      <x:c r="B21" s="16" t="str">
        <x:v>MS-LF</x:v>
      </x:c>
      <x:c r="C21" s="16" t="str">
        <x:v>Grid bridge</x:v>
      </x:c>
      <x:c r="D21" s="16" t="n">
        <x:f>COUNTIF('Family Allocation'!$B$5:$B$52,A21)</x:f>
        <x:v>1</x:v>
      </x:c>
      <x:c r="E21" s="16" t="n">
        <x:f>SUMIF('Family Allocation'!$B$5:$B$52,A21,'Family Allocation'!$G$5:$G$52)</x:f>
        <x:v>48</x:v>
      </x:c>
      <x:c r="F21" s="16" t="n">
        <x:f>SUMIF('Family Allocation'!$B$5:$B$52,A21,'Family Allocation'!$H$5:$H$52)</x:f>
        <x:v>103</x:v>
      </x:c>
      <x:c r="G21" s="16" t="n">
        <x:f>SUMIF('Family Allocation'!$B$5:$B$52,A21,'Family Allocation'!$I$5:$I$52)</x:f>
        <x:v>432600</x:v>
      </x:c>
      <x:c r="H21" s="19" t="n">
        <x:f>SUMIF('Family Allocation'!$B$5:$B$52,A21,'Family Allocation'!$J$5:$J$52)</x:f>
        <x:v>154.5</x:v>
      </x:c>
      <x:c r="I21" s="19" t="n">
        <x:f>SUMIF('Family Allocation'!$B$5:$B$52,A21,'Family Allocation'!$K$5:$K$52)</x:f>
        <x:v>24</x:v>
      </x:c>
      <x:c r="J21" s="18" t="n">
        <x:f>SUMPRODUCT(('Family Allocation'!$B$5:$B$52=A21)*'Family Allocation'!$F$5:$F$52*'Family Allocation'!$G$5:$G$52)/E21</x:f>
        <x:v>0.5</x:v>
      </x:c>
      <x:c r="K21" s="16" t="n">
        <x:f>SUMIF('Family Allocation'!$B$5:$B$52,A21,'Family Allocation'!$L$5:$L$52)</x:f>
        <x:v>6</x:v>
      </x:c>
      <x:c r="L21" s="16" t="n">
        <x:f>SUMIF('Family Allocation'!$B$5:$B$52,A21,'Family Allocation'!$M$5:$M$52)</x:f>
        <x:v>5</x:v>
      </x:c>
      <x:c r="M21" s="16" t="n">
        <x:f>SUMIF('Family Allocation'!$B$5:$B$52,A21,'Family Allocation'!$N$5:$N$52)</x:f>
        <x:v>8</x:v>
      </x:c>
      <x:c r="N21" s="16" t="n">
        <x:f>SUMIF('Family Allocation'!$B$5:$B$52,A21,'Family Allocation'!$O$5:$O$52)</x:f>
        <x:v>2</x:v>
      </x:c>
      <x:c r="O21" s="16" t="n">
        <x:f>SUMIF('Family Allocation'!$B$5:$B$52,A21,'Family Allocation'!$P$5:$P$52)</x:f>
        <x:v>5</x:v>
      </x:c>
      <x:c r="P21" s="16" t="n">
        <x:f>SUMIF('Family Allocation'!$B$5:$B$52,A21,'Family Allocation'!$Q$5:$Q$52)</x:f>
        <x:v>4</x:v>
      </x:c>
      <x:c r="Q21" s="16" t="n">
        <x:f>SUMIF('Family Allocation'!$B$5:$B$52,A21,'Family Allocation'!$R$5:$R$52)</x:f>
        <x:v>3</x:v>
      </x:c>
      <x:c r="R21" s="16" t="n">
        <x:f>SUMIF('Family Allocation'!$B$5:$B$52,A21,'Family Allocation'!$S$5:$S$52)</x:f>
        <x:v>4</x:v>
      </x:c>
      <x:c r="S21" s="16" t="n">
        <x:f>SUMIF('Family Allocation'!$B$5:$B$52,A21,'Family Allocation'!$T$5:$T$52)</x:f>
        <x:v>6</x:v>
      </x:c>
      <x:c r="T21" s="16" t="n">
        <x:f>SUMIF('Family Allocation'!$B$5:$B$52,A21,'Family Allocation'!$U$5:$U$52)</x:f>
        <x:v>5</x:v>
      </x:c>
    </x:row>
    <x:row r="22" ht="24" hidden="0" customHeight="1">
      <x:c r="A22" s="16" t="str">
        <x:v>LF-R5</x:v>
      </x:c>
      <x:c r="B22" s="16" t="str">
        <x:v>MS-LF</x:v>
      </x:c>
      <x:c r="C22" s="16" t="str">
        <x:v>Thermal safety</x:v>
      </x:c>
      <x:c r="D22" s="16" t="n">
        <x:f>COUNTIF('Family Allocation'!$B$5:$B$52,A22)</x:f>
        <x:v>1</x:v>
      </x:c>
      <x:c r="E22" s="16" t="n">
        <x:f>SUMIF('Family Allocation'!$B$5:$B$52,A22,'Family Allocation'!$G$5:$G$52)</x:f>
        <x:v>63</x:v>
      </x:c>
      <x:c r="F22" s="16" t="n">
        <x:f>SUMIF('Family Allocation'!$B$5:$B$52,A22,'Family Allocation'!$H$5:$H$52)</x:f>
        <x:v>135</x:v>
      </x:c>
      <x:c r="G22" s="16" t="n">
        <x:f>SUMIF('Family Allocation'!$B$5:$B$52,A22,'Family Allocation'!$I$5:$I$52)</x:f>
        <x:v>101250</x:v>
      </x:c>
      <x:c r="H22" s="19" t="n">
        <x:f>SUMIF('Family Allocation'!$B$5:$B$52,A22,'Family Allocation'!$J$5:$J$52)</x:f>
        <x:v>108</x:v>
      </x:c>
      <x:c r="I22" s="19" t="n">
        <x:f>SUMIF('Family Allocation'!$B$5:$B$52,A22,'Family Allocation'!$K$5:$K$52)</x:f>
        <x:v>34.650000000000006</x:v>
      </x:c>
      <x:c r="J22" s="18" t="n">
        <x:f>SUMPRODUCT(('Family Allocation'!$B$5:$B$52=A22)*'Family Allocation'!$F$5:$F$52*'Family Allocation'!$G$5:$G$52)/E22</x:f>
        <x:v>0.45</x:v>
      </x:c>
      <x:c r="K22" s="16" t="n">
        <x:f>SUMIF('Family Allocation'!$B$5:$B$52,A22,'Family Allocation'!$L$5:$L$52)</x:f>
        <x:v>12</x:v>
      </x:c>
      <x:c r="L22" s="16" t="n">
        <x:f>SUMIF('Family Allocation'!$B$5:$B$52,A22,'Family Allocation'!$M$5:$M$52)</x:f>
        <x:v>6</x:v>
      </x:c>
      <x:c r="M22" s="16" t="n">
        <x:f>SUMIF('Family Allocation'!$B$5:$B$52,A22,'Family Allocation'!$N$5:$N$52)</x:f>
        <x:v>8</x:v>
      </x:c>
      <x:c r="N22" s="16" t="n">
        <x:f>SUMIF('Family Allocation'!$B$5:$B$52,A22,'Family Allocation'!$O$5:$O$52)</x:f>
        <x:v>4</x:v>
      </x:c>
      <x:c r="O22" s="16" t="n">
        <x:f>SUMIF('Family Allocation'!$B$5:$B$52,A22,'Family Allocation'!$P$5:$P$52)</x:f>
        <x:v>10</x:v>
      </x:c>
      <x:c r="P22" s="16" t="n">
        <x:f>SUMIF('Family Allocation'!$B$5:$B$52,A22,'Family Allocation'!$Q$5:$Q$52)</x:f>
        <x:v>3</x:v>
      </x:c>
      <x:c r="Q22" s="16" t="n">
        <x:f>SUMIF('Family Allocation'!$B$5:$B$52,A22,'Family Allocation'!$R$5:$R$52)</x:f>
        <x:v>4</x:v>
      </x:c>
      <x:c r="R22" s="16" t="n">
        <x:f>SUMIF('Family Allocation'!$B$5:$B$52,A22,'Family Allocation'!$S$5:$S$52)</x:f>
        <x:v>5</x:v>
      </x:c>
      <x:c r="S22" s="16" t="n">
        <x:f>SUMIF('Family Allocation'!$B$5:$B$52,A22,'Family Allocation'!$T$5:$T$52)</x:f>
        <x:v>6</x:v>
      </x:c>
      <x:c r="T22" s="16" t="n">
        <x:f>SUMIF('Family Allocation'!$B$5:$B$52,A22,'Family Allocation'!$U$5:$U$52)</x:f>
        <x:v>5</x:v>
      </x:c>
    </x:row>
    <x:row r="23" ht="36" hidden="0" customHeight="1">
      <x:c r="A23" s="16" t="str">
        <x:v>HU-R1</x:v>
      </x:c>
      <x:c r="B23" s="16" t="str">
        <x:v>MS-HU</x:v>
      </x:c>
      <x:c r="C23" s="16" t="str">
        <x:v>Local continuity support</x:v>
      </x:c>
      <x:c r="D23" s="16" t="n">
        <x:f>COUNTIF('Family Allocation'!$B$5:$B$52,A23)</x:f>
        <x:v>4</x:v>
      </x:c>
      <x:c r="E23" s="16" t="n">
        <x:f>SUMIF('Family Allocation'!$B$5:$B$52,A23,'Family Allocation'!$G$5:$G$52)</x:f>
        <x:v>333</x:v>
      </x:c>
      <x:c r="F23" s="16" t="n">
        <x:f>SUMIF('Family Allocation'!$B$5:$B$52,A23,'Family Allocation'!$H$5:$H$52)</x:f>
        <x:v>703</x:v>
      </x:c>
      <x:c r="G23" s="16" t="n">
        <x:f>SUMIF('Family Allocation'!$B$5:$B$52,A23,'Family Allocation'!$I$5:$I$52)</x:f>
        <x:v>810250</x:v>
      </x:c>
      <x:c r="H23" s="19" t="n">
        <x:f>SUMIF('Family Allocation'!$B$5:$B$52,A23,'Family Allocation'!$J$5:$J$52)</x:f>
        <x:v>543.4</x:v>
      </x:c>
      <x:c r="I23" s="19" t="n">
        <x:f>SUMIF('Family Allocation'!$B$5:$B$52,A23,'Family Allocation'!$K$5:$K$52)</x:f>
        <x:v>145.35</x:v>
      </x:c>
      <x:c r="J23" s="18" t="n">
        <x:f>SUMPRODUCT(('Family Allocation'!$B$5:$B$52=A23)*'Family Allocation'!$F$5:$F$52*'Family Allocation'!$G$5:$G$52)/E23</x:f>
        <x:v>0.5635135135135135</x:v>
      </x:c>
      <x:c r="K23" s="16" t="n">
        <x:f>SUMIF('Family Allocation'!$B$5:$B$52,A23,'Family Allocation'!$L$5:$L$52)</x:f>
        <x:v>32</x:v>
      </x:c>
      <x:c r="L23" s="16" t="n">
        <x:f>SUMIF('Family Allocation'!$B$5:$B$52,A23,'Family Allocation'!$M$5:$M$52)</x:f>
        <x:v>40</x:v>
      </x:c>
      <x:c r="M23" s="16" t="n">
        <x:f>SUMIF('Family Allocation'!$B$5:$B$52,A23,'Family Allocation'!$N$5:$N$52)</x:f>
        <x:v>47</x:v>
      </x:c>
      <x:c r="N23" s="16" t="n">
        <x:f>SUMIF('Family Allocation'!$B$5:$B$52,A23,'Family Allocation'!$O$5:$O$52)</x:f>
        <x:v>15</x:v>
      </x:c>
      <x:c r="O23" s="16" t="n">
        <x:f>SUMIF('Family Allocation'!$B$5:$B$52,A23,'Family Allocation'!$P$5:$P$52)</x:f>
        <x:v>28</x:v>
      </x:c>
      <x:c r="P23" s="16" t="n">
        <x:f>SUMIF('Family Allocation'!$B$5:$B$52,A23,'Family Allocation'!$Q$5:$Q$52)</x:f>
        <x:v>24</x:v>
      </x:c>
      <x:c r="Q23" s="16" t="n">
        <x:f>SUMIF('Family Allocation'!$B$5:$B$52,A23,'Family Allocation'!$R$5:$R$52)</x:f>
        <x:v>29</x:v>
      </x:c>
      <x:c r="R23" s="16" t="n">
        <x:f>SUMIF('Family Allocation'!$B$5:$B$52,A23,'Family Allocation'!$S$5:$S$52)</x:f>
        <x:v>26</x:v>
      </x:c>
      <x:c r="S23" s="16" t="n">
        <x:f>SUMIF('Family Allocation'!$B$5:$B$52,A23,'Family Allocation'!$T$5:$T$52)</x:f>
        <x:v>44</x:v>
      </x:c>
      <x:c r="T23" s="16" t="n">
        <x:f>SUMIF('Family Allocation'!$B$5:$B$52,A23,'Family Allocation'!$U$5:$U$52)</x:f>
        <x:v>48</x:v>
      </x:c>
    </x:row>
    <x:row r="24" ht="24" hidden="0" customHeight="1">
      <x:c r="A24" s="16" t="str">
        <x:v>HU-R2</x:v>
      </x:c>
      <x:c r="B24" s="16" t="str">
        <x:v>MS-HU</x:v>
      </x:c>
      <x:c r="C24" s="16" t="str">
        <x:v>Definitive care</x:v>
      </x:c>
      <x:c r="D24" s="16" t="n">
        <x:f>COUNTIF('Family Allocation'!$B$5:$B$52,A24)</x:f>
        <x:v>2</x:v>
      </x:c>
      <x:c r="E24" s="16" t="n">
        <x:f>SUMIF('Family Allocation'!$B$5:$B$52,A24,'Family Allocation'!$G$5:$G$52)</x:f>
        <x:v>77</x:v>
      </x:c>
      <x:c r="F24" s="16" t="n">
        <x:f>SUMIF('Family Allocation'!$B$5:$B$52,A24,'Family Allocation'!$H$5:$H$52)</x:f>
        <x:v>179</x:v>
      </x:c>
      <x:c r="G24" s="16" t="n">
        <x:f>SUMIF('Family Allocation'!$B$5:$B$52,A24,'Family Allocation'!$I$5:$I$52)</x:f>
        <x:v>431460</x:v>
      </x:c>
      <x:c r="H24" s="19" t="n">
        <x:f>SUMIF('Family Allocation'!$B$5:$B$52,A24,'Family Allocation'!$J$5:$J$52)</x:f>
        <x:v>382.5</x:v>
      </x:c>
      <x:c r="I24" s="19" t="n">
        <x:f>SUMIF('Family Allocation'!$B$5:$B$52,A24,'Family Allocation'!$K$5:$K$52)</x:f>
        <x:v>40.95</x:v>
      </x:c>
      <x:c r="J24" s="18" t="n">
        <x:f>SUMPRODUCT(('Family Allocation'!$B$5:$B$52=A24)*'Family Allocation'!$F$5:$F$52*'Family Allocation'!$G$5:$G$52)/E24</x:f>
        <x:v>0.46818181818181814</x:v>
      </x:c>
      <x:c r="K24" s="16" t="n">
        <x:f>SUMIF('Family Allocation'!$B$5:$B$52,A24,'Family Allocation'!$L$5:$L$52)</x:f>
        <x:v>6</x:v>
      </x:c>
      <x:c r="L24" s="16" t="n">
        <x:f>SUMIF('Family Allocation'!$B$5:$B$52,A24,'Family Allocation'!$M$5:$M$52)</x:f>
        <x:v>8</x:v>
      </x:c>
      <x:c r="M24" s="16" t="n">
        <x:f>SUMIF('Family Allocation'!$B$5:$B$52,A24,'Family Allocation'!$N$5:$N$52)</x:f>
        <x:v>12</x:v>
      </x:c>
      <x:c r="N24" s="16" t="n">
        <x:f>SUMIF('Family Allocation'!$B$5:$B$52,A24,'Family Allocation'!$O$5:$O$52)</x:f>
        <x:v>5</x:v>
      </x:c>
      <x:c r="O24" s="16" t="n">
        <x:f>SUMIF('Family Allocation'!$B$5:$B$52,A24,'Family Allocation'!$P$5:$P$52)</x:f>
        <x:v>6</x:v>
      </x:c>
      <x:c r="P24" s="16" t="n">
        <x:f>SUMIF('Family Allocation'!$B$5:$B$52,A24,'Family Allocation'!$Q$5:$Q$52)</x:f>
        <x:v>5</x:v>
      </x:c>
      <x:c r="Q24" s="16" t="n">
        <x:f>SUMIF('Family Allocation'!$B$5:$B$52,A24,'Family Allocation'!$R$5:$R$52)</x:f>
        <x:v>8</x:v>
      </x:c>
      <x:c r="R24" s="16" t="n">
        <x:f>SUMIF('Family Allocation'!$B$5:$B$52,A24,'Family Allocation'!$S$5:$S$52)</x:f>
        <x:v>5</x:v>
      </x:c>
      <x:c r="S24" s="16" t="n">
        <x:f>SUMIF('Family Allocation'!$B$5:$B$52,A24,'Family Allocation'!$T$5:$T$52)</x:f>
        <x:v>12</x:v>
      </x:c>
      <x:c r="T24" s="16" t="n">
        <x:f>SUMIF('Family Allocation'!$B$5:$B$52,A24,'Family Allocation'!$U$5:$U$52)</x:f>
        <x:v>10</x:v>
      </x:c>
    </x:row>
    <x:row r="25" ht="36" hidden="0" customHeight="1">
      <x:c r="A25" s="16" t="str">
        <x:v>HU-R3</x:v>
      </x:c>
      <x:c r="B25" s="16" t="str">
        <x:v>MS-HU</x:v>
      </x:c>
      <x:c r="C25" s="16" t="str">
        <x:v>Patient regulation and transfer</x:v>
      </x:c>
      <x:c r="D25" s="16" t="n">
        <x:f>COUNTIF('Family Allocation'!$B$5:$B$52,A25)</x:f>
        <x:v>2</x:v>
      </x:c>
      <x:c r="E25" s="16" t="n">
        <x:f>SUMIF('Family Allocation'!$B$5:$B$52,A25,'Family Allocation'!$G$5:$G$52)</x:f>
        <x:v>80</x:v>
      </x:c>
      <x:c r="F25" s="16" t="n">
        <x:f>SUMIF('Family Allocation'!$B$5:$B$52,A25,'Family Allocation'!$H$5:$H$52)</x:f>
        <x:v>186</x:v>
      </x:c>
      <x:c r="G25" s="16" t="n">
        <x:f>SUMIF('Family Allocation'!$B$5:$B$52,A25,'Family Allocation'!$I$5:$I$52)</x:f>
        <x:v>239220</x:v>
      </x:c>
      <x:c r="H25" s="19" t="n">
        <x:f>SUMIF('Family Allocation'!$B$5:$B$52,A25,'Family Allocation'!$J$5:$J$52)</x:f>
        <x:v>294</x:v>
      </x:c>
      <x:c r="I25" s="19" t="n">
        <x:f>SUMIF('Family Allocation'!$B$5:$B$52,A25,'Family Allocation'!$K$5:$K$52)</x:f>
        <x:v>41.55</x:v>
      </x:c>
      <x:c r="J25" s="18" t="n">
        <x:f>SUMPRODUCT(('Family Allocation'!$B$5:$B$52=A25)*'Family Allocation'!$F$5:$F$52*'Family Allocation'!$G$5:$G$52)/E25</x:f>
        <x:v>0.480625</x:v>
      </x:c>
      <x:c r="K25" s="16" t="n">
        <x:f>SUMIF('Family Allocation'!$B$5:$B$52,A25,'Family Allocation'!$L$5:$L$52)</x:f>
        <x:v>6</x:v>
      </x:c>
      <x:c r="L25" s="16" t="n">
        <x:f>SUMIF('Family Allocation'!$B$5:$B$52,A25,'Family Allocation'!$M$5:$M$52)</x:f>
        <x:v>8</x:v>
      </x:c>
      <x:c r="M25" s="16" t="n">
        <x:f>SUMIF('Family Allocation'!$B$5:$B$52,A25,'Family Allocation'!$N$5:$N$52)</x:f>
        <x:v>13</x:v>
      </x:c>
      <x:c r="N25" s="16" t="n">
        <x:f>SUMIF('Family Allocation'!$B$5:$B$52,A25,'Family Allocation'!$O$5:$O$52)</x:f>
        <x:v>5</x:v>
      </x:c>
      <x:c r="O25" s="16" t="n">
        <x:f>SUMIF('Family Allocation'!$B$5:$B$52,A25,'Family Allocation'!$P$5:$P$52)</x:f>
        <x:v>7</x:v>
      </x:c>
      <x:c r="P25" s="16" t="n">
        <x:f>SUMIF('Family Allocation'!$B$5:$B$52,A25,'Family Allocation'!$Q$5:$Q$52)</x:f>
        <x:v>5</x:v>
      </x:c>
      <x:c r="Q25" s="16" t="n">
        <x:f>SUMIF('Family Allocation'!$B$5:$B$52,A25,'Family Allocation'!$R$5:$R$52)</x:f>
        <x:v>8</x:v>
      </x:c>
      <x:c r="R25" s="16" t="n">
        <x:f>SUMIF('Family Allocation'!$B$5:$B$52,A25,'Family Allocation'!$S$5:$S$52)</x:f>
        <x:v>5</x:v>
      </x:c>
      <x:c r="S25" s="16" t="n">
        <x:f>SUMIF('Family Allocation'!$B$5:$B$52,A25,'Family Allocation'!$T$5:$T$52)</x:f>
        <x:v>13</x:v>
      </x:c>
      <x:c r="T25" s="16" t="n">
        <x:f>SUMIF('Family Allocation'!$B$5:$B$52,A25,'Family Allocation'!$U$5:$U$52)</x:f>
        <x:v>10</x:v>
      </x:c>
    </x:row>
    <x:row r="26" ht="48" hidden="0" customHeight="1">
      <x:c r="A26" s="16" t="str">
        <x:v>HU-R4</x:v>
      </x:c>
      <x:c r="B26" s="16" t="str">
        <x:v>MS-HU</x:v>
      </x:c>
      <x:c r="C26" s="16" t="str">
        <x:v>Household relocation and reception</x:v>
      </x:c>
      <x:c r="D26" s="16" t="n">
        <x:f>COUNTIF('Family Allocation'!$B$5:$B$52,A26)</x:f>
        <x:v>6</x:v>
      </x:c>
      <x:c r="E26" s="16" t="n">
        <x:f>SUMIF('Family Allocation'!$B$5:$B$52,A26,'Family Allocation'!$G$5:$G$52)</x:f>
        <x:v>314</x:v>
      </x:c>
      <x:c r="F26" s="16" t="n">
        <x:f>SUMIF('Family Allocation'!$B$5:$B$52,A26,'Family Allocation'!$H$5:$H$52)</x:f>
        <x:v>702</x:v>
      </x:c>
      <x:c r="G26" s="16" t="n">
        <x:f>SUMIF('Family Allocation'!$B$5:$B$52,A26,'Family Allocation'!$I$5:$I$52)</x:f>
        <x:v>1445550</x:v>
      </x:c>
      <x:c r="H26" s="19" t="n">
        <x:f>SUMIF('Family Allocation'!$B$5:$B$52,A26,'Family Allocation'!$J$5:$J$52)</x:f>
        <x:v>1123.7</x:v>
      </x:c>
      <x:c r="I26" s="19" t="n">
        <x:f>SUMIF('Family Allocation'!$B$5:$B$52,A26,'Family Allocation'!$K$5:$K$52)</x:f>
        <x:v>144.75</x:v>
      </x:c>
      <x:c r="J26" s="18" t="n">
        <x:f>SUMPRODUCT(('Family Allocation'!$B$5:$B$52=A26)*'Family Allocation'!$F$5:$F$52*'Family Allocation'!$G$5:$G$52)/E26</x:f>
        <x:v>0.5390127388535032</x:v>
      </x:c>
      <x:c r="K26" s="16" t="n">
        <x:f>SUMIF('Family Allocation'!$B$5:$B$52,A26,'Family Allocation'!$L$5:$L$52)</x:f>
        <x:v>25</x:v>
      </x:c>
      <x:c r="L26" s="16" t="n">
        <x:f>SUMIF('Family Allocation'!$B$5:$B$52,A26,'Family Allocation'!$M$5:$M$52)</x:f>
        <x:v>37</x:v>
      </x:c>
      <x:c r="M26" s="16" t="n">
        <x:f>SUMIF('Family Allocation'!$B$5:$B$52,A26,'Family Allocation'!$N$5:$N$52)</x:f>
        <x:v>46</x:v>
      </x:c>
      <x:c r="N26" s="16" t="n">
        <x:f>SUMIF('Family Allocation'!$B$5:$B$52,A26,'Family Allocation'!$O$5:$O$52)</x:f>
        <x:v>13</x:v>
      </x:c>
      <x:c r="O26" s="16" t="n">
        <x:f>SUMIF('Family Allocation'!$B$5:$B$52,A26,'Family Allocation'!$P$5:$P$52)</x:f>
        <x:v>23</x:v>
      </x:c>
      <x:c r="P26" s="16" t="n">
        <x:f>SUMIF('Family Allocation'!$B$5:$B$52,A26,'Family Allocation'!$Q$5:$Q$52)</x:f>
        <x:v>22</x:v>
      </x:c>
      <x:c r="Q26" s="16" t="n">
        <x:f>SUMIF('Family Allocation'!$B$5:$B$52,A26,'Family Allocation'!$R$5:$R$52)</x:f>
        <x:v>29</x:v>
      </x:c>
      <x:c r="R26" s="16" t="n">
        <x:f>SUMIF('Family Allocation'!$B$5:$B$52,A26,'Family Allocation'!$S$5:$S$52)</x:f>
        <x:v>24</x:v>
      </x:c>
      <x:c r="S26" s="16" t="n">
        <x:f>SUMIF('Family Allocation'!$B$5:$B$52,A26,'Family Allocation'!$T$5:$T$52)</x:f>
        <x:v>45</x:v>
      </x:c>
      <x:c r="T26" s="16" t="n">
        <x:f>SUMIF('Family Allocation'!$B$5:$B$52,A26,'Family Allocation'!$U$5:$U$52)</x:f>
        <x:v>50</x:v>
      </x:c>
    </x:row>
    <x:row r="27" ht="36" hidden="0" customHeight="1">
      <x:c r="A27" s="16" t="str">
        <x:v>HU-R5</x:v>
      </x:c>
      <x:c r="B27" s="16" t="str">
        <x:v>MS-HU</x:v>
      </x:c>
      <x:c r="C27" s="16" t="str">
        <x:v>Workforce replacement</x:v>
      </x:c>
      <x:c r="D27" s="16" t="n">
        <x:f>COUNTIF('Family Allocation'!$B$5:$B$52,A27)</x:f>
        <x:v>1</x:v>
      </x:c>
      <x:c r="E27" s="16" t="n">
        <x:f>SUMIF('Family Allocation'!$B$5:$B$52,A27,'Family Allocation'!$G$5:$G$52)</x:f>
        <x:v>75</x:v>
      </x:c>
      <x:c r="F27" s="16" t="n">
        <x:f>SUMIF('Family Allocation'!$B$5:$B$52,A27,'Family Allocation'!$H$5:$H$52)</x:f>
        <x:v>174</x:v>
      </x:c>
      <x:c r="G27" s="16" t="n">
        <x:f>SUMIF('Family Allocation'!$B$5:$B$52,A27,'Family Allocation'!$I$5:$I$52)</x:f>
        <x:v>325380</x:v>
      </x:c>
      <x:c r="H27" s="19" t="n">
        <x:f>SUMIF('Family Allocation'!$B$5:$B$52,A27,'Family Allocation'!$J$5:$J$52)</x:f>
        <x:v>139.20000000000002</x:v>
      </x:c>
      <x:c r="I27" s="19" t="n">
        <x:f>SUMIF('Family Allocation'!$B$5:$B$52,A27,'Family Allocation'!$K$5:$K$52)</x:f>
        <x:v>41.25</x:v>
      </x:c>
      <x:c r="J27" s="18" t="n">
        <x:f>SUMPRODUCT(('Family Allocation'!$B$5:$B$52=A27)*'Family Allocation'!$F$5:$F$52*'Family Allocation'!$G$5:$G$52)/E27</x:f>
        <x:v>0.45</x:v>
      </x:c>
      <x:c r="K27" s="16" t="n">
        <x:f>SUMIF('Family Allocation'!$B$5:$B$52,A27,'Family Allocation'!$L$5:$L$52)</x:f>
        <x:v>8</x:v>
      </x:c>
      <x:c r="L27" s="16" t="n">
        <x:f>SUMIF('Family Allocation'!$B$5:$B$52,A27,'Family Allocation'!$M$5:$M$52)</x:f>
        <x:v>8</x:v>
      </x:c>
      <x:c r="M27" s="16" t="n">
        <x:f>SUMIF('Family Allocation'!$B$5:$B$52,A27,'Family Allocation'!$N$5:$N$52)</x:f>
        <x:v>10</x:v>
      </x:c>
      <x:c r="N27" s="16" t="n">
        <x:f>SUMIF('Family Allocation'!$B$5:$B$52,A27,'Family Allocation'!$O$5:$O$52)</x:f>
        <x:v>4</x:v>
      </x:c>
      <x:c r="O27" s="16" t="n">
        <x:f>SUMIF('Family Allocation'!$B$5:$B$52,A27,'Family Allocation'!$P$5:$P$52)</x:f>
        <x:v>8</x:v>
      </x:c>
      <x:c r="P27" s="16" t="n">
        <x:f>SUMIF('Family Allocation'!$B$5:$B$52,A27,'Family Allocation'!$Q$5:$Q$52)</x:f>
        <x:v>5</x:v>
      </x:c>
      <x:c r="Q27" s="16" t="n">
        <x:f>SUMIF('Family Allocation'!$B$5:$B$52,A27,'Family Allocation'!$R$5:$R$52)</x:f>
        <x:v>6</x:v>
      </x:c>
      <x:c r="R27" s="16" t="n">
        <x:f>SUMIF('Family Allocation'!$B$5:$B$52,A27,'Family Allocation'!$S$5:$S$52)</x:f>
        <x:v>6</x:v>
      </x:c>
      <x:c r="S27" s="16" t="n">
        <x:f>SUMIF('Family Allocation'!$B$5:$B$52,A27,'Family Allocation'!$T$5:$T$52)</x:f>
        <x:v>10</x:v>
      </x:c>
      <x:c r="T27" s="16" t="n">
        <x:f>SUMIF('Family Allocation'!$B$5:$B$52,A27,'Family Allocation'!$U$5:$U$52)</x:f>
        <x:v>10</x:v>
      </x:c>
    </x:row>
    <x:row r="28" ht="60" hidden="0" customHeight="1">
      <x:c r="A28" s="16" t="str">
        <x:v>RT-R1</x:v>
      </x:c>
      <x:c r="B28" s="16" t="str">
        <x:v>MS-RT</x:v>
      </x:c>
      <x:c r="C28" s="16" t="str">
        <x:v>Campaign, ocean and offshore sustainment</x:v>
      </x:c>
      <x:c r="D28" s="16" t="n">
        <x:f>COUNTIF('Family Allocation'!$B$5:$B$52,A28)</x:f>
        <x:v>3</x:v>
      </x:c>
      <x:c r="E28" s="16" t="n">
        <x:f>SUMIF('Family Allocation'!$B$5:$B$52,A28,'Family Allocation'!$G$5:$G$52)</x:f>
        <x:v>95</x:v>
      </x:c>
      <x:c r="F28" s="16" t="n">
        <x:f>SUMIF('Family Allocation'!$B$5:$B$52,A28,'Family Allocation'!$H$5:$H$52)</x:f>
        <x:v>208</x:v>
      </x:c>
      <x:c r="G28" s="16" t="n">
        <x:f>SUMIF('Family Allocation'!$B$5:$B$52,A28,'Family Allocation'!$I$5:$I$52)</x:f>
        <x:v>433200</x:v>
      </x:c>
      <x:c r="H28" s="19" t="n">
        <x:f>SUMIF('Family Allocation'!$B$5:$B$52,A28,'Family Allocation'!$J$5:$J$52)</x:f>
        <x:v>1280</x:v>
      </x:c>
      <x:c r="I28" s="19" t="n">
        <x:f>SUMIF('Family Allocation'!$B$5:$B$52,A28,'Family Allocation'!$K$5:$K$52)</x:f>
        <x:v>52.25</x:v>
      </x:c>
      <x:c r="J28" s="18" t="n">
        <x:f>SUMPRODUCT(('Family Allocation'!$B$5:$B$52=A28)*'Family Allocation'!$F$5:$F$52*'Family Allocation'!$G$5:$G$52)/E28</x:f>
        <x:v>0.45</x:v>
      </x:c>
      <x:c r="K28" s="16" t="n">
        <x:f>SUMIF('Family Allocation'!$B$5:$B$52,A28,'Family Allocation'!$L$5:$L$52)</x:f>
        <x:v>6</x:v>
      </x:c>
      <x:c r="L28" s="16" t="n">
        <x:f>SUMIF('Family Allocation'!$B$5:$B$52,A28,'Family Allocation'!$M$5:$M$52)</x:f>
        <x:v>11</x:v>
      </x:c>
      <x:c r="M28" s="16" t="n">
        <x:f>SUMIF('Family Allocation'!$B$5:$B$52,A28,'Family Allocation'!$N$5:$N$52)</x:f>
        <x:v>15</x:v>
      </x:c>
      <x:c r="N28" s="16" t="n">
        <x:f>SUMIF('Family Allocation'!$B$5:$B$52,A28,'Family Allocation'!$O$5:$O$52)</x:f>
        <x:v>3</x:v>
      </x:c>
      <x:c r="O28" s="16" t="n">
        <x:f>SUMIF('Family Allocation'!$B$5:$B$52,A28,'Family Allocation'!$P$5:$P$52)</x:f>
        <x:v>3</x:v>
      </x:c>
      <x:c r="P28" s="16" t="n">
        <x:f>SUMIF('Family Allocation'!$B$5:$B$52,A28,'Family Allocation'!$Q$5:$Q$52)</x:f>
        <x:v>6</x:v>
      </x:c>
      <x:c r="Q28" s="16" t="n">
        <x:f>SUMIF('Family Allocation'!$B$5:$B$52,A28,'Family Allocation'!$R$5:$R$52)</x:f>
        <x:v>6</x:v>
      </x:c>
      <x:c r="R28" s="16" t="n">
        <x:f>SUMIF('Family Allocation'!$B$5:$B$52,A28,'Family Allocation'!$S$5:$S$52)</x:f>
        <x:v>10</x:v>
      </x:c>
      <x:c r="S28" s="16" t="n">
        <x:f>SUMIF('Family Allocation'!$B$5:$B$52,A28,'Family Allocation'!$T$5:$T$52)</x:f>
        <x:v>18</x:v>
      </x:c>
      <x:c r="T28" s="16" t="n">
        <x:f>SUMIF('Family Allocation'!$B$5:$B$52,A28,'Family Allocation'!$U$5:$U$52)</x:f>
        <x:v>17</x:v>
      </x:c>
    </x:row>
    <x:row r="29" ht="48" hidden="0" customHeight="1">
      <x:c r="A29" s="16" t="str">
        <x:v>RT-R2</x:v>
      </x:c>
      <x:c r="B29" s="16" t="str">
        <x:v>MS-RT</x:v>
      </x:c>
      <x:c r="C29" s="16" t="str">
        <x:v>Replacement and reconstitution</x:v>
      </x:c>
      <x:c r="D29" s="16" t="n">
        <x:f>COUNTIF('Family Allocation'!$B$5:$B$52,A29)</x:f>
        <x:v>1</x:v>
      </x:c>
      <x:c r="E29" s="16" t="n">
        <x:f>SUMIF('Family Allocation'!$B$5:$B$52,A29,'Family Allocation'!$G$5:$G$52)</x:f>
        <x:v>33</x:v>
      </x:c>
      <x:c r="F29" s="16" t="n">
        <x:f>SUMIF('Family Allocation'!$B$5:$B$52,A29,'Family Allocation'!$H$5:$H$52)</x:f>
        <x:v>64</x:v>
      </x:c>
      <x:c r="G29" s="16" t="n">
        <x:f>SUMIF('Family Allocation'!$B$5:$B$52,A29,'Family Allocation'!$I$5:$I$52)</x:f>
        <x:v>64000</x:v>
      </x:c>
      <x:c r="H29" s="19" t="n">
        <x:f>SUMIF('Family Allocation'!$B$5:$B$52,A29,'Family Allocation'!$J$5:$J$52)</x:f>
        <x:v>51.2</x:v>
      </x:c>
      <x:c r="I29" s="19" t="n">
        <x:f>SUMIF('Family Allocation'!$B$5:$B$52,A29,'Family Allocation'!$K$5:$K$52)</x:f>
        <x:v>18.150000000000002</x:v>
      </x:c>
      <x:c r="J29" s="18" t="n">
        <x:f>SUMPRODUCT(('Family Allocation'!$B$5:$B$52=A29)*'Family Allocation'!$F$5:$F$52*'Family Allocation'!$G$5:$G$52)/E29</x:f>
        <x:v>0.45</x:v>
      </x:c>
      <x:c r="K29" s="16" t="n">
        <x:f>SUMIF('Family Allocation'!$B$5:$B$52,A29,'Family Allocation'!$L$5:$L$52)</x:f>
        <x:v>3</x:v>
      </x:c>
      <x:c r="L29" s="16" t="n">
        <x:f>SUMIF('Family Allocation'!$B$5:$B$52,A29,'Family Allocation'!$M$5:$M$52)</x:f>
        <x:v>4</x:v>
      </x:c>
      <x:c r="M29" s="16" t="n">
        <x:f>SUMIF('Family Allocation'!$B$5:$B$52,A29,'Family Allocation'!$N$5:$N$52)</x:f>
        <x:v>5</x:v>
      </x:c>
      <x:c r="N29" s="16" t="n">
        <x:f>SUMIF('Family Allocation'!$B$5:$B$52,A29,'Family Allocation'!$O$5:$O$52)</x:f>
        <x:v>2</x:v>
      </x:c>
      <x:c r="O29" s="16" t="n">
        <x:f>SUMIF('Family Allocation'!$B$5:$B$52,A29,'Family Allocation'!$P$5:$P$52)</x:f>
        <x:v>2</x:v>
      </x:c>
      <x:c r="P29" s="16" t="n">
        <x:f>SUMIF('Family Allocation'!$B$5:$B$52,A29,'Family Allocation'!$Q$5:$Q$52)</x:f>
        <x:v>3</x:v>
      </x:c>
      <x:c r="Q29" s="16" t="n">
        <x:f>SUMIF('Family Allocation'!$B$5:$B$52,A29,'Family Allocation'!$R$5:$R$52)</x:f>
        <x:v>3</x:v>
      </x:c>
      <x:c r="R29" s="16" t="n">
        <x:f>SUMIF('Family Allocation'!$B$5:$B$52,A29,'Family Allocation'!$S$5:$S$52)</x:f>
        <x:v>3</x:v>
      </x:c>
      <x:c r="S29" s="16" t="n">
        <x:f>SUMIF('Family Allocation'!$B$5:$B$52,A29,'Family Allocation'!$T$5:$T$52)</x:f>
        <x:v>4</x:v>
      </x:c>
      <x:c r="T29" s="16" t="n">
        <x:f>SUMIF('Family Allocation'!$B$5:$B$52,A29,'Family Allocation'!$U$5:$U$52)</x:f>
        <x:v>4</x:v>
      </x:c>
    </x:row>
    <x:row r="30" ht="36" hidden="0" customHeight="1">
      <x:c r="A30" s="16" t="str">
        <x:v>RT-R3</x:v>
      </x:c>
      <x:c r="B30" s="16" t="str">
        <x:v>MS-RT</x:v>
      </x:c>
      <x:c r="C30" s="16" t="str">
        <x:v>Utility reconstruction</x:v>
      </x:c>
      <x:c r="D30" s="16" t="n">
        <x:f>COUNTIF('Family Allocation'!$B$5:$B$52,A30)</x:f>
        <x:v>1</x:v>
      </x:c>
      <x:c r="E30" s="16" t="n">
        <x:f>SUMIF('Family Allocation'!$B$5:$B$52,A30,'Family Allocation'!$G$5:$G$52)</x:f>
        <x:v>73</x:v>
      </x:c>
      <x:c r="F30" s="16" t="n">
        <x:f>SUMIF('Family Allocation'!$B$5:$B$52,A30,'Family Allocation'!$H$5:$H$52)</x:f>
        <x:v>157</x:v>
      </x:c>
      <x:c r="G30" s="16" t="n">
        <x:f>SUMIF('Family Allocation'!$B$5:$B$52,A30,'Family Allocation'!$I$5:$I$52)</x:f>
        <x:v>211950</x:v>
      </x:c>
      <x:c r="H30" s="19" t="n">
        <x:f>SUMIF('Family Allocation'!$B$5:$B$52,A30,'Family Allocation'!$J$5:$J$52)</x:f>
        <x:v>314</x:v>
      </x:c>
      <x:c r="I30" s="19" t="n">
        <x:f>SUMIF('Family Allocation'!$B$5:$B$52,A30,'Family Allocation'!$K$5:$K$52)</x:f>
        <x:v>40.150000000000006</x:v>
      </x:c>
      <x:c r="J30" s="18" t="n">
        <x:f>SUMPRODUCT(('Family Allocation'!$B$5:$B$52=A30)*'Family Allocation'!$F$5:$F$52*'Family Allocation'!$G$5:$G$52)/E30</x:f>
        <x:v>0.45</x:v>
      </x:c>
      <x:c r="K30" s="16" t="n">
        <x:f>SUMIF('Family Allocation'!$B$5:$B$52,A30,'Family Allocation'!$L$5:$L$52)</x:f>
        <x:v>8</x:v>
      </x:c>
      <x:c r="L30" s="16" t="n">
        <x:f>SUMIF('Family Allocation'!$B$5:$B$52,A30,'Family Allocation'!$M$5:$M$52)</x:f>
        <x:v>8</x:v>
      </x:c>
      <x:c r="M30" s="16" t="n">
        <x:f>SUMIF('Family Allocation'!$B$5:$B$52,A30,'Family Allocation'!$N$5:$N$52)</x:f>
        <x:v>12</x:v>
      </x:c>
      <x:c r="N30" s="16" t="n">
        <x:f>SUMIF('Family Allocation'!$B$5:$B$52,A30,'Family Allocation'!$O$5:$O$52)</x:f>
        <x:v>3</x:v>
      </x:c>
      <x:c r="O30" s="16" t="n">
        <x:f>SUMIF('Family Allocation'!$B$5:$B$52,A30,'Family Allocation'!$P$5:$P$52)</x:f>
        <x:v>4</x:v>
      </x:c>
      <x:c r="P30" s="16" t="n">
        <x:f>SUMIF('Family Allocation'!$B$5:$B$52,A30,'Family Allocation'!$Q$5:$Q$52)</x:f>
        <x:v>6</x:v>
      </x:c>
      <x:c r="Q30" s="16" t="n">
        <x:f>SUMIF('Family Allocation'!$B$5:$B$52,A30,'Family Allocation'!$R$5:$R$52)</x:f>
        <x:v>8</x:v>
      </x:c>
      <x:c r="R30" s="16" t="n">
        <x:f>SUMIF('Family Allocation'!$B$5:$B$52,A30,'Family Allocation'!$S$5:$S$52)</x:f>
        <x:v>6</x:v>
      </x:c>
      <x:c r="S30" s="16" t="n">
        <x:f>SUMIF('Family Allocation'!$B$5:$B$52,A30,'Family Allocation'!$T$5:$T$52)</x:f>
        <x:v>10</x:v>
      </x:c>
      <x:c r="T30" s="16" t="n">
        <x:f>SUMIF('Family Allocation'!$B$5:$B$52,A30,'Family Allocation'!$U$5:$U$52)</x:f>
        <x:v>8</x:v>
      </x:c>
    </x:row>
    <x:row r="31" ht="60" hidden="0" customHeight="1">
      <x:c r="A31" s="16" t="str">
        <x:v>RT-R4</x:v>
      </x:c>
      <x:c r="B31" s="16" t="str">
        <x:v>MS-RT</x:v>
      </x:c>
      <x:c r="C31" s="16" t="str">
        <x:v>Civil, institution and economic transfer</x:v>
      </x:c>
      <x:c r="D31" s="16" t="n">
        <x:f>COUNTIF('Family Allocation'!$B$5:$B$52,A31)</x:f>
        <x:v>3</x:v>
      </x:c>
      <x:c r="E31" s="16" t="n">
        <x:f>SUMIF('Family Allocation'!$B$5:$B$52,A31,'Family Allocation'!$G$5:$G$52)</x:f>
        <x:v>144</x:v>
      </x:c>
      <x:c r="F31" s="16" t="n">
        <x:f>SUMIF('Family Allocation'!$B$5:$B$52,A31,'Family Allocation'!$H$5:$H$52)</x:f>
        <x:v>287</x:v>
      </x:c>
      <x:c r="G31" s="16" t="n">
        <x:f>SUMIF('Family Allocation'!$B$5:$B$52,A31,'Family Allocation'!$I$5:$I$52)</x:f>
        <x:v>195625</x:v>
      </x:c>
      <x:c r="H31" s="19" t="n">
        <x:f>SUMIF('Family Allocation'!$B$5:$B$52,A31,'Family Allocation'!$J$5:$J$52)</x:f>
        <x:v>104.80000000000001</x:v>
      </x:c>
      <x:c r="I31" s="19" t="n">
        <x:f>SUMIF('Family Allocation'!$B$5:$B$52,A31,'Family Allocation'!$K$5:$K$52)</x:f>
        <x:v>84.7</x:v>
      </x:c>
      <x:c r="J31" s="18" t="n">
        <x:f>SUMPRODUCT(('Family Allocation'!$B$5:$B$52=A31)*'Family Allocation'!$F$5:$F$52*'Family Allocation'!$G$5:$G$52)/E31</x:f>
        <x:v>0.41180555555555554</x:v>
      </x:c>
      <x:c r="K31" s="16" t="n">
        <x:f>SUMIF('Family Allocation'!$B$5:$B$52,A31,'Family Allocation'!$L$5:$L$52)</x:f>
        <x:v>12</x:v>
      </x:c>
      <x:c r="L31" s="16" t="n">
        <x:f>SUMIF('Family Allocation'!$B$5:$B$52,A31,'Family Allocation'!$M$5:$M$52)</x:f>
        <x:v>17</x:v>
      </x:c>
      <x:c r="M31" s="16" t="n">
        <x:f>SUMIF('Family Allocation'!$B$5:$B$52,A31,'Family Allocation'!$N$5:$N$52)</x:f>
        <x:v>22</x:v>
      </x:c>
      <x:c r="N31" s="16" t="n">
        <x:f>SUMIF('Family Allocation'!$B$5:$B$52,A31,'Family Allocation'!$O$5:$O$52)</x:f>
        <x:v>7</x:v>
      </x:c>
      <x:c r="O31" s="16" t="n">
        <x:f>SUMIF('Family Allocation'!$B$5:$B$52,A31,'Family Allocation'!$P$5:$P$52)</x:f>
        <x:v>10</x:v>
      </x:c>
      <x:c r="P31" s="16" t="n">
        <x:f>SUMIF('Family Allocation'!$B$5:$B$52,A31,'Family Allocation'!$Q$5:$Q$52)</x:f>
        <x:v>11</x:v>
      </x:c>
      <x:c r="Q31" s="16" t="n">
        <x:f>SUMIF('Family Allocation'!$B$5:$B$52,A31,'Family Allocation'!$R$5:$R$52)</x:f>
        <x:v>13</x:v>
      </x:c>
      <x:c r="R31" s="16" t="n">
        <x:f>SUMIF('Family Allocation'!$B$5:$B$52,A31,'Family Allocation'!$S$5:$S$52)</x:f>
        <x:v>12</x:v>
      </x:c>
      <x:c r="S31" s="16" t="n">
        <x:f>SUMIF('Family Allocation'!$B$5:$B$52,A31,'Family Allocation'!$T$5:$T$52)</x:f>
        <x:v>19</x:v>
      </x:c>
      <x:c r="T31" s="16" t="n">
        <x:f>SUMIF('Family Allocation'!$B$5:$B$52,A31,'Family Allocation'!$U$5:$U$52)</x:f>
        <x:v>21</x:v>
      </x:c>
    </x:row>
    <x:row r="32" ht="72" hidden="0" customHeight="1">
      <x:c r="A32" s="16" t="str">
        <x:v>RT-R5</x:v>
      </x:c>
      <x:c r="B32" s="16" t="str">
        <x:v>MS-RT</x:v>
      </x:c>
      <x:c r="C32" s="16" t="str">
        <x:v>Return, durable continuity and demobilization</x:v>
      </x:c>
      <x:c r="D32" s="16" t="n">
        <x:f>COUNTIF('Family Allocation'!$B$5:$B$52,A32)</x:f>
        <x:v>1</x:v>
      </x:c>
      <x:c r="E32" s="16" t="n">
        <x:f>SUMIF('Family Allocation'!$B$5:$B$52,A32,'Family Allocation'!$G$5:$G$52)</x:f>
        <x:v>58</x:v>
      </x:c>
      <x:c r="F32" s="16" t="n">
        <x:f>SUMIF('Family Allocation'!$B$5:$B$52,A32,'Family Allocation'!$H$5:$H$52)</x:f>
        <x:v>116</x:v>
      </x:c>
      <x:c r="G32" s="16" t="n">
        <x:f>SUMIF('Family Allocation'!$B$5:$B$52,A32,'Family Allocation'!$I$5:$I$52)</x:f>
        <x:v>116000</x:v>
      </x:c>
      <x:c r="H32" s="19" t="n">
        <x:f>SUMIF('Family Allocation'!$B$5:$B$52,A32,'Family Allocation'!$J$5:$J$52)</x:f>
        <x:v>46.400000000000006</x:v>
      </x:c>
      <x:c r="I32" s="19" t="n">
        <x:f>SUMIF('Family Allocation'!$B$5:$B$52,A32,'Family Allocation'!$K$5:$K$52)</x:f>
        <x:v>29</x:v>
      </x:c>
      <x:c r="J32" s="18" t="n">
        <x:f>SUMPRODUCT(('Family Allocation'!$B$5:$B$52=A32)*'Family Allocation'!$F$5:$F$52*'Family Allocation'!$G$5:$G$52)/E32</x:f>
        <x:v>0.5</x:v>
      </x:c>
      <x:c r="K32" s="16" t="n">
        <x:f>SUMIF('Family Allocation'!$B$5:$B$52,A32,'Family Allocation'!$L$5:$L$52)</x:f>
        <x:v>4</x:v>
      </x:c>
      <x:c r="L32" s="16" t="n">
        <x:f>SUMIF('Family Allocation'!$B$5:$B$52,A32,'Family Allocation'!$M$5:$M$52)</x:f>
        <x:v>6</x:v>
      </x:c>
      <x:c r="M32" s="16" t="n">
        <x:f>SUMIF('Family Allocation'!$B$5:$B$52,A32,'Family Allocation'!$N$5:$N$52)</x:f>
        <x:v>8</x:v>
      </x:c>
      <x:c r="N32" s="16" t="n">
        <x:f>SUMIF('Family Allocation'!$B$5:$B$52,A32,'Family Allocation'!$O$5:$O$52)</x:f>
        <x:v>3</x:v>
      </x:c>
      <x:c r="O32" s="16" t="n">
        <x:f>SUMIF('Family Allocation'!$B$5:$B$52,A32,'Family Allocation'!$P$5:$P$52)</x:f>
        <x:v>5</x:v>
      </x:c>
      <x:c r="P32" s="16" t="n">
        <x:f>SUMIF('Family Allocation'!$B$5:$B$52,A32,'Family Allocation'!$Q$5:$Q$52)</x:f>
        <x:v>4</x:v>
      </x:c>
      <x:c r="Q32" s="16" t="n">
        <x:f>SUMIF('Family Allocation'!$B$5:$B$52,A32,'Family Allocation'!$R$5:$R$52)</x:f>
        <x:v>5</x:v>
      </x:c>
      <x:c r="R32" s="16" t="n">
        <x:f>SUMIF('Family Allocation'!$B$5:$B$52,A32,'Family Allocation'!$S$5:$S$52)</x:f>
        <x:v>5</x:v>
      </x:c>
      <x:c r="S32" s="16" t="n">
        <x:f>SUMIF('Family Allocation'!$B$5:$B$52,A32,'Family Allocation'!$T$5:$T$52)</x:f>
        <x:v>8</x:v>
      </x:c>
      <x:c r="T32" s="16" t="n">
        <x:f>SUMIF('Family Allocation'!$B$5:$B$52,A32,'Family Allocation'!$U$5:$U$52)</x:f>
        <x:v>10</x:v>
      </x:c>
    </x:row>
  </x:sheetData>
  <x:mergeCells>
    <x:mergeCell ref="A1:T1"/>
    <x:mergeCell ref="A2:T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1" hidden="0" customWidth="1"/>
    <x:col min="3" max="3" width="34" hidden="0" customWidth="1"/>
    <x:col min="4" max="4" width="11" hidden="0" customWidth="1"/>
    <x:col min="5" max="5" width="32" hidden="0" customWidth="1"/>
    <x:col min="6" max="6" width="16" hidden="0" customWidth="1"/>
    <x:col min="7" max="7" width="12" hidden="0" customWidth="1"/>
    <x:col min="8" max="8" width="14" hidden="0" customWidth="1"/>
    <x:col min="9" max="9" width="14" hidden="0" customWidth="1"/>
    <x:col min="10" max="10" width="18" hidden="0" customWidth="1"/>
    <x:col min="11" max="11" width="16" hidden="0" customWidth="1"/>
    <x:col min="22" max="22" width="38" hidden="0" customWidth="1"/>
    <x:col min="23" max="23" width="18" hidden="0" customWidth="1"/>
  </x:cols>
  <x:sheetData>
    <x:row r="1" ht="19.200000762939453" hidden="0" customHeight="1">
      <x:c r="A1" s="3" t="str">
        <x:v>Canonical family allocation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15" hidden="0" customHeight="1">
      <x:c r="A2" s="7" t="str">
        <x:v>All forty-eight Pass 168 formation families receive exactly one service route. Quantities are inherited, not new estimates.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/>
    <x:row r="4" ht="39.599998474121094" hidden="0" customHeight="1">
      <x:c r="A4" s="12" t="str">
        <x:v>Family ID</x:v>
      </x:c>
      <x:c r="B4" s="12" t="str">
        <x:v>Route ID</x:v>
      </x:c>
      <x:c r="C4" s="12" t="str">
        <x:v>Formation family</x:v>
      </x:c>
      <x:c r="D4" s="12" t="str">
        <x:v>System</x:v>
      </x:c>
      <x:c r="E4" s="12" t="str">
        <x:v>Primary effect</x:v>
      </x:c>
      <x:c r="F4" s="12" t="str">
        <x:v>Contract completeness</x:v>
      </x:c>
      <x:c r="G4" s="12" t="str">
        <x:v>Demand</x:v>
      </x:c>
      <x:c r="H4" s="12" t="str">
        <x:v>N−1 inventory</x:v>
      </x:c>
      <x:c r="I4" s="12" t="str">
        <x:v>Billets</x:v>
      </x:c>
      <x:c r="J4" s="12" t="str">
        <x:v>Formation capital USD B</x:v>
      </x:c>
      <x:c r="K4" s="12" t="str">
        <x:v>Unclosed demand</x:v>
      </x:c>
      <x:c r="L4" s="12" t="str">
        <x:v>C1</x:v>
      </x:c>
      <x:c r="M4" s="12" t="str">
        <x:v>C2</x:v>
      </x:c>
      <x:c r="N4" s="12" t="str">
        <x:v>C3</x:v>
      </x:c>
      <x:c r="O4" s="12" t="str">
        <x:v>M1</x:v>
      </x:c>
      <x:c r="P4" s="12" t="str">
        <x:v>M2</x:v>
      </x:c>
      <x:c r="Q4" s="12" t="str">
        <x:v>M3</x:v>
      </x:c>
      <x:c r="R4" s="12" t="str">
        <x:v>M4</x:v>
      </x:c>
      <x:c r="S4" s="12" t="str">
        <x:v>M5</x:v>
      </x:c>
      <x:c r="T4" s="12" t="str">
        <x:v>I1</x:v>
      </x:c>
      <x:c r="U4" s="12" t="str">
        <x:v>I2</x:v>
      </x:c>
      <x:c r="V4" s="12" t="str">
        <x:v>Source lineage</x:v>
      </x:c>
      <x:c r="W4" s="26" t="str">
        <x:v>System-route check</x:v>
      </x:c>
    </x:row>
    <x:row r="5" ht="60" hidden="0" customHeight="1">
      <x:c r="A5" s="16" t="str">
        <x:v>J-CIE</x:v>
      </x:c>
      <x:c r="B5" s="16" t="str">
        <x:v>CT-R1</x:v>
      </x:c>
      <x:c r="C5" s="16" t="str">
        <x:v>Civil integration and effects group</x:v>
      </x:c>
      <x:c r="D5" s="16" t="str">
        <x:v>MS-CT</x:v>
      </x:c>
      <x:c r="E5" s="16" t="str">
        <x:v>Civil coordination, safety and public information</x:v>
      </x:c>
      <x:c r="F5" s="18" t="n">
        <x:v>0.45</x:v>
      </x:c>
      <x:c r="G5" s="16" t="n">
        <x:v>34</x:v>
      </x:c>
      <x:c r="H5" s="16" t="n">
        <x:v>66</x:v>
      </x:c>
      <x:c r="I5" s="16" t="n">
        <x:v>19800</x:v>
      </x:c>
      <x:c r="J5" s="19" t="n">
        <x:v>16.5</x:v>
      </x:c>
      <x:c r="K5" s="19" t="n">
        <x:v>18.700000000000003</x:v>
      </x:c>
      <x:c r="L5" s="16" t="n">
        <x:v>4</x:v>
      </x:c>
      <x:c r="M5" s="16" t="n">
        <x:v>4</x:v>
      </x:c>
      <x:c r="N5" s="16" t="n">
        <x:v>5</x:v>
      </x:c>
      <x:c r="O5" s="16" t="n">
        <x:v>2</x:v>
      </x:c>
      <x:c r="P5" s="16" t="n">
        <x:v>2</x:v>
      </x:c>
      <x:c r="Q5" s="16" t="n">
        <x:v>3</x:v>
      </x:c>
      <x:c r="R5" s="16" t="n">
        <x:v>3</x:v>
      </x:c>
      <x:c r="S5" s="16" t="n">
        <x:v>3</x:v>
      </x:c>
      <x:c r="T5" s="16" t="n">
        <x:v>4</x:v>
      </x:c>
      <x:c r="U5" s="16" t="n">
        <x:v>4</x:v>
      </x:c>
      <x:c r="V5" s="16" t="str">
        <x:v>Pass 57 registry + Pass 167 NIFS-1</x:v>
      </x:c>
      <x:c r="W5" s="16" t="str">
        <x:f>IF(LEFT(B5,2)=RIGHT(D5,2),"PASS","FAIL")</x:f>
        <x:v>PASS</x:v>
      </x:c>
    </x:row>
    <x:row r="6" ht="48" hidden="0" customHeight="1">
      <x:c r="A6" s="16" t="str">
        <x:v>J-TOC</x:v>
      </x:c>
      <x:c r="B6" s="16" t="str">
        <x:v>ET-R1</x:v>
      </x:c>
      <x:c r="C6" s="16" t="str">
        <x:v>Theater-opening command</x:v>
      </x:c>
      <x:c r="D6" s="16" t="str">
        <x:v>MS-ET</x:v>
      </x:c>
      <x:c r="E6" s="16" t="str">
        <x:v>Mobility, access and distribution</x:v>
      </x:c>
      <x:c r="F6" s="18" t="n">
        <x:v>0.5</x:v>
      </x:c>
      <x:c r="G6" s="16" t="n">
        <x:v>23</x:v>
      </x:c>
      <x:c r="H6" s="16" t="n">
        <x:v>45</x:v>
      </x:c>
      <x:c r="I6" s="16" t="n">
        <x:v>67500</x:v>
      </x:c>
      <x:c r="J6" s="19" t="n">
        <x:v>54</x:v>
      </x:c>
      <x:c r="K6" s="19" t="n">
        <x:v>11.5</x:v>
      </x:c>
      <x:c r="L6" s="16" t="n">
        <x:v>2</x:v>
      </x:c>
      <x:c r="M6" s="16" t="n">
        <x:v>3</x:v>
      </x:c>
      <x:c r="N6" s="16" t="n">
        <x:v>4</x:v>
      </x:c>
      <x:c r="O6" s="16" t="n">
        <x:v>1</x:v>
      </x:c>
      <x:c r="P6" s="16" t="n">
        <x:v>1</x:v>
      </x:c>
      <x:c r="Q6" s="16" t="n">
        <x:v>2</x:v>
      </x:c>
      <x:c r="R6" s="16" t="n">
        <x:v>2</x:v>
      </x:c>
      <x:c r="S6" s="16" t="n">
        <x:v>2</x:v>
      </x:c>
      <x:c r="T6" s="16" t="n">
        <x:v>3</x:v>
      </x:c>
      <x:c r="U6" s="16" t="n">
        <x:v>3</x:v>
      </x:c>
      <x:c r="V6" s="16" t="str">
        <x:v>Pass 57 registry + Pass 167 NIFS-1</x:v>
      </x:c>
      <x:c r="W6" s="16" t="str">
        <x:f>IF(LEFT(B6,2)=RIGHT(D6,2),"PASS","FAIL")</x:f>
        <x:v>PASS</x:v>
      </x:c>
    </x:row>
    <x:row r="7" ht="48" hidden="0" customHeight="1">
      <x:c r="A7" s="16" t="str">
        <x:v>J-TSC</x:v>
      </x:c>
      <x:c r="B7" s="16" t="str">
        <x:v>RT-R1</x:v>
      </x:c>
      <x:c r="C7" s="16" t="str">
        <x:v>Theater sustainment command</x:v>
      </x:c>
      <x:c r="D7" s="16" t="str">
        <x:v>MS-RT</x:v>
      </x:c>
      <x:c r="E7" s="16" t="str">
        <x:v>Mobility, access and distribution</x:v>
      </x:c>
      <x:c r="F7" s="18" t="n">
        <x:v>0.45</x:v>
      </x:c>
      <x:c r="G7" s="16" t="n">
        <x:v>33</x:v>
      </x:c>
      <x:c r="H7" s="16" t="n">
        <x:v>64</x:v>
      </x:c>
      <x:c r="I7" s="16" t="n">
        <x:v>144000</x:v>
      </x:c>
      <x:c r="J7" s="19" t="n">
        <x:v>96</x:v>
      </x:c>
      <x:c r="K7" s="19" t="n">
        <x:v>18.150000000000002</x:v>
      </x:c>
      <x:c r="L7" s="16" t="n">
        <x:v>3</x:v>
      </x:c>
      <x:c r="M7" s="16" t="n">
        <x:v>4</x:v>
      </x:c>
      <x:c r="N7" s="16" t="n">
        <x:v>5</x:v>
      </x:c>
      <x:c r="O7" s="16" t="n">
        <x:v>2</x:v>
      </x:c>
      <x:c r="P7" s="16" t="n">
        <x:v>2</x:v>
      </x:c>
      <x:c r="Q7" s="16" t="n">
        <x:v>3</x:v>
      </x:c>
      <x:c r="R7" s="16" t="n">
        <x:v>3</x:v>
      </x:c>
      <x:c r="S7" s="16" t="n">
        <x:v>3</x:v>
      </x:c>
      <x:c r="T7" s="16" t="n">
        <x:v>4</x:v>
      </x:c>
      <x:c r="U7" s="16" t="n">
        <x:v>4</x:v>
      </x:c>
      <x:c r="V7" s="16" t="str">
        <x:v>Pass 57 registry + Pass 167 NIFS-1</x:v>
      </x:c>
      <x:c r="W7" s="16" t="str">
        <x:f>IF(LEFT(B7,2)=RIGHT(D7,2),"PASS","FAIL")</x:f>
        <x:v>PASS</x:v>
      </x:c>
    </x:row>
    <x:row r="8" ht="72" hidden="0" customHeight="1">
      <x:c r="A8" s="16" t="str">
        <x:v>J-RIG</x:v>
      </x:c>
      <x:c r="B8" s="16" t="str">
        <x:v>CT-R2</x:v>
      </x:c>
      <x:c r="C8" s="16" t="str">
        <x:v>Resilience information group</x:v>
      </x:c>
      <x:c r="D8" s="16" t="str">
        <x:v>MS-CT</x:v>
      </x:c>
      <x:c r="E8" s="16" t="str">
        <x:v>Communications, computation and public-service access</x:v>
      </x:c>
      <x:c r="F8" s="18" t="n">
        <x:v>0.5</x:v>
      </x:c>
      <x:c r="G8" s="16" t="n">
        <x:v>59</x:v>
      </x:c>
      <x:c r="H8" s="16" t="n">
        <x:v>114</x:v>
      </x:c>
      <x:c r="I8" s="16" t="n">
        <x:v>102600</x:v>
      </x:c>
      <x:c r="J8" s="19" t="n">
        <x:v>102.6</x:v>
      </x:c>
      <x:c r="K8" s="19" t="n">
        <x:v>29.5</x:v>
      </x:c>
      <x:c r="L8" s="16" t="n">
        <x:v>6</x:v>
      </x:c>
      <x:c r="M8" s="16" t="n">
        <x:v>6</x:v>
      </x:c>
      <x:c r="N8" s="16" t="n">
        <x:v>8</x:v>
      </x:c>
      <x:c r="O8" s="16" t="n">
        <x:v>4</x:v>
      </x:c>
      <x:c r="P8" s="16" t="n">
        <x:v>4</x:v>
      </x:c>
      <x:c r="Q8" s="16" t="n">
        <x:v>5</x:v>
      </x:c>
      <x:c r="R8" s="16" t="n">
        <x:v>5</x:v>
      </x:c>
      <x:c r="S8" s="16" t="n">
        <x:v>5</x:v>
      </x:c>
      <x:c r="T8" s="16" t="n">
        <x:v>8</x:v>
      </x:c>
      <x:c r="U8" s="16" t="n">
        <x:v>8</x:v>
      </x:c>
      <x:c r="V8" s="16" t="str">
        <x:v>Pass 57 registry + Pass 167 NIFS-1</x:v>
      </x:c>
      <x:c r="W8" s="16" t="str">
        <x:f>IF(LEFT(B8,2)=RIGHT(D8,2),"PASS","FAIL")</x:f>
        <x:v>PASS</x:v>
      </x:c>
    </x:row>
    <x:row r="9" ht="60" hidden="0" customHeight="1">
      <x:c r="A9" s="16" t="str">
        <x:v>J-RRG</x:v>
      </x:c>
      <x:c r="B9" s="16" t="str">
        <x:v>RT-R2</x:v>
      </x:c>
      <x:c r="C9" s="16" t="str">
        <x:v>Replacement and reconstitution group</x:v>
      </x:c>
      <x:c r="D9" s="16" t="str">
        <x:v>MS-RT</x:v>
      </x:c>
      <x:c r="E9" s="16" t="str">
        <x:v>Housing, public works and economic continuity</x:v>
      </x:c>
      <x:c r="F9" s="18" t="n">
        <x:v>0.45</x:v>
      </x:c>
      <x:c r="G9" s="16" t="n">
        <x:v>33</x:v>
      </x:c>
      <x:c r="H9" s="16" t="n">
        <x:v>64</x:v>
      </x:c>
      <x:c r="I9" s="16" t="n">
        <x:v>64000</x:v>
      </x:c>
      <x:c r="J9" s="19" t="n">
        <x:v>51.2</x:v>
      </x:c>
      <x:c r="K9" s="19" t="n">
        <x:v>18.150000000000002</x:v>
      </x:c>
      <x:c r="L9" s="16" t="n">
        <x:v>3</x:v>
      </x:c>
      <x:c r="M9" s="16" t="n">
        <x:v>4</x:v>
      </x:c>
      <x:c r="N9" s="16" t="n">
        <x:v>5</x:v>
      </x:c>
      <x:c r="O9" s="16" t="n">
        <x:v>2</x:v>
      </x:c>
      <x:c r="P9" s="16" t="n">
        <x:v>2</x:v>
      </x:c>
      <x:c r="Q9" s="16" t="n">
        <x:v>3</x:v>
      </x:c>
      <x:c r="R9" s="16" t="n">
        <x:v>3</x:v>
      </x:c>
      <x:c r="S9" s="16" t="n">
        <x:v>3</x:v>
      </x:c>
      <x:c r="T9" s="16" t="n">
        <x:v>4</x:v>
      </x:c>
      <x:c r="U9" s="16" t="n">
        <x:v>4</x:v>
      </x:c>
      <x:c r="V9" s="16" t="str">
        <x:v>Pass 57 registry + Pass 167 NIFS-1</x:v>
      </x:c>
      <x:c r="W9" s="16" t="str">
        <x:f>IF(LEFT(B9,2)=RIGHT(D9,2),"PASS","FAIL")</x:f>
        <x:v>PASS</x:v>
      </x:c>
    </x:row>
    <x:row r="10" ht="60" hidden="0" customHeight="1">
      <x:c r="A10" s="16" t="str">
        <x:v>J-TDG</x:v>
      </x:c>
      <x:c r="B10" s="16" t="str">
        <x:v>RT-R4</x:v>
      </x:c>
      <x:c r="C10" s="16" t="str">
        <x:v>Transfer and demobilization group</x:v>
      </x:c>
      <x:c r="D10" s="16" t="str">
        <x:v>MS-RT</x:v>
      </x:c>
      <x:c r="E10" s="16" t="str">
        <x:v>Civil coordination, safety and public information</x:v>
      </x:c>
      <x:c r="F10" s="18" t="n">
        <x:v>0.45</x:v>
      </x:c>
      <x:c r="G10" s="16" t="n">
        <x:v>23</x:v>
      </x:c>
      <x:c r="H10" s="16" t="n">
        <x:v>45</x:v>
      </x:c>
      <x:c r="I10" s="16" t="n">
        <x:v>16875</x:v>
      </x:c>
      <x:c r="J10" s="19" t="n">
        <x:v>13.5</x:v>
      </x:c>
      <x:c r="K10" s="19" t="n">
        <x:v>12.65</x:v>
      </x:c>
      <x:c r="L10" s="16" t="n">
        <x:v>2</x:v>
      </x:c>
      <x:c r="M10" s="16" t="n">
        <x:v>3</x:v>
      </x:c>
      <x:c r="N10" s="16" t="n">
        <x:v>4</x:v>
      </x:c>
      <x:c r="O10" s="16" t="n">
        <x:v>1</x:v>
      </x:c>
      <x:c r="P10" s="16" t="n">
        <x:v>1</x:v>
      </x:c>
      <x:c r="Q10" s="16" t="n">
        <x:v>2</x:v>
      </x:c>
      <x:c r="R10" s="16" t="n">
        <x:v>2</x:v>
      </x:c>
      <x:c r="S10" s="16" t="n">
        <x:v>2</x:v>
      </x:c>
      <x:c r="T10" s="16" t="n">
        <x:v>3</x:v>
      </x:c>
      <x:c r="U10" s="16" t="n">
        <x:v>3</x:v>
      </x:c>
      <x:c r="V10" s="16" t="str">
        <x:v>Pass 57 registry + Pass 167 NIFS-1</x:v>
      </x:c>
      <x:c r="W10" s="16" t="str">
        <x:f>IF(LEFT(B10,2)=RIGHT(D10,2),"PASS","FAIL")</x:f>
        <x:v>PASS</x:v>
      </x:c>
    </x:row>
    <x:row r="11" ht="48" hidden="0" customHeight="1">
      <x:c r="A11" s="16" t="str">
        <x:v>L-ROG</x:v>
      </x:c>
      <x:c r="B11" s="16" t="str">
        <x:v>ET-R4</x:v>
      </x:c>
      <x:c r="C11" s="16" t="str">
        <x:v>Access and route-opening group</x:v>
      </x:c>
      <x:c r="D11" s="16" t="str">
        <x:v>MS-ET</x:v>
      </x:c>
      <x:c r="E11" s="16" t="str">
        <x:v>Mobility, access and distribution</x:v>
      </x:c>
      <x:c r="F11" s="18" t="n">
        <x:v>0.45</x:v>
      </x:c>
      <x:c r="G11" s="16" t="n">
        <x:v>70</x:v>
      </x:c>
      <x:c r="H11" s="16" t="n">
        <x:v>151</x:v>
      </x:c>
      <x:c r="I11" s="16" t="n">
        <x:v>137410</x:v>
      </x:c>
      <x:c r="J11" s="19" t="n">
        <x:v>181.2</x:v>
      </x:c>
      <x:c r="K11" s="19" t="n">
        <x:v>38.5</x:v>
      </x:c>
      <x:c r="L11" s="16" t="n">
        <x:v>4</x:v>
      </x:c>
      <x:c r="M11" s="16" t="n">
        <x:v>8</x:v>
      </x:c>
      <x:c r="N11" s="16" t="n">
        <x:v>12</x:v>
      </x:c>
      <x:c r="O11" s="16" t="n">
        <x:v>4</x:v>
      </x:c>
      <x:c r="P11" s="16" t="n">
        <x:v>2</x:v>
      </x:c>
      <x:c r="Q11" s="16" t="n">
        <x:v>8</x:v>
      </x:c>
      <x:c r="R11" s="16" t="n">
        <x:v>10</x:v>
      </x:c>
      <x:c r="S11" s="16" t="n">
        <x:v>4</x:v>
      </x:c>
      <x:c r="T11" s="16" t="n">
        <x:v>10</x:v>
      </x:c>
      <x:c r="U11" s="16" t="n">
        <x:v>8</x:v>
      </x:c>
      <x:c r="V11" s="16" t="str">
        <x:v>Pass 57 registry + Pass 167 NIFS-1</x:v>
      </x:c>
      <x:c r="W11" s="16" t="str">
        <x:f>IF(LEFT(B11,2)=RIGHT(D11,2),"PASS","FAIL")</x:f>
        <x:v>PASS</x:v>
      </x:c>
    </x:row>
    <x:row r="12" ht="48" hidden="0" customHeight="1">
      <x:c r="A12" s="16" t="str">
        <x:v>L-HCG</x:v>
      </x:c>
      <x:c r="B12" s="16" t="str">
        <x:v>HC-R2</x:v>
      </x:c>
      <x:c r="C12" s="16" t="str">
        <x:v>Flood and hydraulic-control group</x:v>
      </x:c>
      <x:c r="D12" s="16" t="str">
        <x:v>MS-HC</x:v>
      </x:c>
      <x:c r="E12" s="16" t="str">
        <x:v>Hazard and environmental control</x:v>
      </x:c>
      <x:c r="F12" s="18" t="n">
        <x:v>0.8</x:v>
      </x:c>
      <x:c r="G12" s="16" t="n">
        <x:v>50</x:v>
      </x:c>
      <x:c r="H12" s="16" t="n">
        <x:v>108</x:v>
      </x:c>
      <x:c r="I12" s="16" t="n">
        <x:v>140400</x:v>
      </x:c>
      <x:c r="J12" s="19" t="n">
        <x:v>194.4</x:v>
      </x:c>
      <x:c r="K12" s="19" t="n">
        <x:v>9.999999999999998</x:v>
      </x:c>
      <x:c r="L12" s="16" t="n">
        <x:v>1</x:v>
      </x:c>
      <x:c r="M12" s="16" t="n">
        <x:v>10</x:v>
      </x:c>
      <x:c r="N12" s="16" t="n">
        <x:v>6</x:v>
      </x:c>
      <x:c r="O12" s="16" t="n">
        <x:v>0</x:v>
      </x:c>
      <x:c r="P12" s="16" t="n">
        <x:v>0</x:v>
      </x:c>
      <x:c r="Q12" s="16" t="n">
        <x:v>12</x:v>
      </x:c>
      <x:c r="R12" s="16" t="n">
        <x:v>3</x:v>
      </x:c>
      <x:c r="S12" s="16" t="n">
        <x:v>2</x:v>
      </x:c>
      <x:c r="T12" s="16" t="n">
        <x:v>4</x:v>
      </x:c>
      <x:c r="U12" s="16" t="n">
        <x:v>12</x:v>
      </x:c>
      <x:c r="V12" s="16" t="str">
        <x:v>Pass 57 registry + Pass 167 NIFS-1</x:v>
      </x:c>
      <x:c r="W12" s="16" t="str">
        <x:f>IF(LEFT(B12,2)=RIGHT(D12,2),"PASS","FAIL")</x:f>
        <x:v>PASS</x:v>
      </x:c>
    </x:row>
    <x:row r="13" ht="48" hidden="0" customHeight="1">
      <x:c r="A13" s="16" t="str">
        <x:v>L-DMG</x:v>
      </x:c>
      <x:c r="B13" s="16" t="str">
        <x:v>HC-R3</x:v>
      </x:c>
      <x:c r="C13" s="16" t="str">
        <x:v>Debris and materials group</x:v>
      </x:c>
      <x:c r="D13" s="16" t="str">
        <x:v>MS-HC</x:v>
      </x:c>
      <x:c r="E13" s="16" t="str">
        <x:v>Hazard and environmental control</x:v>
      </x:c>
      <x:c r="F13" s="18" t="n">
        <x:v>0.45</x:v>
      </x:c>
      <x:c r="G13" s="16" t="n">
        <x:v>65</x:v>
      </x:c>
      <x:c r="H13" s="16" t="n">
        <x:v>140</x:v>
      </x:c>
      <x:c r="I13" s="16" t="n">
        <x:v>145600</x:v>
      </x:c>
      <x:c r="J13" s="19" t="n">
        <x:v>196</x:v>
      </x:c>
      <x:c r="K13" s="19" t="n">
        <x:v>35.75</x:v>
      </x:c>
      <x:c r="L13" s="16" t="n">
        <x:v>2</x:v>
      </x:c>
      <x:c r="M13" s="16" t="n">
        <x:v>8</x:v>
      </x:c>
      <x:c r="N13" s="16" t="n">
        <x:v>12</x:v>
      </x:c>
      <x:c r="O13" s="16" t="n">
        <x:v>2</x:v>
      </x:c>
      <x:c r="P13" s="16" t="n">
        <x:v>1</x:v>
      </x:c>
      <x:c r="Q13" s="16" t="n">
        <x:v>8</x:v>
      </x:c>
      <x:c r="R13" s="16" t="n">
        <x:v>12</x:v>
      </x:c>
      <x:c r="S13" s="16" t="n">
        <x:v>2</x:v>
      </x:c>
      <x:c r="T13" s="16" t="n">
        <x:v>10</x:v>
      </x:c>
      <x:c r="U13" s="16" t="n">
        <x:v>8</x:v>
      </x:c>
      <x:c r="V13" s="16" t="str">
        <x:v>Pass 57 registry + Pass 167 NIFS-1</x:v>
      </x:c>
      <x:c r="W13" s="16" t="str">
        <x:f>IF(LEFT(B13,2)=RIGHT(D13,2),"PASS","FAIL")</x:f>
        <x:v>PASS</x:v>
      </x:c>
    </x:row>
    <x:row r="14" ht="60" hidden="0" customHeight="1">
      <x:c r="A14" s="16" t="str">
        <x:v>L-TWG</x:v>
      </x:c>
      <x:c r="B14" s="16" t="str">
        <x:v>ET-R5</x:v>
      </x:c>
      <x:c r="C14" s="16" t="str">
        <x:v>Temporary works and crossing group</x:v>
      </x:c>
      <x:c r="D14" s="16" t="str">
        <x:v>MS-ET</x:v>
      </x:c>
      <x:c r="E14" s="16" t="str">
        <x:v>Housing, public works and economic continuity</x:v>
      </x:c>
      <x:c r="F14" s="18" t="n">
        <x:v>0.45</x:v>
      </x:c>
      <x:c r="G14" s="16" t="n">
        <x:v>53</x:v>
      </x:c>
      <x:c r="H14" s="16" t="n">
        <x:v>114</x:v>
      </x:c>
      <x:c r="I14" s="16" t="n">
        <x:v>103740</x:v>
      </x:c>
      <x:c r="J14" s="19" t="n">
        <x:v>136.79999999999998</x:v>
      </x:c>
      <x:c r="K14" s="19" t="n">
        <x:v>29.150000000000002</x:v>
      </x:c>
      <x:c r="L14" s="16" t="n">
        <x:v>3</x:v>
      </x:c>
      <x:c r="M14" s="16" t="n">
        <x:v>6</x:v>
      </x:c>
      <x:c r="N14" s="16" t="n">
        <x:v>10</x:v>
      </x:c>
      <x:c r="O14" s="16" t="n">
        <x:v>1</x:v>
      </x:c>
      <x:c r="P14" s="16" t="n">
        <x:v>1</x:v>
      </x:c>
      <x:c r="Q14" s="16" t="n">
        <x:v>6</x:v>
      </x:c>
      <x:c r="R14" s="16" t="n">
        <x:v>8</x:v>
      </x:c>
      <x:c r="S14" s="16" t="n">
        <x:v>4</x:v>
      </x:c>
      <x:c r="T14" s="16" t="n">
        <x:v>8</x:v>
      </x:c>
      <x:c r="U14" s="16" t="n">
        <x:v>6</x:v>
      </x:c>
      <x:c r="V14" s="16" t="str">
        <x:v>Pass 57 registry + Pass 167 NIFS-1</x:v>
      </x:c>
      <x:c r="W14" s="16" t="str">
        <x:f>IF(LEFT(B14,2)=RIGHT(D14,2),"PASS","FAIL")</x:f>
        <x:v>PASS</x:v>
      </x:c>
    </x:row>
    <x:row r="15" ht="48" hidden="0" customHeight="1">
      <x:c r="A15" s="16" t="str">
        <x:v>L-GFG</x:v>
      </x:c>
      <x:c r="B15" s="16" t="str">
        <x:v>HC-R1</x:v>
      </x:c>
      <x:c r="C15" s="16" t="str">
        <x:v>Ground fire and landscape group</x:v>
      </x:c>
      <x:c r="D15" s="16" t="str">
        <x:v>MS-HC</x:v>
      </x:c>
      <x:c r="E15" s="16" t="str">
        <x:v>Hazard and environmental control</x:v>
      </x:c>
      <x:c r="F15" s="18" t="n">
        <x:v>0.8</x:v>
      </x:c>
      <x:c r="G15" s="16" t="n">
        <x:v>33</x:v>
      </x:c>
      <x:c r="H15" s="16" t="n">
        <x:v>71</x:v>
      </x:c>
      <x:c r="I15" s="16" t="n">
        <x:v>83070</x:v>
      </x:c>
      <x:c r="J15" s="19" t="n">
        <x:v>71</x:v>
      </x:c>
      <x:c r="K15" s="19" t="n">
        <x:v>6.599999999999999</x:v>
      </x:c>
      <x:c r="L15" s="16" t="n">
        <x:v>2</x:v>
      </x:c>
      <x:c r="M15" s="16" t="n">
        <x:v>3</x:v>
      </x:c>
      <x:c r="N15" s="16" t="n">
        <x:v>4</x:v>
      </x:c>
      <x:c r="O15" s="16" t="n">
        <x:v>12</x:v>
      </x:c>
      <x:c r="P15" s="16" t="n">
        <x:v>3</x:v>
      </x:c>
      <x:c r="Q15" s="16" t="n">
        <x:v>1</x:v>
      </x:c>
      <x:c r="R15" s="16" t="n">
        <x:v>2</x:v>
      </x:c>
      <x:c r="S15" s="16" t="n">
        <x:v>2</x:v>
      </x:c>
      <x:c r="T15" s="16" t="n">
        <x:v>2</x:v>
      </x:c>
      <x:c r="U15" s="16" t="n">
        <x:v>2</x:v>
      </x:c>
      <x:c r="V15" s="16" t="str">
        <x:v>Pass 57 registry + Pass 167 NIFS-1</x:v>
      </x:c>
      <x:c r="W15" s="16" t="str">
        <x:f>IF(LEFT(B15,2)=RIGHT(D15,2),"PASS","FAIL")</x:f>
        <x:v>PASS</x:v>
      </x:c>
    </x:row>
    <x:row r="16" ht="48" hidden="0" customHeight="1">
      <x:c r="A16" s="16" t="str">
        <x:v>A-SMW</x:v>
      </x:c>
      <x:c r="B16" s="16" t="str">
        <x:v>ET-R2</x:v>
      </x:c>
      <x:c r="C16" s="16" t="str">
        <x:v>Strategic mobility wing</x:v>
      </x:c>
      <x:c r="D16" s="16" t="str">
        <x:v>MS-ET</x:v>
      </x:c>
      <x:c r="E16" s="16" t="str">
        <x:v>Mobility, access and distribution</x:v>
      </x:c>
      <x:c r="F16" s="18" t="n">
        <x:v>0.45</x:v>
      </x:c>
      <x:c r="G16" s="16" t="n">
        <x:v>31</x:v>
      </x:c>
      <x:c r="H16" s="16" t="n">
        <x:v>72</x:v>
      </x:c>
      <x:c r="I16" s="16" t="n">
        <x:v>194400</x:v>
      </x:c>
      <x:c r="J16" s="19" t="n">
        <x:v>576</x:v>
      </x:c>
      <x:c r="K16" s="19" t="n">
        <x:v>17.05</x:v>
      </x:c>
      <x:c r="L16" s="16" t="n">
        <x:v>2</x:v>
      </x:c>
      <x:c r="M16" s="16" t="n">
        <x:v>3</x:v>
      </x:c>
      <x:c r="N16" s="16" t="n">
        <x:v>4</x:v>
      </x:c>
      <x:c r="O16" s="16" t="n">
        <x:v>2</x:v>
      </x:c>
      <x:c r="P16" s="16" t="n">
        <x:v>2</x:v>
      </x:c>
      <x:c r="Q16" s="16" t="n">
        <x:v>2</x:v>
      </x:c>
      <x:c r="R16" s="16" t="n">
        <x:v>3</x:v>
      </x:c>
      <x:c r="S16" s="16" t="n">
        <x:v>3</x:v>
      </x:c>
      <x:c r="T16" s="16" t="n">
        <x:v>5</x:v>
      </x:c>
      <x:c r="U16" s="16" t="n">
        <x:v>5</x:v>
      </x:c>
      <x:c r="V16" s="16" t="str">
        <x:v>Pass 57 registry + Pass 167 NIFS-1</x:v>
      </x:c>
      <x:c r="W16" s="16" t="str">
        <x:f>IF(LEFT(B16,2)=RIGHT(D16,2),"PASS","FAIL")</x:f>
        <x:v>PASS</x:v>
      </x:c>
    </x:row>
    <x:row r="17" ht="48" hidden="0" customHeight="1">
      <x:c r="A17" s="16" t="str">
        <x:v>A-AAG</x:v>
      </x:c>
      <x:c r="B17" s="16" t="str">
        <x:v>ET-R4</x:v>
      </x:c>
      <x:c r="C17" s="16" t="str">
        <x:v>Austere air-access group</x:v>
      </x:c>
      <x:c r="D17" s="16" t="str">
        <x:v>MS-ET</x:v>
      </x:c>
      <x:c r="E17" s="16" t="str">
        <x:v>Mobility, access and distribution</x:v>
      </x:c>
      <x:c r="F17" s="18" t="n">
        <x:v>0.45</x:v>
      </x:c>
      <x:c r="G17" s="16" t="n">
        <x:v>36</x:v>
      </x:c>
      <x:c r="H17" s="16" t="n">
        <x:v>84</x:v>
      </x:c>
      <x:c r="I17" s="16" t="n">
        <x:v>88200</x:v>
      </x:c>
      <x:c r="J17" s="19" t="n">
        <x:v>210</x:v>
      </x:c>
      <x:c r="K17" s="19" t="n">
        <x:v>19.8</x:v>
      </x:c>
      <x:c r="L17" s="16" t="n">
        <x:v>2</x:v>
      </x:c>
      <x:c r="M17" s="16" t="n">
        <x:v>4</x:v>
      </x:c>
      <x:c r="N17" s="16" t="n">
        <x:v>6</x:v>
      </x:c>
      <x:c r="O17" s="16" t="n">
        <x:v>3</x:v>
      </x:c>
      <x:c r="P17" s="16" t="n">
        <x:v>2</x:v>
      </x:c>
      <x:c r="Q17" s="16" t="n">
        <x:v>2</x:v>
      </x:c>
      <x:c r="R17" s="16" t="n">
        <x:v>4</x:v>
      </x:c>
      <x:c r="S17" s="16" t="n">
        <x:v>3</x:v>
      </x:c>
      <x:c r="T17" s="16" t="n">
        <x:v>5</x:v>
      </x:c>
      <x:c r="U17" s="16" t="n">
        <x:v>5</x:v>
      </x:c>
      <x:c r="V17" s="16" t="str">
        <x:v>Pass 57 registry + Pass 167 NIFS-1</x:v>
      </x:c>
      <x:c r="W17" s="16" t="str">
        <x:f>IF(LEFT(B17,2)=RIGHT(D17,2),"PASS","FAIL")</x:f>
        <x:v>PASS</x:v>
      </x:c>
    </x:row>
    <x:row r="18" ht="48" hidden="0" customHeight="1">
      <x:c r="A18" s="16" t="str">
        <x:v>A-AHW</x:v>
      </x:c>
      <x:c r="B18" s="16" t="str">
        <x:v>HC-R1</x:v>
      </x:c>
      <x:c r="C18" s="16" t="str">
        <x:v>Aerial hazard-control wing</x:v>
      </x:c>
      <x:c r="D18" s="16" t="str">
        <x:v>MS-HC</x:v>
      </x:c>
      <x:c r="E18" s="16" t="str">
        <x:v>Hazard and environmental control</x:v>
      </x:c>
      <x:c r="F18" s="18" t="n">
        <x:v>0.45</x:v>
      </x:c>
      <x:c r="G18" s="16" t="n">
        <x:v>22</x:v>
      </x:c>
      <x:c r="H18" s="16" t="n">
        <x:v>51</x:v>
      </x:c>
      <x:c r="I18" s="16" t="n">
        <x:v>91800</x:v>
      </x:c>
      <x:c r="J18" s="19" t="n">
        <x:v>306</x:v>
      </x:c>
      <x:c r="K18" s="19" t="n">
        <x:v>12.100000000000001</x:v>
      </x:c>
      <x:c r="L18" s="16" t="n">
        <x:v>1</x:v>
      </x:c>
      <x:c r="M18" s="16" t="n">
        <x:v>2</x:v>
      </x:c>
      <x:c r="N18" s="16" t="n">
        <x:v>2</x:v>
      </x:c>
      <x:c r="O18" s="16" t="n">
        <x:v>10</x:v>
      </x:c>
      <x:c r="P18" s="16" t="n">
        <x:v>2</x:v>
      </x:c>
      <x:c r="Q18" s="16" t="n">
        <x:v>0</x:v>
      </x:c>
      <x:c r="R18" s="16" t="n">
        <x:v>1</x:v>
      </x:c>
      <x:c r="S18" s="16" t="n">
        <x:v>1</x:v>
      </x:c>
      <x:c r="T18" s="16" t="n">
        <x:v>2</x:v>
      </x:c>
      <x:c r="U18" s="16" t="n">
        <x:v>1</x:v>
      </x:c>
      <x:c r="V18" s="16" t="str">
        <x:v>Pass 57 registry + Pass 167 NIFS-1</x:v>
      </x:c>
      <x:c r="W18" s="16" t="str">
        <x:f>IF(LEFT(B18,2)=RIGHT(D18,2),"PASS","FAIL")</x:f>
        <x:v>PASS</x:v>
      </x:c>
    </x:row>
    <x:row r="19" ht="48" hidden="0" customHeight="1">
      <x:c r="A19" s="16" t="str">
        <x:v>A-TDG</x:v>
      </x:c>
      <x:c r="B19" s="16" t="str">
        <x:v>ET-R4</x:v>
      </x:c>
      <x:c r="C19" s="16" t="str">
        <x:v>Tactical distribution group</x:v>
      </x:c>
      <x:c r="D19" s="16" t="str">
        <x:v>MS-ET</x:v>
      </x:c>
      <x:c r="E19" s="16" t="str">
        <x:v>Mobility, access and distribution</x:v>
      </x:c>
      <x:c r="F19" s="18" t="n">
        <x:v>0.45</x:v>
      </x:c>
      <x:c r="G19" s="16" t="n">
        <x:v>58</x:v>
      </x:c>
      <x:c r="H19" s="16" t="n">
        <x:v>134</x:v>
      </x:c>
      <x:c r="I19" s="16" t="n">
        <x:v>180900</x:v>
      </x:c>
      <x:c r="J19" s="19" t="n">
        <x:v>402</x:v>
      </x:c>
      <x:c r="K19" s="19" t="n">
        <x:v>31.900000000000002</x:v>
      </x:c>
      <x:c r="L19" s="16" t="n">
        <x:v>4</x:v>
      </x:c>
      <x:c r="M19" s="16" t="n">
        <x:v>6</x:v>
      </x:c>
      <x:c r="N19" s="16" t="n">
        <x:v>8</x:v>
      </x:c>
      <x:c r="O19" s="16" t="n">
        <x:v>5</x:v>
      </x:c>
      <x:c r="P19" s="16" t="n">
        <x:v>4</x:v>
      </x:c>
      <x:c r="Q19" s="16" t="n">
        <x:v>4</x:v>
      </x:c>
      <x:c r="R19" s="16" t="n">
        <x:v>6</x:v>
      </x:c>
      <x:c r="S19" s="16" t="n">
        <x:v>5</x:v>
      </x:c>
      <x:c r="T19" s="16" t="n">
        <x:v>8</x:v>
      </x:c>
      <x:c r="U19" s="16" t="n">
        <x:v>8</x:v>
      </x:c>
      <x:c r="V19" s="16" t="str">
        <x:v>Pass 57 registry + Pass 167 NIFS-1</x:v>
      </x:c>
      <x:c r="W19" s="16" t="str">
        <x:f>IF(LEFT(B19,2)=RIGHT(D19,2),"PASS","FAIL")</x:f>
        <x:v>PASS</x:v>
      </x:c>
    </x:row>
    <x:row r="20" ht="72" hidden="0" customHeight="1">
      <x:c r="A20" s="16" t="str">
        <x:v>A-SRG</x:v>
      </x:c>
      <x:c r="B20" s="16" t="str">
        <x:v>CT-R2</x:v>
      </x:c>
      <x:c r="C20" s="16" t="str">
        <x:v>Air sensing and relay group</x:v>
      </x:c>
      <x:c r="D20" s="16" t="str">
        <x:v>MS-CT</x:v>
      </x:c>
      <x:c r="E20" s="16" t="str">
        <x:v>Communications, computation and public-service access</x:v>
      </x:c>
      <x:c r="F20" s="18" t="n">
        <x:v>0.45</x:v>
      </x:c>
      <x:c r="G20" s="16" t="n">
        <x:v>40</x:v>
      </x:c>
      <x:c r="H20" s="16" t="n">
        <x:v>93</x:v>
      </x:c>
      <x:c r="I20" s="16" t="n">
        <x:v>50220</x:v>
      </x:c>
      <x:c r="J20" s="19" t="n">
        <x:v>111.6</x:v>
      </x:c>
      <x:c r="K20" s="19" t="n">
        <x:v>22</x:v>
      </x:c>
      <x:c r="L20" s="16" t="n">
        <x:v>3</x:v>
      </x:c>
      <x:c r="M20" s="16" t="n">
        <x:v>4</x:v>
      </x:c>
      <x:c r="N20" s="16" t="n">
        <x:v>5</x:v>
      </x:c>
      <x:c r="O20" s="16" t="n">
        <x:v>5</x:v>
      </x:c>
      <x:c r="P20" s="16" t="n">
        <x:v>3</x:v>
      </x:c>
      <x:c r="Q20" s="16" t="n">
        <x:v>3</x:v>
      </x:c>
      <x:c r="R20" s="16" t="n">
        <x:v>4</x:v>
      </x:c>
      <x:c r="S20" s="16" t="n">
        <x:v>3</x:v>
      </x:c>
      <x:c r="T20" s="16" t="n">
        <x:v>5</x:v>
      </x:c>
      <x:c r="U20" s="16" t="n">
        <x:v>5</x:v>
      </x:c>
      <x:c r="V20" s="16" t="str">
        <x:v>Pass 57 registry + Pass 167 NIFS-1</x:v>
      </x:c>
      <x:c r="W20" s="16" t="str">
        <x:f>IF(LEFT(B20,2)=RIGHT(D20,2),"PASS","FAIL")</x:f>
        <x:v>PASS</x:v>
      </x:c>
    </x:row>
    <x:row r="21" ht="48" hidden="0" customHeight="1">
      <x:c r="A21" s="16" t="str">
        <x:v>A-AMG</x:v>
      </x:c>
      <x:c r="B21" s="16" t="str">
        <x:v>HU-R3</x:v>
      </x:c>
      <x:c r="C21" s="16" t="str">
        <x:v>Aeromedical movement group</x:v>
      </x:c>
      <x:c r="D21" s="16" t="str">
        <x:v>MS-HU</x:v>
      </x:c>
      <x:c r="E21" s="16" t="str">
        <x:v>Health and medical continuity</x:v>
      </x:c>
      <x:c r="F21" s="18" t="n">
        <x:v>0.45</x:v>
      </x:c>
      <x:c r="G21" s="16" t="n">
        <x:v>31</x:v>
      </x:c>
      <x:c r="H21" s="16" t="n">
        <x:v>72</x:v>
      </x:c>
      <x:c r="I21" s="16" t="n">
        <x:v>64800</x:v>
      </x:c>
      <x:c r="J21" s="19" t="n">
        <x:v>180</x:v>
      </x:c>
      <x:c r="K21" s="19" t="n">
        <x:v>17.05</x:v>
      </x:c>
      <x:c r="L21" s="16" t="n">
        <x:v>2</x:v>
      </x:c>
      <x:c r="M21" s="16" t="n">
        <x:v>3</x:v>
      </x:c>
      <x:c r="N21" s="16" t="n">
        <x:v>5</x:v>
      </x:c>
      <x:c r="O21" s="16" t="n">
        <x:v>2</x:v>
      </x:c>
      <x:c r="P21" s="16" t="n">
        <x:v>3</x:v>
      </x:c>
      <x:c r="Q21" s="16" t="n">
        <x:v>2</x:v>
      </x:c>
      <x:c r="R21" s="16" t="n">
        <x:v>3</x:v>
      </x:c>
      <x:c r="S21" s="16" t="n">
        <x:v>2</x:v>
      </x:c>
      <x:c r="T21" s="16" t="n">
        <x:v>5</x:v>
      </x:c>
      <x:c r="U21" s="16" t="n">
        <x:v>4</x:v>
      </x:c>
      <x:c r="V21" s="16" t="str">
        <x:v>Pass 57 registry + Pass 167 NIFS-1</x:v>
      </x:c>
      <x:c r="W21" s="16" t="str">
        <x:f>IF(LEFT(B21,2)=RIGHT(D21,2),"PASS","FAIL")</x:f>
        <x:v>PASS</x:v>
      </x:c>
    </x:row>
    <x:row r="22" ht="48" hidden="0" customHeight="1">
      <x:c r="A22" s="16" t="str">
        <x:v>M-POG</x:v>
      </x:c>
      <x:c r="B22" s="16" t="str">
        <x:v>ET-R3</x:v>
      </x:c>
      <x:c r="C22" s="16" t="str">
        <x:v>Port-opening group</x:v>
      </x:c>
      <x:c r="D22" s="16" t="str">
        <x:v>MS-ET</x:v>
      </x:c>
      <x:c r="E22" s="16" t="str">
        <x:v>Mobility, access and distribution</x:v>
      </x:c>
      <x:c r="F22" s="18" t="n">
        <x:v>0.45</x:v>
      </x:c>
      <x:c r="G22" s="16" t="n">
        <x:v>32</x:v>
      </x:c>
      <x:c r="H22" s="16" t="n">
        <x:v>74</x:v>
      </x:c>
      <x:c r="I22" s="16" t="n">
        <x:v>99900</x:v>
      </x:c>
      <x:c r="J22" s="19" t="n">
        <x:v>222</x:v>
      </x:c>
      <x:c r="K22" s="19" t="n">
        <x:v>17.6</x:v>
      </x:c>
      <x:c r="L22" s="16" t="n">
        <x:v>1</x:v>
      </x:c>
      <x:c r="M22" s="16" t="n">
        <x:v>5</x:v>
      </x:c>
      <x:c r="N22" s="16" t="n">
        <x:v>8</x:v>
      </x:c>
      <x:c r="O22" s="16" t="n">
        <x:v>0</x:v>
      </x:c>
      <x:c r="P22" s="16" t="n">
        <x:v>0</x:v>
      </x:c>
      <x:c r="Q22" s="16" t="n">
        <x:v>1</x:v>
      </x:c>
      <x:c r="R22" s="16" t="n">
        <x:v>1</x:v>
      </x:c>
      <x:c r="S22" s="16" t="n">
        <x:v>2</x:v>
      </x:c>
      <x:c r="T22" s="16" t="n">
        <x:v>8</x:v>
      </x:c>
      <x:c r="U22" s="16" t="n">
        <x:v>6</x:v>
      </x:c>
      <x:c r="V22" s="16" t="str">
        <x:v>Pass 57 registry + Pass 167 NIFS-1</x:v>
      </x:c>
      <x:c r="W22" s="16" t="str">
        <x:f>IF(LEFT(B22,2)=RIGHT(D22,2),"PASS","FAIL")</x:f>
        <x:v>PASS</x:v>
      </x:c>
    </x:row>
    <x:row r="23" ht="48" hidden="0" customHeight="1">
      <x:c r="A23" s="16" t="str">
        <x:v>M-LAG</x:v>
      </x:c>
      <x:c r="B23" s="16" t="str">
        <x:v>ET-R3</x:v>
      </x:c>
      <x:c r="C23" s="16" t="str">
        <x:v>Littoral-access group</x:v>
      </x:c>
      <x:c r="D23" s="16" t="str">
        <x:v>MS-ET</x:v>
      </x:c>
      <x:c r="E23" s="16" t="str">
        <x:v>Mobility, access and distribution</x:v>
      </x:c>
      <x:c r="F23" s="18" t="n">
        <x:v>0.45</x:v>
      </x:c>
      <x:c r="G23" s="16" t="n">
        <x:v>37</x:v>
      </x:c>
      <x:c r="H23" s="16" t="n">
        <x:v>86</x:v>
      </x:c>
      <x:c r="I23" s="16" t="n">
        <x:v>90300</x:v>
      </x:c>
      <x:c r="J23" s="19" t="n">
        <x:v>172</x:v>
      </x:c>
      <x:c r="K23" s="19" t="n">
        <x:v>20.35</x:v>
      </x:c>
      <x:c r="L23" s="16" t="n">
        <x:v>1</x:v>
      </x:c>
      <x:c r="M23" s="16" t="n">
        <x:v>6</x:v>
      </x:c>
      <x:c r="N23" s="16" t="n">
        <x:v>8</x:v>
      </x:c>
      <x:c r="O23" s="16" t="n">
        <x:v>0</x:v>
      </x:c>
      <x:c r="P23" s="16" t="n">
        <x:v>0</x:v>
      </x:c>
      <x:c r="Q23" s="16" t="n">
        <x:v>2</x:v>
      </x:c>
      <x:c r="R23" s="16" t="n">
        <x:v>1</x:v>
      </x:c>
      <x:c r="S23" s="16" t="n">
        <x:v>3</x:v>
      </x:c>
      <x:c r="T23" s="16" t="n">
        <x:v>8</x:v>
      </x:c>
      <x:c r="U23" s="16" t="n">
        <x:v>8</x:v>
      </x:c>
      <x:c r="V23" s="16" t="str">
        <x:v>Pass 57 registry + Pass 167 NIFS-1</x:v>
      </x:c>
      <x:c r="W23" s="16" t="str">
        <x:f>IF(LEFT(B23,2)=RIGHT(D23,2),"PASS","FAIL")</x:f>
        <x:v>PASS</x:v>
      </x:c>
    </x:row>
    <x:row r="24" ht="48" hidden="0" customHeight="1">
      <x:c r="A24" s="16" t="str">
        <x:v>M-IWG</x:v>
      </x:c>
      <x:c r="B24" s="16" t="str">
        <x:v>ET-R3</x:v>
      </x:c>
      <x:c r="C24" s="16" t="str">
        <x:v>Inland-waterway group</x:v>
      </x:c>
      <x:c r="D24" s="16" t="str">
        <x:v>MS-ET</x:v>
      </x:c>
      <x:c r="E24" s="16" t="str">
        <x:v>Mobility, access and distribution</x:v>
      </x:c>
      <x:c r="F24" s="18" t="n">
        <x:v>0.45</x:v>
      </x:c>
      <x:c r="G24" s="16" t="n">
        <x:v>29</x:v>
      </x:c>
      <x:c r="H24" s="16" t="n">
        <x:v>67</x:v>
      </x:c>
      <x:c r="I24" s="16" t="n">
        <x:v>50250</x:v>
      </x:c>
      <x:c r="J24" s="19" t="n">
        <x:v>100.5</x:v>
      </x:c>
      <x:c r="K24" s="19" t="n">
        <x:v>15.950000000000001</x:v>
      </x:c>
      <x:c r="L24" s="16" t="n">
        <x:v>2</x:v>
      </x:c>
      <x:c r="M24" s="16" t="n">
        <x:v>3</x:v>
      </x:c>
      <x:c r="N24" s="16" t="n">
        <x:v>2</x:v>
      </x:c>
      <x:c r="O24" s="16" t="n">
        <x:v>0</x:v>
      </x:c>
      <x:c r="P24" s="16" t="n">
        <x:v>0</x:v>
      </x:c>
      <x:c r="Q24" s="16" t="n">
        <x:v>8</x:v>
      </x:c>
      <x:c r="R24" s="16" t="n">
        <x:v>3</x:v>
      </x:c>
      <x:c r="S24" s="16" t="n">
        <x:v>4</x:v>
      </x:c>
      <x:c r="T24" s="16" t="n">
        <x:v>1</x:v>
      </x:c>
      <x:c r="U24" s="16" t="n">
        <x:v>6</x:v>
      </x:c>
      <x:c r="V24" s="16" t="str">
        <x:v>Pass 57 registry + Pass 167 NIFS-1</x:v>
      </x:c>
      <x:c r="W24" s="16" t="str">
        <x:f>IF(LEFT(B24,2)=RIGHT(D24,2),"PASS","FAIL")</x:f>
        <x:v>PASS</x:v>
      </x:c>
    </x:row>
    <x:row r="25" ht="60" hidden="0" customHeight="1">
      <x:c r="A25" s="16" t="str">
        <x:v>M-OSG</x:v>
      </x:c>
      <x:c r="B25" s="16" t="str">
        <x:v>RT-R1</x:v>
      </x:c>
      <x:c r="C25" s="16" t="str">
        <x:v>Offshore-support group</x:v>
      </x:c>
      <x:c r="D25" s="16" t="str">
        <x:v>MS-RT</x:v>
      </x:c>
      <x:c r="E25" s="16" t="str">
        <x:v>Housing, public works and economic continuity</x:v>
      </x:c>
      <x:c r="F25" s="18" t="n">
        <x:v>0.45</x:v>
      </x:c>
      <x:c r="G25" s="16" t="n">
        <x:v>24</x:v>
      </x:c>
      <x:c r="H25" s="16" t="n">
        <x:v>56</x:v>
      </x:c>
      <x:c r="I25" s="16" t="n">
        <x:v>117600</x:v>
      </x:c>
      <x:c r="J25" s="19" t="n">
        <x:v>392</x:v>
      </x:c>
      <x:c r="K25" s="19" t="n">
        <x:v>13.200000000000001</x:v>
      </x:c>
      <x:c r="L25" s="16" t="n">
        <x:v>1</x:v>
      </x:c>
      <x:c r="M25" s="16" t="n">
        <x:v>3</x:v>
      </x:c>
      <x:c r="N25" s="16" t="n">
        <x:v>4</x:v>
      </x:c>
      <x:c r="O25" s="16" t="n">
        <x:v>0</x:v>
      </x:c>
      <x:c r="P25" s="16" t="n">
        <x:v>0</x:v>
      </x:c>
      <x:c r="Q25" s="16" t="n">
        <x:v>1</x:v>
      </x:c>
      <x:c r="R25" s="16" t="n">
        <x:v>1</x:v>
      </x:c>
      <x:c r="S25" s="16" t="n">
        <x:v>3</x:v>
      </x:c>
      <x:c r="T25" s="16" t="n">
        <x:v>6</x:v>
      </x:c>
      <x:c r="U25" s="16" t="n">
        <x:v>5</x:v>
      </x:c>
      <x:c r="V25" s="16" t="str">
        <x:v>Pass 57 registry + Pass 167 NIFS-1</x:v>
      </x:c>
      <x:c r="W25" s="16" t="str">
        <x:f>IF(LEFT(B25,2)=RIGHT(D25,2),"PASS","FAIL")</x:f>
        <x:v>PASS</x:v>
      </x:c>
    </x:row>
    <x:row r="26" ht="48" hidden="0" customHeight="1">
      <x:c r="A26" s="16" t="str">
        <x:v>M-MPG</x:v>
      </x:c>
      <x:c r="B26" s="16" t="str">
        <x:v>LF-R1</x:v>
      </x:c>
      <x:c r="C26" s="16" t="str">
        <x:v>Maritime production group</x:v>
      </x:c>
      <x:c r="D26" s="16" t="str">
        <x:v>MS-LF</x:v>
      </x:c>
      <x:c r="E26" s="16" t="str">
        <x:v>Water, sanitation and hygiene</x:v>
      </x:c>
      <x:c r="F26" s="18" t="n">
        <x:v>0.8</x:v>
      </x:c>
      <x:c r="G26" s="16" t="n">
        <x:v>28</x:v>
      </x:c>
      <x:c r="H26" s="16" t="n">
        <x:v>65</x:v>
      </x:c>
      <x:c r="I26" s="16" t="n">
        <x:v>175500</x:v>
      </x:c>
      <x:c r="J26" s="19" t="n">
        <x:v>97.5</x:v>
      </x:c>
      <x:c r="K26" s="19" t="n">
        <x:v>5.599999999999999</x:v>
      </x:c>
      <x:c r="L26" s="16" t="n">
        <x:v>2</x:v>
      </x:c>
      <x:c r="M26" s="16" t="n">
        <x:v>4</x:v>
      </x:c>
      <x:c r="N26" s="16" t="n">
        <x:v>4</x:v>
      </x:c>
      <x:c r="O26" s="16" t="n">
        <x:v>1</x:v>
      </x:c>
      <x:c r="P26" s="16" t="n">
        <x:v>2</x:v>
      </x:c>
      <x:c r="Q26" s="16" t="n">
        <x:v>2</x:v>
      </x:c>
      <x:c r="R26" s="16" t="n">
        <x:v>1</x:v>
      </x:c>
      <x:c r="S26" s="16" t="n">
        <x:v>4</x:v>
      </x:c>
      <x:c r="T26" s="16" t="n">
        <x:v>4</x:v>
      </x:c>
      <x:c r="U26" s="16" t="n">
        <x:v>4</x:v>
      </x:c>
      <x:c r="V26" s="16" t="str">
        <x:v>Pass 57 registry + Pass 167 NIFS-1</x:v>
      </x:c>
      <x:c r="W26" s="16" t="str">
        <x:f>IF(LEFT(B26,2)=RIGHT(D26,2),"PASS","FAIL")</x:f>
        <x:v>PASS</x:v>
      </x:c>
    </x:row>
    <x:row r="27" ht="48" hidden="0" customHeight="1">
      <x:c r="A27" s="16" t="str">
        <x:v>M-SSG</x:v>
      </x:c>
      <x:c r="B27" s="16" t="str">
        <x:v>RT-R1</x:v>
      </x:c>
      <x:c r="C27" s="16" t="str">
        <x:v>Ocean sustainment group</x:v>
      </x:c>
      <x:c r="D27" s="16" t="str">
        <x:v>MS-RT</x:v>
      </x:c>
      <x:c r="E27" s="16" t="str">
        <x:v>Mobility, access and distribution</x:v>
      </x:c>
      <x:c r="F27" s="18" t="n">
        <x:v>0.45</x:v>
      </x:c>
      <x:c r="G27" s="16" t="n">
        <x:v>38</x:v>
      </x:c>
      <x:c r="H27" s="16" t="n">
        <x:v>88</x:v>
      </x:c>
      <x:c r="I27" s="16" t="n">
        <x:v>171600</x:v>
      </x:c>
      <x:c r="J27" s="19" t="n">
        <x:v>792</x:v>
      </x:c>
      <x:c r="K27" s="19" t="n">
        <x:v>20.900000000000002</x:v>
      </x:c>
      <x:c r="L27" s="16" t="n">
        <x:v>2</x:v>
      </x:c>
      <x:c r="M27" s="16" t="n">
        <x:v>4</x:v>
      </x:c>
      <x:c r="N27" s="16" t="n">
        <x:v>6</x:v>
      </x:c>
      <x:c r="O27" s="16" t="n">
        <x:v>1</x:v>
      </x:c>
      <x:c r="P27" s="16" t="n">
        <x:v>1</x:v>
      </x:c>
      <x:c r="Q27" s="16" t="n">
        <x:v>2</x:v>
      </x:c>
      <x:c r="R27" s="16" t="n">
        <x:v>2</x:v>
      </x:c>
      <x:c r="S27" s="16" t="n">
        <x:v>4</x:v>
      </x:c>
      <x:c r="T27" s="16" t="n">
        <x:v>8</x:v>
      </x:c>
      <x:c r="U27" s="16" t="n">
        <x:v>8</x:v>
      </x:c>
      <x:c r="V27" s="16" t="str">
        <x:v>Pass 57 registry + Pass 167 NIFS-1</x:v>
      </x:c>
      <x:c r="W27" s="16" t="str">
        <x:f>IF(LEFT(B27,2)=RIGHT(D27,2),"PASS","FAIL")</x:f>
        <x:v>PASS</x:v>
      </x:c>
    </x:row>
    <x:row r="28" ht="48" hidden="0" customHeight="1">
      <x:c r="A28" s="16" t="str">
        <x:v>I-WRG</x:v>
      </x:c>
      <x:c r="B28" s="16" t="str">
        <x:v>LF-R2</x:v>
      </x:c>
      <x:c r="C28" s="16" t="str">
        <x:v>Water restoration group</x:v>
      </x:c>
      <x:c r="D28" s="16" t="str">
        <x:v>MS-LF</x:v>
      </x:c>
      <x:c r="E28" s="16" t="str">
        <x:v>Water, sanitation and hygiene</x:v>
      </x:c>
      <x:c r="F28" s="18" t="n">
        <x:v>0.8</x:v>
      </x:c>
      <x:c r="G28" s="16" t="n">
        <x:v>54</x:v>
      </x:c>
      <x:c r="H28" s="16" t="n">
        <x:v>116</x:v>
      </x:c>
      <x:c r="I28" s="16" t="n">
        <x:v>737760</x:v>
      </x:c>
      <x:c r="J28" s="19" t="n">
        <x:v>174</x:v>
      </x:c>
      <x:c r="K28" s="19" t="n">
        <x:v>10.799999999999997</x:v>
      </x:c>
      <x:c r="L28" s="16" t="n">
        <x:v>6</x:v>
      </x:c>
      <x:c r="M28" s="16" t="n">
        <x:v>6</x:v>
      </x:c>
      <x:c r="N28" s="16" t="n">
        <x:v>8</x:v>
      </x:c>
      <x:c r="O28" s="16" t="n">
        <x:v>2</x:v>
      </x:c>
      <x:c r="P28" s="16" t="n">
        <x:v>2</x:v>
      </x:c>
      <x:c r="Q28" s="16" t="n">
        <x:v>4</x:v>
      </x:c>
      <x:c r="R28" s="16" t="n">
        <x:v>3</x:v>
      </x:c>
      <x:c r="S28" s="16" t="n">
        <x:v>8</x:v>
      </x:c>
      <x:c r="T28" s="16" t="n">
        <x:v>8</x:v>
      </x:c>
      <x:c r="U28" s="16" t="n">
        <x:v>7</x:v>
      </x:c>
      <x:c r="V28" s="16" t="str">
        <x:v>Pass 57 registry + Pass 167 NIFS-1</x:v>
      </x:c>
      <x:c r="W28" s="16" t="str">
        <x:f>IF(LEFT(B28,2)=RIGHT(D28,2),"PASS","FAIL")</x:f>
        <x:v>PASS</x:v>
      </x:c>
    </x:row>
    <x:row r="29" ht="48" hidden="0" customHeight="1">
      <x:c r="A29" s="16" t="str">
        <x:v>I-PRG</x:v>
      </x:c>
      <x:c r="B29" s="16" t="str">
        <x:v>LF-R3</x:v>
      </x:c>
      <x:c r="C29" s="16" t="str">
        <x:v>Power restoration group</x:v>
      </x:c>
      <x:c r="D29" s="16" t="str">
        <x:v>MS-LF</x:v>
      </x:c>
      <x:c r="E29" s="16" t="str">
        <x:v>Energy and thermal continuity</x:v>
      </x:c>
      <x:c r="F29" s="18" t="n">
        <x:v>0.8</x:v>
      </x:c>
      <x:c r="G29" s="16" t="n">
        <x:v>63</x:v>
      </x:c>
      <x:c r="H29" s="16" t="n">
        <x:v>135</x:v>
      </x:c>
      <x:c r="I29" s="16" t="n">
        <x:v>891000</x:v>
      </x:c>
      <x:c r="J29" s="19" t="n">
        <x:v>270</x:v>
      </x:c>
      <x:c r="K29" s="19" t="n">
        <x:v>12.599999999999998</x:v>
      </x:c>
      <x:c r="L29" s="16" t="n">
        <x:v>8</x:v>
      </x:c>
      <x:c r="M29" s="16" t="n">
        <x:v>6</x:v>
      </x:c>
      <x:c r="N29" s="16" t="n">
        <x:v>10</x:v>
      </x:c>
      <x:c r="O29" s="16" t="n">
        <x:v>3</x:v>
      </x:c>
      <x:c r="P29" s="16" t="n">
        <x:v>6</x:v>
      </x:c>
      <x:c r="Q29" s="16" t="n">
        <x:v>5</x:v>
      </x:c>
      <x:c r="R29" s="16" t="n">
        <x:v>4</x:v>
      </x:c>
      <x:c r="S29" s="16" t="n">
        <x:v>6</x:v>
      </x:c>
      <x:c r="T29" s="16" t="n">
        <x:v>8</x:v>
      </x:c>
      <x:c r="U29" s="16" t="n">
        <x:v>7</x:v>
      </x:c>
      <x:c r="V29" s="16" t="str">
        <x:v>Pass 57 registry + Pass 167 NIFS-1</x:v>
      </x:c>
      <x:c r="W29" s="16" t="str">
        <x:f>IF(LEFT(B29,2)=RIGHT(D29,2),"PASS","FAIL")</x:f>
        <x:v>PASS</x:v>
      </x:c>
    </x:row>
    <x:row r="30" ht="48" hidden="0" customHeight="1">
      <x:c r="A30" s="16" t="str">
        <x:v>I-GBG</x:v>
      </x:c>
      <x:c r="B30" s="16" t="str">
        <x:v>LF-R4</x:v>
      </x:c>
      <x:c r="C30" s="16" t="str">
        <x:v>Grid bridge group</x:v>
      </x:c>
      <x:c r="D30" s="16" t="str">
        <x:v>MS-LF</x:v>
      </x:c>
      <x:c r="E30" s="16" t="str">
        <x:v>Energy and thermal continuity</x:v>
      </x:c>
      <x:c r="F30" s="18" t="n">
        <x:v>0.5</x:v>
      </x:c>
      <x:c r="G30" s="16" t="n">
        <x:v>48</x:v>
      </x:c>
      <x:c r="H30" s="16" t="n">
        <x:v>103</x:v>
      </x:c>
      <x:c r="I30" s="16" t="n">
        <x:v>432600</x:v>
      </x:c>
      <x:c r="J30" s="19" t="n">
        <x:v>154.5</x:v>
      </x:c>
      <x:c r="K30" s="19" t="n">
        <x:v>24</x:v>
      </x:c>
      <x:c r="L30" s="16" t="n">
        <x:v>6</x:v>
      </x:c>
      <x:c r="M30" s="16" t="n">
        <x:v>5</x:v>
      </x:c>
      <x:c r="N30" s="16" t="n">
        <x:v>8</x:v>
      </x:c>
      <x:c r="O30" s="16" t="n">
        <x:v>2</x:v>
      </x:c>
      <x:c r="P30" s="16" t="n">
        <x:v>5</x:v>
      </x:c>
      <x:c r="Q30" s="16" t="n">
        <x:v>4</x:v>
      </x:c>
      <x:c r="R30" s="16" t="n">
        <x:v>3</x:v>
      </x:c>
      <x:c r="S30" s="16" t="n">
        <x:v>4</x:v>
      </x:c>
      <x:c r="T30" s="16" t="n">
        <x:v>6</x:v>
      </x:c>
      <x:c r="U30" s="16" t="n">
        <x:v>5</x:v>
      </x:c>
      <x:c r="V30" s="16" t="str">
        <x:v>Pass 57 registry + Pass 167 NIFS-1</x:v>
      </x:c>
      <x:c r="W30" s="16" t="str">
        <x:f>IF(LEFT(B30,2)=RIGHT(D30,2),"PASS","FAIL")</x:f>
        <x:v>PASS</x:v>
      </x:c>
    </x:row>
    <x:row r="31" ht="48" hidden="0" customHeight="1">
      <x:c r="A31" s="16" t="str">
        <x:v>I-TSG</x:v>
      </x:c>
      <x:c r="B31" s="16" t="str">
        <x:v>LF-R5</x:v>
      </x:c>
      <x:c r="C31" s="16" t="str">
        <x:v>Thermal safety group</x:v>
      </x:c>
      <x:c r="D31" s="16" t="str">
        <x:v>MS-LF</x:v>
      </x:c>
      <x:c r="E31" s="16" t="str">
        <x:v>Energy and thermal continuity</x:v>
      </x:c>
      <x:c r="F31" s="18" t="n">
        <x:v>0.45</x:v>
      </x:c>
      <x:c r="G31" s="16" t="n">
        <x:v>63</x:v>
      </x:c>
      <x:c r="H31" s="16" t="n">
        <x:v>135</x:v>
      </x:c>
      <x:c r="I31" s="16" t="n">
        <x:v>101250</x:v>
      </x:c>
      <x:c r="J31" s="19" t="n">
        <x:v>108</x:v>
      </x:c>
      <x:c r="K31" s="19" t="n">
        <x:v>34.650000000000006</x:v>
      </x:c>
      <x:c r="L31" s="16" t="n">
        <x:v>12</x:v>
      </x:c>
      <x:c r="M31" s="16" t="n">
        <x:v>6</x:v>
      </x:c>
      <x:c r="N31" s="16" t="n">
        <x:v>8</x:v>
      </x:c>
      <x:c r="O31" s="16" t="n">
        <x:v>4</x:v>
      </x:c>
      <x:c r="P31" s="16" t="n">
        <x:v>10</x:v>
      </x:c>
      <x:c r="Q31" s="16" t="n">
        <x:v>3</x:v>
      </x:c>
      <x:c r="R31" s="16" t="n">
        <x:v>4</x:v>
      </x:c>
      <x:c r="S31" s="16" t="n">
        <x:v>5</x:v>
      </x:c>
      <x:c r="T31" s="16" t="n">
        <x:v>6</x:v>
      </x:c>
      <x:c r="U31" s="16" t="n">
        <x:v>5</x:v>
      </x:c>
      <x:c r="V31" s="16" t="str">
        <x:v>Pass 57 registry + Pass 167 NIFS-1</x:v>
      </x:c>
      <x:c r="W31" s="16" t="str">
        <x:f>IF(LEFT(B31,2)=RIGHT(D31,2),"PASS","FAIL")</x:f>
        <x:v>PASS</x:v>
      </x:c>
    </x:row>
    <x:row r="32" ht="72" hidden="0" customHeight="1">
      <x:c r="A32" s="16" t="str">
        <x:v>I-CUG</x:v>
      </x:c>
      <x:c r="B32" s="16" t="str">
        <x:v>CT-R3</x:v>
      </x:c>
      <x:c r="C32" s="16" t="str">
        <x:v>Communications utility group</x:v>
      </x:c>
      <x:c r="D32" s="16" t="str">
        <x:v>MS-CT</x:v>
      </x:c>
      <x:c r="E32" s="16" t="str">
        <x:v>Communications, computation and public-service access</x:v>
      </x:c>
      <x:c r="F32" s="18" t="n">
        <x:v>0.45</x:v>
      </x:c>
      <x:c r="G32" s="16" t="n">
        <x:v>59</x:v>
      </x:c>
      <x:c r="H32" s="16" t="n">
        <x:v>127</x:v>
      </x:c>
      <x:c r="I32" s="16" t="n">
        <x:v>95250</x:v>
      </x:c>
      <x:c r="J32" s="19" t="n">
        <x:v>127</x:v>
      </x:c>
      <x:c r="K32" s="19" t="n">
        <x:v>32.45</x:v>
      </x:c>
      <x:c r="L32" s="16" t="n">
        <x:v>6</x:v>
      </x:c>
      <x:c r="M32" s="16" t="n">
        <x:v>6</x:v>
      </x:c>
      <x:c r="N32" s="16" t="n">
        <x:v>8</x:v>
      </x:c>
      <x:c r="O32" s="16" t="n">
        <x:v>4</x:v>
      </x:c>
      <x:c r="P32" s="16" t="n">
        <x:v>4</x:v>
      </x:c>
      <x:c r="Q32" s="16" t="n">
        <x:v>5</x:v>
      </x:c>
      <x:c r="R32" s="16" t="n">
        <x:v>5</x:v>
      </x:c>
      <x:c r="S32" s="16" t="n">
        <x:v>5</x:v>
      </x:c>
      <x:c r="T32" s="16" t="n">
        <x:v>8</x:v>
      </x:c>
      <x:c r="U32" s="16" t="n">
        <x:v>8</x:v>
      </x:c>
      <x:c r="V32" s="16" t="str">
        <x:v>Pass 57 registry + Pass 167 NIFS-1</x:v>
      </x:c>
      <x:c r="W32" s="16" t="str">
        <x:f>IF(LEFT(B32,2)=RIGHT(D32,2),"PASS","FAIL")</x:f>
        <x:v>PASS</x:v>
      </x:c>
    </x:row>
    <x:row r="33" ht="60" hidden="0" customHeight="1">
      <x:c r="A33" s="16" t="str">
        <x:v>I-URG</x:v>
      </x:c>
      <x:c r="B33" s="16" t="str">
        <x:v>RT-R3</x:v>
      </x:c>
      <x:c r="C33" s="16" t="str">
        <x:v>Utility reconstruction group</x:v>
      </x:c>
      <x:c r="D33" s="16" t="str">
        <x:v>MS-RT</x:v>
      </x:c>
      <x:c r="E33" s="16" t="str">
        <x:v>Housing, public works and economic continuity</x:v>
      </x:c>
      <x:c r="F33" s="18" t="n">
        <x:v>0.45</x:v>
      </x:c>
      <x:c r="G33" s="16" t="n">
        <x:v>73</x:v>
      </x:c>
      <x:c r="H33" s="16" t="n">
        <x:v>157</x:v>
      </x:c>
      <x:c r="I33" s="16" t="n">
        <x:v>211950</x:v>
      </x:c>
      <x:c r="J33" s="19" t="n">
        <x:v>314</x:v>
      </x:c>
      <x:c r="K33" s="19" t="n">
        <x:v>40.150000000000006</x:v>
      </x:c>
      <x:c r="L33" s="16" t="n">
        <x:v>8</x:v>
      </x:c>
      <x:c r="M33" s="16" t="n">
        <x:v>8</x:v>
      </x:c>
      <x:c r="N33" s="16" t="n">
        <x:v>12</x:v>
      </x:c>
      <x:c r="O33" s="16" t="n">
        <x:v>3</x:v>
      </x:c>
      <x:c r="P33" s="16" t="n">
        <x:v>4</x:v>
      </x:c>
      <x:c r="Q33" s="16" t="n">
        <x:v>6</x:v>
      </x:c>
      <x:c r="R33" s="16" t="n">
        <x:v>8</x:v>
      </x:c>
      <x:c r="S33" s="16" t="n">
        <x:v>6</x:v>
      </x:c>
      <x:c r="T33" s="16" t="n">
        <x:v>10</x:v>
      </x:c>
      <x:c r="U33" s="16" t="n">
        <x:v>8</x:v>
      </x:c>
      <x:c r="V33" s="16" t="str">
        <x:v>Pass 57 registry + Pass 167 NIFS-1</x:v>
      </x:c>
      <x:c r="W33" s="16" t="str">
        <x:f>IF(LEFT(B33,2)=RIGHT(D33,2),"PASS","FAIL")</x:f>
        <x:v>PASS</x:v>
      </x:c>
    </x:row>
    <x:row r="34" ht="48" hidden="0" customHeight="1">
      <x:c r="A34" s="16" t="str">
        <x:v>H-CHC</x:v>
      </x:c>
      <x:c r="B34" s="16" t="str">
        <x:v>HU-R1</x:v>
      </x:c>
      <x:c r="C34" s="16" t="str">
        <x:v>Community health continuity group</x:v>
      </x:c>
      <x:c r="D34" s="16" t="str">
        <x:v>MS-HU</x:v>
      </x:c>
      <x:c r="E34" s="16" t="str">
        <x:v>Health and medical continuity</x:v>
      </x:c>
      <x:c r="F34" s="18" t="n">
        <x:v>0.45</x:v>
      </x:c>
      <x:c r="G34" s="16" t="n">
        <x:v>75</x:v>
      </x:c>
      <x:c r="H34" s="16" t="n">
        <x:v>174</x:v>
      </x:c>
      <x:c r="I34" s="16" t="n">
        <x:v>295800</x:v>
      </x:c>
      <x:c r="J34" s="19" t="n">
        <x:v>208.79999999999998</x:v>
      </x:c>
      <x:c r="K34" s="19" t="n">
        <x:v>41.25</x:v>
      </x:c>
      <x:c r="L34" s="16" t="n">
        <x:v>8</x:v>
      </x:c>
      <x:c r="M34" s="16" t="n">
        <x:v>8</x:v>
      </x:c>
      <x:c r="N34" s="16" t="n">
        <x:v>10</x:v>
      </x:c>
      <x:c r="O34" s="16" t="n">
        <x:v>4</x:v>
      </x:c>
      <x:c r="P34" s="16" t="n">
        <x:v>8</x:v>
      </x:c>
      <x:c r="Q34" s="16" t="n">
        <x:v>5</x:v>
      </x:c>
      <x:c r="R34" s="16" t="n">
        <x:v>6</x:v>
      </x:c>
      <x:c r="S34" s="16" t="n">
        <x:v>6</x:v>
      </x:c>
      <x:c r="T34" s="16" t="n">
        <x:v>10</x:v>
      </x:c>
      <x:c r="U34" s="16" t="n">
        <x:v>10</x:v>
      </x:c>
      <x:c r="V34" s="16" t="str">
        <x:v>Pass 57 registry + Pass 167 NIFS-1</x:v>
      </x:c>
      <x:c r="W34" s="16" t="str">
        <x:f>IF(LEFT(B34,2)=RIGHT(D34,2),"PASS","FAIL")</x:f>
        <x:v>PASS</x:v>
      </x:c>
    </x:row>
    <x:row r="35" ht="48" hidden="0" customHeight="1">
      <x:c r="A35" s="16" t="str">
        <x:v>H-MAC</x:v>
      </x:c>
      <x:c r="B35" s="16" t="str">
        <x:v>HU-R2</x:v>
      </x:c>
      <x:c r="C35" s="16" t="str">
        <x:v>Mobile acute-care group</x:v>
      </x:c>
      <x:c r="D35" s="16" t="str">
        <x:v>MS-HU</x:v>
      </x:c>
      <x:c r="E35" s="16" t="str">
        <x:v>Health and medical continuity</x:v>
      </x:c>
      <x:c r="F35" s="18" t="n">
        <x:v>0.45</x:v>
      </x:c>
      <x:c r="G35" s="16" t="n">
        <x:v>49</x:v>
      </x:c>
      <x:c r="H35" s="16" t="n">
        <x:v>114</x:v>
      </x:c>
      <x:c r="I35" s="16" t="n">
        <x:v>232560</x:v>
      </x:c>
      <x:c r="J35" s="19" t="n">
        <x:v>285</x:v>
      </x:c>
      <x:c r="K35" s="19" t="n">
        <x:v>26.950000000000003</x:v>
      </x:c>
      <x:c r="L35" s="16" t="n">
        <x:v>4</x:v>
      </x:c>
      <x:c r="M35" s="16" t="n">
        <x:v>5</x:v>
      </x:c>
      <x:c r="N35" s="16" t="n">
        <x:v>8</x:v>
      </x:c>
      <x:c r="O35" s="16" t="n">
        <x:v>3</x:v>
      </x:c>
      <x:c r="P35" s="16" t="n">
        <x:v>4</x:v>
      </x:c>
      <x:c r="Q35" s="16" t="n">
        <x:v>3</x:v>
      </x:c>
      <x:c r="R35" s="16" t="n">
        <x:v>5</x:v>
      </x:c>
      <x:c r="S35" s="16" t="n">
        <x:v>3</x:v>
      </x:c>
      <x:c r="T35" s="16" t="n">
        <x:v>8</x:v>
      </x:c>
      <x:c r="U35" s="16" t="n">
        <x:v>6</x:v>
      </x:c>
      <x:c r="V35" s="16" t="str">
        <x:v>Pass 57 registry + Pass 167 NIFS-1</x:v>
      </x:c>
      <x:c r="W35" s="16" t="str">
        <x:f>IF(LEFT(B35,2)=RIGHT(D35,2),"PASS","FAIL")</x:f>
        <x:v>PASS</x:v>
      </x:c>
    </x:row>
    <x:row r="36" ht="48" hidden="0" customHeight="1">
      <x:c r="A36" s="16" t="str">
        <x:v>H-THC</x:v>
      </x:c>
      <x:c r="B36" s="16" t="str">
        <x:v>HU-R2</x:v>
      </x:c>
      <x:c r="C36" s="16" t="str">
        <x:v>Theater hospital command</x:v>
      </x:c>
      <x:c r="D36" s="16" t="str">
        <x:v>MS-HU</x:v>
      </x:c>
      <x:c r="E36" s="16" t="str">
        <x:v>Health and medical continuity</x:v>
      </x:c>
      <x:c r="F36" s="18" t="n">
        <x:v>0.5</x:v>
      </x:c>
      <x:c r="G36" s="16" t="n">
        <x:v>28</x:v>
      </x:c>
      <x:c r="H36" s="16" t="n">
        <x:v>65</x:v>
      </x:c>
      <x:c r="I36" s="16" t="n">
        <x:v>198900</x:v>
      </x:c>
      <x:c r="J36" s="19" t="n">
        <x:v>97.5</x:v>
      </x:c>
      <x:c r="K36" s="19" t="n">
        <x:v>14</x:v>
      </x:c>
      <x:c r="L36" s="16" t="n">
        <x:v>2</x:v>
      </x:c>
      <x:c r="M36" s="16" t="n">
        <x:v>3</x:v>
      </x:c>
      <x:c r="N36" s="16" t="n">
        <x:v>4</x:v>
      </x:c>
      <x:c r="O36" s="16" t="n">
        <x:v>2</x:v>
      </x:c>
      <x:c r="P36" s="16" t="n">
        <x:v>2</x:v>
      </x:c>
      <x:c r="Q36" s="16" t="n">
        <x:v>2</x:v>
      </x:c>
      <x:c r="R36" s="16" t="n">
        <x:v>3</x:v>
      </x:c>
      <x:c r="S36" s="16" t="n">
        <x:v>2</x:v>
      </x:c>
      <x:c r="T36" s="16" t="n">
        <x:v>4</x:v>
      </x:c>
      <x:c r="U36" s="16" t="n">
        <x:v>4</x:v>
      </x:c>
      <x:c r="V36" s="16" t="str">
        <x:v>Pass 57 registry + Pass 167 NIFS-1</x:v>
      </x:c>
      <x:c r="W36" s="16" t="str">
        <x:f>IF(LEFT(B36,2)=RIGHT(D36,2),"PASS","FAIL")</x:f>
        <x:v>PASS</x:v>
      </x:c>
    </x:row>
    <x:row r="37" ht="48" hidden="0" customHeight="1">
      <x:c r="A37" s="16" t="str">
        <x:v>H-PHC</x:v>
      </x:c>
      <x:c r="B37" s="16" t="str">
        <x:v>HU-R1</x:v>
      </x:c>
      <x:c r="C37" s="16" t="str">
        <x:v>Public-health control group</x:v>
      </x:c>
      <x:c r="D37" s="16" t="str">
        <x:v>MS-HU</x:v>
      </x:c>
      <x:c r="E37" s="16" t="str">
        <x:v>Health and medical continuity</x:v>
      </x:c>
      <x:c r="F37" s="18" t="n">
        <x:v>0.45</x:v>
      </x:c>
      <x:c r="G37" s="16" t="n">
        <x:v>42</x:v>
      </x:c>
      <x:c r="H37" s="16" t="n">
        <x:v>97</x:v>
      </x:c>
      <x:c r="I37" s="16" t="n">
        <x:v>82450</x:v>
      </x:c>
      <x:c r="J37" s="19" t="n">
        <x:v>97</x:v>
      </x:c>
      <x:c r="K37" s="19" t="n">
        <x:v>23.1</x:v>
      </x:c>
      <x:c r="L37" s="16" t="n">
        <x:v>4</x:v>
      </x:c>
      <x:c r="M37" s="16" t="n">
        <x:v>4</x:v>
      </x:c>
      <x:c r="N37" s="16" t="n">
        <x:v>5</x:v>
      </x:c>
      <x:c r="O37" s="16" t="n">
        <x:v>3</x:v>
      </x:c>
      <x:c r="P37" s="16" t="n">
        <x:v>4</x:v>
      </x:c>
      <x:c r="Q37" s="16" t="n">
        <x:v>3</x:v>
      </x:c>
      <x:c r="R37" s="16" t="n">
        <x:v>3</x:v>
      </x:c>
      <x:c r="S37" s="16" t="n">
        <x:v>4</x:v>
      </x:c>
      <x:c r="T37" s="16" t="n">
        <x:v>6</x:v>
      </x:c>
      <x:c r="U37" s="16" t="n">
        <x:v>6</x:v>
      </x:c>
      <x:c r="V37" s="16" t="str">
        <x:v>Pass 57 registry + Pass 167 NIFS-1</x:v>
      </x:c>
      <x:c r="W37" s="16" t="str">
        <x:f>IF(LEFT(B37,2)=RIGHT(D37,2),"PASS","FAIL")</x:f>
        <x:v>PASS</x:v>
      </x:c>
    </x:row>
    <x:row r="38" ht="48" hidden="0" customHeight="1">
      <x:c r="A38" s="16" t="str">
        <x:v>H-PMG</x:v>
      </x:c>
      <x:c r="B38" s="16" t="str">
        <x:v>HU-R3</x:v>
      </x:c>
      <x:c r="C38" s="16" t="str">
        <x:v>Patient movement group</x:v>
      </x:c>
      <x:c r="D38" s="16" t="str">
        <x:v>MS-HU</x:v>
      </x:c>
      <x:c r="E38" s="16" t="str">
        <x:v>Health and medical continuity</x:v>
      </x:c>
      <x:c r="F38" s="18" t="n">
        <x:v>0.5</x:v>
      </x:c>
      <x:c r="G38" s="16" t="n">
        <x:v>49</x:v>
      </x:c>
      <x:c r="H38" s="16" t="n">
        <x:v>114</x:v>
      </x:c>
      <x:c r="I38" s="16" t="n">
        <x:v>174420</x:v>
      </x:c>
      <x:c r="J38" s="19" t="n">
        <x:v>114</x:v>
      </x:c>
      <x:c r="K38" s="19" t="n">
        <x:v>24.5</x:v>
      </x:c>
      <x:c r="L38" s="16" t="n">
        <x:v>4</x:v>
      </x:c>
      <x:c r="M38" s="16" t="n">
        <x:v>5</x:v>
      </x:c>
      <x:c r="N38" s="16" t="n">
        <x:v>8</x:v>
      </x:c>
      <x:c r="O38" s="16" t="n">
        <x:v>3</x:v>
      </x:c>
      <x:c r="P38" s="16" t="n">
        <x:v>4</x:v>
      </x:c>
      <x:c r="Q38" s="16" t="n">
        <x:v>3</x:v>
      </x:c>
      <x:c r="R38" s="16" t="n">
        <x:v>5</x:v>
      </x:c>
      <x:c r="S38" s="16" t="n">
        <x:v>3</x:v>
      </x:c>
      <x:c r="T38" s="16" t="n">
        <x:v>8</x:v>
      </x:c>
      <x:c r="U38" s="16" t="n">
        <x:v>6</x:v>
      </x:c>
      <x:c r="V38" s="16" t="str">
        <x:v>Pass 57 registry + Pass 167 NIFS-1</x:v>
      </x:c>
      <x:c r="W38" s="16" t="str">
        <x:f>IF(LEFT(B38,2)=RIGHT(D38,2),"PASS","FAIL")</x:f>
        <x:v>PASS</x:v>
      </x:c>
    </x:row>
    <x:row r="39" ht="48" hidden="0" customHeight="1">
      <x:c r="A39" s="16" t="str">
        <x:v>H-HWR</x:v>
      </x:c>
      <x:c r="B39" s="16" t="str">
        <x:v>HU-R5</x:v>
      </x:c>
      <x:c r="C39" s="16" t="str">
        <x:v>Health workforce replacement group</x:v>
      </x:c>
      <x:c r="D39" s="16" t="str">
        <x:v>MS-HU</x:v>
      </x:c>
      <x:c r="E39" s="16" t="str">
        <x:v>Health and medical continuity</x:v>
      </x:c>
      <x:c r="F39" s="18" t="n">
        <x:v>0.45</x:v>
      </x:c>
      <x:c r="G39" s="16" t="n">
        <x:v>75</x:v>
      </x:c>
      <x:c r="H39" s="16" t="n">
        <x:v>174</x:v>
      </x:c>
      <x:c r="I39" s="16" t="n">
        <x:v>325380</x:v>
      </x:c>
      <x:c r="J39" s="19" t="n">
        <x:v>139.20000000000002</x:v>
      </x:c>
      <x:c r="K39" s="19" t="n">
        <x:v>41.25</x:v>
      </x:c>
      <x:c r="L39" s="16" t="n">
        <x:v>8</x:v>
      </x:c>
      <x:c r="M39" s="16" t="n">
        <x:v>8</x:v>
      </x:c>
      <x:c r="N39" s="16" t="n">
        <x:v>10</x:v>
      </x:c>
      <x:c r="O39" s="16" t="n">
        <x:v>4</x:v>
      </x:c>
      <x:c r="P39" s="16" t="n">
        <x:v>8</x:v>
      </x:c>
      <x:c r="Q39" s="16" t="n">
        <x:v>5</x:v>
      </x:c>
      <x:c r="R39" s="16" t="n">
        <x:v>6</x:v>
      </x:c>
      <x:c r="S39" s="16" t="n">
        <x:v>6</x:v>
      </x:c>
      <x:c r="T39" s="16" t="n">
        <x:v>10</x:v>
      </x:c>
      <x:c r="U39" s="16" t="n">
        <x:v>10</x:v>
      </x:c>
      <x:c r="V39" s="16" t="str">
        <x:v>Pass 57 registry + Pass 167 NIFS-1</x:v>
      </x:c>
      <x:c r="W39" s="16" t="str">
        <x:f>IF(LEFT(B39,2)=RIGHT(D39,2),"PASS","FAIL")</x:f>
        <x:v>PASS</x:v>
      </x:c>
    </x:row>
    <x:row r="40" ht="60" hidden="0" customHeight="1">
      <x:c r="A40" s="16" t="str">
        <x:v>C-PSG</x:v>
      </x:c>
      <x:c r="B40" s="16" t="str">
        <x:v>HU-R1</x:v>
      </x:c>
      <x:c r="C40" s="16" t="str">
        <x:v>Population support group</x:v>
      </x:c>
      <x:c r="D40" s="16" t="str">
        <x:v>MS-HU</x:v>
      </x:c>
      <x:c r="E40" s="16" t="str">
        <x:v>Food, shelter and essential-goods continuity</x:v>
      </x:c>
      <x:c r="F40" s="18" t="n">
        <x:v>0.8</x:v>
      </x:c>
      <x:c r="G40" s="16" t="n">
        <x:v>108</x:v>
      </x:c>
      <x:c r="H40" s="16" t="n">
        <x:v>216</x:v>
      </x:c>
      <x:c r="I40" s="16" t="n">
        <x:v>243000</x:v>
      </x:c>
      <x:c r="J40" s="19" t="n">
        <x:v>129.6</x:v>
      </x:c>
      <x:c r="K40" s="19" t="n">
        <x:v>21.599999999999994</x:v>
      </x:c>
      <x:c r="L40" s="16" t="n">
        <x:v>10</x:v>
      </x:c>
      <x:c r="M40" s="16" t="n">
        <x:v>14</x:v>
      </x:c>
      <x:c r="N40" s="16" t="n">
        <x:v>16</x:v>
      </x:c>
      <x:c r="O40" s="16" t="n">
        <x:v>4</x:v>
      </x:c>
      <x:c r="P40" s="16" t="n">
        <x:v>8</x:v>
      </x:c>
      <x:c r="Q40" s="16" t="n">
        <x:v>8</x:v>
      </x:c>
      <x:c r="R40" s="16" t="n">
        <x:v>10</x:v>
      </x:c>
      <x:c r="S40" s="16" t="n">
        <x:v>8</x:v>
      </x:c>
      <x:c r="T40" s="16" t="n">
        <x:v>14</x:v>
      </x:c>
      <x:c r="U40" s="16" t="n">
        <x:v>16</x:v>
      </x:c>
      <x:c r="V40" s="16" t="str">
        <x:v>Pass 57 registry + Pass 167 NIFS-1</x:v>
      </x:c>
      <x:c r="W40" s="16" t="str">
        <x:f>IF(LEFT(B40,2)=RIGHT(D40,2),"PASS","FAIL")</x:f>
        <x:v>PASS</x:v>
      </x:c>
    </x:row>
    <x:row r="41" ht="60" hidden="0" customHeight="1">
      <x:c r="A41" s="16" t="str">
        <x:v>C-EGG</x:v>
      </x:c>
      <x:c r="B41" s="16" t="str">
        <x:v>HU-R1</x:v>
      </x:c>
      <x:c r="C41" s="16" t="str">
        <x:v>Essential-goods group</x:v>
      </x:c>
      <x:c r="D41" s="16" t="str">
        <x:v>MS-HU</x:v>
      </x:c>
      <x:c r="E41" s="16" t="str">
        <x:v>Food, shelter and essential-goods continuity</x:v>
      </x:c>
      <x:c r="F41" s="18" t="n">
        <x:v>0.45</x:v>
      </x:c>
      <x:c r="G41" s="16" t="n">
        <x:v>108</x:v>
      </x:c>
      <x:c r="H41" s="16" t="n">
        <x:v>216</x:v>
      </x:c>
      <x:c r="I41" s="16" t="n">
        <x:v>189000</x:v>
      </x:c>
      <x:c r="J41" s="19" t="n">
        <x:v>108</x:v>
      </x:c>
      <x:c r="K41" s="19" t="n">
        <x:v>59.400000000000006</x:v>
      </x:c>
      <x:c r="L41" s="16" t="n">
        <x:v>10</x:v>
      </x:c>
      <x:c r="M41" s="16" t="n">
        <x:v>14</x:v>
      </x:c>
      <x:c r="N41" s="16" t="n">
        <x:v>16</x:v>
      </x:c>
      <x:c r="O41" s="16" t="n">
        <x:v>4</x:v>
      </x:c>
      <x:c r="P41" s="16" t="n">
        <x:v>8</x:v>
      </x:c>
      <x:c r="Q41" s="16" t="n">
        <x:v>8</x:v>
      </x:c>
      <x:c r="R41" s="16" t="n">
        <x:v>10</x:v>
      </x:c>
      <x:c r="S41" s="16" t="n">
        <x:v>8</x:v>
      </x:c>
      <x:c r="T41" s="16" t="n">
        <x:v>14</x:v>
      </x:c>
      <x:c r="U41" s="16" t="n">
        <x:v>16</x:v>
      </x:c>
      <x:c r="V41" s="16" t="str">
        <x:v>Pass 57 registry + Pass 167 NIFS-1</x:v>
      </x:c>
      <x:c r="W41" s="16" t="str">
        <x:f>IF(LEFT(B41,2)=RIGHT(D41,2),"PASS","FAIL")</x:f>
        <x:v>PASS</x:v>
      </x:c>
    </x:row>
    <x:row r="42" ht="60" hidden="0" customHeight="1">
      <x:c r="A42" s="16" t="str">
        <x:v>C-CAG</x:v>
      </x:c>
      <x:c r="B42" s="16" t="str">
        <x:v>CT-R4</x:v>
      </x:c>
      <x:c r="C42" s="16" t="str">
        <x:v>Civil access group</x:v>
      </x:c>
      <x:c r="D42" s="16" t="str">
        <x:v>MS-CT</x:v>
      </x:c>
      <x:c r="E42" s="16" t="str">
        <x:v>Civil coordination, safety and public information</x:v>
      </x:c>
      <x:c r="F42" s="18" t="n">
        <x:v>0.45</x:v>
      </x:c>
      <x:c r="G42" s="16" t="n">
        <x:v>82</x:v>
      </x:c>
      <x:c r="H42" s="16" t="n">
        <x:v>164</x:v>
      </x:c>
      <x:c r="I42" s="16" t="n">
        <x:v>73800</x:v>
      </x:c>
      <x:c r="J42" s="19" t="n">
        <x:v>49.199999999999996</x:v>
      </x:c>
      <x:c r="K42" s="19" t="n">
        <x:v>45.1</x:v>
      </x:c>
      <x:c r="L42" s="16" t="n">
        <x:v>8</x:v>
      </x:c>
      <x:c r="M42" s="16" t="n">
        <x:v>10</x:v>
      </x:c>
      <x:c r="N42" s="16" t="n">
        <x:v>12</x:v>
      </x:c>
      <x:c r="O42" s="16" t="n">
        <x:v>4</x:v>
      </x:c>
      <x:c r="P42" s="16" t="n">
        <x:v>6</x:v>
      </x:c>
      <x:c r="Q42" s="16" t="n">
        <x:v>6</x:v>
      </x:c>
      <x:c r="R42" s="16" t="n">
        <x:v>8</x:v>
      </x:c>
      <x:c r="S42" s="16" t="n">
        <x:v>6</x:v>
      </x:c>
      <x:c r="T42" s="16" t="n">
        <x:v>10</x:v>
      </x:c>
      <x:c r="U42" s="16" t="n">
        <x:v>12</x:v>
      </x:c>
      <x:c r="V42" s="16" t="str">
        <x:v>Pass 57 registry + Pass 167 NIFS-1</x:v>
      </x:c>
      <x:c r="W42" s="16" t="str">
        <x:f>IF(LEFT(B42,2)=RIGHT(D42,2),"PASS","FAIL")</x:f>
        <x:v>PASS</x:v>
      </x:c>
    </x:row>
    <x:row r="43" ht="60" hidden="0" customHeight="1">
      <x:c r="A43" s="16" t="str">
        <x:v>C-DTG</x:v>
      </x:c>
      <x:c r="B43" s="16" t="str">
        <x:v>HU-R4</x:v>
      </x:c>
      <x:c r="C43" s="16" t="str">
        <x:v>Displacement transition group</x:v>
      </x:c>
      <x:c r="D43" s="16" t="str">
        <x:v>MS-HU</x:v>
      </x:c>
      <x:c r="E43" s="16" t="str">
        <x:v>Food, shelter and essential-goods continuity</x:v>
      </x:c>
      <x:c r="F43" s="18" t="n">
        <x:v>0.45</x:v>
      </x:c>
      <x:c r="G43" s="16" t="n">
        <x:v>79</x:v>
      </x:c>
      <x:c r="H43" s="16" t="n">
        <x:v>158</x:v>
      </x:c>
      <x:c r="I43" s="16" t="n">
        <x:v>118500</x:v>
      </x:c>
      <x:c r="J43" s="19" t="n">
        <x:v>63.2</x:v>
      </x:c>
      <x:c r="K43" s="19" t="n">
        <x:v>43.45</x:v>
      </x:c>
      <x:c r="L43" s="16" t="n">
        <x:v>6</x:v>
      </x:c>
      <x:c r="M43" s="16" t="n">
        <x:v>10</x:v>
      </x:c>
      <x:c r="N43" s="16" t="n">
        <x:v>12</x:v>
      </x:c>
      <x:c r="O43" s="16" t="n">
        <x:v>2</x:v>
      </x:c>
      <x:c r="P43" s="16" t="n">
        <x:v>6</x:v>
      </x:c>
      <x:c r="Q43" s="16" t="n">
        <x:v>5</x:v>
      </x:c>
      <x:c r="R43" s="16" t="n">
        <x:v>8</x:v>
      </x:c>
      <x:c r="S43" s="16" t="n">
        <x:v>6</x:v>
      </x:c>
      <x:c r="T43" s="16" t="n">
        <x:v>10</x:v>
      </x:c>
      <x:c r="U43" s="16" t="n">
        <x:v>14</x:v>
      </x:c>
      <x:c r="V43" s="16" t="str">
        <x:v>Pass 57 registry + Pass 167 NIFS-1</x:v>
      </x:c>
      <x:c r="W43" s="16" t="str">
        <x:f>IF(LEFT(B43,2)=RIGHT(D43,2),"PASS","FAIL")</x:f>
        <x:v>PASS</x:v>
      </x:c>
    </x:row>
    <x:row r="44" ht="60" hidden="0" customHeight="1">
      <x:c r="A44" s="16" t="str">
        <x:v>C-CIG</x:v>
      </x:c>
      <x:c r="B44" s="16" t="str">
        <x:v>RT-R4</x:v>
      </x:c>
      <x:c r="C44" s="16" t="str">
        <x:v>Community institutions group</x:v>
      </x:c>
      <x:c r="D44" s="16" t="str">
        <x:v>MS-RT</x:v>
      </x:c>
      <x:c r="E44" s="16" t="str">
        <x:v>Housing, public works and economic continuity</x:v>
      </x:c>
      <x:c r="F44" s="18" t="n">
        <x:v>0.45</x:v>
      </x:c>
      <x:c r="G44" s="16" t="n">
        <x:v>66</x:v>
      </x:c>
      <x:c r="H44" s="16" t="n">
        <x:v>132</x:v>
      </x:c>
      <x:c r="I44" s="16" t="n">
        <x:v>82500</x:v>
      </x:c>
      <x:c r="J44" s="19" t="n">
        <x:v>52.800000000000004</x:v>
      </x:c>
      <x:c r="K44" s="19" t="n">
        <x:v>36.300000000000004</x:v>
      </x:c>
      <x:c r="L44" s="16" t="n">
        <x:v>6</x:v>
      </x:c>
      <x:c r="M44" s="16" t="n">
        <x:v>8</x:v>
      </x:c>
      <x:c r="N44" s="16" t="n">
        <x:v>10</x:v>
      </x:c>
      <x:c r="O44" s="16" t="n">
        <x:v>3</x:v>
      </x:c>
      <x:c r="P44" s="16" t="n">
        <x:v>5</x:v>
      </x:c>
      <x:c r="Q44" s="16" t="n">
        <x:v>5</x:v>
      </x:c>
      <x:c r="R44" s="16" t="n">
        <x:v>6</x:v>
      </x:c>
      <x:c r="S44" s="16" t="n">
        <x:v>5</x:v>
      </x:c>
      <x:c r="T44" s="16" t="n">
        <x:v>8</x:v>
      </x:c>
      <x:c r="U44" s="16" t="n">
        <x:v>10</x:v>
      </x:c>
      <x:c r="V44" s="16" t="str">
        <x:v>Pass 57 registry + Pass 167 NIFS-1</x:v>
      </x:c>
      <x:c r="W44" s="16" t="str">
        <x:f>IF(LEFT(B44,2)=RIGHT(D44,2),"PASS","FAIL")</x:f>
        <x:v>PASS</x:v>
      </x:c>
    </x:row>
    <x:row r="45" ht="60" hidden="0" customHeight="1">
      <x:c r="A45" s="16" t="str">
        <x:v>C-ERG</x:v>
      </x:c>
      <x:c r="B45" s="16" t="str">
        <x:v>RT-R4</x:v>
      </x:c>
      <x:c r="C45" s="16" t="str">
        <x:v>Economic restart group</x:v>
      </x:c>
      <x:c r="D45" s="16" t="str">
        <x:v>MS-RT</x:v>
      </x:c>
      <x:c r="E45" s="16" t="str">
        <x:v>Housing, public works and economic continuity</x:v>
      </x:c>
      <x:c r="F45" s="18" t="n">
        <x:v>0.35</x:v>
      </x:c>
      <x:c r="G45" s="16" t="n">
        <x:v>55</x:v>
      </x:c>
      <x:c r="H45" s="16" t="n">
        <x:v>110</x:v>
      </x:c>
      <x:c r="I45" s="16" t="n">
        <x:v>96250</x:v>
      </x:c>
      <x:c r="J45" s="19" t="n">
        <x:v>38.5</x:v>
      </x:c>
      <x:c r="K45" s="19" t="n">
        <x:v>35.75</x:v>
      </x:c>
      <x:c r="L45" s="16" t="n">
        <x:v>4</x:v>
      </x:c>
      <x:c r="M45" s="16" t="n">
        <x:v>6</x:v>
      </x:c>
      <x:c r="N45" s="16" t="n">
        <x:v>8</x:v>
      </x:c>
      <x:c r="O45" s="16" t="n">
        <x:v>3</x:v>
      </x:c>
      <x:c r="P45" s="16" t="n">
        <x:v>4</x:v>
      </x:c>
      <x:c r="Q45" s="16" t="n">
        <x:v>4</x:v>
      </x:c>
      <x:c r="R45" s="16" t="n">
        <x:v>5</x:v>
      </x:c>
      <x:c r="S45" s="16" t="n">
        <x:v>5</x:v>
      </x:c>
      <x:c r="T45" s="16" t="n">
        <x:v>8</x:v>
      </x:c>
      <x:c r="U45" s="16" t="n">
        <x:v>8</x:v>
      </x:c>
      <x:c r="V45" s="16" t="str">
        <x:v>Pass 57 registry + Pass 167 NIFS-1</x:v>
      </x:c>
      <x:c r="W45" s="16" t="str">
        <x:f>IF(LEFT(B45,2)=RIGHT(D45,2),"PASS","FAIL")</x:f>
        <x:v>PASS</x:v>
      </x:c>
    </x:row>
    <x:row r="46" ht="48" hidden="0" customHeight="1">
      <x:c r="A46" s="16" t="str">
        <x:v>CM-HCG</x:v>
      </x:c>
      <x:c r="B46" s="16" t="str">
        <x:v>CT-R5</x:v>
      </x:c>
      <x:c r="C46" s="16" t="str">
        <x:v>Household collection group</x:v>
      </x:c>
      <x:c r="D46" s="16" t="str">
        <x:v>MS-CT</x:v>
      </x:c>
      <x:c r="E46" s="16" t="str">
        <x:v>Mobility, access and distribution</x:v>
      </x:c>
      <x:c r="F46" s="18" t="n">
        <x:v>0.8</x:v>
      </x:c>
      <x:c r="G46" s="16" t="n">
        <x:v>69</x:v>
      </x:c>
      <x:c r="H46" s="16" t="n">
        <x:v>160</x:v>
      </x:c>
      <x:c r="I46" s="16" t="n">
        <x:v>3039328</x:v>
      </x:c>
      <x:c r="J46" s="19" t="n">
        <x:v>1098.56</x:v>
      </x:c>
      <x:c r="K46" s="19" t="n">
        <x:v>13.799999999999997</x:v>
      </x:c>
      <x:c r="L46" s="16" t="n">
        <x:v>6</x:v>
      </x:c>
      <x:c r="M46" s="16" t="n">
        <x:v>8</x:v>
      </x:c>
      <x:c r="N46" s="16" t="n">
        <x:v>10</x:v>
      </x:c>
      <x:c r="O46" s="16" t="n">
        <x:v>3</x:v>
      </x:c>
      <x:c r="P46" s="16" t="n">
        <x:v>6</x:v>
      </x:c>
      <x:c r="Q46" s="16" t="n">
        <x:v>5</x:v>
      </x:c>
      <x:c r="R46" s="16" t="n">
        <x:v>6</x:v>
      </x:c>
      <x:c r="S46" s="16" t="n">
        <x:v>5</x:v>
      </x:c>
      <x:c r="T46" s="16" t="n">
        <x:v>10</x:v>
      </x:c>
      <x:c r="U46" s="16" t="n">
        <x:v>10</x:v>
      </x:c>
      <x:c r="V46" s="16" t="str">
        <x:v>Pass 57 registry + Pass 167 NIFS-1</x:v>
      </x:c>
      <x:c r="W46" s="16" t="str">
        <x:f>IF(LEFT(B46,2)=RIGHT(D46,2),"PASS","FAIL")</x:f>
        <x:v>PASS</x:v>
      </x:c>
    </x:row>
    <x:row r="47" ht="48" hidden="0" customHeight="1">
      <x:c r="A47" s="16" t="str">
        <x:v>CM-CTN</x:v>
      </x:c>
      <x:c r="B47" s="16" t="str">
        <x:v>HU-R4</x:v>
      </x:c>
      <x:c r="C47" s="16" t="str">
        <x:v>Continuity transfer-node group</x:v>
      </x:c>
      <x:c r="D47" s="16" t="str">
        <x:v>MS-HU</x:v>
      </x:c>
      <x:c r="E47" s="16" t="str">
        <x:v>Mobility, access and distribution</x:v>
      </x:c>
      <x:c r="F47" s="18" t="n">
        <x:v>0.8</x:v>
      </x:c>
      <x:c r="G47" s="16" t="n">
        <x:v>54</x:v>
      </x:c>
      <x:c r="H47" s="16" t="n">
        <x:v>125</x:v>
      </x:c>
      <x:c r="I47" s="16" t="n">
        <x:v>675000</x:v>
      </x:c>
      <x:c r="J47" s="19" t="n">
        <x:v>250</x:v>
      </x:c>
      <x:c r="K47" s="19" t="n">
        <x:v>10.799999999999997</x:v>
      </x:c>
      <x:c r="L47" s="16" t="n">
        <x:v>4</x:v>
      </x:c>
      <x:c r="M47" s="16" t="n">
        <x:v>6</x:v>
      </x:c>
      <x:c r="N47" s="16" t="n">
        <x:v>8</x:v>
      </x:c>
      <x:c r="O47" s="16" t="n">
        <x:v>3</x:v>
      </x:c>
      <x:c r="P47" s="16" t="n">
        <x:v>4</x:v>
      </x:c>
      <x:c r="Q47" s="16" t="n">
        <x:v>4</x:v>
      </x:c>
      <x:c r="R47" s="16" t="n">
        <x:v>5</x:v>
      </x:c>
      <x:c r="S47" s="16" t="n">
        <x:v>4</x:v>
      </x:c>
      <x:c r="T47" s="16" t="n">
        <x:v>8</x:v>
      </x:c>
      <x:c r="U47" s="16" t="n">
        <x:v>8</x:v>
      </x:c>
      <x:c r="V47" s="16" t="str">
        <x:v>Pass 57 registry + Pass 167 NIFS-1</x:v>
      </x:c>
      <x:c r="W47" s="16" t="str">
        <x:f>IF(LEFT(B47,2)=RIGHT(D47,2),"PASS","FAIL")</x:f>
        <x:v>PASS</x:v>
      </x:c>
    </x:row>
    <x:row r="48" ht="48" hidden="0" customHeight="1">
      <x:c r="A48" s="16" t="str">
        <x:v>CM-RMG</x:v>
      </x:c>
      <x:c r="B48" s="16" t="str">
        <x:v>HU-R4</x:v>
      </x:c>
      <x:c r="C48" s="16" t="str">
        <x:v>Civil road-mobility group</x:v>
      </x:c>
      <x:c r="D48" s="16" t="str">
        <x:v>MS-HU</x:v>
      </x:c>
      <x:c r="E48" s="16" t="str">
        <x:v>Mobility, access and distribution</x:v>
      </x:c>
      <x:c r="F48" s="18" t="n">
        <x:v>0.5</x:v>
      </x:c>
      <x:c r="G48" s="16" t="n">
        <x:v>86</x:v>
      </x:c>
      <x:c r="H48" s="16" t="n">
        <x:v>199</x:v>
      </x:c>
      <x:c r="I48" s="16" t="n">
        <x:v>388050</x:v>
      </x:c>
      <x:c r="J48" s="19" t="n">
        <x:v>298.5</x:v>
      </x:c>
      <x:c r="K48" s="19" t="n">
        <x:v>43</x:v>
      </x:c>
      <x:c r="L48" s="16" t="n">
        <x:v>8</x:v>
      </x:c>
      <x:c r="M48" s="16" t="n">
        <x:v>10</x:v>
      </x:c>
      <x:c r="N48" s="16" t="n">
        <x:v>12</x:v>
      </x:c>
      <x:c r="O48" s="16" t="n">
        <x:v>4</x:v>
      </x:c>
      <x:c r="P48" s="16" t="n">
        <x:v>8</x:v>
      </x:c>
      <x:c r="Q48" s="16" t="n">
        <x:v>6</x:v>
      </x:c>
      <x:c r="R48" s="16" t="n">
        <x:v>8</x:v>
      </x:c>
      <x:c r="S48" s="16" t="n">
        <x:v>6</x:v>
      </x:c>
      <x:c r="T48" s="16" t="n">
        <x:v>12</x:v>
      </x:c>
      <x:c r="U48" s="16" t="n">
        <x:v>12</x:v>
      </x:c>
      <x:c r="V48" s="16" t="str">
        <x:v>Pass 57 registry + Pass 167 NIFS-1</x:v>
      </x:c>
      <x:c r="W48" s="16" t="str">
        <x:f>IF(LEFT(B48,2)=RIGHT(D48,2),"PASS","FAIL")</x:f>
        <x:v>PASS</x:v>
      </x:c>
    </x:row>
    <x:row r="49" ht="48" hidden="0" customHeight="1">
      <x:c r="A49" s="16" t="str">
        <x:v>CM-RLG</x:v>
      </x:c>
      <x:c r="B49" s="16" t="str">
        <x:v>HU-R4</x:v>
      </x:c>
      <x:c r="C49" s="16" t="str">
        <x:v>Civil rail-mobility group</x:v>
      </x:c>
      <x:c r="D49" s="16" t="str">
        <x:v>MS-HU</x:v>
      </x:c>
      <x:c r="E49" s="16" t="str">
        <x:v>Mobility, access and distribution</x:v>
      </x:c>
      <x:c r="F49" s="18" t="n">
        <x:v>0.5</x:v>
      </x:c>
      <x:c r="G49" s="16" t="n">
        <x:v>32</x:v>
      </x:c>
      <x:c r="H49" s="16" t="n">
        <x:v>74</x:v>
      </x:c>
      <x:c r="I49" s="16" t="n">
        <x:v>88800</x:v>
      </x:c>
      <x:c r="J49" s="19" t="n">
        <x:v>148</x:v>
      </x:c>
      <x:c r="K49" s="19" t="n">
        <x:v>16</x:v>
      </x:c>
      <x:c r="L49" s="16" t="n">
        <x:v>3</x:v>
      </x:c>
      <x:c r="M49" s="16" t="n">
        <x:v>4</x:v>
      </x:c>
      <x:c r="N49" s="16" t="n">
        <x:v>5</x:v>
      </x:c>
      <x:c r="O49" s="16" t="n">
        <x:v>1</x:v>
      </x:c>
      <x:c r="P49" s="16" t="n">
        <x:v>2</x:v>
      </x:c>
      <x:c r="Q49" s="16" t="n">
        <x:v>2</x:v>
      </x:c>
      <x:c r="R49" s="16" t="n">
        <x:v>3</x:v>
      </x:c>
      <x:c r="S49" s="16" t="n">
        <x:v>2</x:v>
      </x:c>
      <x:c r="T49" s="16" t="n">
        <x:v>5</x:v>
      </x:c>
      <x:c r="U49" s="16" t="n">
        <x:v>5</x:v>
      </x:c>
      <x:c r="V49" s="16" t="str">
        <x:v>Pass 57 registry + Pass 167 NIFS-1</x:v>
      </x:c>
      <x:c r="W49" s="16" t="str">
        <x:f>IF(LEFT(B49,2)=RIGHT(D49,2),"PASS","FAIL")</x:f>
        <x:v>PASS</x:v>
      </x:c>
    </x:row>
    <x:row r="50" ht="48" hidden="0" customHeight="1">
      <x:c r="A50" s="16" t="str">
        <x:v>CM-AMG</x:v>
      </x:c>
      <x:c r="B50" s="16" t="str">
        <x:v>HU-R4</x:v>
      </x:c>
      <x:c r="C50" s="16" t="str">
        <x:v>Civil air-mobility group</x:v>
      </x:c>
      <x:c r="D50" s="16" t="str">
        <x:v>MS-HU</x:v>
      </x:c>
      <x:c r="E50" s="16" t="str">
        <x:v>Mobility, access and distribution</x:v>
      </x:c>
      <x:c r="F50" s="18" t="n">
        <x:v>0.5</x:v>
      </x:c>
      <x:c r="G50" s="16" t="n">
        <x:v>31</x:v>
      </x:c>
      <x:c r="H50" s="16" t="n">
        <x:v>72</x:v>
      </x:c>
      <x:c r="I50" s="16" t="n">
        <x:v>86400</x:v>
      </x:c>
      <x:c r="J50" s="19" t="n">
        <x:v>216</x:v>
      </x:c>
      <x:c r="K50" s="19" t="n">
        <x:v>15.5</x:v>
      </x:c>
      <x:c r="L50" s="16" t="n">
        <x:v>2</x:v>
      </x:c>
      <x:c r="M50" s="16" t="n">
        <x:v>3</x:v>
      </x:c>
      <x:c r="N50" s="16" t="n">
        <x:v>4</x:v>
      </x:c>
      <x:c r="O50" s="16" t="n">
        <x:v>2</x:v>
      </x:c>
      <x:c r="P50" s="16" t="n">
        <x:v>2</x:v>
      </x:c>
      <x:c r="Q50" s="16" t="n">
        <x:v>2</x:v>
      </x:c>
      <x:c r="R50" s="16" t="n">
        <x:v>3</x:v>
      </x:c>
      <x:c r="S50" s="16" t="n">
        <x:v>3</x:v>
      </x:c>
      <x:c r="T50" s="16" t="n">
        <x:v>5</x:v>
      </x:c>
      <x:c r="U50" s="16" t="n">
        <x:v>5</x:v>
      </x:c>
      <x:c r="V50" s="16" t="str">
        <x:v>Pass 57 registry + Pass 167 NIFS-1</x:v>
      </x:c>
      <x:c r="W50" s="16" t="str">
        <x:f>IF(LEFT(B50,2)=RIGHT(D50,2),"PASS","FAIL")</x:f>
        <x:v>PASS</x:v>
      </x:c>
    </x:row>
    <x:row r="51" ht="48" hidden="0" customHeight="1">
      <x:c r="A51" s="16" t="str">
        <x:v>CM-WMG</x:v>
      </x:c>
      <x:c r="B51" s="16" t="str">
        <x:v>HU-R4</x:v>
      </x:c>
      <x:c r="C51" s="16" t="str">
        <x:v>Civil water-mobility group</x:v>
      </x:c>
      <x:c r="D51" s="16" t="str">
        <x:v>MS-HU</x:v>
      </x:c>
      <x:c r="E51" s="16" t="str">
        <x:v>Mobility, access and distribution</x:v>
      </x:c>
      <x:c r="F51" s="18" t="n">
        <x:v>0.5</x:v>
      </x:c>
      <x:c r="G51" s="16" t="n">
        <x:v>32</x:v>
      </x:c>
      <x:c r="H51" s="16" t="n">
        <x:v>74</x:v>
      </x:c>
      <x:c r="I51" s="16" t="n">
        <x:v>88800</x:v>
      </x:c>
      <x:c r="J51" s="19" t="n">
        <x:v>148</x:v>
      </x:c>
      <x:c r="K51" s="19" t="n">
        <x:v>16</x:v>
      </x:c>
      <x:c r="L51" s="16" t="n">
        <x:v>2</x:v>
      </x:c>
      <x:c r="M51" s="16" t="n">
        <x:v>4</x:v>
      </x:c>
      <x:c r="N51" s="16" t="n">
        <x:v>5</x:v>
      </x:c>
      <x:c r="O51" s="16" t="n">
        <x:v>1</x:v>
      </x:c>
      <x:c r="P51" s="16" t="n">
        <x:v>1</x:v>
      </x:c>
      <x:c r="Q51" s="16" t="n">
        <x:v>3</x:v>
      </x:c>
      <x:c r="R51" s="16" t="n">
        <x:v>2</x:v>
      </x:c>
      <x:c r="S51" s="16" t="n">
        <x:v>3</x:v>
      </x:c>
      <x:c r="T51" s="16" t="n">
        <x:v>5</x:v>
      </x:c>
      <x:c r="U51" s="16" t="n">
        <x:v>6</x:v>
      </x:c>
      <x:c r="V51" s="16" t="str">
        <x:v>Pass 57 registry + Pass 167 NIFS-1</x:v>
      </x:c>
      <x:c r="W51" s="16" t="str">
        <x:f>IF(LEFT(B51,2)=RIGHT(D51,2),"PASS","FAIL")</x:f>
        <x:v>PASS</x:v>
      </x:c>
    </x:row>
    <x:row r="52" ht="60" hidden="0" customHeight="1">
      <x:c r="A52" s="16" t="str">
        <x:v>CM-RDC</x:v>
      </x:c>
      <x:c r="B52" s="16" t="str">
        <x:v>RT-R5</x:v>
      </x:c>
      <x:c r="C52" s="16" t="str">
        <x:v>Return and durable-continuity group</x:v>
      </x:c>
      <x:c r="D52" s="16" t="str">
        <x:v>MS-RT</x:v>
      </x:c>
      <x:c r="E52" s="16" t="str">
        <x:v>Food, shelter and essential-goods continuity</x:v>
      </x:c>
      <x:c r="F52" s="18" t="n">
        <x:v>0.5</x:v>
      </x:c>
      <x:c r="G52" s="16" t="n">
        <x:v>58</x:v>
      </x:c>
      <x:c r="H52" s="16" t="n">
        <x:v>116</x:v>
      </x:c>
      <x:c r="I52" s="16" t="n">
        <x:v>116000</x:v>
      </x:c>
      <x:c r="J52" s="19" t="n">
        <x:v>46.400000000000006</x:v>
      </x:c>
      <x:c r="K52" s="19" t="n">
        <x:v>29</x:v>
      </x:c>
      <x:c r="L52" s="16" t="n">
        <x:v>4</x:v>
      </x:c>
      <x:c r="M52" s="16" t="n">
        <x:v>6</x:v>
      </x:c>
      <x:c r="N52" s="16" t="n">
        <x:v>8</x:v>
      </x:c>
      <x:c r="O52" s="16" t="n">
        <x:v>3</x:v>
      </x:c>
      <x:c r="P52" s="16" t="n">
        <x:v>5</x:v>
      </x:c>
      <x:c r="Q52" s="16" t="n">
        <x:v>4</x:v>
      </x:c>
      <x:c r="R52" s="16" t="n">
        <x:v>5</x:v>
      </x:c>
      <x:c r="S52" s="16" t="n">
        <x:v>5</x:v>
      </x:c>
      <x:c r="T52" s="16" t="n">
        <x:v>8</x:v>
      </x:c>
      <x:c r="U52" s="16" t="n">
        <x:v>10</x:v>
      </x:c>
      <x:c r="V52" s="16" t="str">
        <x:v>Pass 57 registry + Pass 167 NIFS-1</x:v>
      </x:c>
      <x:c r="W52" s="16" t="str">
        <x:f>IF(LEFT(B52,2)=RIGHT(D52,2),"PASS","FAIL")</x:f>
        <x:v>PASS</x:v>
      </x:c>
    </x:row>
  </x:sheetData>
  <x:mergeCells>
    <x:mergeCell ref="A1:V1"/>
    <x:mergeCell ref="A2:V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48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14" hidden="0" customWidth="1"/>
  </x:cols>
  <x:sheetData>
    <x:row r="1" ht="19.200000762939453" hidden="0" customHeight="1">
      <x:c r="A1" s="3" t="str">
        <x:v>Route demand by campaign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15" hidden="0" customHeight="1">
      <x:c r="A2" s="7" t="str">
        <x:v>Inherited formation loads aggregated by service route. Blank or zero is a modeled absence, not missing data.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/>
    <x:row r="4" ht="39.599998474121094" hidden="0" customHeight="1">
      <x:c r="A4" s="12" t="str">
        <x:v>Route</x:v>
      </x:c>
      <x:c r="B4" s="12" t="str">
        <x:v>System</x:v>
      </x:c>
      <x:c r="C4" s="12" t="str">
        <x:v>Service route</x:v>
      </x:c>
      <x:c r="D4" s="12" t="str">
        <x:v>C1</x:v>
      </x:c>
      <x:c r="E4" s="12" t="str">
        <x:v>C2</x:v>
      </x:c>
      <x:c r="F4" s="12" t="str">
        <x:v>C3</x:v>
      </x:c>
      <x:c r="G4" s="12" t="str">
        <x:v>M1</x:v>
      </x:c>
      <x:c r="H4" s="12" t="str">
        <x:v>M2</x:v>
      </x:c>
      <x:c r="I4" s="12" t="str">
        <x:v>M3</x:v>
      </x:c>
      <x:c r="J4" s="12" t="str">
        <x:v>M4</x:v>
      </x:c>
      <x:c r="K4" s="12" t="str">
        <x:v>M5</x:v>
      </x:c>
      <x:c r="L4" s="12" t="str">
        <x:v>I1</x:v>
      </x:c>
      <x:c r="M4" s="12" t="str">
        <x:v>I2</x:v>
      </x:c>
      <x:c r="N4" s="12" t="str">
        <x:v>All campaigns</x:v>
      </x:c>
    </x:row>
    <x:row r="5" ht="48" hidden="0" customHeight="1">
      <x:c r="A5" s="16" t="str">
        <x:v>ET-R1</x:v>
      </x:c>
      <x:c r="B5" s="16" t="str">
        <x:v>MS-ET</x:v>
      </x:c>
      <x:c r="C5" s="16" t="str">
        <x:v>Theater opening and command</x:v>
      </x:c>
      <x:c r="D5" s="16" t="n">
        <x:f>Routes!K5</x:f>
        <x:v>2</x:v>
      </x:c>
      <x:c r="E5" s="16" t="n">
        <x:f>Routes!L5</x:f>
        <x:v>3</x:v>
      </x:c>
      <x:c r="F5" s="16" t="n">
        <x:f>Routes!M5</x:f>
        <x:v>4</x:v>
      </x:c>
      <x:c r="G5" s="16" t="n">
        <x:f>Routes!N5</x:f>
        <x:v>1</x:v>
      </x:c>
      <x:c r="H5" s="16" t="n">
        <x:f>Routes!O5</x:f>
        <x:v>1</x:v>
      </x:c>
      <x:c r="I5" s="16" t="n">
        <x:f>Routes!P5</x:f>
        <x:v>2</x:v>
      </x:c>
      <x:c r="J5" s="16" t="n">
        <x:f>Routes!Q5</x:f>
        <x:v>2</x:v>
      </x:c>
      <x:c r="K5" s="16" t="n">
        <x:f>Routes!R5</x:f>
        <x:v>2</x:v>
      </x:c>
      <x:c r="L5" s="16" t="n">
        <x:f>Routes!S5</x:f>
        <x:v>3</x:v>
      </x:c>
      <x:c r="M5" s="16" t="n">
        <x:f>Routes!T5</x:f>
        <x:v>3</x:v>
      </x:c>
      <x:c r="N5" s="16" t="n">
        <x:f>SUM(D5:M5)</x:f>
        <x:v>23</x:v>
      </x:c>
    </x:row>
    <x:row r="6" ht="36" hidden="0" customHeight="1">
      <x:c r="A6" s="16" t="str">
        <x:v>ET-R2</x:v>
      </x:c>
      <x:c r="B6" s="16" t="str">
        <x:v>MS-ET</x:v>
      </x:c>
      <x:c r="C6" s="16" t="str">
        <x:v>Strategic intertheater lift</x:v>
      </x:c>
      <x:c r="D6" s="16" t="n">
        <x:f>Routes!K6</x:f>
        <x:v>2</x:v>
      </x:c>
      <x:c r="E6" s="16" t="n">
        <x:f>Routes!L6</x:f>
        <x:v>3</x:v>
      </x:c>
      <x:c r="F6" s="16" t="n">
        <x:f>Routes!M6</x:f>
        <x:v>4</x:v>
      </x:c>
      <x:c r="G6" s="16" t="n">
        <x:f>Routes!N6</x:f>
        <x:v>2</x:v>
      </x:c>
      <x:c r="H6" s="16" t="n">
        <x:f>Routes!O6</x:f>
        <x:v>2</x:v>
      </x:c>
      <x:c r="I6" s="16" t="n">
        <x:f>Routes!P6</x:f>
        <x:v>2</x:v>
      </x:c>
      <x:c r="J6" s="16" t="n">
        <x:f>Routes!Q6</x:f>
        <x:v>3</x:v>
      </x:c>
      <x:c r="K6" s="16" t="n">
        <x:f>Routes!R6</x:f>
        <x:v>3</x:v>
      </x:c>
      <x:c r="L6" s="16" t="n">
        <x:f>Routes!S6</x:f>
        <x:v>5</x:v>
      </x:c>
      <x:c r="M6" s="16" t="n">
        <x:f>Routes!T6</x:f>
        <x:v>5</x:v>
      </x:c>
      <x:c r="N6" s="16" t="n">
        <x:f>SUM(D6:M6)</x:f>
        <x:v>31</x:v>
      </x:c>
    </x:row>
    <x:row r="7" ht="48" hidden="0" customHeight="1">
      <x:c r="A7" s="16" t="str">
        <x:v>ET-R3</x:v>
      </x:c>
      <x:c r="B7" s="16" t="str">
        <x:v>MS-ET</x:v>
      </x:c>
      <x:c r="C7" s="16" t="str">
        <x:v>Port, littoral and inland-waterway entry</x:v>
      </x:c>
      <x:c r="D7" s="16" t="n">
        <x:f>Routes!K7</x:f>
        <x:v>4</x:v>
      </x:c>
      <x:c r="E7" s="16" t="n">
        <x:f>Routes!L7</x:f>
        <x:v>14</x:v>
      </x:c>
      <x:c r="F7" s="16" t="n">
        <x:f>Routes!M7</x:f>
        <x:v>18</x:v>
      </x:c>
      <x:c r="G7" s="16" t="n">
        <x:f>Routes!N7</x:f>
        <x:v>0</x:v>
      </x:c>
      <x:c r="H7" s="16" t="n">
        <x:f>Routes!O7</x:f>
        <x:v>0</x:v>
      </x:c>
      <x:c r="I7" s="16" t="n">
        <x:f>Routes!P7</x:f>
        <x:v>11</x:v>
      </x:c>
      <x:c r="J7" s="16" t="n">
        <x:f>Routes!Q7</x:f>
        <x:v>5</x:v>
      </x:c>
      <x:c r="K7" s="16" t="n">
        <x:f>Routes!R7</x:f>
        <x:v>9</x:v>
      </x:c>
      <x:c r="L7" s="16" t="n">
        <x:f>Routes!S7</x:f>
        <x:v>17</x:v>
      </x:c>
      <x:c r="M7" s="16" t="n">
        <x:f>Routes!T7</x:f>
        <x:v>20</x:v>
      </x:c>
      <x:c r="N7" s="16" t="n">
        <x:f>SUM(D7:M7)</x:f>
        <x:v>98</x:v>
      </x:c>
    </x:row>
    <x:row r="8" ht="72" hidden="0" customHeight="1">
      <x:c r="A8" s="16" t="str">
        <x:v>ET-R4</x:v>
      </x:c>
      <x:c r="B8" s="16" t="str">
        <x:v>MS-ET</x:v>
      </x:c>
      <x:c r="C8" s="16" t="str">
        <x:v>Austere access, tactical distribution and route opening</x:v>
      </x:c>
      <x:c r="D8" s="16" t="n">
        <x:f>Routes!K8</x:f>
        <x:v>10</x:v>
      </x:c>
      <x:c r="E8" s="16" t="n">
        <x:f>Routes!L8</x:f>
        <x:v>18</x:v>
      </x:c>
      <x:c r="F8" s="16" t="n">
        <x:f>Routes!M8</x:f>
        <x:v>26</x:v>
      </x:c>
      <x:c r="G8" s="16" t="n">
        <x:f>Routes!N8</x:f>
        <x:v>12</x:v>
      </x:c>
      <x:c r="H8" s="16" t="n">
        <x:f>Routes!O8</x:f>
        <x:v>8</x:v>
      </x:c>
      <x:c r="I8" s="16" t="n">
        <x:f>Routes!P8</x:f>
        <x:v>14</x:v>
      </x:c>
      <x:c r="J8" s="16" t="n">
        <x:f>Routes!Q8</x:f>
        <x:v>20</x:v>
      </x:c>
      <x:c r="K8" s="16" t="n">
        <x:f>Routes!R8</x:f>
        <x:v>12</x:v>
      </x:c>
      <x:c r="L8" s="16" t="n">
        <x:f>Routes!S8</x:f>
        <x:v>23</x:v>
      </x:c>
      <x:c r="M8" s="16" t="n">
        <x:f>Routes!T8</x:f>
        <x:v>21</x:v>
      </x:c>
      <x:c r="N8" s="16" t="n">
        <x:f>SUM(D8:M8)</x:f>
        <x:v>164</x:v>
      </x:c>
    </x:row>
    <x:row r="9" ht="60" hidden="0" customHeight="1">
      <x:c r="A9" s="16" t="str">
        <x:v>ET-R5</x:v>
      </x:c>
      <x:c r="B9" s="16" t="str">
        <x:v>MS-ET</x:v>
      </x:c>
      <x:c r="C9" s="16" t="str">
        <x:v>Temporary works, crossings and node preparation</x:v>
      </x:c>
      <x:c r="D9" s="16" t="n">
        <x:f>Routes!K9</x:f>
        <x:v>3</x:v>
      </x:c>
      <x:c r="E9" s="16" t="n">
        <x:f>Routes!L9</x:f>
        <x:v>6</x:v>
      </x:c>
      <x:c r="F9" s="16" t="n">
        <x:f>Routes!M9</x:f>
        <x:v>10</x:v>
      </x:c>
      <x:c r="G9" s="16" t="n">
        <x:f>Routes!N9</x:f>
        <x:v>1</x:v>
      </x:c>
      <x:c r="H9" s="16" t="n">
        <x:f>Routes!O9</x:f>
        <x:v>1</x:v>
      </x:c>
      <x:c r="I9" s="16" t="n">
        <x:f>Routes!P9</x:f>
        <x:v>6</x:v>
      </x:c>
      <x:c r="J9" s="16" t="n">
        <x:f>Routes!Q9</x:f>
        <x:v>8</x:v>
      </x:c>
      <x:c r="K9" s="16" t="n">
        <x:f>Routes!R9</x:f>
        <x:v>4</x:v>
      </x:c>
      <x:c r="L9" s="16" t="n">
        <x:f>Routes!S9</x:f>
        <x:v>8</x:v>
      </x:c>
      <x:c r="M9" s="16" t="n">
        <x:f>Routes!T9</x:f>
        <x:v>6</x:v>
      </x:c>
      <x:c r="N9" s="16" t="n">
        <x:f>SUM(D9:M9)</x:f>
        <x:v>53</x:v>
      </x:c>
    </x:row>
    <x:row r="10" ht="60" hidden="0" customHeight="1">
      <x:c r="A10" s="16" t="str">
        <x:v>CT-R1</x:v>
      </x:c>
      <x:c r="B10" s="16" t="str">
        <x:v>MS-CT</x:v>
      </x:c>
      <x:c r="C10" s="16" t="str">
        <x:v>Civil authority and effects coordination</x:v>
      </x:c>
      <x:c r="D10" s="16" t="n">
        <x:f>Routes!K10</x:f>
        <x:v>4</x:v>
      </x:c>
      <x:c r="E10" s="16" t="n">
        <x:f>Routes!L10</x:f>
        <x:v>4</x:v>
      </x:c>
      <x:c r="F10" s="16" t="n">
        <x:f>Routes!M10</x:f>
        <x:v>5</x:v>
      </x:c>
      <x:c r="G10" s="16" t="n">
        <x:f>Routes!N10</x:f>
        <x:v>2</x:v>
      </x:c>
      <x:c r="H10" s="16" t="n">
        <x:f>Routes!O10</x:f>
        <x:v>2</x:v>
      </x:c>
      <x:c r="I10" s="16" t="n">
        <x:f>Routes!P10</x:f>
        <x:v>3</x:v>
      </x:c>
      <x:c r="J10" s="16" t="n">
        <x:f>Routes!Q10</x:f>
        <x:v>3</x:v>
      </x:c>
      <x:c r="K10" s="16" t="n">
        <x:f>Routes!R10</x:f>
        <x:v>3</x:v>
      </x:c>
      <x:c r="L10" s="16" t="n">
        <x:f>Routes!S10</x:f>
        <x:v>4</x:v>
      </x:c>
      <x:c r="M10" s="16" t="n">
        <x:f>Routes!T10</x:f>
        <x:v>4</x:v>
      </x:c>
      <x:c r="N10" s="16" t="n">
        <x:f>SUM(D10:M10)</x:f>
        <x:v>34</x:v>
      </x:c>
    </x:row>
    <x:row r="11" ht="48" hidden="0" customHeight="1">
      <x:c r="A11" s="16" t="str">
        <x:v>CT-R2</x:v>
      </x:c>
      <x:c r="B11" s="16" t="str">
        <x:v>MS-CT</x:v>
      </x:c>
      <x:c r="C11" s="16" t="str">
        <x:v>Incident observation and causal picture</x:v>
      </x:c>
      <x:c r="D11" s="16" t="n">
        <x:f>Routes!K11</x:f>
        <x:v>9</x:v>
      </x:c>
      <x:c r="E11" s="16" t="n">
        <x:f>Routes!L11</x:f>
        <x:v>10</x:v>
      </x:c>
      <x:c r="F11" s="16" t="n">
        <x:f>Routes!M11</x:f>
        <x:v>13</x:v>
      </x:c>
      <x:c r="G11" s="16" t="n">
        <x:f>Routes!N11</x:f>
        <x:v>9</x:v>
      </x:c>
      <x:c r="H11" s="16" t="n">
        <x:f>Routes!O11</x:f>
        <x:v>7</x:v>
      </x:c>
      <x:c r="I11" s="16" t="n">
        <x:f>Routes!P11</x:f>
        <x:v>8</x:v>
      </x:c>
      <x:c r="J11" s="16" t="n">
        <x:f>Routes!Q11</x:f>
        <x:v>9</x:v>
      </x:c>
      <x:c r="K11" s="16" t="n">
        <x:f>Routes!R11</x:f>
        <x:v>8</x:v>
      </x:c>
      <x:c r="L11" s="16" t="n">
        <x:f>Routes!S11</x:f>
        <x:v>13</x:v>
      </x:c>
      <x:c r="M11" s="16" t="n">
        <x:f>Routes!T11</x:f>
        <x:v>13</x:v>
      </x:c>
      <x:c r="N11" s="16" t="n">
        <x:f>SUM(D11:M11)</x:f>
        <x:v>99</x:v>
      </x:c>
    </x:row>
    <x:row r="12" ht="48" hidden="0" customHeight="1">
      <x:c r="A12" s="16" t="str">
        <x:v>CT-R3</x:v>
      </x:c>
      <x:c r="B12" s="16" t="str">
        <x:v>MS-CT</x:v>
      </x:c>
      <x:c r="C12" s="16" t="str">
        <x:v>Disconnected public communications</x:v>
      </x:c>
      <x:c r="D12" s="16" t="n">
        <x:f>Routes!K12</x:f>
        <x:v>6</x:v>
      </x:c>
      <x:c r="E12" s="16" t="n">
        <x:f>Routes!L12</x:f>
        <x:v>6</x:v>
      </x:c>
      <x:c r="F12" s="16" t="n">
        <x:f>Routes!M12</x:f>
        <x:v>8</x:v>
      </x:c>
      <x:c r="G12" s="16" t="n">
        <x:f>Routes!N12</x:f>
        <x:v>4</x:v>
      </x:c>
      <x:c r="H12" s="16" t="n">
        <x:f>Routes!O12</x:f>
        <x:v>4</x:v>
      </x:c>
      <x:c r="I12" s="16" t="n">
        <x:f>Routes!P12</x:f>
        <x:v>5</x:v>
      </x:c>
      <x:c r="J12" s="16" t="n">
        <x:f>Routes!Q12</x:f>
        <x:v>5</x:v>
      </x:c>
      <x:c r="K12" s="16" t="n">
        <x:f>Routes!R12</x:f>
        <x:v>5</x:v>
      </x:c>
      <x:c r="L12" s="16" t="n">
        <x:f>Routes!S12</x:f>
        <x:v>8</x:v>
      </x:c>
      <x:c r="M12" s="16" t="n">
        <x:f>Routes!T12</x:f>
        <x:v>8</x:v>
      </x:c>
      <x:c r="N12" s="16" t="n">
        <x:f>SUM(D12:M12)</x:f>
        <x:v>59</x:v>
      </x:c>
    </x:row>
    <x:row r="13" ht="48" hidden="0" customHeight="1">
      <x:c r="A13" s="16" t="str">
        <x:v>CT-R4</x:v>
      </x:c>
      <x:c r="B13" s="16" t="str">
        <x:v>MS-CT</x:v>
      </x:c>
      <x:c r="C13" s="16" t="str">
        <x:v>Accessible public-service transaction</x:v>
      </x:c>
      <x:c r="D13" s="16" t="n">
        <x:f>Routes!K13</x:f>
        <x:v>8</x:v>
      </x:c>
      <x:c r="E13" s="16" t="n">
        <x:f>Routes!L13</x:f>
        <x:v>10</x:v>
      </x:c>
      <x:c r="F13" s="16" t="n">
        <x:f>Routes!M13</x:f>
        <x:v>12</x:v>
      </x:c>
      <x:c r="G13" s="16" t="n">
        <x:f>Routes!N13</x:f>
        <x:v>4</x:v>
      </x:c>
      <x:c r="H13" s="16" t="n">
        <x:f>Routes!O13</x:f>
        <x:v>6</x:v>
      </x:c>
      <x:c r="I13" s="16" t="n">
        <x:f>Routes!P13</x:f>
        <x:v>6</x:v>
      </x:c>
      <x:c r="J13" s="16" t="n">
        <x:f>Routes!Q13</x:f>
        <x:v>8</x:v>
      </x:c>
      <x:c r="K13" s="16" t="n">
        <x:f>Routes!R13</x:f>
        <x:v>6</x:v>
      </x:c>
      <x:c r="L13" s="16" t="n">
        <x:f>Routes!S13</x:f>
        <x:v>10</x:v>
      </x:c>
      <x:c r="M13" s="16" t="n">
        <x:f>Routes!T13</x:f>
        <x:v>12</x:v>
      </x:c>
      <x:c r="N13" s="16" t="n">
        <x:f>SUM(D13:M13)</x:f>
        <x:v>82</x:v>
      </x:c>
    </x:row>
    <x:row r="14" ht="48" hidden="0" customHeight="1">
      <x:c r="A14" s="16" t="str">
        <x:v>CT-R5</x:v>
      </x:c>
      <x:c r="B14" s="16" t="str">
        <x:v>MS-CT</x:v>
      </x:c>
      <x:c r="C14" s="16" t="str">
        <x:v>Household and building-origin reach</x:v>
      </x:c>
      <x:c r="D14" s="16" t="n">
        <x:f>Routes!K14</x:f>
        <x:v>6</x:v>
      </x:c>
      <x:c r="E14" s="16" t="n">
        <x:f>Routes!L14</x:f>
        <x:v>8</x:v>
      </x:c>
      <x:c r="F14" s="16" t="n">
        <x:f>Routes!M14</x:f>
        <x:v>10</x:v>
      </x:c>
      <x:c r="G14" s="16" t="n">
        <x:f>Routes!N14</x:f>
        <x:v>3</x:v>
      </x:c>
      <x:c r="H14" s="16" t="n">
        <x:f>Routes!O14</x:f>
        <x:v>6</x:v>
      </x:c>
      <x:c r="I14" s="16" t="n">
        <x:f>Routes!P14</x:f>
        <x:v>5</x:v>
      </x:c>
      <x:c r="J14" s="16" t="n">
        <x:f>Routes!Q14</x:f>
        <x:v>6</x:v>
      </x:c>
      <x:c r="K14" s="16" t="n">
        <x:f>Routes!R14</x:f>
        <x:v>5</x:v>
      </x:c>
      <x:c r="L14" s="16" t="n">
        <x:f>Routes!S14</x:f>
        <x:v>10</x:v>
      </x:c>
      <x:c r="M14" s="16" t="n">
        <x:f>Routes!T14</x:f>
        <x:v>10</x:v>
      </x:c>
      <x:c r="N14" s="16" t="n">
        <x:f>SUM(D14:M14)</x:f>
        <x:v>69</x:v>
      </x:c>
    </x:row>
    <x:row r="15" ht="36" hidden="0" customHeight="1">
      <x:c r="A15" s="16" t="str">
        <x:v>HC-R1</x:v>
      </x:c>
      <x:c r="B15" s="16" t="str">
        <x:v>MS-HC</x:v>
      </x:c>
      <x:c r="C15" s="16" t="str">
        <x:v>Fire and atmospheric control</x:v>
      </x:c>
      <x:c r="D15" s="16" t="n">
        <x:f>Routes!K15</x:f>
        <x:v>3</x:v>
      </x:c>
      <x:c r="E15" s="16" t="n">
        <x:f>Routes!L15</x:f>
        <x:v>5</x:v>
      </x:c>
      <x:c r="F15" s="16" t="n">
        <x:f>Routes!M15</x:f>
        <x:v>6</x:v>
      </x:c>
      <x:c r="G15" s="16" t="n">
        <x:f>Routes!N15</x:f>
        <x:v>22</x:v>
      </x:c>
      <x:c r="H15" s="16" t="n">
        <x:f>Routes!O15</x:f>
        <x:v>5</x:v>
      </x:c>
      <x:c r="I15" s="16" t="n">
        <x:f>Routes!P15</x:f>
        <x:v>1</x:v>
      </x:c>
      <x:c r="J15" s="16" t="n">
        <x:f>Routes!Q15</x:f>
        <x:v>3</x:v>
      </x:c>
      <x:c r="K15" s="16" t="n">
        <x:f>Routes!R15</x:f>
        <x:v>3</x:v>
      </x:c>
      <x:c r="L15" s="16" t="n">
        <x:f>Routes!S15</x:f>
        <x:v>4</x:v>
      </x:c>
      <x:c r="M15" s="16" t="n">
        <x:f>Routes!T15</x:f>
        <x:v>3</x:v>
      </x:c>
      <x:c r="N15" s="16" t="n">
        <x:f>SUM(D15:M15)</x:f>
        <x:v>55</x:v>
      </x:c>
    </x:row>
    <x:row r="16" ht="36" hidden="0" customHeight="1">
      <x:c r="A16" s="16" t="str">
        <x:v>HC-R2</x:v>
      </x:c>
      <x:c r="B16" s="16" t="str">
        <x:v>MS-HC</x:v>
      </x:c>
      <x:c r="C16" s="16" t="str">
        <x:v>Flood and hydraulic control</x:v>
      </x:c>
      <x:c r="D16" s="16" t="n">
        <x:f>Routes!K16</x:f>
        <x:v>1</x:v>
      </x:c>
      <x:c r="E16" s="16" t="n">
        <x:f>Routes!L16</x:f>
        <x:v>10</x:v>
      </x:c>
      <x:c r="F16" s="16" t="n">
        <x:f>Routes!M16</x:f>
        <x:v>6</x:v>
      </x:c>
      <x:c r="G16" s="16" t="n">
        <x:f>Routes!N16</x:f>
        <x:v>0</x:v>
      </x:c>
      <x:c r="H16" s="16" t="n">
        <x:f>Routes!O16</x:f>
        <x:v>0</x:v>
      </x:c>
      <x:c r="I16" s="16" t="n">
        <x:f>Routes!P16</x:f>
        <x:v>12</x:v>
      </x:c>
      <x:c r="J16" s="16" t="n">
        <x:f>Routes!Q16</x:f>
        <x:v>3</x:v>
      </x:c>
      <x:c r="K16" s="16" t="n">
        <x:f>Routes!R16</x:f>
        <x:v>2</x:v>
      </x:c>
      <x:c r="L16" s="16" t="n">
        <x:f>Routes!S16</x:f>
        <x:v>4</x:v>
      </x:c>
      <x:c r="M16" s="16" t="n">
        <x:f>Routes!T16</x:f>
        <x:v>12</x:v>
      </x:c>
      <x:c r="N16" s="16" t="n">
        <x:f>SUM(D16:M16)</x:f>
        <x:v>50</x:v>
      </x:c>
    </x:row>
    <x:row r="17" ht="60" hidden="0" customHeight="1">
      <x:c r="A17" s="16" t="str">
        <x:v>HC-R3</x:v>
      </x:c>
      <x:c r="B17" s="16" t="str">
        <x:v>MS-HC</x:v>
      </x:c>
      <x:c r="C17" s="16" t="str">
        <x:v>Debris, material and geophysical control</x:v>
      </x:c>
      <x:c r="D17" s="16" t="n">
        <x:f>Routes!K17</x:f>
        <x:v>2</x:v>
      </x:c>
      <x:c r="E17" s="16" t="n">
        <x:f>Routes!L17</x:f>
        <x:v>8</x:v>
      </x:c>
      <x:c r="F17" s="16" t="n">
        <x:f>Routes!M17</x:f>
        <x:v>12</x:v>
      </x:c>
      <x:c r="G17" s="16" t="n">
        <x:f>Routes!N17</x:f>
        <x:v>2</x:v>
      </x:c>
      <x:c r="H17" s="16" t="n">
        <x:f>Routes!O17</x:f>
        <x:v>1</x:v>
      </x:c>
      <x:c r="I17" s="16" t="n">
        <x:f>Routes!P17</x:f>
        <x:v>8</x:v>
      </x:c>
      <x:c r="J17" s="16" t="n">
        <x:f>Routes!Q17</x:f>
        <x:v>12</x:v>
      </x:c>
      <x:c r="K17" s="16" t="n">
        <x:f>Routes!R17</x:f>
        <x:v>2</x:v>
      </x:c>
      <x:c r="L17" s="16" t="n">
        <x:f>Routes!S17</x:f>
        <x:v>10</x:v>
      </x:c>
      <x:c r="M17" s="16" t="n">
        <x:f>Routes!T17</x:f>
        <x:v>8</x:v>
      </x:c>
      <x:c r="N17" s="16" t="n">
        <x:f>SUM(D17:M17)</x:f>
        <x:v>65</x:v>
      </x:c>
    </x:row>
    <x:row r="18" ht="48" hidden="0" customHeight="1">
      <x:c r="A18" s="16" t="str">
        <x:v>LF-R1</x:v>
      </x:c>
      <x:c r="B18" s="16" t="str">
        <x:v>MS-LF</x:v>
      </x:c>
      <x:c r="C18" s="16" t="str">
        <x:v>Strategic and maritime production</x:v>
      </x:c>
      <x:c r="D18" s="16" t="n">
        <x:f>Routes!K18</x:f>
        <x:v>2</x:v>
      </x:c>
      <x:c r="E18" s="16" t="n">
        <x:f>Routes!L18</x:f>
        <x:v>4</x:v>
      </x:c>
      <x:c r="F18" s="16" t="n">
        <x:f>Routes!M18</x:f>
        <x:v>4</x:v>
      </x:c>
      <x:c r="G18" s="16" t="n">
        <x:f>Routes!N18</x:f>
        <x:v>1</x:v>
      </x:c>
      <x:c r="H18" s="16" t="n">
        <x:f>Routes!O18</x:f>
        <x:v>2</x:v>
      </x:c>
      <x:c r="I18" s="16" t="n">
        <x:f>Routes!P18</x:f>
        <x:v>2</x:v>
      </x:c>
      <x:c r="J18" s="16" t="n">
        <x:f>Routes!Q18</x:f>
        <x:v>1</x:v>
      </x:c>
      <x:c r="K18" s="16" t="n">
        <x:f>Routes!R18</x:f>
        <x:v>4</x:v>
      </x:c>
      <x:c r="L18" s="16" t="n">
        <x:f>Routes!S18</x:f>
        <x:v>4</x:v>
      </x:c>
      <x:c r="M18" s="16" t="n">
        <x:f>Routes!T18</x:f>
        <x:v>4</x:v>
      </x:c>
      <x:c r="N18" s="16" t="n">
        <x:f>SUM(D18:M18)</x:f>
        <x:v>28</x:v>
      </x:c>
    </x:row>
    <x:row r="19" ht="48" hidden="0" customHeight="1">
      <x:c r="A19" s="16" t="str">
        <x:v>LF-R2</x:v>
      </x:c>
      <x:c r="B19" s="16" t="str">
        <x:v>MS-LF</x:v>
      </x:c>
      <x:c r="C19" s="16" t="str">
        <x:v>Water and wastewater at point of use</x:v>
      </x:c>
      <x:c r="D19" s="16" t="n">
        <x:f>Routes!K19</x:f>
        <x:v>6</x:v>
      </x:c>
      <x:c r="E19" s="16" t="n">
        <x:f>Routes!L19</x:f>
        <x:v>6</x:v>
      </x:c>
      <x:c r="F19" s="16" t="n">
        <x:f>Routes!M19</x:f>
        <x:v>8</x:v>
      </x:c>
      <x:c r="G19" s="16" t="n">
        <x:f>Routes!N19</x:f>
        <x:v>2</x:v>
      </x:c>
      <x:c r="H19" s="16" t="n">
        <x:f>Routes!O19</x:f>
        <x:v>2</x:v>
      </x:c>
      <x:c r="I19" s="16" t="n">
        <x:f>Routes!P19</x:f>
        <x:v>4</x:v>
      </x:c>
      <x:c r="J19" s="16" t="n">
        <x:f>Routes!Q19</x:f>
        <x:v>3</x:v>
      </x:c>
      <x:c r="K19" s="16" t="n">
        <x:f>Routes!R19</x:f>
        <x:v>8</x:v>
      </x:c>
      <x:c r="L19" s="16" t="n">
        <x:f>Routes!S19</x:f>
        <x:v>8</x:v>
      </x:c>
      <x:c r="M19" s="16" t="n">
        <x:f>Routes!T19</x:f>
        <x:v>7</x:v>
      </x:c>
      <x:c r="N19" s="16" t="n">
        <x:f>SUM(D19:M19)</x:f>
        <x:v>54</x:v>
      </x:c>
    </x:row>
    <x:row r="20" ht="24" hidden="0" customHeight="1">
      <x:c r="A20" s="16" t="str">
        <x:v>LF-R3</x:v>
      </x:c>
      <x:c r="B20" s="16" t="str">
        <x:v>MS-LF</x:v>
      </x:c>
      <x:c r="C20" s="16" t="str">
        <x:v>Local power</x:v>
      </x:c>
      <x:c r="D20" s="16" t="n">
        <x:f>Routes!K20</x:f>
        <x:v>8</x:v>
      </x:c>
      <x:c r="E20" s="16" t="n">
        <x:f>Routes!L20</x:f>
        <x:v>6</x:v>
      </x:c>
      <x:c r="F20" s="16" t="n">
        <x:f>Routes!M20</x:f>
        <x:v>10</x:v>
      </x:c>
      <x:c r="G20" s="16" t="n">
        <x:f>Routes!N20</x:f>
        <x:v>3</x:v>
      </x:c>
      <x:c r="H20" s="16" t="n">
        <x:f>Routes!O20</x:f>
        <x:v>6</x:v>
      </x:c>
      <x:c r="I20" s="16" t="n">
        <x:f>Routes!P20</x:f>
        <x:v>5</x:v>
      </x:c>
      <x:c r="J20" s="16" t="n">
        <x:f>Routes!Q20</x:f>
        <x:v>4</x:v>
      </x:c>
      <x:c r="K20" s="16" t="n">
        <x:f>Routes!R20</x:f>
        <x:v>6</x:v>
      </x:c>
      <x:c r="L20" s="16" t="n">
        <x:f>Routes!S20</x:f>
        <x:v>8</x:v>
      </x:c>
      <x:c r="M20" s="16" t="n">
        <x:f>Routes!T20</x:f>
        <x:v>7</x:v>
      </x:c>
      <x:c r="N20" s="16" t="n">
        <x:f>SUM(D20:M20)</x:f>
        <x:v>63</x:v>
      </x:c>
    </x:row>
    <x:row r="21" ht="15" hidden="0" customHeight="1">
      <x:c r="A21" s="16" t="str">
        <x:v>LF-R4</x:v>
      </x:c>
      <x:c r="B21" s="16" t="str">
        <x:v>MS-LF</x:v>
      </x:c>
      <x:c r="C21" s="16" t="str">
        <x:v>Grid bridge</x:v>
      </x:c>
      <x:c r="D21" s="16" t="n">
        <x:f>Routes!K21</x:f>
        <x:v>6</x:v>
      </x:c>
      <x:c r="E21" s="16" t="n">
        <x:f>Routes!L21</x:f>
        <x:v>5</x:v>
      </x:c>
      <x:c r="F21" s="16" t="n">
        <x:f>Routes!M21</x:f>
        <x:v>8</x:v>
      </x:c>
      <x:c r="G21" s="16" t="n">
        <x:f>Routes!N21</x:f>
        <x:v>2</x:v>
      </x:c>
      <x:c r="H21" s="16" t="n">
        <x:f>Routes!O21</x:f>
        <x:v>5</x:v>
      </x:c>
      <x:c r="I21" s="16" t="n">
        <x:f>Routes!P21</x:f>
        <x:v>4</x:v>
      </x:c>
      <x:c r="J21" s="16" t="n">
        <x:f>Routes!Q21</x:f>
        <x:v>3</x:v>
      </x:c>
      <x:c r="K21" s="16" t="n">
        <x:f>Routes!R21</x:f>
        <x:v>4</x:v>
      </x:c>
      <x:c r="L21" s="16" t="n">
        <x:f>Routes!S21</x:f>
        <x:v>6</x:v>
      </x:c>
      <x:c r="M21" s="16" t="n">
        <x:f>Routes!T21</x:f>
        <x:v>5</x:v>
      </x:c>
      <x:c r="N21" s="16" t="n">
        <x:f>SUM(D21:M21)</x:f>
        <x:v>48</x:v>
      </x:c>
    </x:row>
    <x:row r="22" ht="24" hidden="0" customHeight="1">
      <x:c r="A22" s="16" t="str">
        <x:v>LF-R5</x:v>
      </x:c>
      <x:c r="B22" s="16" t="str">
        <x:v>MS-LF</x:v>
      </x:c>
      <x:c r="C22" s="16" t="str">
        <x:v>Thermal safety</x:v>
      </x:c>
      <x:c r="D22" s="16" t="n">
        <x:f>Routes!K22</x:f>
        <x:v>12</x:v>
      </x:c>
      <x:c r="E22" s="16" t="n">
        <x:f>Routes!L22</x:f>
        <x:v>6</x:v>
      </x:c>
      <x:c r="F22" s="16" t="n">
        <x:f>Routes!M22</x:f>
        <x:v>8</x:v>
      </x:c>
      <x:c r="G22" s="16" t="n">
        <x:f>Routes!N22</x:f>
        <x:v>4</x:v>
      </x:c>
      <x:c r="H22" s="16" t="n">
        <x:f>Routes!O22</x:f>
        <x:v>10</x:v>
      </x:c>
      <x:c r="I22" s="16" t="n">
        <x:f>Routes!P22</x:f>
        <x:v>3</x:v>
      </x:c>
      <x:c r="J22" s="16" t="n">
        <x:f>Routes!Q22</x:f>
        <x:v>4</x:v>
      </x:c>
      <x:c r="K22" s="16" t="n">
        <x:f>Routes!R22</x:f>
        <x:v>5</x:v>
      </x:c>
      <x:c r="L22" s="16" t="n">
        <x:f>Routes!S22</x:f>
        <x:v>6</x:v>
      </x:c>
      <x:c r="M22" s="16" t="n">
        <x:f>Routes!T22</x:f>
        <x:v>5</x:v>
      </x:c>
      <x:c r="N22" s="16" t="n">
        <x:f>SUM(D22:M22)</x:f>
        <x:v>63</x:v>
      </x:c>
    </x:row>
    <x:row r="23" ht="36" hidden="0" customHeight="1">
      <x:c r="A23" s="16" t="str">
        <x:v>HU-R1</x:v>
      </x:c>
      <x:c r="B23" s="16" t="str">
        <x:v>MS-HU</x:v>
      </x:c>
      <x:c r="C23" s="16" t="str">
        <x:v>Local continuity support</x:v>
      </x:c>
      <x:c r="D23" s="16" t="n">
        <x:f>Routes!K23</x:f>
        <x:v>32</x:v>
      </x:c>
      <x:c r="E23" s="16" t="n">
        <x:f>Routes!L23</x:f>
        <x:v>40</x:v>
      </x:c>
      <x:c r="F23" s="16" t="n">
        <x:f>Routes!M23</x:f>
        <x:v>47</x:v>
      </x:c>
      <x:c r="G23" s="16" t="n">
        <x:f>Routes!N23</x:f>
        <x:v>15</x:v>
      </x:c>
      <x:c r="H23" s="16" t="n">
        <x:f>Routes!O23</x:f>
        <x:v>28</x:v>
      </x:c>
      <x:c r="I23" s="16" t="n">
        <x:f>Routes!P23</x:f>
        <x:v>24</x:v>
      </x:c>
      <x:c r="J23" s="16" t="n">
        <x:f>Routes!Q23</x:f>
        <x:v>29</x:v>
      </x:c>
      <x:c r="K23" s="16" t="n">
        <x:f>Routes!R23</x:f>
        <x:v>26</x:v>
      </x:c>
      <x:c r="L23" s="16" t="n">
        <x:f>Routes!S23</x:f>
        <x:v>44</x:v>
      </x:c>
      <x:c r="M23" s="16" t="n">
        <x:f>Routes!T23</x:f>
        <x:v>48</x:v>
      </x:c>
      <x:c r="N23" s="16" t="n">
        <x:f>SUM(D23:M23)</x:f>
        <x:v>333</x:v>
      </x:c>
    </x:row>
    <x:row r="24" ht="24" hidden="0" customHeight="1">
      <x:c r="A24" s="16" t="str">
        <x:v>HU-R2</x:v>
      </x:c>
      <x:c r="B24" s="16" t="str">
        <x:v>MS-HU</x:v>
      </x:c>
      <x:c r="C24" s="16" t="str">
        <x:v>Definitive care</x:v>
      </x:c>
      <x:c r="D24" s="16" t="n">
        <x:f>Routes!K24</x:f>
        <x:v>6</x:v>
      </x:c>
      <x:c r="E24" s="16" t="n">
        <x:f>Routes!L24</x:f>
        <x:v>8</x:v>
      </x:c>
      <x:c r="F24" s="16" t="n">
        <x:f>Routes!M24</x:f>
        <x:v>12</x:v>
      </x:c>
      <x:c r="G24" s="16" t="n">
        <x:f>Routes!N24</x:f>
        <x:v>5</x:v>
      </x:c>
      <x:c r="H24" s="16" t="n">
        <x:f>Routes!O24</x:f>
        <x:v>6</x:v>
      </x:c>
      <x:c r="I24" s="16" t="n">
        <x:f>Routes!P24</x:f>
        <x:v>5</x:v>
      </x:c>
      <x:c r="J24" s="16" t="n">
        <x:f>Routes!Q24</x:f>
        <x:v>8</x:v>
      </x:c>
      <x:c r="K24" s="16" t="n">
        <x:f>Routes!R24</x:f>
        <x:v>5</x:v>
      </x:c>
      <x:c r="L24" s="16" t="n">
        <x:f>Routes!S24</x:f>
        <x:v>12</x:v>
      </x:c>
      <x:c r="M24" s="16" t="n">
        <x:f>Routes!T24</x:f>
        <x:v>10</x:v>
      </x:c>
      <x:c r="N24" s="16" t="n">
        <x:f>SUM(D24:M24)</x:f>
        <x:v>77</x:v>
      </x:c>
    </x:row>
    <x:row r="25" ht="36" hidden="0" customHeight="1">
      <x:c r="A25" s="16" t="str">
        <x:v>HU-R3</x:v>
      </x:c>
      <x:c r="B25" s="16" t="str">
        <x:v>MS-HU</x:v>
      </x:c>
      <x:c r="C25" s="16" t="str">
        <x:v>Patient regulation and transfer</x:v>
      </x:c>
      <x:c r="D25" s="16" t="n">
        <x:f>Routes!K25</x:f>
        <x:v>6</x:v>
      </x:c>
      <x:c r="E25" s="16" t="n">
        <x:f>Routes!L25</x:f>
        <x:v>8</x:v>
      </x:c>
      <x:c r="F25" s="16" t="n">
        <x:f>Routes!M25</x:f>
        <x:v>13</x:v>
      </x:c>
      <x:c r="G25" s="16" t="n">
        <x:f>Routes!N25</x:f>
        <x:v>5</x:v>
      </x:c>
      <x:c r="H25" s="16" t="n">
        <x:f>Routes!O25</x:f>
        <x:v>7</x:v>
      </x:c>
      <x:c r="I25" s="16" t="n">
        <x:f>Routes!P25</x:f>
        <x:v>5</x:v>
      </x:c>
      <x:c r="J25" s="16" t="n">
        <x:f>Routes!Q25</x:f>
        <x:v>8</x:v>
      </x:c>
      <x:c r="K25" s="16" t="n">
        <x:f>Routes!R25</x:f>
        <x:v>5</x:v>
      </x:c>
      <x:c r="L25" s="16" t="n">
        <x:f>Routes!S25</x:f>
        <x:v>13</x:v>
      </x:c>
      <x:c r="M25" s="16" t="n">
        <x:f>Routes!T25</x:f>
        <x:v>10</x:v>
      </x:c>
      <x:c r="N25" s="16" t="n">
        <x:f>SUM(D25:M25)</x:f>
        <x:v>80</x:v>
      </x:c>
    </x:row>
    <x:row r="26" ht="48" hidden="0" customHeight="1">
      <x:c r="A26" s="16" t="str">
        <x:v>HU-R4</x:v>
      </x:c>
      <x:c r="B26" s="16" t="str">
        <x:v>MS-HU</x:v>
      </x:c>
      <x:c r="C26" s="16" t="str">
        <x:v>Household relocation and reception</x:v>
      </x:c>
      <x:c r="D26" s="16" t="n">
        <x:f>Routes!K26</x:f>
        <x:v>25</x:v>
      </x:c>
      <x:c r="E26" s="16" t="n">
        <x:f>Routes!L26</x:f>
        <x:v>37</x:v>
      </x:c>
      <x:c r="F26" s="16" t="n">
        <x:f>Routes!M26</x:f>
        <x:v>46</x:v>
      </x:c>
      <x:c r="G26" s="16" t="n">
        <x:f>Routes!N26</x:f>
        <x:v>13</x:v>
      </x:c>
      <x:c r="H26" s="16" t="n">
        <x:f>Routes!O26</x:f>
        <x:v>23</x:v>
      </x:c>
      <x:c r="I26" s="16" t="n">
        <x:f>Routes!P26</x:f>
        <x:v>22</x:v>
      </x:c>
      <x:c r="J26" s="16" t="n">
        <x:f>Routes!Q26</x:f>
        <x:v>29</x:v>
      </x:c>
      <x:c r="K26" s="16" t="n">
        <x:f>Routes!R26</x:f>
        <x:v>24</x:v>
      </x:c>
      <x:c r="L26" s="16" t="n">
        <x:f>Routes!S26</x:f>
        <x:v>45</x:v>
      </x:c>
      <x:c r="M26" s="16" t="n">
        <x:f>Routes!T26</x:f>
        <x:v>50</x:v>
      </x:c>
      <x:c r="N26" s="16" t="n">
        <x:f>SUM(D26:M26)</x:f>
        <x:v>314</x:v>
      </x:c>
    </x:row>
    <x:row r="27" ht="36" hidden="0" customHeight="1">
      <x:c r="A27" s="16" t="str">
        <x:v>HU-R5</x:v>
      </x:c>
      <x:c r="B27" s="16" t="str">
        <x:v>MS-HU</x:v>
      </x:c>
      <x:c r="C27" s="16" t="str">
        <x:v>Workforce replacement</x:v>
      </x:c>
      <x:c r="D27" s="16" t="n">
        <x:f>Routes!K27</x:f>
        <x:v>8</x:v>
      </x:c>
      <x:c r="E27" s="16" t="n">
        <x:f>Routes!L27</x:f>
        <x:v>8</x:v>
      </x:c>
      <x:c r="F27" s="16" t="n">
        <x:f>Routes!M27</x:f>
        <x:v>10</x:v>
      </x:c>
      <x:c r="G27" s="16" t="n">
        <x:f>Routes!N27</x:f>
        <x:v>4</x:v>
      </x:c>
      <x:c r="H27" s="16" t="n">
        <x:f>Routes!O27</x:f>
        <x:v>8</x:v>
      </x:c>
      <x:c r="I27" s="16" t="n">
        <x:f>Routes!P27</x:f>
        <x:v>5</x:v>
      </x:c>
      <x:c r="J27" s="16" t="n">
        <x:f>Routes!Q27</x:f>
        <x:v>6</x:v>
      </x:c>
      <x:c r="K27" s="16" t="n">
        <x:f>Routes!R27</x:f>
        <x:v>6</x:v>
      </x:c>
      <x:c r="L27" s="16" t="n">
        <x:f>Routes!S27</x:f>
        <x:v>10</x:v>
      </x:c>
      <x:c r="M27" s="16" t="n">
        <x:f>Routes!T27</x:f>
        <x:v>10</x:v>
      </x:c>
      <x:c r="N27" s="16" t="n">
        <x:f>SUM(D27:M27)</x:f>
        <x:v>75</x:v>
      </x:c>
    </x:row>
    <x:row r="28" ht="60" hidden="0" customHeight="1">
      <x:c r="A28" s="16" t="str">
        <x:v>RT-R1</x:v>
      </x:c>
      <x:c r="B28" s="16" t="str">
        <x:v>MS-RT</x:v>
      </x:c>
      <x:c r="C28" s="16" t="str">
        <x:v>Campaign, ocean and offshore sustainment</x:v>
      </x:c>
      <x:c r="D28" s="16" t="n">
        <x:f>Routes!K28</x:f>
        <x:v>6</x:v>
      </x:c>
      <x:c r="E28" s="16" t="n">
        <x:f>Routes!L28</x:f>
        <x:v>11</x:v>
      </x:c>
      <x:c r="F28" s="16" t="n">
        <x:f>Routes!M28</x:f>
        <x:v>15</x:v>
      </x:c>
      <x:c r="G28" s="16" t="n">
        <x:f>Routes!N28</x:f>
        <x:v>3</x:v>
      </x:c>
      <x:c r="H28" s="16" t="n">
        <x:f>Routes!O28</x:f>
        <x:v>3</x:v>
      </x:c>
      <x:c r="I28" s="16" t="n">
        <x:f>Routes!P28</x:f>
        <x:v>6</x:v>
      </x:c>
      <x:c r="J28" s="16" t="n">
        <x:f>Routes!Q28</x:f>
        <x:v>6</x:v>
      </x:c>
      <x:c r="K28" s="16" t="n">
        <x:f>Routes!R28</x:f>
        <x:v>10</x:v>
      </x:c>
      <x:c r="L28" s="16" t="n">
        <x:f>Routes!S28</x:f>
        <x:v>18</x:v>
      </x:c>
      <x:c r="M28" s="16" t="n">
        <x:f>Routes!T28</x:f>
        <x:v>17</x:v>
      </x:c>
      <x:c r="N28" s="16" t="n">
        <x:f>SUM(D28:M28)</x:f>
        <x:v>95</x:v>
      </x:c>
    </x:row>
    <x:row r="29" ht="48" hidden="0" customHeight="1">
      <x:c r="A29" s="16" t="str">
        <x:v>RT-R2</x:v>
      </x:c>
      <x:c r="B29" s="16" t="str">
        <x:v>MS-RT</x:v>
      </x:c>
      <x:c r="C29" s="16" t="str">
        <x:v>Replacement and reconstitution</x:v>
      </x:c>
      <x:c r="D29" s="16" t="n">
        <x:f>Routes!K29</x:f>
        <x:v>3</x:v>
      </x:c>
      <x:c r="E29" s="16" t="n">
        <x:f>Routes!L29</x:f>
        <x:v>4</x:v>
      </x:c>
      <x:c r="F29" s="16" t="n">
        <x:f>Routes!M29</x:f>
        <x:v>5</x:v>
      </x:c>
      <x:c r="G29" s="16" t="n">
        <x:f>Routes!N29</x:f>
        <x:v>2</x:v>
      </x:c>
      <x:c r="H29" s="16" t="n">
        <x:f>Routes!O29</x:f>
        <x:v>2</x:v>
      </x:c>
      <x:c r="I29" s="16" t="n">
        <x:f>Routes!P29</x:f>
        <x:v>3</x:v>
      </x:c>
      <x:c r="J29" s="16" t="n">
        <x:f>Routes!Q29</x:f>
        <x:v>3</x:v>
      </x:c>
      <x:c r="K29" s="16" t="n">
        <x:f>Routes!R29</x:f>
        <x:v>3</x:v>
      </x:c>
      <x:c r="L29" s="16" t="n">
        <x:f>Routes!S29</x:f>
        <x:v>4</x:v>
      </x:c>
      <x:c r="M29" s="16" t="n">
        <x:f>Routes!T29</x:f>
        <x:v>4</x:v>
      </x:c>
      <x:c r="N29" s="16" t="n">
        <x:f>SUM(D29:M29)</x:f>
        <x:v>33</x:v>
      </x:c>
    </x:row>
    <x:row r="30" ht="36" hidden="0" customHeight="1">
      <x:c r="A30" s="16" t="str">
        <x:v>RT-R3</x:v>
      </x:c>
      <x:c r="B30" s="16" t="str">
        <x:v>MS-RT</x:v>
      </x:c>
      <x:c r="C30" s="16" t="str">
        <x:v>Utility reconstruction</x:v>
      </x:c>
      <x:c r="D30" s="16" t="n">
        <x:f>Routes!K30</x:f>
        <x:v>8</x:v>
      </x:c>
      <x:c r="E30" s="16" t="n">
        <x:f>Routes!L30</x:f>
        <x:v>8</x:v>
      </x:c>
      <x:c r="F30" s="16" t="n">
        <x:f>Routes!M30</x:f>
        <x:v>12</x:v>
      </x:c>
      <x:c r="G30" s="16" t="n">
        <x:f>Routes!N30</x:f>
        <x:v>3</x:v>
      </x:c>
      <x:c r="H30" s="16" t="n">
        <x:f>Routes!O30</x:f>
        <x:v>4</x:v>
      </x:c>
      <x:c r="I30" s="16" t="n">
        <x:f>Routes!P30</x:f>
        <x:v>6</x:v>
      </x:c>
      <x:c r="J30" s="16" t="n">
        <x:f>Routes!Q30</x:f>
        <x:v>8</x:v>
      </x:c>
      <x:c r="K30" s="16" t="n">
        <x:f>Routes!R30</x:f>
        <x:v>6</x:v>
      </x:c>
      <x:c r="L30" s="16" t="n">
        <x:f>Routes!S30</x:f>
        <x:v>10</x:v>
      </x:c>
      <x:c r="M30" s="16" t="n">
        <x:f>Routes!T30</x:f>
        <x:v>8</x:v>
      </x:c>
      <x:c r="N30" s="16" t="n">
        <x:f>SUM(D30:M30)</x:f>
        <x:v>73</x:v>
      </x:c>
    </x:row>
    <x:row r="31" ht="60" hidden="0" customHeight="1">
      <x:c r="A31" s="16" t="str">
        <x:v>RT-R4</x:v>
      </x:c>
      <x:c r="B31" s="16" t="str">
        <x:v>MS-RT</x:v>
      </x:c>
      <x:c r="C31" s="16" t="str">
        <x:v>Civil, institution and economic transfer</x:v>
      </x:c>
      <x:c r="D31" s="16" t="n">
        <x:f>Routes!K31</x:f>
        <x:v>12</x:v>
      </x:c>
      <x:c r="E31" s="16" t="n">
        <x:f>Routes!L31</x:f>
        <x:v>17</x:v>
      </x:c>
      <x:c r="F31" s="16" t="n">
        <x:f>Routes!M31</x:f>
        <x:v>22</x:v>
      </x:c>
      <x:c r="G31" s="16" t="n">
        <x:f>Routes!N31</x:f>
        <x:v>7</x:v>
      </x:c>
      <x:c r="H31" s="16" t="n">
        <x:f>Routes!O31</x:f>
        <x:v>10</x:v>
      </x:c>
      <x:c r="I31" s="16" t="n">
        <x:f>Routes!P31</x:f>
        <x:v>11</x:v>
      </x:c>
      <x:c r="J31" s="16" t="n">
        <x:f>Routes!Q31</x:f>
        <x:v>13</x:v>
      </x:c>
      <x:c r="K31" s="16" t="n">
        <x:f>Routes!R31</x:f>
        <x:v>12</x:v>
      </x:c>
      <x:c r="L31" s="16" t="n">
        <x:f>Routes!S31</x:f>
        <x:v>19</x:v>
      </x:c>
      <x:c r="M31" s="16" t="n">
        <x:f>Routes!T31</x:f>
        <x:v>21</x:v>
      </x:c>
      <x:c r="N31" s="16" t="n">
        <x:f>SUM(D31:M31)</x:f>
        <x:v>144</x:v>
      </x:c>
    </x:row>
    <x:row r="32" ht="72" hidden="0" customHeight="1">
      <x:c r="A32" s="16" t="str">
        <x:v>RT-R5</x:v>
      </x:c>
      <x:c r="B32" s="16" t="str">
        <x:v>MS-RT</x:v>
      </x:c>
      <x:c r="C32" s="16" t="str">
        <x:v>Return, durable continuity and demobilization</x:v>
      </x:c>
      <x:c r="D32" s="16" t="n">
        <x:f>Routes!K32</x:f>
        <x:v>4</x:v>
      </x:c>
      <x:c r="E32" s="16" t="n">
        <x:f>Routes!L32</x:f>
        <x:v>6</x:v>
      </x:c>
      <x:c r="F32" s="16" t="n">
        <x:f>Routes!M32</x:f>
        <x:v>8</x:v>
      </x:c>
      <x:c r="G32" s="16" t="n">
        <x:f>Routes!N32</x:f>
        <x:v>3</x:v>
      </x:c>
      <x:c r="H32" s="16" t="n">
        <x:f>Routes!O32</x:f>
        <x:v>5</x:v>
      </x:c>
      <x:c r="I32" s="16" t="n">
        <x:f>Routes!P32</x:f>
        <x:v>4</x:v>
      </x:c>
      <x:c r="J32" s="16" t="n">
        <x:f>Routes!Q32</x:f>
        <x:v>5</x:v>
      </x:c>
      <x:c r="K32" s="16" t="n">
        <x:f>Routes!R32</x:f>
        <x:v>5</x:v>
      </x:c>
      <x:c r="L32" s="16" t="n">
        <x:f>Routes!S32</x:f>
        <x:v>8</x:v>
      </x:c>
      <x:c r="M32" s="16" t="n">
        <x:f>Routes!T32</x:f>
        <x:v>10</x:v>
      </x:c>
      <x:c r="N32" s="16" t="n">
        <x:f>SUM(D32:M32)</x:f>
        <x:v>58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9" hidden="0" customWidth="1"/>
    <x:col min="3" max="3" width="28" hidden="0" customWidth="1"/>
    <x:col min="4" max="4" width="52" hidden="0" customWidth="1"/>
    <x:col min="5" max="5" width="16" hidden="0" customWidth="1"/>
    <x:col min="6" max="6" width="18" hidden="0" customWidth="1"/>
    <x:col min="7" max="7" width="30" hidden="0" customWidth="1"/>
  </x:cols>
  <x:sheetData>
    <x:row r="1" ht="19.200000762939453" hidden="0" customHeight="1">
      <x:c r="A1" s="3" t="str">
        <x:v>Six-system asynchronous state vector</x:v>
      </x:c>
      <x:c r="B1" s="3"/>
      <x:c r="C1" s="3"/>
      <x:c r="D1" s="3"/>
      <x:c r="E1" s="3"/>
      <x:c r="F1" s="3"/>
      <x:c r="G1" s="3"/>
    </x:row>
    <x:row r="2" ht="24" hidden="0" customHeight="1">
      <x:c r="A2" s="7" t="str">
        <x:v>These forty-two cells are judged independently. Mission closure requires six accepted S7 states and no ownerless residual.</x:v>
      </x:c>
      <x:c r="B2" s="7"/>
      <x:c r="C2" s="7"/>
      <x:c r="D2" s="7"/>
      <x:c r="E2" s="7"/>
      <x:c r="F2" s="7"/>
      <x:c r="G2" s="7"/>
    </x:row>
    <x:row r="3"/>
    <x:row r="4" ht="52.79999923706055" hidden="0" customHeight="1">
      <x:c r="A4" s="12" t="str">
        <x:v>System</x:v>
      </x:c>
      <x:c r="B4" s="12" t="str">
        <x:v>Stage</x:v>
      </x:c>
      <x:c r="C4" s="12" t="str">
        <x:v>Common verb</x:v>
      </x:c>
      <x:c r="D4" s="12" t="str">
        <x:v>System-specific governed object</x:v>
      </x:c>
      <x:c r="E4" s="12" t="str">
        <x:v>Ordering</x:v>
      </x:c>
      <x:c r="F4" s="12" t="str">
        <x:v>Credit</x:v>
      </x:c>
      <x:c r="G4" s="12" t="str">
        <x:v>Regression</x:v>
      </x:c>
    </x:row>
    <x:row r="5" ht="48" hidden="0" customHeight="1">
      <x:c r="A5" s="16" t="str">
        <x:v>MS-ET</x:v>
      </x:c>
      <x:c r="B5" s="16" t="str">
        <x:v>S1</x:v>
      </x:c>
      <x:c r="C5" s="16" t="str">
        <x:v>Establish state and authority</x:v>
      </x:c>
      <x:c r="D5" s="16" t="str">
        <x:v>theater, route and authority state</x:v>
      </x:c>
      <x:c r="E5" s="16" t="str">
        <x:v>INDEPENDENT</x:v>
      </x:c>
      <x:c r="F5" s="16" t="str">
        <x:v>Evidence required</x:v>
      </x:c>
      <x:c r="G5" s="16" t="str">
        <x:v>May regress on expiry/revocation</x:v>
      </x:c>
    </x:row>
    <x:row r="6" ht="48" hidden="0" customHeight="1">
      <x:c r="A6" s="16" t="str">
        <x:v>MS-ET</x:v>
      </x:c>
      <x:c r="B6" s="16" t="str">
        <x:v>S2</x:v>
      </x:c>
      <x:c r="C6" s="16" t="str">
        <x:v>Bound immediate failure</x:v>
      </x:c>
      <x:c r="D6" s="16" t="str">
        <x:v>access deterioration</x:v>
      </x:c>
      <x:c r="E6" s="16" t="str">
        <x:v>INDEPENDENT</x:v>
      </x:c>
      <x:c r="F6" s="16" t="str">
        <x:v>Evidence required</x:v>
      </x:c>
      <x:c r="G6" s="16" t="str">
        <x:v>May regress on expiry/revocation</x:v>
      </x:c>
    </x:row>
    <x:row r="7" ht="48" hidden="0" customHeight="1">
      <x:c r="A7" s="16" t="str">
        <x:v>MS-ET</x:v>
      </x:c>
      <x:c r="B7" s="16" t="str">
        <x:v>S3</x:v>
      </x:c>
      <x:c r="C7" s="16" t="str">
        <x:v>Assign service</x:v>
      </x:c>
      <x:c r="D7" s="16" t="str">
        <x:v>node/path capacity</x:v>
      </x:c>
      <x:c r="E7" s="16" t="str">
        <x:v>INDEPENDENT</x:v>
      </x:c>
      <x:c r="F7" s="16" t="str">
        <x:v>Evidence required</x:v>
      </x:c>
      <x:c r="G7" s="16" t="str">
        <x:v>May regress on expiry/revocation</x:v>
      </x:c>
    </x:row>
    <x:row r="8" ht="48" hidden="0" customHeight="1">
      <x:c r="A8" s="16" t="str">
        <x:v>MS-ET</x:v>
      </x:c>
      <x:c r="B8" s="16" t="str">
        <x:v>S4</x:v>
      </x:c>
      <x:c r="C8" s="16" t="str">
        <x:v>Prepare the path</x:v>
      </x:c>
      <x:c r="D8" s="16" t="str">
        <x:v>origins, routes and receivers</x:v>
      </x:c>
      <x:c r="E8" s="16" t="str">
        <x:v>INDEPENDENT</x:v>
      </x:c>
      <x:c r="F8" s="16" t="str">
        <x:v>Evidence required</x:v>
      </x:c>
      <x:c r="G8" s="16" t="str">
        <x:v>May regress on expiry/revocation</x:v>
      </x:c>
    </x:row>
    <x:row r="9" ht="48" hidden="0" customHeight="1">
      <x:c r="A9" s="16" t="str">
        <x:v>MS-ET</x:v>
      </x:c>
      <x:c r="B9" s="16" t="str">
        <x:v>S5</x:v>
      </x:c>
      <x:c r="C9" s="16" t="str">
        <x:v>Deliver or produce</x:v>
      </x:c>
      <x:c r="D9" s="16" t="str">
        <x:v>mobility or works service</x:v>
      </x:c>
      <x:c r="E9" s="16" t="str">
        <x:v>INDEPENDENT</x:v>
      </x:c>
      <x:c r="F9" s="16" t="str">
        <x:v>Evidence required</x:v>
      </x:c>
      <x:c r="G9" s="16" t="str">
        <x:v>May regress on expiry/revocation</x:v>
      </x:c>
    </x:row>
    <x:row r="10" ht="48" hidden="0" customHeight="1">
      <x:c r="A10" s="16" t="str">
        <x:v>MS-ET</x:v>
      </x:c>
      <x:c r="B10" s="16" t="str">
        <x:v>S6</x:v>
      </x:c>
      <x:c r="C10" s="16" t="str">
        <x:v>Accept and sustain</x:v>
      </x:c>
      <x:c r="D10" s="16" t="str">
        <x:v>usable access</x:v>
      </x:c>
      <x:c r="E10" s="16" t="str">
        <x:v>INDEPENDENT</x:v>
      </x:c>
      <x:c r="F10" s="16" t="str">
        <x:v>Evidence required</x:v>
      </x:c>
      <x:c r="G10" s="16" t="str">
        <x:v>May regress on expiry/revocation</x:v>
      </x:c>
    </x:row>
    <x:row r="11" ht="48" hidden="0" customHeight="1">
      <x:c r="A11" s="16" t="str">
        <x:v>MS-ET</x:v>
      </x:c>
      <x:c r="B11" s="16" t="str">
        <x:v>S7</x:v>
      </x:c>
      <x:c r="C11" s="16" t="str">
        <x:v>Transfer and regenerate</x:v>
      </x:c>
      <x:c r="D11" s="16" t="str">
        <x:v>route transfer and fleet reset</x:v>
      </x:c>
      <x:c r="E11" s="16" t="str">
        <x:v>INDEPENDENT</x:v>
      </x:c>
      <x:c r="F11" s="16" t="str">
        <x:v>Evidence required</x:v>
      </x:c>
      <x:c r="G11" s="16" t="str">
        <x:v>May regress on expiry/revocation</x:v>
      </x:c>
    </x:row>
    <x:row r="12" ht="60" hidden="0" customHeight="1">
      <x:c r="A12" s="16" t="str">
        <x:v>MS-CT</x:v>
      </x:c>
      <x:c r="B12" s="16" t="str">
        <x:v>S1</x:v>
      </x:c>
      <x:c r="C12" s="16" t="str">
        <x:v>Establish state and authority</x:v>
      </x:c>
      <x:c r="D12" s="16" t="str">
        <x:v>civil authority and occupied-terrain state</x:v>
      </x:c>
      <x:c r="E12" s="16" t="str">
        <x:v>INDEPENDENT</x:v>
      </x:c>
      <x:c r="F12" s="16" t="str">
        <x:v>Evidence required</x:v>
      </x:c>
      <x:c r="G12" s="16" t="str">
        <x:v>May regress on expiry/revocation</x:v>
      </x:c>
    </x:row>
    <x:row r="13" ht="48" hidden="0" customHeight="1">
      <x:c r="A13" s="16" t="str">
        <x:v>MS-CT</x:v>
      </x:c>
      <x:c r="B13" s="16" t="str">
        <x:v>S2</x:v>
      </x:c>
      <x:c r="C13" s="16" t="str">
        <x:v>Bound immediate failure</x:v>
      </x:c>
      <x:c r="D13" s="16" t="str">
        <x:v>information or access failure</x:v>
      </x:c>
      <x:c r="E13" s="16" t="str">
        <x:v>INDEPENDENT</x:v>
      </x:c>
      <x:c r="F13" s="16" t="str">
        <x:v>Evidence required</x:v>
      </x:c>
      <x:c r="G13" s="16" t="str">
        <x:v>May regress on expiry/revocation</x:v>
      </x:c>
    </x:row>
    <x:row r="14" ht="48" hidden="0" customHeight="1">
      <x:c r="A14" s="16" t="str">
        <x:v>MS-CT</x:v>
      </x:c>
      <x:c r="B14" s="16" t="str">
        <x:v>S3</x:v>
      </x:c>
      <x:c r="C14" s="16" t="str">
        <x:v>Assign service</x:v>
      </x:c>
      <x:c r="D14" s="16" t="str">
        <x:v>contact and public transaction</x:v>
      </x:c>
      <x:c r="E14" s="16" t="str">
        <x:v>INDEPENDENT</x:v>
      </x:c>
      <x:c r="F14" s="16" t="str">
        <x:v>Evidence required</x:v>
      </x:c>
      <x:c r="G14" s="16" t="str">
        <x:v>May regress on expiry/revocation</x:v>
      </x:c>
    </x:row>
    <x:row r="15" ht="48" hidden="0" customHeight="1">
      <x:c r="A15" s="16" t="str">
        <x:v>MS-CT</x:v>
      </x:c>
      <x:c r="B15" s="16" t="str">
        <x:v>S4</x:v>
      </x:c>
      <x:c r="C15" s="16" t="str">
        <x:v>Prepare the path</x:v>
      </x:c>
      <x:c r="D15" s="16" t="str">
        <x:v>disconnected reach paths</x:v>
      </x:c>
      <x:c r="E15" s="16" t="str">
        <x:v>INDEPENDENT</x:v>
      </x:c>
      <x:c r="F15" s="16" t="str">
        <x:v>Evidence required</x:v>
      </x:c>
      <x:c r="G15" s="16" t="str">
        <x:v>May regress on expiry/revocation</x:v>
      </x:c>
    </x:row>
    <x:row r="16" ht="48" hidden="0" customHeight="1">
      <x:c r="A16" s="16" t="str">
        <x:v>MS-CT</x:v>
      </x:c>
      <x:c r="B16" s="16" t="str">
        <x:v>S5</x:v>
      </x:c>
      <x:c r="C16" s="16" t="str">
        <x:v>Deliver or produce</x:v>
      </x:c>
      <x:c r="D16" s="16" t="str">
        <x:v>trusted information and access</x:v>
      </x:c>
      <x:c r="E16" s="16" t="str">
        <x:v>INDEPENDENT</x:v>
      </x:c>
      <x:c r="F16" s="16" t="str">
        <x:v>Evidence required</x:v>
      </x:c>
      <x:c r="G16" s="16" t="str">
        <x:v>May regress on expiry/revocation</x:v>
      </x:c>
    </x:row>
    <x:row r="17" ht="48" hidden="0" customHeight="1">
      <x:c r="A17" s="16" t="str">
        <x:v>MS-CT</x:v>
      </x:c>
      <x:c r="B17" s="16" t="str">
        <x:v>S6</x:v>
      </x:c>
      <x:c r="C17" s="16" t="str">
        <x:v>Accept and sustain</x:v>
      </x:c>
      <x:c r="D17" s="16" t="str">
        <x:v>publicly usable transaction</x:v>
      </x:c>
      <x:c r="E17" s="16" t="str">
        <x:v>INDEPENDENT</x:v>
      </x:c>
      <x:c r="F17" s="16" t="str">
        <x:v>Evidence required</x:v>
      </x:c>
      <x:c r="G17" s="16" t="str">
        <x:v>May regress on expiry/revocation</x:v>
      </x:c>
    </x:row>
    <x:row r="18" ht="48" hidden="0" customHeight="1">
      <x:c r="A18" s="16" t="str">
        <x:v>MS-CT</x:v>
      </x:c>
      <x:c r="B18" s="16" t="str">
        <x:v>S7</x:v>
      </x:c>
      <x:c r="C18" s="16" t="str">
        <x:v>Transfer and regenerate</x:v>
      </x:c>
      <x:c r="D18" s="16" t="str">
        <x:v>record transfer and network recovery</x:v>
      </x:c>
      <x:c r="E18" s="16" t="str">
        <x:v>INDEPENDENT</x:v>
      </x:c>
      <x:c r="F18" s="16" t="str">
        <x:v>Evidence required</x:v>
      </x:c>
      <x:c r="G18" s="16" t="str">
        <x:v>May regress on expiry/revocation</x:v>
      </x:c>
    </x:row>
    <x:row r="19" ht="48" hidden="0" customHeight="1">
      <x:c r="A19" s="16" t="str">
        <x:v>MS-HC</x:v>
      </x:c>
      <x:c r="B19" s="16" t="str">
        <x:v>S1</x:v>
      </x:c>
      <x:c r="C19" s="16" t="str">
        <x:v>Establish state and authority</x:v>
      </x:c>
      <x:c r="D19" s="16" t="str">
        <x:v>hazard mechanism and control authority</x:v>
      </x:c>
      <x:c r="E19" s="16" t="str">
        <x:v>INDEPENDENT</x:v>
      </x:c>
      <x:c r="F19" s="16" t="str">
        <x:v>Evidence required</x:v>
      </x:c>
      <x:c r="G19" s="16" t="str">
        <x:v>May regress on expiry/revocation</x:v>
      </x:c>
    </x:row>
    <x:row r="20" ht="48" hidden="0" customHeight="1">
      <x:c r="A20" s="16" t="str">
        <x:v>MS-HC</x:v>
      </x:c>
      <x:c r="B20" s="16" t="str">
        <x:v>S2</x:v>
      </x:c>
      <x:c r="C20" s="16" t="str">
        <x:v>Bound immediate failure</x:v>
      </x:c>
      <x:c r="D20" s="16" t="str">
        <x:v>uncontrolled pathway</x:v>
      </x:c>
      <x:c r="E20" s="16" t="str">
        <x:v>INDEPENDENT</x:v>
      </x:c>
      <x:c r="F20" s="16" t="str">
        <x:v>Evidence required</x:v>
      </x:c>
      <x:c r="G20" s="16" t="str">
        <x:v>May regress on expiry/revocation</x:v>
      </x:c>
    </x:row>
    <x:row r="21" ht="48" hidden="0" customHeight="1">
      <x:c r="A21" s="16" t="str">
        <x:v>MS-HC</x:v>
      </x:c>
      <x:c r="B21" s="16" t="str">
        <x:v>S3</x:v>
      </x:c>
      <x:c r="C21" s="16" t="str">
        <x:v>Assign service</x:v>
      </x:c>
      <x:c r="D21" s="16" t="str">
        <x:v>control envelope and receiver</x:v>
      </x:c>
      <x:c r="E21" s="16" t="str">
        <x:v>INDEPENDENT</x:v>
      </x:c>
      <x:c r="F21" s="16" t="str">
        <x:v>Evidence required</x:v>
      </x:c>
      <x:c r="G21" s="16" t="str">
        <x:v>May regress on expiry/revocation</x:v>
      </x:c>
    </x:row>
    <x:row r="22" ht="48" hidden="0" customHeight="1">
      <x:c r="A22" s="16" t="str">
        <x:v>MS-HC</x:v>
      </x:c>
      <x:c r="B22" s="16" t="str">
        <x:v>S4</x:v>
      </x:c>
      <x:c r="C22" s="16" t="str">
        <x:v>Prepare the path</x:v>
      </x:c>
      <x:c r="D22" s="16" t="str">
        <x:v>control path and protected area</x:v>
      </x:c>
      <x:c r="E22" s="16" t="str">
        <x:v>INDEPENDENT</x:v>
      </x:c>
      <x:c r="F22" s="16" t="str">
        <x:v>Evidence required</x:v>
      </x:c>
      <x:c r="G22" s="16" t="str">
        <x:v>May regress on expiry/revocation</x:v>
      </x:c>
    </x:row>
    <x:row r="23" ht="48" hidden="0" customHeight="1">
      <x:c r="A23" s="16" t="str">
        <x:v>MS-HC</x:v>
      </x:c>
      <x:c r="B23" s="16" t="str">
        <x:v>S5</x:v>
      </x:c>
      <x:c r="C23" s="16" t="str">
        <x:v>Deliver or produce</x:v>
      </x:c>
      <x:c r="D23" s="16" t="str">
        <x:v>hazard suppression or diversion</x:v>
      </x:c>
      <x:c r="E23" s="16" t="str">
        <x:v>INDEPENDENT</x:v>
      </x:c>
      <x:c r="F23" s="16" t="str">
        <x:v>Evidence required</x:v>
      </x:c>
      <x:c r="G23" s="16" t="str">
        <x:v>May regress on expiry/revocation</x:v>
      </x:c>
    </x:row>
    <x:row r="24" ht="48" hidden="0" customHeight="1">
      <x:c r="A24" s="16" t="str">
        <x:v>MS-HC</x:v>
      </x:c>
      <x:c r="B24" s="16" t="str">
        <x:v>S6</x:v>
      </x:c>
      <x:c r="C24" s="16" t="str">
        <x:v>Accept and sustain</x:v>
      </x:c>
      <x:c r="D24" s="16" t="str">
        <x:v>safe envelope</x:v>
      </x:c>
      <x:c r="E24" s="16" t="str">
        <x:v>INDEPENDENT</x:v>
      </x:c>
      <x:c r="F24" s="16" t="str">
        <x:v>Evidence required</x:v>
      </x:c>
      <x:c r="G24" s="16" t="str">
        <x:v>May regress on expiry/revocation</x:v>
      </x:c>
    </x:row>
    <x:row r="25" ht="48" hidden="0" customHeight="1">
      <x:c r="A25" s="16" t="str">
        <x:v>MS-HC</x:v>
      </x:c>
      <x:c r="B25" s="16" t="str">
        <x:v>S7</x:v>
      </x:c>
      <x:c r="C25" s="16" t="str">
        <x:v>Transfer and regenerate</x:v>
      </x:c>
      <x:c r="D25" s="16" t="str">
        <x:v>residual custody and control reset</x:v>
      </x:c>
      <x:c r="E25" s="16" t="str">
        <x:v>INDEPENDENT</x:v>
      </x:c>
      <x:c r="F25" s="16" t="str">
        <x:v>Evidence required</x:v>
      </x:c>
      <x:c r="G25" s="16" t="str">
        <x:v>May regress on expiry/revocation</x:v>
      </x:c>
    </x:row>
    <x:row r="26" ht="48" hidden="0" customHeight="1">
      <x:c r="A26" s="16" t="str">
        <x:v>MS-LF</x:v>
      </x:c>
      <x:c r="B26" s="16" t="str">
        <x:v>S1</x:v>
      </x:c>
      <x:c r="C26" s="16" t="str">
        <x:v>Establish state and authority</x:v>
      </x:c>
      <x:c r="D26" s="16" t="str">
        <x:v>utility demand, source and authority</x:v>
      </x:c>
      <x:c r="E26" s="16" t="str">
        <x:v>INDEPENDENT</x:v>
      </x:c>
      <x:c r="F26" s="16" t="str">
        <x:v>Evidence required</x:v>
      </x:c>
      <x:c r="G26" s="16" t="str">
        <x:v>May regress on expiry/revocation</x:v>
      </x:c>
    </x:row>
    <x:row r="27" ht="48" hidden="0" customHeight="1">
      <x:c r="A27" s="16" t="str">
        <x:v>MS-LF</x:v>
      </x:c>
      <x:c r="B27" s="16" t="str">
        <x:v>S2</x:v>
      </x:c>
      <x:c r="C27" s="16" t="str">
        <x:v>Bound immediate failure</x:v>
      </x:c>
      <x:c r="D27" s="16" t="str">
        <x:v>service loss or unsafe quality</x:v>
      </x:c>
      <x:c r="E27" s="16" t="str">
        <x:v>INDEPENDENT</x:v>
      </x:c>
      <x:c r="F27" s="16" t="str">
        <x:v>Evidence required</x:v>
      </x:c>
      <x:c r="G27" s="16" t="str">
        <x:v>May regress on expiry/revocation</x:v>
      </x:c>
    </x:row>
    <x:row r="28" ht="48" hidden="0" customHeight="1">
      <x:c r="A28" s="16" t="str">
        <x:v>MS-LF</x:v>
      </x:c>
      <x:c r="B28" s="16" t="str">
        <x:v>S3</x:v>
      </x:c>
      <x:c r="C28" s="16" t="str">
        <x:v>Assign service</x:v>
      </x:c>
      <x:c r="D28" s="16" t="str">
        <x:v>quantity, rate and duration</x:v>
      </x:c>
      <x:c r="E28" s="16" t="str">
        <x:v>INDEPENDENT</x:v>
      </x:c>
      <x:c r="F28" s="16" t="str">
        <x:v>Evidence required</x:v>
      </x:c>
      <x:c r="G28" s="16" t="str">
        <x:v>May regress on expiry/revocation</x:v>
      </x:c>
    </x:row>
    <x:row r="29" ht="48" hidden="0" customHeight="1">
      <x:c r="A29" s="16" t="str">
        <x:v>MS-LF</x:v>
      </x:c>
      <x:c r="B29" s="16" t="str">
        <x:v>S4</x:v>
      </x:c>
      <x:c r="C29" s="16" t="str">
        <x:v>Prepare the path</x:v>
      </x:c>
      <x:c r="D29" s="16" t="str">
        <x:v>source, path and point of use</x:v>
      </x:c>
      <x:c r="E29" s="16" t="str">
        <x:v>INDEPENDENT</x:v>
      </x:c>
      <x:c r="F29" s="16" t="str">
        <x:v>Evidence required</x:v>
      </x:c>
      <x:c r="G29" s="16" t="str">
        <x:v>May regress on expiry/revocation</x:v>
      </x:c>
    </x:row>
    <x:row r="30" ht="48" hidden="0" customHeight="1">
      <x:c r="A30" s="16" t="str">
        <x:v>MS-LF</x:v>
      </x:c>
      <x:c r="B30" s="16" t="str">
        <x:v>S5</x:v>
      </x:c>
      <x:c r="C30" s="16" t="str">
        <x:v>Deliver or produce</x:v>
      </x:c>
      <x:c r="D30" s="16" t="str">
        <x:v>water, power or thermal service</x:v>
      </x:c>
      <x:c r="E30" s="16" t="str">
        <x:v>INDEPENDENT</x:v>
      </x:c>
      <x:c r="F30" s="16" t="str">
        <x:v>Evidence required</x:v>
      </x:c>
      <x:c r="G30" s="16" t="str">
        <x:v>May regress on expiry/revocation</x:v>
      </x:c>
    </x:row>
    <x:row r="31" ht="48" hidden="0" customHeight="1">
      <x:c r="A31" s="16" t="str">
        <x:v>MS-LF</x:v>
      </x:c>
      <x:c r="B31" s="16" t="str">
        <x:v>S6</x:v>
      </x:c>
      <x:c r="C31" s="16" t="str">
        <x:v>Accept and sustain</x:v>
      </x:c>
      <x:c r="D31" s="16" t="str">
        <x:v>usable point-use service</x:v>
      </x:c>
      <x:c r="E31" s="16" t="str">
        <x:v>INDEPENDENT</x:v>
      </x:c>
      <x:c r="F31" s="16" t="str">
        <x:v>Evidence required</x:v>
      </x:c>
      <x:c r="G31" s="16" t="str">
        <x:v>May regress on expiry/revocation</x:v>
      </x:c>
    </x:row>
    <x:row r="32" ht="48" hidden="0" customHeight="1">
      <x:c r="A32" s="16" t="str">
        <x:v>MS-LF</x:v>
      </x:c>
      <x:c r="B32" s="16" t="str">
        <x:v>S7</x:v>
      </x:c>
      <x:c r="C32" s="16" t="str">
        <x:v>Transfer and regenerate</x:v>
      </x:c>
      <x:c r="D32" s="16" t="str">
        <x:v>utility transfer and plant reset</x:v>
      </x:c>
      <x:c r="E32" s="16" t="str">
        <x:v>INDEPENDENT</x:v>
      </x:c>
      <x:c r="F32" s="16" t="str">
        <x:v>Evidence required</x:v>
      </x:c>
      <x:c r="G32" s="16" t="str">
        <x:v>May regress on expiry/revocation</x:v>
      </x:c>
    </x:row>
    <x:row r="33" ht="48" hidden="0" customHeight="1">
      <x:c r="A33" s="16" t="str">
        <x:v>MS-HU</x:v>
      </x:c>
      <x:c r="B33" s="16" t="str">
        <x:v>S1</x:v>
      </x:c>
      <x:c r="C33" s="16" t="str">
        <x:v>Establish state and authority</x:v>
      </x:c>
      <x:c r="D33" s="16" t="str">
        <x:v>person–household–care state and consent</x:v>
      </x:c>
      <x:c r="E33" s="16" t="str">
        <x:v>INDEPENDENT</x:v>
      </x:c>
      <x:c r="F33" s="16" t="str">
        <x:v>Evidence required</x:v>
      </x:c>
      <x:c r="G33" s="16" t="str">
        <x:v>May regress on expiry/revocation</x:v>
      </x:c>
    </x:row>
    <x:row r="34" ht="48" hidden="0" customHeight="1">
      <x:c r="A34" s="16" t="str">
        <x:v>MS-HU</x:v>
      </x:c>
      <x:c r="B34" s="16" t="str">
        <x:v>S2</x:v>
      </x:c>
      <x:c r="C34" s="16" t="str">
        <x:v>Bound immediate failure</x:v>
      </x:c>
      <x:c r="D34" s="16" t="str">
        <x:v>loss of continuity</x:v>
      </x:c>
      <x:c r="E34" s="16" t="str">
        <x:v>INDEPENDENT</x:v>
      </x:c>
      <x:c r="F34" s="16" t="str">
        <x:v>Evidence required</x:v>
      </x:c>
      <x:c r="G34" s="16" t="str">
        <x:v>May regress on expiry/revocation</x:v>
      </x:c>
    </x:row>
    <x:row r="35" ht="48" hidden="0" customHeight="1">
      <x:c r="A35" s="16" t="str">
        <x:v>MS-HU</x:v>
      </x:c>
      <x:c r="B35" s="16" t="str">
        <x:v>S3</x:v>
      </x:c>
      <x:c r="C35" s="16" t="str">
        <x:v>Assign service</x:v>
      </x:c>
      <x:c r="D35" s="16" t="str">
        <x:v>service and accepted destination</x:v>
      </x:c>
      <x:c r="E35" s="16" t="str">
        <x:v>INDEPENDENT</x:v>
      </x:c>
      <x:c r="F35" s="16" t="str">
        <x:v>Evidence required</x:v>
      </x:c>
      <x:c r="G35" s="16" t="str">
        <x:v>May regress on expiry/revocation</x:v>
      </x:c>
    </x:row>
    <x:row r="36" ht="60" hidden="0" customHeight="1">
      <x:c r="A36" s="16" t="str">
        <x:v>MS-HU</x:v>
      </x:c>
      <x:c r="B36" s="16" t="str">
        <x:v>S4</x:v>
      </x:c>
      <x:c r="C36" s="16" t="str">
        <x:v>Prepare the path</x:v>
      </x:c>
      <x:c r="D36" s="16" t="str">
        <x:v>origin, route, receiver and support</x:v>
      </x:c>
      <x:c r="E36" s="16" t="str">
        <x:v>INDEPENDENT</x:v>
      </x:c>
      <x:c r="F36" s="16" t="str">
        <x:v>Evidence required</x:v>
      </x:c>
      <x:c r="G36" s="16" t="str">
        <x:v>May regress on expiry/revocation</x:v>
      </x:c>
    </x:row>
    <x:row r="37" ht="60" hidden="0" customHeight="1">
      <x:c r="A37" s="16" t="str">
        <x:v>MS-HU</x:v>
      </x:c>
      <x:c r="B37" s="16" t="str">
        <x:v>S5</x:v>
      </x:c>
      <x:c r="C37" s="16" t="str">
        <x:v>Deliver or produce</x:v>
      </x:c>
      <x:c r="D37" s="16" t="str">
        <x:v>person movement or projected care</x:v>
      </x:c>
      <x:c r="E37" s="16" t="str">
        <x:v>INDEPENDENT</x:v>
      </x:c>
      <x:c r="F37" s="16" t="str">
        <x:v>Evidence required</x:v>
      </x:c>
      <x:c r="G37" s="16" t="str">
        <x:v>May regress on expiry/revocation</x:v>
      </x:c>
    </x:row>
    <x:row r="38" ht="48" hidden="0" customHeight="1">
      <x:c r="A38" s="16" t="str">
        <x:v>MS-HU</x:v>
      </x:c>
      <x:c r="B38" s="16" t="str">
        <x:v>S6</x:v>
      </x:c>
      <x:c r="C38" s="16" t="str">
        <x:v>Accept and sustain</x:v>
      </x:c>
      <x:c r="D38" s="16" t="str">
        <x:v>relationship-preserving service</x:v>
      </x:c>
      <x:c r="E38" s="16" t="str">
        <x:v>INDEPENDENT</x:v>
      </x:c>
      <x:c r="F38" s="16" t="str">
        <x:v>Evidence required</x:v>
      </x:c>
      <x:c r="G38" s="16" t="str">
        <x:v>May regress on expiry/revocation</x:v>
      </x:c>
    </x:row>
    <x:row r="39" ht="48" hidden="0" customHeight="1">
      <x:c r="A39" s="16" t="str">
        <x:v>MS-HU</x:v>
      </x:c>
      <x:c r="B39" s="16" t="str">
        <x:v>S7</x:v>
      </x:c>
      <x:c r="C39" s="16" t="str">
        <x:v>Transfer and regenerate</x:v>
      </x:c>
      <x:c r="D39" s="16" t="str">
        <x:v>supported return and workforce reset</x:v>
      </x:c>
      <x:c r="E39" s="16" t="str">
        <x:v>INDEPENDENT</x:v>
      </x:c>
      <x:c r="F39" s="16" t="str">
        <x:v>Evidence required</x:v>
      </x:c>
      <x:c r="G39" s="16" t="str">
        <x:v>May regress on expiry/revocation</x:v>
      </x:c>
    </x:row>
    <x:row r="40" ht="60" hidden="0" customHeight="1">
      <x:c r="A40" s="16" t="str">
        <x:v>MS-RT</x:v>
      </x:c>
      <x:c r="B40" s="16" t="str">
        <x:v>S1</x:v>
      </x:c>
      <x:c r="C40" s="16" t="str">
        <x:v>Establish state and authority</x:v>
      </x:c>
      <x:c r="D40" s="16" t="str">
        <x:v>stock, repair, civil owner and residual state</x:v>
      </x:c>
      <x:c r="E40" s="16" t="str">
        <x:v>INDEPENDENT</x:v>
      </x:c>
      <x:c r="F40" s="16" t="str">
        <x:v>Evidence required</x:v>
      </x:c>
      <x:c r="G40" s="16" t="str">
        <x:v>May regress on expiry/revocation</x:v>
      </x:c>
    </x:row>
    <x:row r="41" ht="48" hidden="0" customHeight="1">
      <x:c r="A41" s="16" t="str">
        <x:v>MS-RT</x:v>
      </x:c>
      <x:c r="B41" s="16" t="str">
        <x:v>S2</x:v>
      </x:c>
      <x:c r="C41" s="16" t="str">
        <x:v>Bound immediate failure</x:v>
      </x:c>
      <x:c r="D41" s="16" t="str">
        <x:v>sustainment or recovery loss</x:v>
      </x:c>
      <x:c r="E41" s="16" t="str">
        <x:v>INDEPENDENT</x:v>
      </x:c>
      <x:c r="F41" s="16" t="str">
        <x:v>Evidence required</x:v>
      </x:c>
      <x:c r="G41" s="16" t="str">
        <x:v>May regress on expiry/revocation</x:v>
      </x:c>
    </x:row>
    <x:row r="42" ht="48" hidden="0" customHeight="1">
      <x:c r="A42" s="16" t="str">
        <x:v>MS-RT</x:v>
      </x:c>
      <x:c r="B42" s="16" t="str">
        <x:v>S3</x:v>
      </x:c>
      <x:c r="C42" s="16" t="str">
        <x:v>Assign service</x:v>
      </x:c>
      <x:c r="D42" s="16" t="str">
        <x:v>replenishment, repair or transfer</x:v>
      </x:c>
      <x:c r="E42" s="16" t="str">
        <x:v>INDEPENDENT</x:v>
      </x:c>
      <x:c r="F42" s="16" t="str">
        <x:v>Evidence required</x:v>
      </x:c>
      <x:c r="G42" s="16" t="str">
        <x:v>May regress on expiry/revocation</x:v>
      </x:c>
    </x:row>
    <x:row r="43" ht="48" hidden="0" customHeight="1">
      <x:c r="A43" s="16" t="str">
        <x:v>MS-RT</x:v>
      </x:c>
      <x:c r="B43" s="16" t="str">
        <x:v>S4</x:v>
      </x:c>
      <x:c r="C43" s="16" t="str">
        <x:v>Prepare the path</x:v>
      </x:c>
      <x:c r="D43" s="16" t="str">
        <x:v>supply, return and repair paths</x:v>
      </x:c>
      <x:c r="E43" s="16" t="str">
        <x:v>INDEPENDENT</x:v>
      </x:c>
      <x:c r="F43" s="16" t="str">
        <x:v>Evidence required</x:v>
      </x:c>
      <x:c r="G43" s="16" t="str">
        <x:v>May regress on expiry/revocation</x:v>
      </x:c>
    </x:row>
    <x:row r="44" ht="48" hidden="0" customHeight="1">
      <x:c r="A44" s="16" t="str">
        <x:v>MS-RT</x:v>
      </x:c>
      <x:c r="B44" s="16" t="str">
        <x:v>S5</x:v>
      </x:c>
      <x:c r="C44" s="16" t="str">
        <x:v>Deliver or produce</x:v>
      </x:c>
      <x:c r="D44" s="16" t="str">
        <x:v>stock, repair or transfer service</x:v>
      </x:c>
      <x:c r="E44" s="16" t="str">
        <x:v>INDEPENDENT</x:v>
      </x:c>
      <x:c r="F44" s="16" t="str">
        <x:v>Evidence required</x:v>
      </x:c>
      <x:c r="G44" s="16" t="str">
        <x:v>May regress on expiry/revocation</x:v>
      </x:c>
    </x:row>
    <x:row r="45" ht="48" hidden="0" customHeight="1">
      <x:c r="A45" s="16" t="str">
        <x:v>MS-RT</x:v>
      </x:c>
      <x:c r="B45" s="16" t="str">
        <x:v>S6</x:v>
      </x:c>
      <x:c r="C45" s="16" t="str">
        <x:v>Accept and sustain</x:v>
      </x:c>
      <x:c r="D45" s="16" t="str">
        <x:v>sustained receiving system</x:v>
      </x:c>
      <x:c r="E45" s="16" t="str">
        <x:v>INDEPENDENT</x:v>
      </x:c>
      <x:c r="F45" s="16" t="str">
        <x:v>Evidence required</x:v>
      </x:c>
      <x:c r="G45" s="16" t="str">
        <x:v>May regress on expiry/revocation</x:v>
      </x:c>
    </x:row>
    <x:row r="46" ht="72" hidden="0" customHeight="1">
      <x:c r="A46" s="16" t="str">
        <x:v>MS-RT</x:v>
      </x:c>
      <x:c r="B46" s="16" t="str">
        <x:v>S7</x:v>
      </x:c>
      <x:c r="C46" s="16" t="str">
        <x:v>Transfer and regenerate</x:v>
      </x:c>
      <x:c r="D46" s="16" t="str">
        <x:v>civil handoff, return and force regeneration</x:v>
      </x:c>
      <x:c r="E46" s="16" t="str">
        <x:v>INDEPENDENT</x:v>
      </x:c>
      <x:c r="F46" s="16" t="str">
        <x:v>Evidence required</x:v>
      </x:c>
      <x:c r="G46" s="16" t="str">
        <x:v>May regress on expiry/revocation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48" hidden="0" customWidth="1"/>
    <x:col min="4" max="4" width="9" hidden="0" customWidth="1"/>
    <x:col min="5" max="5" width="28" hidden="0" customWidth="1"/>
    <x:col min="6" max="6" width="52" hidden="0" customWidth="1"/>
    <x:col min="7" max="7" width="30" hidden="0" customWidth="1"/>
  </x:cols>
  <x:sheetData>
    <x:row r="1" ht="19.200000762939453" hidden="0" customHeight="1">
      <x:c r="A1" s="3" t="str">
        <x:v>Route-stage obligation ledger</x:v>
      </x:c>
      <x:c r="B1" s="3"/>
      <x:c r="C1" s="3"/>
      <x:c r="D1" s="3"/>
      <x:c r="E1" s="3"/>
      <x:c r="F1" s="3"/>
      <x:c r="G1" s="3"/>
      <x:c r="H1" s="3"/>
    </x:row>
    <x:row r="2" ht="15" hidden="0" customHeight="1">
      <x:c r="A2" s="7" t="str">
        <x:v>Every route must pass every stage; no route can be credited through a system average.</x:v>
      </x:c>
      <x:c r="B2" s="7"/>
      <x:c r="C2" s="7"/>
      <x:c r="D2" s="7"/>
      <x:c r="E2" s="7"/>
      <x:c r="F2" s="7"/>
      <x:c r="G2" s="7"/>
      <x:c r="H2" s="7"/>
    </x:row>
    <x:row r="3"/>
    <x:row r="4" ht="26.399999618530273" hidden="0" customHeight="1">
      <x:c r="A4" s="12" t="str">
        <x:v>Route</x:v>
      </x:c>
      <x:c r="B4" s="12" t="str">
        <x:v>System</x:v>
      </x:c>
      <x:c r="C4" s="12" t="str">
        <x:v>Service route</x:v>
      </x:c>
      <x:c r="D4" s="12" t="str">
        <x:v>Stage</x:v>
      </x:c>
      <x:c r="E4" s="12" t="str">
        <x:v>Verb</x:v>
      </x:c>
      <x:c r="F4" s="12" t="str">
        <x:v>Governed object</x:v>
      </x:c>
      <x:c r="G4" s="12" t="str">
        <x:v>Status</x:v>
      </x:c>
    </x:row>
    <x:row r="5" ht="48" hidden="0" customHeight="1">
      <x:c r="A5" s="16" t="str">
        <x:v>ET-R1</x:v>
      </x:c>
      <x:c r="B5" s="16" t="str">
        <x:v>MS-ET</x:v>
      </x:c>
      <x:c r="C5" s="16" t="str">
        <x:v>Theater opening and command</x:v>
      </x:c>
      <x:c r="D5" s="16" t="str">
        <x:v>S1</x:v>
      </x:c>
      <x:c r="E5" s="16" t="str">
        <x:v>Establish state and authority</x:v>
      </x:c>
      <x:c r="F5" s="16" t="str">
        <x:v>theater, route and authority state</x:v>
      </x:c>
      <x:c r="G5" s="16" t="str">
        <x:v>OPEN UNTIL CAMPAIGN EVIDENCE</x:v>
      </x:c>
    </x:row>
    <x:row r="6" ht="48" hidden="0" customHeight="1">
      <x:c r="A6" s="16" t="str">
        <x:v>ET-R1</x:v>
      </x:c>
      <x:c r="B6" s="16" t="str">
        <x:v>MS-ET</x:v>
      </x:c>
      <x:c r="C6" s="16" t="str">
        <x:v>Theater opening and command</x:v>
      </x:c>
      <x:c r="D6" s="16" t="str">
        <x:v>S2</x:v>
      </x:c>
      <x:c r="E6" s="16" t="str">
        <x:v>Bound immediate failure</x:v>
      </x:c>
      <x:c r="F6" s="16" t="str">
        <x:v>access deterioration</x:v>
      </x:c>
      <x:c r="G6" s="16" t="str">
        <x:v>OPEN UNTIL CAMPAIGN EVIDENCE</x:v>
      </x:c>
    </x:row>
    <x:row r="7" ht="48" hidden="0" customHeight="1">
      <x:c r="A7" s="16" t="str">
        <x:v>ET-R1</x:v>
      </x:c>
      <x:c r="B7" s="16" t="str">
        <x:v>MS-ET</x:v>
      </x:c>
      <x:c r="C7" s="16" t="str">
        <x:v>Theater opening and command</x:v>
      </x:c>
      <x:c r="D7" s="16" t="str">
        <x:v>S3</x:v>
      </x:c>
      <x:c r="E7" s="16" t="str">
        <x:v>Assign service</x:v>
      </x:c>
      <x:c r="F7" s="16" t="str">
        <x:v>node/path capacity</x:v>
      </x:c>
      <x:c r="G7" s="16" t="str">
        <x:v>OPEN UNTIL CAMPAIGN EVIDENCE</x:v>
      </x:c>
    </x:row>
    <x:row r="8" ht="48" hidden="0" customHeight="1">
      <x:c r="A8" s="16" t="str">
        <x:v>ET-R1</x:v>
      </x:c>
      <x:c r="B8" s="16" t="str">
        <x:v>MS-ET</x:v>
      </x:c>
      <x:c r="C8" s="16" t="str">
        <x:v>Theater opening and command</x:v>
      </x:c>
      <x:c r="D8" s="16" t="str">
        <x:v>S4</x:v>
      </x:c>
      <x:c r="E8" s="16" t="str">
        <x:v>Prepare the path</x:v>
      </x:c>
      <x:c r="F8" s="16" t="str">
        <x:v>origins, routes and receivers</x:v>
      </x:c>
      <x:c r="G8" s="16" t="str">
        <x:v>OPEN UNTIL CAMPAIGN EVIDENCE</x:v>
      </x:c>
    </x:row>
    <x:row r="9" ht="48" hidden="0" customHeight="1">
      <x:c r="A9" s="16" t="str">
        <x:v>ET-R1</x:v>
      </x:c>
      <x:c r="B9" s="16" t="str">
        <x:v>MS-ET</x:v>
      </x:c>
      <x:c r="C9" s="16" t="str">
        <x:v>Theater opening and command</x:v>
      </x:c>
      <x:c r="D9" s="16" t="str">
        <x:v>S5</x:v>
      </x:c>
      <x:c r="E9" s="16" t="str">
        <x:v>Deliver or produce</x:v>
      </x:c>
      <x:c r="F9" s="16" t="str">
        <x:v>mobility or works service</x:v>
      </x:c>
      <x:c r="G9" s="16" t="str">
        <x:v>OPEN UNTIL CAMPAIGN EVIDENCE</x:v>
      </x:c>
    </x:row>
    <x:row r="10" ht="48" hidden="0" customHeight="1">
      <x:c r="A10" s="16" t="str">
        <x:v>ET-R1</x:v>
      </x:c>
      <x:c r="B10" s="16" t="str">
        <x:v>MS-ET</x:v>
      </x:c>
      <x:c r="C10" s="16" t="str">
        <x:v>Theater opening and command</x:v>
      </x:c>
      <x:c r="D10" s="16" t="str">
        <x:v>S6</x:v>
      </x:c>
      <x:c r="E10" s="16" t="str">
        <x:v>Accept and sustain</x:v>
      </x:c>
      <x:c r="F10" s="16" t="str">
        <x:v>usable access</x:v>
      </x:c>
      <x:c r="G10" s="16" t="str">
        <x:v>OPEN UNTIL CAMPAIGN EVIDENCE</x:v>
      </x:c>
    </x:row>
    <x:row r="11" ht="48" hidden="0" customHeight="1">
      <x:c r="A11" s="16" t="str">
        <x:v>ET-R1</x:v>
      </x:c>
      <x:c r="B11" s="16" t="str">
        <x:v>MS-ET</x:v>
      </x:c>
      <x:c r="C11" s="16" t="str">
        <x:v>Theater opening and command</x:v>
      </x:c>
      <x:c r="D11" s="16" t="str">
        <x:v>S7</x:v>
      </x:c>
      <x:c r="E11" s="16" t="str">
        <x:v>Transfer and regenerate</x:v>
      </x:c>
      <x:c r="F11" s="16" t="str">
        <x:v>route transfer and fleet reset</x:v>
      </x:c>
      <x:c r="G11" s="16" t="str">
        <x:v>OPEN UNTIL CAMPAIGN EVIDENCE</x:v>
      </x:c>
    </x:row>
    <x:row r="12" ht="48" hidden="0" customHeight="1">
      <x:c r="A12" s="16" t="str">
        <x:v>ET-R2</x:v>
      </x:c>
      <x:c r="B12" s="16" t="str">
        <x:v>MS-ET</x:v>
      </x:c>
      <x:c r="C12" s="16" t="str">
        <x:v>Strategic intertheater lift</x:v>
      </x:c>
      <x:c r="D12" s="16" t="str">
        <x:v>S1</x:v>
      </x:c>
      <x:c r="E12" s="16" t="str">
        <x:v>Establish state and authority</x:v>
      </x:c>
      <x:c r="F12" s="16" t="str">
        <x:v>theater, route and authority state</x:v>
      </x:c>
      <x:c r="G12" s="16" t="str">
        <x:v>OPEN UNTIL CAMPAIGN EVIDENCE</x:v>
      </x:c>
    </x:row>
    <x:row r="13" ht="48" hidden="0" customHeight="1">
      <x:c r="A13" s="16" t="str">
        <x:v>ET-R2</x:v>
      </x:c>
      <x:c r="B13" s="16" t="str">
        <x:v>MS-ET</x:v>
      </x:c>
      <x:c r="C13" s="16" t="str">
        <x:v>Strategic intertheater lift</x:v>
      </x:c>
      <x:c r="D13" s="16" t="str">
        <x:v>S2</x:v>
      </x:c>
      <x:c r="E13" s="16" t="str">
        <x:v>Bound immediate failure</x:v>
      </x:c>
      <x:c r="F13" s="16" t="str">
        <x:v>access deterioration</x:v>
      </x:c>
      <x:c r="G13" s="16" t="str">
        <x:v>OPEN UNTIL CAMPAIGN EVIDENCE</x:v>
      </x:c>
    </x:row>
    <x:row r="14" ht="48" hidden="0" customHeight="1">
      <x:c r="A14" s="16" t="str">
        <x:v>ET-R2</x:v>
      </x:c>
      <x:c r="B14" s="16" t="str">
        <x:v>MS-ET</x:v>
      </x:c>
      <x:c r="C14" s="16" t="str">
        <x:v>Strategic intertheater lift</x:v>
      </x:c>
      <x:c r="D14" s="16" t="str">
        <x:v>S3</x:v>
      </x:c>
      <x:c r="E14" s="16" t="str">
        <x:v>Assign service</x:v>
      </x:c>
      <x:c r="F14" s="16" t="str">
        <x:v>node/path capacity</x:v>
      </x:c>
      <x:c r="G14" s="16" t="str">
        <x:v>OPEN UNTIL CAMPAIGN EVIDENCE</x:v>
      </x:c>
    </x:row>
    <x:row r="15" ht="48" hidden="0" customHeight="1">
      <x:c r="A15" s="16" t="str">
        <x:v>ET-R2</x:v>
      </x:c>
      <x:c r="B15" s="16" t="str">
        <x:v>MS-ET</x:v>
      </x:c>
      <x:c r="C15" s="16" t="str">
        <x:v>Strategic intertheater lift</x:v>
      </x:c>
      <x:c r="D15" s="16" t="str">
        <x:v>S4</x:v>
      </x:c>
      <x:c r="E15" s="16" t="str">
        <x:v>Prepare the path</x:v>
      </x:c>
      <x:c r="F15" s="16" t="str">
        <x:v>origins, routes and receivers</x:v>
      </x:c>
      <x:c r="G15" s="16" t="str">
        <x:v>OPEN UNTIL CAMPAIGN EVIDENCE</x:v>
      </x:c>
    </x:row>
    <x:row r="16" ht="48" hidden="0" customHeight="1">
      <x:c r="A16" s="16" t="str">
        <x:v>ET-R2</x:v>
      </x:c>
      <x:c r="B16" s="16" t="str">
        <x:v>MS-ET</x:v>
      </x:c>
      <x:c r="C16" s="16" t="str">
        <x:v>Strategic intertheater lift</x:v>
      </x:c>
      <x:c r="D16" s="16" t="str">
        <x:v>S5</x:v>
      </x:c>
      <x:c r="E16" s="16" t="str">
        <x:v>Deliver or produce</x:v>
      </x:c>
      <x:c r="F16" s="16" t="str">
        <x:v>mobility or works service</x:v>
      </x:c>
      <x:c r="G16" s="16" t="str">
        <x:v>OPEN UNTIL CAMPAIGN EVIDENCE</x:v>
      </x:c>
    </x:row>
    <x:row r="17" ht="48" hidden="0" customHeight="1">
      <x:c r="A17" s="16" t="str">
        <x:v>ET-R2</x:v>
      </x:c>
      <x:c r="B17" s="16" t="str">
        <x:v>MS-ET</x:v>
      </x:c>
      <x:c r="C17" s="16" t="str">
        <x:v>Strategic intertheater lift</x:v>
      </x:c>
      <x:c r="D17" s="16" t="str">
        <x:v>S6</x:v>
      </x:c>
      <x:c r="E17" s="16" t="str">
        <x:v>Accept and sustain</x:v>
      </x:c>
      <x:c r="F17" s="16" t="str">
        <x:v>usable access</x:v>
      </x:c>
      <x:c r="G17" s="16" t="str">
        <x:v>OPEN UNTIL CAMPAIGN EVIDENCE</x:v>
      </x:c>
    </x:row>
    <x:row r="18" ht="48" hidden="0" customHeight="1">
      <x:c r="A18" s="16" t="str">
        <x:v>ET-R2</x:v>
      </x:c>
      <x:c r="B18" s="16" t="str">
        <x:v>MS-ET</x:v>
      </x:c>
      <x:c r="C18" s="16" t="str">
        <x:v>Strategic intertheater lift</x:v>
      </x:c>
      <x:c r="D18" s="16" t="str">
        <x:v>S7</x:v>
      </x:c>
      <x:c r="E18" s="16" t="str">
        <x:v>Transfer and regenerate</x:v>
      </x:c>
      <x:c r="F18" s="16" t="str">
        <x:v>route transfer and fleet reset</x:v>
      </x:c>
      <x:c r="G18" s="16" t="str">
        <x:v>OPEN UNTIL CAMPAIGN EVIDENCE</x:v>
      </x:c>
    </x:row>
    <x:row r="19" ht="48" hidden="0" customHeight="1">
      <x:c r="A19" s="16" t="str">
        <x:v>ET-R3</x:v>
      </x:c>
      <x:c r="B19" s="16" t="str">
        <x:v>MS-ET</x:v>
      </x:c>
      <x:c r="C19" s="16" t="str">
        <x:v>Port, littoral and inland-waterway entry</x:v>
      </x:c>
      <x:c r="D19" s="16" t="str">
        <x:v>S1</x:v>
      </x:c>
      <x:c r="E19" s="16" t="str">
        <x:v>Establish state and authority</x:v>
      </x:c>
      <x:c r="F19" s="16" t="str">
        <x:v>theater, route and authority state</x:v>
      </x:c>
      <x:c r="G19" s="16" t="str">
        <x:v>OPEN UNTIL CAMPAIGN EVIDENCE</x:v>
      </x:c>
    </x:row>
    <x:row r="20" ht="48" hidden="0" customHeight="1">
      <x:c r="A20" s="16" t="str">
        <x:v>ET-R3</x:v>
      </x:c>
      <x:c r="B20" s="16" t="str">
        <x:v>MS-ET</x:v>
      </x:c>
      <x:c r="C20" s="16" t="str">
        <x:v>Port, littoral and inland-waterway entry</x:v>
      </x:c>
      <x:c r="D20" s="16" t="str">
        <x:v>S2</x:v>
      </x:c>
      <x:c r="E20" s="16" t="str">
        <x:v>Bound immediate failure</x:v>
      </x:c>
      <x:c r="F20" s="16" t="str">
        <x:v>access deterioration</x:v>
      </x:c>
      <x:c r="G20" s="16" t="str">
        <x:v>OPEN UNTIL CAMPAIGN EVIDENCE</x:v>
      </x:c>
    </x:row>
    <x:row r="21" ht="48" hidden="0" customHeight="1">
      <x:c r="A21" s="16" t="str">
        <x:v>ET-R3</x:v>
      </x:c>
      <x:c r="B21" s="16" t="str">
        <x:v>MS-ET</x:v>
      </x:c>
      <x:c r="C21" s="16" t="str">
        <x:v>Port, littoral and inland-waterway entry</x:v>
      </x:c>
      <x:c r="D21" s="16" t="str">
        <x:v>S3</x:v>
      </x:c>
      <x:c r="E21" s="16" t="str">
        <x:v>Assign service</x:v>
      </x:c>
      <x:c r="F21" s="16" t="str">
        <x:v>node/path capacity</x:v>
      </x:c>
      <x:c r="G21" s="16" t="str">
        <x:v>OPEN UNTIL CAMPAIGN EVIDENCE</x:v>
      </x:c>
    </x:row>
    <x:row r="22" ht="48" hidden="0" customHeight="1">
      <x:c r="A22" s="16" t="str">
        <x:v>ET-R3</x:v>
      </x:c>
      <x:c r="B22" s="16" t="str">
        <x:v>MS-ET</x:v>
      </x:c>
      <x:c r="C22" s="16" t="str">
        <x:v>Port, littoral and inland-waterway entry</x:v>
      </x:c>
      <x:c r="D22" s="16" t="str">
        <x:v>S4</x:v>
      </x:c>
      <x:c r="E22" s="16" t="str">
        <x:v>Prepare the path</x:v>
      </x:c>
      <x:c r="F22" s="16" t="str">
        <x:v>origins, routes and receivers</x:v>
      </x:c>
      <x:c r="G22" s="16" t="str">
        <x:v>OPEN UNTIL CAMPAIGN EVIDENCE</x:v>
      </x:c>
    </x:row>
    <x:row r="23" ht="48" hidden="0" customHeight="1">
      <x:c r="A23" s="16" t="str">
        <x:v>ET-R3</x:v>
      </x:c>
      <x:c r="B23" s="16" t="str">
        <x:v>MS-ET</x:v>
      </x:c>
      <x:c r="C23" s="16" t="str">
        <x:v>Port, littoral and inland-waterway entry</x:v>
      </x:c>
      <x:c r="D23" s="16" t="str">
        <x:v>S5</x:v>
      </x:c>
      <x:c r="E23" s="16" t="str">
        <x:v>Deliver or produce</x:v>
      </x:c>
      <x:c r="F23" s="16" t="str">
        <x:v>mobility or works service</x:v>
      </x:c>
      <x:c r="G23" s="16" t="str">
        <x:v>OPEN UNTIL CAMPAIGN EVIDENCE</x:v>
      </x:c>
    </x:row>
    <x:row r="24" ht="48" hidden="0" customHeight="1">
      <x:c r="A24" s="16" t="str">
        <x:v>ET-R3</x:v>
      </x:c>
      <x:c r="B24" s="16" t="str">
        <x:v>MS-ET</x:v>
      </x:c>
      <x:c r="C24" s="16" t="str">
        <x:v>Port, littoral and inland-waterway entry</x:v>
      </x:c>
      <x:c r="D24" s="16" t="str">
        <x:v>S6</x:v>
      </x:c>
      <x:c r="E24" s="16" t="str">
        <x:v>Accept and sustain</x:v>
      </x:c>
      <x:c r="F24" s="16" t="str">
        <x:v>usable access</x:v>
      </x:c>
      <x:c r="G24" s="16" t="str">
        <x:v>OPEN UNTIL CAMPAIGN EVIDENCE</x:v>
      </x:c>
    </x:row>
    <x:row r="25" ht="48" hidden="0" customHeight="1">
      <x:c r="A25" s="16" t="str">
        <x:v>ET-R3</x:v>
      </x:c>
      <x:c r="B25" s="16" t="str">
        <x:v>MS-ET</x:v>
      </x:c>
      <x:c r="C25" s="16" t="str">
        <x:v>Port, littoral and inland-waterway entry</x:v>
      </x:c>
      <x:c r="D25" s="16" t="str">
        <x:v>S7</x:v>
      </x:c>
      <x:c r="E25" s="16" t="str">
        <x:v>Transfer and regenerate</x:v>
      </x:c>
      <x:c r="F25" s="16" t="str">
        <x:v>route transfer and fleet reset</x:v>
      </x:c>
      <x:c r="G25" s="16" t="str">
        <x:v>OPEN UNTIL CAMPAIGN EVIDENCE</x:v>
      </x:c>
    </x:row>
    <x:row r="26" ht="72" hidden="0" customHeight="1">
      <x:c r="A26" s="16" t="str">
        <x:v>ET-R4</x:v>
      </x:c>
      <x:c r="B26" s="16" t="str">
        <x:v>MS-ET</x:v>
      </x:c>
      <x:c r="C26" s="16" t="str">
        <x:v>Austere access, tactical distribution and route opening</x:v>
      </x:c>
      <x:c r="D26" s="16" t="str">
        <x:v>S1</x:v>
      </x:c>
      <x:c r="E26" s="16" t="str">
        <x:v>Establish state and authority</x:v>
      </x:c>
      <x:c r="F26" s="16" t="str">
        <x:v>theater, route and authority state</x:v>
      </x:c>
      <x:c r="G26" s="16" t="str">
        <x:v>OPEN UNTIL CAMPAIGN EVIDENCE</x:v>
      </x:c>
    </x:row>
    <x:row r="27" ht="72" hidden="0" customHeight="1">
      <x:c r="A27" s="16" t="str">
        <x:v>ET-R4</x:v>
      </x:c>
      <x:c r="B27" s="16" t="str">
        <x:v>MS-ET</x:v>
      </x:c>
      <x:c r="C27" s="16" t="str">
        <x:v>Austere access, tactical distribution and route opening</x:v>
      </x:c>
      <x:c r="D27" s="16" t="str">
        <x:v>S2</x:v>
      </x:c>
      <x:c r="E27" s="16" t="str">
        <x:v>Bound immediate failure</x:v>
      </x:c>
      <x:c r="F27" s="16" t="str">
        <x:v>access deterioration</x:v>
      </x:c>
      <x:c r="G27" s="16" t="str">
        <x:v>OPEN UNTIL CAMPAIGN EVIDENCE</x:v>
      </x:c>
    </x:row>
    <x:row r="28" ht="72" hidden="0" customHeight="1">
      <x:c r="A28" s="16" t="str">
        <x:v>ET-R4</x:v>
      </x:c>
      <x:c r="B28" s="16" t="str">
        <x:v>MS-ET</x:v>
      </x:c>
      <x:c r="C28" s="16" t="str">
        <x:v>Austere access, tactical distribution and route opening</x:v>
      </x:c>
      <x:c r="D28" s="16" t="str">
        <x:v>S3</x:v>
      </x:c>
      <x:c r="E28" s="16" t="str">
        <x:v>Assign service</x:v>
      </x:c>
      <x:c r="F28" s="16" t="str">
        <x:v>node/path capacity</x:v>
      </x:c>
      <x:c r="G28" s="16" t="str">
        <x:v>OPEN UNTIL CAMPAIGN EVIDENCE</x:v>
      </x:c>
    </x:row>
    <x:row r="29" ht="72" hidden="0" customHeight="1">
      <x:c r="A29" s="16" t="str">
        <x:v>ET-R4</x:v>
      </x:c>
      <x:c r="B29" s="16" t="str">
        <x:v>MS-ET</x:v>
      </x:c>
      <x:c r="C29" s="16" t="str">
        <x:v>Austere access, tactical distribution and route opening</x:v>
      </x:c>
      <x:c r="D29" s="16" t="str">
        <x:v>S4</x:v>
      </x:c>
      <x:c r="E29" s="16" t="str">
        <x:v>Prepare the path</x:v>
      </x:c>
      <x:c r="F29" s="16" t="str">
        <x:v>origins, routes and receivers</x:v>
      </x:c>
      <x:c r="G29" s="16" t="str">
        <x:v>OPEN UNTIL CAMPAIGN EVIDENCE</x:v>
      </x:c>
    </x:row>
    <x:row r="30" ht="72" hidden="0" customHeight="1">
      <x:c r="A30" s="16" t="str">
        <x:v>ET-R4</x:v>
      </x:c>
      <x:c r="B30" s="16" t="str">
        <x:v>MS-ET</x:v>
      </x:c>
      <x:c r="C30" s="16" t="str">
        <x:v>Austere access, tactical distribution and route opening</x:v>
      </x:c>
      <x:c r="D30" s="16" t="str">
        <x:v>S5</x:v>
      </x:c>
      <x:c r="E30" s="16" t="str">
        <x:v>Deliver or produce</x:v>
      </x:c>
      <x:c r="F30" s="16" t="str">
        <x:v>mobility or works service</x:v>
      </x:c>
      <x:c r="G30" s="16" t="str">
        <x:v>OPEN UNTIL CAMPAIGN EVIDENCE</x:v>
      </x:c>
    </x:row>
    <x:row r="31" ht="72" hidden="0" customHeight="1">
      <x:c r="A31" s="16" t="str">
        <x:v>ET-R4</x:v>
      </x:c>
      <x:c r="B31" s="16" t="str">
        <x:v>MS-ET</x:v>
      </x:c>
      <x:c r="C31" s="16" t="str">
        <x:v>Austere access, tactical distribution and route opening</x:v>
      </x:c>
      <x:c r="D31" s="16" t="str">
        <x:v>S6</x:v>
      </x:c>
      <x:c r="E31" s="16" t="str">
        <x:v>Accept and sustain</x:v>
      </x:c>
      <x:c r="F31" s="16" t="str">
        <x:v>usable access</x:v>
      </x:c>
      <x:c r="G31" s="16" t="str">
        <x:v>OPEN UNTIL CAMPAIGN EVIDENCE</x:v>
      </x:c>
    </x:row>
    <x:row r="32" ht="72" hidden="0" customHeight="1">
      <x:c r="A32" s="16" t="str">
        <x:v>ET-R4</x:v>
      </x:c>
      <x:c r="B32" s="16" t="str">
        <x:v>MS-ET</x:v>
      </x:c>
      <x:c r="C32" s="16" t="str">
        <x:v>Austere access, tactical distribution and route opening</x:v>
      </x:c>
      <x:c r="D32" s="16" t="str">
        <x:v>S7</x:v>
      </x:c>
      <x:c r="E32" s="16" t="str">
        <x:v>Transfer and regenerate</x:v>
      </x:c>
      <x:c r="F32" s="16" t="str">
        <x:v>route transfer and fleet reset</x:v>
      </x:c>
      <x:c r="G32" s="16" t="str">
        <x:v>OPEN UNTIL CAMPAIGN EVIDENCE</x:v>
      </x:c>
    </x:row>
    <x:row r="33" ht="60" hidden="0" customHeight="1">
      <x:c r="A33" s="16" t="str">
        <x:v>ET-R5</x:v>
      </x:c>
      <x:c r="B33" s="16" t="str">
        <x:v>MS-ET</x:v>
      </x:c>
      <x:c r="C33" s="16" t="str">
        <x:v>Temporary works, crossings and node preparation</x:v>
      </x:c>
      <x:c r="D33" s="16" t="str">
        <x:v>S1</x:v>
      </x:c>
      <x:c r="E33" s="16" t="str">
        <x:v>Establish state and authority</x:v>
      </x:c>
      <x:c r="F33" s="16" t="str">
        <x:v>theater, route and authority state</x:v>
      </x:c>
      <x:c r="G33" s="16" t="str">
        <x:v>OPEN UNTIL CAMPAIGN EVIDENCE</x:v>
      </x:c>
    </x:row>
    <x:row r="34" ht="60" hidden="0" customHeight="1">
      <x:c r="A34" s="16" t="str">
        <x:v>ET-R5</x:v>
      </x:c>
      <x:c r="B34" s="16" t="str">
        <x:v>MS-ET</x:v>
      </x:c>
      <x:c r="C34" s="16" t="str">
        <x:v>Temporary works, crossings and node preparation</x:v>
      </x:c>
      <x:c r="D34" s="16" t="str">
        <x:v>S2</x:v>
      </x:c>
      <x:c r="E34" s="16" t="str">
        <x:v>Bound immediate failure</x:v>
      </x:c>
      <x:c r="F34" s="16" t="str">
        <x:v>access deterioration</x:v>
      </x:c>
      <x:c r="G34" s="16" t="str">
        <x:v>OPEN UNTIL CAMPAIGN EVIDENCE</x:v>
      </x:c>
    </x:row>
    <x:row r="35" ht="60" hidden="0" customHeight="1">
      <x:c r="A35" s="16" t="str">
        <x:v>ET-R5</x:v>
      </x:c>
      <x:c r="B35" s="16" t="str">
        <x:v>MS-ET</x:v>
      </x:c>
      <x:c r="C35" s="16" t="str">
        <x:v>Temporary works, crossings and node preparation</x:v>
      </x:c>
      <x:c r="D35" s="16" t="str">
        <x:v>S3</x:v>
      </x:c>
      <x:c r="E35" s="16" t="str">
        <x:v>Assign service</x:v>
      </x:c>
      <x:c r="F35" s="16" t="str">
        <x:v>node/path capacity</x:v>
      </x:c>
      <x:c r="G35" s="16" t="str">
        <x:v>OPEN UNTIL CAMPAIGN EVIDENCE</x:v>
      </x:c>
    </x:row>
    <x:row r="36" ht="60" hidden="0" customHeight="1">
      <x:c r="A36" s="16" t="str">
        <x:v>ET-R5</x:v>
      </x:c>
      <x:c r="B36" s="16" t="str">
        <x:v>MS-ET</x:v>
      </x:c>
      <x:c r="C36" s="16" t="str">
        <x:v>Temporary works, crossings and node preparation</x:v>
      </x:c>
      <x:c r="D36" s="16" t="str">
        <x:v>S4</x:v>
      </x:c>
      <x:c r="E36" s="16" t="str">
        <x:v>Prepare the path</x:v>
      </x:c>
      <x:c r="F36" s="16" t="str">
        <x:v>origins, routes and receivers</x:v>
      </x:c>
      <x:c r="G36" s="16" t="str">
        <x:v>OPEN UNTIL CAMPAIGN EVIDENCE</x:v>
      </x:c>
    </x:row>
    <x:row r="37" ht="60" hidden="0" customHeight="1">
      <x:c r="A37" s="16" t="str">
        <x:v>ET-R5</x:v>
      </x:c>
      <x:c r="B37" s="16" t="str">
        <x:v>MS-ET</x:v>
      </x:c>
      <x:c r="C37" s="16" t="str">
        <x:v>Temporary works, crossings and node preparation</x:v>
      </x:c>
      <x:c r="D37" s="16" t="str">
        <x:v>S5</x:v>
      </x:c>
      <x:c r="E37" s="16" t="str">
        <x:v>Deliver or produce</x:v>
      </x:c>
      <x:c r="F37" s="16" t="str">
        <x:v>mobility or works service</x:v>
      </x:c>
      <x:c r="G37" s="16" t="str">
        <x:v>OPEN UNTIL CAMPAIGN EVIDENCE</x:v>
      </x:c>
    </x:row>
    <x:row r="38" ht="60" hidden="0" customHeight="1">
      <x:c r="A38" s="16" t="str">
        <x:v>ET-R5</x:v>
      </x:c>
      <x:c r="B38" s="16" t="str">
        <x:v>MS-ET</x:v>
      </x:c>
      <x:c r="C38" s="16" t="str">
        <x:v>Temporary works, crossings and node preparation</x:v>
      </x:c>
      <x:c r="D38" s="16" t="str">
        <x:v>S6</x:v>
      </x:c>
      <x:c r="E38" s="16" t="str">
        <x:v>Accept and sustain</x:v>
      </x:c>
      <x:c r="F38" s="16" t="str">
        <x:v>usable access</x:v>
      </x:c>
      <x:c r="G38" s="16" t="str">
        <x:v>OPEN UNTIL CAMPAIGN EVIDENCE</x:v>
      </x:c>
    </x:row>
    <x:row r="39" ht="60" hidden="0" customHeight="1">
      <x:c r="A39" s="16" t="str">
        <x:v>ET-R5</x:v>
      </x:c>
      <x:c r="B39" s="16" t="str">
        <x:v>MS-ET</x:v>
      </x:c>
      <x:c r="C39" s="16" t="str">
        <x:v>Temporary works, crossings and node preparation</x:v>
      </x:c>
      <x:c r="D39" s="16" t="str">
        <x:v>S7</x:v>
      </x:c>
      <x:c r="E39" s="16" t="str">
        <x:v>Transfer and regenerate</x:v>
      </x:c>
      <x:c r="F39" s="16" t="str">
        <x:v>route transfer and fleet reset</x:v>
      </x:c>
      <x:c r="G39" s="16" t="str">
        <x:v>OPEN UNTIL CAMPAIGN EVIDENCE</x:v>
      </x:c>
    </x:row>
    <x:row r="40" ht="60" hidden="0" customHeight="1">
      <x:c r="A40" s="16" t="str">
        <x:v>CT-R1</x:v>
      </x:c>
      <x:c r="B40" s="16" t="str">
        <x:v>MS-CT</x:v>
      </x:c>
      <x:c r="C40" s="16" t="str">
        <x:v>Civil authority and effects coordination</x:v>
      </x:c>
      <x:c r="D40" s="16" t="str">
        <x:v>S1</x:v>
      </x:c>
      <x:c r="E40" s="16" t="str">
        <x:v>Establish state and authority</x:v>
      </x:c>
      <x:c r="F40" s="16" t="str">
        <x:v>civil authority and occupied-terrain state</x:v>
      </x:c>
      <x:c r="G40" s="16" t="str">
        <x:v>OPEN UNTIL CAMPAIGN EVIDENCE</x:v>
      </x:c>
    </x:row>
    <x:row r="41" ht="60" hidden="0" customHeight="1">
      <x:c r="A41" s="16" t="str">
        <x:v>CT-R1</x:v>
      </x:c>
      <x:c r="B41" s="16" t="str">
        <x:v>MS-CT</x:v>
      </x:c>
      <x:c r="C41" s="16" t="str">
        <x:v>Civil authority and effects coordination</x:v>
      </x:c>
      <x:c r="D41" s="16" t="str">
        <x:v>S2</x:v>
      </x:c>
      <x:c r="E41" s="16" t="str">
        <x:v>Bound immediate failure</x:v>
      </x:c>
      <x:c r="F41" s="16" t="str">
        <x:v>information or access failure</x:v>
      </x:c>
      <x:c r="G41" s="16" t="str">
        <x:v>OPEN UNTIL CAMPAIGN EVIDENCE</x:v>
      </x:c>
    </x:row>
    <x:row r="42" ht="60" hidden="0" customHeight="1">
      <x:c r="A42" s="16" t="str">
        <x:v>CT-R1</x:v>
      </x:c>
      <x:c r="B42" s="16" t="str">
        <x:v>MS-CT</x:v>
      </x:c>
      <x:c r="C42" s="16" t="str">
        <x:v>Civil authority and effects coordination</x:v>
      </x:c>
      <x:c r="D42" s="16" t="str">
        <x:v>S3</x:v>
      </x:c>
      <x:c r="E42" s="16" t="str">
        <x:v>Assign service</x:v>
      </x:c>
      <x:c r="F42" s="16" t="str">
        <x:v>contact and public transaction</x:v>
      </x:c>
      <x:c r="G42" s="16" t="str">
        <x:v>OPEN UNTIL CAMPAIGN EVIDENCE</x:v>
      </x:c>
    </x:row>
    <x:row r="43" ht="60" hidden="0" customHeight="1">
      <x:c r="A43" s="16" t="str">
        <x:v>CT-R1</x:v>
      </x:c>
      <x:c r="B43" s="16" t="str">
        <x:v>MS-CT</x:v>
      </x:c>
      <x:c r="C43" s="16" t="str">
        <x:v>Civil authority and effects coordination</x:v>
      </x:c>
      <x:c r="D43" s="16" t="str">
        <x:v>S4</x:v>
      </x:c>
      <x:c r="E43" s="16" t="str">
        <x:v>Prepare the path</x:v>
      </x:c>
      <x:c r="F43" s="16" t="str">
        <x:v>disconnected reach paths</x:v>
      </x:c>
      <x:c r="G43" s="16" t="str">
        <x:v>OPEN UNTIL CAMPAIGN EVIDENCE</x:v>
      </x:c>
    </x:row>
    <x:row r="44" ht="60" hidden="0" customHeight="1">
      <x:c r="A44" s="16" t="str">
        <x:v>CT-R1</x:v>
      </x:c>
      <x:c r="B44" s="16" t="str">
        <x:v>MS-CT</x:v>
      </x:c>
      <x:c r="C44" s="16" t="str">
        <x:v>Civil authority and effects coordination</x:v>
      </x:c>
      <x:c r="D44" s="16" t="str">
        <x:v>S5</x:v>
      </x:c>
      <x:c r="E44" s="16" t="str">
        <x:v>Deliver or produce</x:v>
      </x:c>
      <x:c r="F44" s="16" t="str">
        <x:v>trusted information and access</x:v>
      </x:c>
      <x:c r="G44" s="16" t="str">
        <x:v>OPEN UNTIL CAMPAIGN EVIDENCE</x:v>
      </x:c>
    </x:row>
    <x:row r="45" ht="60" hidden="0" customHeight="1">
      <x:c r="A45" s="16" t="str">
        <x:v>CT-R1</x:v>
      </x:c>
      <x:c r="B45" s="16" t="str">
        <x:v>MS-CT</x:v>
      </x:c>
      <x:c r="C45" s="16" t="str">
        <x:v>Civil authority and effects coordination</x:v>
      </x:c>
      <x:c r="D45" s="16" t="str">
        <x:v>S6</x:v>
      </x:c>
      <x:c r="E45" s="16" t="str">
        <x:v>Accept and sustain</x:v>
      </x:c>
      <x:c r="F45" s="16" t="str">
        <x:v>publicly usable transaction</x:v>
      </x:c>
      <x:c r="G45" s="16" t="str">
        <x:v>OPEN UNTIL CAMPAIGN EVIDENCE</x:v>
      </x:c>
    </x:row>
    <x:row r="46" ht="60" hidden="0" customHeight="1">
      <x:c r="A46" s="16" t="str">
        <x:v>CT-R1</x:v>
      </x:c>
      <x:c r="B46" s="16" t="str">
        <x:v>MS-CT</x:v>
      </x:c>
      <x:c r="C46" s="16" t="str">
        <x:v>Civil authority and effects coordination</x:v>
      </x:c>
      <x:c r="D46" s="16" t="str">
        <x:v>S7</x:v>
      </x:c>
      <x:c r="E46" s="16" t="str">
        <x:v>Transfer and regenerate</x:v>
      </x:c>
      <x:c r="F46" s="16" t="str">
        <x:v>record transfer and network recovery</x:v>
      </x:c>
      <x:c r="G46" s="16" t="str">
        <x:v>OPEN UNTIL CAMPAIGN EVIDENCE</x:v>
      </x:c>
    </x:row>
    <x:row r="47" ht="60" hidden="0" customHeight="1">
      <x:c r="A47" s="16" t="str">
        <x:v>CT-R2</x:v>
      </x:c>
      <x:c r="B47" s="16" t="str">
        <x:v>MS-CT</x:v>
      </x:c>
      <x:c r="C47" s="16" t="str">
        <x:v>Incident observation and causal picture</x:v>
      </x:c>
      <x:c r="D47" s="16" t="str">
        <x:v>S1</x:v>
      </x:c>
      <x:c r="E47" s="16" t="str">
        <x:v>Establish state and authority</x:v>
      </x:c>
      <x:c r="F47" s="16" t="str">
        <x:v>civil authority and occupied-terrain state</x:v>
      </x:c>
      <x:c r="G47" s="16" t="str">
        <x:v>OPEN UNTIL CAMPAIGN EVIDENCE</x:v>
      </x:c>
    </x:row>
    <x:row r="48" ht="48" hidden="0" customHeight="1">
      <x:c r="A48" s="16" t="str">
        <x:v>CT-R2</x:v>
      </x:c>
      <x:c r="B48" s="16" t="str">
        <x:v>MS-CT</x:v>
      </x:c>
      <x:c r="C48" s="16" t="str">
        <x:v>Incident observation and causal picture</x:v>
      </x:c>
      <x:c r="D48" s="16" t="str">
        <x:v>S2</x:v>
      </x:c>
      <x:c r="E48" s="16" t="str">
        <x:v>Bound immediate failure</x:v>
      </x:c>
      <x:c r="F48" s="16" t="str">
        <x:v>information or access failure</x:v>
      </x:c>
      <x:c r="G48" s="16" t="str">
        <x:v>OPEN UNTIL CAMPAIGN EVIDENCE</x:v>
      </x:c>
    </x:row>
    <x:row r="49" ht="48" hidden="0" customHeight="1">
      <x:c r="A49" s="16" t="str">
        <x:v>CT-R2</x:v>
      </x:c>
      <x:c r="B49" s="16" t="str">
        <x:v>MS-CT</x:v>
      </x:c>
      <x:c r="C49" s="16" t="str">
        <x:v>Incident observation and causal picture</x:v>
      </x:c>
      <x:c r="D49" s="16" t="str">
        <x:v>S3</x:v>
      </x:c>
      <x:c r="E49" s="16" t="str">
        <x:v>Assign service</x:v>
      </x:c>
      <x:c r="F49" s="16" t="str">
        <x:v>contact and public transaction</x:v>
      </x:c>
      <x:c r="G49" s="16" t="str">
        <x:v>OPEN UNTIL CAMPAIGN EVIDENCE</x:v>
      </x:c>
    </x:row>
    <x:row r="50" ht="48" hidden="0" customHeight="1">
      <x:c r="A50" s="16" t="str">
        <x:v>CT-R2</x:v>
      </x:c>
      <x:c r="B50" s="16" t="str">
        <x:v>MS-CT</x:v>
      </x:c>
      <x:c r="C50" s="16" t="str">
        <x:v>Incident observation and causal picture</x:v>
      </x:c>
      <x:c r="D50" s="16" t="str">
        <x:v>S4</x:v>
      </x:c>
      <x:c r="E50" s="16" t="str">
        <x:v>Prepare the path</x:v>
      </x:c>
      <x:c r="F50" s="16" t="str">
        <x:v>disconnected reach paths</x:v>
      </x:c>
      <x:c r="G50" s="16" t="str">
        <x:v>OPEN UNTIL CAMPAIGN EVIDENCE</x:v>
      </x:c>
    </x:row>
    <x:row r="51" ht="48" hidden="0" customHeight="1">
      <x:c r="A51" s="16" t="str">
        <x:v>CT-R2</x:v>
      </x:c>
      <x:c r="B51" s="16" t="str">
        <x:v>MS-CT</x:v>
      </x:c>
      <x:c r="C51" s="16" t="str">
        <x:v>Incident observation and causal picture</x:v>
      </x:c>
      <x:c r="D51" s="16" t="str">
        <x:v>S5</x:v>
      </x:c>
      <x:c r="E51" s="16" t="str">
        <x:v>Deliver or produce</x:v>
      </x:c>
      <x:c r="F51" s="16" t="str">
        <x:v>trusted information and access</x:v>
      </x:c>
      <x:c r="G51" s="16" t="str">
        <x:v>OPEN UNTIL CAMPAIGN EVIDENCE</x:v>
      </x:c>
    </x:row>
    <x:row r="52" ht="48" hidden="0" customHeight="1">
      <x:c r="A52" s="16" t="str">
        <x:v>CT-R2</x:v>
      </x:c>
      <x:c r="B52" s="16" t="str">
        <x:v>MS-CT</x:v>
      </x:c>
      <x:c r="C52" s="16" t="str">
        <x:v>Incident observation and causal picture</x:v>
      </x:c>
      <x:c r="D52" s="16" t="str">
        <x:v>S6</x:v>
      </x:c>
      <x:c r="E52" s="16" t="str">
        <x:v>Accept and sustain</x:v>
      </x:c>
      <x:c r="F52" s="16" t="str">
        <x:v>publicly usable transaction</x:v>
      </x:c>
      <x:c r="G52" s="16" t="str">
        <x:v>OPEN UNTIL CAMPAIGN EVIDENCE</x:v>
      </x:c>
    </x:row>
    <x:row r="53" ht="48" hidden="0" customHeight="1">
      <x:c r="A53" s="16" t="str">
        <x:v>CT-R2</x:v>
      </x:c>
      <x:c r="B53" s="16" t="str">
        <x:v>MS-CT</x:v>
      </x:c>
      <x:c r="C53" s="16" t="str">
        <x:v>Incident observation and causal picture</x:v>
      </x:c>
      <x:c r="D53" s="16" t="str">
        <x:v>S7</x:v>
      </x:c>
      <x:c r="E53" s="16" t="str">
        <x:v>Transfer and regenerate</x:v>
      </x:c>
      <x:c r="F53" s="16" t="str">
        <x:v>record transfer and network recovery</x:v>
      </x:c>
      <x:c r="G53" s="16" t="str">
        <x:v>OPEN UNTIL CAMPAIGN EVIDENCE</x:v>
      </x:c>
    </x:row>
    <x:row r="54" ht="60" hidden="0" customHeight="1">
      <x:c r="A54" s="16" t="str">
        <x:v>CT-R3</x:v>
      </x:c>
      <x:c r="B54" s="16" t="str">
        <x:v>MS-CT</x:v>
      </x:c>
      <x:c r="C54" s="16" t="str">
        <x:v>Disconnected public communications</x:v>
      </x:c>
      <x:c r="D54" s="16" t="str">
        <x:v>S1</x:v>
      </x:c>
      <x:c r="E54" s="16" t="str">
        <x:v>Establish state and authority</x:v>
      </x:c>
      <x:c r="F54" s="16" t="str">
        <x:v>civil authority and occupied-terrain state</x:v>
      </x:c>
      <x:c r="G54" s="16" t="str">
        <x:v>OPEN UNTIL CAMPAIGN EVIDENCE</x:v>
      </x:c>
    </x:row>
    <x:row r="55" ht="48" hidden="0" customHeight="1">
      <x:c r="A55" s="16" t="str">
        <x:v>CT-R3</x:v>
      </x:c>
      <x:c r="B55" s="16" t="str">
        <x:v>MS-CT</x:v>
      </x:c>
      <x:c r="C55" s="16" t="str">
        <x:v>Disconnected public communications</x:v>
      </x:c>
      <x:c r="D55" s="16" t="str">
        <x:v>S2</x:v>
      </x:c>
      <x:c r="E55" s="16" t="str">
        <x:v>Bound immediate failure</x:v>
      </x:c>
      <x:c r="F55" s="16" t="str">
        <x:v>information or access failure</x:v>
      </x:c>
      <x:c r="G55" s="16" t="str">
        <x:v>OPEN UNTIL CAMPAIGN EVIDENCE</x:v>
      </x:c>
    </x:row>
    <x:row r="56" ht="48" hidden="0" customHeight="1">
      <x:c r="A56" s="16" t="str">
        <x:v>CT-R3</x:v>
      </x:c>
      <x:c r="B56" s="16" t="str">
        <x:v>MS-CT</x:v>
      </x:c>
      <x:c r="C56" s="16" t="str">
        <x:v>Disconnected public communications</x:v>
      </x:c>
      <x:c r="D56" s="16" t="str">
        <x:v>S3</x:v>
      </x:c>
      <x:c r="E56" s="16" t="str">
        <x:v>Assign service</x:v>
      </x:c>
      <x:c r="F56" s="16" t="str">
        <x:v>contact and public transaction</x:v>
      </x:c>
      <x:c r="G56" s="16" t="str">
        <x:v>OPEN UNTIL CAMPAIGN EVIDENCE</x:v>
      </x:c>
    </x:row>
    <x:row r="57" ht="48" hidden="0" customHeight="1">
      <x:c r="A57" s="16" t="str">
        <x:v>CT-R3</x:v>
      </x:c>
      <x:c r="B57" s="16" t="str">
        <x:v>MS-CT</x:v>
      </x:c>
      <x:c r="C57" s="16" t="str">
        <x:v>Disconnected public communications</x:v>
      </x:c>
      <x:c r="D57" s="16" t="str">
        <x:v>S4</x:v>
      </x:c>
      <x:c r="E57" s="16" t="str">
        <x:v>Prepare the path</x:v>
      </x:c>
      <x:c r="F57" s="16" t="str">
        <x:v>disconnected reach paths</x:v>
      </x:c>
      <x:c r="G57" s="16" t="str">
        <x:v>OPEN UNTIL CAMPAIGN EVIDENCE</x:v>
      </x:c>
    </x:row>
    <x:row r="58" ht="48" hidden="0" customHeight="1">
      <x:c r="A58" s="16" t="str">
        <x:v>CT-R3</x:v>
      </x:c>
      <x:c r="B58" s="16" t="str">
        <x:v>MS-CT</x:v>
      </x:c>
      <x:c r="C58" s="16" t="str">
        <x:v>Disconnected public communications</x:v>
      </x:c>
      <x:c r="D58" s="16" t="str">
        <x:v>S5</x:v>
      </x:c>
      <x:c r="E58" s="16" t="str">
        <x:v>Deliver or produce</x:v>
      </x:c>
      <x:c r="F58" s="16" t="str">
        <x:v>trusted information and access</x:v>
      </x:c>
      <x:c r="G58" s="16" t="str">
        <x:v>OPEN UNTIL CAMPAIGN EVIDENCE</x:v>
      </x:c>
    </x:row>
    <x:row r="59" ht="48" hidden="0" customHeight="1">
      <x:c r="A59" s="16" t="str">
        <x:v>CT-R3</x:v>
      </x:c>
      <x:c r="B59" s="16" t="str">
        <x:v>MS-CT</x:v>
      </x:c>
      <x:c r="C59" s="16" t="str">
        <x:v>Disconnected public communications</x:v>
      </x:c>
      <x:c r="D59" s="16" t="str">
        <x:v>S6</x:v>
      </x:c>
      <x:c r="E59" s="16" t="str">
        <x:v>Accept and sustain</x:v>
      </x:c>
      <x:c r="F59" s="16" t="str">
        <x:v>publicly usable transaction</x:v>
      </x:c>
      <x:c r="G59" s="16" t="str">
        <x:v>OPEN UNTIL CAMPAIGN EVIDENCE</x:v>
      </x:c>
    </x:row>
    <x:row r="60" ht="48" hidden="0" customHeight="1">
      <x:c r="A60" s="16" t="str">
        <x:v>CT-R3</x:v>
      </x:c>
      <x:c r="B60" s="16" t="str">
        <x:v>MS-CT</x:v>
      </x:c>
      <x:c r="C60" s="16" t="str">
        <x:v>Disconnected public communications</x:v>
      </x:c>
      <x:c r="D60" s="16" t="str">
        <x:v>S7</x:v>
      </x:c>
      <x:c r="E60" s="16" t="str">
        <x:v>Transfer and regenerate</x:v>
      </x:c>
      <x:c r="F60" s="16" t="str">
        <x:v>record transfer and network recovery</x:v>
      </x:c>
      <x:c r="G60" s="16" t="str">
        <x:v>OPEN UNTIL CAMPAIGN EVIDENCE</x:v>
      </x:c>
    </x:row>
    <x:row r="61" ht="60" hidden="0" customHeight="1">
      <x:c r="A61" s="16" t="str">
        <x:v>CT-R4</x:v>
      </x:c>
      <x:c r="B61" s="16" t="str">
        <x:v>MS-CT</x:v>
      </x:c>
      <x:c r="C61" s="16" t="str">
        <x:v>Accessible public-service transaction</x:v>
      </x:c>
      <x:c r="D61" s="16" t="str">
        <x:v>S1</x:v>
      </x:c>
      <x:c r="E61" s="16" t="str">
        <x:v>Establish state and authority</x:v>
      </x:c>
      <x:c r="F61" s="16" t="str">
        <x:v>civil authority and occupied-terrain state</x:v>
      </x:c>
      <x:c r="G61" s="16" t="str">
        <x:v>OPEN UNTIL CAMPAIGN EVIDENCE</x:v>
      </x:c>
    </x:row>
    <x:row r="62" ht="48" hidden="0" customHeight="1">
      <x:c r="A62" s="16" t="str">
        <x:v>CT-R4</x:v>
      </x:c>
      <x:c r="B62" s="16" t="str">
        <x:v>MS-CT</x:v>
      </x:c>
      <x:c r="C62" s="16" t="str">
        <x:v>Accessible public-service transaction</x:v>
      </x:c>
      <x:c r="D62" s="16" t="str">
        <x:v>S2</x:v>
      </x:c>
      <x:c r="E62" s="16" t="str">
        <x:v>Bound immediate failure</x:v>
      </x:c>
      <x:c r="F62" s="16" t="str">
        <x:v>information or access failure</x:v>
      </x:c>
      <x:c r="G62" s="16" t="str">
        <x:v>OPEN UNTIL CAMPAIGN EVIDENCE</x:v>
      </x:c>
    </x:row>
    <x:row r="63" ht="48" hidden="0" customHeight="1">
      <x:c r="A63" s="16" t="str">
        <x:v>CT-R4</x:v>
      </x:c>
      <x:c r="B63" s="16" t="str">
        <x:v>MS-CT</x:v>
      </x:c>
      <x:c r="C63" s="16" t="str">
        <x:v>Accessible public-service transaction</x:v>
      </x:c>
      <x:c r="D63" s="16" t="str">
        <x:v>S3</x:v>
      </x:c>
      <x:c r="E63" s="16" t="str">
        <x:v>Assign service</x:v>
      </x:c>
      <x:c r="F63" s="16" t="str">
        <x:v>contact and public transaction</x:v>
      </x:c>
      <x:c r="G63" s="16" t="str">
        <x:v>OPEN UNTIL CAMPAIGN EVIDENCE</x:v>
      </x:c>
    </x:row>
    <x:row r="64" ht="48" hidden="0" customHeight="1">
      <x:c r="A64" s="16" t="str">
        <x:v>CT-R4</x:v>
      </x:c>
      <x:c r="B64" s="16" t="str">
        <x:v>MS-CT</x:v>
      </x:c>
      <x:c r="C64" s="16" t="str">
        <x:v>Accessible public-service transaction</x:v>
      </x:c>
      <x:c r="D64" s="16" t="str">
        <x:v>S4</x:v>
      </x:c>
      <x:c r="E64" s="16" t="str">
        <x:v>Prepare the path</x:v>
      </x:c>
      <x:c r="F64" s="16" t="str">
        <x:v>disconnected reach paths</x:v>
      </x:c>
      <x:c r="G64" s="16" t="str">
        <x:v>OPEN UNTIL CAMPAIGN EVIDENCE</x:v>
      </x:c>
    </x:row>
    <x:row r="65" ht="48" hidden="0" customHeight="1">
      <x:c r="A65" s="16" t="str">
        <x:v>CT-R4</x:v>
      </x:c>
      <x:c r="B65" s="16" t="str">
        <x:v>MS-CT</x:v>
      </x:c>
      <x:c r="C65" s="16" t="str">
        <x:v>Accessible public-service transaction</x:v>
      </x:c>
      <x:c r="D65" s="16" t="str">
        <x:v>S5</x:v>
      </x:c>
      <x:c r="E65" s="16" t="str">
        <x:v>Deliver or produce</x:v>
      </x:c>
      <x:c r="F65" s="16" t="str">
        <x:v>trusted information and access</x:v>
      </x:c>
      <x:c r="G65" s="16" t="str">
        <x:v>OPEN UNTIL CAMPAIGN EVIDENCE</x:v>
      </x:c>
    </x:row>
    <x:row r="66" ht="48" hidden="0" customHeight="1">
      <x:c r="A66" s="16" t="str">
        <x:v>CT-R4</x:v>
      </x:c>
      <x:c r="B66" s="16" t="str">
        <x:v>MS-CT</x:v>
      </x:c>
      <x:c r="C66" s="16" t="str">
        <x:v>Accessible public-service transaction</x:v>
      </x:c>
      <x:c r="D66" s="16" t="str">
        <x:v>S6</x:v>
      </x:c>
      <x:c r="E66" s="16" t="str">
        <x:v>Accept and sustain</x:v>
      </x:c>
      <x:c r="F66" s="16" t="str">
        <x:v>publicly usable transaction</x:v>
      </x:c>
      <x:c r="G66" s="16" t="str">
        <x:v>OPEN UNTIL CAMPAIGN EVIDENCE</x:v>
      </x:c>
    </x:row>
    <x:row r="67" ht="48" hidden="0" customHeight="1">
      <x:c r="A67" s="16" t="str">
        <x:v>CT-R4</x:v>
      </x:c>
      <x:c r="B67" s="16" t="str">
        <x:v>MS-CT</x:v>
      </x:c>
      <x:c r="C67" s="16" t="str">
        <x:v>Accessible public-service transaction</x:v>
      </x:c>
      <x:c r="D67" s="16" t="str">
        <x:v>S7</x:v>
      </x:c>
      <x:c r="E67" s="16" t="str">
        <x:v>Transfer and regenerate</x:v>
      </x:c>
      <x:c r="F67" s="16" t="str">
        <x:v>record transfer and network recovery</x:v>
      </x:c>
      <x:c r="G67" s="16" t="str">
        <x:v>OPEN UNTIL CAMPAIGN EVIDENCE</x:v>
      </x:c>
    </x:row>
    <x:row r="68" ht="60" hidden="0" customHeight="1">
      <x:c r="A68" s="16" t="str">
        <x:v>CT-R5</x:v>
      </x:c>
      <x:c r="B68" s="16" t="str">
        <x:v>MS-CT</x:v>
      </x:c>
      <x:c r="C68" s="16" t="str">
        <x:v>Household and building-origin reach</x:v>
      </x:c>
      <x:c r="D68" s="16" t="str">
        <x:v>S1</x:v>
      </x:c>
      <x:c r="E68" s="16" t="str">
        <x:v>Establish state and authority</x:v>
      </x:c>
      <x:c r="F68" s="16" t="str">
        <x:v>civil authority and occupied-terrain state</x:v>
      </x:c>
      <x:c r="G68" s="16" t="str">
        <x:v>OPEN UNTIL CAMPAIGN EVIDENCE</x:v>
      </x:c>
    </x:row>
    <x:row r="69" ht="48" hidden="0" customHeight="1">
      <x:c r="A69" s="16" t="str">
        <x:v>CT-R5</x:v>
      </x:c>
      <x:c r="B69" s="16" t="str">
        <x:v>MS-CT</x:v>
      </x:c>
      <x:c r="C69" s="16" t="str">
        <x:v>Household and building-origin reach</x:v>
      </x:c>
      <x:c r="D69" s="16" t="str">
        <x:v>S2</x:v>
      </x:c>
      <x:c r="E69" s="16" t="str">
        <x:v>Bound immediate failure</x:v>
      </x:c>
      <x:c r="F69" s="16" t="str">
        <x:v>information or access failure</x:v>
      </x:c>
      <x:c r="G69" s="16" t="str">
        <x:v>OPEN UNTIL CAMPAIGN EVIDENCE</x:v>
      </x:c>
    </x:row>
    <x:row r="70" ht="48" hidden="0" customHeight="1">
      <x:c r="A70" s="16" t="str">
        <x:v>CT-R5</x:v>
      </x:c>
      <x:c r="B70" s="16" t="str">
        <x:v>MS-CT</x:v>
      </x:c>
      <x:c r="C70" s="16" t="str">
        <x:v>Household and building-origin reach</x:v>
      </x:c>
      <x:c r="D70" s="16" t="str">
        <x:v>S3</x:v>
      </x:c>
      <x:c r="E70" s="16" t="str">
        <x:v>Assign service</x:v>
      </x:c>
      <x:c r="F70" s="16" t="str">
        <x:v>contact and public transaction</x:v>
      </x:c>
      <x:c r="G70" s="16" t="str">
        <x:v>OPEN UNTIL CAMPAIGN EVIDENCE</x:v>
      </x:c>
    </x:row>
    <x:row r="71" ht="48" hidden="0" customHeight="1">
      <x:c r="A71" s="16" t="str">
        <x:v>CT-R5</x:v>
      </x:c>
      <x:c r="B71" s="16" t="str">
        <x:v>MS-CT</x:v>
      </x:c>
      <x:c r="C71" s="16" t="str">
        <x:v>Household and building-origin reach</x:v>
      </x:c>
      <x:c r="D71" s="16" t="str">
        <x:v>S4</x:v>
      </x:c>
      <x:c r="E71" s="16" t="str">
        <x:v>Prepare the path</x:v>
      </x:c>
      <x:c r="F71" s="16" t="str">
        <x:v>disconnected reach paths</x:v>
      </x:c>
      <x:c r="G71" s="16" t="str">
        <x:v>OPEN UNTIL CAMPAIGN EVIDENCE</x:v>
      </x:c>
    </x:row>
    <x:row r="72" ht="48" hidden="0" customHeight="1">
      <x:c r="A72" s="16" t="str">
        <x:v>CT-R5</x:v>
      </x:c>
      <x:c r="B72" s="16" t="str">
        <x:v>MS-CT</x:v>
      </x:c>
      <x:c r="C72" s="16" t="str">
        <x:v>Household and building-origin reach</x:v>
      </x:c>
      <x:c r="D72" s="16" t="str">
        <x:v>S5</x:v>
      </x:c>
      <x:c r="E72" s="16" t="str">
        <x:v>Deliver or produce</x:v>
      </x:c>
      <x:c r="F72" s="16" t="str">
        <x:v>trusted information and access</x:v>
      </x:c>
      <x:c r="G72" s="16" t="str">
        <x:v>OPEN UNTIL CAMPAIGN EVIDENCE</x:v>
      </x:c>
    </x:row>
    <x:row r="73" ht="48" hidden="0" customHeight="1">
      <x:c r="A73" s="16" t="str">
        <x:v>CT-R5</x:v>
      </x:c>
      <x:c r="B73" s="16" t="str">
        <x:v>MS-CT</x:v>
      </x:c>
      <x:c r="C73" s="16" t="str">
        <x:v>Household and building-origin reach</x:v>
      </x:c>
      <x:c r="D73" s="16" t="str">
        <x:v>S6</x:v>
      </x:c>
      <x:c r="E73" s="16" t="str">
        <x:v>Accept and sustain</x:v>
      </x:c>
      <x:c r="F73" s="16" t="str">
        <x:v>publicly usable transaction</x:v>
      </x:c>
      <x:c r="G73" s="16" t="str">
        <x:v>OPEN UNTIL CAMPAIGN EVIDENCE</x:v>
      </x:c>
    </x:row>
    <x:row r="74" ht="48" hidden="0" customHeight="1">
      <x:c r="A74" s="16" t="str">
        <x:v>CT-R5</x:v>
      </x:c>
      <x:c r="B74" s="16" t="str">
        <x:v>MS-CT</x:v>
      </x:c>
      <x:c r="C74" s="16" t="str">
        <x:v>Household and building-origin reach</x:v>
      </x:c>
      <x:c r="D74" s="16" t="str">
        <x:v>S7</x:v>
      </x:c>
      <x:c r="E74" s="16" t="str">
        <x:v>Transfer and regenerate</x:v>
      </x:c>
      <x:c r="F74" s="16" t="str">
        <x:v>record transfer and network recovery</x:v>
      </x:c>
      <x:c r="G74" s="16" t="str">
        <x:v>OPEN UNTIL CAMPAIGN EVIDENCE</x:v>
      </x:c>
    </x:row>
    <x:row r="75" ht="48" hidden="0" customHeight="1">
      <x:c r="A75" s="16" t="str">
        <x:v>HC-R1</x:v>
      </x:c>
      <x:c r="B75" s="16" t="str">
        <x:v>MS-HC</x:v>
      </x:c>
      <x:c r="C75" s="16" t="str">
        <x:v>Fire and atmospheric control</x:v>
      </x:c>
      <x:c r="D75" s="16" t="str">
        <x:v>S1</x:v>
      </x:c>
      <x:c r="E75" s="16" t="str">
        <x:v>Establish state and authority</x:v>
      </x:c>
      <x:c r="F75" s="16" t="str">
        <x:v>hazard mechanism and control authority</x:v>
      </x:c>
      <x:c r="G75" s="16" t="str">
        <x:v>OPEN UNTIL CAMPAIGN EVIDENCE</x:v>
      </x:c>
    </x:row>
    <x:row r="76" ht="48" hidden="0" customHeight="1">
      <x:c r="A76" s="16" t="str">
        <x:v>HC-R1</x:v>
      </x:c>
      <x:c r="B76" s="16" t="str">
        <x:v>MS-HC</x:v>
      </x:c>
      <x:c r="C76" s="16" t="str">
        <x:v>Fire and atmospheric control</x:v>
      </x:c>
      <x:c r="D76" s="16" t="str">
        <x:v>S2</x:v>
      </x:c>
      <x:c r="E76" s="16" t="str">
        <x:v>Bound immediate failure</x:v>
      </x:c>
      <x:c r="F76" s="16" t="str">
        <x:v>uncontrolled pathway</x:v>
      </x:c>
      <x:c r="G76" s="16" t="str">
        <x:v>OPEN UNTIL CAMPAIGN EVIDENCE</x:v>
      </x:c>
    </x:row>
    <x:row r="77" ht="48" hidden="0" customHeight="1">
      <x:c r="A77" s="16" t="str">
        <x:v>HC-R1</x:v>
      </x:c>
      <x:c r="B77" s="16" t="str">
        <x:v>MS-HC</x:v>
      </x:c>
      <x:c r="C77" s="16" t="str">
        <x:v>Fire and atmospheric control</x:v>
      </x:c>
      <x:c r="D77" s="16" t="str">
        <x:v>S3</x:v>
      </x:c>
      <x:c r="E77" s="16" t="str">
        <x:v>Assign service</x:v>
      </x:c>
      <x:c r="F77" s="16" t="str">
        <x:v>control envelope and receiver</x:v>
      </x:c>
      <x:c r="G77" s="16" t="str">
        <x:v>OPEN UNTIL CAMPAIGN EVIDENCE</x:v>
      </x:c>
    </x:row>
    <x:row r="78" ht="48" hidden="0" customHeight="1">
      <x:c r="A78" s="16" t="str">
        <x:v>HC-R1</x:v>
      </x:c>
      <x:c r="B78" s="16" t="str">
        <x:v>MS-HC</x:v>
      </x:c>
      <x:c r="C78" s="16" t="str">
        <x:v>Fire and atmospheric control</x:v>
      </x:c>
      <x:c r="D78" s="16" t="str">
        <x:v>S4</x:v>
      </x:c>
      <x:c r="E78" s="16" t="str">
        <x:v>Prepare the path</x:v>
      </x:c>
      <x:c r="F78" s="16" t="str">
        <x:v>control path and protected area</x:v>
      </x:c>
      <x:c r="G78" s="16" t="str">
        <x:v>OPEN UNTIL CAMPAIGN EVIDENCE</x:v>
      </x:c>
    </x:row>
    <x:row r="79" ht="48" hidden="0" customHeight="1">
      <x:c r="A79" s="16" t="str">
        <x:v>HC-R1</x:v>
      </x:c>
      <x:c r="B79" s="16" t="str">
        <x:v>MS-HC</x:v>
      </x:c>
      <x:c r="C79" s="16" t="str">
        <x:v>Fire and atmospheric control</x:v>
      </x:c>
      <x:c r="D79" s="16" t="str">
        <x:v>S5</x:v>
      </x:c>
      <x:c r="E79" s="16" t="str">
        <x:v>Deliver or produce</x:v>
      </x:c>
      <x:c r="F79" s="16" t="str">
        <x:v>hazard suppression or diversion</x:v>
      </x:c>
      <x:c r="G79" s="16" t="str">
        <x:v>OPEN UNTIL CAMPAIGN EVIDENCE</x:v>
      </x:c>
    </x:row>
    <x:row r="80" ht="48" hidden="0" customHeight="1">
      <x:c r="A80" s="16" t="str">
        <x:v>HC-R1</x:v>
      </x:c>
      <x:c r="B80" s="16" t="str">
        <x:v>MS-HC</x:v>
      </x:c>
      <x:c r="C80" s="16" t="str">
        <x:v>Fire and atmospheric control</x:v>
      </x:c>
      <x:c r="D80" s="16" t="str">
        <x:v>S6</x:v>
      </x:c>
      <x:c r="E80" s="16" t="str">
        <x:v>Accept and sustain</x:v>
      </x:c>
      <x:c r="F80" s="16" t="str">
        <x:v>safe envelope</x:v>
      </x:c>
      <x:c r="G80" s="16" t="str">
        <x:v>OPEN UNTIL CAMPAIGN EVIDENCE</x:v>
      </x:c>
    </x:row>
    <x:row r="81" ht="48" hidden="0" customHeight="1">
      <x:c r="A81" s="16" t="str">
        <x:v>HC-R1</x:v>
      </x:c>
      <x:c r="B81" s="16" t="str">
        <x:v>MS-HC</x:v>
      </x:c>
      <x:c r="C81" s="16" t="str">
        <x:v>Fire and atmospheric control</x:v>
      </x:c>
      <x:c r="D81" s="16" t="str">
        <x:v>S7</x:v>
      </x:c>
      <x:c r="E81" s="16" t="str">
        <x:v>Transfer and regenerate</x:v>
      </x:c>
      <x:c r="F81" s="16" t="str">
        <x:v>residual custody and control reset</x:v>
      </x:c>
      <x:c r="G81" s="16" t="str">
        <x:v>OPEN UNTIL CAMPAIGN EVIDENCE</x:v>
      </x:c>
    </x:row>
    <x:row r="82" ht="48" hidden="0" customHeight="1">
      <x:c r="A82" s="16" t="str">
        <x:v>HC-R2</x:v>
      </x:c>
      <x:c r="B82" s="16" t="str">
        <x:v>MS-HC</x:v>
      </x:c>
      <x:c r="C82" s="16" t="str">
        <x:v>Flood and hydraulic control</x:v>
      </x:c>
      <x:c r="D82" s="16" t="str">
        <x:v>S1</x:v>
      </x:c>
      <x:c r="E82" s="16" t="str">
        <x:v>Establish state and authority</x:v>
      </x:c>
      <x:c r="F82" s="16" t="str">
        <x:v>hazard mechanism and control authority</x:v>
      </x:c>
      <x:c r="G82" s="16" t="str">
        <x:v>OPEN UNTIL CAMPAIGN EVIDENCE</x:v>
      </x:c>
    </x:row>
    <x:row r="83" ht="48" hidden="0" customHeight="1">
      <x:c r="A83" s="16" t="str">
        <x:v>HC-R2</x:v>
      </x:c>
      <x:c r="B83" s="16" t="str">
        <x:v>MS-HC</x:v>
      </x:c>
      <x:c r="C83" s="16" t="str">
        <x:v>Flood and hydraulic control</x:v>
      </x:c>
      <x:c r="D83" s="16" t="str">
        <x:v>S2</x:v>
      </x:c>
      <x:c r="E83" s="16" t="str">
        <x:v>Bound immediate failure</x:v>
      </x:c>
      <x:c r="F83" s="16" t="str">
        <x:v>uncontrolled pathway</x:v>
      </x:c>
      <x:c r="G83" s="16" t="str">
        <x:v>OPEN UNTIL CAMPAIGN EVIDENCE</x:v>
      </x:c>
    </x:row>
    <x:row r="84" ht="48" hidden="0" customHeight="1">
      <x:c r="A84" s="16" t="str">
        <x:v>HC-R2</x:v>
      </x:c>
      <x:c r="B84" s="16" t="str">
        <x:v>MS-HC</x:v>
      </x:c>
      <x:c r="C84" s="16" t="str">
        <x:v>Flood and hydraulic control</x:v>
      </x:c>
      <x:c r="D84" s="16" t="str">
        <x:v>S3</x:v>
      </x:c>
      <x:c r="E84" s="16" t="str">
        <x:v>Assign service</x:v>
      </x:c>
      <x:c r="F84" s="16" t="str">
        <x:v>control envelope and receiver</x:v>
      </x:c>
      <x:c r="G84" s="16" t="str">
        <x:v>OPEN UNTIL CAMPAIGN EVIDENCE</x:v>
      </x:c>
    </x:row>
    <x:row r="85" ht="48" hidden="0" customHeight="1">
      <x:c r="A85" s="16" t="str">
        <x:v>HC-R2</x:v>
      </x:c>
      <x:c r="B85" s="16" t="str">
        <x:v>MS-HC</x:v>
      </x:c>
      <x:c r="C85" s="16" t="str">
        <x:v>Flood and hydraulic control</x:v>
      </x:c>
      <x:c r="D85" s="16" t="str">
        <x:v>S4</x:v>
      </x:c>
      <x:c r="E85" s="16" t="str">
        <x:v>Prepare the path</x:v>
      </x:c>
      <x:c r="F85" s="16" t="str">
        <x:v>control path and protected area</x:v>
      </x:c>
      <x:c r="G85" s="16" t="str">
        <x:v>OPEN UNTIL CAMPAIGN EVIDENCE</x:v>
      </x:c>
    </x:row>
    <x:row r="86" ht="48" hidden="0" customHeight="1">
      <x:c r="A86" s="16" t="str">
        <x:v>HC-R2</x:v>
      </x:c>
      <x:c r="B86" s="16" t="str">
        <x:v>MS-HC</x:v>
      </x:c>
      <x:c r="C86" s="16" t="str">
        <x:v>Flood and hydraulic control</x:v>
      </x:c>
      <x:c r="D86" s="16" t="str">
        <x:v>S5</x:v>
      </x:c>
      <x:c r="E86" s="16" t="str">
        <x:v>Deliver or produce</x:v>
      </x:c>
      <x:c r="F86" s="16" t="str">
        <x:v>hazard suppression or diversion</x:v>
      </x:c>
      <x:c r="G86" s="16" t="str">
        <x:v>OPEN UNTIL CAMPAIGN EVIDENCE</x:v>
      </x:c>
    </x:row>
    <x:row r="87" ht="48" hidden="0" customHeight="1">
      <x:c r="A87" s="16" t="str">
        <x:v>HC-R2</x:v>
      </x:c>
      <x:c r="B87" s="16" t="str">
        <x:v>MS-HC</x:v>
      </x:c>
      <x:c r="C87" s="16" t="str">
        <x:v>Flood and hydraulic control</x:v>
      </x:c>
      <x:c r="D87" s="16" t="str">
        <x:v>S6</x:v>
      </x:c>
      <x:c r="E87" s="16" t="str">
        <x:v>Accept and sustain</x:v>
      </x:c>
      <x:c r="F87" s="16" t="str">
        <x:v>safe envelope</x:v>
      </x:c>
      <x:c r="G87" s="16" t="str">
        <x:v>OPEN UNTIL CAMPAIGN EVIDENCE</x:v>
      </x:c>
    </x:row>
    <x:row r="88" ht="48" hidden="0" customHeight="1">
      <x:c r="A88" s="16" t="str">
        <x:v>HC-R2</x:v>
      </x:c>
      <x:c r="B88" s="16" t="str">
        <x:v>MS-HC</x:v>
      </x:c>
      <x:c r="C88" s="16" t="str">
        <x:v>Flood and hydraulic control</x:v>
      </x:c>
      <x:c r="D88" s="16" t="str">
        <x:v>S7</x:v>
      </x:c>
      <x:c r="E88" s="16" t="str">
        <x:v>Transfer and regenerate</x:v>
      </x:c>
      <x:c r="F88" s="16" t="str">
        <x:v>residual custody and control reset</x:v>
      </x:c>
      <x:c r="G88" s="16" t="str">
        <x:v>OPEN UNTIL CAMPAIGN EVIDENCE</x:v>
      </x:c>
    </x:row>
    <x:row r="89" ht="60" hidden="0" customHeight="1">
      <x:c r="A89" s="16" t="str">
        <x:v>HC-R3</x:v>
      </x:c>
      <x:c r="B89" s="16" t="str">
        <x:v>MS-HC</x:v>
      </x:c>
      <x:c r="C89" s="16" t="str">
        <x:v>Debris, material and geophysical control</x:v>
      </x:c>
      <x:c r="D89" s="16" t="str">
        <x:v>S1</x:v>
      </x:c>
      <x:c r="E89" s="16" t="str">
        <x:v>Establish state and authority</x:v>
      </x:c>
      <x:c r="F89" s="16" t="str">
        <x:v>hazard mechanism and control authority</x:v>
      </x:c>
      <x:c r="G89" s="16" t="str">
        <x:v>OPEN UNTIL CAMPAIGN EVIDENCE</x:v>
      </x:c>
    </x:row>
    <x:row r="90" ht="60" hidden="0" customHeight="1">
      <x:c r="A90" s="16" t="str">
        <x:v>HC-R3</x:v>
      </x:c>
      <x:c r="B90" s="16" t="str">
        <x:v>MS-HC</x:v>
      </x:c>
      <x:c r="C90" s="16" t="str">
        <x:v>Debris, material and geophysical control</x:v>
      </x:c>
      <x:c r="D90" s="16" t="str">
        <x:v>S2</x:v>
      </x:c>
      <x:c r="E90" s="16" t="str">
        <x:v>Bound immediate failure</x:v>
      </x:c>
      <x:c r="F90" s="16" t="str">
        <x:v>uncontrolled pathway</x:v>
      </x:c>
      <x:c r="G90" s="16" t="str">
        <x:v>OPEN UNTIL CAMPAIGN EVIDENCE</x:v>
      </x:c>
    </x:row>
    <x:row r="91" ht="60" hidden="0" customHeight="1">
      <x:c r="A91" s="16" t="str">
        <x:v>HC-R3</x:v>
      </x:c>
      <x:c r="B91" s="16" t="str">
        <x:v>MS-HC</x:v>
      </x:c>
      <x:c r="C91" s="16" t="str">
        <x:v>Debris, material and geophysical control</x:v>
      </x:c>
      <x:c r="D91" s="16" t="str">
        <x:v>S3</x:v>
      </x:c>
      <x:c r="E91" s="16" t="str">
        <x:v>Assign service</x:v>
      </x:c>
      <x:c r="F91" s="16" t="str">
        <x:v>control envelope and receiver</x:v>
      </x:c>
      <x:c r="G91" s="16" t="str">
        <x:v>OPEN UNTIL CAMPAIGN EVIDENCE</x:v>
      </x:c>
    </x:row>
    <x:row r="92" ht="60" hidden="0" customHeight="1">
      <x:c r="A92" s="16" t="str">
        <x:v>HC-R3</x:v>
      </x:c>
      <x:c r="B92" s="16" t="str">
        <x:v>MS-HC</x:v>
      </x:c>
      <x:c r="C92" s="16" t="str">
        <x:v>Debris, material and geophysical control</x:v>
      </x:c>
      <x:c r="D92" s="16" t="str">
        <x:v>S4</x:v>
      </x:c>
      <x:c r="E92" s="16" t="str">
        <x:v>Prepare the path</x:v>
      </x:c>
      <x:c r="F92" s="16" t="str">
        <x:v>control path and protected area</x:v>
      </x:c>
      <x:c r="G92" s="16" t="str">
        <x:v>OPEN UNTIL CAMPAIGN EVIDENCE</x:v>
      </x:c>
    </x:row>
    <x:row r="93" ht="60" hidden="0" customHeight="1">
      <x:c r="A93" s="16" t="str">
        <x:v>HC-R3</x:v>
      </x:c>
      <x:c r="B93" s="16" t="str">
        <x:v>MS-HC</x:v>
      </x:c>
      <x:c r="C93" s="16" t="str">
        <x:v>Debris, material and geophysical control</x:v>
      </x:c>
      <x:c r="D93" s="16" t="str">
        <x:v>S5</x:v>
      </x:c>
      <x:c r="E93" s="16" t="str">
        <x:v>Deliver or produce</x:v>
      </x:c>
      <x:c r="F93" s="16" t="str">
        <x:v>hazard suppression or diversion</x:v>
      </x:c>
      <x:c r="G93" s="16" t="str">
        <x:v>OPEN UNTIL CAMPAIGN EVIDENCE</x:v>
      </x:c>
    </x:row>
    <x:row r="94" ht="60" hidden="0" customHeight="1">
      <x:c r="A94" s="16" t="str">
        <x:v>HC-R3</x:v>
      </x:c>
      <x:c r="B94" s="16" t="str">
        <x:v>MS-HC</x:v>
      </x:c>
      <x:c r="C94" s="16" t="str">
        <x:v>Debris, material and geophysical control</x:v>
      </x:c>
      <x:c r="D94" s="16" t="str">
        <x:v>S6</x:v>
      </x:c>
      <x:c r="E94" s="16" t="str">
        <x:v>Accept and sustain</x:v>
      </x:c>
      <x:c r="F94" s="16" t="str">
        <x:v>safe envelope</x:v>
      </x:c>
      <x:c r="G94" s="16" t="str">
        <x:v>OPEN UNTIL CAMPAIGN EVIDENCE</x:v>
      </x:c>
    </x:row>
    <x:row r="95" ht="60" hidden="0" customHeight="1">
      <x:c r="A95" s="16" t="str">
        <x:v>HC-R3</x:v>
      </x:c>
      <x:c r="B95" s="16" t="str">
        <x:v>MS-HC</x:v>
      </x:c>
      <x:c r="C95" s="16" t="str">
        <x:v>Debris, material and geophysical control</x:v>
      </x:c>
      <x:c r="D95" s="16" t="str">
        <x:v>S7</x:v>
      </x:c>
      <x:c r="E95" s="16" t="str">
        <x:v>Transfer and regenerate</x:v>
      </x:c>
      <x:c r="F95" s="16" t="str">
        <x:v>residual custody and control reset</x:v>
      </x:c>
      <x:c r="G95" s="16" t="str">
        <x:v>OPEN UNTIL CAMPAIGN EVIDENCE</x:v>
      </x:c>
    </x:row>
    <x:row r="96" ht="48" hidden="0" customHeight="1">
      <x:c r="A96" s="16" t="str">
        <x:v>LF-R1</x:v>
      </x:c>
      <x:c r="B96" s="16" t="str">
        <x:v>MS-LF</x:v>
      </x:c>
      <x:c r="C96" s="16" t="str">
        <x:v>Strategic and maritime production</x:v>
      </x:c>
      <x:c r="D96" s="16" t="str">
        <x:v>S1</x:v>
      </x:c>
      <x:c r="E96" s="16" t="str">
        <x:v>Establish state and authority</x:v>
      </x:c>
      <x:c r="F96" s="16" t="str">
        <x:v>utility demand, source and authority</x:v>
      </x:c>
      <x:c r="G96" s="16" t="str">
        <x:v>OPEN UNTIL CAMPAIGN EVIDENCE</x:v>
      </x:c>
    </x:row>
    <x:row r="97" ht="48" hidden="0" customHeight="1">
      <x:c r="A97" s="16" t="str">
        <x:v>LF-R1</x:v>
      </x:c>
      <x:c r="B97" s="16" t="str">
        <x:v>MS-LF</x:v>
      </x:c>
      <x:c r="C97" s="16" t="str">
        <x:v>Strategic and maritime production</x:v>
      </x:c>
      <x:c r="D97" s="16" t="str">
        <x:v>S2</x:v>
      </x:c>
      <x:c r="E97" s="16" t="str">
        <x:v>Bound immediate failure</x:v>
      </x:c>
      <x:c r="F97" s="16" t="str">
        <x:v>service loss or unsafe quality</x:v>
      </x:c>
      <x:c r="G97" s="16" t="str">
        <x:v>OPEN UNTIL CAMPAIGN EVIDENCE</x:v>
      </x:c>
    </x:row>
    <x:row r="98" ht="48" hidden="0" customHeight="1">
      <x:c r="A98" s="16" t="str">
        <x:v>LF-R1</x:v>
      </x:c>
      <x:c r="B98" s="16" t="str">
        <x:v>MS-LF</x:v>
      </x:c>
      <x:c r="C98" s="16" t="str">
        <x:v>Strategic and maritime production</x:v>
      </x:c>
      <x:c r="D98" s="16" t="str">
        <x:v>S3</x:v>
      </x:c>
      <x:c r="E98" s="16" t="str">
        <x:v>Assign service</x:v>
      </x:c>
      <x:c r="F98" s="16" t="str">
        <x:v>quantity, rate and duration</x:v>
      </x:c>
      <x:c r="G98" s="16" t="str">
        <x:v>OPEN UNTIL CAMPAIGN EVIDENCE</x:v>
      </x:c>
    </x:row>
    <x:row r="99" ht="48" hidden="0" customHeight="1">
      <x:c r="A99" s="16" t="str">
        <x:v>LF-R1</x:v>
      </x:c>
      <x:c r="B99" s="16" t="str">
        <x:v>MS-LF</x:v>
      </x:c>
      <x:c r="C99" s="16" t="str">
        <x:v>Strategic and maritime production</x:v>
      </x:c>
      <x:c r="D99" s="16" t="str">
        <x:v>S4</x:v>
      </x:c>
      <x:c r="E99" s="16" t="str">
        <x:v>Prepare the path</x:v>
      </x:c>
      <x:c r="F99" s="16" t="str">
        <x:v>source, path and point of use</x:v>
      </x:c>
      <x:c r="G99" s="16" t="str">
        <x:v>OPEN UNTIL CAMPAIGN EVIDENCE</x:v>
      </x:c>
    </x:row>
    <x:row r="100" ht="48" hidden="0" customHeight="1">
      <x:c r="A100" s="16" t="str">
        <x:v>LF-R1</x:v>
      </x:c>
      <x:c r="B100" s="16" t="str">
        <x:v>MS-LF</x:v>
      </x:c>
      <x:c r="C100" s="16" t="str">
        <x:v>Strategic and maritime production</x:v>
      </x:c>
      <x:c r="D100" s="16" t="str">
        <x:v>S5</x:v>
      </x:c>
      <x:c r="E100" s="16" t="str">
        <x:v>Deliver or produce</x:v>
      </x:c>
      <x:c r="F100" s="16" t="str">
        <x:v>water, power or thermal service</x:v>
      </x:c>
      <x:c r="G100" s="16" t="str">
        <x:v>OPEN UNTIL CAMPAIGN EVIDENCE</x:v>
      </x:c>
    </x:row>
    <x:row r="101" ht="48" hidden="0" customHeight="1">
      <x:c r="A101" s="16" t="str">
        <x:v>LF-R1</x:v>
      </x:c>
      <x:c r="B101" s="16" t="str">
        <x:v>MS-LF</x:v>
      </x:c>
      <x:c r="C101" s="16" t="str">
        <x:v>Strategic and maritime production</x:v>
      </x:c>
      <x:c r="D101" s="16" t="str">
        <x:v>S6</x:v>
      </x:c>
      <x:c r="E101" s="16" t="str">
        <x:v>Accept and sustain</x:v>
      </x:c>
      <x:c r="F101" s="16" t="str">
        <x:v>usable point-use service</x:v>
      </x:c>
      <x:c r="G101" s="16" t="str">
        <x:v>OPEN UNTIL CAMPAIGN EVIDENCE</x:v>
      </x:c>
    </x:row>
    <x:row r="102" ht="48" hidden="0" customHeight="1">
      <x:c r="A102" s="16" t="str">
        <x:v>LF-R1</x:v>
      </x:c>
      <x:c r="B102" s="16" t="str">
        <x:v>MS-LF</x:v>
      </x:c>
      <x:c r="C102" s="16" t="str">
        <x:v>Strategic and maritime production</x:v>
      </x:c>
      <x:c r="D102" s="16" t="str">
        <x:v>S7</x:v>
      </x:c>
      <x:c r="E102" s="16" t="str">
        <x:v>Transfer and regenerate</x:v>
      </x:c>
      <x:c r="F102" s="16" t="str">
        <x:v>utility transfer and plant reset</x:v>
      </x:c>
      <x:c r="G102" s="16" t="str">
        <x:v>OPEN UNTIL CAMPAIGN EVIDENCE</x:v>
      </x:c>
    </x:row>
    <x:row r="103" ht="48" hidden="0" customHeight="1">
      <x:c r="A103" s="16" t="str">
        <x:v>LF-R2</x:v>
      </x:c>
      <x:c r="B103" s="16" t="str">
        <x:v>MS-LF</x:v>
      </x:c>
      <x:c r="C103" s="16" t="str">
        <x:v>Water and wastewater at point of use</x:v>
      </x:c>
      <x:c r="D103" s="16" t="str">
        <x:v>S1</x:v>
      </x:c>
      <x:c r="E103" s="16" t="str">
        <x:v>Establish state and authority</x:v>
      </x:c>
      <x:c r="F103" s="16" t="str">
        <x:v>utility demand, source and authority</x:v>
      </x:c>
      <x:c r="G103" s="16" t="str">
        <x:v>OPEN UNTIL CAMPAIGN EVIDENCE</x:v>
      </x:c>
    </x:row>
    <x:row r="104" ht="48" hidden="0" customHeight="1">
      <x:c r="A104" s="16" t="str">
        <x:v>LF-R2</x:v>
      </x:c>
      <x:c r="B104" s="16" t="str">
        <x:v>MS-LF</x:v>
      </x:c>
      <x:c r="C104" s="16" t="str">
        <x:v>Water and wastewater at point of use</x:v>
      </x:c>
      <x:c r="D104" s="16" t="str">
        <x:v>S2</x:v>
      </x:c>
      <x:c r="E104" s="16" t="str">
        <x:v>Bound immediate failure</x:v>
      </x:c>
      <x:c r="F104" s="16" t="str">
        <x:v>service loss or unsafe quality</x:v>
      </x:c>
      <x:c r="G104" s="16" t="str">
        <x:v>OPEN UNTIL CAMPAIGN EVIDENCE</x:v>
      </x:c>
    </x:row>
    <x:row r="105" ht="48" hidden="0" customHeight="1">
      <x:c r="A105" s="16" t="str">
        <x:v>LF-R2</x:v>
      </x:c>
      <x:c r="B105" s="16" t="str">
        <x:v>MS-LF</x:v>
      </x:c>
      <x:c r="C105" s="16" t="str">
        <x:v>Water and wastewater at point of use</x:v>
      </x:c>
      <x:c r="D105" s="16" t="str">
        <x:v>S3</x:v>
      </x:c>
      <x:c r="E105" s="16" t="str">
        <x:v>Assign service</x:v>
      </x:c>
      <x:c r="F105" s="16" t="str">
        <x:v>quantity, rate and duration</x:v>
      </x:c>
      <x:c r="G105" s="16" t="str">
        <x:v>OPEN UNTIL CAMPAIGN EVIDENCE</x:v>
      </x:c>
    </x:row>
    <x:row r="106" ht="48" hidden="0" customHeight="1">
      <x:c r="A106" s="16" t="str">
        <x:v>LF-R2</x:v>
      </x:c>
      <x:c r="B106" s="16" t="str">
        <x:v>MS-LF</x:v>
      </x:c>
      <x:c r="C106" s="16" t="str">
        <x:v>Water and wastewater at point of use</x:v>
      </x:c>
      <x:c r="D106" s="16" t="str">
        <x:v>S4</x:v>
      </x:c>
      <x:c r="E106" s="16" t="str">
        <x:v>Prepare the path</x:v>
      </x:c>
      <x:c r="F106" s="16" t="str">
        <x:v>source, path and point of use</x:v>
      </x:c>
      <x:c r="G106" s="16" t="str">
        <x:v>OPEN UNTIL CAMPAIGN EVIDENCE</x:v>
      </x:c>
    </x:row>
    <x:row r="107" ht="48" hidden="0" customHeight="1">
      <x:c r="A107" s="16" t="str">
        <x:v>LF-R2</x:v>
      </x:c>
      <x:c r="B107" s="16" t="str">
        <x:v>MS-LF</x:v>
      </x:c>
      <x:c r="C107" s="16" t="str">
        <x:v>Water and wastewater at point of use</x:v>
      </x:c>
      <x:c r="D107" s="16" t="str">
        <x:v>S5</x:v>
      </x:c>
      <x:c r="E107" s="16" t="str">
        <x:v>Deliver or produce</x:v>
      </x:c>
      <x:c r="F107" s="16" t="str">
        <x:v>water, power or thermal service</x:v>
      </x:c>
      <x:c r="G107" s="16" t="str">
        <x:v>OPEN UNTIL CAMPAIGN EVIDENCE</x:v>
      </x:c>
    </x:row>
    <x:row r="108" ht="48" hidden="0" customHeight="1">
      <x:c r="A108" s="16" t="str">
        <x:v>LF-R2</x:v>
      </x:c>
      <x:c r="B108" s="16" t="str">
        <x:v>MS-LF</x:v>
      </x:c>
      <x:c r="C108" s="16" t="str">
        <x:v>Water and wastewater at point of use</x:v>
      </x:c>
      <x:c r="D108" s="16" t="str">
        <x:v>S6</x:v>
      </x:c>
      <x:c r="E108" s="16" t="str">
        <x:v>Accept and sustain</x:v>
      </x:c>
      <x:c r="F108" s="16" t="str">
        <x:v>usable point-use service</x:v>
      </x:c>
      <x:c r="G108" s="16" t="str">
        <x:v>OPEN UNTIL CAMPAIGN EVIDENCE</x:v>
      </x:c>
    </x:row>
    <x:row r="109" ht="48" hidden="0" customHeight="1">
      <x:c r="A109" s="16" t="str">
        <x:v>LF-R2</x:v>
      </x:c>
      <x:c r="B109" s="16" t="str">
        <x:v>MS-LF</x:v>
      </x:c>
      <x:c r="C109" s="16" t="str">
        <x:v>Water and wastewater at point of use</x:v>
      </x:c>
      <x:c r="D109" s="16" t="str">
        <x:v>S7</x:v>
      </x:c>
      <x:c r="E109" s="16" t="str">
        <x:v>Transfer and regenerate</x:v>
      </x:c>
      <x:c r="F109" s="16" t="str">
        <x:v>utility transfer and plant reset</x:v>
      </x:c>
      <x:c r="G109" s="16" t="str">
        <x:v>OPEN UNTIL CAMPAIGN EVIDENCE</x:v>
      </x:c>
    </x:row>
    <x:row r="110" ht="48" hidden="0" customHeight="1">
      <x:c r="A110" s="16" t="str">
        <x:v>LF-R3</x:v>
      </x:c>
      <x:c r="B110" s="16" t="str">
        <x:v>MS-LF</x:v>
      </x:c>
      <x:c r="C110" s="16" t="str">
        <x:v>Local power</x:v>
      </x:c>
      <x:c r="D110" s="16" t="str">
        <x:v>S1</x:v>
      </x:c>
      <x:c r="E110" s="16" t="str">
        <x:v>Establish state and authority</x:v>
      </x:c>
      <x:c r="F110" s="16" t="str">
        <x:v>utility demand, source and authority</x:v>
      </x:c>
      <x:c r="G110" s="16" t="str">
        <x:v>OPEN UNTIL CAMPAIGN EVIDENCE</x:v>
      </x:c>
    </x:row>
    <x:row r="111" ht="48" hidden="0" customHeight="1">
      <x:c r="A111" s="16" t="str">
        <x:v>LF-R3</x:v>
      </x:c>
      <x:c r="B111" s="16" t="str">
        <x:v>MS-LF</x:v>
      </x:c>
      <x:c r="C111" s="16" t="str">
        <x:v>Local power</x:v>
      </x:c>
      <x:c r="D111" s="16" t="str">
        <x:v>S2</x:v>
      </x:c>
      <x:c r="E111" s="16" t="str">
        <x:v>Bound immediate failure</x:v>
      </x:c>
      <x:c r="F111" s="16" t="str">
        <x:v>service loss or unsafe quality</x:v>
      </x:c>
      <x:c r="G111" s="16" t="str">
        <x:v>OPEN UNTIL CAMPAIGN EVIDENCE</x:v>
      </x:c>
    </x:row>
    <x:row r="112" ht="48" hidden="0" customHeight="1">
      <x:c r="A112" s="16" t="str">
        <x:v>LF-R3</x:v>
      </x:c>
      <x:c r="B112" s="16" t="str">
        <x:v>MS-LF</x:v>
      </x:c>
      <x:c r="C112" s="16" t="str">
        <x:v>Local power</x:v>
      </x:c>
      <x:c r="D112" s="16" t="str">
        <x:v>S3</x:v>
      </x:c>
      <x:c r="E112" s="16" t="str">
        <x:v>Assign service</x:v>
      </x:c>
      <x:c r="F112" s="16" t="str">
        <x:v>quantity, rate and duration</x:v>
      </x:c>
      <x:c r="G112" s="16" t="str">
        <x:v>OPEN UNTIL CAMPAIGN EVIDENCE</x:v>
      </x:c>
    </x:row>
    <x:row r="113" ht="48" hidden="0" customHeight="1">
      <x:c r="A113" s="16" t="str">
        <x:v>LF-R3</x:v>
      </x:c>
      <x:c r="B113" s="16" t="str">
        <x:v>MS-LF</x:v>
      </x:c>
      <x:c r="C113" s="16" t="str">
        <x:v>Local power</x:v>
      </x:c>
      <x:c r="D113" s="16" t="str">
        <x:v>S4</x:v>
      </x:c>
      <x:c r="E113" s="16" t="str">
        <x:v>Prepare the path</x:v>
      </x:c>
      <x:c r="F113" s="16" t="str">
        <x:v>source, path and point of use</x:v>
      </x:c>
      <x:c r="G113" s="16" t="str">
        <x:v>OPEN UNTIL CAMPAIGN EVIDENCE</x:v>
      </x:c>
    </x:row>
    <x:row r="114" ht="48" hidden="0" customHeight="1">
      <x:c r="A114" s="16" t="str">
        <x:v>LF-R3</x:v>
      </x:c>
      <x:c r="B114" s="16" t="str">
        <x:v>MS-LF</x:v>
      </x:c>
      <x:c r="C114" s="16" t="str">
        <x:v>Local power</x:v>
      </x:c>
      <x:c r="D114" s="16" t="str">
        <x:v>S5</x:v>
      </x:c>
      <x:c r="E114" s="16" t="str">
        <x:v>Deliver or produce</x:v>
      </x:c>
      <x:c r="F114" s="16" t="str">
        <x:v>water, power or thermal service</x:v>
      </x:c>
      <x:c r="G114" s="16" t="str">
        <x:v>OPEN UNTIL CAMPAIGN EVIDENCE</x:v>
      </x:c>
    </x:row>
    <x:row r="115" ht="48" hidden="0" customHeight="1">
      <x:c r="A115" s="16" t="str">
        <x:v>LF-R3</x:v>
      </x:c>
      <x:c r="B115" s="16" t="str">
        <x:v>MS-LF</x:v>
      </x:c>
      <x:c r="C115" s="16" t="str">
        <x:v>Local power</x:v>
      </x:c>
      <x:c r="D115" s="16" t="str">
        <x:v>S6</x:v>
      </x:c>
      <x:c r="E115" s="16" t="str">
        <x:v>Accept and sustain</x:v>
      </x:c>
      <x:c r="F115" s="16" t="str">
        <x:v>usable point-use service</x:v>
      </x:c>
      <x:c r="G115" s="16" t="str">
        <x:v>OPEN UNTIL CAMPAIGN EVIDENCE</x:v>
      </x:c>
    </x:row>
    <x:row r="116" ht="48" hidden="0" customHeight="1">
      <x:c r="A116" s="16" t="str">
        <x:v>LF-R3</x:v>
      </x:c>
      <x:c r="B116" s="16" t="str">
        <x:v>MS-LF</x:v>
      </x:c>
      <x:c r="C116" s="16" t="str">
        <x:v>Local power</x:v>
      </x:c>
      <x:c r="D116" s="16" t="str">
        <x:v>S7</x:v>
      </x:c>
      <x:c r="E116" s="16" t="str">
        <x:v>Transfer and regenerate</x:v>
      </x:c>
      <x:c r="F116" s="16" t="str">
        <x:v>utility transfer and plant reset</x:v>
      </x:c>
      <x:c r="G116" s="16" t="str">
        <x:v>OPEN UNTIL CAMPAIGN EVIDENCE</x:v>
      </x:c>
    </x:row>
    <x:row r="117" ht="48" hidden="0" customHeight="1">
      <x:c r="A117" s="16" t="str">
        <x:v>LF-R4</x:v>
      </x:c>
      <x:c r="B117" s="16" t="str">
        <x:v>MS-LF</x:v>
      </x:c>
      <x:c r="C117" s="16" t="str">
        <x:v>Grid bridge</x:v>
      </x:c>
      <x:c r="D117" s="16" t="str">
        <x:v>S1</x:v>
      </x:c>
      <x:c r="E117" s="16" t="str">
        <x:v>Establish state and authority</x:v>
      </x:c>
      <x:c r="F117" s="16" t="str">
        <x:v>utility demand, source and authority</x:v>
      </x:c>
      <x:c r="G117" s="16" t="str">
        <x:v>OPEN UNTIL CAMPAIGN EVIDENCE</x:v>
      </x:c>
    </x:row>
    <x:row r="118" ht="48" hidden="0" customHeight="1">
      <x:c r="A118" s="16" t="str">
        <x:v>LF-R4</x:v>
      </x:c>
      <x:c r="B118" s="16" t="str">
        <x:v>MS-LF</x:v>
      </x:c>
      <x:c r="C118" s="16" t="str">
        <x:v>Grid bridge</x:v>
      </x:c>
      <x:c r="D118" s="16" t="str">
        <x:v>S2</x:v>
      </x:c>
      <x:c r="E118" s="16" t="str">
        <x:v>Bound immediate failure</x:v>
      </x:c>
      <x:c r="F118" s="16" t="str">
        <x:v>service loss or unsafe quality</x:v>
      </x:c>
      <x:c r="G118" s="16" t="str">
        <x:v>OPEN UNTIL CAMPAIGN EVIDENCE</x:v>
      </x:c>
    </x:row>
    <x:row r="119" ht="48" hidden="0" customHeight="1">
      <x:c r="A119" s="16" t="str">
        <x:v>LF-R4</x:v>
      </x:c>
      <x:c r="B119" s="16" t="str">
        <x:v>MS-LF</x:v>
      </x:c>
      <x:c r="C119" s="16" t="str">
        <x:v>Grid bridge</x:v>
      </x:c>
      <x:c r="D119" s="16" t="str">
        <x:v>S3</x:v>
      </x:c>
      <x:c r="E119" s="16" t="str">
        <x:v>Assign service</x:v>
      </x:c>
      <x:c r="F119" s="16" t="str">
        <x:v>quantity, rate and duration</x:v>
      </x:c>
      <x:c r="G119" s="16" t="str">
        <x:v>OPEN UNTIL CAMPAIGN EVIDENCE</x:v>
      </x:c>
    </x:row>
    <x:row r="120" ht="48" hidden="0" customHeight="1">
      <x:c r="A120" s="16" t="str">
        <x:v>LF-R4</x:v>
      </x:c>
      <x:c r="B120" s="16" t="str">
        <x:v>MS-LF</x:v>
      </x:c>
      <x:c r="C120" s="16" t="str">
        <x:v>Grid bridge</x:v>
      </x:c>
      <x:c r="D120" s="16" t="str">
        <x:v>S4</x:v>
      </x:c>
      <x:c r="E120" s="16" t="str">
        <x:v>Prepare the path</x:v>
      </x:c>
      <x:c r="F120" s="16" t="str">
        <x:v>source, path and point of use</x:v>
      </x:c>
      <x:c r="G120" s="16" t="str">
        <x:v>OPEN UNTIL CAMPAIGN EVIDENCE</x:v>
      </x:c>
    </x:row>
    <x:row r="121" ht="48" hidden="0" customHeight="1">
      <x:c r="A121" s="16" t="str">
        <x:v>LF-R4</x:v>
      </x:c>
      <x:c r="B121" s="16" t="str">
        <x:v>MS-LF</x:v>
      </x:c>
      <x:c r="C121" s="16" t="str">
        <x:v>Grid bridge</x:v>
      </x:c>
      <x:c r="D121" s="16" t="str">
        <x:v>S5</x:v>
      </x:c>
      <x:c r="E121" s="16" t="str">
        <x:v>Deliver or produce</x:v>
      </x:c>
      <x:c r="F121" s="16" t="str">
        <x:v>water, power or thermal service</x:v>
      </x:c>
      <x:c r="G121" s="16" t="str">
        <x:v>OPEN UNTIL CAMPAIGN EVIDENCE</x:v>
      </x:c>
    </x:row>
    <x:row r="122" ht="48" hidden="0" customHeight="1">
      <x:c r="A122" s="16" t="str">
        <x:v>LF-R4</x:v>
      </x:c>
      <x:c r="B122" s="16" t="str">
        <x:v>MS-LF</x:v>
      </x:c>
      <x:c r="C122" s="16" t="str">
        <x:v>Grid bridge</x:v>
      </x:c>
      <x:c r="D122" s="16" t="str">
        <x:v>S6</x:v>
      </x:c>
      <x:c r="E122" s="16" t="str">
        <x:v>Accept and sustain</x:v>
      </x:c>
      <x:c r="F122" s="16" t="str">
        <x:v>usable point-use service</x:v>
      </x:c>
      <x:c r="G122" s="16" t="str">
        <x:v>OPEN UNTIL CAMPAIGN EVIDENCE</x:v>
      </x:c>
    </x:row>
    <x:row r="123" ht="48" hidden="0" customHeight="1">
      <x:c r="A123" s="16" t="str">
        <x:v>LF-R4</x:v>
      </x:c>
      <x:c r="B123" s="16" t="str">
        <x:v>MS-LF</x:v>
      </x:c>
      <x:c r="C123" s="16" t="str">
        <x:v>Grid bridge</x:v>
      </x:c>
      <x:c r="D123" s="16" t="str">
        <x:v>S7</x:v>
      </x:c>
      <x:c r="E123" s="16" t="str">
        <x:v>Transfer and regenerate</x:v>
      </x:c>
      <x:c r="F123" s="16" t="str">
        <x:v>utility transfer and plant reset</x:v>
      </x:c>
      <x:c r="G123" s="16" t="str">
        <x:v>OPEN UNTIL CAMPAIGN EVIDENCE</x:v>
      </x:c>
    </x:row>
    <x:row r="124" ht="48" hidden="0" customHeight="1">
      <x:c r="A124" s="16" t="str">
        <x:v>LF-R5</x:v>
      </x:c>
      <x:c r="B124" s="16" t="str">
        <x:v>MS-LF</x:v>
      </x:c>
      <x:c r="C124" s="16" t="str">
        <x:v>Thermal safety</x:v>
      </x:c>
      <x:c r="D124" s="16" t="str">
        <x:v>S1</x:v>
      </x:c>
      <x:c r="E124" s="16" t="str">
        <x:v>Establish state and authority</x:v>
      </x:c>
      <x:c r="F124" s="16" t="str">
        <x:v>utility demand, source and authority</x:v>
      </x:c>
      <x:c r="G124" s="16" t="str">
        <x:v>OPEN UNTIL CAMPAIGN EVIDENCE</x:v>
      </x:c>
    </x:row>
    <x:row r="125" ht="48" hidden="0" customHeight="1">
      <x:c r="A125" s="16" t="str">
        <x:v>LF-R5</x:v>
      </x:c>
      <x:c r="B125" s="16" t="str">
        <x:v>MS-LF</x:v>
      </x:c>
      <x:c r="C125" s="16" t="str">
        <x:v>Thermal safety</x:v>
      </x:c>
      <x:c r="D125" s="16" t="str">
        <x:v>S2</x:v>
      </x:c>
      <x:c r="E125" s="16" t="str">
        <x:v>Bound immediate failure</x:v>
      </x:c>
      <x:c r="F125" s="16" t="str">
        <x:v>service loss or unsafe quality</x:v>
      </x:c>
      <x:c r="G125" s="16" t="str">
        <x:v>OPEN UNTIL CAMPAIGN EVIDENCE</x:v>
      </x:c>
    </x:row>
    <x:row r="126" ht="48" hidden="0" customHeight="1">
      <x:c r="A126" s="16" t="str">
        <x:v>LF-R5</x:v>
      </x:c>
      <x:c r="B126" s="16" t="str">
        <x:v>MS-LF</x:v>
      </x:c>
      <x:c r="C126" s="16" t="str">
        <x:v>Thermal safety</x:v>
      </x:c>
      <x:c r="D126" s="16" t="str">
        <x:v>S3</x:v>
      </x:c>
      <x:c r="E126" s="16" t="str">
        <x:v>Assign service</x:v>
      </x:c>
      <x:c r="F126" s="16" t="str">
        <x:v>quantity, rate and duration</x:v>
      </x:c>
      <x:c r="G126" s="16" t="str">
        <x:v>OPEN UNTIL CAMPAIGN EVIDENCE</x:v>
      </x:c>
    </x:row>
    <x:row r="127" ht="48" hidden="0" customHeight="1">
      <x:c r="A127" s="16" t="str">
        <x:v>LF-R5</x:v>
      </x:c>
      <x:c r="B127" s="16" t="str">
        <x:v>MS-LF</x:v>
      </x:c>
      <x:c r="C127" s="16" t="str">
        <x:v>Thermal safety</x:v>
      </x:c>
      <x:c r="D127" s="16" t="str">
        <x:v>S4</x:v>
      </x:c>
      <x:c r="E127" s="16" t="str">
        <x:v>Prepare the path</x:v>
      </x:c>
      <x:c r="F127" s="16" t="str">
        <x:v>source, path and point of use</x:v>
      </x:c>
      <x:c r="G127" s="16" t="str">
        <x:v>OPEN UNTIL CAMPAIGN EVIDENCE</x:v>
      </x:c>
    </x:row>
    <x:row r="128" ht="48" hidden="0" customHeight="1">
      <x:c r="A128" s="16" t="str">
        <x:v>LF-R5</x:v>
      </x:c>
      <x:c r="B128" s="16" t="str">
        <x:v>MS-LF</x:v>
      </x:c>
      <x:c r="C128" s="16" t="str">
        <x:v>Thermal safety</x:v>
      </x:c>
      <x:c r="D128" s="16" t="str">
        <x:v>S5</x:v>
      </x:c>
      <x:c r="E128" s="16" t="str">
        <x:v>Deliver or produce</x:v>
      </x:c>
      <x:c r="F128" s="16" t="str">
        <x:v>water, power or thermal service</x:v>
      </x:c>
      <x:c r="G128" s="16" t="str">
        <x:v>OPEN UNTIL CAMPAIGN EVIDENCE</x:v>
      </x:c>
    </x:row>
    <x:row r="129" ht="48" hidden="0" customHeight="1">
      <x:c r="A129" s="16" t="str">
        <x:v>LF-R5</x:v>
      </x:c>
      <x:c r="B129" s="16" t="str">
        <x:v>MS-LF</x:v>
      </x:c>
      <x:c r="C129" s="16" t="str">
        <x:v>Thermal safety</x:v>
      </x:c>
      <x:c r="D129" s="16" t="str">
        <x:v>S6</x:v>
      </x:c>
      <x:c r="E129" s="16" t="str">
        <x:v>Accept and sustain</x:v>
      </x:c>
      <x:c r="F129" s="16" t="str">
        <x:v>usable point-use service</x:v>
      </x:c>
      <x:c r="G129" s="16" t="str">
        <x:v>OPEN UNTIL CAMPAIGN EVIDENCE</x:v>
      </x:c>
    </x:row>
    <x:row r="130" ht="48" hidden="0" customHeight="1">
      <x:c r="A130" s="16" t="str">
        <x:v>LF-R5</x:v>
      </x:c>
      <x:c r="B130" s="16" t="str">
        <x:v>MS-LF</x:v>
      </x:c>
      <x:c r="C130" s="16" t="str">
        <x:v>Thermal safety</x:v>
      </x:c>
      <x:c r="D130" s="16" t="str">
        <x:v>S7</x:v>
      </x:c>
      <x:c r="E130" s="16" t="str">
        <x:v>Transfer and regenerate</x:v>
      </x:c>
      <x:c r="F130" s="16" t="str">
        <x:v>utility transfer and plant reset</x:v>
      </x:c>
      <x:c r="G130" s="16" t="str">
        <x:v>OPEN UNTIL CAMPAIGN EVIDENCE</x:v>
      </x:c>
    </x:row>
    <x:row r="131" ht="48" hidden="0" customHeight="1">
      <x:c r="A131" s="16" t="str">
        <x:v>HU-R1</x:v>
      </x:c>
      <x:c r="B131" s="16" t="str">
        <x:v>MS-HU</x:v>
      </x:c>
      <x:c r="C131" s="16" t="str">
        <x:v>Local continuity support</x:v>
      </x:c>
      <x:c r="D131" s="16" t="str">
        <x:v>S1</x:v>
      </x:c>
      <x:c r="E131" s="16" t="str">
        <x:v>Establish state and authority</x:v>
      </x:c>
      <x:c r="F131" s="16" t="str">
        <x:v>person–household–care state and consent</x:v>
      </x:c>
      <x:c r="G131" s="16" t="str">
        <x:v>OPEN UNTIL CAMPAIGN EVIDENCE</x:v>
      </x:c>
    </x:row>
    <x:row r="132" ht="48" hidden="0" customHeight="1">
      <x:c r="A132" s="16" t="str">
        <x:v>HU-R1</x:v>
      </x:c>
      <x:c r="B132" s="16" t="str">
        <x:v>MS-HU</x:v>
      </x:c>
      <x:c r="C132" s="16" t="str">
        <x:v>Local continuity support</x:v>
      </x:c>
      <x:c r="D132" s="16" t="str">
        <x:v>S2</x:v>
      </x:c>
      <x:c r="E132" s="16" t="str">
        <x:v>Bound immediate failure</x:v>
      </x:c>
      <x:c r="F132" s="16" t="str">
        <x:v>loss of continuity</x:v>
      </x:c>
      <x:c r="G132" s="16" t="str">
        <x:v>OPEN UNTIL CAMPAIGN EVIDENCE</x:v>
      </x:c>
    </x:row>
    <x:row r="133" ht="48" hidden="0" customHeight="1">
      <x:c r="A133" s="16" t="str">
        <x:v>HU-R1</x:v>
      </x:c>
      <x:c r="B133" s="16" t="str">
        <x:v>MS-HU</x:v>
      </x:c>
      <x:c r="C133" s="16" t="str">
        <x:v>Local continuity support</x:v>
      </x:c>
      <x:c r="D133" s="16" t="str">
        <x:v>S3</x:v>
      </x:c>
      <x:c r="E133" s="16" t="str">
        <x:v>Assign service</x:v>
      </x:c>
      <x:c r="F133" s="16" t="str">
        <x:v>service and accepted destination</x:v>
      </x:c>
      <x:c r="G133" s="16" t="str">
        <x:v>OPEN UNTIL CAMPAIGN EVIDENCE</x:v>
      </x:c>
    </x:row>
    <x:row r="134" ht="60" hidden="0" customHeight="1">
      <x:c r="A134" s="16" t="str">
        <x:v>HU-R1</x:v>
      </x:c>
      <x:c r="B134" s="16" t="str">
        <x:v>MS-HU</x:v>
      </x:c>
      <x:c r="C134" s="16" t="str">
        <x:v>Local continuity support</x:v>
      </x:c>
      <x:c r="D134" s="16" t="str">
        <x:v>S4</x:v>
      </x:c>
      <x:c r="E134" s="16" t="str">
        <x:v>Prepare the path</x:v>
      </x:c>
      <x:c r="F134" s="16" t="str">
        <x:v>origin, route, receiver and support</x:v>
      </x:c>
      <x:c r="G134" s="16" t="str">
        <x:v>OPEN UNTIL CAMPAIGN EVIDENCE</x:v>
      </x:c>
    </x:row>
    <x:row r="135" ht="60" hidden="0" customHeight="1">
      <x:c r="A135" s="16" t="str">
        <x:v>HU-R1</x:v>
      </x:c>
      <x:c r="B135" s="16" t="str">
        <x:v>MS-HU</x:v>
      </x:c>
      <x:c r="C135" s="16" t="str">
        <x:v>Local continuity support</x:v>
      </x:c>
      <x:c r="D135" s="16" t="str">
        <x:v>S5</x:v>
      </x:c>
      <x:c r="E135" s="16" t="str">
        <x:v>Deliver or produce</x:v>
      </x:c>
      <x:c r="F135" s="16" t="str">
        <x:v>person movement or projected care</x:v>
      </x:c>
      <x:c r="G135" s="16" t="str">
        <x:v>OPEN UNTIL CAMPAIGN EVIDENCE</x:v>
      </x:c>
    </x:row>
    <x:row r="136" ht="48" hidden="0" customHeight="1">
      <x:c r="A136" s="16" t="str">
        <x:v>HU-R1</x:v>
      </x:c>
      <x:c r="B136" s="16" t="str">
        <x:v>MS-HU</x:v>
      </x:c>
      <x:c r="C136" s="16" t="str">
        <x:v>Local continuity support</x:v>
      </x:c>
      <x:c r="D136" s="16" t="str">
        <x:v>S6</x:v>
      </x:c>
      <x:c r="E136" s="16" t="str">
        <x:v>Accept and sustain</x:v>
      </x:c>
      <x:c r="F136" s="16" t="str">
        <x:v>relationship-preserving service</x:v>
      </x:c>
      <x:c r="G136" s="16" t="str">
        <x:v>OPEN UNTIL CAMPAIGN EVIDENCE</x:v>
      </x:c>
    </x:row>
    <x:row r="137" ht="48" hidden="0" customHeight="1">
      <x:c r="A137" s="16" t="str">
        <x:v>HU-R1</x:v>
      </x:c>
      <x:c r="B137" s="16" t="str">
        <x:v>MS-HU</x:v>
      </x:c>
      <x:c r="C137" s="16" t="str">
        <x:v>Local continuity support</x:v>
      </x:c>
      <x:c r="D137" s="16" t="str">
        <x:v>S7</x:v>
      </x:c>
      <x:c r="E137" s="16" t="str">
        <x:v>Transfer and regenerate</x:v>
      </x:c>
      <x:c r="F137" s="16" t="str">
        <x:v>supported return and workforce reset</x:v>
      </x:c>
      <x:c r="G137" s="16" t="str">
        <x:v>OPEN UNTIL CAMPAIGN EVIDENCE</x:v>
      </x:c>
    </x:row>
    <x:row r="138" ht="48" hidden="0" customHeight="1">
      <x:c r="A138" s="16" t="str">
        <x:v>HU-R2</x:v>
      </x:c>
      <x:c r="B138" s="16" t="str">
        <x:v>MS-HU</x:v>
      </x:c>
      <x:c r="C138" s="16" t="str">
        <x:v>Definitive care</x:v>
      </x:c>
      <x:c r="D138" s="16" t="str">
        <x:v>S1</x:v>
      </x:c>
      <x:c r="E138" s="16" t="str">
        <x:v>Establish state and authority</x:v>
      </x:c>
      <x:c r="F138" s="16" t="str">
        <x:v>person–household–care state and consent</x:v>
      </x:c>
      <x:c r="G138" s="16" t="str">
        <x:v>OPEN UNTIL CAMPAIGN EVIDENCE</x:v>
      </x:c>
    </x:row>
    <x:row r="139" ht="48" hidden="0" customHeight="1">
      <x:c r="A139" s="16" t="str">
        <x:v>HU-R2</x:v>
      </x:c>
      <x:c r="B139" s="16" t="str">
        <x:v>MS-HU</x:v>
      </x:c>
      <x:c r="C139" s="16" t="str">
        <x:v>Definitive care</x:v>
      </x:c>
      <x:c r="D139" s="16" t="str">
        <x:v>S2</x:v>
      </x:c>
      <x:c r="E139" s="16" t="str">
        <x:v>Bound immediate failure</x:v>
      </x:c>
      <x:c r="F139" s="16" t="str">
        <x:v>loss of continuity</x:v>
      </x:c>
      <x:c r="G139" s="16" t="str">
        <x:v>OPEN UNTIL CAMPAIGN EVIDENCE</x:v>
      </x:c>
    </x:row>
    <x:row r="140" ht="48" hidden="0" customHeight="1">
      <x:c r="A140" s="16" t="str">
        <x:v>HU-R2</x:v>
      </x:c>
      <x:c r="B140" s="16" t="str">
        <x:v>MS-HU</x:v>
      </x:c>
      <x:c r="C140" s="16" t="str">
        <x:v>Definitive care</x:v>
      </x:c>
      <x:c r="D140" s="16" t="str">
        <x:v>S3</x:v>
      </x:c>
      <x:c r="E140" s="16" t="str">
        <x:v>Assign service</x:v>
      </x:c>
      <x:c r="F140" s="16" t="str">
        <x:v>service and accepted destination</x:v>
      </x:c>
      <x:c r="G140" s="16" t="str">
        <x:v>OPEN UNTIL CAMPAIGN EVIDENCE</x:v>
      </x:c>
    </x:row>
    <x:row r="141" ht="60" hidden="0" customHeight="1">
      <x:c r="A141" s="16" t="str">
        <x:v>HU-R2</x:v>
      </x:c>
      <x:c r="B141" s="16" t="str">
        <x:v>MS-HU</x:v>
      </x:c>
      <x:c r="C141" s="16" t="str">
        <x:v>Definitive care</x:v>
      </x:c>
      <x:c r="D141" s="16" t="str">
        <x:v>S4</x:v>
      </x:c>
      <x:c r="E141" s="16" t="str">
        <x:v>Prepare the path</x:v>
      </x:c>
      <x:c r="F141" s="16" t="str">
        <x:v>origin, route, receiver and support</x:v>
      </x:c>
      <x:c r="G141" s="16" t="str">
        <x:v>OPEN UNTIL CAMPAIGN EVIDENCE</x:v>
      </x:c>
    </x:row>
    <x:row r="142" ht="60" hidden="0" customHeight="1">
      <x:c r="A142" s="16" t="str">
        <x:v>HU-R2</x:v>
      </x:c>
      <x:c r="B142" s="16" t="str">
        <x:v>MS-HU</x:v>
      </x:c>
      <x:c r="C142" s="16" t="str">
        <x:v>Definitive care</x:v>
      </x:c>
      <x:c r="D142" s="16" t="str">
        <x:v>S5</x:v>
      </x:c>
      <x:c r="E142" s="16" t="str">
        <x:v>Deliver or produce</x:v>
      </x:c>
      <x:c r="F142" s="16" t="str">
        <x:v>person movement or projected care</x:v>
      </x:c>
      <x:c r="G142" s="16" t="str">
        <x:v>OPEN UNTIL CAMPAIGN EVIDENCE</x:v>
      </x:c>
    </x:row>
    <x:row r="143" ht="48" hidden="0" customHeight="1">
      <x:c r="A143" s="16" t="str">
        <x:v>HU-R2</x:v>
      </x:c>
      <x:c r="B143" s="16" t="str">
        <x:v>MS-HU</x:v>
      </x:c>
      <x:c r="C143" s="16" t="str">
        <x:v>Definitive care</x:v>
      </x:c>
      <x:c r="D143" s="16" t="str">
        <x:v>S6</x:v>
      </x:c>
      <x:c r="E143" s="16" t="str">
        <x:v>Accept and sustain</x:v>
      </x:c>
      <x:c r="F143" s="16" t="str">
        <x:v>relationship-preserving service</x:v>
      </x:c>
      <x:c r="G143" s="16" t="str">
        <x:v>OPEN UNTIL CAMPAIGN EVIDENCE</x:v>
      </x:c>
    </x:row>
    <x:row r="144" ht="48" hidden="0" customHeight="1">
      <x:c r="A144" s="16" t="str">
        <x:v>HU-R2</x:v>
      </x:c>
      <x:c r="B144" s="16" t="str">
        <x:v>MS-HU</x:v>
      </x:c>
      <x:c r="C144" s="16" t="str">
        <x:v>Definitive care</x:v>
      </x:c>
      <x:c r="D144" s="16" t="str">
        <x:v>S7</x:v>
      </x:c>
      <x:c r="E144" s="16" t="str">
        <x:v>Transfer and regenerate</x:v>
      </x:c>
      <x:c r="F144" s="16" t="str">
        <x:v>supported return and workforce reset</x:v>
      </x:c>
      <x:c r="G144" s="16" t="str">
        <x:v>OPEN UNTIL CAMPAIGN EVIDENCE</x:v>
      </x:c>
    </x:row>
    <x:row r="145" ht="48" hidden="0" customHeight="1">
      <x:c r="A145" s="16" t="str">
        <x:v>HU-R3</x:v>
      </x:c>
      <x:c r="B145" s="16" t="str">
        <x:v>MS-HU</x:v>
      </x:c>
      <x:c r="C145" s="16" t="str">
        <x:v>Patient regulation and transfer</x:v>
      </x:c>
      <x:c r="D145" s="16" t="str">
        <x:v>S1</x:v>
      </x:c>
      <x:c r="E145" s="16" t="str">
        <x:v>Establish state and authority</x:v>
      </x:c>
      <x:c r="F145" s="16" t="str">
        <x:v>person–household–care state and consent</x:v>
      </x:c>
      <x:c r="G145" s="16" t="str">
        <x:v>OPEN UNTIL CAMPAIGN EVIDENCE</x:v>
      </x:c>
    </x:row>
    <x:row r="146" ht="48" hidden="0" customHeight="1">
      <x:c r="A146" s="16" t="str">
        <x:v>HU-R3</x:v>
      </x:c>
      <x:c r="B146" s="16" t="str">
        <x:v>MS-HU</x:v>
      </x:c>
      <x:c r="C146" s="16" t="str">
        <x:v>Patient regulation and transfer</x:v>
      </x:c>
      <x:c r="D146" s="16" t="str">
        <x:v>S2</x:v>
      </x:c>
      <x:c r="E146" s="16" t="str">
        <x:v>Bound immediate failure</x:v>
      </x:c>
      <x:c r="F146" s="16" t="str">
        <x:v>loss of continuity</x:v>
      </x:c>
      <x:c r="G146" s="16" t="str">
        <x:v>OPEN UNTIL CAMPAIGN EVIDENCE</x:v>
      </x:c>
    </x:row>
    <x:row r="147" ht="48" hidden="0" customHeight="1">
      <x:c r="A147" s="16" t="str">
        <x:v>HU-R3</x:v>
      </x:c>
      <x:c r="B147" s="16" t="str">
        <x:v>MS-HU</x:v>
      </x:c>
      <x:c r="C147" s="16" t="str">
        <x:v>Patient regulation and transfer</x:v>
      </x:c>
      <x:c r="D147" s="16" t="str">
        <x:v>S3</x:v>
      </x:c>
      <x:c r="E147" s="16" t="str">
        <x:v>Assign service</x:v>
      </x:c>
      <x:c r="F147" s="16" t="str">
        <x:v>service and accepted destination</x:v>
      </x:c>
      <x:c r="G147" s="16" t="str">
        <x:v>OPEN UNTIL CAMPAIGN EVIDENCE</x:v>
      </x:c>
    </x:row>
    <x:row r="148" ht="60" hidden="0" customHeight="1">
      <x:c r="A148" s="16" t="str">
        <x:v>HU-R3</x:v>
      </x:c>
      <x:c r="B148" s="16" t="str">
        <x:v>MS-HU</x:v>
      </x:c>
      <x:c r="C148" s="16" t="str">
        <x:v>Patient regulation and transfer</x:v>
      </x:c>
      <x:c r="D148" s="16" t="str">
        <x:v>S4</x:v>
      </x:c>
      <x:c r="E148" s="16" t="str">
        <x:v>Prepare the path</x:v>
      </x:c>
      <x:c r="F148" s="16" t="str">
        <x:v>origin, route, receiver and support</x:v>
      </x:c>
      <x:c r="G148" s="16" t="str">
        <x:v>OPEN UNTIL CAMPAIGN EVIDENCE</x:v>
      </x:c>
    </x:row>
    <x:row r="149" ht="60" hidden="0" customHeight="1">
      <x:c r="A149" s="16" t="str">
        <x:v>HU-R3</x:v>
      </x:c>
      <x:c r="B149" s="16" t="str">
        <x:v>MS-HU</x:v>
      </x:c>
      <x:c r="C149" s="16" t="str">
        <x:v>Patient regulation and transfer</x:v>
      </x:c>
      <x:c r="D149" s="16" t="str">
        <x:v>S5</x:v>
      </x:c>
      <x:c r="E149" s="16" t="str">
        <x:v>Deliver or produce</x:v>
      </x:c>
      <x:c r="F149" s="16" t="str">
        <x:v>person movement or projected care</x:v>
      </x:c>
      <x:c r="G149" s="16" t="str">
        <x:v>OPEN UNTIL CAMPAIGN EVIDENCE</x:v>
      </x:c>
    </x:row>
    <x:row r="150" ht="48" hidden="0" customHeight="1">
      <x:c r="A150" s="16" t="str">
        <x:v>HU-R3</x:v>
      </x:c>
      <x:c r="B150" s="16" t="str">
        <x:v>MS-HU</x:v>
      </x:c>
      <x:c r="C150" s="16" t="str">
        <x:v>Patient regulation and transfer</x:v>
      </x:c>
      <x:c r="D150" s="16" t="str">
        <x:v>S6</x:v>
      </x:c>
      <x:c r="E150" s="16" t="str">
        <x:v>Accept and sustain</x:v>
      </x:c>
      <x:c r="F150" s="16" t="str">
        <x:v>relationship-preserving service</x:v>
      </x:c>
      <x:c r="G150" s="16" t="str">
        <x:v>OPEN UNTIL CAMPAIGN EVIDENCE</x:v>
      </x:c>
    </x:row>
    <x:row r="151" ht="48" hidden="0" customHeight="1">
      <x:c r="A151" s="16" t="str">
        <x:v>HU-R3</x:v>
      </x:c>
      <x:c r="B151" s="16" t="str">
        <x:v>MS-HU</x:v>
      </x:c>
      <x:c r="C151" s="16" t="str">
        <x:v>Patient regulation and transfer</x:v>
      </x:c>
      <x:c r="D151" s="16" t="str">
        <x:v>S7</x:v>
      </x:c>
      <x:c r="E151" s="16" t="str">
        <x:v>Transfer and regenerate</x:v>
      </x:c>
      <x:c r="F151" s="16" t="str">
        <x:v>supported return and workforce reset</x:v>
      </x:c>
      <x:c r="G151" s="16" t="str">
        <x:v>OPEN UNTIL CAMPAIGN EVIDENCE</x:v>
      </x:c>
    </x:row>
    <x:row r="152" ht="48" hidden="0" customHeight="1">
      <x:c r="A152" s="16" t="str">
        <x:v>HU-R4</x:v>
      </x:c>
      <x:c r="B152" s="16" t="str">
        <x:v>MS-HU</x:v>
      </x:c>
      <x:c r="C152" s="16" t="str">
        <x:v>Household relocation and reception</x:v>
      </x:c>
      <x:c r="D152" s="16" t="str">
        <x:v>S1</x:v>
      </x:c>
      <x:c r="E152" s="16" t="str">
        <x:v>Establish state and authority</x:v>
      </x:c>
      <x:c r="F152" s="16" t="str">
        <x:v>person–household–care state and consent</x:v>
      </x:c>
      <x:c r="G152" s="16" t="str">
        <x:v>OPEN UNTIL CAMPAIGN EVIDENCE</x:v>
      </x:c>
    </x:row>
    <x:row r="153" ht="48" hidden="0" customHeight="1">
      <x:c r="A153" s="16" t="str">
        <x:v>HU-R4</x:v>
      </x:c>
      <x:c r="B153" s="16" t="str">
        <x:v>MS-HU</x:v>
      </x:c>
      <x:c r="C153" s="16" t="str">
        <x:v>Household relocation and reception</x:v>
      </x:c>
      <x:c r="D153" s="16" t="str">
        <x:v>S2</x:v>
      </x:c>
      <x:c r="E153" s="16" t="str">
        <x:v>Bound immediate failure</x:v>
      </x:c>
      <x:c r="F153" s="16" t="str">
        <x:v>loss of continuity</x:v>
      </x:c>
      <x:c r="G153" s="16" t="str">
        <x:v>OPEN UNTIL CAMPAIGN EVIDENCE</x:v>
      </x:c>
    </x:row>
    <x:row r="154" ht="48" hidden="0" customHeight="1">
      <x:c r="A154" s="16" t="str">
        <x:v>HU-R4</x:v>
      </x:c>
      <x:c r="B154" s="16" t="str">
        <x:v>MS-HU</x:v>
      </x:c>
      <x:c r="C154" s="16" t="str">
        <x:v>Household relocation and reception</x:v>
      </x:c>
      <x:c r="D154" s="16" t="str">
        <x:v>S3</x:v>
      </x:c>
      <x:c r="E154" s="16" t="str">
        <x:v>Assign service</x:v>
      </x:c>
      <x:c r="F154" s="16" t="str">
        <x:v>service and accepted destination</x:v>
      </x:c>
      <x:c r="G154" s="16" t="str">
        <x:v>OPEN UNTIL CAMPAIGN EVIDENCE</x:v>
      </x:c>
    </x:row>
    <x:row r="155" ht="60" hidden="0" customHeight="1">
      <x:c r="A155" s="16" t="str">
        <x:v>HU-R4</x:v>
      </x:c>
      <x:c r="B155" s="16" t="str">
        <x:v>MS-HU</x:v>
      </x:c>
      <x:c r="C155" s="16" t="str">
        <x:v>Household relocation and reception</x:v>
      </x:c>
      <x:c r="D155" s="16" t="str">
        <x:v>S4</x:v>
      </x:c>
      <x:c r="E155" s="16" t="str">
        <x:v>Prepare the path</x:v>
      </x:c>
      <x:c r="F155" s="16" t="str">
        <x:v>origin, route, receiver and support</x:v>
      </x:c>
      <x:c r="G155" s="16" t="str">
        <x:v>OPEN UNTIL CAMPAIGN EVIDENCE</x:v>
      </x:c>
    </x:row>
    <x:row r="156" ht="60" hidden="0" customHeight="1">
      <x:c r="A156" s="16" t="str">
        <x:v>HU-R4</x:v>
      </x:c>
      <x:c r="B156" s="16" t="str">
        <x:v>MS-HU</x:v>
      </x:c>
      <x:c r="C156" s="16" t="str">
        <x:v>Household relocation and reception</x:v>
      </x:c>
      <x:c r="D156" s="16" t="str">
        <x:v>S5</x:v>
      </x:c>
      <x:c r="E156" s="16" t="str">
        <x:v>Deliver or produce</x:v>
      </x:c>
      <x:c r="F156" s="16" t="str">
        <x:v>person movement or projected care</x:v>
      </x:c>
      <x:c r="G156" s="16" t="str">
        <x:v>OPEN UNTIL CAMPAIGN EVIDENCE</x:v>
      </x:c>
    </x:row>
    <x:row r="157" ht="48" hidden="0" customHeight="1">
      <x:c r="A157" s="16" t="str">
        <x:v>HU-R4</x:v>
      </x:c>
      <x:c r="B157" s="16" t="str">
        <x:v>MS-HU</x:v>
      </x:c>
      <x:c r="C157" s="16" t="str">
        <x:v>Household relocation and reception</x:v>
      </x:c>
      <x:c r="D157" s="16" t="str">
        <x:v>S6</x:v>
      </x:c>
      <x:c r="E157" s="16" t="str">
        <x:v>Accept and sustain</x:v>
      </x:c>
      <x:c r="F157" s="16" t="str">
        <x:v>relationship-preserving service</x:v>
      </x:c>
      <x:c r="G157" s="16" t="str">
        <x:v>OPEN UNTIL CAMPAIGN EVIDENCE</x:v>
      </x:c>
    </x:row>
    <x:row r="158" ht="48" hidden="0" customHeight="1">
      <x:c r="A158" s="16" t="str">
        <x:v>HU-R4</x:v>
      </x:c>
      <x:c r="B158" s="16" t="str">
        <x:v>MS-HU</x:v>
      </x:c>
      <x:c r="C158" s="16" t="str">
        <x:v>Household relocation and reception</x:v>
      </x:c>
      <x:c r="D158" s="16" t="str">
        <x:v>S7</x:v>
      </x:c>
      <x:c r="E158" s="16" t="str">
        <x:v>Transfer and regenerate</x:v>
      </x:c>
      <x:c r="F158" s="16" t="str">
        <x:v>supported return and workforce reset</x:v>
      </x:c>
      <x:c r="G158" s="16" t="str">
        <x:v>OPEN UNTIL CAMPAIGN EVIDENCE</x:v>
      </x:c>
    </x:row>
    <x:row r="159" ht="48" hidden="0" customHeight="1">
      <x:c r="A159" s="16" t="str">
        <x:v>HU-R5</x:v>
      </x:c>
      <x:c r="B159" s="16" t="str">
        <x:v>MS-HU</x:v>
      </x:c>
      <x:c r="C159" s="16" t="str">
        <x:v>Workforce replacement</x:v>
      </x:c>
      <x:c r="D159" s="16" t="str">
        <x:v>S1</x:v>
      </x:c>
      <x:c r="E159" s="16" t="str">
        <x:v>Establish state and authority</x:v>
      </x:c>
      <x:c r="F159" s="16" t="str">
        <x:v>person–household–care state and consent</x:v>
      </x:c>
      <x:c r="G159" s="16" t="str">
        <x:v>OPEN UNTIL CAMPAIGN EVIDENCE</x:v>
      </x:c>
    </x:row>
    <x:row r="160" ht="48" hidden="0" customHeight="1">
      <x:c r="A160" s="16" t="str">
        <x:v>HU-R5</x:v>
      </x:c>
      <x:c r="B160" s="16" t="str">
        <x:v>MS-HU</x:v>
      </x:c>
      <x:c r="C160" s="16" t="str">
        <x:v>Workforce replacement</x:v>
      </x:c>
      <x:c r="D160" s="16" t="str">
        <x:v>S2</x:v>
      </x:c>
      <x:c r="E160" s="16" t="str">
        <x:v>Bound immediate failure</x:v>
      </x:c>
      <x:c r="F160" s="16" t="str">
        <x:v>loss of continuity</x:v>
      </x:c>
      <x:c r="G160" s="16" t="str">
        <x:v>OPEN UNTIL CAMPAIGN EVIDENCE</x:v>
      </x:c>
    </x:row>
    <x:row r="161" ht="48" hidden="0" customHeight="1">
      <x:c r="A161" s="16" t="str">
        <x:v>HU-R5</x:v>
      </x:c>
      <x:c r="B161" s="16" t="str">
        <x:v>MS-HU</x:v>
      </x:c>
      <x:c r="C161" s="16" t="str">
        <x:v>Workforce replacement</x:v>
      </x:c>
      <x:c r="D161" s="16" t="str">
        <x:v>S3</x:v>
      </x:c>
      <x:c r="E161" s="16" t="str">
        <x:v>Assign service</x:v>
      </x:c>
      <x:c r="F161" s="16" t="str">
        <x:v>service and accepted destination</x:v>
      </x:c>
      <x:c r="G161" s="16" t="str">
        <x:v>OPEN UNTIL CAMPAIGN EVIDENCE</x:v>
      </x:c>
    </x:row>
    <x:row r="162" ht="60" hidden="0" customHeight="1">
      <x:c r="A162" s="16" t="str">
        <x:v>HU-R5</x:v>
      </x:c>
      <x:c r="B162" s="16" t="str">
        <x:v>MS-HU</x:v>
      </x:c>
      <x:c r="C162" s="16" t="str">
        <x:v>Workforce replacement</x:v>
      </x:c>
      <x:c r="D162" s="16" t="str">
        <x:v>S4</x:v>
      </x:c>
      <x:c r="E162" s="16" t="str">
        <x:v>Prepare the path</x:v>
      </x:c>
      <x:c r="F162" s="16" t="str">
        <x:v>origin, route, receiver and support</x:v>
      </x:c>
      <x:c r="G162" s="16" t="str">
        <x:v>OPEN UNTIL CAMPAIGN EVIDENCE</x:v>
      </x:c>
    </x:row>
    <x:row r="163" ht="60" hidden="0" customHeight="1">
      <x:c r="A163" s="16" t="str">
        <x:v>HU-R5</x:v>
      </x:c>
      <x:c r="B163" s="16" t="str">
        <x:v>MS-HU</x:v>
      </x:c>
      <x:c r="C163" s="16" t="str">
        <x:v>Workforce replacement</x:v>
      </x:c>
      <x:c r="D163" s="16" t="str">
        <x:v>S5</x:v>
      </x:c>
      <x:c r="E163" s="16" t="str">
        <x:v>Deliver or produce</x:v>
      </x:c>
      <x:c r="F163" s="16" t="str">
        <x:v>person movement or projected care</x:v>
      </x:c>
      <x:c r="G163" s="16" t="str">
        <x:v>OPEN UNTIL CAMPAIGN EVIDENCE</x:v>
      </x:c>
    </x:row>
    <x:row r="164" ht="48" hidden="0" customHeight="1">
      <x:c r="A164" s="16" t="str">
        <x:v>HU-R5</x:v>
      </x:c>
      <x:c r="B164" s="16" t="str">
        <x:v>MS-HU</x:v>
      </x:c>
      <x:c r="C164" s="16" t="str">
        <x:v>Workforce replacement</x:v>
      </x:c>
      <x:c r="D164" s="16" t="str">
        <x:v>S6</x:v>
      </x:c>
      <x:c r="E164" s="16" t="str">
        <x:v>Accept and sustain</x:v>
      </x:c>
      <x:c r="F164" s="16" t="str">
        <x:v>relationship-preserving service</x:v>
      </x:c>
      <x:c r="G164" s="16" t="str">
        <x:v>OPEN UNTIL CAMPAIGN EVIDENCE</x:v>
      </x:c>
    </x:row>
    <x:row r="165" ht="48" hidden="0" customHeight="1">
      <x:c r="A165" s="16" t="str">
        <x:v>HU-R5</x:v>
      </x:c>
      <x:c r="B165" s="16" t="str">
        <x:v>MS-HU</x:v>
      </x:c>
      <x:c r="C165" s="16" t="str">
        <x:v>Workforce replacement</x:v>
      </x:c>
      <x:c r="D165" s="16" t="str">
        <x:v>S7</x:v>
      </x:c>
      <x:c r="E165" s="16" t="str">
        <x:v>Transfer and regenerate</x:v>
      </x:c>
      <x:c r="F165" s="16" t="str">
        <x:v>supported return and workforce reset</x:v>
      </x:c>
      <x:c r="G165" s="16" t="str">
        <x:v>OPEN UNTIL CAMPAIGN EVIDENCE</x:v>
      </x:c>
    </x:row>
    <x:row r="166" ht="60" hidden="0" customHeight="1">
      <x:c r="A166" s="16" t="str">
        <x:v>RT-R1</x:v>
      </x:c>
      <x:c r="B166" s="16" t="str">
        <x:v>MS-RT</x:v>
      </x:c>
      <x:c r="C166" s="16" t="str">
        <x:v>Campaign, ocean and offshore sustainment</x:v>
      </x:c>
      <x:c r="D166" s="16" t="str">
        <x:v>S1</x:v>
      </x:c>
      <x:c r="E166" s="16" t="str">
        <x:v>Establish state and authority</x:v>
      </x:c>
      <x:c r="F166" s="16" t="str">
        <x:v>stock, repair, civil owner and residual state</x:v>
      </x:c>
      <x:c r="G166" s="16" t="str">
        <x:v>OPEN UNTIL CAMPAIGN EVIDENCE</x:v>
      </x:c>
    </x:row>
    <x:row r="167" ht="60" hidden="0" customHeight="1">
      <x:c r="A167" s="16" t="str">
        <x:v>RT-R1</x:v>
      </x:c>
      <x:c r="B167" s="16" t="str">
        <x:v>MS-RT</x:v>
      </x:c>
      <x:c r="C167" s="16" t="str">
        <x:v>Campaign, ocean and offshore sustainment</x:v>
      </x:c>
      <x:c r="D167" s="16" t="str">
        <x:v>S2</x:v>
      </x:c>
      <x:c r="E167" s="16" t="str">
        <x:v>Bound immediate failure</x:v>
      </x:c>
      <x:c r="F167" s="16" t="str">
        <x:v>sustainment or recovery loss</x:v>
      </x:c>
      <x:c r="G167" s="16" t="str">
        <x:v>OPEN UNTIL CAMPAIGN EVIDENCE</x:v>
      </x:c>
    </x:row>
    <x:row r="168" ht="60" hidden="0" customHeight="1">
      <x:c r="A168" s="16" t="str">
        <x:v>RT-R1</x:v>
      </x:c>
      <x:c r="B168" s="16" t="str">
        <x:v>MS-RT</x:v>
      </x:c>
      <x:c r="C168" s="16" t="str">
        <x:v>Campaign, ocean and offshore sustainment</x:v>
      </x:c>
      <x:c r="D168" s="16" t="str">
        <x:v>S3</x:v>
      </x:c>
      <x:c r="E168" s="16" t="str">
        <x:v>Assign service</x:v>
      </x:c>
      <x:c r="F168" s="16" t="str">
        <x:v>replenishment, repair or transfer</x:v>
      </x:c>
      <x:c r="G168" s="16" t="str">
        <x:v>OPEN UNTIL CAMPAIGN EVIDENCE</x:v>
      </x:c>
    </x:row>
    <x:row r="169" ht="60" hidden="0" customHeight="1">
      <x:c r="A169" s="16" t="str">
        <x:v>RT-R1</x:v>
      </x:c>
      <x:c r="B169" s="16" t="str">
        <x:v>MS-RT</x:v>
      </x:c>
      <x:c r="C169" s="16" t="str">
        <x:v>Campaign, ocean and offshore sustainment</x:v>
      </x:c>
      <x:c r="D169" s="16" t="str">
        <x:v>S4</x:v>
      </x:c>
      <x:c r="E169" s="16" t="str">
        <x:v>Prepare the path</x:v>
      </x:c>
      <x:c r="F169" s="16" t="str">
        <x:v>supply, return and repair paths</x:v>
      </x:c>
      <x:c r="G169" s="16" t="str">
        <x:v>OPEN UNTIL CAMPAIGN EVIDENCE</x:v>
      </x:c>
    </x:row>
    <x:row r="170" ht="60" hidden="0" customHeight="1">
      <x:c r="A170" s="16" t="str">
        <x:v>RT-R1</x:v>
      </x:c>
      <x:c r="B170" s="16" t="str">
        <x:v>MS-RT</x:v>
      </x:c>
      <x:c r="C170" s="16" t="str">
        <x:v>Campaign, ocean and offshore sustainment</x:v>
      </x:c>
      <x:c r="D170" s="16" t="str">
        <x:v>S5</x:v>
      </x:c>
      <x:c r="E170" s="16" t="str">
        <x:v>Deliver or produce</x:v>
      </x:c>
      <x:c r="F170" s="16" t="str">
        <x:v>stock, repair or transfer service</x:v>
      </x:c>
      <x:c r="G170" s="16" t="str">
        <x:v>OPEN UNTIL CAMPAIGN EVIDENCE</x:v>
      </x:c>
    </x:row>
    <x:row r="171" ht="60" hidden="0" customHeight="1">
      <x:c r="A171" s="16" t="str">
        <x:v>RT-R1</x:v>
      </x:c>
      <x:c r="B171" s="16" t="str">
        <x:v>MS-RT</x:v>
      </x:c>
      <x:c r="C171" s="16" t="str">
        <x:v>Campaign, ocean and offshore sustainment</x:v>
      </x:c>
      <x:c r="D171" s="16" t="str">
        <x:v>S6</x:v>
      </x:c>
      <x:c r="E171" s="16" t="str">
        <x:v>Accept and sustain</x:v>
      </x:c>
      <x:c r="F171" s="16" t="str">
        <x:v>sustained receiving system</x:v>
      </x:c>
      <x:c r="G171" s="16" t="str">
        <x:v>OPEN UNTIL CAMPAIGN EVIDENCE</x:v>
      </x:c>
    </x:row>
    <x:row r="172" ht="72" hidden="0" customHeight="1">
      <x:c r="A172" s="16" t="str">
        <x:v>RT-R1</x:v>
      </x:c>
      <x:c r="B172" s="16" t="str">
        <x:v>MS-RT</x:v>
      </x:c>
      <x:c r="C172" s="16" t="str">
        <x:v>Campaign, ocean and offshore sustainment</x:v>
      </x:c>
      <x:c r="D172" s="16" t="str">
        <x:v>S7</x:v>
      </x:c>
      <x:c r="E172" s="16" t="str">
        <x:v>Transfer and regenerate</x:v>
      </x:c>
      <x:c r="F172" s="16" t="str">
        <x:v>civil handoff, return and force regeneration</x:v>
      </x:c>
      <x:c r="G172" s="16" t="str">
        <x:v>OPEN UNTIL CAMPAIGN EVIDENCE</x:v>
      </x:c>
    </x:row>
    <x:row r="173" ht="60" hidden="0" customHeight="1">
      <x:c r="A173" s="16" t="str">
        <x:v>RT-R2</x:v>
      </x:c>
      <x:c r="B173" s="16" t="str">
        <x:v>MS-RT</x:v>
      </x:c>
      <x:c r="C173" s="16" t="str">
        <x:v>Replacement and reconstitution</x:v>
      </x:c>
      <x:c r="D173" s="16" t="str">
        <x:v>S1</x:v>
      </x:c>
      <x:c r="E173" s="16" t="str">
        <x:v>Establish state and authority</x:v>
      </x:c>
      <x:c r="F173" s="16" t="str">
        <x:v>stock, repair, civil owner and residual state</x:v>
      </x:c>
      <x:c r="G173" s="16" t="str">
        <x:v>OPEN UNTIL CAMPAIGN EVIDENCE</x:v>
      </x:c>
    </x:row>
    <x:row r="174" ht="48" hidden="0" customHeight="1">
      <x:c r="A174" s="16" t="str">
        <x:v>RT-R2</x:v>
      </x:c>
      <x:c r="B174" s="16" t="str">
        <x:v>MS-RT</x:v>
      </x:c>
      <x:c r="C174" s="16" t="str">
        <x:v>Replacement and reconstitution</x:v>
      </x:c>
      <x:c r="D174" s="16" t="str">
        <x:v>S2</x:v>
      </x:c>
      <x:c r="E174" s="16" t="str">
        <x:v>Bound immediate failure</x:v>
      </x:c>
      <x:c r="F174" s="16" t="str">
        <x:v>sustainment or recovery loss</x:v>
      </x:c>
      <x:c r="G174" s="16" t="str">
        <x:v>OPEN UNTIL CAMPAIGN EVIDENCE</x:v>
      </x:c>
    </x:row>
    <x:row r="175" ht="48" hidden="0" customHeight="1">
      <x:c r="A175" s="16" t="str">
        <x:v>RT-R2</x:v>
      </x:c>
      <x:c r="B175" s="16" t="str">
        <x:v>MS-RT</x:v>
      </x:c>
      <x:c r="C175" s="16" t="str">
        <x:v>Replacement and reconstitution</x:v>
      </x:c>
      <x:c r="D175" s="16" t="str">
        <x:v>S3</x:v>
      </x:c>
      <x:c r="E175" s="16" t="str">
        <x:v>Assign service</x:v>
      </x:c>
      <x:c r="F175" s="16" t="str">
        <x:v>replenishment, repair or transfer</x:v>
      </x:c>
      <x:c r="G175" s="16" t="str">
        <x:v>OPEN UNTIL CAMPAIGN EVIDENCE</x:v>
      </x:c>
    </x:row>
    <x:row r="176" ht="48" hidden="0" customHeight="1">
      <x:c r="A176" s="16" t="str">
        <x:v>RT-R2</x:v>
      </x:c>
      <x:c r="B176" s="16" t="str">
        <x:v>MS-RT</x:v>
      </x:c>
      <x:c r="C176" s="16" t="str">
        <x:v>Replacement and reconstitution</x:v>
      </x:c>
      <x:c r="D176" s="16" t="str">
        <x:v>S4</x:v>
      </x:c>
      <x:c r="E176" s="16" t="str">
        <x:v>Prepare the path</x:v>
      </x:c>
      <x:c r="F176" s="16" t="str">
        <x:v>supply, return and repair paths</x:v>
      </x:c>
      <x:c r="G176" s="16" t="str">
        <x:v>OPEN UNTIL CAMPAIGN EVIDENCE</x:v>
      </x:c>
    </x:row>
    <x:row r="177" ht="48" hidden="0" customHeight="1">
      <x:c r="A177" s="16" t="str">
        <x:v>RT-R2</x:v>
      </x:c>
      <x:c r="B177" s="16" t="str">
        <x:v>MS-RT</x:v>
      </x:c>
      <x:c r="C177" s="16" t="str">
        <x:v>Replacement and reconstitution</x:v>
      </x:c>
      <x:c r="D177" s="16" t="str">
        <x:v>S5</x:v>
      </x:c>
      <x:c r="E177" s="16" t="str">
        <x:v>Deliver or produce</x:v>
      </x:c>
      <x:c r="F177" s="16" t="str">
        <x:v>stock, repair or transfer service</x:v>
      </x:c>
      <x:c r="G177" s="16" t="str">
        <x:v>OPEN UNTIL CAMPAIGN EVIDENCE</x:v>
      </x:c>
    </x:row>
    <x:row r="178" ht="48" hidden="0" customHeight="1">
      <x:c r="A178" s="16" t="str">
        <x:v>RT-R2</x:v>
      </x:c>
      <x:c r="B178" s="16" t="str">
        <x:v>MS-RT</x:v>
      </x:c>
      <x:c r="C178" s="16" t="str">
        <x:v>Replacement and reconstitution</x:v>
      </x:c>
      <x:c r="D178" s="16" t="str">
        <x:v>S6</x:v>
      </x:c>
      <x:c r="E178" s="16" t="str">
        <x:v>Accept and sustain</x:v>
      </x:c>
      <x:c r="F178" s="16" t="str">
        <x:v>sustained receiving system</x:v>
      </x:c>
      <x:c r="G178" s="16" t="str">
        <x:v>OPEN UNTIL CAMPAIGN EVIDENCE</x:v>
      </x:c>
    </x:row>
    <x:row r="179" ht="72" hidden="0" customHeight="1">
      <x:c r="A179" s="16" t="str">
        <x:v>RT-R2</x:v>
      </x:c>
      <x:c r="B179" s="16" t="str">
        <x:v>MS-RT</x:v>
      </x:c>
      <x:c r="C179" s="16" t="str">
        <x:v>Replacement and reconstitution</x:v>
      </x:c>
      <x:c r="D179" s="16" t="str">
        <x:v>S7</x:v>
      </x:c>
      <x:c r="E179" s="16" t="str">
        <x:v>Transfer and regenerate</x:v>
      </x:c>
      <x:c r="F179" s="16" t="str">
        <x:v>civil handoff, return and force regeneration</x:v>
      </x:c>
      <x:c r="G179" s="16" t="str">
        <x:v>OPEN UNTIL CAMPAIGN EVIDENCE</x:v>
      </x:c>
    </x:row>
    <x:row r="180" ht="60" hidden="0" customHeight="1">
      <x:c r="A180" s="16" t="str">
        <x:v>RT-R3</x:v>
      </x:c>
      <x:c r="B180" s="16" t="str">
        <x:v>MS-RT</x:v>
      </x:c>
      <x:c r="C180" s="16" t="str">
        <x:v>Utility reconstruction</x:v>
      </x:c>
      <x:c r="D180" s="16" t="str">
        <x:v>S1</x:v>
      </x:c>
      <x:c r="E180" s="16" t="str">
        <x:v>Establish state and authority</x:v>
      </x:c>
      <x:c r="F180" s="16" t="str">
        <x:v>stock, repair, civil owner and residual state</x:v>
      </x:c>
      <x:c r="G180" s="16" t="str">
        <x:v>OPEN UNTIL CAMPAIGN EVIDENCE</x:v>
      </x:c>
    </x:row>
    <x:row r="181" ht="48" hidden="0" customHeight="1">
      <x:c r="A181" s="16" t="str">
        <x:v>RT-R3</x:v>
      </x:c>
      <x:c r="B181" s="16" t="str">
        <x:v>MS-RT</x:v>
      </x:c>
      <x:c r="C181" s="16" t="str">
        <x:v>Utility reconstruction</x:v>
      </x:c>
      <x:c r="D181" s="16" t="str">
        <x:v>S2</x:v>
      </x:c>
      <x:c r="E181" s="16" t="str">
        <x:v>Bound immediate failure</x:v>
      </x:c>
      <x:c r="F181" s="16" t="str">
        <x:v>sustainment or recovery loss</x:v>
      </x:c>
      <x:c r="G181" s="16" t="str">
        <x:v>OPEN UNTIL CAMPAIGN EVIDENCE</x:v>
      </x:c>
    </x:row>
    <x:row r="182" ht="48" hidden="0" customHeight="1">
      <x:c r="A182" s="16" t="str">
        <x:v>RT-R3</x:v>
      </x:c>
      <x:c r="B182" s="16" t="str">
        <x:v>MS-RT</x:v>
      </x:c>
      <x:c r="C182" s="16" t="str">
        <x:v>Utility reconstruction</x:v>
      </x:c>
      <x:c r="D182" s="16" t="str">
        <x:v>S3</x:v>
      </x:c>
      <x:c r="E182" s="16" t="str">
        <x:v>Assign service</x:v>
      </x:c>
      <x:c r="F182" s="16" t="str">
        <x:v>replenishment, repair or transfer</x:v>
      </x:c>
      <x:c r="G182" s="16" t="str">
        <x:v>OPEN UNTIL CAMPAIGN EVIDENCE</x:v>
      </x:c>
    </x:row>
    <x:row r="183" ht="48" hidden="0" customHeight="1">
      <x:c r="A183" s="16" t="str">
        <x:v>RT-R3</x:v>
      </x:c>
      <x:c r="B183" s="16" t="str">
        <x:v>MS-RT</x:v>
      </x:c>
      <x:c r="C183" s="16" t="str">
        <x:v>Utility reconstruction</x:v>
      </x:c>
      <x:c r="D183" s="16" t="str">
        <x:v>S4</x:v>
      </x:c>
      <x:c r="E183" s="16" t="str">
        <x:v>Prepare the path</x:v>
      </x:c>
      <x:c r="F183" s="16" t="str">
        <x:v>supply, return and repair paths</x:v>
      </x:c>
      <x:c r="G183" s="16" t="str">
        <x:v>OPEN UNTIL CAMPAIGN EVIDENCE</x:v>
      </x:c>
    </x:row>
    <x:row r="184" ht="48" hidden="0" customHeight="1">
      <x:c r="A184" s="16" t="str">
        <x:v>RT-R3</x:v>
      </x:c>
      <x:c r="B184" s="16" t="str">
        <x:v>MS-RT</x:v>
      </x:c>
      <x:c r="C184" s="16" t="str">
        <x:v>Utility reconstruction</x:v>
      </x:c>
      <x:c r="D184" s="16" t="str">
        <x:v>S5</x:v>
      </x:c>
      <x:c r="E184" s="16" t="str">
        <x:v>Deliver or produce</x:v>
      </x:c>
      <x:c r="F184" s="16" t="str">
        <x:v>stock, repair or transfer service</x:v>
      </x:c>
      <x:c r="G184" s="16" t="str">
        <x:v>OPEN UNTIL CAMPAIGN EVIDENCE</x:v>
      </x:c>
    </x:row>
    <x:row r="185" ht="48" hidden="0" customHeight="1">
      <x:c r="A185" s="16" t="str">
        <x:v>RT-R3</x:v>
      </x:c>
      <x:c r="B185" s="16" t="str">
        <x:v>MS-RT</x:v>
      </x:c>
      <x:c r="C185" s="16" t="str">
        <x:v>Utility reconstruction</x:v>
      </x:c>
      <x:c r="D185" s="16" t="str">
        <x:v>S6</x:v>
      </x:c>
      <x:c r="E185" s="16" t="str">
        <x:v>Accept and sustain</x:v>
      </x:c>
      <x:c r="F185" s="16" t="str">
        <x:v>sustained receiving system</x:v>
      </x:c>
      <x:c r="G185" s="16" t="str">
        <x:v>OPEN UNTIL CAMPAIGN EVIDENCE</x:v>
      </x:c>
    </x:row>
    <x:row r="186" ht="72" hidden="0" customHeight="1">
      <x:c r="A186" s="16" t="str">
        <x:v>RT-R3</x:v>
      </x:c>
      <x:c r="B186" s="16" t="str">
        <x:v>MS-RT</x:v>
      </x:c>
      <x:c r="C186" s="16" t="str">
        <x:v>Utility reconstruction</x:v>
      </x:c>
      <x:c r="D186" s="16" t="str">
        <x:v>S7</x:v>
      </x:c>
      <x:c r="E186" s="16" t="str">
        <x:v>Transfer and regenerate</x:v>
      </x:c>
      <x:c r="F186" s="16" t="str">
        <x:v>civil handoff, return and force regeneration</x:v>
      </x:c>
      <x:c r="G186" s="16" t="str">
        <x:v>OPEN UNTIL CAMPAIGN EVIDENCE</x:v>
      </x:c>
    </x:row>
    <x:row r="187" ht="60" hidden="0" customHeight="1">
      <x:c r="A187" s="16" t="str">
        <x:v>RT-R4</x:v>
      </x:c>
      <x:c r="B187" s="16" t="str">
        <x:v>MS-RT</x:v>
      </x:c>
      <x:c r="C187" s="16" t="str">
        <x:v>Civil, institution and economic transfer</x:v>
      </x:c>
      <x:c r="D187" s="16" t="str">
        <x:v>S1</x:v>
      </x:c>
      <x:c r="E187" s="16" t="str">
        <x:v>Establish state and authority</x:v>
      </x:c>
      <x:c r="F187" s="16" t="str">
        <x:v>stock, repair, civil owner and residual state</x:v>
      </x:c>
      <x:c r="G187" s="16" t="str">
        <x:v>OPEN UNTIL CAMPAIGN EVIDENCE</x:v>
      </x:c>
    </x:row>
    <x:row r="188" ht="60" hidden="0" customHeight="1">
      <x:c r="A188" s="16" t="str">
        <x:v>RT-R4</x:v>
      </x:c>
      <x:c r="B188" s="16" t="str">
        <x:v>MS-RT</x:v>
      </x:c>
      <x:c r="C188" s="16" t="str">
        <x:v>Civil, institution and economic transfer</x:v>
      </x:c>
      <x:c r="D188" s="16" t="str">
        <x:v>S2</x:v>
      </x:c>
      <x:c r="E188" s="16" t="str">
        <x:v>Bound immediate failure</x:v>
      </x:c>
      <x:c r="F188" s="16" t="str">
        <x:v>sustainment or recovery loss</x:v>
      </x:c>
      <x:c r="G188" s="16" t="str">
        <x:v>OPEN UNTIL CAMPAIGN EVIDENCE</x:v>
      </x:c>
    </x:row>
    <x:row r="189" ht="60" hidden="0" customHeight="1">
      <x:c r="A189" s="16" t="str">
        <x:v>RT-R4</x:v>
      </x:c>
      <x:c r="B189" s="16" t="str">
        <x:v>MS-RT</x:v>
      </x:c>
      <x:c r="C189" s="16" t="str">
        <x:v>Civil, institution and economic transfer</x:v>
      </x:c>
      <x:c r="D189" s="16" t="str">
        <x:v>S3</x:v>
      </x:c>
      <x:c r="E189" s="16" t="str">
        <x:v>Assign service</x:v>
      </x:c>
      <x:c r="F189" s="16" t="str">
        <x:v>replenishment, repair or transfer</x:v>
      </x:c>
      <x:c r="G189" s="16" t="str">
        <x:v>OPEN UNTIL CAMPAIGN EVIDENCE</x:v>
      </x:c>
    </x:row>
    <x:row r="190" ht="60" hidden="0" customHeight="1">
      <x:c r="A190" s="16" t="str">
        <x:v>RT-R4</x:v>
      </x:c>
      <x:c r="B190" s="16" t="str">
        <x:v>MS-RT</x:v>
      </x:c>
      <x:c r="C190" s="16" t="str">
        <x:v>Civil, institution and economic transfer</x:v>
      </x:c>
      <x:c r="D190" s="16" t="str">
        <x:v>S4</x:v>
      </x:c>
      <x:c r="E190" s="16" t="str">
        <x:v>Prepare the path</x:v>
      </x:c>
      <x:c r="F190" s="16" t="str">
        <x:v>supply, return and repair paths</x:v>
      </x:c>
      <x:c r="G190" s="16" t="str">
        <x:v>OPEN UNTIL CAMPAIGN EVIDENCE</x:v>
      </x:c>
    </x:row>
    <x:row r="191" ht="60" hidden="0" customHeight="1">
      <x:c r="A191" s="16" t="str">
        <x:v>RT-R4</x:v>
      </x:c>
      <x:c r="B191" s="16" t="str">
        <x:v>MS-RT</x:v>
      </x:c>
      <x:c r="C191" s="16" t="str">
        <x:v>Civil, institution and economic transfer</x:v>
      </x:c>
      <x:c r="D191" s="16" t="str">
        <x:v>S5</x:v>
      </x:c>
      <x:c r="E191" s="16" t="str">
        <x:v>Deliver or produce</x:v>
      </x:c>
      <x:c r="F191" s="16" t="str">
        <x:v>stock, repair or transfer service</x:v>
      </x:c>
      <x:c r="G191" s="16" t="str">
        <x:v>OPEN UNTIL CAMPAIGN EVIDENCE</x:v>
      </x:c>
    </x:row>
    <x:row r="192" ht="60" hidden="0" customHeight="1">
      <x:c r="A192" s="16" t="str">
        <x:v>RT-R4</x:v>
      </x:c>
      <x:c r="B192" s="16" t="str">
        <x:v>MS-RT</x:v>
      </x:c>
      <x:c r="C192" s="16" t="str">
        <x:v>Civil, institution and economic transfer</x:v>
      </x:c>
      <x:c r="D192" s="16" t="str">
        <x:v>S6</x:v>
      </x:c>
      <x:c r="E192" s="16" t="str">
        <x:v>Accept and sustain</x:v>
      </x:c>
      <x:c r="F192" s="16" t="str">
        <x:v>sustained receiving system</x:v>
      </x:c>
      <x:c r="G192" s="16" t="str">
        <x:v>OPEN UNTIL CAMPAIGN EVIDENCE</x:v>
      </x:c>
    </x:row>
    <x:row r="193" ht="72" hidden="0" customHeight="1">
      <x:c r="A193" s="16" t="str">
        <x:v>RT-R4</x:v>
      </x:c>
      <x:c r="B193" s="16" t="str">
        <x:v>MS-RT</x:v>
      </x:c>
      <x:c r="C193" s="16" t="str">
        <x:v>Civil, institution and economic transfer</x:v>
      </x:c>
      <x:c r="D193" s="16" t="str">
        <x:v>S7</x:v>
      </x:c>
      <x:c r="E193" s="16" t="str">
        <x:v>Transfer and regenerate</x:v>
      </x:c>
      <x:c r="F193" s="16" t="str">
        <x:v>civil handoff, return and force regeneration</x:v>
      </x:c>
      <x:c r="G193" s="16" t="str">
        <x:v>OPEN UNTIL CAMPAIGN EVIDENCE</x:v>
      </x:c>
    </x:row>
    <x:row r="194" ht="72" hidden="0" customHeight="1">
      <x:c r="A194" s="16" t="str">
        <x:v>RT-R5</x:v>
      </x:c>
      <x:c r="B194" s="16" t="str">
        <x:v>MS-RT</x:v>
      </x:c>
      <x:c r="C194" s="16" t="str">
        <x:v>Return, durable continuity and demobilization</x:v>
      </x:c>
      <x:c r="D194" s="16" t="str">
        <x:v>S1</x:v>
      </x:c>
      <x:c r="E194" s="16" t="str">
        <x:v>Establish state and authority</x:v>
      </x:c>
      <x:c r="F194" s="16" t="str">
        <x:v>stock, repair, civil owner and residual state</x:v>
      </x:c>
      <x:c r="G194" s="16" t="str">
        <x:v>OPEN UNTIL CAMPAIGN EVIDENCE</x:v>
      </x:c>
    </x:row>
    <x:row r="195" ht="72" hidden="0" customHeight="1">
      <x:c r="A195" s="16" t="str">
        <x:v>RT-R5</x:v>
      </x:c>
      <x:c r="B195" s="16" t="str">
        <x:v>MS-RT</x:v>
      </x:c>
      <x:c r="C195" s="16" t="str">
        <x:v>Return, durable continuity and demobilization</x:v>
      </x:c>
      <x:c r="D195" s="16" t="str">
        <x:v>S2</x:v>
      </x:c>
      <x:c r="E195" s="16" t="str">
        <x:v>Bound immediate failure</x:v>
      </x:c>
      <x:c r="F195" s="16" t="str">
        <x:v>sustainment or recovery loss</x:v>
      </x:c>
      <x:c r="G195" s="16" t="str">
        <x:v>OPEN UNTIL CAMPAIGN EVIDENCE</x:v>
      </x:c>
    </x:row>
    <x:row r="196" ht="72" hidden="0" customHeight="1">
      <x:c r="A196" s="16" t="str">
        <x:v>RT-R5</x:v>
      </x:c>
      <x:c r="B196" s="16" t="str">
        <x:v>MS-RT</x:v>
      </x:c>
      <x:c r="C196" s="16" t="str">
        <x:v>Return, durable continuity and demobilization</x:v>
      </x:c>
      <x:c r="D196" s="16" t="str">
        <x:v>S3</x:v>
      </x:c>
      <x:c r="E196" s="16" t="str">
        <x:v>Assign service</x:v>
      </x:c>
      <x:c r="F196" s="16" t="str">
        <x:v>replenishment, repair or transfer</x:v>
      </x:c>
      <x:c r="G196" s="16" t="str">
        <x:v>OPEN UNTIL CAMPAIGN EVIDENCE</x:v>
      </x:c>
    </x:row>
    <x:row r="197" ht="72" hidden="0" customHeight="1">
      <x:c r="A197" s="16" t="str">
        <x:v>RT-R5</x:v>
      </x:c>
      <x:c r="B197" s="16" t="str">
        <x:v>MS-RT</x:v>
      </x:c>
      <x:c r="C197" s="16" t="str">
        <x:v>Return, durable continuity and demobilization</x:v>
      </x:c>
      <x:c r="D197" s="16" t="str">
        <x:v>S4</x:v>
      </x:c>
      <x:c r="E197" s="16" t="str">
        <x:v>Prepare the path</x:v>
      </x:c>
      <x:c r="F197" s="16" t="str">
        <x:v>supply, return and repair paths</x:v>
      </x:c>
      <x:c r="G197" s="16" t="str">
        <x:v>OPEN UNTIL CAMPAIGN EVIDENCE</x:v>
      </x:c>
    </x:row>
    <x:row r="198" ht="72" hidden="0" customHeight="1">
      <x:c r="A198" s="16" t="str">
        <x:v>RT-R5</x:v>
      </x:c>
      <x:c r="B198" s="16" t="str">
        <x:v>MS-RT</x:v>
      </x:c>
      <x:c r="C198" s="16" t="str">
        <x:v>Return, durable continuity and demobilization</x:v>
      </x:c>
      <x:c r="D198" s="16" t="str">
        <x:v>S5</x:v>
      </x:c>
      <x:c r="E198" s="16" t="str">
        <x:v>Deliver or produce</x:v>
      </x:c>
      <x:c r="F198" s="16" t="str">
        <x:v>stock, repair or transfer service</x:v>
      </x:c>
      <x:c r="G198" s="16" t="str">
        <x:v>OPEN UNTIL CAMPAIGN EVIDENCE</x:v>
      </x:c>
    </x:row>
    <x:row r="199" ht="72" hidden="0" customHeight="1">
      <x:c r="A199" s="16" t="str">
        <x:v>RT-R5</x:v>
      </x:c>
      <x:c r="B199" s="16" t="str">
        <x:v>MS-RT</x:v>
      </x:c>
      <x:c r="C199" s="16" t="str">
        <x:v>Return, durable continuity and demobilization</x:v>
      </x:c>
      <x:c r="D199" s="16" t="str">
        <x:v>S6</x:v>
      </x:c>
      <x:c r="E199" s="16" t="str">
        <x:v>Accept and sustain</x:v>
      </x:c>
      <x:c r="F199" s="16" t="str">
        <x:v>sustained receiving system</x:v>
      </x:c>
      <x:c r="G199" s="16" t="str">
        <x:v>OPEN UNTIL CAMPAIGN EVIDENCE</x:v>
      </x:c>
    </x:row>
    <x:row r="200" ht="72" hidden="0" customHeight="1">
      <x:c r="A200" s="16" t="str">
        <x:v>RT-R5</x:v>
      </x:c>
      <x:c r="B200" s="16" t="str">
        <x:v>MS-RT</x:v>
      </x:c>
      <x:c r="C200" s="16" t="str">
        <x:v>Return, durable continuity and demobilization</x:v>
      </x:c>
      <x:c r="D200" s="16" t="str">
        <x:v>S7</x:v>
      </x:c>
      <x:c r="E200" s="16" t="str">
        <x:v>Transfer and regenerate</x:v>
      </x:c>
      <x:c r="F200" s="16" t="str">
        <x:v>civil handoff, return and force regeneration</x:v>
      </x:c>
      <x:c r="G200" s="16" t="str">
        <x:v>OPEN UNTIL CAMPAIGN EVIDENCE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30" hidden="0" customWidth="1"/>
    <x:col min="3" max="3" width="92" hidden="0" customWidth="1"/>
    <x:col min="4" max="4" width="16" hidden="0" customWidth="1"/>
  </x:cols>
  <x:sheetData>
    <x:row r="1" ht="19.200000762939453" hidden="0" customHeight="1">
      <x:c r="A1" s="3" t="str">
        <x:v>Six mandatory exchange domains</x:v>
      </x:c>
      <x:c r="B1" s="3"/>
      <x:c r="C1" s="3"/>
      <x:c r="D1" s="3"/>
      <x:c r="E1" s="3"/>
      <x:c r="F1" s="3"/>
      <x:c r="G1" s="3"/>
      <x:c r="H1" s="3"/>
    </x:row>
    <x:row r="2" ht="15" hidden="0" customHeight="1">
      <x:c r="A2" s="7" t="str">
        <x:v>NONE is permitted only when explicit, authorized and evidenced; a blank domain is a failed record.</x:v>
      </x:c>
      <x:c r="B2" s="7"/>
      <x:c r="C2" s="7"/>
      <x:c r="D2" s="7"/>
      <x:c r="E2" s="7"/>
      <x:c r="F2" s="7"/>
      <x:c r="G2" s="7"/>
      <x:c r="H2" s="7"/>
    </x:row>
    <x:row r="3"/>
    <x:row r="4" ht="26.399999618530273" hidden="0" customHeight="1">
      <x:c r="A4" s="12" t="str">
        <x:v>Domain</x:v>
      </x:c>
      <x:c r="B4" s="12" t="str">
        <x:v>Name</x:v>
      </x:c>
      <x:c r="C4" s="12" t="str">
        <x:v>Required content</x:v>
      </x:c>
      <x:c r="D4" s="12" t="str">
        <x:v>Blank allowed</x:v>
      </x:c>
    </x:row>
    <x:row r="5" ht="84" hidden="0" customHeight="1">
      <x:c r="A5" s="16" t="str">
        <x:v>D1</x:v>
      </x:c>
      <x:c r="B5" s="16" t="str">
        <x:v>Operational state and truth</x:v>
      </x:c>
      <x:c r="C5" s="16" t="str">
        <x:v>Observed state, uncertainty, forecast horizon and contradiction handling</x:v>
      </x:c>
      <x:c r="D5" s="16" t="str">
        <x:v>NO</x:v>
      </x:c>
    </x:row>
    <x:row r="6" ht="96" hidden="0" customHeight="1">
      <x:c r="A6" s="16" t="str">
        <x:v>D2</x:v>
      </x:c>
      <x:c r="B6" s="16" t="str">
        <x:v>Authority and rights</x:v>
      </x:c>
      <x:c r="C6" s="16" t="str">
        <x:v>Invitation, consent, jurisdiction, limitations and accountable decision owner</x:v>
      </x:c>
      <x:c r="D6" s="16" t="str">
        <x:v>NO</x:v>
      </x:c>
    </x:row>
    <x:row r="7" ht="84" hidden="0" customHeight="1">
      <x:c r="A7" s="16" t="str">
        <x:v>D3</x:v>
      </x:c>
      <x:c r="B7" s="16" t="str">
        <x:v>Service and capacity</x:v>
      </x:c>
      <x:c r="C7" s="16" t="str">
        <x:v>Quantity, unit, rate, duration, quality and non-service consequence</x:v>
      </x:c>
      <x:c r="D7" s="16" t="str">
        <x:v>NO</x:v>
      </x:c>
    </x:row>
    <x:row r="8" ht="120" hidden="0" customHeight="1">
      <x:c r="A8" s="16" t="str">
        <x:v>D4</x:v>
      </x:c>
      <x:c r="B8" s="16" t="str">
        <x:v>Physical flow and custody</x:v>
      </x:c>
      <x:c r="C8" s="16" t="str">
        <x:v>People, mass, energy, data and residual class; origin, path, receiver and signatures</x:v>
      </x:c>
      <x:c r="D8" s="16" t="str">
        <x:v>NO</x:v>
      </x:c>
    </x:row>
    <x:row r="9" ht="72" hidden="0" customHeight="1">
      <x:c r="A9" s="16" t="str">
        <x:v>D5</x:v>
      </x:c>
      <x:c r="B9" s="16" t="str">
        <x:v>Evidence and configuration</x:v>
      </x:c>
      <x:c r="C9" s="16" t="str">
        <x:v>Method, calibration, provenance, version, hash and validity</x:v>
      </x:c>
      <x:c r="D9" s="16" t="str">
        <x:v>NO</x:v>
      </x:c>
    </x:row>
    <x:row r="10" ht="108" hidden="0" customHeight="1">
      <x:c r="A10" s="16" t="str">
        <x:v>D6</x:v>
      </x:c>
      <x:c r="B10" s="16" t="str">
        <x:v>Residual and regeneration</x:v>
      </x:c>
      <x:c r="C10" s="16" t="str">
        <x:v>Residual owner, deadline, return, repair, replacement and closure evidence</x:v>
      </x:c>
      <x:c r="D10" s="16" t="str">
        <x:v>NO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62" hidden="0" customWidth="1"/>
    <x:col min="3" max="3" width="14" hidden="0" customWidth="1"/>
    <x:col min="4" max="4" width="62" hidden="0" customWidth="1"/>
  </x:cols>
  <x:sheetData>
    <x:row r="1" ht="19.200000762939453" hidden="0" customHeight="1">
      <x:c r="A1" s="3" t="str">
        <x:v>Joint service exchange record | twenty fields</x:v>
      </x:c>
      <x:c r="B1" s="3"/>
      <x:c r="C1" s="3"/>
      <x:c r="D1" s="3"/>
      <x:c r="E1" s="3"/>
      <x:c r="F1" s="3"/>
      <x:c r="G1" s="3"/>
      <x:c r="H1" s="3"/>
    </x:row>
    <x:row r="2" ht="24" hidden="0" customHeight="1">
      <x:c r="A2" s="7" t="str">
        <x:v>One record is locally verifiable, append-only and mergeable. It does not require a Department-wide live broker.</x:v>
      </x:c>
      <x:c r="B2" s="7"/>
      <x:c r="C2" s="7"/>
      <x:c r="D2" s="7"/>
      <x:c r="E2" s="7"/>
      <x:c r="F2" s="7"/>
      <x:c r="G2" s="7"/>
      <x:c r="H2" s="7"/>
    </x:row>
    <x:row r="3"/>
    <x:row r="4" ht="26.399999618530273" hidden="0" customHeight="1">
      <x:c r="A4" s="12" t="str">
        <x:v>Field</x:v>
      </x:c>
      <x:c r="B4" s="12" t="str">
        <x:v>Required content</x:v>
      </x:c>
      <x:c r="C4" s="12" t="str">
        <x:v>Mandatory</x:v>
      </x:c>
      <x:c r="D4" s="12" t="str">
        <x:v>Null law</x:v>
      </x:c>
    </x:row>
    <x:row r="5" ht="72" hidden="0" customHeight="1">
      <x:c r="A5" s="16" t="str">
        <x:v>F01</x:v>
      </x:c>
      <x:c r="B5" s="16" t="str">
        <x:v>Transaction ID</x:v>
      </x:c>
      <x:c r="C5" s="16" t="str">
        <x:v>YES</x:v>
      </x:c>
      <x:c r="D5" s="16" t="str">
        <x:v>Explicit authorized NONE only where semantically valid</x:v>
      </x:c>
    </x:row>
    <x:row r="6" ht="72" hidden="0" customHeight="1">
      <x:c r="A6" s="16" t="str">
        <x:v>F02</x:v>
      </x:c>
      <x:c r="B6" s="16" t="str">
        <x:v>Parent interface ID</x:v>
      </x:c>
      <x:c r="C6" s="16" t="str">
        <x:v>YES</x:v>
      </x:c>
      <x:c r="D6" s="16" t="str">
        <x:v>Explicit authorized NONE only where semantically valid</x:v>
      </x:c>
    </x:row>
    <x:row r="7" ht="72" hidden="0" customHeight="1">
      <x:c r="A7" s="16" t="str">
        <x:v>F03</x:v>
      </x:c>
      <x:c r="B7" s="16" t="str">
        <x:v>Campaign and mission ID</x:v>
      </x:c>
      <x:c r="C7" s="16" t="str">
        <x:v>YES</x:v>
      </x:c>
      <x:c r="D7" s="16" t="str">
        <x:v>Explicit authorized NONE only where semantically valid</x:v>
      </x:c>
    </x:row>
    <x:row r="8" ht="72" hidden="0" customHeight="1">
      <x:c r="A8" s="16" t="str">
        <x:v>F04</x:v>
      </x:c>
      <x:c r="B8" s="16" t="str">
        <x:v>Provider system, root and configuration</x:v>
      </x:c>
      <x:c r="C8" s="16" t="str">
        <x:v>YES</x:v>
      </x:c>
      <x:c r="D8" s="16" t="str">
        <x:v>Explicit authorized NONE only where semantically valid</x:v>
      </x:c>
    </x:row>
    <x:row r="9" ht="72" hidden="0" customHeight="1">
      <x:c r="A9" s="16" t="str">
        <x:v>F05</x:v>
      </x:c>
      <x:c r="B9" s="16" t="str">
        <x:v>Receiver system, root and configuration</x:v>
      </x:c>
      <x:c r="C9" s="16" t="str">
        <x:v>YES</x:v>
      </x:c>
      <x:c r="D9" s="16" t="str">
        <x:v>Explicit authorized NONE only where semantically valid</x:v>
      </x:c>
    </x:row>
    <x:row r="10" ht="72" hidden="0" customHeight="1">
      <x:c r="A10" s="16" t="str">
        <x:v>F06</x:v>
      </x:c>
      <x:c r="B10" s="16" t="str">
        <x:v>Provider release stage</x:v>
      </x:c>
      <x:c r="C10" s="16" t="str">
        <x:v>YES</x:v>
      </x:c>
      <x:c r="D10" s="16" t="str">
        <x:v>Explicit authorized NONE only where semantically valid</x:v>
      </x:c>
    </x:row>
    <x:row r="11" ht="72" hidden="0" customHeight="1">
      <x:c r="A11" s="16" t="str">
        <x:v>F07</x:v>
      </x:c>
      <x:c r="B11" s="16" t="str">
        <x:v>Receiver prerequisite stage</x:v>
      </x:c>
      <x:c r="C11" s="16" t="str">
        <x:v>YES</x:v>
      </x:c>
      <x:c r="D11" s="16" t="str">
        <x:v>Explicit authorized NONE only where semantically valid</x:v>
      </x:c>
    </x:row>
    <x:row r="12" ht="72" hidden="0" customHeight="1">
      <x:c r="A12" s="16" t="str">
        <x:v>F08</x:v>
      </x:c>
      <x:c r="B12" s="16" t="str">
        <x:v>Issue timestamp</x:v>
      </x:c>
      <x:c r="C12" s="16" t="str">
        <x:v>YES</x:v>
      </x:c>
      <x:c r="D12" s="16" t="str">
        <x:v>Explicit authorized NONE only where semantically valid</x:v>
      </x:c>
    </x:row>
    <x:row r="13" ht="72" hidden="0" customHeight="1">
      <x:c r="A13" s="16" t="str">
        <x:v>F09</x:v>
      </x:c>
      <x:c r="B13" s="16" t="str">
        <x:v>Validity interval and expiry</x:v>
      </x:c>
      <x:c r="C13" s="16" t="str">
        <x:v>YES</x:v>
      </x:c>
      <x:c r="D13" s="16" t="str">
        <x:v>Explicit authorized NONE only where semantically valid</x:v>
      </x:c>
    </x:row>
    <x:row r="14" ht="72" hidden="0" customHeight="1">
      <x:c r="A14" s="16" t="str">
        <x:v>F10</x:v>
      </x:c>
      <x:c r="B14" s="16" t="str">
        <x:v>Origin or place</x:v>
      </x:c>
      <x:c r="C14" s="16" t="str">
        <x:v>YES</x:v>
      </x:c>
      <x:c r="D14" s="16" t="str">
        <x:v>Explicit authorized NONE only where semantically valid</x:v>
      </x:c>
    </x:row>
    <x:row r="15" ht="72" hidden="0" customHeight="1">
      <x:c r="A15" s="16" t="str">
        <x:v>F11</x:v>
      </x:c>
      <x:c r="B15" s="16" t="str">
        <x:v>Destination or receiver</x:v>
      </x:c>
      <x:c r="C15" s="16" t="str">
        <x:v>YES</x:v>
      </x:c>
      <x:c r="D15" s="16" t="str">
        <x:v>Explicit authorized NONE only where semantically valid</x:v>
      </x:c>
    </x:row>
    <x:row r="16" ht="72" hidden="0" customHeight="1">
      <x:c r="A16" s="16" t="str">
        <x:v>F12</x:v>
      </x:c>
      <x:c r="B16" s="16" t="str">
        <x:v>Operational state and uncertainty</x:v>
      </x:c>
      <x:c r="C16" s="16" t="str">
        <x:v>YES</x:v>
      </x:c>
      <x:c r="D16" s="16" t="str">
        <x:v>Explicit authorized NONE only where semantically valid</x:v>
      </x:c>
    </x:row>
    <x:row r="17" ht="72" hidden="0" customHeight="1">
      <x:c r="A17" s="16" t="str">
        <x:v>F13</x:v>
      </x:c>
      <x:c r="B17" s="16" t="str">
        <x:v>Authority, consent and limitations</x:v>
      </x:c>
      <x:c r="C17" s="16" t="str">
        <x:v>YES</x:v>
      </x:c>
      <x:c r="D17" s="16" t="str">
        <x:v>Explicit authorized NONE only where semantically valid</x:v>
      </x:c>
    </x:row>
    <x:row r="18" ht="72" hidden="0" customHeight="1">
      <x:c r="A18" s="16" t="str">
        <x:v>F14</x:v>
      </x:c>
      <x:c r="B18" s="16" t="str">
        <x:v>Service quantity, unit, rate and duration</x:v>
      </x:c>
      <x:c r="C18" s="16" t="str">
        <x:v>YES</x:v>
      </x:c>
      <x:c r="D18" s="16" t="str">
        <x:v>Explicit authorized NONE only where semantically valid</x:v>
      </x:c>
    </x:row>
    <x:row r="19" ht="84" hidden="0" customHeight="1">
      <x:c r="A19" s="16" t="str">
        <x:v>F15</x:v>
      </x:c>
      <x:c r="B19" s="16" t="str">
        <x:v>Person, object, material, energy, data or residual class</x:v>
      </x:c>
      <x:c r="C19" s="16" t="str">
        <x:v>YES</x:v>
      </x:c>
      <x:c r="D19" s="16" t="str">
        <x:v>Explicit authorized NONE only where semantically valid</x:v>
      </x:c>
    </x:row>
    <x:row r="20" ht="72" hidden="0" customHeight="1">
      <x:c r="A20" s="16" t="str">
        <x:v>F16</x:v>
      </x:c>
      <x:c r="B20" s="16" t="str">
        <x:v>Custody, release and receiver signatures</x:v>
      </x:c>
      <x:c r="C20" s="16" t="str">
        <x:v>YES</x:v>
      </x:c>
      <x:c r="D20" s="16" t="str">
        <x:v>Explicit authorized NONE only where semantically valid</x:v>
      </x:c>
    </x:row>
    <x:row r="21" ht="72" hidden="0" customHeight="1">
      <x:c r="A21" s="16" t="str">
        <x:v>F17</x:v>
      </x:c>
      <x:c r="B21" s="16" t="str">
        <x:v>Evidence method, calibration and provenance</x:v>
      </x:c>
      <x:c r="C21" s="16" t="str">
        <x:v>YES</x:v>
      </x:c>
      <x:c r="D21" s="16" t="str">
        <x:v>Explicit authorized NONE only where semantically valid</x:v>
      </x:c>
    </x:row>
    <x:row r="22" ht="72" hidden="0" customHeight="1">
      <x:c r="A22" s="16" t="str">
        <x:v>F18</x:v>
      </x:c>
      <x:c r="B22" s="16" t="str">
        <x:v>Configuration version and hash</x:v>
      </x:c>
      <x:c r="C22" s="16" t="str">
        <x:v>YES</x:v>
      </x:c>
      <x:c r="D22" s="16" t="str">
        <x:v>Explicit authorized NONE only where semantically valid</x:v>
      </x:c>
    </x:row>
    <x:row r="23" ht="72" hidden="0" customHeight="1">
      <x:c r="A23" s="16" t="str">
        <x:v>F19</x:v>
      </x:c>
      <x:c r="B23" s="16" t="str">
        <x:v>Residual or regeneration owner and deadline</x:v>
      </x:c>
      <x:c r="C23" s="16" t="str">
        <x:v>YES</x:v>
      </x:c>
      <x:c r="D23" s="16" t="str">
        <x:v>Explicit authorized NONE only where semantically valid</x:v>
      </x:c>
    </x:row>
    <x:row r="24" ht="72" hidden="0" customHeight="1">
      <x:c r="A24" s="16" t="str">
        <x:v>F20</x:v>
      </x:c>
      <x:c r="B24" s="16" t="str">
        <x:v>Acceptance, reason, revocation and correction</x:v>
      </x:c>
      <x:c r="C24" s="16" t="str">
        <x:v>YES</x:v>
      </x:c>
      <x:c r="D24" s="16" t="str">
        <x:v>Explicit authorized NONE only where semantically valid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78" hidden="0" customWidth="1"/>
    <x:col min="5" max="5" width="13" hidden="0" customWidth="1"/>
    <x:col min="6" max="6" width="11" hidden="0" customWidth="1"/>
    <x:col min="7" max="7" width="38" hidden="0" customWidth="1"/>
    <x:col min="8" max="8" width="38" hidden="0" customWidth="1"/>
  </x:cols>
  <x:sheetData>
    <x:row r="1" ht="19.200000762939453" hidden="0" customHeight="1">
      <x:c r="A1" s="3" t="str">
        <x:v>Thirty directed mission interfaces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15" hidden="0" customHeight="1">
      <x:c r="A2" s="7" t="str">
        <x:v>Each unordered pair becomes two separately accepted obligations. Generic coordination is not an interface.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/>
    <x:row r="4" ht="26.399999618530273" hidden="0" customHeight="1">
      <x:c r="A4" s="12" t="str">
        <x:v>Interface</x:v>
      </x:c>
      <x:c r="B4" s="12" t="str">
        <x:v>Provider</x:v>
      </x:c>
      <x:c r="C4" s="12" t="str">
        <x:v>Receiver</x:v>
      </x:c>
      <x:c r="D4" s="12" t="str">
        <x:v>Directed obligation</x:v>
      </x:c>
      <x:c r="E4" s="12" t="str">
        <x:v>Domains</x:v>
      </x:c>
      <x:c r="F4" s="12" t="str">
        <x:v>Fields</x:v>
      </x:c>
      <x:c r="G4" s="12" t="str">
        <x:v>Credit condition</x:v>
      </x:c>
      <x:c r="H4" s="12" t="str">
        <x:v>Failure action</x:v>
      </x:c>
    </x:row>
    <x:row r="5" ht="84" hidden="0" customHeight="1">
      <x:c r="A5" s="16" t="str">
        <x:v>X01</x:v>
      </x:c>
      <x:c r="B5" s="16" t="str">
        <x:v>MS-ET</x:v>
      </x:c>
      <x:c r="C5" s="16" t="str">
        <x:v>MS-CT</x:v>
      </x:c>
      <x:c r="D5" s="16" t="str">
        <x:v>Released node, dry staging area, route and operating base</x:v>
      </x:c>
      <x:c r="E5" s="16" t="str">
        <x:v>D1–D6</x:v>
      </x:c>
      <x:c r="F5" s="16" t="n">
        <x:v>20</x:v>
      </x:c>
      <x:c r="G5" s="16" t="str">
        <x:v>Provider RELEASED; receiver ACCEPTED</x:v>
      </x:c>
      <x:c r="H5" s="16" t="str">
        <x:v>Revocation removes dependent credit</x:v>
      </x:c>
    </x:row>
    <x:row r="6" ht="84" hidden="0" customHeight="1">
      <x:c r="A6" s="16" t="str">
        <x:v>X02</x:v>
      </x:c>
      <x:c r="B6" s="16" t="str">
        <x:v>MS-CT</x:v>
      </x:c>
      <x:c r="C6" s="16" t="str">
        <x:v>MS-ET</x:v>
      </x:c>
      <x:c r="D6" s="16" t="str">
        <x:v>Access demand, lawful destinations and avoidance constraints</x:v>
      </x:c>
      <x:c r="E6" s="16" t="str">
        <x:v>D1–D6</x:v>
      </x:c>
      <x:c r="F6" s="16" t="n">
        <x:v>20</x:v>
      </x:c>
      <x:c r="G6" s="16" t="str">
        <x:v>Provider RELEASED; receiver ACCEPTED</x:v>
      </x:c>
      <x:c r="H6" s="16" t="str">
        <x:v>Revocation removes dependent credit</x:v>
      </x:c>
    </x:row>
    <x:row r="7" ht="60" hidden="0" customHeight="1">
      <x:c r="A7" s="16" t="str">
        <x:v>X03</x:v>
      </x:c>
      <x:c r="B7" s="16" t="str">
        <x:v>MS-ET</x:v>
      </x:c>
      <x:c r="C7" s="16" t="str">
        <x:v>MS-HC</x:v>
      </x:c>
      <x:c r="D7" s="16" t="str">
        <x:v>Delivered control formations and material</x:v>
      </x:c>
      <x:c r="E7" s="16" t="str">
        <x:v>D1–D6</x:v>
      </x:c>
      <x:c r="F7" s="16" t="n">
        <x:v>20</x:v>
      </x:c>
      <x:c r="G7" s="16" t="str">
        <x:v>Provider RELEASED; receiver ACCEPTED</x:v>
      </x:c>
      <x:c r="H7" s="16" t="str">
        <x:v>Revocation removes dependent credit</x:v>
      </x:c>
    </x:row>
    <x:row r="8" ht="84" hidden="0" customHeight="1">
      <x:c r="A8" s="16" t="str">
        <x:v>X04</x:v>
      </x:c>
      <x:c r="B8" s="16" t="str">
        <x:v>MS-HC</x:v>
      </x:c>
      <x:c r="C8" s="16" t="str">
        <x:v>MS-ET</x:v>
      </x:c>
      <x:c r="D8" s="16" t="str">
        <x:v>Hazard envelope, safe windows and operating limits</x:v>
      </x:c>
      <x:c r="E8" s="16" t="str">
        <x:v>D1–D6</x:v>
      </x:c>
      <x:c r="F8" s="16" t="n">
        <x:v>20</x:v>
      </x:c>
      <x:c r="G8" s="16" t="str">
        <x:v>Provider RELEASED; receiver ACCEPTED</x:v>
      </x:c>
      <x:c r="H8" s="16" t="str">
        <x:v>Revocation removes dependent credit</x:v>
      </x:c>
    </x:row>
    <x:row r="9" ht="72" hidden="0" customHeight="1">
      <x:c r="A9" s="16" t="str">
        <x:v>X05</x:v>
      </x:c>
      <x:c r="B9" s="16" t="str">
        <x:v>MS-ET</x:v>
      </x:c>
      <x:c r="C9" s="16" t="str">
        <x:v>MS-LF</x:v>
      </x:c>
      <x:c r="D9" s="16" t="str">
        <x:v>Delivered sources, routes and prepared node conditions</x:v>
      </x:c>
      <x:c r="E9" s="16" t="str">
        <x:v>D1–D6</x:v>
      </x:c>
      <x:c r="F9" s="16" t="n">
        <x:v>20</x:v>
      </x:c>
      <x:c r="G9" s="16" t="str">
        <x:v>Provider RELEASED; receiver ACCEPTED</x:v>
      </x:c>
      <x:c r="H9" s="16" t="str">
        <x:v>Revocation removes dependent credit</x:v>
      </x:c>
    </x:row>
    <x:row r="10" ht="60" hidden="0" customHeight="1">
      <x:c r="A10" s="16" t="str">
        <x:v>X06</x:v>
      </x:c>
      <x:c r="B10" s="16" t="str">
        <x:v>MS-LF</x:v>
      </x:c>
      <x:c r="C10" s="16" t="str">
        <x:v>MS-ET</x:v>
      </x:c>
      <x:c r="D10" s="16" t="str">
        <x:v>Base and node utilities with quality and duration</x:v>
      </x:c>
      <x:c r="E10" s="16" t="str">
        <x:v>D1–D6</x:v>
      </x:c>
      <x:c r="F10" s="16" t="n">
        <x:v>20</x:v>
      </x:c>
      <x:c r="G10" s="16" t="str">
        <x:v>Provider RELEASED; receiver ACCEPTED</x:v>
      </x:c>
      <x:c r="H10" s="16" t="str">
        <x:v>Revocation removes dependent credit</x:v>
      </x:c>
    </x:row>
    <x:row r="11" ht="60" hidden="0" customHeight="1">
      <x:c r="A11" s="16" t="str">
        <x:v>X07</x:v>
      </x:c>
      <x:c r="B11" s="16" t="str">
        <x:v>MS-ET</x:v>
      </x:c>
      <x:c r="C11" s="16" t="str">
        <x:v>MS-HU</x:v>
      </x:c>
      <x:c r="D11" s="16" t="str">
        <x:v>Complete continuity formations at origin or receiver</x:v>
      </x:c>
      <x:c r="E11" s="16" t="str">
        <x:v>D1–D6</x:v>
      </x:c>
      <x:c r="F11" s="16" t="n">
        <x:v>20</x:v>
      </x:c>
      <x:c r="G11" s="16" t="str">
        <x:v>Provider RELEASED; receiver ACCEPTED</x:v>
      </x:c>
      <x:c r="H11" s="16" t="str">
        <x:v>Revocation removes dependent credit</x:v>
      </x:c>
    </x:row>
    <x:row r="12" ht="96" hidden="0" customHeight="1">
      <x:c r="A12" s="16" t="str">
        <x:v>X08</x:v>
      </x:c>
      <x:c r="B12" s="16" t="str">
        <x:v>MS-HU</x:v>
      </x:c>
      <x:c r="C12" s="16" t="str">
        <x:v>MS-ET</x:v>
      </x:c>
      <x:c r="D12" s="16" t="str">
        <x:v>Movement priorities, accessibility, accepted destination and no-move cases</x:v>
      </x:c>
      <x:c r="E12" s="16" t="str">
        <x:v>D1–D6</x:v>
      </x:c>
      <x:c r="F12" s="16" t="n">
        <x:v>20</x:v>
      </x:c>
      <x:c r="G12" s="16" t="str">
        <x:v>Provider RELEASED; receiver ACCEPTED</x:v>
      </x:c>
      <x:c r="H12" s="16" t="str">
        <x:v>Revocation removes dependent credit</x:v>
      </x:c>
    </x:row>
    <x:row r="13" ht="84" hidden="0" customHeight="1">
      <x:c r="A13" s="16" t="str">
        <x:v>X09</x:v>
      </x:c>
      <x:c r="B13" s="16" t="str">
        <x:v>MS-ET</x:v>
      </x:c>
      <x:c r="C13" s="16" t="str">
        <x:v>MS-RT</x:v>
      </x:c>
      <x:c r="D13" s="16" t="str">
        <x:v>Entry lanes for sustainment, replacement and retrograde</x:v>
      </x:c>
      <x:c r="E13" s="16" t="str">
        <x:v>D1–D6</x:v>
      </x:c>
      <x:c r="F13" s="16" t="n">
        <x:v>20</x:v>
      </x:c>
      <x:c r="G13" s="16" t="str">
        <x:v>Provider RELEASED; receiver ACCEPTED</x:v>
      </x:c>
      <x:c r="H13" s="16" t="str">
        <x:v>Revocation removes dependent credit</x:v>
      </x:c>
    </x:row>
    <x:row r="14" ht="60" hidden="0" customHeight="1">
      <x:c r="A14" s="16" t="str">
        <x:v>X10</x:v>
      </x:c>
      <x:c r="B14" s="16" t="str">
        <x:v>MS-RT</x:v>
      </x:c>
      <x:c r="C14" s="16" t="str">
        <x:v>MS-ET</x:v>
      </x:c>
      <x:c r="D14" s="16" t="str">
        <x:v>Carriers, fuel, crews, maintenance and reset capacity</x:v>
      </x:c>
      <x:c r="E14" s="16" t="str">
        <x:v>D1–D6</x:v>
      </x:c>
      <x:c r="F14" s="16" t="n">
        <x:v>20</x:v>
      </x:c>
      <x:c r="G14" s="16" t="str">
        <x:v>Provider RELEASED; receiver ACCEPTED</x:v>
      </x:c>
      <x:c r="H14" s="16" t="str">
        <x:v>Revocation removes dependent credit</x:v>
      </x:c>
    </x:row>
    <x:row r="15" ht="72" hidden="0" customHeight="1">
      <x:c r="A15" s="16" t="str">
        <x:v>X11</x:v>
      </x:c>
      <x:c r="B15" s="16" t="str">
        <x:v>MS-CT</x:v>
      </x:c>
      <x:c r="C15" s="16" t="str">
        <x:v>MS-HC</x:v>
      </x:c>
      <x:c r="D15" s="16" t="str">
        <x:v>Occupied terrain, protected populations and lawful routes</x:v>
      </x:c>
      <x:c r="E15" s="16" t="str">
        <x:v>D1–D6</x:v>
      </x:c>
      <x:c r="F15" s="16" t="n">
        <x:v>20</x:v>
      </x:c>
      <x:c r="G15" s="16" t="str">
        <x:v>Provider RELEASED; receiver ACCEPTED</x:v>
      </x:c>
      <x:c r="H15" s="16" t="str">
        <x:v>Revocation removes dependent credit</x:v>
      </x:c>
    </x:row>
    <x:row r="16" ht="60" hidden="0" customHeight="1">
      <x:c r="A16" s="16" t="str">
        <x:v>X12</x:v>
      </x:c>
      <x:c r="B16" s="16" t="str">
        <x:v>MS-HC</x:v>
      </x:c>
      <x:c r="C16" s="16" t="str">
        <x:v>MS-CT</x:v>
      </x:c>
      <x:c r="D16" s="16" t="str">
        <x:v>Safe corridors, exposure state and stop signals</x:v>
      </x:c>
      <x:c r="E16" s="16" t="str">
        <x:v>D1–D6</x:v>
      </x:c>
      <x:c r="F16" s="16" t="n">
        <x:v>20</x:v>
      </x:c>
      <x:c r="G16" s="16" t="str">
        <x:v>Provider RELEASED; receiver ACCEPTED</x:v>
      </x:c>
      <x:c r="H16" s="16" t="str">
        <x:v>Revocation removes dependent credit</x:v>
      </x:c>
    </x:row>
    <x:row r="17" ht="84" hidden="0" customHeight="1">
      <x:c r="A17" s="16" t="str">
        <x:v>X13</x:v>
      </x:c>
      <x:c r="B17" s="16" t="str">
        <x:v>MS-CT</x:v>
      </x:c>
      <x:c r="C17" s="16" t="str">
        <x:v>MS-LF</x:v>
      </x:c>
      <x:c r="D17" s="16" t="str">
        <x:v>Last-mile routes, households, institutions and public interfaces</x:v>
      </x:c>
      <x:c r="E17" s="16" t="str">
        <x:v>D1–D6</x:v>
      </x:c>
      <x:c r="F17" s="16" t="n">
        <x:v>20</x:v>
      </x:c>
      <x:c r="G17" s="16" t="str">
        <x:v>Provider RELEASED; receiver ACCEPTED</x:v>
      </x:c>
      <x:c r="H17" s="16" t="str">
        <x:v>Revocation removes dependent credit</x:v>
      </x:c>
    </x:row>
    <x:row r="18" ht="60" hidden="0" customHeight="1">
      <x:c r="A18" s="16" t="str">
        <x:v>X14</x:v>
      </x:c>
      <x:c r="B18" s="16" t="str">
        <x:v>MS-LF</x:v>
      </x:c>
      <x:c r="C18" s="16" t="str">
        <x:v>MS-CT</x:v>
      </x:c>
      <x:c r="D18" s="16" t="str">
        <x:v>Service availability, outage, quality and rationing</x:v>
      </x:c>
      <x:c r="E18" s="16" t="str">
        <x:v>D1–D6</x:v>
      </x:c>
      <x:c r="F18" s="16" t="n">
        <x:v>20</x:v>
      </x:c>
      <x:c r="G18" s="16" t="str">
        <x:v>Provider RELEASED; receiver ACCEPTED</x:v>
      </x:c>
      <x:c r="H18" s="16" t="str">
        <x:v>Revocation removes dependent credit</x:v>
      </x:c>
    </x:row>
    <x:row r="19" ht="60" hidden="0" customHeight="1">
      <x:c r="A19" s="16" t="str">
        <x:v>X15</x:v>
      </x:c>
      <x:c r="B19" s="16" t="str">
        <x:v>MS-CT</x:v>
      </x:c>
      <x:c r="C19" s="16" t="str">
        <x:v>MS-HU</x:v>
      </x:c>
      <x:c r="D19" s="16" t="str">
        <x:v>Contact, authority and building-origin access</x:v>
      </x:c>
      <x:c r="E19" s="16" t="str">
        <x:v>D1–D6</x:v>
      </x:c>
      <x:c r="F19" s="16" t="n">
        <x:v>20</x:v>
      </x:c>
      <x:c r="G19" s="16" t="str">
        <x:v>Provider RELEASED; receiver ACCEPTED</x:v>
      </x:c>
      <x:c r="H19" s="16" t="str">
        <x:v>Revocation removes dependent credit</x:v>
      </x:c>
    </x:row>
    <x:row r="20" ht="72" hidden="0" customHeight="1">
      <x:c r="A20" s="16" t="str">
        <x:v>X16</x:v>
      </x:c>
      <x:c r="B20" s="16" t="str">
        <x:v>MS-HU</x:v>
      </x:c>
      <x:c r="C20" s="16" t="str">
        <x:v>MS-CT</x:v>
      </x:c>
      <x:c r="D20" s="16" t="str">
        <x:v>Case and household constraints, outcomes and corrections</x:v>
      </x:c>
      <x:c r="E20" s="16" t="str">
        <x:v>D1–D6</x:v>
      </x:c>
      <x:c r="F20" s="16" t="n">
        <x:v>20</x:v>
      </x:c>
      <x:c r="G20" s="16" t="str">
        <x:v>Provider RELEASED; receiver ACCEPTED</x:v>
      </x:c>
      <x:c r="H20" s="16" t="str">
        <x:v>Revocation removes dependent credit</x:v>
      </x:c>
    </x:row>
    <x:row r="21" ht="84" hidden="0" customHeight="1">
      <x:c r="A21" s="16" t="str">
        <x:v>X17</x:v>
      </x:c>
      <x:c r="B21" s="16" t="str">
        <x:v>MS-CT</x:v>
      </x:c>
      <x:c r="C21" s="16" t="str">
        <x:v>MS-RT</x:v>
      </x:c>
      <x:c r="D21" s="16" t="str">
        <x:v>Collection and return routes, institutions and workforce state</x:v>
      </x:c>
      <x:c r="E21" s="16" t="str">
        <x:v>D1–D6</x:v>
      </x:c>
      <x:c r="F21" s="16" t="n">
        <x:v>20</x:v>
      </x:c>
      <x:c r="G21" s="16" t="str">
        <x:v>Provider RELEASED; receiver ACCEPTED</x:v>
      </x:c>
      <x:c r="H21" s="16" t="str">
        <x:v>Revocation removes dependent credit</x:v>
      </x:c>
    </x:row>
    <x:row r="22" ht="60" hidden="0" customHeight="1">
      <x:c r="A22" s="16" t="str">
        <x:v>X18</x:v>
      </x:c>
      <x:c r="B22" s="16" t="str">
        <x:v>MS-RT</x:v>
      </x:c>
      <x:c r="C22" s="16" t="str">
        <x:v>MS-CT</x:v>
      </x:c>
      <x:c r="D22" s="16" t="str">
        <x:v>Replenishment, repair and restoration handoff</x:v>
      </x:c>
      <x:c r="E22" s="16" t="str">
        <x:v>D1–D6</x:v>
      </x:c>
      <x:c r="F22" s="16" t="n">
        <x:v>20</x:v>
      </x:c>
      <x:c r="G22" s="16" t="str">
        <x:v>Provider RELEASED; receiver ACCEPTED</x:v>
      </x:c>
      <x:c r="H22" s="16" t="str">
        <x:v>Revocation removes dependent credit</x:v>
      </x:c>
    </x:row>
    <x:row r="23" ht="96" hidden="0" customHeight="1">
      <x:c r="A23" s="16" t="str">
        <x:v>X19</x:v>
      </x:c>
      <x:c r="B23" s="16" t="str">
        <x:v>MS-HC</x:v>
      </x:c>
      <x:c r="C23" s="16" t="str">
        <x:v>MS-LF</x:v>
      </x:c>
      <x:c r="D23" s="16" t="str">
        <x:v>Source and pathway protection, intake, discharge and residual limits</x:v>
      </x:c>
      <x:c r="E23" s="16" t="str">
        <x:v>D1–D6</x:v>
      </x:c>
      <x:c r="F23" s="16" t="n">
        <x:v>20</x:v>
      </x:c>
      <x:c r="G23" s="16" t="str">
        <x:v>Provider RELEASED; receiver ACCEPTED</x:v>
      </x:c>
      <x:c r="H23" s="16" t="str">
        <x:v>Revocation removes dependent credit</x:v>
      </x:c>
    </x:row>
    <x:row r="24" ht="84" hidden="0" customHeight="1">
      <x:c r="A24" s="16" t="str">
        <x:v>X20</x:v>
      </x:c>
      <x:c r="B24" s="16" t="str">
        <x:v>MS-LF</x:v>
      </x:c>
      <x:c r="C24" s="16" t="str">
        <x:v>MS-HC</x:v>
      </x:c>
      <x:c r="D24" s="16" t="str">
        <x:v>Water, energy and process capacity with downstream effects</x:v>
      </x:c>
      <x:c r="E24" s="16" t="str">
        <x:v>D1–D6</x:v>
      </x:c>
      <x:c r="F24" s="16" t="n">
        <x:v>20</x:v>
      </x:c>
      <x:c r="G24" s="16" t="str">
        <x:v>Provider RELEASED; receiver ACCEPTED</x:v>
      </x:c>
      <x:c r="H24" s="16" t="str">
        <x:v>Revocation removes dependent credit</x:v>
      </x:c>
    </x:row>
    <x:row r="25" ht="72" hidden="0" customHeight="1">
      <x:c r="A25" s="16" t="str">
        <x:v>X21</x:v>
      </x:c>
      <x:c r="B25" s="16" t="str">
        <x:v>MS-HC</x:v>
      </x:c>
      <x:c r="C25" s="16" t="str">
        <x:v>MS-HU</x:v>
      </x:c>
      <x:c r="D25" s="16" t="str">
        <x:v>Safe occupancy, exposure and protective action</x:v>
      </x:c>
      <x:c r="E25" s="16" t="str">
        <x:v>D1–D6</x:v>
      </x:c>
      <x:c r="F25" s="16" t="n">
        <x:v>20</x:v>
      </x:c>
      <x:c r="G25" s="16" t="str">
        <x:v>Provider RELEASED; receiver ACCEPTED</x:v>
      </x:c>
      <x:c r="H25" s="16" t="str">
        <x:v>Revocation removes dependent credit</x:v>
      </x:c>
    </x:row>
    <x:row r="26" ht="84" hidden="0" customHeight="1">
      <x:c r="A26" s="16" t="str">
        <x:v>X22</x:v>
      </x:c>
      <x:c r="B26" s="16" t="str">
        <x:v>MS-HU</x:v>
      </x:c>
      <x:c r="C26" s="16" t="str">
        <x:v>MS-HC</x:v>
      </x:c>
      <x:c r="D26" s="16" t="str">
        <x:v>Health effects, population constraints and relocation disposition</x:v>
      </x:c>
      <x:c r="E26" s="16" t="str">
        <x:v>D1–D6</x:v>
      </x:c>
      <x:c r="F26" s="16" t="n">
        <x:v>20</x:v>
      </x:c>
      <x:c r="G26" s="16" t="str">
        <x:v>Provider RELEASED; receiver ACCEPTED</x:v>
      </x:c>
      <x:c r="H26" s="16" t="str">
        <x:v>Revocation removes dependent credit</x:v>
      </x:c>
    </x:row>
    <x:row r="27" ht="72" hidden="0" customHeight="1">
      <x:c r="A27" s="16" t="str">
        <x:v>X23</x:v>
      </x:c>
      <x:c r="B27" s="16" t="str">
        <x:v>MS-HC</x:v>
      </x:c>
      <x:c r="C27" s="16" t="str">
        <x:v>MS-RT</x:v>
      </x:c>
      <x:c r="D27" s="16" t="str">
        <x:v>Contamination, residuals, safeing and decontamination needs</x:v>
      </x:c>
      <x:c r="E27" s="16" t="str">
        <x:v>D1–D6</x:v>
      </x:c>
      <x:c r="F27" s="16" t="n">
        <x:v>20</x:v>
      </x:c>
      <x:c r="G27" s="16" t="str">
        <x:v>Provider RELEASED; receiver ACCEPTED</x:v>
      </x:c>
      <x:c r="H27" s="16" t="str">
        <x:v>Revocation removes dependent credit</x:v>
      </x:c>
    </x:row>
    <x:row r="28" ht="84" hidden="0" customHeight="1">
      <x:c r="A28" s="16" t="str">
        <x:v>X24</x:v>
      </x:c>
      <x:c r="B28" s="16" t="str">
        <x:v>MS-RT</x:v>
      </x:c>
      <x:c r="C28" s="16" t="str">
        <x:v>MS-HC</x:v>
      </x:c>
      <x:c r="D28" s="16" t="str">
        <x:v>Replacement assets, disposal and repaired certified systems</x:v>
      </x:c>
      <x:c r="E28" s="16" t="str">
        <x:v>D1–D6</x:v>
      </x:c>
      <x:c r="F28" s="16" t="n">
        <x:v>20</x:v>
      </x:c>
      <x:c r="G28" s="16" t="str">
        <x:v>Provider RELEASED; receiver ACCEPTED</x:v>
      </x:c>
      <x:c r="H28" s="16" t="str">
        <x:v>Revocation removes dependent credit</x:v>
      </x:c>
    </x:row>
    <x:row r="29" ht="60" hidden="0" customHeight="1">
      <x:c r="A29" s="16" t="str">
        <x:v>X25</x:v>
      </x:c>
      <x:c r="B29" s="16" t="str">
        <x:v>MS-LF</x:v>
      </x:c>
      <x:c r="C29" s="16" t="str">
        <x:v>MS-HU</x:v>
      </x:c>
      <x:c r="D29" s="16" t="str">
        <x:v>Point-use utility quality, rate and duration</x:v>
      </x:c>
      <x:c r="E29" s="16" t="str">
        <x:v>D1–D6</x:v>
      </x:c>
      <x:c r="F29" s="16" t="n">
        <x:v>20</x:v>
      </x:c>
      <x:c r="G29" s="16" t="str">
        <x:v>Provider RELEASED; receiver ACCEPTED</x:v>
      </x:c>
      <x:c r="H29" s="16" t="str">
        <x:v>Revocation removes dependent credit</x:v>
      </x:c>
    </x:row>
    <x:row r="30" ht="60" hidden="0" customHeight="1">
      <x:c r="A30" s="16" t="str">
        <x:v>X26</x:v>
      </x:c>
      <x:c r="B30" s="16" t="str">
        <x:v>MS-HU</x:v>
      </x:c>
      <x:c r="C30" s="16" t="str">
        <x:v>MS-LF</x:v>
      </x:c>
      <x:c r="D30" s="16" t="str">
        <x:v>Population and clinical load with protected cohorts</x:v>
      </x:c>
      <x:c r="E30" s="16" t="str">
        <x:v>D1–D6</x:v>
      </x:c>
      <x:c r="F30" s="16" t="n">
        <x:v>20</x:v>
      </x:c>
      <x:c r="G30" s="16" t="str">
        <x:v>Provider RELEASED; receiver ACCEPTED</x:v>
      </x:c>
      <x:c r="H30" s="16" t="str">
        <x:v>Revocation removes dependent credit</x:v>
      </x:c>
    </x:row>
    <x:row r="31" ht="72" hidden="0" customHeight="1">
      <x:c r="A31" s="16" t="str">
        <x:v>X27</x:v>
      </x:c>
      <x:c r="B31" s="16" t="str">
        <x:v>MS-LF</x:v>
      </x:c>
      <x:c r="C31" s="16" t="str">
        <x:v>MS-RT</x:v>
      </x:c>
      <x:c r="D31" s="16" t="str">
        <x:v>Consumables, energy, residual and infrastructure status</x:v>
      </x:c>
      <x:c r="E31" s="16" t="str">
        <x:v>D1–D6</x:v>
      </x:c>
      <x:c r="F31" s="16" t="n">
        <x:v>20</x:v>
      </x:c>
      <x:c r="G31" s="16" t="str">
        <x:v>Provider RELEASED; receiver ACCEPTED</x:v>
      </x:c>
      <x:c r="H31" s="16" t="str">
        <x:v>Revocation removes dependent credit</x:v>
      </x:c>
    </x:row>
    <x:row r="32" ht="60" hidden="0" customHeight="1">
      <x:c r="A32" s="16" t="str">
        <x:v>X28</x:v>
      </x:c>
      <x:c r="B32" s="16" t="str">
        <x:v>MS-RT</x:v>
      </x:c>
      <x:c r="C32" s="16" t="str">
        <x:v>MS-LF</x:v>
      </x:c>
      <x:c r="D32" s="16" t="str">
        <x:v>Supplies, spares, repair and return capacity</x:v>
      </x:c>
      <x:c r="E32" s="16" t="str">
        <x:v>D1–D6</x:v>
      </x:c>
      <x:c r="F32" s="16" t="n">
        <x:v>20</x:v>
      </x:c>
      <x:c r="G32" s="16" t="str">
        <x:v>Provider RELEASED; receiver ACCEPTED</x:v>
      </x:c>
      <x:c r="H32" s="16" t="str">
        <x:v>Revocation removes dependent credit</x:v>
      </x:c>
    </x:row>
    <x:row r="33" ht="60" hidden="0" customHeight="1">
      <x:c r="A33" s="16" t="str">
        <x:v>X29</x:v>
      </x:c>
      <x:c r="B33" s="16" t="str">
        <x:v>MS-HU</x:v>
      </x:c>
      <x:c r="C33" s="16" t="str">
        <x:v>MS-RT</x:v>
      </x:c>
      <x:c r="D33" s="16" t="str">
        <x:v>Workforce, household, medical relief and return state</x:v>
      </x:c>
      <x:c r="E33" s="16" t="str">
        <x:v>D1–D6</x:v>
      </x:c>
      <x:c r="F33" s="16" t="n">
        <x:v>20</x:v>
      </x:c>
      <x:c r="G33" s="16" t="str">
        <x:v>Provider RELEASED; receiver ACCEPTED</x:v>
      </x:c>
      <x:c r="H33" s="16" t="str">
        <x:v>Revocation removes dependent credit</x:v>
      </x:c>
    </x:row>
    <x:row r="34" ht="72" hidden="0" customHeight="1">
      <x:c r="A34" s="16" t="str">
        <x:v>X30</x:v>
      </x:c>
      <x:c r="B34" s="16" t="str">
        <x:v>MS-RT</x:v>
      </x:c>
      <x:c r="C34" s="16" t="str">
        <x:v>MS-HU</x:v>
      </x:c>
      <x:c r="D34" s="16" t="str">
        <x:v>Staffing, supplies, waste, repair and receiver transition</x:v>
      </x:c>
      <x:c r="E34" s="16" t="str">
        <x:v>D1–D6</x:v>
      </x:c>
      <x:c r="F34" s="16" t="n">
        <x:v>20</x:v>
      </x:c>
      <x:c r="G34" s="16" t="str">
        <x:v>Provider RELEASED; receiver ACCEPTED</x:v>
      </x:c>
      <x:c r="H34" s="16" t="str">
        <x:v>Revocation removes dependent credit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2" hidden="0" customWidth="1"/>
    <x:col min="3" max="3" width="11" hidden="0" customWidth="1"/>
    <x:col min="4" max="4" width="11" hidden="0" customWidth="1"/>
    <x:col min="5" max="5" width="15" hidden="0" customWidth="1"/>
    <x:col min="6" max="6" width="19" hidden="0" customWidth="1"/>
    <x:col min="7" max="7" width="16" hidden="0" customWidth="1"/>
    <x:col min="8" max="8" width="16" hidden="0" customWidth="1"/>
    <x:col min="9" max="9" width="18" hidden="0" customWidth="1"/>
    <x:col min="10" max="10" width="16" hidden="0" customWidth="1"/>
    <x:col min="11" max="11" width="14" hidden="0" customWidth="1"/>
    <x:col min="12" max="12" width="16" hidden="0" customWidth="1"/>
  </x:cols>
  <x:sheetData>
    <x:row r="1" ht="19.200000762939453" hidden="0" customHeight="1">
      <x:c r="A1" s="3" t="str">
        <x:v>Pass 171 all-six evidence estate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15" hidden="0" customHeight="1">
      <x:c r="A2" s="7" t="str">
        <x:v>Four rotating stacks × ten campaign archetypes × three independent sites. Decision counts are formula-backed.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3"/>
    <x:row r="4" ht="52.79999923706055" hidden="0" customHeight="1">
      <x:c r="A4" s="12" t="str">
        <x:v>Mission</x:v>
      </x:c>
      <x:c r="B4" s="12" t="str">
        <x:v>Stack</x:v>
      </x:c>
      <x:c r="C4" s="12" t="str">
        <x:v>Campaign</x:v>
      </x:c>
      <x:c r="D4" s="12" t="str">
        <x:v>Site</x:v>
      </x:c>
      <x:c r="E4" s="12" t="str">
        <x:v>Formation load</x:v>
      </x:c>
      <x:c r="F4" s="12" t="str">
        <x:v>System-stage judgments</x:v>
      </x:c>
      <x:c r="G4" s="12" t="str">
        <x:v>Directed records</x:v>
      </x:c>
      <x:c r="H4" s="12" t="str">
        <x:v>Domains/record</x:v>
      </x:c>
      <x:c r="I4" s="12" t="str">
        <x:v>Domain judgments</x:v>
      </x:c>
      <x:c r="J4" s="12" t="str">
        <x:v>Total decisions</x:v>
      </x:c>
      <x:c r="K4" s="12" t="str">
        <x:v>Fields/record</x:v>
      </x:c>
      <x:c r="L4" s="12" t="str">
        <x:v>Status</x:v>
      </x:c>
    </x:row>
    <x:row r="5" ht="24" hidden="0" customHeight="1">
      <x:c r="A5" s="16" t="str">
        <x:v>M001</x:v>
      </x:c>
      <x:c r="B5" s="16" t="str">
        <x:v>STACK-1</x:v>
      </x:c>
      <x:c r="C5" s="16" t="str">
        <x:v>C1</x:v>
      </x:c>
      <x:c r="D5" s="16" t="str">
        <x:v>SITE-1</x:v>
      </x:c>
      <x:c r="E5" s="16" t="n">
        <x:v>204</x:v>
      </x:c>
      <x:c r="F5" s="16" t="n">
        <x:f>Controls!$B$5*Controls!$B$6</x:f>
        <x:v>42</x:v>
      </x:c>
      <x:c r="G5" s="16" t="n">
        <x:f>Controls!$B$8</x:f>
        <x:v>30</x:v>
      </x:c>
      <x:c r="H5" s="16" t="n">
        <x:f>Controls!$B$9</x:f>
        <x:v>6</x:v>
      </x:c>
      <x:c r="I5" s="16" t="n">
        <x:f>G5*H5</x:f>
        <x:v>180</x:v>
      </x:c>
      <x:c r="J5" s="16" t="n">
        <x:f>F5+I5</x:f>
        <x:v>222</x:v>
      </x:c>
      <x:c r="K5" s="16" t="n">
        <x:f>Controls!$B$10</x:f>
        <x:v>20</x:v>
      </x:c>
      <x:c r="L5" s="16" t="str">
        <x:v>REGISTERED</x:v>
      </x:c>
    </x:row>
    <x:row r="6" ht="24" hidden="0" customHeight="1">
      <x:c r="A6" s="16" t="str">
        <x:v>M002</x:v>
      </x:c>
      <x:c r="B6" s="16" t="str">
        <x:v>STACK-1</x:v>
      </x:c>
      <x:c r="C6" s="16" t="str">
        <x:v>C1</x:v>
      </x:c>
      <x:c r="D6" s="16" t="str">
        <x:v>SITE-2</x:v>
      </x:c>
      <x:c r="E6" s="16" t="n">
        <x:v>204</x:v>
      </x:c>
      <x:c r="F6" s="16" t="n">
        <x:f>Controls!$B$5*Controls!$B$6</x:f>
        <x:v>42</x:v>
      </x:c>
      <x:c r="G6" s="16" t="n">
        <x:f>Controls!$B$8</x:f>
        <x:v>30</x:v>
      </x:c>
      <x:c r="H6" s="16" t="n">
        <x:f>Controls!$B$9</x:f>
        <x:v>6</x:v>
      </x:c>
      <x:c r="I6" s="16" t="n">
        <x:f>G6*H6</x:f>
        <x:v>180</x:v>
      </x:c>
      <x:c r="J6" s="16" t="n">
        <x:f>F6+I6</x:f>
        <x:v>222</x:v>
      </x:c>
      <x:c r="K6" s="16" t="n">
        <x:f>Controls!$B$10</x:f>
        <x:v>20</x:v>
      </x:c>
      <x:c r="L6" s="16" t="str">
        <x:v>REGISTERED</x:v>
      </x:c>
    </x:row>
    <x:row r="7" ht="24" hidden="0" customHeight="1">
      <x:c r="A7" s="16" t="str">
        <x:v>M003</x:v>
      </x:c>
      <x:c r="B7" s="16" t="str">
        <x:v>STACK-1</x:v>
      </x:c>
      <x:c r="C7" s="16" t="str">
        <x:v>C1</x:v>
      </x:c>
      <x:c r="D7" s="16" t="str">
        <x:v>SITE-3</x:v>
      </x:c>
      <x:c r="E7" s="16" t="n">
        <x:v>204</x:v>
      </x:c>
      <x:c r="F7" s="16" t="n">
        <x:f>Controls!$B$5*Controls!$B$6</x:f>
        <x:v>42</x:v>
      </x:c>
      <x:c r="G7" s="16" t="n">
        <x:f>Controls!$B$8</x:f>
        <x:v>30</x:v>
      </x:c>
      <x:c r="H7" s="16" t="n">
        <x:f>Controls!$B$9</x:f>
        <x:v>6</x:v>
      </x:c>
      <x:c r="I7" s="16" t="n">
        <x:f>G7*H7</x:f>
        <x:v>180</x:v>
      </x:c>
      <x:c r="J7" s="16" t="n">
        <x:f>F7+I7</x:f>
        <x:v>222</x:v>
      </x:c>
      <x:c r="K7" s="16" t="n">
        <x:f>Controls!$B$10</x:f>
        <x:v>20</x:v>
      </x:c>
      <x:c r="L7" s="16" t="str">
        <x:v>REGISTERED</x:v>
      </x:c>
    </x:row>
    <x:row r="8" ht="24" hidden="0" customHeight="1">
      <x:c r="A8" s="16" t="str">
        <x:v>M004</x:v>
      </x:c>
      <x:c r="B8" s="16" t="str">
        <x:v>STACK-1</x:v>
      </x:c>
      <x:c r="C8" s="16" t="str">
        <x:v>C2</x:v>
      </x:c>
      <x:c r="D8" s="16" t="str">
        <x:v>SITE-1</x:v>
      </x:c>
      <x:c r="E8" s="16" t="n">
        <x:v>279</x:v>
      </x:c>
      <x:c r="F8" s="16" t="n">
        <x:f>Controls!$B$5*Controls!$B$6</x:f>
        <x:v>42</x:v>
      </x:c>
      <x:c r="G8" s="16" t="n">
        <x:f>Controls!$B$8</x:f>
        <x:v>30</x:v>
      </x:c>
      <x:c r="H8" s="16" t="n">
        <x:f>Controls!$B$9</x:f>
        <x:v>6</x:v>
      </x:c>
      <x:c r="I8" s="16" t="n">
        <x:f>G8*H8</x:f>
        <x:v>180</x:v>
      </x:c>
      <x:c r="J8" s="16" t="n">
        <x:f>F8+I8</x:f>
        <x:v>222</x:v>
      </x:c>
      <x:c r="K8" s="16" t="n">
        <x:f>Controls!$B$10</x:f>
        <x:v>20</x:v>
      </x:c>
      <x:c r="L8" s="16" t="str">
        <x:v>REGISTERED</x:v>
      </x:c>
    </x:row>
    <x:row r="9" ht="24" hidden="0" customHeight="1">
      <x:c r="A9" s="16" t="str">
        <x:v>M005</x:v>
      </x:c>
      <x:c r="B9" s="16" t="str">
        <x:v>STACK-1</x:v>
      </x:c>
      <x:c r="C9" s="16" t="str">
        <x:v>C2</x:v>
      </x:c>
      <x:c r="D9" s="16" t="str">
        <x:v>SITE-2</x:v>
      </x:c>
      <x:c r="E9" s="16" t="n">
        <x:v>279</x:v>
      </x:c>
      <x:c r="F9" s="16" t="n">
        <x:f>Controls!$B$5*Controls!$B$6</x:f>
        <x:v>42</x:v>
      </x:c>
      <x:c r="G9" s="16" t="n">
        <x:f>Controls!$B$8</x:f>
        <x:v>30</x:v>
      </x:c>
      <x:c r="H9" s="16" t="n">
        <x:f>Controls!$B$9</x:f>
        <x:v>6</x:v>
      </x:c>
      <x:c r="I9" s="16" t="n">
        <x:f>G9*H9</x:f>
        <x:v>180</x:v>
      </x:c>
      <x:c r="J9" s="16" t="n">
        <x:f>F9+I9</x:f>
        <x:v>222</x:v>
      </x:c>
      <x:c r="K9" s="16" t="n">
        <x:f>Controls!$B$10</x:f>
        <x:v>20</x:v>
      </x:c>
      <x:c r="L9" s="16" t="str">
        <x:v>REGISTERED</x:v>
      </x:c>
    </x:row>
    <x:row r="10" ht="24" hidden="0" customHeight="1">
      <x:c r="A10" s="16" t="str">
        <x:v>M006</x:v>
      </x:c>
      <x:c r="B10" s="16" t="str">
        <x:v>STACK-1</x:v>
      </x:c>
      <x:c r="C10" s="16" t="str">
        <x:v>C2</x:v>
      </x:c>
      <x:c r="D10" s="16" t="str">
        <x:v>SITE-3</x:v>
      </x:c>
      <x:c r="E10" s="16" t="n">
        <x:v>279</x:v>
      </x:c>
      <x:c r="F10" s="16" t="n">
        <x:f>Controls!$B$5*Controls!$B$6</x:f>
        <x:v>42</x:v>
      </x:c>
      <x:c r="G10" s="16" t="n">
        <x:f>Controls!$B$8</x:f>
        <x:v>30</x:v>
      </x:c>
      <x:c r="H10" s="16" t="n">
        <x:f>Controls!$B$9</x:f>
        <x:v>6</x:v>
      </x:c>
      <x:c r="I10" s="16" t="n">
        <x:f>G10*H10</x:f>
        <x:v>180</x:v>
      </x:c>
      <x:c r="J10" s="16" t="n">
        <x:f>F10+I10</x:f>
        <x:v>222</x:v>
      </x:c>
      <x:c r="K10" s="16" t="n">
        <x:f>Controls!$B$10</x:f>
        <x:v>20</x:v>
      </x:c>
      <x:c r="L10" s="16" t="str">
        <x:v>REGISTERED</x:v>
      </x:c>
    </x:row>
    <x:row r="11" ht="24" hidden="0" customHeight="1">
      <x:c r="A11" s="16" t="str">
        <x:v>M007</x:v>
      </x:c>
      <x:c r="B11" s="16" t="str">
        <x:v>STACK-1</x:v>
      </x:c>
      <x:c r="C11" s="16" t="str">
        <x:v>C3</x:v>
      </x:c>
      <x:c r="D11" s="16" t="str">
        <x:v>SITE-1</x:v>
      </x:c>
      <x:c r="E11" s="16" t="n">
        <x:v>362</x:v>
      </x:c>
      <x:c r="F11" s="16" t="n">
        <x:f>Controls!$B$5*Controls!$B$6</x:f>
        <x:v>42</x:v>
      </x:c>
      <x:c r="G11" s="16" t="n">
        <x:f>Controls!$B$8</x:f>
        <x:v>30</x:v>
      </x:c>
      <x:c r="H11" s="16" t="n">
        <x:f>Controls!$B$9</x:f>
        <x:v>6</x:v>
      </x:c>
      <x:c r="I11" s="16" t="n">
        <x:f>G11*H11</x:f>
        <x:v>180</x:v>
      </x:c>
      <x:c r="J11" s="16" t="n">
        <x:f>F11+I11</x:f>
        <x:v>222</x:v>
      </x:c>
      <x:c r="K11" s="16" t="n">
        <x:f>Controls!$B$10</x:f>
        <x:v>20</x:v>
      </x:c>
      <x:c r="L11" s="16" t="str">
        <x:v>REGISTERED</x:v>
      </x:c>
    </x:row>
    <x:row r="12" ht="24" hidden="0" customHeight="1">
      <x:c r="A12" s="16" t="str">
        <x:v>M008</x:v>
      </x:c>
      <x:c r="B12" s="16" t="str">
        <x:v>STACK-1</x:v>
      </x:c>
      <x:c r="C12" s="16" t="str">
        <x:v>C3</x:v>
      </x:c>
      <x:c r="D12" s="16" t="str">
        <x:v>SITE-2</x:v>
      </x:c>
      <x:c r="E12" s="16" t="n">
        <x:v>362</x:v>
      </x:c>
      <x:c r="F12" s="16" t="n">
        <x:f>Controls!$B$5*Controls!$B$6</x:f>
        <x:v>42</x:v>
      </x:c>
      <x:c r="G12" s="16" t="n">
        <x:f>Controls!$B$8</x:f>
        <x:v>30</x:v>
      </x:c>
      <x:c r="H12" s="16" t="n">
        <x:f>Controls!$B$9</x:f>
        <x:v>6</x:v>
      </x:c>
      <x:c r="I12" s="16" t="n">
        <x:f>G12*H12</x:f>
        <x:v>180</x:v>
      </x:c>
      <x:c r="J12" s="16" t="n">
        <x:f>F12+I12</x:f>
        <x:v>222</x:v>
      </x:c>
      <x:c r="K12" s="16" t="n">
        <x:f>Controls!$B$10</x:f>
        <x:v>20</x:v>
      </x:c>
      <x:c r="L12" s="16" t="str">
        <x:v>REGISTERED</x:v>
      </x:c>
    </x:row>
    <x:row r="13" ht="24" hidden="0" customHeight="1">
      <x:c r="A13" s="16" t="str">
        <x:v>M009</x:v>
      </x:c>
      <x:c r="B13" s="16" t="str">
        <x:v>STACK-1</x:v>
      </x:c>
      <x:c r="C13" s="16" t="str">
        <x:v>C3</x:v>
      </x:c>
      <x:c r="D13" s="16" t="str">
        <x:v>SITE-3</x:v>
      </x:c>
      <x:c r="E13" s="16" t="n">
        <x:v>362</x:v>
      </x:c>
      <x:c r="F13" s="16" t="n">
        <x:f>Controls!$B$5*Controls!$B$6</x:f>
        <x:v>42</x:v>
      </x:c>
      <x:c r="G13" s="16" t="n">
        <x:f>Controls!$B$8</x:f>
        <x:v>30</x:v>
      </x:c>
      <x:c r="H13" s="16" t="n">
        <x:f>Controls!$B$9</x:f>
        <x:v>6</x:v>
      </x:c>
      <x:c r="I13" s="16" t="n">
        <x:f>G13*H13</x:f>
        <x:v>180</x:v>
      </x:c>
      <x:c r="J13" s="16" t="n">
        <x:f>F13+I13</x:f>
        <x:v>222</x:v>
      </x:c>
      <x:c r="K13" s="16" t="n">
        <x:f>Controls!$B$10</x:f>
        <x:v>20</x:v>
      </x:c>
      <x:c r="L13" s="16" t="str">
        <x:v>REGISTERED</x:v>
      </x:c>
    </x:row>
    <x:row r="14" ht="24" hidden="0" customHeight="1">
      <x:c r="A14" s="16" t="str">
        <x:v>M010</x:v>
      </x:c>
      <x:c r="B14" s="16" t="str">
        <x:v>STACK-1</x:v>
      </x:c>
      <x:c r="C14" s="16" t="str">
        <x:v>M1</x:v>
      </x:c>
      <x:c r="D14" s="16" t="str">
        <x:v>SITE-1</x:v>
      </x:c>
      <x:c r="E14" s="16" t="n">
        <x:v>134</x:v>
      </x:c>
      <x:c r="F14" s="16" t="n">
        <x:f>Controls!$B$5*Controls!$B$6</x:f>
        <x:v>42</x:v>
      </x:c>
      <x:c r="G14" s="16" t="n">
        <x:f>Controls!$B$8</x:f>
        <x:v>30</x:v>
      </x:c>
      <x:c r="H14" s="16" t="n">
        <x:f>Controls!$B$9</x:f>
        <x:v>6</x:v>
      </x:c>
      <x:c r="I14" s="16" t="n">
        <x:f>G14*H14</x:f>
        <x:v>180</x:v>
      </x:c>
      <x:c r="J14" s="16" t="n">
        <x:f>F14+I14</x:f>
        <x:v>222</x:v>
      </x:c>
      <x:c r="K14" s="16" t="n">
        <x:f>Controls!$B$10</x:f>
        <x:v>20</x:v>
      </x:c>
      <x:c r="L14" s="16" t="str">
        <x:v>REGISTERED</x:v>
      </x:c>
    </x:row>
    <x:row r="15" ht="24" hidden="0" customHeight="1">
      <x:c r="A15" s="16" t="str">
        <x:v>M011</x:v>
      </x:c>
      <x:c r="B15" s="16" t="str">
        <x:v>STACK-1</x:v>
      </x:c>
      <x:c r="C15" s="16" t="str">
        <x:v>M1</x:v>
      </x:c>
      <x:c r="D15" s="16" t="str">
        <x:v>SITE-2</x:v>
      </x:c>
      <x:c r="E15" s="16" t="n">
        <x:v>134</x:v>
      </x:c>
      <x:c r="F15" s="16" t="n">
        <x:f>Controls!$B$5*Controls!$B$6</x:f>
        <x:v>42</x:v>
      </x:c>
      <x:c r="G15" s="16" t="n">
        <x:f>Controls!$B$8</x:f>
        <x:v>30</x:v>
      </x:c>
      <x:c r="H15" s="16" t="n">
        <x:f>Controls!$B$9</x:f>
        <x:v>6</x:v>
      </x:c>
      <x:c r="I15" s="16" t="n">
        <x:f>G15*H15</x:f>
        <x:v>180</x:v>
      </x:c>
      <x:c r="J15" s="16" t="n">
        <x:f>F15+I15</x:f>
        <x:v>222</x:v>
      </x:c>
      <x:c r="K15" s="16" t="n">
        <x:f>Controls!$B$10</x:f>
        <x:v>20</x:v>
      </x:c>
      <x:c r="L15" s="16" t="str">
        <x:v>REGISTERED</x:v>
      </x:c>
    </x:row>
    <x:row r="16" ht="24" hidden="0" customHeight="1">
      <x:c r="A16" s="16" t="str">
        <x:v>M012</x:v>
      </x:c>
      <x:c r="B16" s="16" t="str">
        <x:v>STACK-1</x:v>
      </x:c>
      <x:c r="C16" s="16" t="str">
        <x:v>M1</x:v>
      </x:c>
      <x:c r="D16" s="16" t="str">
        <x:v>SITE-3</x:v>
      </x:c>
      <x:c r="E16" s="16" t="n">
        <x:v>134</x:v>
      </x:c>
      <x:c r="F16" s="16" t="n">
        <x:f>Controls!$B$5*Controls!$B$6</x:f>
        <x:v>42</x:v>
      </x:c>
      <x:c r="G16" s="16" t="n">
        <x:f>Controls!$B$8</x:f>
        <x:v>30</x:v>
      </x:c>
      <x:c r="H16" s="16" t="n">
        <x:f>Controls!$B$9</x:f>
        <x:v>6</x:v>
      </x:c>
      <x:c r="I16" s="16" t="n">
        <x:f>G16*H16</x:f>
        <x:v>180</x:v>
      </x:c>
      <x:c r="J16" s="16" t="n">
        <x:f>F16+I16</x:f>
        <x:v>222</x:v>
      </x:c>
      <x:c r="K16" s="16" t="n">
        <x:f>Controls!$B$10</x:f>
        <x:v>20</x:v>
      </x:c>
      <x:c r="L16" s="16" t="str">
        <x:v>REGISTERED</x:v>
      </x:c>
    </x:row>
    <x:row r="17" ht="24" hidden="0" customHeight="1">
      <x:c r="A17" s="16" t="str">
        <x:v>M013</x:v>
      </x:c>
      <x:c r="B17" s="16" t="str">
        <x:v>STACK-1</x:v>
      </x:c>
      <x:c r="C17" s="16" t="str">
        <x:v>M2</x:v>
      </x:c>
      <x:c r="D17" s="16" t="str">
        <x:v>SITE-1</x:v>
      </x:c>
      <x:c r="E17" s="16" t="n">
        <x:v>164</x:v>
      </x:c>
      <x:c r="F17" s="16" t="n">
        <x:f>Controls!$B$5*Controls!$B$6</x:f>
        <x:v>42</x:v>
      </x:c>
      <x:c r="G17" s="16" t="n">
        <x:f>Controls!$B$8</x:f>
        <x:v>30</x:v>
      </x:c>
      <x:c r="H17" s="16" t="n">
        <x:f>Controls!$B$9</x:f>
        <x:v>6</x:v>
      </x:c>
      <x:c r="I17" s="16" t="n">
        <x:f>G17*H17</x:f>
        <x:v>180</x:v>
      </x:c>
      <x:c r="J17" s="16" t="n">
        <x:f>F17+I17</x:f>
        <x:v>222</x:v>
      </x:c>
      <x:c r="K17" s="16" t="n">
        <x:f>Controls!$B$10</x:f>
        <x:v>20</x:v>
      </x:c>
      <x:c r="L17" s="16" t="str">
        <x:v>REGISTERED</x:v>
      </x:c>
    </x:row>
    <x:row r="18" ht="24" hidden="0" customHeight="1">
      <x:c r="A18" s="16" t="str">
        <x:v>M014</x:v>
      </x:c>
      <x:c r="B18" s="16" t="str">
        <x:v>STACK-1</x:v>
      </x:c>
      <x:c r="C18" s="16" t="str">
        <x:v>M2</x:v>
      </x:c>
      <x:c r="D18" s="16" t="str">
        <x:v>SITE-2</x:v>
      </x:c>
      <x:c r="E18" s="16" t="n">
        <x:v>164</x:v>
      </x:c>
      <x:c r="F18" s="16" t="n">
        <x:f>Controls!$B$5*Controls!$B$6</x:f>
        <x:v>42</x:v>
      </x:c>
      <x:c r="G18" s="16" t="n">
        <x:f>Controls!$B$8</x:f>
        <x:v>30</x:v>
      </x:c>
      <x:c r="H18" s="16" t="n">
        <x:f>Controls!$B$9</x:f>
        <x:v>6</x:v>
      </x:c>
      <x:c r="I18" s="16" t="n">
        <x:f>G18*H18</x:f>
        <x:v>180</x:v>
      </x:c>
      <x:c r="J18" s="16" t="n">
        <x:f>F18+I18</x:f>
        <x:v>222</x:v>
      </x:c>
      <x:c r="K18" s="16" t="n">
        <x:f>Controls!$B$10</x:f>
        <x:v>20</x:v>
      </x:c>
      <x:c r="L18" s="16" t="str">
        <x:v>REGISTERED</x:v>
      </x:c>
    </x:row>
    <x:row r="19" ht="24" hidden="0" customHeight="1">
      <x:c r="A19" s="16" t="str">
        <x:v>M015</x:v>
      </x:c>
      <x:c r="B19" s="16" t="str">
        <x:v>STACK-1</x:v>
      </x:c>
      <x:c r="C19" s="16" t="str">
        <x:v>M2</x:v>
      </x:c>
      <x:c r="D19" s="16" t="str">
        <x:v>SITE-3</x:v>
      </x:c>
      <x:c r="E19" s="16" t="n">
        <x:v>164</x:v>
      </x:c>
      <x:c r="F19" s="16" t="n">
        <x:f>Controls!$B$5*Controls!$B$6</x:f>
        <x:v>42</x:v>
      </x:c>
      <x:c r="G19" s="16" t="n">
        <x:f>Controls!$B$8</x:f>
        <x:v>30</x:v>
      </x:c>
      <x:c r="H19" s="16" t="n">
        <x:f>Controls!$B$9</x:f>
        <x:v>6</x:v>
      </x:c>
      <x:c r="I19" s="16" t="n">
        <x:f>G19*H19</x:f>
        <x:v>180</x:v>
      </x:c>
      <x:c r="J19" s="16" t="n">
        <x:f>F19+I19</x:f>
        <x:v>222</x:v>
      </x:c>
      <x:c r="K19" s="16" t="n">
        <x:f>Controls!$B$10</x:f>
        <x:v>20</x:v>
      </x:c>
      <x:c r="L19" s="16" t="str">
        <x:v>REGISTERED</x:v>
      </x:c>
    </x:row>
    <x:row r="20" ht="24" hidden="0" customHeight="1">
      <x:c r="A20" s="16" t="str">
        <x:v>M016</x:v>
      </x:c>
      <x:c r="B20" s="16" t="str">
        <x:v>STACK-1</x:v>
      </x:c>
      <x:c r="C20" s="16" t="str">
        <x:v>M3</x:v>
      </x:c>
      <x:c r="D20" s="16" t="str">
        <x:v>SITE-1</x:v>
      </x:c>
      <x:c r="E20" s="16" t="n">
        <x:v>192</x:v>
      </x:c>
      <x:c r="F20" s="16" t="n">
        <x:f>Controls!$B$5*Controls!$B$6</x:f>
        <x:v>42</x:v>
      </x:c>
      <x:c r="G20" s="16" t="n">
        <x:f>Controls!$B$8</x:f>
        <x:v>30</x:v>
      </x:c>
      <x:c r="H20" s="16" t="n">
        <x:f>Controls!$B$9</x:f>
        <x:v>6</x:v>
      </x:c>
      <x:c r="I20" s="16" t="n">
        <x:f>G20*H20</x:f>
        <x:v>180</x:v>
      </x:c>
      <x:c r="J20" s="16" t="n">
        <x:f>F20+I20</x:f>
        <x:v>222</x:v>
      </x:c>
      <x:c r="K20" s="16" t="n">
        <x:f>Controls!$B$10</x:f>
        <x:v>20</x:v>
      </x:c>
      <x:c r="L20" s="16" t="str">
        <x:v>REGISTERED</x:v>
      </x:c>
    </x:row>
    <x:row r="21" ht="24" hidden="0" customHeight="1">
      <x:c r="A21" s="16" t="str">
        <x:v>M017</x:v>
      </x:c>
      <x:c r="B21" s="16" t="str">
        <x:v>STACK-1</x:v>
      </x:c>
      <x:c r="C21" s="16" t="str">
        <x:v>M3</x:v>
      </x:c>
      <x:c r="D21" s="16" t="str">
        <x:v>SITE-2</x:v>
      </x:c>
      <x:c r="E21" s="16" t="n">
        <x:v>192</x:v>
      </x:c>
      <x:c r="F21" s="16" t="n">
        <x:f>Controls!$B$5*Controls!$B$6</x:f>
        <x:v>42</x:v>
      </x:c>
      <x:c r="G21" s="16" t="n">
        <x:f>Controls!$B$8</x:f>
        <x:v>30</x:v>
      </x:c>
      <x:c r="H21" s="16" t="n">
        <x:f>Controls!$B$9</x:f>
        <x:v>6</x:v>
      </x:c>
      <x:c r="I21" s="16" t="n">
        <x:f>G21*H21</x:f>
        <x:v>180</x:v>
      </x:c>
      <x:c r="J21" s="16" t="n">
        <x:f>F21+I21</x:f>
        <x:v>222</x:v>
      </x:c>
      <x:c r="K21" s="16" t="n">
        <x:f>Controls!$B$10</x:f>
        <x:v>20</x:v>
      </x:c>
      <x:c r="L21" s="16" t="str">
        <x:v>REGISTERED</x:v>
      </x:c>
    </x:row>
    <x:row r="22" ht="24" hidden="0" customHeight="1">
      <x:c r="A22" s="16" t="str">
        <x:v>M018</x:v>
      </x:c>
      <x:c r="B22" s="16" t="str">
        <x:v>STACK-1</x:v>
      </x:c>
      <x:c r="C22" s="16" t="str">
        <x:v>M3</x:v>
      </x:c>
      <x:c r="D22" s="16" t="str">
        <x:v>SITE-3</x:v>
      </x:c>
      <x:c r="E22" s="16" t="n">
        <x:v>192</x:v>
      </x:c>
      <x:c r="F22" s="16" t="n">
        <x:f>Controls!$B$5*Controls!$B$6</x:f>
        <x:v>42</x:v>
      </x:c>
      <x:c r="G22" s="16" t="n">
        <x:f>Controls!$B$8</x:f>
        <x:v>30</x:v>
      </x:c>
      <x:c r="H22" s="16" t="n">
        <x:f>Controls!$B$9</x:f>
        <x:v>6</x:v>
      </x:c>
      <x:c r="I22" s="16" t="n">
        <x:f>G22*H22</x:f>
        <x:v>180</x:v>
      </x:c>
      <x:c r="J22" s="16" t="n">
        <x:f>F22+I22</x:f>
        <x:v>222</x:v>
      </x:c>
      <x:c r="K22" s="16" t="n">
        <x:f>Controls!$B$10</x:f>
        <x:v>20</x:v>
      </x:c>
      <x:c r="L22" s="16" t="str">
        <x:v>REGISTERED</x:v>
      </x:c>
    </x:row>
    <x:row r="23" ht="24" hidden="0" customHeight="1">
      <x:c r="A23" s="16" t="str">
        <x:v>M019</x:v>
      </x:c>
      <x:c r="B23" s="16" t="str">
        <x:v>STACK-1</x:v>
      </x:c>
      <x:c r="C23" s="16" t="str">
        <x:v>M4</x:v>
      </x:c>
      <x:c r="D23" s="16" t="str">
        <x:v>SITE-1</x:v>
      </x:c>
      <x:c r="E23" s="16" t="n">
        <x:v>217</x:v>
      </x:c>
      <x:c r="F23" s="16" t="n">
        <x:f>Controls!$B$5*Controls!$B$6</x:f>
        <x:v>42</x:v>
      </x:c>
      <x:c r="G23" s="16" t="n">
        <x:f>Controls!$B$8</x:f>
        <x:v>30</x:v>
      </x:c>
      <x:c r="H23" s="16" t="n">
        <x:f>Controls!$B$9</x:f>
        <x:v>6</x:v>
      </x:c>
      <x:c r="I23" s="16" t="n">
        <x:f>G23*H23</x:f>
        <x:v>180</x:v>
      </x:c>
      <x:c r="J23" s="16" t="n">
        <x:f>F23+I23</x:f>
        <x:v>222</x:v>
      </x:c>
      <x:c r="K23" s="16" t="n">
        <x:f>Controls!$B$10</x:f>
        <x:v>20</x:v>
      </x:c>
      <x:c r="L23" s="16" t="str">
        <x:v>REGISTERED</x:v>
      </x:c>
    </x:row>
    <x:row r="24" ht="24" hidden="0" customHeight="1">
      <x:c r="A24" s="16" t="str">
        <x:v>M020</x:v>
      </x:c>
      <x:c r="B24" s="16" t="str">
        <x:v>STACK-1</x:v>
      </x:c>
      <x:c r="C24" s="16" t="str">
        <x:v>M4</x:v>
      </x:c>
      <x:c r="D24" s="16" t="str">
        <x:v>SITE-2</x:v>
      </x:c>
      <x:c r="E24" s="16" t="n">
        <x:v>217</x:v>
      </x:c>
      <x:c r="F24" s="16" t="n">
        <x:f>Controls!$B$5*Controls!$B$6</x:f>
        <x:v>42</x:v>
      </x:c>
      <x:c r="G24" s="16" t="n">
        <x:f>Controls!$B$8</x:f>
        <x:v>30</x:v>
      </x:c>
      <x:c r="H24" s="16" t="n">
        <x:f>Controls!$B$9</x:f>
        <x:v>6</x:v>
      </x:c>
      <x:c r="I24" s="16" t="n">
        <x:f>G24*H24</x:f>
        <x:v>180</x:v>
      </x:c>
      <x:c r="J24" s="16" t="n">
        <x:f>F24+I24</x:f>
        <x:v>222</x:v>
      </x:c>
      <x:c r="K24" s="16" t="n">
        <x:f>Controls!$B$10</x:f>
        <x:v>20</x:v>
      </x:c>
      <x:c r="L24" s="16" t="str">
        <x:v>REGISTERED</x:v>
      </x:c>
    </x:row>
    <x:row r="25" ht="24" hidden="0" customHeight="1">
      <x:c r="A25" s="16" t="str">
        <x:v>M021</x:v>
      </x:c>
      <x:c r="B25" s="16" t="str">
        <x:v>STACK-1</x:v>
      </x:c>
      <x:c r="C25" s="16" t="str">
        <x:v>M4</x:v>
      </x:c>
      <x:c r="D25" s="16" t="str">
        <x:v>SITE-3</x:v>
      </x:c>
      <x:c r="E25" s="16" t="n">
        <x:v>217</x:v>
      </x:c>
      <x:c r="F25" s="16" t="n">
        <x:f>Controls!$B$5*Controls!$B$6</x:f>
        <x:v>42</x:v>
      </x:c>
      <x:c r="G25" s="16" t="n">
        <x:f>Controls!$B$8</x:f>
        <x:v>30</x:v>
      </x:c>
      <x:c r="H25" s="16" t="n">
        <x:f>Controls!$B$9</x:f>
        <x:v>6</x:v>
      </x:c>
      <x:c r="I25" s="16" t="n">
        <x:f>G25*H25</x:f>
        <x:v>180</x:v>
      </x:c>
      <x:c r="J25" s="16" t="n">
        <x:f>F25+I25</x:f>
        <x:v>222</x:v>
      </x:c>
      <x:c r="K25" s="16" t="n">
        <x:f>Controls!$B$10</x:f>
        <x:v>20</x:v>
      </x:c>
      <x:c r="L25" s="16" t="str">
        <x:v>REGISTERED</x:v>
      </x:c>
    </x:row>
    <x:row r="26" ht="24" hidden="0" customHeight="1">
      <x:c r="A26" s="16" t="str">
        <x:v>M022</x:v>
      </x:c>
      <x:c r="B26" s="16" t="str">
        <x:v>STACK-1</x:v>
      </x:c>
      <x:c r="C26" s="16" t="str">
        <x:v>M5</x:v>
      </x:c>
      <x:c r="D26" s="16" t="str">
        <x:v>SITE-1</x:v>
      </x:c>
      <x:c r="E26" s="16" t="n">
        <x:v>193</x:v>
      </x:c>
      <x:c r="F26" s="16" t="n">
        <x:f>Controls!$B$5*Controls!$B$6</x:f>
        <x:v>42</x:v>
      </x:c>
      <x:c r="G26" s="16" t="n">
        <x:f>Controls!$B$8</x:f>
        <x:v>30</x:v>
      </x:c>
      <x:c r="H26" s="16" t="n">
        <x:f>Controls!$B$9</x:f>
        <x:v>6</x:v>
      </x:c>
      <x:c r="I26" s="16" t="n">
        <x:f>G26*H26</x:f>
        <x:v>180</x:v>
      </x:c>
      <x:c r="J26" s="16" t="n">
        <x:f>F26+I26</x:f>
        <x:v>222</x:v>
      </x:c>
      <x:c r="K26" s="16" t="n">
        <x:f>Controls!$B$10</x:f>
        <x:v>20</x:v>
      </x:c>
      <x:c r="L26" s="16" t="str">
        <x:v>REGISTERED</x:v>
      </x:c>
    </x:row>
    <x:row r="27" ht="24" hidden="0" customHeight="1">
      <x:c r="A27" s="16" t="str">
        <x:v>M023</x:v>
      </x:c>
      <x:c r="B27" s="16" t="str">
        <x:v>STACK-1</x:v>
      </x:c>
      <x:c r="C27" s="16" t="str">
        <x:v>M5</x:v>
      </x:c>
      <x:c r="D27" s="16" t="str">
        <x:v>SITE-2</x:v>
      </x:c>
      <x:c r="E27" s="16" t="n">
        <x:v>193</x:v>
      </x:c>
      <x:c r="F27" s="16" t="n">
        <x:f>Controls!$B$5*Controls!$B$6</x:f>
        <x:v>42</x:v>
      </x:c>
      <x:c r="G27" s="16" t="n">
        <x:f>Controls!$B$8</x:f>
        <x:v>30</x:v>
      </x:c>
      <x:c r="H27" s="16" t="n">
        <x:f>Controls!$B$9</x:f>
        <x:v>6</x:v>
      </x:c>
      <x:c r="I27" s="16" t="n">
        <x:f>G27*H27</x:f>
        <x:v>180</x:v>
      </x:c>
      <x:c r="J27" s="16" t="n">
        <x:f>F27+I27</x:f>
        <x:v>222</x:v>
      </x:c>
      <x:c r="K27" s="16" t="n">
        <x:f>Controls!$B$10</x:f>
        <x:v>20</x:v>
      </x:c>
      <x:c r="L27" s="16" t="str">
        <x:v>REGISTERED</x:v>
      </x:c>
    </x:row>
    <x:row r="28" ht="24" hidden="0" customHeight="1">
      <x:c r="A28" s="16" t="str">
        <x:v>M024</x:v>
      </x:c>
      <x:c r="B28" s="16" t="str">
        <x:v>STACK-1</x:v>
      </x:c>
      <x:c r="C28" s="16" t="str">
        <x:v>M5</x:v>
      </x:c>
      <x:c r="D28" s="16" t="str">
        <x:v>SITE-3</x:v>
      </x:c>
      <x:c r="E28" s="16" t="n">
        <x:v>193</x:v>
      </x:c>
      <x:c r="F28" s="16" t="n">
        <x:f>Controls!$B$5*Controls!$B$6</x:f>
        <x:v>42</x:v>
      </x:c>
      <x:c r="G28" s="16" t="n">
        <x:f>Controls!$B$8</x:f>
        <x:v>30</x:v>
      </x:c>
      <x:c r="H28" s="16" t="n">
        <x:f>Controls!$B$9</x:f>
        <x:v>6</x:v>
      </x:c>
      <x:c r="I28" s="16" t="n">
        <x:f>G28*H28</x:f>
        <x:v>180</x:v>
      </x:c>
      <x:c r="J28" s="16" t="n">
        <x:f>F28+I28</x:f>
        <x:v>222</x:v>
      </x:c>
      <x:c r="K28" s="16" t="n">
        <x:f>Controls!$B$10</x:f>
        <x:v>20</x:v>
      </x:c>
      <x:c r="L28" s="16" t="str">
        <x:v>REGISTERED</x:v>
      </x:c>
    </x:row>
    <x:row r="29" ht="24" hidden="0" customHeight="1">
      <x:c r="A29" s="16" t="str">
        <x:v>M025</x:v>
      </x:c>
      <x:c r="B29" s="16" t="str">
        <x:v>STACK-1</x:v>
      </x:c>
      <x:c r="C29" s="16" t="str">
        <x:v>I1</x:v>
      </x:c>
      <x:c r="D29" s="16" t="str">
        <x:v>SITE-1</x:v>
      </x:c>
      <x:c r="E29" s="16" t="n">
        <x:v>334</x:v>
      </x:c>
      <x:c r="F29" s="16" t="n">
        <x:f>Controls!$B$5*Controls!$B$6</x:f>
        <x:v>42</x:v>
      </x:c>
      <x:c r="G29" s="16" t="n">
        <x:f>Controls!$B$8</x:f>
        <x:v>30</x:v>
      </x:c>
      <x:c r="H29" s="16" t="n">
        <x:f>Controls!$B$9</x:f>
        <x:v>6</x:v>
      </x:c>
      <x:c r="I29" s="16" t="n">
        <x:f>G29*H29</x:f>
        <x:v>180</x:v>
      </x:c>
      <x:c r="J29" s="16" t="n">
        <x:f>F29+I29</x:f>
        <x:v>222</x:v>
      </x:c>
      <x:c r="K29" s="16" t="n">
        <x:f>Controls!$B$10</x:f>
        <x:v>20</x:v>
      </x:c>
      <x:c r="L29" s="16" t="str">
        <x:v>REGISTERED</x:v>
      </x:c>
    </x:row>
    <x:row r="30" ht="24" hidden="0" customHeight="1">
      <x:c r="A30" s="16" t="str">
        <x:v>M026</x:v>
      </x:c>
      <x:c r="B30" s="16" t="str">
        <x:v>STACK-1</x:v>
      </x:c>
      <x:c r="C30" s="16" t="str">
        <x:v>I1</x:v>
      </x:c>
      <x:c r="D30" s="16" t="str">
        <x:v>SITE-2</x:v>
      </x:c>
      <x:c r="E30" s="16" t="n">
        <x:v>334</x:v>
      </x:c>
      <x:c r="F30" s="16" t="n">
        <x:f>Controls!$B$5*Controls!$B$6</x:f>
        <x:v>42</x:v>
      </x:c>
      <x:c r="G30" s="16" t="n">
        <x:f>Controls!$B$8</x:f>
        <x:v>30</x:v>
      </x:c>
      <x:c r="H30" s="16" t="n">
        <x:f>Controls!$B$9</x:f>
        <x:v>6</x:v>
      </x:c>
      <x:c r="I30" s="16" t="n">
        <x:f>G30*H30</x:f>
        <x:v>180</x:v>
      </x:c>
      <x:c r="J30" s="16" t="n">
        <x:f>F30+I30</x:f>
        <x:v>222</x:v>
      </x:c>
      <x:c r="K30" s="16" t="n">
        <x:f>Controls!$B$10</x:f>
        <x:v>20</x:v>
      </x:c>
      <x:c r="L30" s="16" t="str">
        <x:v>REGISTERED</x:v>
      </x:c>
    </x:row>
    <x:row r="31" ht="24" hidden="0" customHeight="1">
      <x:c r="A31" s="16" t="str">
        <x:v>M027</x:v>
      </x:c>
      <x:c r="B31" s="16" t="str">
        <x:v>STACK-1</x:v>
      </x:c>
      <x:c r="C31" s="16" t="str">
        <x:v>I1</x:v>
      </x:c>
      <x:c r="D31" s="16" t="str">
        <x:v>SITE-3</x:v>
      </x:c>
      <x:c r="E31" s="16" t="n">
        <x:v>334</x:v>
      </x:c>
      <x:c r="F31" s="16" t="n">
        <x:f>Controls!$B$5*Controls!$B$6</x:f>
        <x:v>42</x:v>
      </x:c>
      <x:c r="G31" s="16" t="n">
        <x:f>Controls!$B$8</x:f>
        <x:v>30</x:v>
      </x:c>
      <x:c r="H31" s="16" t="n">
        <x:f>Controls!$B$9</x:f>
        <x:v>6</x:v>
      </x:c>
      <x:c r="I31" s="16" t="n">
        <x:f>G31*H31</x:f>
        <x:v>180</x:v>
      </x:c>
      <x:c r="J31" s="16" t="n">
        <x:f>F31+I31</x:f>
        <x:v>222</x:v>
      </x:c>
      <x:c r="K31" s="16" t="n">
        <x:f>Controls!$B$10</x:f>
        <x:v>20</x:v>
      </x:c>
      <x:c r="L31" s="16" t="str">
        <x:v>REGISTERED</x:v>
      </x:c>
    </x:row>
    <x:row r="32" ht="24" hidden="0" customHeight="1">
      <x:c r="A32" s="16" t="str">
        <x:v>M028</x:v>
      </x:c>
      <x:c r="B32" s="16" t="str">
        <x:v>STACK-1</x:v>
      </x:c>
      <x:c r="C32" s="16" t="str">
        <x:v>I2</x:v>
      </x:c>
      <x:c r="D32" s="16" t="str">
        <x:v>SITE-1</x:v>
      </x:c>
      <x:c r="E32" s="16" t="n">
        <x:v>341</x:v>
      </x:c>
      <x:c r="F32" s="16" t="n">
        <x:f>Controls!$B$5*Controls!$B$6</x:f>
        <x:v>42</x:v>
      </x:c>
      <x:c r="G32" s="16" t="n">
        <x:f>Controls!$B$8</x:f>
        <x:v>30</x:v>
      </x:c>
      <x:c r="H32" s="16" t="n">
        <x:f>Controls!$B$9</x:f>
        <x:v>6</x:v>
      </x:c>
      <x:c r="I32" s="16" t="n">
        <x:f>G32*H32</x:f>
        <x:v>180</x:v>
      </x:c>
      <x:c r="J32" s="16" t="n">
        <x:f>F32+I32</x:f>
        <x:v>222</x:v>
      </x:c>
      <x:c r="K32" s="16" t="n">
        <x:f>Controls!$B$10</x:f>
        <x:v>20</x:v>
      </x:c>
      <x:c r="L32" s="16" t="str">
        <x:v>REGISTERED</x:v>
      </x:c>
    </x:row>
    <x:row r="33" ht="24" hidden="0" customHeight="1">
      <x:c r="A33" s="16" t="str">
        <x:v>M029</x:v>
      </x:c>
      <x:c r="B33" s="16" t="str">
        <x:v>STACK-1</x:v>
      </x:c>
      <x:c r="C33" s="16" t="str">
        <x:v>I2</x:v>
      </x:c>
      <x:c r="D33" s="16" t="str">
        <x:v>SITE-2</x:v>
      </x:c>
      <x:c r="E33" s="16" t="n">
        <x:v>341</x:v>
      </x:c>
      <x:c r="F33" s="16" t="n">
        <x:f>Controls!$B$5*Controls!$B$6</x:f>
        <x:v>42</x:v>
      </x:c>
      <x:c r="G33" s="16" t="n">
        <x:f>Controls!$B$8</x:f>
        <x:v>30</x:v>
      </x:c>
      <x:c r="H33" s="16" t="n">
        <x:f>Controls!$B$9</x:f>
        <x:v>6</x:v>
      </x:c>
      <x:c r="I33" s="16" t="n">
        <x:f>G33*H33</x:f>
        <x:v>180</x:v>
      </x:c>
      <x:c r="J33" s="16" t="n">
        <x:f>F33+I33</x:f>
        <x:v>222</x:v>
      </x:c>
      <x:c r="K33" s="16" t="n">
        <x:f>Controls!$B$10</x:f>
        <x:v>20</x:v>
      </x:c>
      <x:c r="L33" s="16" t="str">
        <x:v>REGISTERED</x:v>
      </x:c>
    </x:row>
    <x:row r="34" ht="24" hidden="0" customHeight="1">
      <x:c r="A34" s="16" t="str">
        <x:v>M030</x:v>
      </x:c>
      <x:c r="B34" s="16" t="str">
        <x:v>STACK-1</x:v>
      </x:c>
      <x:c r="C34" s="16" t="str">
        <x:v>I2</x:v>
      </x:c>
      <x:c r="D34" s="16" t="str">
        <x:v>SITE-3</x:v>
      </x:c>
      <x:c r="E34" s="16" t="n">
        <x:v>341</x:v>
      </x:c>
      <x:c r="F34" s="16" t="n">
        <x:f>Controls!$B$5*Controls!$B$6</x:f>
        <x:v>42</x:v>
      </x:c>
      <x:c r="G34" s="16" t="n">
        <x:f>Controls!$B$8</x:f>
        <x:v>30</x:v>
      </x:c>
      <x:c r="H34" s="16" t="n">
        <x:f>Controls!$B$9</x:f>
        <x:v>6</x:v>
      </x:c>
      <x:c r="I34" s="16" t="n">
        <x:f>G34*H34</x:f>
        <x:v>180</x:v>
      </x:c>
      <x:c r="J34" s="16" t="n">
        <x:f>F34+I34</x:f>
        <x:v>222</x:v>
      </x:c>
      <x:c r="K34" s="16" t="n">
        <x:f>Controls!$B$10</x:f>
        <x:v>20</x:v>
      </x:c>
      <x:c r="L34" s="16" t="str">
        <x:v>REGISTERED</x:v>
      </x:c>
    </x:row>
    <x:row r="35" ht="24" hidden="0" customHeight="1">
      <x:c r="A35" s="16" t="str">
        <x:v>M031</x:v>
      </x:c>
      <x:c r="B35" s="16" t="str">
        <x:v>STACK-2</x:v>
      </x:c>
      <x:c r="C35" s="16" t="str">
        <x:v>C1</x:v>
      </x:c>
      <x:c r="D35" s="16" t="str">
        <x:v>SITE-1</x:v>
      </x:c>
      <x:c r="E35" s="16" t="n">
        <x:v>204</x:v>
      </x:c>
      <x:c r="F35" s="16" t="n">
        <x:f>Controls!$B$5*Controls!$B$6</x:f>
        <x:v>42</x:v>
      </x:c>
      <x:c r="G35" s="16" t="n">
        <x:f>Controls!$B$8</x:f>
        <x:v>30</x:v>
      </x:c>
      <x:c r="H35" s="16" t="n">
        <x:f>Controls!$B$9</x:f>
        <x:v>6</x:v>
      </x:c>
      <x:c r="I35" s="16" t="n">
        <x:f>G35*H35</x:f>
        <x:v>180</x:v>
      </x:c>
      <x:c r="J35" s="16" t="n">
        <x:f>F35+I35</x:f>
        <x:v>222</x:v>
      </x:c>
      <x:c r="K35" s="16" t="n">
        <x:f>Controls!$B$10</x:f>
        <x:v>20</x:v>
      </x:c>
      <x:c r="L35" s="16" t="str">
        <x:v>REGISTERED</x:v>
      </x:c>
    </x:row>
    <x:row r="36" ht="24" hidden="0" customHeight="1">
      <x:c r="A36" s="16" t="str">
        <x:v>M032</x:v>
      </x:c>
      <x:c r="B36" s="16" t="str">
        <x:v>STACK-2</x:v>
      </x:c>
      <x:c r="C36" s="16" t="str">
        <x:v>C1</x:v>
      </x:c>
      <x:c r="D36" s="16" t="str">
        <x:v>SITE-2</x:v>
      </x:c>
      <x:c r="E36" s="16" t="n">
        <x:v>204</x:v>
      </x:c>
      <x:c r="F36" s="16" t="n">
        <x:f>Controls!$B$5*Controls!$B$6</x:f>
        <x:v>42</x:v>
      </x:c>
      <x:c r="G36" s="16" t="n">
        <x:f>Controls!$B$8</x:f>
        <x:v>30</x:v>
      </x:c>
      <x:c r="H36" s="16" t="n">
        <x:f>Controls!$B$9</x:f>
        <x:v>6</x:v>
      </x:c>
      <x:c r="I36" s="16" t="n">
        <x:f>G36*H36</x:f>
        <x:v>180</x:v>
      </x:c>
      <x:c r="J36" s="16" t="n">
        <x:f>F36+I36</x:f>
        <x:v>222</x:v>
      </x:c>
      <x:c r="K36" s="16" t="n">
        <x:f>Controls!$B$10</x:f>
        <x:v>20</x:v>
      </x:c>
      <x:c r="L36" s="16" t="str">
        <x:v>REGISTERED</x:v>
      </x:c>
    </x:row>
    <x:row r="37" ht="24" hidden="0" customHeight="1">
      <x:c r="A37" s="16" t="str">
        <x:v>M033</x:v>
      </x:c>
      <x:c r="B37" s="16" t="str">
        <x:v>STACK-2</x:v>
      </x:c>
      <x:c r="C37" s="16" t="str">
        <x:v>C1</x:v>
      </x:c>
      <x:c r="D37" s="16" t="str">
        <x:v>SITE-3</x:v>
      </x:c>
      <x:c r="E37" s="16" t="n">
        <x:v>204</x:v>
      </x:c>
      <x:c r="F37" s="16" t="n">
        <x:f>Controls!$B$5*Controls!$B$6</x:f>
        <x:v>42</x:v>
      </x:c>
      <x:c r="G37" s="16" t="n">
        <x:f>Controls!$B$8</x:f>
        <x:v>30</x:v>
      </x:c>
      <x:c r="H37" s="16" t="n">
        <x:f>Controls!$B$9</x:f>
        <x:v>6</x:v>
      </x:c>
      <x:c r="I37" s="16" t="n">
        <x:f>G37*H37</x:f>
        <x:v>180</x:v>
      </x:c>
      <x:c r="J37" s="16" t="n">
        <x:f>F37+I37</x:f>
        <x:v>222</x:v>
      </x:c>
      <x:c r="K37" s="16" t="n">
        <x:f>Controls!$B$10</x:f>
        <x:v>20</x:v>
      </x:c>
      <x:c r="L37" s="16" t="str">
        <x:v>REGISTERED</x:v>
      </x:c>
    </x:row>
    <x:row r="38" ht="24" hidden="0" customHeight="1">
      <x:c r="A38" s="16" t="str">
        <x:v>M034</x:v>
      </x:c>
      <x:c r="B38" s="16" t="str">
        <x:v>STACK-2</x:v>
      </x:c>
      <x:c r="C38" s="16" t="str">
        <x:v>C2</x:v>
      </x:c>
      <x:c r="D38" s="16" t="str">
        <x:v>SITE-1</x:v>
      </x:c>
      <x:c r="E38" s="16" t="n">
        <x:v>279</x:v>
      </x:c>
      <x:c r="F38" s="16" t="n">
        <x:f>Controls!$B$5*Controls!$B$6</x:f>
        <x:v>42</x:v>
      </x:c>
      <x:c r="G38" s="16" t="n">
        <x:f>Controls!$B$8</x:f>
        <x:v>30</x:v>
      </x:c>
      <x:c r="H38" s="16" t="n">
        <x:f>Controls!$B$9</x:f>
        <x:v>6</x:v>
      </x:c>
      <x:c r="I38" s="16" t="n">
        <x:f>G38*H38</x:f>
        <x:v>180</x:v>
      </x:c>
      <x:c r="J38" s="16" t="n">
        <x:f>F38+I38</x:f>
        <x:v>222</x:v>
      </x:c>
      <x:c r="K38" s="16" t="n">
        <x:f>Controls!$B$10</x:f>
        <x:v>20</x:v>
      </x:c>
      <x:c r="L38" s="16" t="str">
        <x:v>REGISTERED</x:v>
      </x:c>
    </x:row>
    <x:row r="39" ht="24" hidden="0" customHeight="1">
      <x:c r="A39" s="16" t="str">
        <x:v>M035</x:v>
      </x:c>
      <x:c r="B39" s="16" t="str">
        <x:v>STACK-2</x:v>
      </x:c>
      <x:c r="C39" s="16" t="str">
        <x:v>C2</x:v>
      </x:c>
      <x:c r="D39" s="16" t="str">
        <x:v>SITE-2</x:v>
      </x:c>
      <x:c r="E39" s="16" t="n">
        <x:v>279</x:v>
      </x:c>
      <x:c r="F39" s="16" t="n">
        <x:f>Controls!$B$5*Controls!$B$6</x:f>
        <x:v>42</x:v>
      </x:c>
      <x:c r="G39" s="16" t="n">
        <x:f>Controls!$B$8</x:f>
        <x:v>30</x:v>
      </x:c>
      <x:c r="H39" s="16" t="n">
        <x:f>Controls!$B$9</x:f>
        <x:v>6</x:v>
      </x:c>
      <x:c r="I39" s="16" t="n">
        <x:f>G39*H39</x:f>
        <x:v>180</x:v>
      </x:c>
      <x:c r="J39" s="16" t="n">
        <x:f>F39+I39</x:f>
        <x:v>222</x:v>
      </x:c>
      <x:c r="K39" s="16" t="n">
        <x:f>Controls!$B$10</x:f>
        <x:v>20</x:v>
      </x:c>
      <x:c r="L39" s="16" t="str">
        <x:v>REGISTERED</x:v>
      </x:c>
    </x:row>
    <x:row r="40" ht="24" hidden="0" customHeight="1">
      <x:c r="A40" s="16" t="str">
        <x:v>M036</x:v>
      </x:c>
      <x:c r="B40" s="16" t="str">
        <x:v>STACK-2</x:v>
      </x:c>
      <x:c r="C40" s="16" t="str">
        <x:v>C2</x:v>
      </x:c>
      <x:c r="D40" s="16" t="str">
        <x:v>SITE-3</x:v>
      </x:c>
      <x:c r="E40" s="16" t="n">
        <x:v>279</x:v>
      </x:c>
      <x:c r="F40" s="16" t="n">
        <x:f>Controls!$B$5*Controls!$B$6</x:f>
        <x:v>42</x:v>
      </x:c>
      <x:c r="G40" s="16" t="n">
        <x:f>Controls!$B$8</x:f>
        <x:v>30</x:v>
      </x:c>
      <x:c r="H40" s="16" t="n">
        <x:f>Controls!$B$9</x:f>
        <x:v>6</x:v>
      </x:c>
      <x:c r="I40" s="16" t="n">
        <x:f>G40*H40</x:f>
        <x:v>180</x:v>
      </x:c>
      <x:c r="J40" s="16" t="n">
        <x:f>F40+I40</x:f>
        <x:v>222</x:v>
      </x:c>
      <x:c r="K40" s="16" t="n">
        <x:f>Controls!$B$10</x:f>
        <x:v>20</x:v>
      </x:c>
      <x:c r="L40" s="16" t="str">
        <x:v>REGISTERED</x:v>
      </x:c>
    </x:row>
    <x:row r="41" ht="24" hidden="0" customHeight="1">
      <x:c r="A41" s="16" t="str">
        <x:v>M037</x:v>
      </x:c>
      <x:c r="B41" s="16" t="str">
        <x:v>STACK-2</x:v>
      </x:c>
      <x:c r="C41" s="16" t="str">
        <x:v>C3</x:v>
      </x:c>
      <x:c r="D41" s="16" t="str">
        <x:v>SITE-1</x:v>
      </x:c>
      <x:c r="E41" s="16" t="n">
        <x:v>362</x:v>
      </x:c>
      <x:c r="F41" s="16" t="n">
        <x:f>Controls!$B$5*Controls!$B$6</x:f>
        <x:v>42</x:v>
      </x:c>
      <x:c r="G41" s="16" t="n">
        <x:f>Controls!$B$8</x:f>
        <x:v>30</x:v>
      </x:c>
      <x:c r="H41" s="16" t="n">
        <x:f>Controls!$B$9</x:f>
        <x:v>6</x:v>
      </x:c>
      <x:c r="I41" s="16" t="n">
        <x:f>G41*H41</x:f>
        <x:v>180</x:v>
      </x:c>
      <x:c r="J41" s="16" t="n">
        <x:f>F41+I41</x:f>
        <x:v>222</x:v>
      </x:c>
      <x:c r="K41" s="16" t="n">
        <x:f>Controls!$B$10</x:f>
        <x:v>20</x:v>
      </x:c>
      <x:c r="L41" s="16" t="str">
        <x:v>REGISTERED</x:v>
      </x:c>
    </x:row>
    <x:row r="42" ht="24" hidden="0" customHeight="1">
      <x:c r="A42" s="16" t="str">
        <x:v>M038</x:v>
      </x:c>
      <x:c r="B42" s="16" t="str">
        <x:v>STACK-2</x:v>
      </x:c>
      <x:c r="C42" s="16" t="str">
        <x:v>C3</x:v>
      </x:c>
      <x:c r="D42" s="16" t="str">
        <x:v>SITE-2</x:v>
      </x:c>
      <x:c r="E42" s="16" t="n">
        <x:v>362</x:v>
      </x:c>
      <x:c r="F42" s="16" t="n">
        <x:f>Controls!$B$5*Controls!$B$6</x:f>
        <x:v>42</x:v>
      </x:c>
      <x:c r="G42" s="16" t="n">
        <x:f>Controls!$B$8</x:f>
        <x:v>30</x:v>
      </x:c>
      <x:c r="H42" s="16" t="n">
        <x:f>Controls!$B$9</x:f>
        <x:v>6</x:v>
      </x:c>
      <x:c r="I42" s="16" t="n">
        <x:f>G42*H42</x:f>
        <x:v>180</x:v>
      </x:c>
      <x:c r="J42" s="16" t="n">
        <x:f>F42+I42</x:f>
        <x:v>222</x:v>
      </x:c>
      <x:c r="K42" s="16" t="n">
        <x:f>Controls!$B$10</x:f>
        <x:v>20</x:v>
      </x:c>
      <x:c r="L42" s="16" t="str">
        <x:v>REGISTERED</x:v>
      </x:c>
    </x:row>
    <x:row r="43" ht="24" hidden="0" customHeight="1">
      <x:c r="A43" s="16" t="str">
        <x:v>M039</x:v>
      </x:c>
      <x:c r="B43" s="16" t="str">
        <x:v>STACK-2</x:v>
      </x:c>
      <x:c r="C43" s="16" t="str">
        <x:v>C3</x:v>
      </x:c>
      <x:c r="D43" s="16" t="str">
        <x:v>SITE-3</x:v>
      </x:c>
      <x:c r="E43" s="16" t="n">
        <x:v>362</x:v>
      </x:c>
      <x:c r="F43" s="16" t="n">
        <x:f>Controls!$B$5*Controls!$B$6</x:f>
        <x:v>42</x:v>
      </x:c>
      <x:c r="G43" s="16" t="n">
        <x:f>Controls!$B$8</x:f>
        <x:v>30</x:v>
      </x:c>
      <x:c r="H43" s="16" t="n">
        <x:f>Controls!$B$9</x:f>
        <x:v>6</x:v>
      </x:c>
      <x:c r="I43" s="16" t="n">
        <x:f>G43*H43</x:f>
        <x:v>180</x:v>
      </x:c>
      <x:c r="J43" s="16" t="n">
        <x:f>F43+I43</x:f>
        <x:v>222</x:v>
      </x:c>
      <x:c r="K43" s="16" t="n">
        <x:f>Controls!$B$10</x:f>
        <x:v>20</x:v>
      </x:c>
      <x:c r="L43" s="16" t="str">
        <x:v>REGISTERED</x:v>
      </x:c>
    </x:row>
    <x:row r="44" ht="24" hidden="0" customHeight="1">
      <x:c r="A44" s="16" t="str">
        <x:v>M040</x:v>
      </x:c>
      <x:c r="B44" s="16" t="str">
        <x:v>STACK-2</x:v>
      </x:c>
      <x:c r="C44" s="16" t="str">
        <x:v>M1</x:v>
      </x:c>
      <x:c r="D44" s="16" t="str">
        <x:v>SITE-1</x:v>
      </x:c>
      <x:c r="E44" s="16" t="n">
        <x:v>134</x:v>
      </x:c>
      <x:c r="F44" s="16" t="n">
        <x:f>Controls!$B$5*Controls!$B$6</x:f>
        <x:v>42</x:v>
      </x:c>
      <x:c r="G44" s="16" t="n">
        <x:f>Controls!$B$8</x:f>
        <x:v>30</x:v>
      </x:c>
      <x:c r="H44" s="16" t="n">
        <x:f>Controls!$B$9</x:f>
        <x:v>6</x:v>
      </x:c>
      <x:c r="I44" s="16" t="n">
        <x:f>G44*H44</x:f>
        <x:v>180</x:v>
      </x:c>
      <x:c r="J44" s="16" t="n">
        <x:f>F44+I44</x:f>
        <x:v>222</x:v>
      </x:c>
      <x:c r="K44" s="16" t="n">
        <x:f>Controls!$B$10</x:f>
        <x:v>20</x:v>
      </x:c>
      <x:c r="L44" s="16" t="str">
        <x:v>REGISTERED</x:v>
      </x:c>
    </x:row>
    <x:row r="45" ht="24" hidden="0" customHeight="1">
      <x:c r="A45" s="16" t="str">
        <x:v>M041</x:v>
      </x:c>
      <x:c r="B45" s="16" t="str">
        <x:v>STACK-2</x:v>
      </x:c>
      <x:c r="C45" s="16" t="str">
        <x:v>M1</x:v>
      </x:c>
      <x:c r="D45" s="16" t="str">
        <x:v>SITE-2</x:v>
      </x:c>
      <x:c r="E45" s="16" t="n">
        <x:v>134</x:v>
      </x:c>
      <x:c r="F45" s="16" t="n">
        <x:f>Controls!$B$5*Controls!$B$6</x:f>
        <x:v>42</x:v>
      </x:c>
      <x:c r="G45" s="16" t="n">
        <x:f>Controls!$B$8</x:f>
        <x:v>30</x:v>
      </x:c>
      <x:c r="H45" s="16" t="n">
        <x:f>Controls!$B$9</x:f>
        <x:v>6</x:v>
      </x:c>
      <x:c r="I45" s="16" t="n">
        <x:f>G45*H45</x:f>
        <x:v>180</x:v>
      </x:c>
      <x:c r="J45" s="16" t="n">
        <x:f>F45+I45</x:f>
        <x:v>222</x:v>
      </x:c>
      <x:c r="K45" s="16" t="n">
        <x:f>Controls!$B$10</x:f>
        <x:v>20</x:v>
      </x:c>
      <x:c r="L45" s="16" t="str">
        <x:v>REGISTERED</x:v>
      </x:c>
    </x:row>
    <x:row r="46" ht="24" hidden="0" customHeight="1">
      <x:c r="A46" s="16" t="str">
        <x:v>M042</x:v>
      </x:c>
      <x:c r="B46" s="16" t="str">
        <x:v>STACK-2</x:v>
      </x:c>
      <x:c r="C46" s="16" t="str">
        <x:v>M1</x:v>
      </x:c>
      <x:c r="D46" s="16" t="str">
        <x:v>SITE-3</x:v>
      </x:c>
      <x:c r="E46" s="16" t="n">
        <x:v>134</x:v>
      </x:c>
      <x:c r="F46" s="16" t="n">
        <x:f>Controls!$B$5*Controls!$B$6</x:f>
        <x:v>42</x:v>
      </x:c>
      <x:c r="G46" s="16" t="n">
        <x:f>Controls!$B$8</x:f>
        <x:v>30</x:v>
      </x:c>
      <x:c r="H46" s="16" t="n">
        <x:f>Controls!$B$9</x:f>
        <x:v>6</x:v>
      </x:c>
      <x:c r="I46" s="16" t="n">
        <x:f>G46*H46</x:f>
        <x:v>180</x:v>
      </x:c>
      <x:c r="J46" s="16" t="n">
        <x:f>F46+I46</x:f>
        <x:v>222</x:v>
      </x:c>
      <x:c r="K46" s="16" t="n">
        <x:f>Controls!$B$10</x:f>
        <x:v>20</x:v>
      </x:c>
      <x:c r="L46" s="16" t="str">
        <x:v>REGISTERED</x:v>
      </x:c>
    </x:row>
    <x:row r="47" ht="24" hidden="0" customHeight="1">
      <x:c r="A47" s="16" t="str">
        <x:v>M043</x:v>
      </x:c>
      <x:c r="B47" s="16" t="str">
        <x:v>STACK-2</x:v>
      </x:c>
      <x:c r="C47" s="16" t="str">
        <x:v>M2</x:v>
      </x:c>
      <x:c r="D47" s="16" t="str">
        <x:v>SITE-1</x:v>
      </x:c>
      <x:c r="E47" s="16" t="n">
        <x:v>164</x:v>
      </x:c>
      <x:c r="F47" s="16" t="n">
        <x:f>Controls!$B$5*Controls!$B$6</x:f>
        <x:v>42</x:v>
      </x:c>
      <x:c r="G47" s="16" t="n">
        <x:f>Controls!$B$8</x:f>
        <x:v>30</x:v>
      </x:c>
      <x:c r="H47" s="16" t="n">
        <x:f>Controls!$B$9</x:f>
        <x:v>6</x:v>
      </x:c>
      <x:c r="I47" s="16" t="n">
        <x:f>G47*H47</x:f>
        <x:v>180</x:v>
      </x:c>
      <x:c r="J47" s="16" t="n">
        <x:f>F47+I47</x:f>
        <x:v>222</x:v>
      </x:c>
      <x:c r="K47" s="16" t="n">
        <x:f>Controls!$B$10</x:f>
        <x:v>20</x:v>
      </x:c>
      <x:c r="L47" s="16" t="str">
        <x:v>REGISTERED</x:v>
      </x:c>
    </x:row>
    <x:row r="48" ht="24" hidden="0" customHeight="1">
      <x:c r="A48" s="16" t="str">
        <x:v>M044</x:v>
      </x:c>
      <x:c r="B48" s="16" t="str">
        <x:v>STACK-2</x:v>
      </x:c>
      <x:c r="C48" s="16" t="str">
        <x:v>M2</x:v>
      </x:c>
      <x:c r="D48" s="16" t="str">
        <x:v>SITE-2</x:v>
      </x:c>
      <x:c r="E48" s="16" t="n">
        <x:v>164</x:v>
      </x:c>
      <x:c r="F48" s="16" t="n">
        <x:f>Controls!$B$5*Controls!$B$6</x:f>
        <x:v>42</x:v>
      </x:c>
      <x:c r="G48" s="16" t="n">
        <x:f>Controls!$B$8</x:f>
        <x:v>30</x:v>
      </x:c>
      <x:c r="H48" s="16" t="n">
        <x:f>Controls!$B$9</x:f>
        <x:v>6</x:v>
      </x:c>
      <x:c r="I48" s="16" t="n">
        <x:f>G48*H48</x:f>
        <x:v>180</x:v>
      </x:c>
      <x:c r="J48" s="16" t="n">
        <x:f>F48+I48</x:f>
        <x:v>222</x:v>
      </x:c>
      <x:c r="K48" s="16" t="n">
        <x:f>Controls!$B$10</x:f>
        <x:v>20</x:v>
      </x:c>
      <x:c r="L48" s="16" t="str">
        <x:v>REGISTERED</x:v>
      </x:c>
    </x:row>
    <x:row r="49" ht="24" hidden="0" customHeight="1">
      <x:c r="A49" s="16" t="str">
        <x:v>M045</x:v>
      </x:c>
      <x:c r="B49" s="16" t="str">
        <x:v>STACK-2</x:v>
      </x:c>
      <x:c r="C49" s="16" t="str">
        <x:v>M2</x:v>
      </x:c>
      <x:c r="D49" s="16" t="str">
        <x:v>SITE-3</x:v>
      </x:c>
      <x:c r="E49" s="16" t="n">
        <x:v>164</x:v>
      </x:c>
      <x:c r="F49" s="16" t="n">
        <x:f>Controls!$B$5*Controls!$B$6</x:f>
        <x:v>42</x:v>
      </x:c>
      <x:c r="G49" s="16" t="n">
        <x:f>Controls!$B$8</x:f>
        <x:v>30</x:v>
      </x:c>
      <x:c r="H49" s="16" t="n">
        <x:f>Controls!$B$9</x:f>
        <x:v>6</x:v>
      </x:c>
      <x:c r="I49" s="16" t="n">
        <x:f>G49*H49</x:f>
        <x:v>180</x:v>
      </x:c>
      <x:c r="J49" s="16" t="n">
        <x:f>F49+I49</x:f>
        <x:v>222</x:v>
      </x:c>
      <x:c r="K49" s="16" t="n">
        <x:f>Controls!$B$10</x:f>
        <x:v>20</x:v>
      </x:c>
      <x:c r="L49" s="16" t="str">
        <x:v>REGISTERED</x:v>
      </x:c>
    </x:row>
    <x:row r="50" ht="24" hidden="0" customHeight="1">
      <x:c r="A50" s="16" t="str">
        <x:v>M046</x:v>
      </x:c>
      <x:c r="B50" s="16" t="str">
        <x:v>STACK-2</x:v>
      </x:c>
      <x:c r="C50" s="16" t="str">
        <x:v>M3</x:v>
      </x:c>
      <x:c r="D50" s="16" t="str">
        <x:v>SITE-1</x:v>
      </x:c>
      <x:c r="E50" s="16" t="n">
        <x:v>192</x:v>
      </x:c>
      <x:c r="F50" s="16" t="n">
        <x:f>Controls!$B$5*Controls!$B$6</x:f>
        <x:v>42</x:v>
      </x:c>
      <x:c r="G50" s="16" t="n">
        <x:f>Controls!$B$8</x:f>
        <x:v>30</x:v>
      </x:c>
      <x:c r="H50" s="16" t="n">
        <x:f>Controls!$B$9</x:f>
        <x:v>6</x:v>
      </x:c>
      <x:c r="I50" s="16" t="n">
        <x:f>G50*H50</x:f>
        <x:v>180</x:v>
      </x:c>
      <x:c r="J50" s="16" t="n">
        <x:f>F50+I50</x:f>
        <x:v>222</x:v>
      </x:c>
      <x:c r="K50" s="16" t="n">
        <x:f>Controls!$B$10</x:f>
        <x:v>20</x:v>
      </x:c>
      <x:c r="L50" s="16" t="str">
        <x:v>REGISTERED</x:v>
      </x:c>
    </x:row>
    <x:row r="51" ht="24" hidden="0" customHeight="1">
      <x:c r="A51" s="16" t="str">
        <x:v>M047</x:v>
      </x:c>
      <x:c r="B51" s="16" t="str">
        <x:v>STACK-2</x:v>
      </x:c>
      <x:c r="C51" s="16" t="str">
        <x:v>M3</x:v>
      </x:c>
      <x:c r="D51" s="16" t="str">
        <x:v>SITE-2</x:v>
      </x:c>
      <x:c r="E51" s="16" t="n">
        <x:v>192</x:v>
      </x:c>
      <x:c r="F51" s="16" t="n">
        <x:f>Controls!$B$5*Controls!$B$6</x:f>
        <x:v>42</x:v>
      </x:c>
      <x:c r="G51" s="16" t="n">
        <x:f>Controls!$B$8</x:f>
        <x:v>30</x:v>
      </x:c>
      <x:c r="H51" s="16" t="n">
        <x:f>Controls!$B$9</x:f>
        <x:v>6</x:v>
      </x:c>
      <x:c r="I51" s="16" t="n">
        <x:f>G51*H51</x:f>
        <x:v>180</x:v>
      </x:c>
      <x:c r="J51" s="16" t="n">
        <x:f>F51+I51</x:f>
        <x:v>222</x:v>
      </x:c>
      <x:c r="K51" s="16" t="n">
        <x:f>Controls!$B$10</x:f>
        <x:v>20</x:v>
      </x:c>
      <x:c r="L51" s="16" t="str">
        <x:v>REGISTERED</x:v>
      </x:c>
    </x:row>
    <x:row r="52" ht="24" hidden="0" customHeight="1">
      <x:c r="A52" s="16" t="str">
        <x:v>M048</x:v>
      </x:c>
      <x:c r="B52" s="16" t="str">
        <x:v>STACK-2</x:v>
      </x:c>
      <x:c r="C52" s="16" t="str">
        <x:v>M3</x:v>
      </x:c>
      <x:c r="D52" s="16" t="str">
        <x:v>SITE-3</x:v>
      </x:c>
      <x:c r="E52" s="16" t="n">
        <x:v>192</x:v>
      </x:c>
      <x:c r="F52" s="16" t="n">
        <x:f>Controls!$B$5*Controls!$B$6</x:f>
        <x:v>42</x:v>
      </x:c>
      <x:c r="G52" s="16" t="n">
        <x:f>Controls!$B$8</x:f>
        <x:v>30</x:v>
      </x:c>
      <x:c r="H52" s="16" t="n">
        <x:f>Controls!$B$9</x:f>
        <x:v>6</x:v>
      </x:c>
      <x:c r="I52" s="16" t="n">
        <x:f>G52*H52</x:f>
        <x:v>180</x:v>
      </x:c>
      <x:c r="J52" s="16" t="n">
        <x:f>F52+I52</x:f>
        <x:v>222</x:v>
      </x:c>
      <x:c r="K52" s="16" t="n">
        <x:f>Controls!$B$10</x:f>
        <x:v>20</x:v>
      </x:c>
      <x:c r="L52" s="16" t="str">
        <x:v>REGISTERED</x:v>
      </x:c>
    </x:row>
    <x:row r="53" ht="24" hidden="0" customHeight="1">
      <x:c r="A53" s="16" t="str">
        <x:v>M049</x:v>
      </x:c>
      <x:c r="B53" s="16" t="str">
        <x:v>STACK-2</x:v>
      </x:c>
      <x:c r="C53" s="16" t="str">
        <x:v>M4</x:v>
      </x:c>
      <x:c r="D53" s="16" t="str">
        <x:v>SITE-1</x:v>
      </x:c>
      <x:c r="E53" s="16" t="n">
        <x:v>217</x:v>
      </x:c>
      <x:c r="F53" s="16" t="n">
        <x:f>Controls!$B$5*Controls!$B$6</x:f>
        <x:v>42</x:v>
      </x:c>
      <x:c r="G53" s="16" t="n">
        <x:f>Controls!$B$8</x:f>
        <x:v>30</x:v>
      </x:c>
      <x:c r="H53" s="16" t="n">
        <x:f>Controls!$B$9</x:f>
        <x:v>6</x:v>
      </x:c>
      <x:c r="I53" s="16" t="n">
        <x:f>G53*H53</x:f>
        <x:v>180</x:v>
      </x:c>
      <x:c r="J53" s="16" t="n">
        <x:f>F53+I53</x:f>
        <x:v>222</x:v>
      </x:c>
      <x:c r="K53" s="16" t="n">
        <x:f>Controls!$B$10</x:f>
        <x:v>20</x:v>
      </x:c>
      <x:c r="L53" s="16" t="str">
        <x:v>REGISTERED</x:v>
      </x:c>
    </x:row>
    <x:row r="54" ht="24" hidden="0" customHeight="1">
      <x:c r="A54" s="16" t="str">
        <x:v>M050</x:v>
      </x:c>
      <x:c r="B54" s="16" t="str">
        <x:v>STACK-2</x:v>
      </x:c>
      <x:c r="C54" s="16" t="str">
        <x:v>M4</x:v>
      </x:c>
      <x:c r="D54" s="16" t="str">
        <x:v>SITE-2</x:v>
      </x:c>
      <x:c r="E54" s="16" t="n">
        <x:v>217</x:v>
      </x:c>
      <x:c r="F54" s="16" t="n">
        <x:f>Controls!$B$5*Controls!$B$6</x:f>
        <x:v>42</x:v>
      </x:c>
      <x:c r="G54" s="16" t="n">
        <x:f>Controls!$B$8</x:f>
        <x:v>30</x:v>
      </x:c>
      <x:c r="H54" s="16" t="n">
        <x:f>Controls!$B$9</x:f>
        <x:v>6</x:v>
      </x:c>
      <x:c r="I54" s="16" t="n">
        <x:f>G54*H54</x:f>
        <x:v>180</x:v>
      </x:c>
      <x:c r="J54" s="16" t="n">
        <x:f>F54+I54</x:f>
        <x:v>222</x:v>
      </x:c>
      <x:c r="K54" s="16" t="n">
        <x:f>Controls!$B$10</x:f>
        <x:v>20</x:v>
      </x:c>
      <x:c r="L54" s="16" t="str">
        <x:v>REGISTERED</x:v>
      </x:c>
    </x:row>
    <x:row r="55" ht="24" hidden="0" customHeight="1">
      <x:c r="A55" s="16" t="str">
        <x:v>M051</x:v>
      </x:c>
      <x:c r="B55" s="16" t="str">
        <x:v>STACK-2</x:v>
      </x:c>
      <x:c r="C55" s="16" t="str">
        <x:v>M4</x:v>
      </x:c>
      <x:c r="D55" s="16" t="str">
        <x:v>SITE-3</x:v>
      </x:c>
      <x:c r="E55" s="16" t="n">
        <x:v>217</x:v>
      </x:c>
      <x:c r="F55" s="16" t="n">
        <x:f>Controls!$B$5*Controls!$B$6</x:f>
        <x:v>42</x:v>
      </x:c>
      <x:c r="G55" s="16" t="n">
        <x:f>Controls!$B$8</x:f>
        <x:v>30</x:v>
      </x:c>
      <x:c r="H55" s="16" t="n">
        <x:f>Controls!$B$9</x:f>
        <x:v>6</x:v>
      </x:c>
      <x:c r="I55" s="16" t="n">
        <x:f>G55*H55</x:f>
        <x:v>180</x:v>
      </x:c>
      <x:c r="J55" s="16" t="n">
        <x:f>F55+I55</x:f>
        <x:v>222</x:v>
      </x:c>
      <x:c r="K55" s="16" t="n">
        <x:f>Controls!$B$10</x:f>
        <x:v>20</x:v>
      </x:c>
      <x:c r="L55" s="16" t="str">
        <x:v>REGISTERED</x:v>
      </x:c>
    </x:row>
    <x:row r="56" ht="24" hidden="0" customHeight="1">
      <x:c r="A56" s="16" t="str">
        <x:v>M052</x:v>
      </x:c>
      <x:c r="B56" s="16" t="str">
        <x:v>STACK-2</x:v>
      </x:c>
      <x:c r="C56" s="16" t="str">
        <x:v>M5</x:v>
      </x:c>
      <x:c r="D56" s="16" t="str">
        <x:v>SITE-1</x:v>
      </x:c>
      <x:c r="E56" s="16" t="n">
        <x:v>193</x:v>
      </x:c>
      <x:c r="F56" s="16" t="n">
        <x:f>Controls!$B$5*Controls!$B$6</x:f>
        <x:v>42</x:v>
      </x:c>
      <x:c r="G56" s="16" t="n">
        <x:f>Controls!$B$8</x:f>
        <x:v>30</x:v>
      </x:c>
      <x:c r="H56" s="16" t="n">
        <x:f>Controls!$B$9</x:f>
        <x:v>6</x:v>
      </x:c>
      <x:c r="I56" s="16" t="n">
        <x:f>G56*H56</x:f>
        <x:v>180</x:v>
      </x:c>
      <x:c r="J56" s="16" t="n">
        <x:f>F56+I56</x:f>
        <x:v>222</x:v>
      </x:c>
      <x:c r="K56" s="16" t="n">
        <x:f>Controls!$B$10</x:f>
        <x:v>20</x:v>
      </x:c>
      <x:c r="L56" s="16" t="str">
        <x:v>REGISTERED</x:v>
      </x:c>
    </x:row>
    <x:row r="57" ht="24" hidden="0" customHeight="1">
      <x:c r="A57" s="16" t="str">
        <x:v>M053</x:v>
      </x:c>
      <x:c r="B57" s="16" t="str">
        <x:v>STACK-2</x:v>
      </x:c>
      <x:c r="C57" s="16" t="str">
        <x:v>M5</x:v>
      </x:c>
      <x:c r="D57" s="16" t="str">
        <x:v>SITE-2</x:v>
      </x:c>
      <x:c r="E57" s="16" t="n">
        <x:v>193</x:v>
      </x:c>
      <x:c r="F57" s="16" t="n">
        <x:f>Controls!$B$5*Controls!$B$6</x:f>
        <x:v>42</x:v>
      </x:c>
      <x:c r="G57" s="16" t="n">
        <x:f>Controls!$B$8</x:f>
        <x:v>30</x:v>
      </x:c>
      <x:c r="H57" s="16" t="n">
        <x:f>Controls!$B$9</x:f>
        <x:v>6</x:v>
      </x:c>
      <x:c r="I57" s="16" t="n">
        <x:f>G57*H57</x:f>
        <x:v>180</x:v>
      </x:c>
      <x:c r="J57" s="16" t="n">
        <x:f>F57+I57</x:f>
        <x:v>222</x:v>
      </x:c>
      <x:c r="K57" s="16" t="n">
        <x:f>Controls!$B$10</x:f>
        <x:v>20</x:v>
      </x:c>
      <x:c r="L57" s="16" t="str">
        <x:v>REGISTERED</x:v>
      </x:c>
    </x:row>
    <x:row r="58" ht="24" hidden="0" customHeight="1">
      <x:c r="A58" s="16" t="str">
        <x:v>M054</x:v>
      </x:c>
      <x:c r="B58" s="16" t="str">
        <x:v>STACK-2</x:v>
      </x:c>
      <x:c r="C58" s="16" t="str">
        <x:v>M5</x:v>
      </x:c>
      <x:c r="D58" s="16" t="str">
        <x:v>SITE-3</x:v>
      </x:c>
      <x:c r="E58" s="16" t="n">
        <x:v>193</x:v>
      </x:c>
      <x:c r="F58" s="16" t="n">
        <x:f>Controls!$B$5*Controls!$B$6</x:f>
        <x:v>42</x:v>
      </x:c>
      <x:c r="G58" s="16" t="n">
        <x:f>Controls!$B$8</x:f>
        <x:v>30</x:v>
      </x:c>
      <x:c r="H58" s="16" t="n">
        <x:f>Controls!$B$9</x:f>
        <x:v>6</x:v>
      </x:c>
      <x:c r="I58" s="16" t="n">
        <x:f>G58*H58</x:f>
        <x:v>180</x:v>
      </x:c>
      <x:c r="J58" s="16" t="n">
        <x:f>F58+I58</x:f>
        <x:v>222</x:v>
      </x:c>
      <x:c r="K58" s="16" t="n">
        <x:f>Controls!$B$10</x:f>
        <x:v>20</x:v>
      </x:c>
      <x:c r="L58" s="16" t="str">
        <x:v>REGISTERED</x:v>
      </x:c>
    </x:row>
    <x:row r="59" ht="24" hidden="0" customHeight="1">
      <x:c r="A59" s="16" t="str">
        <x:v>M055</x:v>
      </x:c>
      <x:c r="B59" s="16" t="str">
        <x:v>STACK-2</x:v>
      </x:c>
      <x:c r="C59" s="16" t="str">
        <x:v>I1</x:v>
      </x:c>
      <x:c r="D59" s="16" t="str">
        <x:v>SITE-1</x:v>
      </x:c>
      <x:c r="E59" s="16" t="n">
        <x:v>334</x:v>
      </x:c>
      <x:c r="F59" s="16" t="n">
        <x:f>Controls!$B$5*Controls!$B$6</x:f>
        <x:v>42</x:v>
      </x:c>
      <x:c r="G59" s="16" t="n">
        <x:f>Controls!$B$8</x:f>
        <x:v>30</x:v>
      </x:c>
      <x:c r="H59" s="16" t="n">
        <x:f>Controls!$B$9</x:f>
        <x:v>6</x:v>
      </x:c>
      <x:c r="I59" s="16" t="n">
        <x:f>G59*H59</x:f>
        <x:v>180</x:v>
      </x:c>
      <x:c r="J59" s="16" t="n">
        <x:f>F59+I59</x:f>
        <x:v>222</x:v>
      </x:c>
      <x:c r="K59" s="16" t="n">
        <x:f>Controls!$B$10</x:f>
        <x:v>20</x:v>
      </x:c>
      <x:c r="L59" s="16" t="str">
        <x:v>REGISTERED</x:v>
      </x:c>
    </x:row>
    <x:row r="60" ht="24" hidden="0" customHeight="1">
      <x:c r="A60" s="16" t="str">
        <x:v>M056</x:v>
      </x:c>
      <x:c r="B60" s="16" t="str">
        <x:v>STACK-2</x:v>
      </x:c>
      <x:c r="C60" s="16" t="str">
        <x:v>I1</x:v>
      </x:c>
      <x:c r="D60" s="16" t="str">
        <x:v>SITE-2</x:v>
      </x:c>
      <x:c r="E60" s="16" t="n">
        <x:v>334</x:v>
      </x:c>
      <x:c r="F60" s="16" t="n">
        <x:f>Controls!$B$5*Controls!$B$6</x:f>
        <x:v>42</x:v>
      </x:c>
      <x:c r="G60" s="16" t="n">
        <x:f>Controls!$B$8</x:f>
        <x:v>30</x:v>
      </x:c>
      <x:c r="H60" s="16" t="n">
        <x:f>Controls!$B$9</x:f>
        <x:v>6</x:v>
      </x:c>
      <x:c r="I60" s="16" t="n">
        <x:f>G60*H60</x:f>
        <x:v>180</x:v>
      </x:c>
      <x:c r="J60" s="16" t="n">
        <x:f>F60+I60</x:f>
        <x:v>222</x:v>
      </x:c>
      <x:c r="K60" s="16" t="n">
        <x:f>Controls!$B$10</x:f>
        <x:v>20</x:v>
      </x:c>
      <x:c r="L60" s="16" t="str">
        <x:v>REGISTERED</x:v>
      </x:c>
    </x:row>
    <x:row r="61" ht="24" hidden="0" customHeight="1">
      <x:c r="A61" s="16" t="str">
        <x:v>M057</x:v>
      </x:c>
      <x:c r="B61" s="16" t="str">
        <x:v>STACK-2</x:v>
      </x:c>
      <x:c r="C61" s="16" t="str">
        <x:v>I1</x:v>
      </x:c>
      <x:c r="D61" s="16" t="str">
        <x:v>SITE-3</x:v>
      </x:c>
      <x:c r="E61" s="16" t="n">
        <x:v>334</x:v>
      </x:c>
      <x:c r="F61" s="16" t="n">
        <x:f>Controls!$B$5*Controls!$B$6</x:f>
        <x:v>42</x:v>
      </x:c>
      <x:c r="G61" s="16" t="n">
        <x:f>Controls!$B$8</x:f>
        <x:v>30</x:v>
      </x:c>
      <x:c r="H61" s="16" t="n">
        <x:f>Controls!$B$9</x:f>
        <x:v>6</x:v>
      </x:c>
      <x:c r="I61" s="16" t="n">
        <x:f>G61*H61</x:f>
        <x:v>180</x:v>
      </x:c>
      <x:c r="J61" s="16" t="n">
        <x:f>F61+I61</x:f>
        <x:v>222</x:v>
      </x:c>
      <x:c r="K61" s="16" t="n">
        <x:f>Controls!$B$10</x:f>
        <x:v>20</x:v>
      </x:c>
      <x:c r="L61" s="16" t="str">
        <x:v>REGISTERED</x:v>
      </x:c>
    </x:row>
    <x:row r="62" ht="24" hidden="0" customHeight="1">
      <x:c r="A62" s="16" t="str">
        <x:v>M058</x:v>
      </x:c>
      <x:c r="B62" s="16" t="str">
        <x:v>STACK-2</x:v>
      </x:c>
      <x:c r="C62" s="16" t="str">
        <x:v>I2</x:v>
      </x:c>
      <x:c r="D62" s="16" t="str">
        <x:v>SITE-1</x:v>
      </x:c>
      <x:c r="E62" s="16" t="n">
        <x:v>341</x:v>
      </x:c>
      <x:c r="F62" s="16" t="n">
        <x:f>Controls!$B$5*Controls!$B$6</x:f>
        <x:v>42</x:v>
      </x:c>
      <x:c r="G62" s="16" t="n">
        <x:f>Controls!$B$8</x:f>
        <x:v>30</x:v>
      </x:c>
      <x:c r="H62" s="16" t="n">
        <x:f>Controls!$B$9</x:f>
        <x:v>6</x:v>
      </x:c>
      <x:c r="I62" s="16" t="n">
        <x:f>G62*H62</x:f>
        <x:v>180</x:v>
      </x:c>
      <x:c r="J62" s="16" t="n">
        <x:f>F62+I62</x:f>
        <x:v>222</x:v>
      </x:c>
      <x:c r="K62" s="16" t="n">
        <x:f>Controls!$B$10</x:f>
        <x:v>20</x:v>
      </x:c>
      <x:c r="L62" s="16" t="str">
        <x:v>REGISTERED</x:v>
      </x:c>
    </x:row>
    <x:row r="63" ht="24" hidden="0" customHeight="1">
      <x:c r="A63" s="16" t="str">
        <x:v>M059</x:v>
      </x:c>
      <x:c r="B63" s="16" t="str">
        <x:v>STACK-2</x:v>
      </x:c>
      <x:c r="C63" s="16" t="str">
        <x:v>I2</x:v>
      </x:c>
      <x:c r="D63" s="16" t="str">
        <x:v>SITE-2</x:v>
      </x:c>
      <x:c r="E63" s="16" t="n">
        <x:v>341</x:v>
      </x:c>
      <x:c r="F63" s="16" t="n">
        <x:f>Controls!$B$5*Controls!$B$6</x:f>
        <x:v>42</x:v>
      </x:c>
      <x:c r="G63" s="16" t="n">
        <x:f>Controls!$B$8</x:f>
        <x:v>30</x:v>
      </x:c>
      <x:c r="H63" s="16" t="n">
        <x:f>Controls!$B$9</x:f>
        <x:v>6</x:v>
      </x:c>
      <x:c r="I63" s="16" t="n">
        <x:f>G63*H63</x:f>
        <x:v>180</x:v>
      </x:c>
      <x:c r="J63" s="16" t="n">
        <x:f>F63+I63</x:f>
        <x:v>222</x:v>
      </x:c>
      <x:c r="K63" s="16" t="n">
        <x:f>Controls!$B$10</x:f>
        <x:v>20</x:v>
      </x:c>
      <x:c r="L63" s="16" t="str">
        <x:v>REGISTERED</x:v>
      </x:c>
    </x:row>
    <x:row r="64" ht="24" hidden="0" customHeight="1">
      <x:c r="A64" s="16" t="str">
        <x:v>M060</x:v>
      </x:c>
      <x:c r="B64" s="16" t="str">
        <x:v>STACK-2</x:v>
      </x:c>
      <x:c r="C64" s="16" t="str">
        <x:v>I2</x:v>
      </x:c>
      <x:c r="D64" s="16" t="str">
        <x:v>SITE-3</x:v>
      </x:c>
      <x:c r="E64" s="16" t="n">
        <x:v>341</x:v>
      </x:c>
      <x:c r="F64" s="16" t="n">
        <x:f>Controls!$B$5*Controls!$B$6</x:f>
        <x:v>42</x:v>
      </x:c>
      <x:c r="G64" s="16" t="n">
        <x:f>Controls!$B$8</x:f>
        <x:v>30</x:v>
      </x:c>
      <x:c r="H64" s="16" t="n">
        <x:f>Controls!$B$9</x:f>
        <x:v>6</x:v>
      </x:c>
      <x:c r="I64" s="16" t="n">
        <x:f>G64*H64</x:f>
        <x:v>180</x:v>
      </x:c>
      <x:c r="J64" s="16" t="n">
        <x:f>F64+I64</x:f>
        <x:v>222</x:v>
      </x:c>
      <x:c r="K64" s="16" t="n">
        <x:f>Controls!$B$10</x:f>
        <x:v>20</x:v>
      </x:c>
      <x:c r="L64" s="16" t="str">
        <x:v>REGISTERED</x:v>
      </x:c>
    </x:row>
    <x:row r="65" ht="24" hidden="0" customHeight="1">
      <x:c r="A65" s="16" t="str">
        <x:v>M061</x:v>
      </x:c>
      <x:c r="B65" s="16" t="str">
        <x:v>STACK-3</x:v>
      </x:c>
      <x:c r="C65" s="16" t="str">
        <x:v>C1</x:v>
      </x:c>
      <x:c r="D65" s="16" t="str">
        <x:v>SITE-1</x:v>
      </x:c>
      <x:c r="E65" s="16" t="n">
        <x:v>204</x:v>
      </x:c>
      <x:c r="F65" s="16" t="n">
        <x:f>Controls!$B$5*Controls!$B$6</x:f>
        <x:v>42</x:v>
      </x:c>
      <x:c r="G65" s="16" t="n">
        <x:f>Controls!$B$8</x:f>
        <x:v>30</x:v>
      </x:c>
      <x:c r="H65" s="16" t="n">
        <x:f>Controls!$B$9</x:f>
        <x:v>6</x:v>
      </x:c>
      <x:c r="I65" s="16" t="n">
        <x:f>G65*H65</x:f>
        <x:v>180</x:v>
      </x:c>
      <x:c r="J65" s="16" t="n">
        <x:f>F65+I65</x:f>
        <x:v>222</x:v>
      </x:c>
      <x:c r="K65" s="16" t="n">
        <x:f>Controls!$B$10</x:f>
        <x:v>20</x:v>
      </x:c>
      <x:c r="L65" s="16" t="str">
        <x:v>REGISTERED</x:v>
      </x:c>
    </x:row>
    <x:row r="66" ht="24" hidden="0" customHeight="1">
      <x:c r="A66" s="16" t="str">
        <x:v>M062</x:v>
      </x:c>
      <x:c r="B66" s="16" t="str">
        <x:v>STACK-3</x:v>
      </x:c>
      <x:c r="C66" s="16" t="str">
        <x:v>C1</x:v>
      </x:c>
      <x:c r="D66" s="16" t="str">
        <x:v>SITE-2</x:v>
      </x:c>
      <x:c r="E66" s="16" t="n">
        <x:v>204</x:v>
      </x:c>
      <x:c r="F66" s="16" t="n">
        <x:f>Controls!$B$5*Controls!$B$6</x:f>
        <x:v>42</x:v>
      </x:c>
      <x:c r="G66" s="16" t="n">
        <x:f>Controls!$B$8</x:f>
        <x:v>30</x:v>
      </x:c>
      <x:c r="H66" s="16" t="n">
        <x:f>Controls!$B$9</x:f>
        <x:v>6</x:v>
      </x:c>
      <x:c r="I66" s="16" t="n">
        <x:f>G66*H66</x:f>
        <x:v>180</x:v>
      </x:c>
      <x:c r="J66" s="16" t="n">
        <x:f>F66+I66</x:f>
        <x:v>222</x:v>
      </x:c>
      <x:c r="K66" s="16" t="n">
        <x:f>Controls!$B$10</x:f>
        <x:v>20</x:v>
      </x:c>
      <x:c r="L66" s="16" t="str">
        <x:v>REGISTERED</x:v>
      </x:c>
    </x:row>
    <x:row r="67" ht="24" hidden="0" customHeight="1">
      <x:c r="A67" s="16" t="str">
        <x:v>M063</x:v>
      </x:c>
      <x:c r="B67" s="16" t="str">
        <x:v>STACK-3</x:v>
      </x:c>
      <x:c r="C67" s="16" t="str">
        <x:v>C1</x:v>
      </x:c>
      <x:c r="D67" s="16" t="str">
        <x:v>SITE-3</x:v>
      </x:c>
      <x:c r="E67" s="16" t="n">
        <x:v>204</x:v>
      </x:c>
      <x:c r="F67" s="16" t="n">
        <x:f>Controls!$B$5*Controls!$B$6</x:f>
        <x:v>42</x:v>
      </x:c>
      <x:c r="G67" s="16" t="n">
        <x:f>Controls!$B$8</x:f>
        <x:v>30</x:v>
      </x:c>
      <x:c r="H67" s="16" t="n">
        <x:f>Controls!$B$9</x:f>
        <x:v>6</x:v>
      </x:c>
      <x:c r="I67" s="16" t="n">
        <x:f>G67*H67</x:f>
        <x:v>180</x:v>
      </x:c>
      <x:c r="J67" s="16" t="n">
        <x:f>F67+I67</x:f>
        <x:v>222</x:v>
      </x:c>
      <x:c r="K67" s="16" t="n">
        <x:f>Controls!$B$10</x:f>
        <x:v>20</x:v>
      </x:c>
      <x:c r="L67" s="16" t="str">
        <x:v>REGISTERED</x:v>
      </x:c>
    </x:row>
    <x:row r="68" ht="24" hidden="0" customHeight="1">
      <x:c r="A68" s="16" t="str">
        <x:v>M064</x:v>
      </x:c>
      <x:c r="B68" s="16" t="str">
        <x:v>STACK-3</x:v>
      </x:c>
      <x:c r="C68" s="16" t="str">
        <x:v>C2</x:v>
      </x:c>
      <x:c r="D68" s="16" t="str">
        <x:v>SITE-1</x:v>
      </x:c>
      <x:c r="E68" s="16" t="n">
        <x:v>279</x:v>
      </x:c>
      <x:c r="F68" s="16" t="n">
        <x:f>Controls!$B$5*Controls!$B$6</x:f>
        <x:v>42</x:v>
      </x:c>
      <x:c r="G68" s="16" t="n">
        <x:f>Controls!$B$8</x:f>
        <x:v>30</x:v>
      </x:c>
      <x:c r="H68" s="16" t="n">
        <x:f>Controls!$B$9</x:f>
        <x:v>6</x:v>
      </x:c>
      <x:c r="I68" s="16" t="n">
        <x:f>G68*H68</x:f>
        <x:v>180</x:v>
      </x:c>
      <x:c r="J68" s="16" t="n">
        <x:f>F68+I68</x:f>
        <x:v>222</x:v>
      </x:c>
      <x:c r="K68" s="16" t="n">
        <x:f>Controls!$B$10</x:f>
        <x:v>20</x:v>
      </x:c>
      <x:c r="L68" s="16" t="str">
        <x:v>REGISTERED</x:v>
      </x:c>
    </x:row>
    <x:row r="69" ht="24" hidden="0" customHeight="1">
      <x:c r="A69" s="16" t="str">
        <x:v>M065</x:v>
      </x:c>
      <x:c r="B69" s="16" t="str">
        <x:v>STACK-3</x:v>
      </x:c>
      <x:c r="C69" s="16" t="str">
        <x:v>C2</x:v>
      </x:c>
      <x:c r="D69" s="16" t="str">
        <x:v>SITE-2</x:v>
      </x:c>
      <x:c r="E69" s="16" t="n">
        <x:v>279</x:v>
      </x:c>
      <x:c r="F69" s="16" t="n">
        <x:f>Controls!$B$5*Controls!$B$6</x:f>
        <x:v>42</x:v>
      </x:c>
      <x:c r="G69" s="16" t="n">
        <x:f>Controls!$B$8</x:f>
        <x:v>30</x:v>
      </x:c>
      <x:c r="H69" s="16" t="n">
        <x:f>Controls!$B$9</x:f>
        <x:v>6</x:v>
      </x:c>
      <x:c r="I69" s="16" t="n">
        <x:f>G69*H69</x:f>
        <x:v>180</x:v>
      </x:c>
      <x:c r="J69" s="16" t="n">
        <x:f>F69+I69</x:f>
        <x:v>222</x:v>
      </x:c>
      <x:c r="K69" s="16" t="n">
        <x:f>Controls!$B$10</x:f>
        <x:v>20</x:v>
      </x:c>
      <x:c r="L69" s="16" t="str">
        <x:v>REGISTERED</x:v>
      </x:c>
    </x:row>
    <x:row r="70" ht="24" hidden="0" customHeight="1">
      <x:c r="A70" s="16" t="str">
        <x:v>M066</x:v>
      </x:c>
      <x:c r="B70" s="16" t="str">
        <x:v>STACK-3</x:v>
      </x:c>
      <x:c r="C70" s="16" t="str">
        <x:v>C2</x:v>
      </x:c>
      <x:c r="D70" s="16" t="str">
        <x:v>SITE-3</x:v>
      </x:c>
      <x:c r="E70" s="16" t="n">
        <x:v>279</x:v>
      </x:c>
      <x:c r="F70" s="16" t="n">
        <x:f>Controls!$B$5*Controls!$B$6</x:f>
        <x:v>42</x:v>
      </x:c>
      <x:c r="G70" s="16" t="n">
        <x:f>Controls!$B$8</x:f>
        <x:v>30</x:v>
      </x:c>
      <x:c r="H70" s="16" t="n">
        <x:f>Controls!$B$9</x:f>
        <x:v>6</x:v>
      </x:c>
      <x:c r="I70" s="16" t="n">
        <x:f>G70*H70</x:f>
        <x:v>180</x:v>
      </x:c>
      <x:c r="J70" s="16" t="n">
        <x:f>F70+I70</x:f>
        <x:v>222</x:v>
      </x:c>
      <x:c r="K70" s="16" t="n">
        <x:f>Controls!$B$10</x:f>
        <x:v>20</x:v>
      </x:c>
      <x:c r="L70" s="16" t="str">
        <x:v>REGISTERED</x:v>
      </x:c>
    </x:row>
    <x:row r="71" ht="24" hidden="0" customHeight="1">
      <x:c r="A71" s="16" t="str">
        <x:v>M067</x:v>
      </x:c>
      <x:c r="B71" s="16" t="str">
        <x:v>STACK-3</x:v>
      </x:c>
      <x:c r="C71" s="16" t="str">
        <x:v>C3</x:v>
      </x:c>
      <x:c r="D71" s="16" t="str">
        <x:v>SITE-1</x:v>
      </x:c>
      <x:c r="E71" s="16" t="n">
        <x:v>362</x:v>
      </x:c>
      <x:c r="F71" s="16" t="n">
        <x:f>Controls!$B$5*Controls!$B$6</x:f>
        <x:v>42</x:v>
      </x:c>
      <x:c r="G71" s="16" t="n">
        <x:f>Controls!$B$8</x:f>
        <x:v>30</x:v>
      </x:c>
      <x:c r="H71" s="16" t="n">
        <x:f>Controls!$B$9</x:f>
        <x:v>6</x:v>
      </x:c>
      <x:c r="I71" s="16" t="n">
        <x:f>G71*H71</x:f>
        <x:v>180</x:v>
      </x:c>
      <x:c r="J71" s="16" t="n">
        <x:f>F71+I71</x:f>
        <x:v>222</x:v>
      </x:c>
      <x:c r="K71" s="16" t="n">
        <x:f>Controls!$B$10</x:f>
        <x:v>20</x:v>
      </x:c>
      <x:c r="L71" s="16" t="str">
        <x:v>REGISTERED</x:v>
      </x:c>
    </x:row>
    <x:row r="72" ht="24" hidden="0" customHeight="1">
      <x:c r="A72" s="16" t="str">
        <x:v>M068</x:v>
      </x:c>
      <x:c r="B72" s="16" t="str">
        <x:v>STACK-3</x:v>
      </x:c>
      <x:c r="C72" s="16" t="str">
        <x:v>C3</x:v>
      </x:c>
      <x:c r="D72" s="16" t="str">
        <x:v>SITE-2</x:v>
      </x:c>
      <x:c r="E72" s="16" t="n">
        <x:v>362</x:v>
      </x:c>
      <x:c r="F72" s="16" t="n">
        <x:f>Controls!$B$5*Controls!$B$6</x:f>
        <x:v>42</x:v>
      </x:c>
      <x:c r="G72" s="16" t="n">
        <x:f>Controls!$B$8</x:f>
        <x:v>30</x:v>
      </x:c>
      <x:c r="H72" s="16" t="n">
        <x:f>Controls!$B$9</x:f>
        <x:v>6</x:v>
      </x:c>
      <x:c r="I72" s="16" t="n">
        <x:f>G72*H72</x:f>
        <x:v>180</x:v>
      </x:c>
      <x:c r="J72" s="16" t="n">
        <x:f>F72+I72</x:f>
        <x:v>222</x:v>
      </x:c>
      <x:c r="K72" s="16" t="n">
        <x:f>Controls!$B$10</x:f>
        <x:v>20</x:v>
      </x:c>
      <x:c r="L72" s="16" t="str">
        <x:v>REGISTERED</x:v>
      </x:c>
    </x:row>
    <x:row r="73" ht="24" hidden="0" customHeight="1">
      <x:c r="A73" s="16" t="str">
        <x:v>M069</x:v>
      </x:c>
      <x:c r="B73" s="16" t="str">
        <x:v>STACK-3</x:v>
      </x:c>
      <x:c r="C73" s="16" t="str">
        <x:v>C3</x:v>
      </x:c>
      <x:c r="D73" s="16" t="str">
        <x:v>SITE-3</x:v>
      </x:c>
      <x:c r="E73" s="16" t="n">
        <x:v>362</x:v>
      </x:c>
      <x:c r="F73" s="16" t="n">
        <x:f>Controls!$B$5*Controls!$B$6</x:f>
        <x:v>42</x:v>
      </x:c>
      <x:c r="G73" s="16" t="n">
        <x:f>Controls!$B$8</x:f>
        <x:v>30</x:v>
      </x:c>
      <x:c r="H73" s="16" t="n">
        <x:f>Controls!$B$9</x:f>
        <x:v>6</x:v>
      </x:c>
      <x:c r="I73" s="16" t="n">
        <x:f>G73*H73</x:f>
        <x:v>180</x:v>
      </x:c>
      <x:c r="J73" s="16" t="n">
        <x:f>F73+I73</x:f>
        <x:v>222</x:v>
      </x:c>
      <x:c r="K73" s="16" t="n">
        <x:f>Controls!$B$10</x:f>
        <x:v>20</x:v>
      </x:c>
      <x:c r="L73" s="16" t="str">
        <x:v>REGISTERED</x:v>
      </x:c>
    </x:row>
    <x:row r="74" ht="24" hidden="0" customHeight="1">
      <x:c r="A74" s="16" t="str">
        <x:v>M070</x:v>
      </x:c>
      <x:c r="B74" s="16" t="str">
        <x:v>STACK-3</x:v>
      </x:c>
      <x:c r="C74" s="16" t="str">
        <x:v>M1</x:v>
      </x:c>
      <x:c r="D74" s="16" t="str">
        <x:v>SITE-1</x:v>
      </x:c>
      <x:c r="E74" s="16" t="n">
        <x:v>134</x:v>
      </x:c>
      <x:c r="F74" s="16" t="n">
        <x:f>Controls!$B$5*Controls!$B$6</x:f>
        <x:v>42</x:v>
      </x:c>
      <x:c r="G74" s="16" t="n">
        <x:f>Controls!$B$8</x:f>
        <x:v>30</x:v>
      </x:c>
      <x:c r="H74" s="16" t="n">
        <x:f>Controls!$B$9</x:f>
        <x:v>6</x:v>
      </x:c>
      <x:c r="I74" s="16" t="n">
        <x:f>G74*H74</x:f>
        <x:v>180</x:v>
      </x:c>
      <x:c r="J74" s="16" t="n">
        <x:f>F74+I74</x:f>
        <x:v>222</x:v>
      </x:c>
      <x:c r="K74" s="16" t="n">
        <x:f>Controls!$B$10</x:f>
        <x:v>20</x:v>
      </x:c>
      <x:c r="L74" s="16" t="str">
        <x:v>REGISTERED</x:v>
      </x:c>
    </x:row>
    <x:row r="75" ht="24" hidden="0" customHeight="1">
      <x:c r="A75" s="16" t="str">
        <x:v>M071</x:v>
      </x:c>
      <x:c r="B75" s="16" t="str">
        <x:v>STACK-3</x:v>
      </x:c>
      <x:c r="C75" s="16" t="str">
        <x:v>M1</x:v>
      </x:c>
      <x:c r="D75" s="16" t="str">
        <x:v>SITE-2</x:v>
      </x:c>
      <x:c r="E75" s="16" t="n">
        <x:v>134</x:v>
      </x:c>
      <x:c r="F75" s="16" t="n">
        <x:f>Controls!$B$5*Controls!$B$6</x:f>
        <x:v>42</x:v>
      </x:c>
      <x:c r="G75" s="16" t="n">
        <x:f>Controls!$B$8</x:f>
        <x:v>30</x:v>
      </x:c>
      <x:c r="H75" s="16" t="n">
        <x:f>Controls!$B$9</x:f>
        <x:v>6</x:v>
      </x:c>
      <x:c r="I75" s="16" t="n">
        <x:f>G75*H75</x:f>
        <x:v>180</x:v>
      </x:c>
      <x:c r="J75" s="16" t="n">
        <x:f>F75+I75</x:f>
        <x:v>222</x:v>
      </x:c>
      <x:c r="K75" s="16" t="n">
        <x:f>Controls!$B$10</x:f>
        <x:v>20</x:v>
      </x:c>
      <x:c r="L75" s="16" t="str">
        <x:v>REGISTERED</x:v>
      </x:c>
    </x:row>
    <x:row r="76" ht="24" hidden="0" customHeight="1">
      <x:c r="A76" s="16" t="str">
        <x:v>M072</x:v>
      </x:c>
      <x:c r="B76" s="16" t="str">
        <x:v>STACK-3</x:v>
      </x:c>
      <x:c r="C76" s="16" t="str">
        <x:v>M1</x:v>
      </x:c>
      <x:c r="D76" s="16" t="str">
        <x:v>SITE-3</x:v>
      </x:c>
      <x:c r="E76" s="16" t="n">
        <x:v>134</x:v>
      </x:c>
      <x:c r="F76" s="16" t="n">
        <x:f>Controls!$B$5*Controls!$B$6</x:f>
        <x:v>42</x:v>
      </x:c>
      <x:c r="G76" s="16" t="n">
        <x:f>Controls!$B$8</x:f>
        <x:v>30</x:v>
      </x:c>
      <x:c r="H76" s="16" t="n">
        <x:f>Controls!$B$9</x:f>
        <x:v>6</x:v>
      </x:c>
      <x:c r="I76" s="16" t="n">
        <x:f>G76*H76</x:f>
        <x:v>180</x:v>
      </x:c>
      <x:c r="J76" s="16" t="n">
        <x:f>F76+I76</x:f>
        <x:v>222</x:v>
      </x:c>
      <x:c r="K76" s="16" t="n">
        <x:f>Controls!$B$10</x:f>
        <x:v>20</x:v>
      </x:c>
      <x:c r="L76" s="16" t="str">
        <x:v>REGISTERED</x:v>
      </x:c>
    </x:row>
    <x:row r="77" ht="24" hidden="0" customHeight="1">
      <x:c r="A77" s="16" t="str">
        <x:v>M073</x:v>
      </x:c>
      <x:c r="B77" s="16" t="str">
        <x:v>STACK-3</x:v>
      </x:c>
      <x:c r="C77" s="16" t="str">
        <x:v>M2</x:v>
      </x:c>
      <x:c r="D77" s="16" t="str">
        <x:v>SITE-1</x:v>
      </x:c>
      <x:c r="E77" s="16" t="n">
        <x:v>164</x:v>
      </x:c>
      <x:c r="F77" s="16" t="n">
        <x:f>Controls!$B$5*Controls!$B$6</x:f>
        <x:v>42</x:v>
      </x:c>
      <x:c r="G77" s="16" t="n">
        <x:f>Controls!$B$8</x:f>
        <x:v>30</x:v>
      </x:c>
      <x:c r="H77" s="16" t="n">
        <x:f>Controls!$B$9</x:f>
        <x:v>6</x:v>
      </x:c>
      <x:c r="I77" s="16" t="n">
        <x:f>G77*H77</x:f>
        <x:v>180</x:v>
      </x:c>
      <x:c r="J77" s="16" t="n">
        <x:f>F77+I77</x:f>
        <x:v>222</x:v>
      </x:c>
      <x:c r="K77" s="16" t="n">
        <x:f>Controls!$B$10</x:f>
        <x:v>20</x:v>
      </x:c>
      <x:c r="L77" s="16" t="str">
        <x:v>REGISTERED</x:v>
      </x:c>
    </x:row>
    <x:row r="78" ht="24" hidden="0" customHeight="1">
      <x:c r="A78" s="16" t="str">
        <x:v>M074</x:v>
      </x:c>
      <x:c r="B78" s="16" t="str">
        <x:v>STACK-3</x:v>
      </x:c>
      <x:c r="C78" s="16" t="str">
        <x:v>M2</x:v>
      </x:c>
      <x:c r="D78" s="16" t="str">
        <x:v>SITE-2</x:v>
      </x:c>
      <x:c r="E78" s="16" t="n">
        <x:v>164</x:v>
      </x:c>
      <x:c r="F78" s="16" t="n">
        <x:f>Controls!$B$5*Controls!$B$6</x:f>
        <x:v>42</x:v>
      </x:c>
      <x:c r="G78" s="16" t="n">
        <x:f>Controls!$B$8</x:f>
        <x:v>30</x:v>
      </x:c>
      <x:c r="H78" s="16" t="n">
        <x:f>Controls!$B$9</x:f>
        <x:v>6</x:v>
      </x:c>
      <x:c r="I78" s="16" t="n">
        <x:f>G78*H78</x:f>
        <x:v>180</x:v>
      </x:c>
      <x:c r="J78" s="16" t="n">
        <x:f>F78+I78</x:f>
        <x:v>222</x:v>
      </x:c>
      <x:c r="K78" s="16" t="n">
        <x:f>Controls!$B$10</x:f>
        <x:v>20</x:v>
      </x:c>
      <x:c r="L78" s="16" t="str">
        <x:v>REGISTERED</x:v>
      </x:c>
    </x:row>
    <x:row r="79" ht="24" hidden="0" customHeight="1">
      <x:c r="A79" s="16" t="str">
        <x:v>M075</x:v>
      </x:c>
      <x:c r="B79" s="16" t="str">
        <x:v>STACK-3</x:v>
      </x:c>
      <x:c r="C79" s="16" t="str">
        <x:v>M2</x:v>
      </x:c>
      <x:c r="D79" s="16" t="str">
        <x:v>SITE-3</x:v>
      </x:c>
      <x:c r="E79" s="16" t="n">
        <x:v>164</x:v>
      </x:c>
      <x:c r="F79" s="16" t="n">
        <x:f>Controls!$B$5*Controls!$B$6</x:f>
        <x:v>42</x:v>
      </x:c>
      <x:c r="G79" s="16" t="n">
        <x:f>Controls!$B$8</x:f>
        <x:v>30</x:v>
      </x:c>
      <x:c r="H79" s="16" t="n">
        <x:f>Controls!$B$9</x:f>
        <x:v>6</x:v>
      </x:c>
      <x:c r="I79" s="16" t="n">
        <x:f>G79*H79</x:f>
        <x:v>180</x:v>
      </x:c>
      <x:c r="J79" s="16" t="n">
        <x:f>F79+I79</x:f>
        <x:v>222</x:v>
      </x:c>
      <x:c r="K79" s="16" t="n">
        <x:f>Controls!$B$10</x:f>
        <x:v>20</x:v>
      </x:c>
      <x:c r="L79" s="16" t="str">
        <x:v>REGISTERED</x:v>
      </x:c>
    </x:row>
    <x:row r="80" ht="24" hidden="0" customHeight="1">
      <x:c r="A80" s="16" t="str">
        <x:v>M076</x:v>
      </x:c>
      <x:c r="B80" s="16" t="str">
        <x:v>STACK-3</x:v>
      </x:c>
      <x:c r="C80" s="16" t="str">
        <x:v>M3</x:v>
      </x:c>
      <x:c r="D80" s="16" t="str">
        <x:v>SITE-1</x:v>
      </x:c>
      <x:c r="E80" s="16" t="n">
        <x:v>192</x:v>
      </x:c>
      <x:c r="F80" s="16" t="n">
        <x:f>Controls!$B$5*Controls!$B$6</x:f>
        <x:v>42</x:v>
      </x:c>
      <x:c r="G80" s="16" t="n">
        <x:f>Controls!$B$8</x:f>
        <x:v>30</x:v>
      </x:c>
      <x:c r="H80" s="16" t="n">
        <x:f>Controls!$B$9</x:f>
        <x:v>6</x:v>
      </x:c>
      <x:c r="I80" s="16" t="n">
        <x:f>G80*H80</x:f>
        <x:v>180</x:v>
      </x:c>
      <x:c r="J80" s="16" t="n">
        <x:f>F80+I80</x:f>
        <x:v>222</x:v>
      </x:c>
      <x:c r="K80" s="16" t="n">
        <x:f>Controls!$B$10</x:f>
        <x:v>20</x:v>
      </x:c>
      <x:c r="L80" s="16" t="str">
        <x:v>REGISTERED</x:v>
      </x:c>
    </x:row>
    <x:row r="81" ht="24" hidden="0" customHeight="1">
      <x:c r="A81" s="16" t="str">
        <x:v>M077</x:v>
      </x:c>
      <x:c r="B81" s="16" t="str">
        <x:v>STACK-3</x:v>
      </x:c>
      <x:c r="C81" s="16" t="str">
        <x:v>M3</x:v>
      </x:c>
      <x:c r="D81" s="16" t="str">
        <x:v>SITE-2</x:v>
      </x:c>
      <x:c r="E81" s="16" t="n">
        <x:v>192</x:v>
      </x:c>
      <x:c r="F81" s="16" t="n">
        <x:f>Controls!$B$5*Controls!$B$6</x:f>
        <x:v>42</x:v>
      </x:c>
      <x:c r="G81" s="16" t="n">
        <x:f>Controls!$B$8</x:f>
        <x:v>30</x:v>
      </x:c>
      <x:c r="H81" s="16" t="n">
        <x:f>Controls!$B$9</x:f>
        <x:v>6</x:v>
      </x:c>
      <x:c r="I81" s="16" t="n">
        <x:f>G81*H81</x:f>
        <x:v>180</x:v>
      </x:c>
      <x:c r="J81" s="16" t="n">
        <x:f>F81+I81</x:f>
        <x:v>222</x:v>
      </x:c>
      <x:c r="K81" s="16" t="n">
        <x:f>Controls!$B$10</x:f>
        <x:v>20</x:v>
      </x:c>
      <x:c r="L81" s="16" t="str">
        <x:v>REGISTERED</x:v>
      </x:c>
    </x:row>
    <x:row r="82" ht="24" hidden="0" customHeight="1">
      <x:c r="A82" s="16" t="str">
        <x:v>M078</x:v>
      </x:c>
      <x:c r="B82" s="16" t="str">
        <x:v>STACK-3</x:v>
      </x:c>
      <x:c r="C82" s="16" t="str">
        <x:v>M3</x:v>
      </x:c>
      <x:c r="D82" s="16" t="str">
        <x:v>SITE-3</x:v>
      </x:c>
      <x:c r="E82" s="16" t="n">
        <x:v>192</x:v>
      </x:c>
      <x:c r="F82" s="16" t="n">
        <x:f>Controls!$B$5*Controls!$B$6</x:f>
        <x:v>42</x:v>
      </x:c>
      <x:c r="G82" s="16" t="n">
        <x:f>Controls!$B$8</x:f>
        <x:v>30</x:v>
      </x:c>
      <x:c r="H82" s="16" t="n">
        <x:f>Controls!$B$9</x:f>
        <x:v>6</x:v>
      </x:c>
      <x:c r="I82" s="16" t="n">
        <x:f>G82*H82</x:f>
        <x:v>180</x:v>
      </x:c>
      <x:c r="J82" s="16" t="n">
        <x:f>F82+I82</x:f>
        <x:v>222</x:v>
      </x:c>
      <x:c r="K82" s="16" t="n">
        <x:f>Controls!$B$10</x:f>
        <x:v>20</x:v>
      </x:c>
      <x:c r="L82" s="16" t="str">
        <x:v>REGISTERED</x:v>
      </x:c>
    </x:row>
    <x:row r="83" ht="24" hidden="0" customHeight="1">
      <x:c r="A83" s="16" t="str">
        <x:v>M079</x:v>
      </x:c>
      <x:c r="B83" s="16" t="str">
        <x:v>STACK-3</x:v>
      </x:c>
      <x:c r="C83" s="16" t="str">
        <x:v>M4</x:v>
      </x:c>
      <x:c r="D83" s="16" t="str">
        <x:v>SITE-1</x:v>
      </x:c>
      <x:c r="E83" s="16" t="n">
        <x:v>217</x:v>
      </x:c>
      <x:c r="F83" s="16" t="n">
        <x:f>Controls!$B$5*Controls!$B$6</x:f>
        <x:v>42</x:v>
      </x:c>
      <x:c r="G83" s="16" t="n">
        <x:f>Controls!$B$8</x:f>
        <x:v>30</x:v>
      </x:c>
      <x:c r="H83" s="16" t="n">
        <x:f>Controls!$B$9</x:f>
        <x:v>6</x:v>
      </x:c>
      <x:c r="I83" s="16" t="n">
        <x:f>G83*H83</x:f>
        <x:v>180</x:v>
      </x:c>
      <x:c r="J83" s="16" t="n">
        <x:f>F83+I83</x:f>
        <x:v>222</x:v>
      </x:c>
      <x:c r="K83" s="16" t="n">
        <x:f>Controls!$B$10</x:f>
        <x:v>20</x:v>
      </x:c>
      <x:c r="L83" s="16" t="str">
        <x:v>REGISTERED</x:v>
      </x:c>
    </x:row>
    <x:row r="84" ht="24" hidden="0" customHeight="1">
      <x:c r="A84" s="16" t="str">
        <x:v>M080</x:v>
      </x:c>
      <x:c r="B84" s="16" t="str">
        <x:v>STACK-3</x:v>
      </x:c>
      <x:c r="C84" s="16" t="str">
        <x:v>M4</x:v>
      </x:c>
      <x:c r="D84" s="16" t="str">
        <x:v>SITE-2</x:v>
      </x:c>
      <x:c r="E84" s="16" t="n">
        <x:v>217</x:v>
      </x:c>
      <x:c r="F84" s="16" t="n">
        <x:f>Controls!$B$5*Controls!$B$6</x:f>
        <x:v>42</x:v>
      </x:c>
      <x:c r="G84" s="16" t="n">
        <x:f>Controls!$B$8</x:f>
        <x:v>30</x:v>
      </x:c>
      <x:c r="H84" s="16" t="n">
        <x:f>Controls!$B$9</x:f>
        <x:v>6</x:v>
      </x:c>
      <x:c r="I84" s="16" t="n">
        <x:f>G84*H84</x:f>
        <x:v>180</x:v>
      </x:c>
      <x:c r="J84" s="16" t="n">
        <x:f>F84+I84</x:f>
        <x:v>222</x:v>
      </x:c>
      <x:c r="K84" s="16" t="n">
        <x:f>Controls!$B$10</x:f>
        <x:v>20</x:v>
      </x:c>
      <x:c r="L84" s="16" t="str">
        <x:v>REGISTERED</x:v>
      </x:c>
    </x:row>
    <x:row r="85" ht="24" hidden="0" customHeight="1">
      <x:c r="A85" s="16" t="str">
        <x:v>M081</x:v>
      </x:c>
      <x:c r="B85" s="16" t="str">
        <x:v>STACK-3</x:v>
      </x:c>
      <x:c r="C85" s="16" t="str">
        <x:v>M4</x:v>
      </x:c>
      <x:c r="D85" s="16" t="str">
        <x:v>SITE-3</x:v>
      </x:c>
      <x:c r="E85" s="16" t="n">
        <x:v>217</x:v>
      </x:c>
      <x:c r="F85" s="16" t="n">
        <x:f>Controls!$B$5*Controls!$B$6</x:f>
        <x:v>42</x:v>
      </x:c>
      <x:c r="G85" s="16" t="n">
        <x:f>Controls!$B$8</x:f>
        <x:v>30</x:v>
      </x:c>
      <x:c r="H85" s="16" t="n">
        <x:f>Controls!$B$9</x:f>
        <x:v>6</x:v>
      </x:c>
      <x:c r="I85" s="16" t="n">
        <x:f>G85*H85</x:f>
        <x:v>180</x:v>
      </x:c>
      <x:c r="J85" s="16" t="n">
        <x:f>F85+I85</x:f>
        <x:v>222</x:v>
      </x:c>
      <x:c r="K85" s="16" t="n">
        <x:f>Controls!$B$10</x:f>
        <x:v>20</x:v>
      </x:c>
      <x:c r="L85" s="16" t="str">
        <x:v>REGISTERED</x:v>
      </x:c>
    </x:row>
    <x:row r="86" ht="24" hidden="0" customHeight="1">
      <x:c r="A86" s="16" t="str">
        <x:v>M082</x:v>
      </x:c>
      <x:c r="B86" s="16" t="str">
        <x:v>STACK-3</x:v>
      </x:c>
      <x:c r="C86" s="16" t="str">
        <x:v>M5</x:v>
      </x:c>
      <x:c r="D86" s="16" t="str">
        <x:v>SITE-1</x:v>
      </x:c>
      <x:c r="E86" s="16" t="n">
        <x:v>193</x:v>
      </x:c>
      <x:c r="F86" s="16" t="n">
        <x:f>Controls!$B$5*Controls!$B$6</x:f>
        <x:v>42</x:v>
      </x:c>
      <x:c r="G86" s="16" t="n">
        <x:f>Controls!$B$8</x:f>
        <x:v>30</x:v>
      </x:c>
      <x:c r="H86" s="16" t="n">
        <x:f>Controls!$B$9</x:f>
        <x:v>6</x:v>
      </x:c>
      <x:c r="I86" s="16" t="n">
        <x:f>G86*H86</x:f>
        <x:v>180</x:v>
      </x:c>
      <x:c r="J86" s="16" t="n">
        <x:f>F86+I86</x:f>
        <x:v>222</x:v>
      </x:c>
      <x:c r="K86" s="16" t="n">
        <x:f>Controls!$B$10</x:f>
        <x:v>20</x:v>
      </x:c>
      <x:c r="L86" s="16" t="str">
        <x:v>REGISTERED</x:v>
      </x:c>
    </x:row>
    <x:row r="87" ht="24" hidden="0" customHeight="1">
      <x:c r="A87" s="16" t="str">
        <x:v>M083</x:v>
      </x:c>
      <x:c r="B87" s="16" t="str">
        <x:v>STACK-3</x:v>
      </x:c>
      <x:c r="C87" s="16" t="str">
        <x:v>M5</x:v>
      </x:c>
      <x:c r="D87" s="16" t="str">
        <x:v>SITE-2</x:v>
      </x:c>
      <x:c r="E87" s="16" t="n">
        <x:v>193</x:v>
      </x:c>
      <x:c r="F87" s="16" t="n">
        <x:f>Controls!$B$5*Controls!$B$6</x:f>
        <x:v>42</x:v>
      </x:c>
      <x:c r="G87" s="16" t="n">
        <x:f>Controls!$B$8</x:f>
        <x:v>30</x:v>
      </x:c>
      <x:c r="H87" s="16" t="n">
        <x:f>Controls!$B$9</x:f>
        <x:v>6</x:v>
      </x:c>
      <x:c r="I87" s="16" t="n">
        <x:f>G87*H87</x:f>
        <x:v>180</x:v>
      </x:c>
      <x:c r="J87" s="16" t="n">
        <x:f>F87+I87</x:f>
        <x:v>222</x:v>
      </x:c>
      <x:c r="K87" s="16" t="n">
        <x:f>Controls!$B$10</x:f>
        <x:v>20</x:v>
      </x:c>
      <x:c r="L87" s="16" t="str">
        <x:v>REGISTERED</x:v>
      </x:c>
    </x:row>
    <x:row r="88" ht="24" hidden="0" customHeight="1">
      <x:c r="A88" s="16" t="str">
        <x:v>M084</x:v>
      </x:c>
      <x:c r="B88" s="16" t="str">
        <x:v>STACK-3</x:v>
      </x:c>
      <x:c r="C88" s="16" t="str">
        <x:v>M5</x:v>
      </x:c>
      <x:c r="D88" s="16" t="str">
        <x:v>SITE-3</x:v>
      </x:c>
      <x:c r="E88" s="16" t="n">
        <x:v>193</x:v>
      </x:c>
      <x:c r="F88" s="16" t="n">
        <x:f>Controls!$B$5*Controls!$B$6</x:f>
        <x:v>42</x:v>
      </x:c>
      <x:c r="G88" s="16" t="n">
        <x:f>Controls!$B$8</x:f>
        <x:v>30</x:v>
      </x:c>
      <x:c r="H88" s="16" t="n">
        <x:f>Controls!$B$9</x:f>
        <x:v>6</x:v>
      </x:c>
      <x:c r="I88" s="16" t="n">
        <x:f>G88*H88</x:f>
        <x:v>180</x:v>
      </x:c>
      <x:c r="J88" s="16" t="n">
        <x:f>F88+I88</x:f>
        <x:v>222</x:v>
      </x:c>
      <x:c r="K88" s="16" t="n">
        <x:f>Controls!$B$10</x:f>
        <x:v>20</x:v>
      </x:c>
      <x:c r="L88" s="16" t="str">
        <x:v>REGISTERED</x:v>
      </x:c>
    </x:row>
    <x:row r="89" ht="24" hidden="0" customHeight="1">
      <x:c r="A89" s="16" t="str">
        <x:v>M085</x:v>
      </x:c>
      <x:c r="B89" s="16" t="str">
        <x:v>STACK-3</x:v>
      </x:c>
      <x:c r="C89" s="16" t="str">
        <x:v>I1</x:v>
      </x:c>
      <x:c r="D89" s="16" t="str">
        <x:v>SITE-1</x:v>
      </x:c>
      <x:c r="E89" s="16" t="n">
        <x:v>334</x:v>
      </x:c>
      <x:c r="F89" s="16" t="n">
        <x:f>Controls!$B$5*Controls!$B$6</x:f>
        <x:v>42</x:v>
      </x:c>
      <x:c r="G89" s="16" t="n">
        <x:f>Controls!$B$8</x:f>
        <x:v>30</x:v>
      </x:c>
      <x:c r="H89" s="16" t="n">
        <x:f>Controls!$B$9</x:f>
        <x:v>6</x:v>
      </x:c>
      <x:c r="I89" s="16" t="n">
        <x:f>G89*H89</x:f>
        <x:v>180</x:v>
      </x:c>
      <x:c r="J89" s="16" t="n">
        <x:f>F89+I89</x:f>
        <x:v>222</x:v>
      </x:c>
      <x:c r="K89" s="16" t="n">
        <x:f>Controls!$B$10</x:f>
        <x:v>20</x:v>
      </x:c>
      <x:c r="L89" s="16" t="str">
        <x:v>REGISTERED</x:v>
      </x:c>
    </x:row>
    <x:row r="90" ht="24" hidden="0" customHeight="1">
      <x:c r="A90" s="16" t="str">
        <x:v>M086</x:v>
      </x:c>
      <x:c r="B90" s="16" t="str">
        <x:v>STACK-3</x:v>
      </x:c>
      <x:c r="C90" s="16" t="str">
        <x:v>I1</x:v>
      </x:c>
      <x:c r="D90" s="16" t="str">
        <x:v>SITE-2</x:v>
      </x:c>
      <x:c r="E90" s="16" t="n">
        <x:v>334</x:v>
      </x:c>
      <x:c r="F90" s="16" t="n">
        <x:f>Controls!$B$5*Controls!$B$6</x:f>
        <x:v>42</x:v>
      </x:c>
      <x:c r="G90" s="16" t="n">
        <x:f>Controls!$B$8</x:f>
        <x:v>30</x:v>
      </x:c>
      <x:c r="H90" s="16" t="n">
        <x:f>Controls!$B$9</x:f>
        <x:v>6</x:v>
      </x:c>
      <x:c r="I90" s="16" t="n">
        <x:f>G90*H90</x:f>
        <x:v>180</x:v>
      </x:c>
      <x:c r="J90" s="16" t="n">
        <x:f>F90+I90</x:f>
        <x:v>222</x:v>
      </x:c>
      <x:c r="K90" s="16" t="n">
        <x:f>Controls!$B$10</x:f>
        <x:v>20</x:v>
      </x:c>
      <x:c r="L90" s="16" t="str">
        <x:v>REGISTERED</x:v>
      </x:c>
    </x:row>
    <x:row r="91" ht="24" hidden="0" customHeight="1">
      <x:c r="A91" s="16" t="str">
        <x:v>M087</x:v>
      </x:c>
      <x:c r="B91" s="16" t="str">
        <x:v>STACK-3</x:v>
      </x:c>
      <x:c r="C91" s="16" t="str">
        <x:v>I1</x:v>
      </x:c>
      <x:c r="D91" s="16" t="str">
        <x:v>SITE-3</x:v>
      </x:c>
      <x:c r="E91" s="16" t="n">
        <x:v>334</x:v>
      </x:c>
      <x:c r="F91" s="16" t="n">
        <x:f>Controls!$B$5*Controls!$B$6</x:f>
        <x:v>42</x:v>
      </x:c>
      <x:c r="G91" s="16" t="n">
        <x:f>Controls!$B$8</x:f>
        <x:v>30</x:v>
      </x:c>
      <x:c r="H91" s="16" t="n">
        <x:f>Controls!$B$9</x:f>
        <x:v>6</x:v>
      </x:c>
      <x:c r="I91" s="16" t="n">
        <x:f>G91*H91</x:f>
        <x:v>180</x:v>
      </x:c>
      <x:c r="J91" s="16" t="n">
        <x:f>F91+I91</x:f>
        <x:v>222</x:v>
      </x:c>
      <x:c r="K91" s="16" t="n">
        <x:f>Controls!$B$10</x:f>
        <x:v>20</x:v>
      </x:c>
      <x:c r="L91" s="16" t="str">
        <x:v>REGISTERED</x:v>
      </x:c>
    </x:row>
    <x:row r="92" ht="24" hidden="0" customHeight="1">
      <x:c r="A92" s="16" t="str">
        <x:v>M088</x:v>
      </x:c>
      <x:c r="B92" s="16" t="str">
        <x:v>STACK-3</x:v>
      </x:c>
      <x:c r="C92" s="16" t="str">
        <x:v>I2</x:v>
      </x:c>
      <x:c r="D92" s="16" t="str">
        <x:v>SITE-1</x:v>
      </x:c>
      <x:c r="E92" s="16" t="n">
        <x:v>341</x:v>
      </x:c>
      <x:c r="F92" s="16" t="n">
        <x:f>Controls!$B$5*Controls!$B$6</x:f>
        <x:v>42</x:v>
      </x:c>
      <x:c r="G92" s="16" t="n">
        <x:f>Controls!$B$8</x:f>
        <x:v>30</x:v>
      </x:c>
      <x:c r="H92" s="16" t="n">
        <x:f>Controls!$B$9</x:f>
        <x:v>6</x:v>
      </x:c>
      <x:c r="I92" s="16" t="n">
        <x:f>G92*H92</x:f>
        <x:v>180</x:v>
      </x:c>
      <x:c r="J92" s="16" t="n">
        <x:f>F92+I92</x:f>
        <x:v>222</x:v>
      </x:c>
      <x:c r="K92" s="16" t="n">
        <x:f>Controls!$B$10</x:f>
        <x:v>20</x:v>
      </x:c>
      <x:c r="L92" s="16" t="str">
        <x:v>REGISTERED</x:v>
      </x:c>
    </x:row>
    <x:row r="93" ht="24" hidden="0" customHeight="1">
      <x:c r="A93" s="16" t="str">
        <x:v>M089</x:v>
      </x:c>
      <x:c r="B93" s="16" t="str">
        <x:v>STACK-3</x:v>
      </x:c>
      <x:c r="C93" s="16" t="str">
        <x:v>I2</x:v>
      </x:c>
      <x:c r="D93" s="16" t="str">
        <x:v>SITE-2</x:v>
      </x:c>
      <x:c r="E93" s="16" t="n">
        <x:v>341</x:v>
      </x:c>
      <x:c r="F93" s="16" t="n">
        <x:f>Controls!$B$5*Controls!$B$6</x:f>
        <x:v>42</x:v>
      </x:c>
      <x:c r="G93" s="16" t="n">
        <x:f>Controls!$B$8</x:f>
        <x:v>30</x:v>
      </x:c>
      <x:c r="H93" s="16" t="n">
        <x:f>Controls!$B$9</x:f>
        <x:v>6</x:v>
      </x:c>
      <x:c r="I93" s="16" t="n">
        <x:f>G93*H93</x:f>
        <x:v>180</x:v>
      </x:c>
      <x:c r="J93" s="16" t="n">
        <x:f>F93+I93</x:f>
        <x:v>222</x:v>
      </x:c>
      <x:c r="K93" s="16" t="n">
        <x:f>Controls!$B$10</x:f>
        <x:v>20</x:v>
      </x:c>
      <x:c r="L93" s="16" t="str">
        <x:v>REGISTERED</x:v>
      </x:c>
    </x:row>
    <x:row r="94" ht="24" hidden="0" customHeight="1">
      <x:c r="A94" s="16" t="str">
        <x:v>M090</x:v>
      </x:c>
      <x:c r="B94" s="16" t="str">
        <x:v>STACK-3</x:v>
      </x:c>
      <x:c r="C94" s="16" t="str">
        <x:v>I2</x:v>
      </x:c>
      <x:c r="D94" s="16" t="str">
        <x:v>SITE-3</x:v>
      </x:c>
      <x:c r="E94" s="16" t="n">
        <x:v>341</x:v>
      </x:c>
      <x:c r="F94" s="16" t="n">
        <x:f>Controls!$B$5*Controls!$B$6</x:f>
        <x:v>42</x:v>
      </x:c>
      <x:c r="G94" s="16" t="n">
        <x:f>Controls!$B$8</x:f>
        <x:v>30</x:v>
      </x:c>
      <x:c r="H94" s="16" t="n">
        <x:f>Controls!$B$9</x:f>
        <x:v>6</x:v>
      </x:c>
      <x:c r="I94" s="16" t="n">
        <x:f>G94*H94</x:f>
        <x:v>180</x:v>
      </x:c>
      <x:c r="J94" s="16" t="n">
        <x:f>F94+I94</x:f>
        <x:v>222</x:v>
      </x:c>
      <x:c r="K94" s="16" t="n">
        <x:f>Controls!$B$10</x:f>
        <x:v>20</x:v>
      </x:c>
      <x:c r="L94" s="16" t="str">
        <x:v>REGISTERED</x:v>
      </x:c>
    </x:row>
    <x:row r="95" ht="24" hidden="0" customHeight="1">
      <x:c r="A95" s="16" t="str">
        <x:v>M091</x:v>
      </x:c>
      <x:c r="B95" s="16" t="str">
        <x:v>STACK-4</x:v>
      </x:c>
      <x:c r="C95" s="16" t="str">
        <x:v>C1</x:v>
      </x:c>
      <x:c r="D95" s="16" t="str">
        <x:v>SITE-1</x:v>
      </x:c>
      <x:c r="E95" s="16" t="n">
        <x:v>204</x:v>
      </x:c>
      <x:c r="F95" s="16" t="n">
        <x:f>Controls!$B$5*Controls!$B$6</x:f>
        <x:v>42</x:v>
      </x:c>
      <x:c r="G95" s="16" t="n">
        <x:f>Controls!$B$8</x:f>
        <x:v>30</x:v>
      </x:c>
      <x:c r="H95" s="16" t="n">
        <x:f>Controls!$B$9</x:f>
        <x:v>6</x:v>
      </x:c>
      <x:c r="I95" s="16" t="n">
        <x:f>G95*H95</x:f>
        <x:v>180</x:v>
      </x:c>
      <x:c r="J95" s="16" t="n">
        <x:f>F95+I95</x:f>
        <x:v>222</x:v>
      </x:c>
      <x:c r="K95" s="16" t="n">
        <x:f>Controls!$B$10</x:f>
        <x:v>20</x:v>
      </x:c>
      <x:c r="L95" s="16" t="str">
        <x:v>REGISTERED</x:v>
      </x:c>
    </x:row>
    <x:row r="96" ht="24" hidden="0" customHeight="1">
      <x:c r="A96" s="16" t="str">
        <x:v>M092</x:v>
      </x:c>
      <x:c r="B96" s="16" t="str">
        <x:v>STACK-4</x:v>
      </x:c>
      <x:c r="C96" s="16" t="str">
        <x:v>C1</x:v>
      </x:c>
      <x:c r="D96" s="16" t="str">
        <x:v>SITE-2</x:v>
      </x:c>
      <x:c r="E96" s="16" t="n">
        <x:v>204</x:v>
      </x:c>
      <x:c r="F96" s="16" t="n">
        <x:f>Controls!$B$5*Controls!$B$6</x:f>
        <x:v>42</x:v>
      </x:c>
      <x:c r="G96" s="16" t="n">
        <x:f>Controls!$B$8</x:f>
        <x:v>30</x:v>
      </x:c>
      <x:c r="H96" s="16" t="n">
        <x:f>Controls!$B$9</x:f>
        <x:v>6</x:v>
      </x:c>
      <x:c r="I96" s="16" t="n">
        <x:f>G96*H96</x:f>
        <x:v>180</x:v>
      </x:c>
      <x:c r="J96" s="16" t="n">
        <x:f>F96+I96</x:f>
        <x:v>222</x:v>
      </x:c>
      <x:c r="K96" s="16" t="n">
        <x:f>Controls!$B$10</x:f>
        <x:v>20</x:v>
      </x:c>
      <x:c r="L96" s="16" t="str">
        <x:v>REGISTERED</x:v>
      </x:c>
    </x:row>
    <x:row r="97" ht="24" hidden="0" customHeight="1">
      <x:c r="A97" s="16" t="str">
        <x:v>M093</x:v>
      </x:c>
      <x:c r="B97" s="16" t="str">
        <x:v>STACK-4</x:v>
      </x:c>
      <x:c r="C97" s="16" t="str">
        <x:v>C1</x:v>
      </x:c>
      <x:c r="D97" s="16" t="str">
        <x:v>SITE-3</x:v>
      </x:c>
      <x:c r="E97" s="16" t="n">
        <x:v>204</x:v>
      </x:c>
      <x:c r="F97" s="16" t="n">
        <x:f>Controls!$B$5*Controls!$B$6</x:f>
        <x:v>42</x:v>
      </x:c>
      <x:c r="G97" s="16" t="n">
        <x:f>Controls!$B$8</x:f>
        <x:v>30</x:v>
      </x:c>
      <x:c r="H97" s="16" t="n">
        <x:f>Controls!$B$9</x:f>
        <x:v>6</x:v>
      </x:c>
      <x:c r="I97" s="16" t="n">
        <x:f>G97*H97</x:f>
        <x:v>180</x:v>
      </x:c>
      <x:c r="J97" s="16" t="n">
        <x:f>F97+I97</x:f>
        <x:v>222</x:v>
      </x:c>
      <x:c r="K97" s="16" t="n">
        <x:f>Controls!$B$10</x:f>
        <x:v>20</x:v>
      </x:c>
      <x:c r="L97" s="16" t="str">
        <x:v>REGISTERED</x:v>
      </x:c>
    </x:row>
    <x:row r="98" ht="24" hidden="0" customHeight="1">
      <x:c r="A98" s="16" t="str">
        <x:v>M094</x:v>
      </x:c>
      <x:c r="B98" s="16" t="str">
        <x:v>STACK-4</x:v>
      </x:c>
      <x:c r="C98" s="16" t="str">
        <x:v>C2</x:v>
      </x:c>
      <x:c r="D98" s="16" t="str">
        <x:v>SITE-1</x:v>
      </x:c>
      <x:c r="E98" s="16" t="n">
        <x:v>279</x:v>
      </x:c>
      <x:c r="F98" s="16" t="n">
        <x:f>Controls!$B$5*Controls!$B$6</x:f>
        <x:v>42</x:v>
      </x:c>
      <x:c r="G98" s="16" t="n">
        <x:f>Controls!$B$8</x:f>
        <x:v>30</x:v>
      </x:c>
      <x:c r="H98" s="16" t="n">
        <x:f>Controls!$B$9</x:f>
        <x:v>6</x:v>
      </x:c>
      <x:c r="I98" s="16" t="n">
        <x:f>G98*H98</x:f>
        <x:v>180</x:v>
      </x:c>
      <x:c r="J98" s="16" t="n">
        <x:f>F98+I98</x:f>
        <x:v>222</x:v>
      </x:c>
      <x:c r="K98" s="16" t="n">
        <x:f>Controls!$B$10</x:f>
        <x:v>20</x:v>
      </x:c>
      <x:c r="L98" s="16" t="str">
        <x:v>REGISTERED</x:v>
      </x:c>
    </x:row>
    <x:row r="99" ht="24" hidden="0" customHeight="1">
      <x:c r="A99" s="16" t="str">
        <x:v>M095</x:v>
      </x:c>
      <x:c r="B99" s="16" t="str">
        <x:v>STACK-4</x:v>
      </x:c>
      <x:c r="C99" s="16" t="str">
        <x:v>C2</x:v>
      </x:c>
      <x:c r="D99" s="16" t="str">
        <x:v>SITE-2</x:v>
      </x:c>
      <x:c r="E99" s="16" t="n">
        <x:v>279</x:v>
      </x:c>
      <x:c r="F99" s="16" t="n">
        <x:f>Controls!$B$5*Controls!$B$6</x:f>
        <x:v>42</x:v>
      </x:c>
      <x:c r="G99" s="16" t="n">
        <x:f>Controls!$B$8</x:f>
        <x:v>30</x:v>
      </x:c>
      <x:c r="H99" s="16" t="n">
        <x:f>Controls!$B$9</x:f>
        <x:v>6</x:v>
      </x:c>
      <x:c r="I99" s="16" t="n">
        <x:f>G99*H99</x:f>
        <x:v>180</x:v>
      </x:c>
      <x:c r="J99" s="16" t="n">
        <x:f>F99+I99</x:f>
        <x:v>222</x:v>
      </x:c>
      <x:c r="K99" s="16" t="n">
        <x:f>Controls!$B$10</x:f>
        <x:v>20</x:v>
      </x:c>
      <x:c r="L99" s="16" t="str">
        <x:v>REGISTERED</x:v>
      </x:c>
    </x:row>
    <x:row r="100" ht="24" hidden="0" customHeight="1">
      <x:c r="A100" s="16" t="str">
        <x:v>M096</x:v>
      </x:c>
      <x:c r="B100" s="16" t="str">
        <x:v>STACK-4</x:v>
      </x:c>
      <x:c r="C100" s="16" t="str">
        <x:v>C2</x:v>
      </x:c>
      <x:c r="D100" s="16" t="str">
        <x:v>SITE-3</x:v>
      </x:c>
      <x:c r="E100" s="16" t="n">
        <x:v>279</x:v>
      </x:c>
      <x:c r="F100" s="16" t="n">
        <x:f>Controls!$B$5*Controls!$B$6</x:f>
        <x:v>42</x:v>
      </x:c>
      <x:c r="G100" s="16" t="n">
        <x:f>Controls!$B$8</x:f>
        <x:v>30</x:v>
      </x:c>
      <x:c r="H100" s="16" t="n">
        <x:f>Controls!$B$9</x:f>
        <x:v>6</x:v>
      </x:c>
      <x:c r="I100" s="16" t="n">
        <x:f>G100*H100</x:f>
        <x:v>180</x:v>
      </x:c>
      <x:c r="J100" s="16" t="n">
        <x:f>F100+I100</x:f>
        <x:v>222</x:v>
      </x:c>
      <x:c r="K100" s="16" t="n">
        <x:f>Controls!$B$10</x:f>
        <x:v>20</x:v>
      </x:c>
      <x:c r="L100" s="16" t="str">
        <x:v>REGISTERED</x:v>
      </x:c>
    </x:row>
    <x:row r="101" ht="24" hidden="0" customHeight="1">
      <x:c r="A101" s="16" t="str">
        <x:v>M097</x:v>
      </x:c>
      <x:c r="B101" s="16" t="str">
        <x:v>STACK-4</x:v>
      </x:c>
      <x:c r="C101" s="16" t="str">
        <x:v>C3</x:v>
      </x:c>
      <x:c r="D101" s="16" t="str">
        <x:v>SITE-1</x:v>
      </x:c>
      <x:c r="E101" s="16" t="n">
        <x:v>362</x:v>
      </x:c>
      <x:c r="F101" s="16" t="n">
        <x:f>Controls!$B$5*Controls!$B$6</x:f>
        <x:v>42</x:v>
      </x:c>
      <x:c r="G101" s="16" t="n">
        <x:f>Controls!$B$8</x:f>
        <x:v>30</x:v>
      </x:c>
      <x:c r="H101" s="16" t="n">
        <x:f>Controls!$B$9</x:f>
        <x:v>6</x:v>
      </x:c>
      <x:c r="I101" s="16" t="n">
        <x:f>G101*H101</x:f>
        <x:v>180</x:v>
      </x:c>
      <x:c r="J101" s="16" t="n">
        <x:f>F101+I101</x:f>
        <x:v>222</x:v>
      </x:c>
      <x:c r="K101" s="16" t="n">
        <x:f>Controls!$B$10</x:f>
        <x:v>20</x:v>
      </x:c>
      <x:c r="L101" s="16" t="str">
        <x:v>REGISTERED</x:v>
      </x:c>
    </x:row>
    <x:row r="102" ht="24" hidden="0" customHeight="1">
      <x:c r="A102" s="16" t="str">
        <x:v>M098</x:v>
      </x:c>
      <x:c r="B102" s="16" t="str">
        <x:v>STACK-4</x:v>
      </x:c>
      <x:c r="C102" s="16" t="str">
        <x:v>C3</x:v>
      </x:c>
      <x:c r="D102" s="16" t="str">
        <x:v>SITE-2</x:v>
      </x:c>
      <x:c r="E102" s="16" t="n">
        <x:v>362</x:v>
      </x:c>
      <x:c r="F102" s="16" t="n">
        <x:f>Controls!$B$5*Controls!$B$6</x:f>
        <x:v>42</x:v>
      </x:c>
      <x:c r="G102" s="16" t="n">
        <x:f>Controls!$B$8</x:f>
        <x:v>30</x:v>
      </x:c>
      <x:c r="H102" s="16" t="n">
        <x:f>Controls!$B$9</x:f>
        <x:v>6</x:v>
      </x:c>
      <x:c r="I102" s="16" t="n">
        <x:f>G102*H102</x:f>
        <x:v>180</x:v>
      </x:c>
      <x:c r="J102" s="16" t="n">
        <x:f>F102+I102</x:f>
        <x:v>222</x:v>
      </x:c>
      <x:c r="K102" s="16" t="n">
        <x:f>Controls!$B$10</x:f>
        <x:v>20</x:v>
      </x:c>
      <x:c r="L102" s="16" t="str">
        <x:v>REGISTERED</x:v>
      </x:c>
    </x:row>
    <x:row r="103" ht="24" hidden="0" customHeight="1">
      <x:c r="A103" s="16" t="str">
        <x:v>M099</x:v>
      </x:c>
      <x:c r="B103" s="16" t="str">
        <x:v>STACK-4</x:v>
      </x:c>
      <x:c r="C103" s="16" t="str">
        <x:v>C3</x:v>
      </x:c>
      <x:c r="D103" s="16" t="str">
        <x:v>SITE-3</x:v>
      </x:c>
      <x:c r="E103" s="16" t="n">
        <x:v>362</x:v>
      </x:c>
      <x:c r="F103" s="16" t="n">
        <x:f>Controls!$B$5*Controls!$B$6</x:f>
        <x:v>42</x:v>
      </x:c>
      <x:c r="G103" s="16" t="n">
        <x:f>Controls!$B$8</x:f>
        <x:v>30</x:v>
      </x:c>
      <x:c r="H103" s="16" t="n">
        <x:f>Controls!$B$9</x:f>
        <x:v>6</x:v>
      </x:c>
      <x:c r="I103" s="16" t="n">
        <x:f>G103*H103</x:f>
        <x:v>180</x:v>
      </x:c>
      <x:c r="J103" s="16" t="n">
        <x:f>F103+I103</x:f>
        <x:v>222</x:v>
      </x:c>
      <x:c r="K103" s="16" t="n">
        <x:f>Controls!$B$10</x:f>
        <x:v>20</x:v>
      </x:c>
      <x:c r="L103" s="16" t="str">
        <x:v>REGISTERED</x:v>
      </x:c>
    </x:row>
    <x:row r="104" ht="24" hidden="0" customHeight="1">
      <x:c r="A104" s="16" t="str">
        <x:v>M100</x:v>
      </x:c>
      <x:c r="B104" s="16" t="str">
        <x:v>STACK-4</x:v>
      </x:c>
      <x:c r="C104" s="16" t="str">
        <x:v>M1</x:v>
      </x:c>
      <x:c r="D104" s="16" t="str">
        <x:v>SITE-1</x:v>
      </x:c>
      <x:c r="E104" s="16" t="n">
        <x:v>134</x:v>
      </x:c>
      <x:c r="F104" s="16" t="n">
        <x:f>Controls!$B$5*Controls!$B$6</x:f>
        <x:v>42</x:v>
      </x:c>
      <x:c r="G104" s="16" t="n">
        <x:f>Controls!$B$8</x:f>
        <x:v>30</x:v>
      </x:c>
      <x:c r="H104" s="16" t="n">
        <x:f>Controls!$B$9</x:f>
        <x:v>6</x:v>
      </x:c>
      <x:c r="I104" s="16" t="n">
        <x:f>G104*H104</x:f>
        <x:v>180</x:v>
      </x:c>
      <x:c r="J104" s="16" t="n">
        <x:f>F104+I104</x:f>
        <x:v>222</x:v>
      </x:c>
      <x:c r="K104" s="16" t="n">
        <x:f>Controls!$B$10</x:f>
        <x:v>20</x:v>
      </x:c>
      <x:c r="L104" s="16" t="str">
        <x:v>REGISTERED</x:v>
      </x:c>
    </x:row>
    <x:row r="105" ht="24" hidden="0" customHeight="1">
      <x:c r="A105" s="16" t="str">
        <x:v>M101</x:v>
      </x:c>
      <x:c r="B105" s="16" t="str">
        <x:v>STACK-4</x:v>
      </x:c>
      <x:c r="C105" s="16" t="str">
        <x:v>M1</x:v>
      </x:c>
      <x:c r="D105" s="16" t="str">
        <x:v>SITE-2</x:v>
      </x:c>
      <x:c r="E105" s="16" t="n">
        <x:v>134</x:v>
      </x:c>
      <x:c r="F105" s="16" t="n">
        <x:f>Controls!$B$5*Controls!$B$6</x:f>
        <x:v>42</x:v>
      </x:c>
      <x:c r="G105" s="16" t="n">
        <x:f>Controls!$B$8</x:f>
        <x:v>30</x:v>
      </x:c>
      <x:c r="H105" s="16" t="n">
        <x:f>Controls!$B$9</x:f>
        <x:v>6</x:v>
      </x:c>
      <x:c r="I105" s="16" t="n">
        <x:f>G105*H105</x:f>
        <x:v>180</x:v>
      </x:c>
      <x:c r="J105" s="16" t="n">
        <x:f>F105+I105</x:f>
        <x:v>222</x:v>
      </x:c>
      <x:c r="K105" s="16" t="n">
        <x:f>Controls!$B$10</x:f>
        <x:v>20</x:v>
      </x:c>
      <x:c r="L105" s="16" t="str">
        <x:v>REGISTERED</x:v>
      </x:c>
    </x:row>
    <x:row r="106" ht="24" hidden="0" customHeight="1">
      <x:c r="A106" s="16" t="str">
        <x:v>M102</x:v>
      </x:c>
      <x:c r="B106" s="16" t="str">
        <x:v>STACK-4</x:v>
      </x:c>
      <x:c r="C106" s="16" t="str">
        <x:v>M1</x:v>
      </x:c>
      <x:c r="D106" s="16" t="str">
        <x:v>SITE-3</x:v>
      </x:c>
      <x:c r="E106" s="16" t="n">
        <x:v>134</x:v>
      </x:c>
      <x:c r="F106" s="16" t="n">
        <x:f>Controls!$B$5*Controls!$B$6</x:f>
        <x:v>42</x:v>
      </x:c>
      <x:c r="G106" s="16" t="n">
        <x:f>Controls!$B$8</x:f>
        <x:v>30</x:v>
      </x:c>
      <x:c r="H106" s="16" t="n">
        <x:f>Controls!$B$9</x:f>
        <x:v>6</x:v>
      </x:c>
      <x:c r="I106" s="16" t="n">
        <x:f>G106*H106</x:f>
        <x:v>180</x:v>
      </x:c>
      <x:c r="J106" s="16" t="n">
        <x:f>F106+I106</x:f>
        <x:v>222</x:v>
      </x:c>
      <x:c r="K106" s="16" t="n">
        <x:f>Controls!$B$10</x:f>
        <x:v>20</x:v>
      </x:c>
      <x:c r="L106" s="16" t="str">
        <x:v>REGISTERED</x:v>
      </x:c>
    </x:row>
    <x:row r="107" ht="24" hidden="0" customHeight="1">
      <x:c r="A107" s="16" t="str">
        <x:v>M103</x:v>
      </x:c>
      <x:c r="B107" s="16" t="str">
        <x:v>STACK-4</x:v>
      </x:c>
      <x:c r="C107" s="16" t="str">
        <x:v>M2</x:v>
      </x:c>
      <x:c r="D107" s="16" t="str">
        <x:v>SITE-1</x:v>
      </x:c>
      <x:c r="E107" s="16" t="n">
        <x:v>164</x:v>
      </x:c>
      <x:c r="F107" s="16" t="n">
        <x:f>Controls!$B$5*Controls!$B$6</x:f>
        <x:v>42</x:v>
      </x:c>
      <x:c r="G107" s="16" t="n">
        <x:f>Controls!$B$8</x:f>
        <x:v>30</x:v>
      </x:c>
      <x:c r="H107" s="16" t="n">
        <x:f>Controls!$B$9</x:f>
        <x:v>6</x:v>
      </x:c>
      <x:c r="I107" s="16" t="n">
        <x:f>G107*H107</x:f>
        <x:v>180</x:v>
      </x:c>
      <x:c r="J107" s="16" t="n">
        <x:f>F107+I107</x:f>
        <x:v>222</x:v>
      </x:c>
      <x:c r="K107" s="16" t="n">
        <x:f>Controls!$B$10</x:f>
        <x:v>20</x:v>
      </x:c>
      <x:c r="L107" s="16" t="str">
        <x:v>REGISTERED</x:v>
      </x:c>
    </x:row>
    <x:row r="108" ht="24" hidden="0" customHeight="1">
      <x:c r="A108" s="16" t="str">
        <x:v>M104</x:v>
      </x:c>
      <x:c r="B108" s="16" t="str">
        <x:v>STACK-4</x:v>
      </x:c>
      <x:c r="C108" s="16" t="str">
        <x:v>M2</x:v>
      </x:c>
      <x:c r="D108" s="16" t="str">
        <x:v>SITE-2</x:v>
      </x:c>
      <x:c r="E108" s="16" t="n">
        <x:v>164</x:v>
      </x:c>
      <x:c r="F108" s="16" t="n">
        <x:f>Controls!$B$5*Controls!$B$6</x:f>
        <x:v>42</x:v>
      </x:c>
      <x:c r="G108" s="16" t="n">
        <x:f>Controls!$B$8</x:f>
        <x:v>30</x:v>
      </x:c>
      <x:c r="H108" s="16" t="n">
        <x:f>Controls!$B$9</x:f>
        <x:v>6</x:v>
      </x:c>
      <x:c r="I108" s="16" t="n">
        <x:f>G108*H108</x:f>
        <x:v>180</x:v>
      </x:c>
      <x:c r="J108" s="16" t="n">
        <x:f>F108+I108</x:f>
        <x:v>222</x:v>
      </x:c>
      <x:c r="K108" s="16" t="n">
        <x:f>Controls!$B$10</x:f>
        <x:v>20</x:v>
      </x:c>
      <x:c r="L108" s="16" t="str">
        <x:v>REGISTERED</x:v>
      </x:c>
    </x:row>
    <x:row r="109" ht="24" hidden="0" customHeight="1">
      <x:c r="A109" s="16" t="str">
        <x:v>M105</x:v>
      </x:c>
      <x:c r="B109" s="16" t="str">
        <x:v>STACK-4</x:v>
      </x:c>
      <x:c r="C109" s="16" t="str">
        <x:v>M2</x:v>
      </x:c>
      <x:c r="D109" s="16" t="str">
        <x:v>SITE-3</x:v>
      </x:c>
      <x:c r="E109" s="16" t="n">
        <x:v>164</x:v>
      </x:c>
      <x:c r="F109" s="16" t="n">
        <x:f>Controls!$B$5*Controls!$B$6</x:f>
        <x:v>42</x:v>
      </x:c>
      <x:c r="G109" s="16" t="n">
        <x:f>Controls!$B$8</x:f>
        <x:v>30</x:v>
      </x:c>
      <x:c r="H109" s="16" t="n">
        <x:f>Controls!$B$9</x:f>
        <x:v>6</x:v>
      </x:c>
      <x:c r="I109" s="16" t="n">
        <x:f>G109*H109</x:f>
        <x:v>180</x:v>
      </x:c>
      <x:c r="J109" s="16" t="n">
        <x:f>F109+I109</x:f>
        <x:v>222</x:v>
      </x:c>
      <x:c r="K109" s="16" t="n">
        <x:f>Controls!$B$10</x:f>
        <x:v>20</x:v>
      </x:c>
      <x:c r="L109" s="16" t="str">
        <x:v>REGISTERED</x:v>
      </x:c>
    </x:row>
    <x:row r="110" ht="24" hidden="0" customHeight="1">
      <x:c r="A110" s="16" t="str">
        <x:v>M106</x:v>
      </x:c>
      <x:c r="B110" s="16" t="str">
        <x:v>STACK-4</x:v>
      </x:c>
      <x:c r="C110" s="16" t="str">
        <x:v>M3</x:v>
      </x:c>
      <x:c r="D110" s="16" t="str">
        <x:v>SITE-1</x:v>
      </x:c>
      <x:c r="E110" s="16" t="n">
        <x:v>192</x:v>
      </x:c>
      <x:c r="F110" s="16" t="n">
        <x:f>Controls!$B$5*Controls!$B$6</x:f>
        <x:v>42</x:v>
      </x:c>
      <x:c r="G110" s="16" t="n">
        <x:f>Controls!$B$8</x:f>
        <x:v>30</x:v>
      </x:c>
      <x:c r="H110" s="16" t="n">
        <x:f>Controls!$B$9</x:f>
        <x:v>6</x:v>
      </x:c>
      <x:c r="I110" s="16" t="n">
        <x:f>G110*H110</x:f>
        <x:v>180</x:v>
      </x:c>
      <x:c r="J110" s="16" t="n">
        <x:f>F110+I110</x:f>
        <x:v>222</x:v>
      </x:c>
      <x:c r="K110" s="16" t="n">
        <x:f>Controls!$B$10</x:f>
        <x:v>20</x:v>
      </x:c>
      <x:c r="L110" s="16" t="str">
        <x:v>REGISTERED</x:v>
      </x:c>
    </x:row>
    <x:row r="111" ht="24" hidden="0" customHeight="1">
      <x:c r="A111" s="16" t="str">
        <x:v>M107</x:v>
      </x:c>
      <x:c r="B111" s="16" t="str">
        <x:v>STACK-4</x:v>
      </x:c>
      <x:c r="C111" s="16" t="str">
        <x:v>M3</x:v>
      </x:c>
      <x:c r="D111" s="16" t="str">
        <x:v>SITE-2</x:v>
      </x:c>
      <x:c r="E111" s="16" t="n">
        <x:v>192</x:v>
      </x:c>
      <x:c r="F111" s="16" t="n">
        <x:f>Controls!$B$5*Controls!$B$6</x:f>
        <x:v>42</x:v>
      </x:c>
      <x:c r="G111" s="16" t="n">
        <x:f>Controls!$B$8</x:f>
        <x:v>30</x:v>
      </x:c>
      <x:c r="H111" s="16" t="n">
        <x:f>Controls!$B$9</x:f>
        <x:v>6</x:v>
      </x:c>
      <x:c r="I111" s="16" t="n">
        <x:f>G111*H111</x:f>
        <x:v>180</x:v>
      </x:c>
      <x:c r="J111" s="16" t="n">
        <x:f>F111+I111</x:f>
        <x:v>222</x:v>
      </x:c>
      <x:c r="K111" s="16" t="n">
        <x:f>Controls!$B$10</x:f>
        <x:v>20</x:v>
      </x:c>
      <x:c r="L111" s="16" t="str">
        <x:v>REGISTERED</x:v>
      </x:c>
    </x:row>
    <x:row r="112" ht="24" hidden="0" customHeight="1">
      <x:c r="A112" s="16" t="str">
        <x:v>M108</x:v>
      </x:c>
      <x:c r="B112" s="16" t="str">
        <x:v>STACK-4</x:v>
      </x:c>
      <x:c r="C112" s="16" t="str">
        <x:v>M3</x:v>
      </x:c>
      <x:c r="D112" s="16" t="str">
        <x:v>SITE-3</x:v>
      </x:c>
      <x:c r="E112" s="16" t="n">
        <x:v>192</x:v>
      </x:c>
      <x:c r="F112" s="16" t="n">
        <x:f>Controls!$B$5*Controls!$B$6</x:f>
        <x:v>42</x:v>
      </x:c>
      <x:c r="G112" s="16" t="n">
        <x:f>Controls!$B$8</x:f>
        <x:v>30</x:v>
      </x:c>
      <x:c r="H112" s="16" t="n">
        <x:f>Controls!$B$9</x:f>
        <x:v>6</x:v>
      </x:c>
      <x:c r="I112" s="16" t="n">
        <x:f>G112*H112</x:f>
        <x:v>180</x:v>
      </x:c>
      <x:c r="J112" s="16" t="n">
        <x:f>F112+I112</x:f>
        <x:v>222</x:v>
      </x:c>
      <x:c r="K112" s="16" t="n">
        <x:f>Controls!$B$10</x:f>
        <x:v>20</x:v>
      </x:c>
      <x:c r="L112" s="16" t="str">
        <x:v>REGISTERED</x:v>
      </x:c>
    </x:row>
    <x:row r="113" ht="24" hidden="0" customHeight="1">
      <x:c r="A113" s="16" t="str">
        <x:v>M109</x:v>
      </x:c>
      <x:c r="B113" s="16" t="str">
        <x:v>STACK-4</x:v>
      </x:c>
      <x:c r="C113" s="16" t="str">
        <x:v>M4</x:v>
      </x:c>
      <x:c r="D113" s="16" t="str">
        <x:v>SITE-1</x:v>
      </x:c>
      <x:c r="E113" s="16" t="n">
        <x:v>217</x:v>
      </x:c>
      <x:c r="F113" s="16" t="n">
        <x:f>Controls!$B$5*Controls!$B$6</x:f>
        <x:v>42</x:v>
      </x:c>
      <x:c r="G113" s="16" t="n">
        <x:f>Controls!$B$8</x:f>
        <x:v>30</x:v>
      </x:c>
      <x:c r="H113" s="16" t="n">
        <x:f>Controls!$B$9</x:f>
        <x:v>6</x:v>
      </x:c>
      <x:c r="I113" s="16" t="n">
        <x:f>G113*H113</x:f>
        <x:v>180</x:v>
      </x:c>
      <x:c r="J113" s="16" t="n">
        <x:f>F113+I113</x:f>
        <x:v>222</x:v>
      </x:c>
      <x:c r="K113" s="16" t="n">
        <x:f>Controls!$B$10</x:f>
        <x:v>20</x:v>
      </x:c>
      <x:c r="L113" s="16" t="str">
        <x:v>REGISTERED</x:v>
      </x:c>
    </x:row>
    <x:row r="114" ht="24" hidden="0" customHeight="1">
      <x:c r="A114" s="16" t="str">
        <x:v>M110</x:v>
      </x:c>
      <x:c r="B114" s="16" t="str">
        <x:v>STACK-4</x:v>
      </x:c>
      <x:c r="C114" s="16" t="str">
        <x:v>M4</x:v>
      </x:c>
      <x:c r="D114" s="16" t="str">
        <x:v>SITE-2</x:v>
      </x:c>
      <x:c r="E114" s="16" t="n">
        <x:v>217</x:v>
      </x:c>
      <x:c r="F114" s="16" t="n">
        <x:f>Controls!$B$5*Controls!$B$6</x:f>
        <x:v>42</x:v>
      </x:c>
      <x:c r="G114" s="16" t="n">
        <x:f>Controls!$B$8</x:f>
        <x:v>30</x:v>
      </x:c>
      <x:c r="H114" s="16" t="n">
        <x:f>Controls!$B$9</x:f>
        <x:v>6</x:v>
      </x:c>
      <x:c r="I114" s="16" t="n">
        <x:f>G114*H114</x:f>
        <x:v>180</x:v>
      </x:c>
      <x:c r="J114" s="16" t="n">
        <x:f>F114+I114</x:f>
        <x:v>222</x:v>
      </x:c>
      <x:c r="K114" s="16" t="n">
        <x:f>Controls!$B$10</x:f>
        <x:v>20</x:v>
      </x:c>
      <x:c r="L114" s="16" t="str">
        <x:v>REGISTERED</x:v>
      </x:c>
    </x:row>
    <x:row r="115" ht="24" hidden="0" customHeight="1">
      <x:c r="A115" s="16" t="str">
        <x:v>M111</x:v>
      </x:c>
      <x:c r="B115" s="16" t="str">
        <x:v>STACK-4</x:v>
      </x:c>
      <x:c r="C115" s="16" t="str">
        <x:v>M4</x:v>
      </x:c>
      <x:c r="D115" s="16" t="str">
        <x:v>SITE-3</x:v>
      </x:c>
      <x:c r="E115" s="16" t="n">
        <x:v>217</x:v>
      </x:c>
      <x:c r="F115" s="16" t="n">
        <x:f>Controls!$B$5*Controls!$B$6</x:f>
        <x:v>42</x:v>
      </x:c>
      <x:c r="G115" s="16" t="n">
        <x:f>Controls!$B$8</x:f>
        <x:v>30</x:v>
      </x:c>
      <x:c r="H115" s="16" t="n">
        <x:f>Controls!$B$9</x:f>
        <x:v>6</x:v>
      </x:c>
      <x:c r="I115" s="16" t="n">
        <x:f>G115*H115</x:f>
        <x:v>180</x:v>
      </x:c>
      <x:c r="J115" s="16" t="n">
        <x:f>F115+I115</x:f>
        <x:v>222</x:v>
      </x:c>
      <x:c r="K115" s="16" t="n">
        <x:f>Controls!$B$10</x:f>
        <x:v>20</x:v>
      </x:c>
      <x:c r="L115" s="16" t="str">
        <x:v>REGISTERED</x:v>
      </x:c>
    </x:row>
    <x:row r="116" ht="24" hidden="0" customHeight="1">
      <x:c r="A116" s="16" t="str">
        <x:v>M112</x:v>
      </x:c>
      <x:c r="B116" s="16" t="str">
        <x:v>STACK-4</x:v>
      </x:c>
      <x:c r="C116" s="16" t="str">
        <x:v>M5</x:v>
      </x:c>
      <x:c r="D116" s="16" t="str">
        <x:v>SITE-1</x:v>
      </x:c>
      <x:c r="E116" s="16" t="n">
        <x:v>193</x:v>
      </x:c>
      <x:c r="F116" s="16" t="n">
        <x:f>Controls!$B$5*Controls!$B$6</x:f>
        <x:v>42</x:v>
      </x:c>
      <x:c r="G116" s="16" t="n">
        <x:f>Controls!$B$8</x:f>
        <x:v>30</x:v>
      </x:c>
      <x:c r="H116" s="16" t="n">
        <x:f>Controls!$B$9</x:f>
        <x:v>6</x:v>
      </x:c>
      <x:c r="I116" s="16" t="n">
        <x:f>G116*H116</x:f>
        <x:v>180</x:v>
      </x:c>
      <x:c r="J116" s="16" t="n">
        <x:f>F116+I116</x:f>
        <x:v>222</x:v>
      </x:c>
      <x:c r="K116" s="16" t="n">
        <x:f>Controls!$B$10</x:f>
        <x:v>20</x:v>
      </x:c>
      <x:c r="L116" s="16" t="str">
        <x:v>REGISTERED</x:v>
      </x:c>
    </x:row>
    <x:row r="117" ht="24" hidden="0" customHeight="1">
      <x:c r="A117" s="16" t="str">
        <x:v>M113</x:v>
      </x:c>
      <x:c r="B117" s="16" t="str">
        <x:v>STACK-4</x:v>
      </x:c>
      <x:c r="C117" s="16" t="str">
        <x:v>M5</x:v>
      </x:c>
      <x:c r="D117" s="16" t="str">
        <x:v>SITE-2</x:v>
      </x:c>
      <x:c r="E117" s="16" t="n">
        <x:v>193</x:v>
      </x:c>
      <x:c r="F117" s="16" t="n">
        <x:f>Controls!$B$5*Controls!$B$6</x:f>
        <x:v>42</x:v>
      </x:c>
      <x:c r="G117" s="16" t="n">
        <x:f>Controls!$B$8</x:f>
        <x:v>30</x:v>
      </x:c>
      <x:c r="H117" s="16" t="n">
        <x:f>Controls!$B$9</x:f>
        <x:v>6</x:v>
      </x:c>
      <x:c r="I117" s="16" t="n">
        <x:f>G117*H117</x:f>
        <x:v>180</x:v>
      </x:c>
      <x:c r="J117" s="16" t="n">
        <x:f>F117+I117</x:f>
        <x:v>222</x:v>
      </x:c>
      <x:c r="K117" s="16" t="n">
        <x:f>Controls!$B$10</x:f>
        <x:v>20</x:v>
      </x:c>
      <x:c r="L117" s="16" t="str">
        <x:v>REGISTERED</x:v>
      </x:c>
    </x:row>
    <x:row r="118" ht="24" hidden="0" customHeight="1">
      <x:c r="A118" s="16" t="str">
        <x:v>M114</x:v>
      </x:c>
      <x:c r="B118" s="16" t="str">
        <x:v>STACK-4</x:v>
      </x:c>
      <x:c r="C118" s="16" t="str">
        <x:v>M5</x:v>
      </x:c>
      <x:c r="D118" s="16" t="str">
        <x:v>SITE-3</x:v>
      </x:c>
      <x:c r="E118" s="16" t="n">
        <x:v>193</x:v>
      </x:c>
      <x:c r="F118" s="16" t="n">
        <x:f>Controls!$B$5*Controls!$B$6</x:f>
        <x:v>42</x:v>
      </x:c>
      <x:c r="G118" s="16" t="n">
        <x:f>Controls!$B$8</x:f>
        <x:v>30</x:v>
      </x:c>
      <x:c r="H118" s="16" t="n">
        <x:f>Controls!$B$9</x:f>
        <x:v>6</x:v>
      </x:c>
      <x:c r="I118" s="16" t="n">
        <x:f>G118*H118</x:f>
        <x:v>180</x:v>
      </x:c>
      <x:c r="J118" s="16" t="n">
        <x:f>F118+I118</x:f>
        <x:v>222</x:v>
      </x:c>
      <x:c r="K118" s="16" t="n">
        <x:f>Controls!$B$10</x:f>
        <x:v>20</x:v>
      </x:c>
      <x:c r="L118" s="16" t="str">
        <x:v>REGISTERED</x:v>
      </x:c>
    </x:row>
    <x:row r="119" ht="24" hidden="0" customHeight="1">
      <x:c r="A119" s="16" t="str">
        <x:v>M115</x:v>
      </x:c>
      <x:c r="B119" s="16" t="str">
        <x:v>STACK-4</x:v>
      </x:c>
      <x:c r="C119" s="16" t="str">
        <x:v>I1</x:v>
      </x:c>
      <x:c r="D119" s="16" t="str">
        <x:v>SITE-1</x:v>
      </x:c>
      <x:c r="E119" s="16" t="n">
        <x:v>334</x:v>
      </x:c>
      <x:c r="F119" s="16" t="n">
        <x:f>Controls!$B$5*Controls!$B$6</x:f>
        <x:v>42</x:v>
      </x:c>
      <x:c r="G119" s="16" t="n">
        <x:f>Controls!$B$8</x:f>
        <x:v>30</x:v>
      </x:c>
      <x:c r="H119" s="16" t="n">
        <x:f>Controls!$B$9</x:f>
        <x:v>6</x:v>
      </x:c>
      <x:c r="I119" s="16" t="n">
        <x:f>G119*H119</x:f>
        <x:v>180</x:v>
      </x:c>
      <x:c r="J119" s="16" t="n">
        <x:f>F119+I119</x:f>
        <x:v>222</x:v>
      </x:c>
      <x:c r="K119" s="16" t="n">
        <x:f>Controls!$B$10</x:f>
        <x:v>20</x:v>
      </x:c>
      <x:c r="L119" s="16" t="str">
        <x:v>REGISTERED</x:v>
      </x:c>
    </x:row>
    <x:row r="120" ht="24" hidden="0" customHeight="1">
      <x:c r="A120" s="16" t="str">
        <x:v>M116</x:v>
      </x:c>
      <x:c r="B120" s="16" t="str">
        <x:v>STACK-4</x:v>
      </x:c>
      <x:c r="C120" s="16" t="str">
        <x:v>I1</x:v>
      </x:c>
      <x:c r="D120" s="16" t="str">
        <x:v>SITE-2</x:v>
      </x:c>
      <x:c r="E120" s="16" t="n">
        <x:v>334</x:v>
      </x:c>
      <x:c r="F120" s="16" t="n">
        <x:f>Controls!$B$5*Controls!$B$6</x:f>
        <x:v>42</x:v>
      </x:c>
      <x:c r="G120" s="16" t="n">
        <x:f>Controls!$B$8</x:f>
        <x:v>30</x:v>
      </x:c>
      <x:c r="H120" s="16" t="n">
        <x:f>Controls!$B$9</x:f>
        <x:v>6</x:v>
      </x:c>
      <x:c r="I120" s="16" t="n">
        <x:f>G120*H120</x:f>
        <x:v>180</x:v>
      </x:c>
      <x:c r="J120" s="16" t="n">
        <x:f>F120+I120</x:f>
        <x:v>222</x:v>
      </x:c>
      <x:c r="K120" s="16" t="n">
        <x:f>Controls!$B$10</x:f>
        <x:v>20</x:v>
      </x:c>
      <x:c r="L120" s="16" t="str">
        <x:v>REGISTERED</x:v>
      </x:c>
    </x:row>
    <x:row r="121" ht="24" hidden="0" customHeight="1">
      <x:c r="A121" s="16" t="str">
        <x:v>M117</x:v>
      </x:c>
      <x:c r="B121" s="16" t="str">
        <x:v>STACK-4</x:v>
      </x:c>
      <x:c r="C121" s="16" t="str">
        <x:v>I1</x:v>
      </x:c>
      <x:c r="D121" s="16" t="str">
        <x:v>SITE-3</x:v>
      </x:c>
      <x:c r="E121" s="16" t="n">
        <x:v>334</x:v>
      </x:c>
      <x:c r="F121" s="16" t="n">
        <x:f>Controls!$B$5*Controls!$B$6</x:f>
        <x:v>42</x:v>
      </x:c>
      <x:c r="G121" s="16" t="n">
        <x:f>Controls!$B$8</x:f>
        <x:v>30</x:v>
      </x:c>
      <x:c r="H121" s="16" t="n">
        <x:f>Controls!$B$9</x:f>
        <x:v>6</x:v>
      </x:c>
      <x:c r="I121" s="16" t="n">
        <x:f>G121*H121</x:f>
        <x:v>180</x:v>
      </x:c>
      <x:c r="J121" s="16" t="n">
        <x:f>F121+I121</x:f>
        <x:v>222</x:v>
      </x:c>
      <x:c r="K121" s="16" t="n">
        <x:f>Controls!$B$10</x:f>
        <x:v>20</x:v>
      </x:c>
      <x:c r="L121" s="16" t="str">
        <x:v>REGISTERED</x:v>
      </x:c>
    </x:row>
    <x:row r="122" ht="24" hidden="0" customHeight="1">
      <x:c r="A122" s="16" t="str">
        <x:v>M118</x:v>
      </x:c>
      <x:c r="B122" s="16" t="str">
        <x:v>STACK-4</x:v>
      </x:c>
      <x:c r="C122" s="16" t="str">
        <x:v>I2</x:v>
      </x:c>
      <x:c r="D122" s="16" t="str">
        <x:v>SITE-1</x:v>
      </x:c>
      <x:c r="E122" s="16" t="n">
        <x:v>341</x:v>
      </x:c>
      <x:c r="F122" s="16" t="n">
        <x:f>Controls!$B$5*Controls!$B$6</x:f>
        <x:v>42</x:v>
      </x:c>
      <x:c r="G122" s="16" t="n">
        <x:f>Controls!$B$8</x:f>
        <x:v>30</x:v>
      </x:c>
      <x:c r="H122" s="16" t="n">
        <x:f>Controls!$B$9</x:f>
        <x:v>6</x:v>
      </x:c>
      <x:c r="I122" s="16" t="n">
        <x:f>G122*H122</x:f>
        <x:v>180</x:v>
      </x:c>
      <x:c r="J122" s="16" t="n">
        <x:f>F122+I122</x:f>
        <x:v>222</x:v>
      </x:c>
      <x:c r="K122" s="16" t="n">
        <x:f>Controls!$B$10</x:f>
        <x:v>20</x:v>
      </x:c>
      <x:c r="L122" s="16" t="str">
        <x:v>REGISTERED</x:v>
      </x:c>
    </x:row>
    <x:row r="123" ht="24" hidden="0" customHeight="1">
      <x:c r="A123" s="16" t="str">
        <x:v>M119</x:v>
      </x:c>
      <x:c r="B123" s="16" t="str">
        <x:v>STACK-4</x:v>
      </x:c>
      <x:c r="C123" s="16" t="str">
        <x:v>I2</x:v>
      </x:c>
      <x:c r="D123" s="16" t="str">
        <x:v>SITE-2</x:v>
      </x:c>
      <x:c r="E123" s="16" t="n">
        <x:v>341</x:v>
      </x:c>
      <x:c r="F123" s="16" t="n">
        <x:f>Controls!$B$5*Controls!$B$6</x:f>
        <x:v>42</x:v>
      </x:c>
      <x:c r="G123" s="16" t="n">
        <x:f>Controls!$B$8</x:f>
        <x:v>30</x:v>
      </x:c>
      <x:c r="H123" s="16" t="n">
        <x:f>Controls!$B$9</x:f>
        <x:v>6</x:v>
      </x:c>
      <x:c r="I123" s="16" t="n">
        <x:f>G123*H123</x:f>
        <x:v>180</x:v>
      </x:c>
      <x:c r="J123" s="16" t="n">
        <x:f>F123+I123</x:f>
        <x:v>222</x:v>
      </x:c>
      <x:c r="K123" s="16" t="n">
        <x:f>Controls!$B$10</x:f>
        <x:v>20</x:v>
      </x:c>
      <x:c r="L123" s="16" t="str">
        <x:v>REGISTERED</x:v>
      </x:c>
    </x:row>
    <x:row r="124" ht="24" hidden="0" customHeight="1">
      <x:c r="A124" s="16" t="str">
        <x:v>M120</x:v>
      </x:c>
      <x:c r="B124" s="16" t="str">
        <x:v>STACK-4</x:v>
      </x:c>
      <x:c r="C124" s="16" t="str">
        <x:v>I2</x:v>
      </x:c>
      <x:c r="D124" s="16" t="str">
        <x:v>SITE-3</x:v>
      </x:c>
      <x:c r="E124" s="16" t="n">
        <x:v>341</x:v>
      </x:c>
      <x:c r="F124" s="16" t="n">
        <x:f>Controls!$B$5*Controls!$B$6</x:f>
        <x:v>42</x:v>
      </x:c>
      <x:c r="G124" s="16" t="n">
        <x:f>Controls!$B$8</x:f>
        <x:v>30</x:v>
      </x:c>
      <x:c r="H124" s="16" t="n">
        <x:f>Controls!$B$9</x:f>
        <x:v>6</x:v>
      </x:c>
      <x:c r="I124" s="16" t="n">
        <x:f>G124*H124</x:f>
        <x:v>180</x:v>
      </x:c>
      <x:c r="J124" s="16" t="n">
        <x:f>F124+I124</x:f>
        <x:v>222</x:v>
      </x:c>
      <x:c r="K124" s="16" t="n">
        <x:f>Controls!$B$10</x:f>
        <x:v>20</x:v>
      </x:c>
      <x:c r="L124" s="16" t="str">
        <x:v>REGISTERED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4" hidden="0" customWidth="1"/>
    <x:col min="4" max="4" width="15" hidden="0" customWidth="1"/>
    <x:col min="5" max="5" width="21" hidden="0" customWidth="1"/>
    <x:col min="6" max="6" width="18" hidden="0" customWidth="1"/>
    <x:col min="7" max="7" width="17" hidden="0" customWidth="1"/>
    <x:col min="8" max="8" width="22" hidden="0" customWidth="1"/>
    <x:col min="9" max="9" width="20" hidden="0" customWidth="1"/>
    <x:col min="10" max="10" width="38" hidden="0" customWidth="1"/>
  </x:cols>
  <x:sheetData>
    <x:row r="1" ht="19.200000762939453" hidden="0" customHeight="1">
      <x:c r="A1" s="3" t="str">
        <x:v>Inherited economic exposure by mission system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15" hidden="0" customHeight="1">
      <x:c r="A2" s="7" t="str">
        <x:v>Formation capital is a screening exposure, not the USD 550B technology program and not an appropriation request.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/>
    <x:row r="4" ht="39.599998474121094" hidden="0" customHeight="1">
      <x:c r="A4" s="12" t="str">
        <x:v>System</x:v>
      </x:c>
      <x:c r="B4" s="12" t="str">
        <x:v>Demand</x:v>
      </x:c>
      <x:c r="C4" s="12" t="str">
        <x:v>N−1 inventory</x:v>
      </x:c>
      <x:c r="D4" s="12" t="str">
        <x:v>Billets</x:v>
      </x:c>
      <x:c r="E4" s="12" t="str">
        <x:v>Formation capital USD B</x:v>
      </x:c>
      <x:c r="F4" s="12" t="str">
        <x:v>Unclosed demand</x:v>
      </x:c>
      <x:c r="G4" s="12" t="str">
        <x:v>Technology USD B</x:v>
      </x:c>
      <x:c r="H4" s="12" t="str">
        <x:v>Capital / demand USD B</x:v>
      </x:c>
      <x:c r="I4" s="12" t="str">
        <x:v>Technology / capital</x:v>
      </x:c>
      <x:c r="J4" s="12" t="str">
        <x:v>Interpretation</x:v>
      </x:c>
    </x:row>
    <x:row r="5" ht="48" hidden="0" customHeight="1">
      <x:c r="A5" s="16" t="str">
        <x:v>MS-ET</x:v>
      </x:c>
      <x:c r="B5" s="16" t="n">
        <x:f>'System Contracts'!F5</x:f>
        <x:v>369</x:v>
      </x:c>
      <x:c r="C5" s="16" t="n">
        <x:f>'System Contracts'!G5</x:f>
        <x:v>827</x:v>
      </x:c>
      <x:c r="D5" s="16" t="n">
        <x:f>'System Contracts'!H5</x:f>
        <x:v>1012600</x:v>
      </x:c>
      <x:c r="E5" s="19" t="n">
        <x:f>'System Contracts'!I5</x:f>
        <x:v>2054.5</x:v>
      </x:c>
      <x:c r="F5" s="19" t="n">
        <x:f>'System Contracts'!J5</x:f>
        <x:v>201.8</x:v>
      </x:c>
      <x:c r="G5" s="19" t="n">
        <x:v>89.0234</x:v>
      </x:c>
      <x:c r="H5" s="19" t="n">
        <x:f>E5/B5</x:f>
        <x:v>5.567750677506775</x:v>
      </x:c>
      <x:c r="I5" s="20" t="n">
        <x:f>G5/E5</x:f>
        <x:v>0.0433309321002677</x:v>
      </x:c>
      <x:c r="J5" s="16" t="str">
        <x:v>Different measures; never add them.</x:v>
      </x:c>
    </x:row>
    <x:row r="6" ht="48" hidden="0" customHeight="1">
      <x:c r="A6" s="16" t="str">
        <x:v>MS-CT</x:v>
      </x:c>
      <x:c r="B6" s="16" t="n">
        <x:f>'System Contracts'!F6</x:f>
        <x:v>343</x:v>
      </x:c>
      <x:c r="C6" s="16" t="n">
        <x:f>'System Contracts'!G6</x:f>
        <x:v>724</x:v>
      </x:c>
      <x:c r="D6" s="16" t="n">
        <x:f>'System Contracts'!H6</x:f>
        <x:v>3380998</x:v>
      </x:c>
      <x:c r="E6" s="19" t="n">
        <x:f>'System Contracts'!I6</x:f>
        <x:v>1505.46</x:v>
      </x:c>
      <x:c r="F6" s="19" t="n">
        <x:f>'System Contracts'!J6</x:f>
        <x:v>161.55</x:v>
      </x:c>
      <x:c r="G6" s="19" t="n">
        <x:v>91.8728</x:v>
      </x:c>
      <x:c r="H6" s="19" t="n">
        <x:f>E6/B6</x:f>
        <x:v>4.389096209912537</x:v>
      </x:c>
      <x:c r="I6" s="20" t="n">
        <x:f>G6/E6</x:f>
        <x:v>0.06102639724735297</x:v>
      </x:c>
      <x:c r="J6" s="16" t="str">
        <x:v>Different measures; never add them.</x:v>
      </x:c>
    </x:row>
    <x:row r="7" ht="48" hidden="0" customHeight="1">
      <x:c r="A7" s="16" t="str">
        <x:v>MS-HC</x:v>
      </x:c>
      <x:c r="B7" s="16" t="n">
        <x:f>'System Contracts'!F7</x:f>
        <x:v>170</x:v>
      </x:c>
      <x:c r="C7" s="16" t="n">
        <x:f>'System Contracts'!G7</x:f>
        <x:v>370</x:v>
      </x:c>
      <x:c r="D7" s="16" t="n">
        <x:f>'System Contracts'!H7</x:f>
        <x:v>460870</x:v>
      </x:c>
      <x:c r="E7" s="19" t="n">
        <x:f>'System Contracts'!I7</x:f>
        <x:v>767.4</x:v>
      </x:c>
      <x:c r="F7" s="19" t="n">
        <x:f>'System Contracts'!J7</x:f>
        <x:v>64.44999999999999</x:v>
      </x:c>
      <x:c r="G7" s="19" t="n">
        <x:v>54.648</x:v>
      </x:c>
      <x:c r="H7" s="19" t="n">
        <x:f>E7/B7</x:f>
        <x:v>4.514117647058823</x:v>
      </x:c>
      <x:c r="I7" s="20" t="n">
        <x:f>G7/E7</x:f>
        <x:v>0.07121188428459735</x:v>
      </x:c>
      <x:c r="J7" s="16" t="str">
        <x:v>Different measures; never add them.</x:v>
      </x:c>
    </x:row>
    <x:row r="8" ht="48" hidden="0" customHeight="1">
      <x:c r="A8" s="16" t="str">
        <x:v>MS-LF</x:v>
      </x:c>
      <x:c r="B8" s="16" t="n">
        <x:f>'System Contracts'!F8</x:f>
        <x:v>256</x:v>
      </x:c>
      <x:c r="C8" s="16" t="n">
        <x:f>'System Contracts'!G8</x:f>
        <x:v>554</x:v>
      </x:c>
      <x:c r="D8" s="16" t="n">
        <x:f>'System Contracts'!H8</x:f>
        <x:v>2338110</x:v>
      </x:c>
      <x:c r="E8" s="19" t="n">
        <x:f>'System Contracts'!I8</x:f>
        <x:v>804</x:v>
      </x:c>
      <x:c r="F8" s="19" t="n">
        <x:f>'System Contracts'!J8</x:f>
        <x:v>87.65</x:v>
      </x:c>
      <x:c r="G8" s="19" t="n">
        <x:v>71.953</x:v>
      </x:c>
      <x:c r="H8" s="19" t="n">
        <x:f>E8/B8</x:f>
        <x:v>3.140625</x:v>
      </x:c>
      <x:c r="I8" s="20" t="n">
        <x:f>G8/E8</x:f>
        <x:v>0.08949378109452737</x:v>
      </x:c>
      <x:c r="J8" s="16" t="str">
        <x:v>Different measures; never add them.</x:v>
      </x:c>
    </x:row>
    <x:row r="9" ht="48" hidden="0" customHeight="1">
      <x:c r="A9" s="16" t="str">
        <x:v>MS-HU</x:v>
      </x:c>
      <x:c r="B9" s="16" t="n">
        <x:f>'System Contracts'!F9</x:f>
        <x:v>879</x:v>
      </x:c>
      <x:c r="C9" s="16" t="n">
        <x:f>'System Contracts'!G9</x:f>
        <x:v>1944</x:v>
      </x:c>
      <x:c r="D9" s="16" t="n">
        <x:f>'System Contracts'!H9</x:f>
        <x:v>3251860</x:v>
      </x:c>
      <x:c r="E9" s="19" t="n">
        <x:f>'System Contracts'!I9</x:f>
        <x:v>2482.8</x:v>
      </x:c>
      <x:c r="F9" s="19" t="n">
        <x:f>'System Contracts'!J9</x:f>
        <x:v>413.85</x:v>
      </x:c>
      <x:c r="G9" s="19" t="n">
        <x:v>153.102</x:v>
      </x:c>
      <x:c r="H9" s="19" t="n">
        <x:f>E9/B9</x:f>
        <x:v>2.824573378839591</x:v>
      </x:c>
      <x:c r="I9" s="20" t="n">
        <x:f>G9/E9</x:f>
        <x:v>0.06166505558240696</x:v>
      </x:c>
      <x:c r="J9" s="16" t="str">
        <x:v>Different measures; never add them.</x:v>
      </x:c>
    </x:row>
    <x:row r="10" ht="48" hidden="0" customHeight="1">
      <x:c r="A10" s="16" t="str">
        <x:v>MS-RT</x:v>
      </x:c>
      <x:c r="B10" s="16" t="n">
        <x:f>'System Contracts'!F10</x:f>
        <x:v>403</x:v>
      </x:c>
      <x:c r="C10" s="16" t="n">
        <x:f>'System Contracts'!G10</x:f>
        <x:v>832</x:v>
      </x:c>
      <x:c r="D10" s="16" t="n">
        <x:f>'System Contracts'!H10</x:f>
        <x:v>1020775</x:v>
      </x:c>
      <x:c r="E10" s="19" t="n">
        <x:f>'System Contracts'!I10</x:f>
        <x:v>1796.4</x:v>
      </x:c>
      <x:c r="F10" s="19" t="n">
        <x:f>'System Contracts'!J10</x:f>
        <x:v>224.25</x:v>
      </x:c>
      <x:c r="G10" s="19" t="n">
        <x:v>89.4011</x:v>
      </x:c>
      <x:c r="H10" s="19" t="n">
        <x:f>E10/B10</x:f>
        <x:v>4.457568238213399</x:v>
      </x:c>
      <x:c r="I10" s="20" t="n">
        <x:f>G10/E10</x:f>
        <x:v>0.04976681140057893</x:v>
      </x:c>
      <x:c r="J10" s="16" t="str">
        <x:v>Different measures; never add them.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5" hidden="0" customWidth="1"/>
    <x:col min="2" max="2" width="14" hidden="0" customWidth="1"/>
    <x:col min="3" max="3" width="16" hidden="0" customWidth="1"/>
    <x:col min="4" max="4" width="40" hidden="0" customWidth="1"/>
  </x:cols>
  <x:sheetData>
    <x:row r="1" ht="19.200000762939453" hidden="0" customHeight="1">
      <x:c r="A1" s="3" t="str">
        <x:v>Governing model controls</x:v>
      </x:c>
      <x:c r="B1" s="3"/>
      <x:c r="C1" s="3"/>
      <x:c r="D1" s="3"/>
      <x:c r="E1" s="3"/>
      <x:c r="F1" s="3"/>
    </x:row>
    <x:row r="2" ht="24" hidden="0" customHeight="1">
      <x:c r="A2" s="7" t="str">
        <x:v>Blue values are constitutional inputs inherited or selected in Passes 167–172.</x:v>
      </x:c>
      <x:c r="B2" s="7"/>
      <x:c r="C2" s="7"/>
      <x:c r="D2" s="7"/>
      <x:c r="E2" s="7"/>
      <x:c r="F2" s="7"/>
    </x:row>
    <x:row r="3"/>
    <x:row r="4" ht="15" hidden="0" customHeight="1">
      <x:c r="A4" s="12" t="str">
        <x:v>Control</x:v>
      </x:c>
      <x:c r="B4" s="12" t="str">
        <x:v>Value</x:v>
      </x:c>
      <x:c r="C4" s="12" t="str">
        <x:v>Unit</x:v>
      </x:c>
      <x:c r="D4" s="12" t="str">
        <x:v>Authority</x:v>
      </x:c>
    </x:row>
    <x:row r="5" ht="24" hidden="0" customHeight="1">
      <x:c r="A5" s="16" t="str">
        <x:v>Mission systems</x:v>
      </x:c>
      <x:c r="B5" s="21" t="n">
        <x:v>6</x:v>
      </x:c>
      <x:c r="C5" s="16" t="str">
        <x:v>count</x:v>
      </x:c>
      <x:c r="D5" s="16" t="str">
        <x:v>Pass 168</x:v>
      </x:c>
    </x:row>
    <x:row r="6" ht="24" hidden="0" customHeight="1">
      <x:c r="A6" s="16" t="str">
        <x:v>Service stages</x:v>
      </x:c>
      <x:c r="B6" s="21" t="n">
        <x:v>7</x:v>
      </x:c>
      <x:c r="C6" s="16" t="str">
        <x:v>count</x:v>
      </x:c>
      <x:c r="D6" s="16" t="str">
        <x:v>Pass 172</x:v>
      </x:c>
    </x:row>
    <x:row r="7" ht="36" hidden="0" customHeight="1">
      <x:c r="A7" s="16" t="str">
        <x:v>Unordered system pairs</x:v>
      </x:c>
      <x:c r="B7" s="21" t="n">
        <x:v>15</x:v>
      </x:c>
      <x:c r="C7" s="16" t="str">
        <x:v>count</x:v>
      </x:c>
      <x:c r="D7" s="16" t="str">
        <x:v>Combinatorial: 6 choose 2</x:v>
      </x:c>
    </x:row>
    <x:row r="8" ht="36" hidden="0" customHeight="1">
      <x:c r="A8" s="16" t="str">
        <x:v>Directed interfaces</x:v>
      </x:c>
      <x:c r="B8" s="21" t="n">
        <x:v>30</x:v>
      </x:c>
      <x:c r="C8" s="16" t="str">
        <x:v>count</x:v>
      </x:c>
      <x:c r="D8" s="16" t="str">
        <x:v>Two directions per pair</x:v>
      </x:c>
    </x:row>
    <x:row r="9" ht="24" hidden="0" customHeight="1">
      <x:c r="A9" s="16" t="str">
        <x:v>Exchange domains</x:v>
      </x:c>
      <x:c r="B9" s="21" t="n">
        <x:v>6</x:v>
      </x:c>
      <x:c r="C9" s="16" t="str">
        <x:v>count</x:v>
      </x:c>
      <x:c r="D9" s="16" t="str">
        <x:v>Pass 172</x:v>
      </x:c>
    </x:row>
    <x:row r="10" ht="36" hidden="0" customHeight="1">
      <x:c r="A10" s="16" t="str">
        <x:v>Mandatory record fields</x:v>
      </x:c>
      <x:c r="B10" s="21" t="n">
        <x:v>20</x:v>
      </x:c>
      <x:c r="C10" s="16" t="str">
        <x:v>count</x:v>
      </x:c>
      <x:c r="D10" s="16" t="str">
        <x:v>Pass 172</x:v>
      </x:c>
    </x:row>
    <x:row r="11" ht="24" hidden="0" customHeight="1">
      <x:c r="A11" s="16" t="str">
        <x:v>Service routes</x:v>
      </x:c>
      <x:c r="B11" s="21" t="n">
        <x:v>28</x:v>
      </x:c>
      <x:c r="C11" s="16" t="str">
        <x:v>count</x:v>
      </x:c>
      <x:c r="D11" s="16" t="str">
        <x:v>Pass 172</x:v>
      </x:c>
    </x:row>
    <x:row r="12" ht="24" hidden="0" customHeight="1">
      <x:c r="A12" s="16" t="str">
        <x:v>Formation families</x:v>
      </x:c>
      <x:c r="B12" s="21" t="n">
        <x:v>48</x:v>
      </x:c>
      <x:c r="C12" s="16" t="str">
        <x:v>count</x:v>
      </x:c>
      <x:c r="D12" s="16" t="str">
        <x:v>Pass 168</x:v>
      </x:c>
    </x:row>
    <x:row r="13" ht="24" hidden="0" customHeight="1">
      <x:c r="A13" s="16" t="str">
        <x:v>Registered missions</x:v>
      </x:c>
      <x:c r="B13" s="21" t="n">
        <x:v>120</x:v>
      </x:c>
      <x:c r="C13" s="16" t="str">
        <x:v>count</x:v>
      </x:c>
      <x:c r="D13" s="16" t="str">
        <x:v>Pass 171</x:v>
      </x:c>
    </x:row>
    <x:row r="14" ht="24" hidden="0" customHeight="1">
      <x:c r="A14" s="16" t="str">
        <x:v>Program envelope</x:v>
      </x:c>
      <x:c r="B14" s="21" t="n">
        <x:v>1000</x:v>
      </x:c>
      <x:c r="C14" s="16" t="str">
        <x:v>USD B</x:v>
      </x:c>
      <x:c r="D14" s="16" t="str">
        <x:v>Pass 166</x:v>
      </x:c>
    </x:row>
    <x:row r="15" ht="36" hidden="0" customHeight="1">
      <x:c r="A15" s="16" t="str">
        <x:v>Mission-system technology</x:v>
      </x:c>
      <x:c r="B15" s="21" t="n">
        <x:v>550</x:v>
      </x:c>
      <x:c r="C15" s="16" t="str">
        <x:v>USD B</x:v>
      </x:c>
      <x:c r="D15" s="16" t="str">
        <x:v>Pass 166</x:v>
      </x:c>
    </x:row>
    <x:row r="16" ht="24" hidden="0" customHeight="1">
      <x:c r="A16" s="16" t="str">
        <x:v>Quantity credit</x:v>
      </x:c>
      <x:c r="B16" s="21" t="n">
        <x:v>0</x:v>
      </x:c>
      <x:c r="C16" s="16" t="str">
        <x:v>formations</x:v>
      </x:c>
      <x:c r="D16" s="16" t="str">
        <x:v>Blocked</x:v>
      </x:c>
    </x:row>
    <x:row r="17" ht="24" hidden="0" customHeight="1">
      <x:c r="A17" s="16" t="str">
        <x:v>Rendering authority</x:v>
      </x:c>
      <x:c r="B17" s="21" t="n">
        <x:v>0</x:v>
      </x:c>
      <x:c r="C17" s="16" t="str">
        <x:v>boolean</x:v>
      </x:c>
      <x:c r="D17" s="16" t="str">
        <x:v>Blocked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0" hidden="0" customWidth="1"/>
    <x:col min="2" max="2" width="18" hidden="0" customWidth="1"/>
    <x:col min="3" max="3" width="18" hidden="0" customWidth="1"/>
    <x:col min="4" max="4" width="14" hidden="0" customWidth="1"/>
  </x:cols>
  <x:sheetData>
    <x:row r="1" ht="19.200000762939453" hidden="0" customHeight="1">
      <x:c r="A1" s="3" t="str">
        <x:v>Formula-driven audit ledger</x:v>
      </x:c>
      <x:c r="B1" s="3"/>
      <x:c r="C1" s="3"/>
      <x:c r="D1" s="3"/>
      <x:c r="E1" s="3"/>
      <x:c r="F1" s="3"/>
    </x:row>
    <x:row r="2" ht="15" hidden="0" customHeight="1">
      <x:c r="A2" s="7" t="str">
        <x:v>Every check must pass before the workbook is accepted.</x:v>
      </x:c>
      <x:c r="B2" s="7"/>
      <x:c r="C2" s="7"/>
      <x:c r="D2" s="7"/>
      <x:c r="E2" s="7"/>
      <x:c r="F2" s="7"/>
    </x:row>
    <x:row r="3"/>
    <x:row r="4" ht="15" hidden="0" customHeight="1">
      <x:c r="A4" s="12" t="str">
        <x:v>Audit</x:v>
      </x:c>
      <x:c r="B4" s="12" t="str">
        <x:v>Observed</x:v>
      </x:c>
      <x:c r="C4" s="12" t="str">
        <x:v>Expected</x:v>
      </x:c>
      <x:c r="D4" s="12" t="str">
        <x:v>Result</x:v>
      </x:c>
    </x:row>
    <x:row r="5" ht="24" hidden="0" customHeight="1">
      <x:c r="A5" s="16" t="str">
        <x:v>System count</x:v>
      </x:c>
      <x:c r="B5" s="16" t="n">
        <x:f>COUNTA('System Contracts'!$A$5:$A$10)</x:f>
        <x:v>6</x:v>
      </x:c>
      <x:c r="C5" s="16" t="n">
        <x:v>6</x:v>
      </x:c>
      <x:c r="D5" s="16" t="str">
        <x:f>IF(ABS(B5-C5)&lt;0.0001,"PASS","FAIL")</x:f>
        <x:v>PASS</x:v>
      </x:c>
    </x:row>
    <x:row r="6" ht="24" hidden="0" customHeight="1">
      <x:c r="A6" s="16" t="str">
        <x:v>Route count</x:v>
      </x:c>
      <x:c r="B6" s="16" t="n">
        <x:f>COUNTA(Routes!$A$5:$A$32)</x:f>
        <x:v>28</x:v>
      </x:c>
      <x:c r="C6" s="16" t="n">
        <x:v>28</x:v>
      </x:c>
      <x:c r="D6" s="16" t="str">
        <x:f>IF(ABS(B6-C6)&lt;0.0001,"PASS","FAIL")</x:f>
        <x:v>PASS</x:v>
      </x:c>
    </x:row>
    <x:row r="7" ht="24" hidden="0" customHeight="1">
      <x:c r="A7" s="16" t="str">
        <x:v>Family count</x:v>
      </x:c>
      <x:c r="B7" s="16" t="n">
        <x:f>COUNTA('Family Allocation'!$A$5:$A$52)</x:f>
        <x:v>48</x:v>
      </x:c>
      <x:c r="C7" s="16" t="n">
        <x:v>48</x:v>
      </x:c>
      <x:c r="D7" s="16" t="str">
        <x:f>IF(ABS(B7-C7)&lt;0.0001,"PASS","FAIL")</x:f>
        <x:v>PASS</x:v>
      </x:c>
    </x:row>
    <x:row r="8" ht="24" hidden="0" customHeight="1">
      <x:c r="A8" s="16" t="str">
        <x:v>Mapped families</x:v>
      </x:c>
      <x:c r="B8" s="16" t="n">
        <x:f>COUNTA('Family Allocation'!$B$5:$B$52)</x:f>
        <x:v>48</x:v>
      </x:c>
      <x:c r="C8" s="16" t="n">
        <x:v>48</x:v>
      </x:c>
      <x:c r="D8" s="16" t="str">
        <x:f>IF(ABS(B8-C8)&lt;0.0001,"PASS","FAIL")</x:f>
        <x:v>PASS</x:v>
      </x:c>
    </x:row>
    <x:row r="9" ht="24" hidden="0" customHeight="1">
      <x:c r="A9" s="16" t="str">
        <x:v>Orphan routes</x:v>
      </x:c>
      <x:c r="B9" s="16" t="n">
        <x:f>COUNTA('Family Allocation'!$B$5:$B$52)-SUM(Routes!$D$5:$D$32)</x:f>
        <x:v>0</x:v>
      </x:c>
      <x:c r="C9" s="16" t="n">
        <x:v>0</x:v>
      </x:c>
      <x:c r="D9" s="16" t="str">
        <x:f>IF(ABS(B9-C9)&lt;0.0001,"PASS","FAIL")</x:f>
        <x:v>PASS</x:v>
      </x:c>
    </x:row>
    <x:row r="10" ht="24" hidden="0" customHeight="1">
      <x:c r="A10" s="16" t="str">
        <x:v>Demand total</x:v>
      </x:c>
      <x:c r="B10" s="16" t="n">
        <x:f>SUM('System Contracts'!$F$5:$F$10)</x:f>
        <x:v>2420</x:v>
      </x:c>
      <x:c r="C10" s="16" t="n">
        <x:v>2420</x:v>
      </x:c>
      <x:c r="D10" s="16" t="str">
        <x:f>IF(ABS(B10-C10)&lt;0.0001,"PASS","FAIL")</x:f>
        <x:v>PASS</x:v>
      </x:c>
    </x:row>
    <x:row r="11" ht="24" hidden="0" customHeight="1">
      <x:c r="A11" s="16" t="str">
        <x:v>Inventory total</x:v>
      </x:c>
      <x:c r="B11" s="16" t="n">
        <x:f>SUM('System Contracts'!$G$5:$G$10)</x:f>
        <x:v>5251</x:v>
      </x:c>
      <x:c r="C11" s="16" t="n">
        <x:v>5251</x:v>
      </x:c>
      <x:c r="D11" s="16" t="str">
        <x:f>IF(ABS(B11-C11)&lt;0.0001,"PASS","FAIL")</x:f>
        <x:v>PASS</x:v>
      </x:c>
    </x:row>
    <x:row r="12" ht="15" hidden="0" customHeight="1">
      <x:c r="A12" s="16" t="str">
        <x:v>Billets total</x:v>
      </x:c>
      <x:c r="B12" s="16" t="n">
        <x:f>SUM('System Contracts'!$H$5:$H$10)</x:f>
        <x:v>11465213</x:v>
      </x:c>
      <x:c r="C12" s="16" t="n">
        <x:v>11465213</x:v>
      </x:c>
      <x:c r="D12" s="16" t="str">
        <x:f>IF(ABS(B12-C12)&lt;0.0001,"PASS","FAIL")</x:f>
        <x:v>PASS</x:v>
      </x:c>
    </x:row>
    <x:row r="13" ht="15" hidden="0" customHeight="1">
      <x:c r="A13" s="16" t="str">
        <x:v>Capital total</x:v>
      </x:c>
      <x:c r="B13" s="16" t="n">
        <x:f>SUM('System Contracts'!$I$5:$I$10)</x:f>
        <x:v>9410.56</x:v>
      </x:c>
      <x:c r="C13" s="16" t="n">
        <x:v>9410.56</x:v>
      </x:c>
      <x:c r="D13" s="16" t="str">
        <x:f>IF(ABS(B13-C13)&lt;0.0001,"PASS","FAIL")</x:f>
        <x:v>PASS</x:v>
      </x:c>
    </x:row>
    <x:row r="14" ht="24" hidden="0" customHeight="1">
      <x:c r="A14" s="16" t="str">
        <x:v>Unclosed total</x:v>
      </x:c>
      <x:c r="B14" s="16" t="n">
        <x:f>SUM('System Contracts'!$J$5:$J$10)</x:f>
        <x:v>1153.5500000000002</x:v>
      </x:c>
      <x:c r="C14" s="16" t="n">
        <x:v>1153.55</x:v>
      </x:c>
      <x:c r="D14" s="16" t="str">
        <x:f>IF(ABS(B14-C14)&lt;0.0001,"PASS","FAIL")</x:f>
        <x:v>PASS</x:v>
      </x:c>
    </x:row>
    <x:row r="15" ht="24" hidden="0" customHeight="1">
      <x:c r="A15" s="16" t="str">
        <x:v>Technology total</x:v>
      </x:c>
      <x:c r="B15" s="16" t="n">
        <x:f>SUM('System Contracts'!$K$5:$K$10)</x:f>
        <x:v>550.0003</x:v>
      </x:c>
      <x:c r="C15" s="16" t="n">
        <x:v>550.0003</x:v>
      </x:c>
      <x:c r="D15" s="16" t="str">
        <x:f>IF(ABS(B15-C15)&lt;0.0001,"PASS","FAIL")</x:f>
        <x:v>PASS</x:v>
      </x:c>
    </x:row>
    <x:row r="16" ht="24" hidden="0" customHeight="1">
      <x:c r="A16" s="16" t="str">
        <x:v>Stage definitions</x:v>
      </x:c>
      <x:c r="B16" s="16" t="n">
        <x:f>COUNTA('Service Stages'!$A$5:$A$11)</x:f>
        <x:v>7</x:v>
      </x:c>
      <x:c r="C16" s="16" t="n">
        <x:v>7</x:v>
      </x:c>
      <x:c r="D16" s="16" t="str">
        <x:f>IF(ABS(B16-C16)&lt;0.0001,"PASS","FAIL")</x:f>
        <x:v>PASS</x:v>
      </x:c>
    </x:row>
    <x:row r="17" ht="24" hidden="0" customHeight="1">
      <x:c r="A17" s="16" t="str">
        <x:v>State-vector cells</x:v>
      </x:c>
      <x:c r="B17" s="16" t="n">
        <x:f>COUNTA('Stage Vector'!$A$5:$A$46)</x:f>
        <x:v>42</x:v>
      </x:c>
      <x:c r="C17" s="16" t="n">
        <x:v>42</x:v>
      </x:c>
      <x:c r="D17" s="16" t="str">
        <x:f>IF(ABS(B17-C17)&lt;0.0001,"PASS","FAIL")</x:f>
        <x:v>PASS</x:v>
      </x:c>
    </x:row>
    <x:row r="18" ht="24" hidden="0" customHeight="1">
      <x:c r="A18" s="16" t="str">
        <x:v>Route-stage rows</x:v>
      </x:c>
      <x:c r="B18" s="16" t="n">
        <x:f>COUNTA('Route-Stage Ledger'!$A$5:$A$200)</x:f>
        <x:v>196</x:v>
      </x:c>
      <x:c r="C18" s="16" t="n">
        <x:v>196</x:v>
      </x:c>
      <x:c r="D18" s="16" t="str">
        <x:f>IF(ABS(B18-C18)&lt;0.0001,"PASS","FAIL")</x:f>
        <x:v>PASS</x:v>
      </x:c>
    </x:row>
    <x:row r="19" ht="24" hidden="0" customHeight="1">
      <x:c r="A19" s="16" t="str">
        <x:v>Exchange domains</x:v>
      </x:c>
      <x:c r="B19" s="16" t="n">
        <x:f>COUNTA('Exchange Domains'!$A$5:$A$10)</x:f>
        <x:v>6</x:v>
      </x:c>
      <x:c r="C19" s="16" t="n">
        <x:v>6</x:v>
      </x:c>
      <x:c r="D19" s="16" t="str">
        <x:f>IF(ABS(B19-C19)&lt;0.0001,"PASS","FAIL")</x:f>
        <x:v>PASS</x:v>
      </x:c>
    </x:row>
    <x:row r="20" ht="24" hidden="0" customHeight="1">
      <x:c r="A20" s="16" t="str">
        <x:v>Schema fields</x:v>
      </x:c>
      <x:c r="B20" s="16" t="n">
        <x:f>COUNTA('Exchange Schema'!$A$5:$A$24)</x:f>
        <x:v>20</x:v>
      </x:c>
      <x:c r="C20" s="16" t="n">
        <x:v>20</x:v>
      </x:c>
      <x:c r="D20" s="16" t="str">
        <x:f>IF(ABS(B20-C20)&lt;0.0001,"PASS","FAIL")</x:f>
        <x:v>PASS</x:v>
      </x:c>
    </x:row>
    <x:row r="21" ht="24" hidden="0" customHeight="1">
      <x:c r="A21" s="16" t="str">
        <x:v>Directed interfaces</x:v>
      </x:c>
      <x:c r="B21" s="16" t="n">
        <x:f>COUNTA('Directed Interfaces'!$A$5:$A$34)</x:f>
        <x:v>30</x:v>
      </x:c>
      <x:c r="C21" s="16" t="n">
        <x:v>30</x:v>
      </x:c>
      <x:c r="D21" s="16" t="str">
        <x:f>IF(ABS(B21-C21)&lt;0.0001,"PASS","FAIL")</x:f>
        <x:v>PASS</x:v>
      </x:c>
    </x:row>
    <x:row r="22" ht="24" hidden="0" customHeight="1">
      <x:c r="A22" s="16" t="str">
        <x:v>System-route assignments</x:v>
      </x:c>
      <x:c r="B22" s="16" t="n">
        <x:f>COUNTIF('Family Allocation'!$W$5:$W$52,"PASS")</x:f>
        <x:v>48</x:v>
      </x:c>
      <x:c r="C22" s="16" t="n">
        <x:v>48</x:v>
      </x:c>
      <x:c r="D22" s="16" t="str">
        <x:f>IF(ABS(B22-C22)&lt;0.0001,"PASS","FAIL")</x:f>
        <x:v>PASS</x:v>
      </x:c>
    </x:row>
    <x:row r="23" ht="24" hidden="0" customHeight="1">
      <x:c r="A23" s="16" t="str">
        <x:v>Receiver count</x:v>
      </x:c>
      <x:c r="B23" s="16" t="n">
        <x:f>COUNTA('Directed Interfaces'!$C$5:$C$34)</x:f>
        <x:v>30</x:v>
      </x:c>
      <x:c r="C23" s="16" t="n">
        <x:v>30</x:v>
      </x:c>
      <x:c r="D23" s="16" t="str">
        <x:f>IF(ABS(B23-C23)&lt;0.0001,"PASS","FAIL")</x:f>
        <x:v>PASS</x:v>
      </x:c>
    </x:row>
    <x:row r="24" ht="24" hidden="0" customHeight="1">
      <x:c r="A24" s="16" t="str">
        <x:v>Campaign missions</x:v>
      </x:c>
      <x:c r="B24" s="16" t="n">
        <x:f>COUNTA('Campaign Register'!$A$5:$A$124)</x:f>
        <x:v>120</x:v>
      </x:c>
      <x:c r="C24" s="16" t="n">
        <x:v>120</x:v>
      </x:c>
      <x:c r="D24" s="16" t="str">
        <x:f>IF(ABS(B24-C24)&lt;0.0001,"PASS","FAIL")</x:f>
        <x:v>PASS</x:v>
      </x:c>
    </x:row>
    <x:row r="25" ht="24" hidden="0" customHeight="1">
      <x:c r="A25" s="16" t="str">
        <x:v>Stage judgments</x:v>
      </x:c>
      <x:c r="B25" s="16" t="n">
        <x:f>SUM('Campaign Register'!$F$5:$F$124)</x:f>
        <x:v>5040</x:v>
      </x:c>
      <x:c r="C25" s="16" t="n">
        <x:v>5040</x:v>
      </x:c>
      <x:c r="D25" s="16" t="str">
        <x:f>IF(ABS(B25-C25)&lt;0.0001,"PASS","FAIL")</x:f>
        <x:v>PASS</x:v>
      </x:c>
    </x:row>
    <x:row r="26" ht="24" hidden="0" customHeight="1">
      <x:c r="A26" s="16" t="str">
        <x:v>Exchange records</x:v>
      </x:c>
      <x:c r="B26" s="16" t="n">
        <x:f>SUM('Campaign Register'!$G$5:$G$124)</x:f>
        <x:v>3600</x:v>
      </x:c>
      <x:c r="C26" s="16" t="n">
        <x:v>3600</x:v>
      </x:c>
      <x:c r="D26" s="16" t="str">
        <x:f>IF(ABS(B26-C26)&lt;0.0001,"PASS","FAIL")</x:f>
        <x:v>PASS</x:v>
      </x:c>
    </x:row>
    <x:row r="27" ht="24" hidden="0" customHeight="1">
      <x:c r="A27" s="16" t="str">
        <x:v>Domain judgments</x:v>
      </x:c>
      <x:c r="B27" s="16" t="n">
        <x:f>SUM('Campaign Register'!$I$5:$I$124)</x:f>
        <x:v>21600</x:v>
      </x:c>
      <x:c r="C27" s="16" t="n">
        <x:v>21600</x:v>
      </x:c>
      <x:c r="D27" s="16" t="str">
        <x:f>IF(ABS(B27-C27)&lt;0.0001,"PASS","FAIL")</x:f>
        <x:v>PASS</x:v>
      </x:c>
    </x:row>
    <x:row r="28" ht="24" hidden="0" customHeight="1">
      <x:c r="A28" s="16" t="str">
        <x:v>Total decisions</x:v>
      </x:c>
      <x:c r="B28" s="16" t="n">
        <x:f>SUM('Campaign Register'!$J$5:$J$124)</x:f>
        <x:v>26640</x:v>
      </x:c>
      <x:c r="C28" s="16" t="n">
        <x:v>26640</x:v>
      </x:c>
      <x:c r="D28" s="16" t="str">
        <x:f>IF(ABS(B28-C28)&lt;0.0001,"PASS","FAIL")</x:f>
        <x:v>PASS</x:v>
      </x:c>
    </x:row>
    <x:row r="29" ht="24" hidden="0" customHeight="1">
      <x:c r="A29" s="16" t="str">
        <x:v>Field instances</x:v>
      </x:c>
      <x:c r="B29" s="16" t="n">
        <x:f>SUMPRODUCT('Campaign Register'!$G$5:$G$124,'Campaign Register'!$K$5:$K$124)</x:f>
        <x:v>72000</x:v>
      </x:c>
      <x:c r="C29" s="16" t="n">
        <x:v>72000</x:v>
      </x:c>
      <x:c r="D29" s="16" t="str">
        <x:f>IF(ABS(B29-C29)&lt;0.0001,"PASS","FAIL")</x:f>
        <x:v>PASS</x:v>
      </x:c>
    </x:row>
    <x:row r="30" ht="24" hidden="0" customHeight="1">
      <x:c r="A30" s="16" t="str">
        <x:v>Selected candidates</x:v>
      </x:c>
      <x:c r="B30" s="16" t="n">
        <x:f>COUNTIF(Candidates!$H$5:$H$9,"SELECT")</x:f>
        <x:v>1</x:v>
      </x:c>
      <x:c r="C30" s="16" t="n">
        <x:v>1</x:v>
      </x:c>
      <x:c r="D30" s="16" t="str">
        <x:f>IF(ABS(B30-C30)&lt;0.0001,"PASS","FAIL")</x:f>
        <x:v>PASS</x:v>
      </x:c>
    </x:row>
    <x:row r="31" ht="24" hidden="0" customHeight="1">
      <x:c r="A31" s="16" t="str">
        <x:v>Rejected candidates</x:v>
      </x:c>
      <x:c r="B31" s="16" t="n">
        <x:f>COUNTIF(Candidates!$H$5:$H$9,"REJECT")</x:f>
        <x:v>4</x:v>
      </x:c>
      <x:c r="C31" s="16" t="n">
        <x:v>4</x:v>
      </x:c>
      <x:c r="D31" s="16" t="str">
        <x:f>IF(ABS(B31-C31)&lt;0.0001,"PASS","FAIL")</x:f>
        <x:v>PASS</x:v>
      </x:c>
    </x:row>
    <x:row r="32" ht="36" hidden="0" customHeight="1">
      <x:c r="A32" s="16" t="str">
        <x:v>Quantity credit blocked</x:v>
      </x:c>
      <x:c r="B32" s="16" t="n">
        <x:f>Controls!$B$16</x:f>
        <x:v>0</x:v>
      </x:c>
      <x:c r="C32" s="16" t="n">
        <x:v>0</x:v>
      </x:c>
      <x:c r="D32" s="16" t="str">
        <x:f>IF(ABS(B32-C32)&lt;0.0001,"PASS","FAIL")</x:f>
        <x:v>PASS</x:v>
      </x:c>
    </x:row>
    <x:row r="33" ht="24" hidden="0" customHeight="1">
      <x:c r="A33" s="16" t="str">
        <x:v>Rendering blocked</x:v>
      </x:c>
      <x:c r="B33" s="16" t="n">
        <x:f>Controls!$B$17</x:f>
        <x:v>0</x:v>
      </x:c>
      <x:c r="C33" s="16" t="n">
        <x:v>0</x:v>
      </x:c>
      <x:c r="D33" s="16" t="str">
        <x:f>IF(ABS(B33-C33)&lt;0.0001,"PASS","FAIL")</x:f>
        <x:v>PASS</x:v>
      </x:c>
    </x:row>
    <x:row r="34" ht="15" hidden="0" customHeight="1">
      <x:c r="A34" s="16" t="str">
        <x:v>C1 load</x:v>
      </x:c>
      <x:c r="B34" s="16" t="n">
        <x:f>SUM('Route Campaign'!$D$5:$D$32)</x:f>
        <x:v>204</x:v>
      </x:c>
      <x:c r="C34" s="16" t="n">
        <x:v>204</x:v>
      </x:c>
      <x:c r="D34" s="16" t="str">
        <x:f>IF(ABS(B34-C34)&lt;0.0001,"PASS","FAIL")</x:f>
        <x:v>PASS</x:v>
      </x:c>
    </x:row>
    <x:row r="35" ht="15" hidden="0" customHeight="1">
      <x:c r="A35" s="16" t="str">
        <x:v>C2 load</x:v>
      </x:c>
      <x:c r="B35" s="16" t="n">
        <x:f>SUM('Route Campaign'!$E$5:$E$32)</x:f>
        <x:v>279</x:v>
      </x:c>
      <x:c r="C35" s="16" t="n">
        <x:v>279</x:v>
      </x:c>
      <x:c r="D35" s="16" t="str">
        <x:f>IF(ABS(B35-C35)&lt;0.0001,"PASS","FAIL")</x:f>
        <x:v>PASS</x:v>
      </x:c>
    </x:row>
    <x:row r="36" ht="15" hidden="0" customHeight="1">
      <x:c r="A36" s="16" t="str">
        <x:v>C3 load</x:v>
      </x:c>
      <x:c r="B36" s="16" t="n">
        <x:f>SUM('Route Campaign'!$F$5:$F$32)</x:f>
        <x:v>362</x:v>
      </x:c>
      <x:c r="C36" s="16" t="n">
        <x:v>362</x:v>
      </x:c>
      <x:c r="D36" s="16" t="str">
        <x:f>IF(ABS(B36-C36)&lt;0.0001,"PASS","FAIL")</x:f>
        <x:v>PASS</x:v>
      </x:c>
    </x:row>
    <x:row r="37" ht="15" hidden="0" customHeight="1">
      <x:c r="A37" s="16" t="str">
        <x:v>M1 load</x:v>
      </x:c>
      <x:c r="B37" s="16" t="n">
        <x:f>SUM('Route Campaign'!$G$5:$G$32)</x:f>
        <x:v>134</x:v>
      </x:c>
      <x:c r="C37" s="16" t="n">
        <x:v>134</x:v>
      </x:c>
      <x:c r="D37" s="16" t="str">
        <x:f>IF(ABS(B37-C37)&lt;0.0001,"PASS","FAIL")</x:f>
        <x:v>PASS</x:v>
      </x:c>
    </x:row>
    <x:row r="38" ht="15" hidden="0" customHeight="1">
      <x:c r="A38" s="16" t="str">
        <x:v>M2 load</x:v>
      </x:c>
      <x:c r="B38" s="16" t="n">
        <x:f>SUM('Route Campaign'!$H$5:$H$32)</x:f>
        <x:v>164</x:v>
      </x:c>
      <x:c r="C38" s="16" t="n">
        <x:v>164</x:v>
      </x:c>
      <x:c r="D38" s="16" t="str">
        <x:f>IF(ABS(B38-C38)&lt;0.0001,"PASS","FAIL")</x:f>
        <x:v>PASS</x:v>
      </x:c>
    </x:row>
    <x:row r="39" ht="15" hidden="0" customHeight="1">
      <x:c r="A39" s="16" t="str">
        <x:v>M3 load</x:v>
      </x:c>
      <x:c r="B39" s="16" t="n">
        <x:f>SUM('Route Campaign'!$I$5:$I$32)</x:f>
        <x:v>192</x:v>
      </x:c>
      <x:c r="C39" s="16" t="n">
        <x:v>192</x:v>
      </x:c>
      <x:c r="D39" s="16" t="str">
        <x:f>IF(ABS(B39-C39)&lt;0.0001,"PASS","FAIL")</x:f>
        <x:v>PASS</x:v>
      </x:c>
    </x:row>
    <x:row r="40" ht="15" hidden="0" customHeight="1">
      <x:c r="A40" s="16" t="str">
        <x:v>M4 load</x:v>
      </x:c>
      <x:c r="B40" s="16" t="n">
        <x:f>SUM('Route Campaign'!$J$5:$J$32)</x:f>
        <x:v>217</x:v>
      </x:c>
      <x:c r="C40" s="16" t="n">
        <x:v>217</x:v>
      </x:c>
      <x:c r="D40" s="16" t="str">
        <x:f>IF(ABS(B40-C40)&lt;0.0001,"PASS","FAIL")</x:f>
        <x:v>PASS</x:v>
      </x:c>
    </x:row>
    <x:row r="41" ht="15" hidden="0" customHeight="1">
      <x:c r="A41" s="16" t="str">
        <x:v>M5 load</x:v>
      </x:c>
      <x:c r="B41" s="16" t="n">
        <x:f>SUM('Route Campaign'!$K$5:$K$32)</x:f>
        <x:v>193</x:v>
      </x:c>
      <x:c r="C41" s="16" t="n">
        <x:v>193</x:v>
      </x:c>
      <x:c r="D41" s="16" t="str">
        <x:f>IF(ABS(B41-C41)&lt;0.0001,"PASS","FAIL")</x:f>
        <x:v>PASS</x:v>
      </x:c>
    </x:row>
    <x:row r="42" ht="15" hidden="0" customHeight="1">
      <x:c r="A42" s="16" t="str">
        <x:v>I1 load</x:v>
      </x:c>
      <x:c r="B42" s="16" t="n">
        <x:f>SUM('Route Campaign'!$L$5:$L$32)</x:f>
        <x:v>334</x:v>
      </x:c>
      <x:c r="C42" s="16" t="n">
        <x:v>334</x:v>
      </x:c>
      <x:c r="D42" s="16" t="str">
        <x:f>IF(ABS(B42-C42)&lt;0.0001,"PASS","FAIL")</x:f>
        <x:v>PASS</x:v>
      </x:c>
    </x:row>
    <x:row r="43" ht="15" hidden="0" customHeight="1">
      <x:c r="A43" s="16" t="str">
        <x:v>I2 load</x:v>
      </x:c>
      <x:c r="B43" s="16" t="n">
        <x:f>SUM('Route Campaign'!$M$5:$M$32)</x:f>
        <x:v>341</x:v>
      </x:c>
      <x:c r="C43" s="16" t="n">
        <x:v>341</x:v>
      </x:c>
      <x:c r="D43" s="16" t="str">
        <x:f>IF(ABS(B43-C43)&lt;0.0001,"PASS","FAIL")</x:f>
        <x:v>PASS</x:v>
      </x:c>
    </x:row>
    <x:row r="44" ht="48" hidden="0" customHeight="1">
      <x:c r="A44" s="16" t="str">
        <x:v>Route family reconciliation</x:v>
      </x:c>
      <x:c r="B44" s="16" t="n">
        <x:f>SUM(Routes!$D$5:$D$32)</x:f>
        <x:v>48</x:v>
      </x:c>
      <x:c r="C44" s="16" t="n">
        <x:v>48</x:v>
      </x:c>
      <x:c r="D44" s="16" t="str">
        <x:f>IF(ABS(B44-C44)&lt;0.0001,"PASS","FAIL")</x:f>
        <x:v>PASS</x:v>
      </x:c>
    </x:row>
    <x:row r="45" ht="48" hidden="0" customHeight="1">
      <x:c r="A45" s="16" t="str">
        <x:v>Route demand reconciliation</x:v>
      </x:c>
      <x:c r="B45" s="16" t="n">
        <x:f>SUM(Routes!$E$5:$E$32)</x:f>
        <x:v>2420</x:v>
      </x:c>
      <x:c r="C45" s="16" t="n">
        <x:v>2420</x:v>
      </x:c>
      <x:c r="D45" s="16" t="str">
        <x:f>IF(ABS(B45-C45)&lt;0.0001,"PASS","FAIL")</x:f>
        <x:v>PASS</x:v>
      </x:c>
    </x:row>
    <x:row r="46" ht="48" hidden="0" customHeight="1">
      <x:c r="A46" s="16" t="str">
        <x:v>Route inventory reconciliation</x:v>
      </x:c>
      <x:c r="B46" s="16" t="n">
        <x:f>SUM(Routes!$F$5:$F$32)</x:f>
        <x:v>5251</x:v>
      </x:c>
      <x:c r="C46" s="16" t="n">
        <x:v>5251</x:v>
      </x:c>
      <x:c r="D46" s="16" t="str">
        <x:f>IF(ABS(B46-C46)&lt;0.0001,"PASS","FAIL")</x:f>
        <x:v>PASS</x:v>
      </x:c>
    </x:row>
    <x:row r="47" ht="48" hidden="0" customHeight="1">
      <x:c r="A47" s="16" t="str">
        <x:v>System routes reconciliation</x:v>
      </x:c>
      <x:c r="B47" s="16" t="n">
        <x:f>SUM('System Contracts'!$D$5:$D$10)</x:f>
        <x:v>28</x:v>
      </x:c>
      <x:c r="C47" s="16" t="n">
        <x:v>28</x:v>
      </x:c>
      <x:c r="D47" s="16" t="str">
        <x:f>IF(ABS(B47-C47)&lt;0.0001,"PASS","FAIL")</x:f>
        <x:v>PASS</x:v>
      </x:c>
    </x:row>
    <x:row r="48" ht="48" hidden="0" customHeight="1">
      <x:c r="A48" s="16" t="str">
        <x:v>System families reconciliation</x:v>
      </x:c>
      <x:c r="B48" s="16" t="n">
        <x:f>SUM('System Contracts'!$E$5:$E$10)</x:f>
        <x:v>48</x:v>
      </x:c>
      <x:c r="C48" s="16" t="n">
        <x:v>48</x:v>
      </x:c>
      <x:c r="D48" s="16" t="str">
        <x:f>IF(ABS(B48-C48)&lt;0.0001,"PASS","FAIL")</x:f>
        <x:v>PASS</x:v>
      </x:c>
    </x:row>
    <x:row r="49" ht="24" hidden="0" customHeight="1">
      <x:c r="A49" s="16" t="str">
        <x:v>Control directions</x:v>
      </x:c>
      <x:c r="B49" s="16" t="n">
        <x:f>Controls!$B$8</x:f>
        <x:v>30</x:v>
      </x:c>
      <x:c r="C49" s="16" t="n">
        <x:v>30</x:v>
      </x:c>
      <x:c r="D49" s="16" t="str">
        <x:f>IF(ABS(B49-C49)&lt;0.0001,"PASS","FAIL")</x:f>
        <x:v>PASS</x:v>
      </x:c>
    </x:row>
    <x:row r="50" ht="24" hidden="0" customHeight="1">
      <x:c r="A50" s="16" t="str">
        <x:v>Control domains</x:v>
      </x:c>
      <x:c r="B50" s="16" t="n">
        <x:f>Controls!$B$9</x:f>
        <x:v>6</x:v>
      </x:c>
      <x:c r="C50" s="16" t="n">
        <x:v>6</x:v>
      </x:c>
      <x:c r="D50" s="16" t="str">
        <x:f>IF(ABS(B50-C50)&lt;0.0001,"PASS","FAIL")</x:f>
        <x:v>PASS</x:v>
      </x:c>
    </x:row>
    <x:row r="51" ht="24" hidden="0" customHeight="1">
      <x:c r="A51" s="16" t="str">
        <x:v>Control fields</x:v>
      </x:c>
      <x:c r="B51" s="16" t="n">
        <x:f>Controls!$B$10</x:f>
        <x:v>20</x:v>
      </x:c>
      <x:c r="C51" s="16" t="n">
        <x:v>20</x:v>
      </x:c>
      <x:c r="D51" s="16" t="str">
        <x:f>IF(ABS(B51-C51)&lt;0.0001,"PASS","FAIL")</x:f>
        <x:v>PASS</x:v>
      </x:c>
    </x:row>
  </x:sheetData>
  <x:mergeCells>
    <x:mergeCell ref="A1:F1"/>
    <x:mergeCell ref="A2:F2"/>
  </x:mergeCells>
  <x:conditionalFormatting sqref="D5:D51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8" hidden="0" customWidth="1"/>
    <x:col min="2" max="2" width="68" hidden="0" customWidth="1"/>
    <x:col min="3" max="3" width="60" hidden="0" customWidth="1"/>
  </x:cols>
  <x:sheetData>
    <x:row r="1" ht="19.200000762939453" hidden="0" customHeight="1">
      <x:c r="A1" s="3" t="str">
        <x:v>Internal authority and provenance</x:v>
      </x:c>
      <x:c r="B1" s="3"/>
      <x:c r="C1" s="3"/>
      <x:c r="D1" s="3"/>
      <x:c r="E1" s="3"/>
      <x:c r="F1" s="3"/>
      <x:c r="G1" s="3"/>
    </x:row>
    <x:row r="2" ht="24" hidden="0" customHeight="1">
      <x:c r="A2" s="7" t="str">
        <x:v>No external source or website is introduced. This model compiles prior repository decisions.</x:v>
      </x:c>
      <x:c r="B2" s="7"/>
      <x:c r="C2" s="7"/>
      <x:c r="D2" s="7"/>
      <x:c r="E2" s="7"/>
      <x:c r="F2" s="7"/>
      <x:c r="G2" s="7"/>
    </x:row>
    <x:row r="3"/>
    <x:row r="4" ht="39.599998474121094" hidden="0" customHeight="1">
      <x:c r="A4" s="12" t="str">
        <x:v>Source</x:v>
      </x:c>
      <x:c r="B4" s="12" t="str">
        <x:v>Authority imported</x:v>
      </x:c>
      <x:c r="C4" s="12" t="str">
        <x:v>Use in this workbook</x:v>
      </x:c>
    </x:row>
    <x:row r="5" ht="60" hidden="0" customHeight="1">
      <x:c r="A5" s="16" t="str">
        <x:v>Pass 166 | joint appropriation constitution</x:v>
      </x:c>
      <x:c r="B5" s="16" t="str">
        <x:v>USD 1.00T / USD 550B non-additive envelopes</x:v>
      </x:c>
      <x:c r="C5" s="16" t="str">
        <x:v>Controls and non-addition law</x:v>
      </x:c>
    </x:row>
    <x:row r="6" ht="72" hidden="0" customHeight="1">
      <x:c r="A6" s="16" t="str">
        <x:v>Pass 167 | concurrency, geography and force sizing</x:v>
      </x:c>
      <x:c r="B6" s="16" t="str">
        <x:v>Ten campaign loads; N−1 inventory and capital screen</x:v>
      </x:c>
      <x:c r="C6" s="16" t="str">
        <x:v>Family, route and campaign quantities</x:v>
      </x:c>
    </x:row>
    <x:row r="7" ht="72" hidden="0" customHeight="1">
      <x:c r="A7" s="16" t="str">
        <x:v>Pass 168 | portfolio topology and competitions</x:v>
      </x:c>
      <x:c r="B7" s="16" t="str">
        <x:v>Six systems; forty-eight families; technology allocations</x:v>
      </x:c>
      <x:c r="C7" s="16" t="str">
        <x:v>System and family authority</x:v>
      </x:c>
    </x:row>
    <x:row r="8" ht="60" hidden="0" customHeight="1">
      <x:c r="A8" s="16" t="str">
        <x:v>Pass 169 | human-continuity contract</x:v>
      </x:c>
      <x:c r="B8" s="16" t="str">
        <x:v>Five HU routes and seven-stage service logic</x:v>
      </x:c>
      <x:c r="C8" s="16" t="str">
        <x:v>Preserved and generalized</x:v>
      </x:c>
    </x:row>
    <x:row r="9" ht="72" hidden="0" customHeight="1">
      <x:c r="A9" s="16" t="str">
        <x:v>Pass 171 | coupled wavefront</x:v>
      </x:c>
      <x:c r="B9" s="16" t="str">
        <x:v>Four stacks, ten archetypes, three sites; all-six G4 law</x:v>
      </x:c>
      <x:c r="C9" s="16" t="str">
        <x:v>120-mission evidence estate</x:v>
      </x:c>
    </x:row>
    <x:row r="10" ht="96" hidden="0" customHeight="1">
      <x:c r="A10" s="16" t="str">
        <x:v>Pass 172 | A6XG-1</x:v>
      </x:c>
      <x:c r="B10" s="16" t="str">
        <x:v>Twenty-eight routes; 6 × 7 vector; six domains; twenty fields; thirty directions</x:v>
      </x:c>
      <x:c r="C10" s="16" t="str">
        <x:v>Selected grammar</x:v>
      </x:c>
    </x:row>
  </x:sheetData>
  <x:mergeCells>
    <x:mergeCell ref="A1:G1"/>
    <x:mergeCell ref="A2:G2"/>
  </x:mergeCells>
  <x:pageMargins left="0.7" right="0.7" top="0.75" bottom="0.75" header="0.3" footer="0.3"/>
</x:worksheet>
</file>