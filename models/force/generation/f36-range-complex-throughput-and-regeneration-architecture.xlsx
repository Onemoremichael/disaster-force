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b9edb7455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72aca3a5934e39"/>
    <x:sheet xmlns:r="http://schemas.openxmlformats.org/officeDocument/2006/relationships" name="Control Inputs" sheetId="2" r:id="R5c799bf667a4439b"/>
    <x:sheet xmlns:r="http://schemas.openxmlformats.org/officeDocument/2006/relationships" name="Attempt Demand" sheetId="3" r:id="R1a7da33196af4840"/>
    <x:sheet xmlns:r="http://schemas.openxmlformats.org/officeDocument/2006/relationships" name="Station Cycles" sheetId="4" r:id="Re116f7135b384aa4"/>
    <x:sheet xmlns:r="http://schemas.openxmlformats.org/officeDocument/2006/relationships" name="Capacity Sizing" sheetId="5" r:id="R2bb1518a080b4277"/>
    <x:sheet xmlns:r="http://schemas.openxmlformats.org/officeDocument/2006/relationships" name="Campus Architecture" sheetId="6" r:id="R486c6fe09d354064"/>
    <x:sheet xmlns:r="http://schemas.openxmlformats.org/officeDocument/2006/relationships" name="Closure Bays" sheetId="7" r:id="R8962a70bd4ff4ea7"/>
    <x:sheet xmlns:r="http://schemas.openxmlformats.org/officeDocument/2006/relationships" name="Damage Cells" sheetId="8" r:id="R9734857c37a14985"/>
    <x:sheet xmlns:r="http://schemas.openxmlformats.org/officeDocument/2006/relationships" name="Metrology" sheetId="9" r:id="R18e1806f3791432e"/>
    <x:sheet xmlns:r="http://schemas.openxmlformats.org/officeDocument/2006/relationships" name="Water Labs" sheetId="10" r:id="Rcdeea7a228854792"/>
    <x:sheet xmlns:r="http://schemas.openxmlformats.org/officeDocument/2006/relationships" name="Forensic Lines" sheetId="11" r:id="R177578098dc44ec8"/>
    <x:sheet xmlns:r="http://schemas.openxmlformats.org/officeDocument/2006/relationships" name="Evidence Replay" sheetId="12" r:id="R84c0506dbbd44555"/>
    <x:sheet xmlns:r="http://schemas.openxmlformats.org/officeDocument/2006/relationships" name="Blind Shops" sheetId="13" r:id="R3712b94373c645ac"/>
    <x:sheet xmlns:r="http://schemas.openxmlformats.org/officeDocument/2006/relationships" name="Reset Stocks" sheetId="14" r:id="R848b90a10cd94a60"/>
    <x:sheet xmlns:r="http://schemas.openxmlformats.org/officeDocument/2006/relationships" name="Workforce" sheetId="15" r:id="R34ac7e03f78e433b"/>
    <x:sheet xmlns:r="http://schemas.openxmlformats.org/officeDocument/2006/relationships" name="Campaign Schedule" sheetId="16" r:id="Rc7c139aa62c3490e"/>
    <x:sheet xmlns:r="http://schemas.openxmlformats.org/officeDocument/2006/relationships" name="Capital Control" sheetId="17" r:id="R2e20b0c0bb9f4720"/>
    <x:sheet xmlns:r="http://schemas.openxmlformats.org/officeDocument/2006/relationships" name="Annual Support" sheetId="18" r:id="R74311b2899864a92"/>
    <x:sheet xmlns:r="http://schemas.openxmlformats.org/officeDocument/2006/relationships" name="Common Cause" sheetId="19" r:id="R1f688926afda4585"/>
    <x:sheet xmlns:r="http://schemas.openxmlformats.org/officeDocument/2006/relationships" name="Release Gates" sheetId="20" r:id="R9c44c5a184204de1"/>
    <x:sheet xmlns:r="http://schemas.openxmlformats.org/officeDocument/2006/relationships" name="Audit" sheetId="21" r:id="R8d937ceac15d42ab"/>
    <x:sheet xmlns:r="http://schemas.openxmlformats.org/officeDocument/2006/relationships" name="ReadMe" sheetId="22" r:id="R83b5841ed181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0"/>
    <x:numFmt numFmtId="201" formatCode="0.0%"/>
    <x:numFmt numFmtId="202" formatCode="0.00"/>
    <x:numFmt numFmtId="203" formatCode="0.000"/>
    <x:numFmt numFmtId="204" formatCode="#,##0.000000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  <x:font>
      <x:i/>
      <x:sz val="10"/>
      <x:color rgb="FF1F29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4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201" fontId="4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/>
    <x:xf numFmtId="201" fontId="0" fillId="0" borderId="9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7" xfId="0" applyNumberFormat="1" applyFont="1" applyFill="1" applyBorder="1"/>
    <x:xf numFmtId="204" fontId="0" fillId="0" borderId="9" xfId="0" applyNumberFormat="1" applyFont="1" applyFill="1" applyBorder="1"/>
    <x:xf numFmtId="204" fontId="0" fillId="0" borderId="7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20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201" fontId="7" fillId="0" borderId="7" xfId="0" applyNumberFormat="1" applyFont="1" applyFill="1" applyBorder="1" applyAlignment="1">
      <x:alignment wrapText="1"/>
    </x:xf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20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201" fontId="7" fillId="0" borderId="7" xfId="0" applyNumberFormat="1" applyFont="1" applyFill="1" applyBorder="1"/>
    <x:xf numFmtId="202" fontId="7" fillId="0" borderId="7" xfId="0" applyNumberFormat="1" applyFont="1" applyFill="1" applyBorder="1"/>
    <x:xf numFmtId="0" fontId="7" fillId="0" borderId="8" xfId="0" applyNumberFormat="1" applyFont="1" applyFill="1" applyBorder="1"/>
    <x:xf numFmtId="201" fontId="7" fillId="0" borderId="9" xfId="0" applyNumberFormat="1" applyFont="1" applyFill="1" applyBorder="1"/>
    <x:xf numFmtId="202" fontId="7" fillId="0" borderId="9" xfId="0" applyNumberFormat="1" applyFont="1" applyFill="1" applyBorder="1"/>
    <x:xf numFmtId="0" fontId="7" fillId="0" borderId="10" xfId="0" applyNumberFormat="1" applyFont="1" applyFill="1" applyBorder="1"/>
    <x:xf numFmtId="203" fontId="7" fillId="0" borderId="7" xfId="0" applyNumberFormat="1" applyFont="1" applyFill="1" applyBorder="1" applyAlignment="1">
      <x:alignment wrapText="1"/>
    </x:xf>
    <x:xf numFmtId="203" fontId="7" fillId="0" borderId="9" xfId="0" applyNumberFormat="1" applyFont="1" applyFill="1" applyBorder="1" applyAlignment="1">
      <x:alignment wrapText="1"/>
    </x:xf>
    <x:xf numFmtId="204" fontId="7" fillId="0" borderId="7" xfId="0" applyNumberFormat="1" applyFont="1" applyFill="1" applyBorder="1" applyAlignment="1">
      <x:alignment wrapText="1"/>
    </x:xf>
    <x:xf numFmtId="204" fontId="7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72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479385ec242ae" /><Relationship Type="http://schemas.openxmlformats.org/officeDocument/2006/relationships/theme" Target="/xl/theme/theme1.xml" Id="R720d0df887824051" /><Relationship Type="http://schemas.openxmlformats.org/officeDocument/2006/relationships/sharedStrings" Target="/xl/sharedStrings.xml" Id="R249b3902e7844565" /><Relationship Type="http://schemas.openxmlformats.org/officeDocument/2006/relationships/worksheet" Target="/xl/worksheets/sheet1.xml" Id="Rd472aca3a5934e39" /><Relationship Type="http://schemas.openxmlformats.org/officeDocument/2006/relationships/worksheet" Target="/xl/worksheets/sheet2.xml" Id="R5c799bf667a4439b" /><Relationship Type="http://schemas.openxmlformats.org/officeDocument/2006/relationships/worksheet" Target="/xl/worksheets/sheet3.xml" Id="R1a7da33196af4840" /><Relationship Type="http://schemas.openxmlformats.org/officeDocument/2006/relationships/worksheet" Target="/xl/worksheets/sheet4.xml" Id="Re116f7135b384aa4" /><Relationship Type="http://schemas.openxmlformats.org/officeDocument/2006/relationships/worksheet" Target="/xl/worksheets/sheet5.xml" Id="R2bb1518a080b4277" /><Relationship Type="http://schemas.openxmlformats.org/officeDocument/2006/relationships/worksheet" Target="/xl/worksheets/sheet6.xml" Id="R486c6fe09d354064" /><Relationship Type="http://schemas.openxmlformats.org/officeDocument/2006/relationships/worksheet" Target="/xl/worksheets/sheet7.xml" Id="R8962a70bd4ff4ea7" /><Relationship Type="http://schemas.openxmlformats.org/officeDocument/2006/relationships/worksheet" Target="/xl/worksheets/sheet8.xml" Id="R9734857c37a14985" /><Relationship Type="http://schemas.openxmlformats.org/officeDocument/2006/relationships/worksheet" Target="/xl/worksheets/sheet9.xml" Id="R18e1806f3791432e" /><Relationship Type="http://schemas.openxmlformats.org/officeDocument/2006/relationships/worksheet" Target="/xl/worksheets/sheet10.xml" Id="Rcdeea7a228854792" /><Relationship Type="http://schemas.openxmlformats.org/officeDocument/2006/relationships/worksheet" Target="/xl/worksheets/sheet11.xml" Id="R177578098dc44ec8" /><Relationship Type="http://schemas.openxmlformats.org/officeDocument/2006/relationships/worksheet" Target="/xl/worksheets/sheet12.xml" Id="R84c0506dbbd44555" /><Relationship Type="http://schemas.openxmlformats.org/officeDocument/2006/relationships/worksheet" Target="/xl/worksheets/sheet13.xml" Id="R3712b94373c645ac" /><Relationship Type="http://schemas.openxmlformats.org/officeDocument/2006/relationships/worksheet" Target="/xl/worksheets/sheet14.xml" Id="R848b90a10cd94a60" /><Relationship Type="http://schemas.openxmlformats.org/officeDocument/2006/relationships/worksheet" Target="/xl/worksheets/sheet15.xml" Id="R34ac7e03f78e433b" /><Relationship Type="http://schemas.openxmlformats.org/officeDocument/2006/relationships/worksheet" Target="/xl/worksheets/sheet16.xml" Id="Rc7c139aa62c3490e" /><Relationship Type="http://schemas.openxmlformats.org/officeDocument/2006/relationships/worksheet" Target="/xl/worksheets/sheet17.xml" Id="R2e20b0c0bb9f4720" /><Relationship Type="http://schemas.openxmlformats.org/officeDocument/2006/relationships/worksheet" Target="/xl/worksheets/sheet18.xml" Id="R74311b2899864a92" /><Relationship Type="http://schemas.openxmlformats.org/officeDocument/2006/relationships/worksheet" Target="/xl/worksheets/sheet19.xml" Id="R1f688926afda4585" /><Relationship Type="http://schemas.openxmlformats.org/officeDocument/2006/relationships/worksheet" Target="/xl/worksheets/sheet20.xml" Id="R9c44c5a184204de1" /><Relationship Type="http://schemas.openxmlformats.org/officeDocument/2006/relationships/worksheet" Target="/xl/worksheets/sheet21.xml" Id="R8d937ceac15d42ab" /><Relationship Type="http://schemas.openxmlformats.org/officeDocument/2006/relationships/worksheet" Target="/xl/worksheets/sheet22.xml" Id="R83b5841ed18142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7" hidden="0" customWidth="1"/>
    <x:col min="3" max="3" width="25" hidden="0" customWidth="1"/>
    <x:col min="4" max="4" width="16" hidden="0" customWidth="1"/>
    <x:col min="5" max="5" width="15" hidden="0" customWidth="1"/>
    <x:col min="6" max="6" width="28" hidden="0" customWidth="1"/>
    <x:col min="7" max="7" width="23" hidden="0" customWidth="1"/>
    <x:col min="8" max="8" width="20" hidden="0" customWidth="1"/>
    <x:col min="9" max="9" width="18" hidden="0" customWidth="1"/>
    <x:col min="10" max="10" width="18" hidden="0" customWidth="1"/>
  </x:cols>
  <x:sheetData>
    <x:row r="2">
      <x:c r="B2" s="1" t="str">
        <x:v>F36 range-complex throughput and regeneration architecture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2" t="str">
        <x:v>Three complete campuses preserve P90 closure, damage and evidence work after loss of one campus.</x:v>
      </x:c>
      <x:c r="C3" s="53"/>
      <x:c r="D3" s="53"/>
      <x:c r="E3" s="53"/>
      <x:c r="F3" s="53"/>
      <x:c r="G3" s="53"/>
      <x:c r="H3" s="53"/>
      <x:c r="I3" s="53"/>
      <x:c r="J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56" t="str">
        <x:v>National capacity result</x:v>
      </x:c>
      <x:c r="C6" s="57" t="str">
        <x:v>National capacity result</x:v>
      </x:c>
      <x:c r="D6" s="57" t="str">
        <x:v>National capacity result</x:v>
      </x:c>
      <x:c r="E6" s="57" t="str">
        <x:v>National capacity result</x:v>
      </x:c>
      <x:c r="F6" s="56" t="str">
        <x:v>Present authority state</x:v>
      </x:c>
      <x:c r="G6" s="57" t="str">
        <x:v>Present authority state</x:v>
      </x:c>
      <x:c r="H6" s="57" t="str">
        <x:v>Present authority state</x:v>
      </x:c>
      <x:c r="I6" s="57" t="str">
        <x:v>Present authority state</x:v>
      </x:c>
      <x:c r="J6" s="58" t="str">
        <x:v>Present authority state</x:v>
      </x:c>
    </x:row>
    <x:row r="7">
      <x:c r="B7" s="53" t="str">
        <x:v>P90 closure attempts</x:v>
      </x:c>
      <x:c r="C7" s="53" t="str">
        <x:v>72 required credits</x:v>
      </x:c>
      <x:c r="D7" s="53" t="n">
        <x:f>'Attempt Demand'!J7</x:f>
        <x:v>90</x:v>
      </x:c>
      <x:c r="E7" s="53" t="str">
        <x:v>attempts</x:v>
      </x:c>
      <x:c r="F7" s="53" t="str">
        <x:v>Planning package</x:v>
      </x:c>
      <x:c r="G7" s="53" t="str">
        <x:v>17 content gates</x:v>
      </x:c>
      <x:c r="H7" s="53" t="str">
        <x:f>'Release Gates'!D32</x:f>
        <x:v>AUTHORIZED</x:v>
      </x:c>
      <x:c r="I7" s="53"/>
      <x:c r="J7" s="53"/>
    </x:row>
    <x:row r="8">
      <x:c r="B8" s="53" t="str">
        <x:v>P90 damage attempts</x:v>
      </x:c>
      <x:c r="C8" s="53" t="str">
        <x:v>26 required credits</x:v>
      </x:c>
      <x:c r="D8" s="53" t="n">
        <x:f>'Attempt Demand'!J8</x:f>
        <x:v>37</x:v>
      </x:c>
      <x:c r="E8" s="53" t="str">
        <x:v>attempts</x:v>
      </x:c>
      <x:c r="F8" s="53" t="str">
        <x:v>Site construction</x:v>
      </x:c>
      <x:c r="G8" s="53" t="str">
        <x:v>constituted approval</x:v>
      </x:c>
      <x:c r="H8" s="53" t="str">
        <x:f>'Release Gates'!D33</x:f>
        <x:v>HOLD</x:v>
      </x:c>
      <x:c r="I8" s="53"/>
      <x:c r="J8" s="53"/>
    </x:row>
    <x:row r="9">
      <x:c r="B9" s="53" t="str">
        <x:v>Closure bays</x:v>
      </x:c>
      <x:c r="C9" s="53" t="str">
        <x:v>two per campus</x:v>
      </x:c>
      <x:c r="D9" s="53" t="n">
        <x:f>'Capacity Sizing'!I7</x:f>
        <x:v>6</x:v>
      </x:c>
      <x:c r="E9" s="53" t="str">
        <x:v>bays</x:v>
      </x:c>
      <x:c r="F9" s="53" t="str">
        <x:v>Campus commissioning</x:v>
      </x:c>
      <x:c r="G9" s="53" t="str">
        <x:v>three complete islands</x:v>
      </x:c>
      <x:c r="H9" s="53" t="str">
        <x:f>'Release Gates'!D34</x:f>
        <x:v>HOLD</x:v>
      </x:c>
      <x:c r="I9" s="53"/>
      <x:c r="J9" s="53"/>
    </x:row>
    <x:row r="10">
      <x:c r="B10" s="53" t="str">
        <x:v>Damage cells</x:v>
      </x:c>
      <x:c r="C10" s="53" t="str">
        <x:v>two per campus</x:v>
      </x:c>
      <x:c r="D10" s="53" t="n">
        <x:f>'Capacity Sizing'!I8</x:f>
        <x:v>6</x:v>
      </x:c>
      <x:c r="E10" s="53" t="str">
        <x:v>cells</x:v>
      </x:c>
      <x:c r="F10" s="53" t="str">
        <x:v>Service lanes</x:v>
      </x:c>
      <x:c r="G10" s="53" t="str">
        <x:v>seven lane classes</x:v>
      </x:c>
      <x:c r="H10" s="53" t="str">
        <x:f>'Release Gates'!D35</x:f>
        <x:v>HOLD</x:v>
      </x:c>
      <x:c r="I10" s="53"/>
      <x:c r="J10" s="53"/>
    </x:row>
    <x:row r="11">
      <x:c r="B11" s="53" t="str">
        <x:v>Campuses</x:v>
      </x:c>
      <x:c r="C11" s="53" t="str">
        <x:v>complete unlike islands</x:v>
      </x:c>
      <x:c r="D11" s="53" t="n">
        <x:f>'Control Inputs'!D21</x:f>
        <x:v>3</x:v>
      </x:c>
      <x:c r="E11" s="53" t="str">
        <x:v>campuses</x:v>
      </x:c>
      <x:c r="F11" s="53" t="str">
        <x:v>Loss rehearsal</x:v>
      </x:c>
      <x:c r="G11" s="53" t="str">
        <x:v>complete campus</x:v>
      </x:c>
      <x:c r="H11" s="53" t="str">
        <x:f>'Release Gates'!D36</x:f>
        <x:v>HOLD</x:v>
      </x:c>
      <x:c r="I11" s="53"/>
      <x:c r="J11" s="53"/>
    </x:row>
    <x:row r="12">
      <x:c r="B12" s="53" t="str">
        <x:v>Closure utilization after campus loss</x:v>
      </x:c>
      <x:c r="C12" s="53" t="str">
        <x:v>four bays remain</x:v>
      </x:c>
      <x:c r="D12" s="59" t="n">
        <x:f>'Capacity Sizing'!L7</x:f>
        <x:v>0.6211930357358548</x:v>
      </x:c>
      <x:c r="E12" s="53" t="str">
        <x:v>utilization</x:v>
      </x:c>
      <x:c r="F12" s="53" t="str">
        <x:v>First wave</x:v>
      </x:c>
      <x:c r="G12" s="53" t="str">
        <x:v>admitted packets</x:v>
      </x:c>
      <x:c r="H12" s="53" t="str">
        <x:f>'Release Gates'!D37</x:f>
        <x:v>HOLD</x:v>
      </x:c>
      <x:c r="I12" s="53"/>
      <x:c r="J12" s="53"/>
    </x:row>
    <x:row r="13">
      <x:c r="B13" s="53" t="str">
        <x:v>Damage utilization after campus loss</x:v>
      </x:c>
      <x:c r="C13" s="53" t="str">
        <x:v>four cells remain</x:v>
      </x:c>
      <x:c r="D13" s="59" t="n">
        <x:f>'Capacity Sizing'!L8</x:f>
        <x:v>0.5454641183593956</x:v>
      </x:c>
      <x:c r="E13" s="53" t="str">
        <x:v>utilization</x:v>
      </x:c>
      <x:c r="F13" s="53" t="str">
        <x:v>Production/rendering</x:v>
      </x:c>
      <x:c r="G13" s="53" t="str">
        <x:v>parent F36 chain</x:v>
      </x:c>
      <x:c r="H13" s="53" t="str">
        <x:f>'Release Gates'!D38</x:f>
        <x:v>BLOCKED</x:v>
      </x:c>
      <x:c r="I13" s="53"/>
      <x:c r="J13" s="53"/>
    </x:row>
    <x:row r="14">
      <x:c r="B14" s="53" t="str">
        <x:v>Direct public force</x:v>
      </x:c>
      <x:c r="C14" s="53" t="str">
        <x:v>permanent staff</x:v>
      </x:c>
      <x:c r="D14" s="53" t="n">
        <x:f>'Control Inputs'!D53</x:f>
        <x:v>1230</x:v>
      </x:c>
      <x:c r="E14" s="53" t="str">
        <x:v>people</x:v>
      </x:c>
      <x:c r="F14" s="53"/>
      <x:c r="G14" s="53"/>
      <x:c r="H14" s="53"/>
      <x:c r="I14" s="53"/>
      <x:c r="J14" s="53"/>
    </x:row>
    <x:row r="15">
      <x:c r="B15" s="53" t="str">
        <x:v>Capital</x:v>
      </x:c>
      <x:c r="C15" s="53" t="str">
        <x:v>inside Pass 101</x:v>
      </x:c>
      <x:c r="D15" s="60" t="n">
        <x:f>'Control Inputs'!D55</x:f>
        <x:v>4.48</x:v>
      </x:c>
      <x:c r="E15" s="53" t="str">
        <x:v>USD B</x:v>
      </x:c>
      <x:c r="F15" s="53"/>
      <x:c r="G15" s="53"/>
      <x:c r="H15" s="53"/>
      <x:c r="I15" s="53"/>
      <x:c r="J15" s="53"/>
    </x:row>
    <x:row r="16">
      <x:c r="B16" s="53" t="str">
        <x:v>Annual support</x:v>
      </x:c>
      <x:c r="C16" s="53" t="str">
        <x:v>inside Pass 101</x:v>
      </x:c>
      <x:c r="D16" s="60" t="n">
        <x:f>'Control Inputs'!D57</x:f>
        <x:v>0.398</x:v>
      </x:c>
      <x:c r="E16" s="53" t="str">
        <x:v>USD B/year</x:v>
      </x:c>
      <x:c r="F16" s="53"/>
      <x:c r="G16" s="53"/>
      <x:c r="H16" s="53"/>
      <x:c r="I16" s="53"/>
      <x:c r="J16" s="53"/>
    </x:row>
    <x:row r="17">
      <x:c r="B17" s="53"/>
      <x:c r="C17" s="53"/>
      <x:c r="D17" s="53"/>
      <x:c r="E17" s="53"/>
      <x:c r="F17" s="53"/>
      <x:c r="G17" s="53"/>
      <x:c r="H17" s="53"/>
      <x:c r="I17" s="53"/>
      <x:c r="J17" s="53"/>
    </x:row>
    <x:row r="18">
      <x:c r="B18" s="53"/>
      <x:c r="C18" s="53"/>
      <x:c r="D18" s="53"/>
      <x:c r="E18" s="53"/>
      <x:c r="F18" s="53"/>
      <x:c r="G18" s="53"/>
      <x:c r="H18" s="53"/>
      <x:c r="I18" s="53"/>
      <x:c r="J18" s="53"/>
    </x:row>
    <x:row r="19">
      <x:c r="B19" s="56" t="str">
        <x:v>Decisive design judgments</x:v>
      </x:c>
      <x:c r="C19" s="57" t="str">
        <x:v>Decisive design judgments</x:v>
      </x:c>
      <x:c r="D19" s="57" t="str">
        <x:v>Decisive design judgments</x:v>
      </x:c>
      <x:c r="E19" s="57" t="str">
        <x:v>Decisive design judgments</x:v>
      </x:c>
      <x:c r="F19" s="57" t="str">
        <x:v>Decisive design judgments</x:v>
      </x:c>
      <x:c r="G19" s="57" t="str">
        <x:v>Decisive design judgments</x:v>
      </x:c>
      <x:c r="H19" s="57" t="str">
        <x:v>Decisive design judgments</x:v>
      </x:c>
      <x:c r="I19" s="57" t="str">
        <x:v>Decisive design judgments</x:v>
      </x:c>
      <x:c r="J19" s="58" t="str">
        <x:v>Decisive design judgments</x:v>
      </x:c>
    </x:row>
    <x:row r="20" ht="42" customHeight="1">
      <x:c r="B20" s="52" t="str">
        <x:v>Output unit</x:v>
      </x:c>
      <x:c r="C20" s="61" t="str">
        <x:v>One terminal admitted decision packet, not one fixture start.</x:v>
      </x:c>
      <x:c r="D20" s="61"/>
      <x:c r="E20" s="61"/>
      <x:c r="F20" s="61"/>
      <x:c r="G20" s="61"/>
      <x:c r="H20" s="61"/>
      <x:c r="I20" s="61"/>
      <x:c r="J20" s="61"/>
    </x:row>
    <x:row r="21" ht="42" customHeight="1">
      <x:c r="B21" s="52" t="str">
        <x:v>Minimum</x:v>
      </x:c>
      <x:c r="C21" s="61" t="str">
        <x:v>Three bays and three cells are mathematical minimums with no loss margin.</x:v>
      </x:c>
      <x:c r="D21" s="61"/>
      <x:c r="E21" s="61"/>
      <x:c r="F21" s="61"/>
      <x:c r="G21" s="61"/>
      <x:c r="H21" s="61"/>
      <x:c r="I21" s="61"/>
      <x:c r="J21" s="61"/>
    </x:row>
    <x:row r="22" ht="42" customHeight="1">
      <x:c r="B22" s="52" t="str">
        <x:v>Mature force</x:v>
      </x:c>
      <x:c r="C22" s="61" t="str">
        <x:v>Six bays and six cells across three campuses survive loss of two co-located assets.</x:v>
      </x:c>
      <x:c r="D22" s="61"/>
      <x:c r="E22" s="61"/>
      <x:c r="F22" s="61"/>
      <x:c r="G22" s="61"/>
      <x:c r="H22" s="61"/>
      <x:c r="I22" s="61"/>
      <x:c r="J22" s="61"/>
    </x:row>
    <x:row r="23" ht="42" customHeight="1">
      <x:c r="B23" s="52" t="str">
        <x:v>Support lanes</x:v>
      </x:c>
      <x:c r="C23" s="61" t="str">
        <x:v>365 forensic days, 6,600 panels, 254 brackets, 2,392 replay hours and 30 blind events are independently sized.</x:v>
      </x:c>
      <x:c r="D23" s="61"/>
      <x:c r="E23" s="61"/>
      <x:c r="F23" s="61"/>
      <x:c r="G23" s="61"/>
      <x:c r="H23" s="61"/>
      <x:c r="I23" s="61"/>
      <x:c r="J23" s="61"/>
    </x:row>
    <x:row r="24" ht="42" customHeight="1">
      <x:c r="B24" s="52" t="str">
        <x:v>Regeneration</x:v>
      </x:c>
      <x:c r="C24" s="61" t="str">
        <x:v>Ready stock and return-to-known-state clocks are operational capacity.</x:v>
      </x:c>
      <x:c r="D24" s="61"/>
      <x:c r="E24" s="61"/>
      <x:c r="F24" s="61"/>
      <x:c r="G24" s="61"/>
      <x:c r="H24" s="61"/>
      <x:c r="I24" s="61"/>
      <x:c r="J24" s="61"/>
    </x:row>
    <x:row r="25" ht="42" customHeight="1">
      <x:c r="B25" s="52" t="str">
        <x:v>Institution</x:v>
      </x:c>
      <x:c r="C25" s="61" t="str">
        <x:v>1,230 public personnel and 1,850 qualified affiliates sustain continuous truth production.</x:v>
      </x:c>
      <x:c r="D25" s="61"/>
      <x:c r="E25" s="61"/>
      <x:c r="F25" s="61"/>
      <x:c r="G25" s="61"/>
      <x:c r="H25" s="61"/>
      <x:c r="I25" s="61"/>
      <x:c r="J25" s="61"/>
    </x:row>
    <x:row r="26" ht="42" customHeight="1">
      <x:c r="B26" s="52" t="str">
        <x:v>Finance</x:v>
      </x:c>
      <x:c r="C26" s="61" t="str">
        <x:v>USD 4.480B capital and USD 0.398B/year are inclusive views inside Pass 101.</x:v>
      </x:c>
      <x:c r="D26" s="61"/>
      <x:c r="E26" s="61"/>
      <x:c r="F26" s="61"/>
      <x:c r="G26" s="61"/>
      <x:c r="H26" s="61"/>
      <x:c r="I26" s="61"/>
      <x:c r="J26" s="61"/>
    </x:row>
    <x:row r="27" ht="42" customHeight="1">
      <x:c r="B27" s="52" t="str">
        <x:v>Form</x:v>
      </x:c>
      <x:c r="C27" s="61" t="str">
        <x:v>No site, campaign, production or rendering authority is created by planning arithmetic.</x:v>
      </x:c>
      <x:c r="D27" s="61"/>
      <x:c r="E27" s="61"/>
      <x:c r="F27" s="61"/>
      <x:c r="G27" s="61"/>
      <x:c r="H27" s="61"/>
      <x:c r="I27" s="61"/>
      <x:c r="J27" s="61"/>
    </x:row>
  </x:sheetData>
  <x:mergeCells>
    <x:mergeCell ref="B3:J3"/>
    <x:mergeCell ref="B6:J6"/>
    <x:mergeCell ref="F6:J6"/>
    <x:mergeCell ref="B19:J19"/>
    <x:mergeCell ref="C20:J20"/>
    <x:mergeCell ref="C21:J21"/>
    <x:mergeCell ref="C22:J22"/>
    <x:mergeCell ref="C23:J23"/>
    <x:mergeCell ref="C24:J24"/>
    <x:mergeCell ref="C25:J25"/>
    <x:mergeCell ref="C26:J26"/>
    <x:mergeCell ref="C27:J27"/>
  </x:mergeCells>
  <x:conditionalFormatting sqref="H7:H13">
    <x:cfRule type="containsText" dxfId="348" priority="1" operator="containsText" text="FAIL"/>
    <x:cfRule type="containsText" dxfId="349" priority="2" operator="containsText" text="BLOCKED"/>
    <x:cfRule type="containsText" dxfId="350" priority="3" operator="containsText" text="HOLD"/>
    <x:cfRule type="containsText" dxfId="351" priority="4" operator="containsText" text="OPEN"/>
    <x:cfRule type="containsText" dxfId="352" priority="5" operator="containsText" text="OUT"/>
    <x:cfRule type="containsText" dxfId="353" priority="6" operator="containsText" text="UNTESTED"/>
    <x:cfRule type="containsText" dxfId="354" priority="7" operator="containsText" text="PASS"/>
    <x:cfRule type="containsText" dxfId="355" priority="8" operator="containsText" text="READY"/>
    <x:cfRule type="containsText" dxfId="356" priority="9" operator="containsText" text="AUTHORIZED"/>
    <x:cfRule type="containsText" dxfId="357" priority="10" operator="containsText" text="PLANNING PASS"/>
    <x:cfRule type="containsText" dxfId="358" priority="11" operator="containsText" text="RELEASED"/>
    <x:cfRule type="containsText" dxfId="359" priority="12" operator="containsText" text="ADMIT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52" hidden="0" customWidth="1"/>
    <x:col min="4" max="4" width="19" hidden="0" customWidth="1"/>
    <x:col min="5" max="5" width="22" hidden="0" customWidth="1"/>
    <x:col min="6" max="6" width="16" hidden="0" customWidth="1"/>
    <x:col min="7" max="7" width="34" hidden="0" customWidth="1"/>
  </x:cols>
  <x:sheetData>
    <x:row r="2">
      <x:c r="B2" s="1" t="str">
        <x:v>Range-complex control inputs</x:v>
      </x:c>
      <x:c r="C2" s="53"/>
      <x:c r="D2" s="53"/>
      <x:c r="E2" s="53"/>
      <x:c r="F2" s="53"/>
      <x:c r="G2" s="53"/>
    </x:row>
    <x:row r="3">
      <x:c r="B3" s="2" t="str">
        <x:v>Blue-font values are inherited requirements or prospective planning assumptions. No physical capacity is claimed.</x:v>
      </x:c>
      <x:c r="C3" s="53"/>
      <x:c r="D3" s="53"/>
      <x:c r="E3" s="53"/>
      <x:c r="F3" s="53"/>
      <x:c r="G3" s="53"/>
    </x:row>
    <x:row r="4">
      <x:c r="B4" s="55"/>
      <x:c r="C4" s="55"/>
      <x:c r="D4" s="55"/>
      <x:c r="E4" s="55"/>
      <x:c r="F4" s="55"/>
      <x:c r="G4" s="55"/>
    </x:row>
    <x:row r="5">
      <x:c r="B5" s="53"/>
      <x:c r="C5" s="53"/>
      <x:c r="D5" s="53"/>
      <x:c r="E5" s="53"/>
      <x:c r="F5" s="53"/>
      <x:c r="G5" s="53"/>
    </x:row>
    <x:row r="6">
      <x:c r="B6" s="15" t="str">
        <x:v>ID</x:v>
      </x:c>
      <x:c r="C6" s="16" t="str">
        <x:v>Control</x:v>
      </x:c>
      <x:c r="D6" s="16" t="str">
        <x:v>Value</x:v>
      </x:c>
      <x:c r="E6" s="16" t="str">
        <x:v>Unit</x:v>
      </x:c>
      <x:c r="F6" s="16" t="str">
        <x:v>State</x:v>
      </x:c>
      <x:c r="G6" s="16" t="str">
        <x:v>Authority</x:v>
      </x:c>
    </x:row>
    <x:row r="7" ht="26" customHeight="1">
      <x:c r="B7" s="64" t="str">
        <x:v>I01</x:v>
      </x:c>
      <x:c r="C7" s="65" t="str">
        <x:v>Required closure credits</x:v>
      </x:c>
      <x:c r="D7" s="66" t="n">
        <x:v>72</x:v>
      </x:c>
      <x:c r="E7" s="65" t="str">
        <x:v>events</x:v>
      </x:c>
      <x:c r="F7" s="65" t="str">
        <x:v>FROZEN</x:v>
      </x:c>
      <x:c r="G7" s="67" t="str">
        <x:v>Pass 102</x:v>
      </x:c>
    </x:row>
    <x:row r="8" ht="26" customHeight="1">
      <x:c r="B8" s="64" t="str">
        <x:v>I02</x:v>
      </x:c>
      <x:c r="C8" s="65" t="str">
        <x:v>Prospective closure invalid rate</x:v>
      </x:c>
      <x:c r="D8" s="68" t="n">
        <x:v>0.15</x:v>
      </x:c>
      <x:c r="E8" s="65" t="str">
        <x:v>share</x:v>
      </x:c>
      <x:c r="F8" s="65" t="str">
        <x:v>DESIGN</x:v>
      </x:c>
      <x:c r="G8" s="67" t="str">
        <x:v>Pass 104</x:v>
      </x:c>
    </x:row>
    <x:row r="9" ht="26" customHeight="1">
      <x:c r="B9" s="64" t="str">
        <x:v>I03</x:v>
      </x:c>
      <x:c r="C9" s="65" t="str">
        <x:v>Required damage credits</x:v>
      </x:c>
      <x:c r="D9" s="66" t="n">
        <x:v>26</x:v>
      </x:c>
      <x:c r="E9" s="65" t="str">
        <x:v>events</x:v>
      </x:c>
      <x:c r="F9" s="65" t="str">
        <x:v>FROZEN</x:v>
      </x:c>
      <x:c r="G9" s="67" t="str">
        <x:v>Pass 102</x:v>
      </x:c>
    </x:row>
    <x:row r="10" ht="26" customHeight="1">
      <x:c r="B10" s="64" t="str">
        <x:v>I04</x:v>
      </x:c>
      <x:c r="C10" s="65" t="str">
        <x:v>Prospective damage invalid rate</x:v>
      </x:c>
      <x:c r="D10" s="68" t="n">
        <x:v>0.2</x:v>
      </x:c>
      <x:c r="E10" s="65" t="str">
        <x:v>share</x:v>
      </x:c>
      <x:c r="F10" s="65" t="str">
        <x:v>DESIGN</x:v>
      </x:c>
      <x:c r="G10" s="67" t="str">
        <x:v>Pass 104</x:v>
      </x:c>
    </x:row>
    <x:row r="11" ht="26" customHeight="1">
      <x:c r="B11" s="64" t="str">
        <x:v>I05</x:v>
      </x:c>
      <x:c r="C11" s="65" t="str">
        <x:v>P90 normal-approximation z</x:v>
      </x:c>
      <x:c r="D11" s="66" t="n">
        <x:v>1.2816</x:v>
      </x:c>
      <x:c r="E11" s="65" t="str">
        <x:v>z</x:v>
      </x:c>
      <x:c r="F11" s="65" t="str">
        <x:v>DESIGN</x:v>
      </x:c>
      <x:c r="G11" s="67" t="str">
        <x:v>Pass 104</x:v>
      </x:c>
    </x:row>
    <x:row r="12" ht="26" customHeight="1">
      <x:c r="B12" s="64" t="str">
        <x:v>I06</x:v>
      </x:c>
      <x:c r="C12" s="65" t="str">
        <x:v>Closure-bay cycle</x:v>
      </x:c>
      <x:c r="D12" s="66" t="n">
        <x:v>8</x:v>
      </x:c>
      <x:c r="E12" s="65" t="str">
        <x:v>calendar days</x:v>
      </x:c>
      <x:c r="F12" s="65" t="str">
        <x:v>DESIGN</x:v>
      </x:c>
      <x:c r="G12" s="67" t="str">
        <x:v>Pass 104</x:v>
      </x:c>
    </x:row>
    <x:row r="13" ht="26" customHeight="1">
      <x:c r="B13" s="64" t="str">
        <x:v>I07</x:v>
      </x:c>
      <x:c r="C13" s="65" t="str">
        <x:v>Damage-cell cycle</x:v>
      </x:c>
      <x:c r="D13" s="66" t="n">
        <x:v>14</x:v>
      </x:c>
      <x:c r="E13" s="65" t="str">
        <x:v>calendar days</x:v>
      </x:c>
      <x:c r="F13" s="65" t="str">
        <x:v>DESIGN</x:v>
      </x:c>
      <x:c r="G13" s="67" t="str">
        <x:v>Pass 104</x:v>
      </x:c>
    </x:row>
    <x:row r="14" ht="26" customHeight="1">
      <x:c r="B14" s="64" t="str">
        <x:v>I08</x:v>
      </x:c>
      <x:c r="C14" s="65" t="str">
        <x:v>Average days per month</x:v>
      </x:c>
      <x:c r="D14" s="66" t="n">
        <x:v>30.4375</x:v>
      </x:c>
      <x:c r="E14" s="65" t="str">
        <x:v>days/month</x:v>
      </x:c>
      <x:c r="F14" s="65" t="str">
        <x:v>CALC</x:v>
      </x:c>
      <x:c r="G14" s="67" t="str">
        <x:v>calendar</x:v>
      </x:c>
    </x:row>
    <x:row r="15" ht="26" customHeight="1">
      <x:c r="B15" s="64" t="str">
        <x:v>I09</x:v>
      </x:c>
      <x:c r="C15" s="65" t="str">
        <x:v>Closure campaign window</x:v>
      </x:c>
      <x:c r="D15" s="66" t="n">
        <x:v>14</x:v>
      </x:c>
      <x:c r="E15" s="65" t="str">
        <x:v>months</x:v>
      </x:c>
      <x:c r="F15" s="65" t="str">
        <x:v>DESIGN</x:v>
      </x:c>
      <x:c r="G15" s="67" t="str">
        <x:v>months 15–28</x:v>
      </x:c>
    </x:row>
    <x:row r="16" ht="26" customHeight="1">
      <x:c r="B16" s="64" t="str">
        <x:v>I10</x:v>
      </x:c>
      <x:c r="C16" s="65" t="str">
        <x:v>Damage campaign window</x:v>
      </x:c>
      <x:c r="D16" s="66" t="n">
        <x:v>12</x:v>
      </x:c>
      <x:c r="E16" s="65" t="str">
        <x:v>months</x:v>
      </x:c>
      <x:c r="F16" s="65" t="str">
        <x:v>DESIGN</x:v>
      </x:c>
      <x:c r="G16" s="67" t="str">
        <x:v>months 18–29</x:v>
      </x:c>
    </x:row>
    <x:row r="17" ht="26" customHeight="1">
      <x:c r="B17" s="64" t="str">
        <x:v>I11</x:v>
      </x:c>
      <x:c r="C17" s="65" t="str">
        <x:v>Closure productive availability</x:v>
      </x:c>
      <x:c r="D17" s="68" t="n">
        <x:v>0.68</x:v>
      </x:c>
      <x:c r="E17" s="65" t="str">
        <x:v>share</x:v>
      </x:c>
      <x:c r="F17" s="65" t="str">
        <x:v>DESIGN</x:v>
      </x:c>
      <x:c r="G17" s="67" t="str">
        <x:v>Pass 104</x:v>
      </x:c>
    </x:row>
    <x:row r="18" ht="26" customHeight="1">
      <x:c r="B18" s="64" t="str">
        <x:v>I12</x:v>
      </x:c>
      <x:c r="C18" s="65" t="str">
        <x:v>Damage productive availability</x:v>
      </x:c>
      <x:c r="D18" s="68" t="n">
        <x:v>0.65</x:v>
      </x:c>
      <x:c r="E18" s="65" t="str">
        <x:v>share</x:v>
      </x:c>
      <x:c r="F18" s="65" t="str">
        <x:v>DESIGN</x:v>
      </x:c>
      <x:c r="G18" s="67" t="str">
        <x:v>Pass 104</x:v>
      </x:c>
    </x:row>
    <x:row r="19" ht="26" customHeight="1">
      <x:c r="B19" s="64" t="str">
        <x:v>I13</x:v>
      </x:c>
      <x:c r="C19" s="65" t="str">
        <x:v>Mature residual utilization ceiling</x:v>
      </x:c>
      <x:c r="D19" s="68" t="n">
        <x:v>0.7</x:v>
      </x:c>
      <x:c r="E19" s="65" t="str">
        <x:v>share</x:v>
      </x:c>
      <x:c r="F19" s="65" t="str">
        <x:v>DESIGN</x:v>
      </x:c>
      <x:c r="G19" s="67" t="str">
        <x:v>campus-loss state</x:v>
      </x:c>
    </x:row>
    <x:row r="20" ht="26" customHeight="1">
      <x:c r="B20" s="64" t="str">
        <x:v>I14</x:v>
      </x:c>
      <x:c r="C20" s="65" t="str">
        <x:v>Closure/damage assets lost with campus</x:v>
      </x:c>
      <x:c r="D20" s="66" t="n">
        <x:v>2</x:v>
      </x:c>
      <x:c r="E20" s="65" t="str">
        <x:v>assets</x:v>
      </x:c>
      <x:c r="F20" s="65" t="str">
        <x:v>DESIGN</x:v>
      </x:c>
      <x:c r="G20" s="67" t="str">
        <x:v>two per campus</x:v>
      </x:c>
    </x:row>
    <x:row r="21" ht="26" customHeight="1">
      <x:c r="B21" s="64" t="str">
        <x:v>I15</x:v>
      </x:c>
      <x:c r="C21" s="65" t="str">
        <x:v>Campuses</x:v>
      </x:c>
      <x:c r="D21" s="66" t="n">
        <x:v>3</x:v>
      </x:c>
      <x:c r="E21" s="65" t="str">
        <x:v>campuses</x:v>
      </x:c>
      <x:c r="F21" s="65" t="str">
        <x:v>DESIGN</x:v>
      </x:c>
      <x:c r="G21" s="67" t="str">
        <x:v>unlike complete islands</x:v>
      </x:c>
    </x:row>
    <x:row r="22" ht="26" customHeight="1">
      <x:c r="B22" s="64" t="str">
        <x:v>I16</x:v>
      </x:c>
      <x:c r="C22" s="65" t="str">
        <x:v>Closure bays per campus</x:v>
      </x:c>
      <x:c r="D22" s="66" t="n">
        <x:v>2</x:v>
      </x:c>
      <x:c r="E22" s="65" t="str">
        <x:v>bays</x:v>
      </x:c>
      <x:c r="F22" s="65" t="str">
        <x:v>DESIGN</x:v>
      </x:c>
      <x:c r="G22" s="67" t="str">
        <x:v>Pass 104</x:v>
      </x:c>
    </x:row>
    <x:row r="23" ht="26" customHeight="1">
      <x:c r="B23" s="64" t="str">
        <x:v>I17</x:v>
      </x:c>
      <x:c r="C23" s="65" t="str">
        <x:v>Damage cells per campus</x:v>
      </x:c>
      <x:c r="D23" s="66" t="n">
        <x:v>2</x:v>
      </x:c>
      <x:c r="E23" s="65" t="str">
        <x:v>cells</x:v>
      </x:c>
      <x:c r="F23" s="65" t="str">
        <x:v>DESIGN</x:v>
      </x:c>
      <x:c r="G23" s="67" t="str">
        <x:v>Pass 104</x:v>
      </x:c>
    </x:row>
    <x:row r="24" ht="26" customHeight="1">
      <x:c r="B24" s="64" t="str">
        <x:v>I18</x:v>
      </x:c>
      <x:c r="C24" s="65" t="str">
        <x:v>Water labs per campus</x:v>
      </x:c>
      <x:c r="D24" s="66" t="n">
        <x:v>2</x:v>
      </x:c>
      <x:c r="E24" s="65" t="str">
        <x:v>labs</x:v>
      </x:c>
      <x:c r="F24" s="65" t="str">
        <x:v>DESIGN</x:v>
      </x:c>
      <x:c r="G24" s="67" t="str">
        <x:v>Pass 104</x:v>
      </x:c>
    </x:row>
    <x:row r="25" ht="26" customHeight="1">
      <x:c r="B25" s="64" t="str">
        <x:v>I19</x:v>
      </x:c>
      <x:c r="C25" s="65" t="str">
        <x:v>Metrology teams per campus</x:v>
      </x:c>
      <x:c r="D25" s="66" t="n">
        <x:v>2</x:v>
      </x:c>
      <x:c r="E25" s="65" t="str">
        <x:v>teams</x:v>
      </x:c>
      <x:c r="F25" s="65" t="str">
        <x:v>DESIGN</x:v>
      </x:c>
      <x:c r="G25" s="67" t="str">
        <x:v>Pass 104</x:v>
      </x:c>
    </x:row>
    <x:row r="26" ht="26" customHeight="1">
      <x:c r="B26" s="64" t="str">
        <x:v>I20</x:v>
      </x:c>
      <x:c r="C26" s="65" t="str">
        <x:v>Replay cells per campus</x:v>
      </x:c>
      <x:c r="D26" s="66" t="n">
        <x:v>2</x:v>
      </x:c>
      <x:c r="E26" s="65" t="str">
        <x:v>cells</x:v>
      </x:c>
      <x:c r="F26" s="65" t="str">
        <x:v>DESIGN</x:v>
      </x:c>
      <x:c r="G26" s="67" t="str">
        <x:v>Pass 104</x:v>
      </x:c>
    </x:row>
    <x:row r="27" ht="26" customHeight="1">
      <x:c r="B27" s="64" t="str">
        <x:v>I21</x:v>
      </x:c>
      <x:c r="C27" s="65" t="str">
        <x:v>Forensic lines per campus</x:v>
      </x:c>
      <x:c r="D27" s="66" t="n">
        <x:v>1</x:v>
      </x:c>
      <x:c r="E27" s="65" t="str">
        <x:v>lines</x:v>
      </x:c>
      <x:c r="F27" s="65" t="str">
        <x:v>DESIGN</x:v>
      </x:c>
      <x:c r="G27" s="67" t="str">
        <x:v>Pass 104</x:v>
      </x:c>
    </x:row>
    <x:row r="28" ht="26" customHeight="1">
      <x:c r="B28" s="64" t="str">
        <x:v>I22</x:v>
      </x:c>
      <x:c r="C28" s="65" t="str">
        <x:v>Blind shops per campus</x:v>
      </x:c>
      <x:c r="D28" s="66" t="n">
        <x:v>1</x:v>
      </x:c>
      <x:c r="E28" s="65" t="str">
        <x:v>shops</x:v>
      </x:c>
      <x:c r="F28" s="65" t="str">
        <x:v>DESIGN</x:v>
      </x:c>
      <x:c r="G28" s="67" t="str">
        <x:v>Pass 104</x:v>
      </x:c>
    </x:row>
    <x:row r="29" ht="26" customHeight="1">
      <x:c r="B29" s="64" t="str">
        <x:v>I23</x:v>
      </x:c>
      <x:c r="C29" s="65" t="str">
        <x:v>Closure forensic line-days/attempt</x:v>
      </x:c>
      <x:c r="D29" s="66" t="n">
        <x:v>2</x:v>
      </x:c>
      <x:c r="E29" s="65" t="str">
        <x:v>line-days</x:v>
      </x:c>
      <x:c r="F29" s="65" t="str">
        <x:v>DESIGN</x:v>
      </x:c>
      <x:c r="G29" s="67" t="str">
        <x:v>Pass 104</x:v>
      </x:c>
    </x:row>
    <x:row r="30" ht="26" customHeight="1">
      <x:c r="B30" s="64" t="str">
        <x:v>I24</x:v>
      </x:c>
      <x:c r="C30" s="65" t="str">
        <x:v>Damage forensic line-days/attempt</x:v>
      </x:c>
      <x:c r="D30" s="66" t="n">
        <x:v>5</x:v>
      </x:c>
      <x:c r="E30" s="65" t="str">
        <x:v>line-days</x:v>
      </x:c>
      <x:c r="F30" s="65" t="str">
        <x:v>DESIGN</x:v>
      </x:c>
      <x:c r="G30" s="67" t="str">
        <x:v>Pass 104</x:v>
      </x:c>
    </x:row>
    <x:row r="31" ht="26" customHeight="1">
      <x:c r="B31" s="64" t="str">
        <x:v>I25</x:v>
      </x:c>
      <x:c r="C31" s="65" t="str">
        <x:v>Forensic service window</x:v>
      </x:c>
      <x:c r="D31" s="66" t="n">
        <x:v>14</x:v>
      </x:c>
      <x:c r="E31" s="65" t="str">
        <x:v>months</x:v>
      </x:c>
      <x:c r="F31" s="65" t="str">
        <x:v>DESIGN</x:v>
      </x:c>
      <x:c r="G31" s="67" t="str">
        <x:v>Pass 104</x:v>
      </x:c>
    </x:row>
    <x:row r="32" ht="26" customHeight="1">
      <x:c r="B32" s="64" t="str">
        <x:v>I26</x:v>
      </x:c>
      <x:c r="C32" s="65" t="str">
        <x:v>Forensic availability</x:v>
      </x:c>
      <x:c r="D32" s="68" t="n">
        <x:v>0.7</x:v>
      </x:c>
      <x:c r="E32" s="65" t="str">
        <x:v>share</x:v>
      </x:c>
      <x:c r="F32" s="65" t="str">
        <x:v>DESIGN</x:v>
      </x:c>
      <x:c r="G32" s="67" t="str">
        <x:v>Pass 104</x:v>
      </x:c>
    </x:row>
    <x:row r="33" ht="26" customHeight="1">
      <x:c r="B33" s="64" t="str">
        <x:v>I27</x:v>
      </x:c>
      <x:c r="C33" s="65" t="str">
        <x:v>Assay panels per closure attempt</x:v>
      </x:c>
      <x:c r="D33" s="66" t="n">
        <x:v>24</x:v>
      </x:c>
      <x:c r="E33" s="65" t="str">
        <x:v>panels</x:v>
      </x:c>
      <x:c r="F33" s="65" t="str">
        <x:v>DESIGN</x:v>
      </x:c>
      <x:c r="G33" s="67" t="str">
        <x:v>Pass 104</x:v>
      </x:c>
    </x:row>
    <x:row r="34" ht="26" customHeight="1">
      <x:c r="B34" s="64" t="str">
        <x:v>I28</x:v>
      </x:c>
      <x:c r="C34" s="65" t="str">
        <x:v>Assay panels per damage attempt</x:v>
      </x:c>
      <x:c r="D34" s="66" t="n">
        <x:v>120</x:v>
      </x:c>
      <x:c r="E34" s="65" t="str">
        <x:v>panels</x:v>
      </x:c>
      <x:c r="F34" s="65" t="str">
        <x:v>DESIGN</x:v>
      </x:c>
      <x:c r="G34" s="67" t="str">
        <x:v>Pass 104</x:v>
      </x:c>
    </x:row>
    <x:row r="35" ht="26" customHeight="1">
      <x:c r="B35" s="64" t="str">
        <x:v>I29</x:v>
      </x:c>
      <x:c r="C35" s="65" t="str">
        <x:v>Assay panels per lab-day</x:v>
      </x:c>
      <x:c r="D35" s="66" t="n">
        <x:v>14</x:v>
      </x:c>
      <x:c r="E35" s="65" t="str">
        <x:v>panels/day</x:v>
      </x:c>
      <x:c r="F35" s="65" t="str">
        <x:v>DESIGN</x:v>
      </x:c>
      <x:c r="G35" s="67" t="str">
        <x:v>Pass 104</x:v>
      </x:c>
    </x:row>
    <x:row r="36" ht="26" customHeight="1">
      <x:c r="B36" s="64" t="str">
        <x:v>I30</x:v>
      </x:c>
      <x:c r="C36" s="65" t="str">
        <x:v>Water-lab service window</x:v>
      </x:c>
      <x:c r="D36" s="66" t="n">
        <x:v>12</x:v>
      </x:c>
      <x:c r="E36" s="65" t="str">
        <x:v>months</x:v>
      </x:c>
      <x:c r="F36" s="65" t="str">
        <x:v>DESIGN</x:v>
      </x:c>
      <x:c r="G36" s="67" t="str">
        <x:v>Pass 104</x:v>
      </x:c>
    </x:row>
    <x:row r="37" ht="26" customHeight="1">
      <x:c r="B37" s="64" t="str">
        <x:v>I31</x:v>
      </x:c>
      <x:c r="C37" s="65" t="str">
        <x:v>Water-lab availability</x:v>
      </x:c>
      <x:c r="D37" s="68" t="n">
        <x:v>0.65</x:v>
      </x:c>
      <x:c r="E37" s="65" t="str">
        <x:v>share</x:v>
      </x:c>
      <x:c r="F37" s="65" t="str">
        <x:v>DESIGN</x:v>
      </x:c>
      <x:c r="G37" s="67" t="str">
        <x:v>Pass 104</x:v>
      </x:c>
    </x:row>
    <x:row r="38" ht="26" customHeight="1">
      <x:c r="B38" s="64" t="str">
        <x:v>I32</x:v>
      </x:c>
      <x:c r="C38" s="65" t="str">
        <x:v>Metrology brackets per attempt</x:v>
      </x:c>
      <x:c r="D38" s="66" t="n">
        <x:v>2</x:v>
      </x:c>
      <x:c r="E38" s="65" t="str">
        <x:v>brackets</x:v>
      </x:c>
      <x:c r="F38" s="65" t="str">
        <x:v>DESIGN</x:v>
      </x:c>
      <x:c r="G38" s="67" t="str">
        <x:v>pre/post</x:v>
      </x:c>
    </x:row>
    <x:row r="39" ht="26" customHeight="1">
      <x:c r="B39" s="64" t="str">
        <x:v>I33</x:v>
      </x:c>
      <x:c r="C39" s="65" t="str">
        <x:v>Brackets per team-week</x:v>
      </x:c>
      <x:c r="D39" s="66" t="n">
        <x:v>5</x:v>
      </x:c>
      <x:c r="E39" s="65" t="str">
        <x:v>brackets/week</x:v>
      </x:c>
      <x:c r="F39" s="65" t="str">
        <x:v>DESIGN</x:v>
      </x:c>
      <x:c r="G39" s="67" t="str">
        <x:v>Pass 104</x:v>
      </x:c>
    </x:row>
    <x:row r="40" ht="26" customHeight="1">
      <x:c r="B40" s="64" t="str">
        <x:v>I34</x:v>
      </x:c>
      <x:c r="C40" s="65" t="str">
        <x:v>Metrology service window</x:v>
      </x:c>
      <x:c r="D40" s="66" t="n">
        <x:v>14</x:v>
      </x:c>
      <x:c r="E40" s="65" t="str">
        <x:v>months</x:v>
      </x:c>
      <x:c r="F40" s="65" t="str">
        <x:v>DESIGN</x:v>
      </x:c>
      <x:c r="G40" s="67" t="str">
        <x:v>Pass 104</x:v>
      </x:c>
    </x:row>
    <x:row r="41" ht="26" customHeight="1">
      <x:c r="B41" s="64" t="str">
        <x:v>I35</x:v>
      </x:c>
      <x:c r="C41" s="65" t="str">
        <x:v>Metrology availability</x:v>
      </x:c>
      <x:c r="D41" s="68" t="n">
        <x:v>0.7</x:v>
      </x:c>
      <x:c r="E41" s="65" t="str">
        <x:v>share</x:v>
      </x:c>
      <x:c r="F41" s="65" t="str">
        <x:v>DESIGN</x:v>
      </x:c>
      <x:c r="G41" s="67" t="str">
        <x:v>Pass 104</x:v>
      </x:c>
    </x:row>
    <x:row r="42" ht="26" customHeight="1">
      <x:c r="B42" s="64" t="str">
        <x:v>I36</x:v>
      </x:c>
      <x:c r="C42" s="65" t="str">
        <x:v>Weeks per month</x:v>
      </x:c>
      <x:c r="D42" s="66" t="n">
        <x:v>4.345</x:v>
      </x:c>
      <x:c r="E42" s="65" t="str">
        <x:v>weeks/month</x:v>
      </x:c>
      <x:c r="F42" s="65" t="str">
        <x:v>CALC</x:v>
      </x:c>
      <x:c r="G42" s="67" t="str">
        <x:v>planning convention</x:v>
      </x:c>
    </x:row>
    <x:row r="43" ht="26" customHeight="1">
      <x:c r="B43" s="64" t="str">
        <x:v>I37</x:v>
      </x:c>
      <x:c r="C43" s="65" t="str">
        <x:v>Replay hours per closure packet</x:v>
      </x:c>
      <x:c r="D43" s="66" t="n">
        <x:v>10</x:v>
      </x:c>
      <x:c r="E43" s="65" t="str">
        <x:v>hours</x:v>
      </x:c>
      <x:c r="F43" s="65" t="str">
        <x:v>DESIGN</x:v>
      </x:c>
      <x:c r="G43" s="67" t="str">
        <x:v>Pass 104</x:v>
      </x:c>
    </x:row>
    <x:row r="44" ht="26" customHeight="1">
      <x:c r="B44" s="64" t="str">
        <x:v>I38</x:v>
      </x:c>
      <x:c r="C44" s="65" t="str">
        <x:v>Replay hours per damage packet</x:v>
      </x:c>
      <x:c r="D44" s="66" t="n">
        <x:v>8</x:v>
      </x:c>
      <x:c r="E44" s="65" t="str">
        <x:v>hours</x:v>
      </x:c>
      <x:c r="F44" s="65" t="str">
        <x:v>DESIGN</x:v>
      </x:c>
      <x:c r="G44" s="67" t="str">
        <x:v>Pass 104</x:v>
      </x:c>
    </x:row>
    <x:row r="45" ht="26" customHeight="1">
      <x:c r="B45" s="64" t="str">
        <x:v>I39</x:v>
      </x:c>
      <x:c r="C45" s="65" t="str">
        <x:v>Independent replay passes</x:v>
      </x:c>
      <x:c r="D45" s="66" t="n">
        <x:v>2</x:v>
      </x:c>
      <x:c r="E45" s="65" t="str">
        <x:v>passes</x:v>
      </x:c>
      <x:c r="F45" s="65" t="str">
        <x:v>FROZEN</x:v>
      </x:c>
      <x:c r="G45" s="67" t="str">
        <x:v>Pass 103</x:v>
      </x:c>
    </x:row>
    <x:row r="46" ht="26" customHeight="1">
      <x:c r="B46" s="64" t="str">
        <x:v>I40</x:v>
      </x:c>
      <x:c r="C46" s="65" t="str">
        <x:v>Replay hours per cell-day</x:v>
      </x:c>
      <x:c r="D46" s="66" t="n">
        <x:v>16</x:v>
      </x:c>
      <x:c r="E46" s="65" t="str">
        <x:v>hours/day</x:v>
      </x:c>
      <x:c r="F46" s="65" t="str">
        <x:v>DESIGN</x:v>
      </x:c>
      <x:c r="G46" s="67" t="str">
        <x:v>two staffed shifts</x:v>
      </x:c>
    </x:row>
    <x:row r="47" ht="26" customHeight="1">
      <x:c r="B47" s="64" t="str">
        <x:v>I41</x:v>
      </x:c>
      <x:c r="C47" s="65" t="str">
        <x:v>Replay service window</x:v>
      </x:c>
      <x:c r="D47" s="66" t="n">
        <x:v>12</x:v>
      </x:c>
      <x:c r="E47" s="65" t="str">
        <x:v>months</x:v>
      </x:c>
      <x:c r="F47" s="65" t="str">
        <x:v>DESIGN</x:v>
      </x:c>
      <x:c r="G47" s="67" t="str">
        <x:v>Pass 104</x:v>
      </x:c>
    </x:row>
    <x:row r="48" ht="26" customHeight="1">
      <x:c r="B48" s="64" t="str">
        <x:v>I42</x:v>
      </x:c>
      <x:c r="C48" s="65" t="str">
        <x:v>Replay availability</x:v>
      </x:c>
      <x:c r="D48" s="68" t="n">
        <x:v>0.65</x:v>
      </x:c>
      <x:c r="E48" s="65" t="str">
        <x:v>share</x:v>
      </x:c>
      <x:c r="F48" s="65" t="str">
        <x:v>DESIGN</x:v>
      </x:c>
      <x:c r="G48" s="67" t="str">
        <x:v>Pass 104</x:v>
      </x:c>
    </x:row>
    <x:row r="49" ht="26" customHeight="1">
      <x:c r="B49" s="64" t="str">
        <x:v>I43</x:v>
      </x:c>
      <x:c r="C49" s="65" t="str">
        <x:v>Blind campaign events</x:v>
      </x:c>
      <x:c r="D49" s="66" t="n">
        <x:v>30</x:v>
      </x:c>
      <x:c r="E49" s="65" t="str">
        <x:v>events</x:v>
      </x:c>
      <x:c r="F49" s="65" t="str">
        <x:v>DESIGN</x:v>
      </x:c>
      <x:c r="G49" s="67" t="str">
        <x:v>Pass 104</x:v>
      </x:c>
    </x:row>
    <x:row r="50" ht="26" customHeight="1">
      <x:c r="B50" s="64" t="str">
        <x:v>I44</x:v>
      </x:c>
      <x:c r="C50" s="65" t="str">
        <x:v>Blind events per shop-week</x:v>
      </x:c>
      <x:c r="D50" s="66" t="n">
        <x:v>2</x:v>
      </x:c>
      <x:c r="E50" s="65" t="str">
        <x:v>events/week</x:v>
      </x:c>
      <x:c r="F50" s="65" t="str">
        <x:v>DESIGN</x:v>
      </x:c>
      <x:c r="G50" s="67" t="str">
        <x:v>Pass 104</x:v>
      </x:c>
    </x:row>
    <x:row r="51" ht="26" customHeight="1">
      <x:c r="B51" s="64" t="str">
        <x:v>I45</x:v>
      </x:c>
      <x:c r="C51" s="65" t="str">
        <x:v>Blind-shop service window</x:v>
      </x:c>
      <x:c r="D51" s="66" t="n">
        <x:v>14</x:v>
      </x:c>
      <x:c r="E51" s="65" t="str">
        <x:v>months</x:v>
      </x:c>
      <x:c r="F51" s="65" t="str">
        <x:v>DESIGN</x:v>
      </x:c>
      <x:c r="G51" s="67" t="str">
        <x:v>Pass 104</x:v>
      </x:c>
    </x:row>
    <x:row r="52" ht="26" customHeight="1">
      <x:c r="B52" s="64" t="str">
        <x:v>I46</x:v>
      </x:c>
      <x:c r="C52" s="65" t="str">
        <x:v>Blind-shop availability</x:v>
      </x:c>
      <x:c r="D52" s="68" t="n">
        <x:v>0.65</x:v>
      </x:c>
      <x:c r="E52" s="65" t="str">
        <x:v>share</x:v>
      </x:c>
      <x:c r="F52" s="65" t="str">
        <x:v>DESIGN</x:v>
      </x:c>
      <x:c r="G52" s="67" t="str">
        <x:v>Pass 104</x:v>
      </x:c>
    </x:row>
    <x:row r="53" ht="26" customHeight="1">
      <x:c r="B53" s="64" t="str">
        <x:v>I47</x:v>
      </x:c>
      <x:c r="C53" s="65" t="str">
        <x:v>Direct public personnel</x:v>
      </x:c>
      <x:c r="D53" s="66" t="n">
        <x:v>1230</x:v>
      </x:c>
      <x:c r="E53" s="65" t="str">
        <x:v>people</x:v>
      </x:c>
      <x:c r="F53" s="65" t="str">
        <x:v>DESIGN</x:v>
      </x:c>
      <x:c r="G53" s="67" t="str">
        <x:v>Pass 104</x:v>
      </x:c>
    </x:row>
    <x:row r="54" ht="26" customHeight="1">
      <x:c r="B54" s="64" t="str">
        <x:v>I48</x:v>
      </x:c>
      <x:c r="C54" s="65" t="str">
        <x:v>Qualified industrial affiliates</x:v>
      </x:c>
      <x:c r="D54" s="66" t="n">
        <x:v>1850</x:v>
      </x:c>
      <x:c r="E54" s="65" t="str">
        <x:v>people</x:v>
      </x:c>
      <x:c r="F54" s="65" t="str">
        <x:v>DESIGN</x:v>
      </x:c>
      <x:c r="G54" s="67" t="str">
        <x:v>Pass 104</x:v>
      </x:c>
    </x:row>
    <x:row r="55" ht="26" customHeight="1">
      <x:c r="B55" s="64" t="str">
        <x:v>I49</x:v>
      </x:c>
      <x:c r="C55" s="65" t="str">
        <x:v>Range-complex capital</x:v>
      </x:c>
      <x:c r="D55" s="66" t="n">
        <x:v>4.48</x:v>
      </x:c>
      <x:c r="E55" s="65" t="str">
        <x:v>USD B</x:v>
      </x:c>
      <x:c r="F55" s="65" t="str">
        <x:v>DESIGN</x:v>
      </x:c>
      <x:c r="G55" s="67" t="str">
        <x:v>nested cross-classification</x:v>
      </x:c>
    </x:row>
    <x:row r="56" ht="26" customHeight="1">
      <x:c r="B56" s="64" t="str">
        <x:v>I50</x:v>
      </x:c>
      <x:c r="C56" s="65" t="str">
        <x:v>Pass 101 capital boundary</x:v>
      </x:c>
      <x:c r="D56" s="66" t="n">
        <x:v>8.12</x:v>
      </x:c>
      <x:c r="E56" s="65" t="str">
        <x:v>USD B</x:v>
      </x:c>
      <x:c r="F56" s="65" t="str">
        <x:v>FROZEN</x:v>
      </x:c>
      <x:c r="G56" s="67" t="str">
        <x:v>Pass 101</x:v>
      </x:c>
    </x:row>
    <x:row r="57" ht="26" customHeight="1">
      <x:c r="B57" s="64" t="str">
        <x:v>I51</x:v>
      </x:c>
      <x:c r="C57" s="65" t="str">
        <x:v>Range-complex annual support</x:v>
      </x:c>
      <x:c r="D57" s="66" t="n">
        <x:v>0.398</x:v>
      </x:c>
      <x:c r="E57" s="65" t="str">
        <x:v>USD B/year</x:v>
      </x:c>
      <x:c r="F57" s="65" t="str">
        <x:v>DESIGN</x:v>
      </x:c>
      <x:c r="G57" s="67" t="str">
        <x:v>nested cross-classification</x:v>
      </x:c>
    </x:row>
    <x:row r="58" ht="26" customHeight="1">
      <x:c r="B58" s="64" t="str">
        <x:v>I52</x:v>
      </x:c>
      <x:c r="C58" s="65" t="str">
        <x:v>Pass 101 annual boundary</x:v>
      </x:c>
      <x:c r="D58" s="66" t="n">
        <x:v>0.446</x:v>
      </x:c>
      <x:c r="E58" s="65" t="str">
        <x:v>USD B/year</x:v>
      </x:c>
      <x:c r="F58" s="65" t="str">
        <x:v>FROZEN</x:v>
      </x:c>
      <x:c r="G58" s="67" t="str">
        <x:v>Pass 101</x:v>
      </x:c>
    </x:row>
    <x:row r="59" ht="26" customHeight="1">
      <x:c r="B59" s="64" t="str">
        <x:v>I53</x:v>
      </x:c>
      <x:c r="C59" s="65" t="str">
        <x:v>Protocol deadline</x:v>
      </x:c>
      <x:c r="D59" s="66" t="n">
        <x:v>30</x:v>
      </x:c>
      <x:c r="E59" s="65" t="str">
        <x:v>months</x:v>
      </x:c>
      <x:c r="F59" s="65" t="str">
        <x:v>FROZEN</x:v>
      </x:c>
      <x:c r="G59" s="67" t="str">
        <x:v>Pass 102</x:v>
      </x:c>
    </x:row>
    <x:row r="60" ht="26" customHeight="1">
      <x:c r="B60" s="64" t="str">
        <x:v>I54</x:v>
      </x:c>
      <x:c r="C60" s="65" t="str">
        <x:v>Planning content complete</x:v>
      </x:c>
      <x:c r="D60" s="66" t="n">
        <x:v>1</x:v>
      </x:c>
      <x:c r="E60" s="65" t="str">
        <x:v>binary</x:v>
      </x:c>
      <x:c r="F60" s="65" t="str">
        <x:v>PLANNING</x:v>
      </x:c>
      <x:c r="G60" s="67" t="str">
        <x:v>this workbook</x:v>
      </x:c>
    </x:row>
    <x:row r="61" ht="26" customHeight="1">
      <x:c r="B61" s="64" t="str">
        <x:v>I55</x:v>
      </x:c>
      <x:c r="C61" s="65" t="str">
        <x:v>Constituted construction approval</x:v>
      </x:c>
      <x:c r="D61" s="66" t="n">
        <x:v>0</x:v>
      </x:c>
      <x:c r="E61" s="65" t="str">
        <x:v>binary</x:v>
      </x:c>
      <x:c r="F61" s="65" t="str">
        <x:v>OPEN</x:v>
      </x:c>
      <x:c r="G61" s="67" t="str">
        <x:v>not granted</x:v>
      </x:c>
    </x:row>
    <x:row r="62" ht="26" customHeight="1">
      <x:c r="B62" s="64" t="str">
        <x:v>I56</x:v>
      </x:c>
      <x:c r="C62" s="65" t="str">
        <x:v>Constructed campuses</x:v>
      </x:c>
      <x:c r="D62" s="66" t="n">
        <x:v>0</x:v>
      </x:c>
      <x:c r="E62" s="65" t="str">
        <x:v>campuses</x:v>
      </x:c>
      <x:c r="F62" s="65" t="str">
        <x:v>OPEN</x:v>
      </x:c>
      <x:c r="G62" s="67" t="str">
        <x:v>none built</x:v>
      </x:c>
    </x:row>
    <x:row r="63" ht="26" customHeight="1">
      <x:c r="B63" s="64" t="str">
        <x:v>I57</x:v>
      </x:c>
      <x:c r="C63" s="65" t="str">
        <x:v>Commissioned campus islands</x:v>
      </x:c>
      <x:c r="D63" s="66" t="n">
        <x:v>0</x:v>
      </x:c>
      <x:c r="E63" s="65" t="str">
        <x:v>campuses</x:v>
      </x:c>
      <x:c r="F63" s="65" t="str">
        <x:v>OPEN</x:v>
      </x:c>
      <x:c r="G63" s="67" t="str">
        <x:v>none commissioned</x:v>
      </x:c>
    </x:row>
    <x:row r="64" ht="26" customHeight="1">
      <x:c r="B64" s="64" t="str">
        <x:v>I58</x:v>
      </x:c>
      <x:c r="C64" s="65" t="str">
        <x:v>Commissioned service lanes</x:v>
      </x:c>
      <x:c r="D64" s="66" t="n">
        <x:v>0</x:v>
      </x:c>
      <x:c r="E64" s="65" t="str">
        <x:v>lane classes</x:v>
      </x:c>
      <x:c r="F64" s="65" t="str">
        <x:v>OPEN</x:v>
      </x:c>
      <x:c r="G64" s="67" t="str">
        <x:v>none commissioned</x:v>
      </x:c>
    </x:row>
    <x:row r="65" ht="26" customHeight="1">
      <x:c r="B65" s="64" t="str">
        <x:v>I59</x:v>
      </x:c>
      <x:c r="C65" s="65" t="str">
        <x:v>Campus-loss rehearsal passed</x:v>
      </x:c>
      <x:c r="D65" s="66" t="n">
        <x:v>0</x:v>
      </x:c>
      <x:c r="E65" s="65" t="str">
        <x:v>binary</x:v>
      </x:c>
      <x:c r="F65" s="65" t="str">
        <x:v>OPEN</x:v>
      </x:c>
      <x:c r="G65" s="67" t="str">
        <x:v>not executed</x:v>
      </x:c>
    </x:row>
    <x:row r="66" ht="26" customHeight="1">
      <x:c r="B66" s="64" t="str">
        <x:v>I60</x:v>
      </x:c>
      <x:c r="C66" s="65" t="str">
        <x:v>First campaign wave admitted</x:v>
      </x:c>
      <x:c r="D66" s="66" t="n">
        <x:v>0</x:v>
      </x:c>
      <x:c r="E66" s="65" t="str">
        <x:v>binary</x:v>
      </x:c>
      <x:c r="F66" s="65" t="str">
        <x:v>OPEN</x:v>
      </x:c>
      <x:c r="G66" s="67" t="str">
        <x:v>not executed</x:v>
      </x:c>
    </x:row>
    <x:row r="67" ht="26" customHeight="1">
      <x:c r="B67" s="64" t="str">
        <x:v>I61</x:v>
      </x:c>
      <x:c r="C67" s="65" t="str">
        <x:v>Production/form authority</x:v>
      </x:c>
      <x:c r="D67" s="66" t="n">
        <x:v>0</x:v>
      </x:c>
      <x:c r="E67" s="65" t="str">
        <x:v>binary</x:v>
      </x:c>
      <x:c r="F67" s="65" t="str">
        <x:v>BLOCKED</x:v>
      </x:c>
      <x:c r="G67" s="67" t="str">
        <x:v>parent F36 chain</x:v>
      </x:c>
    </x:row>
    <x:row r="68" ht="26" customHeight="1">
      <x:c r="B68" s="64" t="str">
        <x:v>I62</x:v>
      </x:c>
      <x:c r="C68" s="65" t="str">
        <x:v>Exterior rendering authority</x:v>
      </x:c>
      <x:c r="D68" s="66" t="n">
        <x:v>0</x:v>
      </x:c>
      <x:c r="E68" s="65" t="str">
        <x:v>binary</x:v>
      </x:c>
      <x:c r="F68" s="65" t="str">
        <x:v>BLOCKED</x:v>
      </x:c>
      <x:c r="G68" s="67" t="str">
        <x:v>parent F36 chain</x:v>
      </x:c>
    </x:row>
    <x:row r="69" ht="26" customHeight="1">
      <x:c r="B69" s="64" t="str">
        <x:v>I63</x:v>
      </x:c>
      <x:c r="C69" s="65" t="str">
        <x:v>Ready closure positions</x:v>
      </x:c>
      <x:c r="D69" s="66" t="n">
        <x:v>24</x:v>
      </x:c>
      <x:c r="E69" s="65" t="str">
        <x:v>positions</x:v>
      </x:c>
      <x:c r="F69" s="65" t="str">
        <x:v>DESIGN</x:v>
      </x:c>
      <x:c r="G69" s="67" t="str">
        <x:v>four per bay</x:v>
      </x:c>
    </x:row>
    <x:row r="70" ht="26" customHeight="1">
      <x:c r="B70" s="64" t="str">
        <x:v>I64</x:v>
      </x:c>
      <x:c r="C70" s="65" t="str">
        <x:v>Closure instrument packs</x:v>
      </x:c>
      <x:c r="D70" s="66" t="n">
        <x:v>18</x:v>
      </x:c>
      <x:c r="E70" s="65" t="str">
        <x:v>packs</x:v>
      </x:c>
      <x:c r="F70" s="65" t="str">
        <x:v>DESIGN</x:v>
      </x:c>
      <x:c r="G70" s="67" t="str">
        <x:v>three per bay</x:v>
      </x:c>
    </x:row>
    <x:row r="71" ht="26" customHeight="1">
      <x:c r="B71" s="64" t="str">
        <x:v>I65</x:v>
      </x:c>
      <x:c r="C71" s="65" t="str">
        <x:v>Root-adapter sets</x:v>
      </x:c>
      <x:c r="D71" s="66" t="n">
        <x:v>12</x:v>
      </x:c>
      <x:c r="E71" s="65" t="str">
        <x:v>sets</x:v>
      </x:c>
      <x:c r="F71" s="65" t="str">
        <x:v>DESIGN</x:v>
      </x:c>
      <x:c r="G71" s="67" t="str">
        <x:v>two per bay</x:v>
      </x:c>
    </x:row>
    <x:row r="72" ht="26" customHeight="1">
      <x:c r="B72" s="64" t="str">
        <x:v>I66</x:v>
      </x:c>
      <x:c r="C72" s="65" t="str">
        <x:v>Registered injury cassettes</x:v>
      </x:c>
      <x:c r="D72" s="66" t="n">
        <x:v>60</x:v>
      </x:c>
      <x:c r="E72" s="65" t="str">
        <x:v>cassettes</x:v>
      </x:c>
      <x:c r="F72" s="65" t="str">
        <x:v>DESIGN</x:v>
      </x:c>
      <x:c r="G72" s="67" t="str">
        <x:v>P90 plus diversity/reserve</x:v>
      </x:c>
    </x:row>
    <x:row r="73" ht="26" customHeight="1">
      <x:c r="B73" s="64" t="str">
        <x:v>I67</x:v>
      </x:c>
      <x:c r="C73" s="65" t="str">
        <x:v>Damage sensor/actuator packs</x:v>
      </x:c>
      <x:c r="D73" s="66" t="n">
        <x:v>18</x:v>
      </x:c>
      <x:c r="E73" s="65" t="str">
        <x:v>packs</x:v>
      </x:c>
      <x:c r="F73" s="65" t="str">
        <x:v>DESIGN</x:v>
      </x:c>
      <x:c r="G73" s="67" t="str">
        <x:v>three per cell</x:v>
      </x:c>
    </x:row>
    <x:row r="74" ht="26" customHeight="1">
      <x:c r="B74" s="64" t="str">
        <x:v>I68</x:v>
      </x:c>
      <x:c r="C74" s="65" t="str">
        <x:v>Contamination modules</x:v>
      </x:c>
      <x:c r="D74" s="66" t="n">
        <x:v>12</x:v>
      </x:c>
      <x:c r="E74" s="65" t="str">
        <x:v>modules</x:v>
      </x:c>
      <x:c r="F74" s="65" t="str">
        <x:v>DESIGN</x:v>
      </x:c>
      <x:c r="G74" s="67" t="str">
        <x:v>two per cell</x:v>
      </x:c>
    </x:row>
    <x:row r="75" ht="26" customHeight="1">
      <x:c r="B75" s="64" t="str">
        <x:v>I69</x:v>
      </x:c>
      <x:c r="C75" s="65" t="str">
        <x:v>Traveling calibration packages</x:v>
      </x:c>
      <x:c r="D75" s="66" t="n">
        <x:v>12</x:v>
      </x:c>
      <x:c r="E75" s="65" t="str">
        <x:v>packages</x:v>
      </x:c>
      <x:c r="F75" s="65" t="str">
        <x:v>DESIGN</x:v>
      </x:c>
      <x:c r="G75" s="67" t="str">
        <x:v>two per team</x:v>
      </x:c>
    </x:row>
    <x:row r="76" ht="26" customHeight="1">
      <x:c r="B76" s="64" t="str">
        <x:v>I70</x:v>
      </x:c>
      <x:c r="C76" s="65" t="str">
        <x:v>Protected challenge lots</x:v>
      </x:c>
      <x:c r="D76" s="66" t="n">
        <x:v>24</x:v>
      </x:c>
      <x:c r="E76" s="65" t="str">
        <x:v>lots</x:v>
      </x:c>
      <x:c r="F76" s="65" t="str">
        <x:v>DESIGN</x:v>
      </x:c>
      <x:c r="G76" s="67" t="str">
        <x:v>water/particle families</x:v>
      </x:c>
    </x:row>
    <x:row r="77" ht="26" customHeight="1">
      <x:c r="B77" s="69" t="str">
        <x:v>I71</x:v>
      </x:c>
      <x:c r="C77" s="70" t="str">
        <x:v>Evidence media sets</x:v>
      </x:c>
      <x:c r="D77" s="71" t="n">
        <x:v>18</x:v>
      </x:c>
      <x:c r="E77" s="70" t="str">
        <x:v>sets</x:v>
      </x:c>
      <x:c r="F77" s="70" t="str">
        <x:v>DESIGN</x:v>
      </x:c>
      <x:c r="G77" s="72" t="str">
        <x:v>three per replay cell</x:v>
      </x:c>
    </x:row>
  </x:sheetData>
  <x:mergeCells>
    <x:mergeCell ref="B3:G3"/>
  </x:mergeCells>
  <x:conditionalFormatting sqref="F7:F77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HOLD"/>
    <x:cfRule type="containsText" dxfId="3" priority="4" operator="containsText" text="OPEN"/>
    <x:cfRule type="containsText" dxfId="4" priority="5" operator="containsText" text="OUT"/>
    <x:cfRule type="containsText" dxfId="5" priority="6" operator="containsText" text="UNTESTED"/>
    <x:cfRule type="containsText" dxfId="6" priority="7" operator="containsText" text="PASS"/>
    <x:cfRule type="containsText" dxfId="7" priority="8" operator="containsText" text="READY"/>
    <x:cfRule type="containsText" dxfId="8" priority="9" operator="containsText" text="AUTHORIZED"/>
    <x:cfRule type="containsText" dxfId="9" priority="10" operator="containsText" text="PLANNING PASS"/>
    <x:cfRule type="containsText" dxfId="10" priority="11" operator="containsText" text="RELEASED"/>
    <x:cfRule type="containsText" dxfId="11" priority="12" operator="containsText" text="ADMIT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6" hidden="0" customWidth="1"/>
    <x:col min="3" max="3" width="18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18" hidden="0" customWidth="1"/>
    <x:col min="11" max="11" width="16" hidden="0" customWidth="1"/>
    <x:col min="12" max="12" width="20" hidden="0" customWidth="1"/>
  </x:cols>
  <x:sheetData>
    <x:row r="2">
      <x:c r="B2" s="1" t="str">
        <x:v>Stochastic attempt demand</x:v>
      </x:c>
      <x:c r="C2" s="53"/>
      <x:c r="D2" s="53"/>
      <x:c r="E2" s="53"/>
      <x:c r="F2" s="53"/>
      <x:c r="G2" s="53"/>
      <x:c r="H2" s="53"/>
      <x:c r="I2" s="53"/>
      <x:c r="J2" s="53"/>
      <x:c r="K2" s="53"/>
      <x:c r="L2" s="53"/>
    </x:row>
    <x:row r="3">
      <x:c r="B3" s="2" t="str">
        <x:v>Negative-binomial moments and a transparent normal P90 approximation convert required credits into planning attempts.</x:v>
      </x:c>
      <x:c r="C3" s="53"/>
      <x:c r="D3" s="53"/>
      <x:c r="E3" s="53"/>
      <x:c r="F3" s="53"/>
      <x:c r="G3" s="53"/>
      <x:c r="H3" s="53"/>
      <x:c r="I3" s="53"/>
      <x:c r="J3" s="53"/>
      <x:c r="K3" s="53"/>
      <x:c r="L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>
      <x:c r="B6" s="15" t="str">
        <x:v>Lane</x:v>
      </x:c>
      <x:c r="C6" s="16" t="str">
        <x:v>Required credits</x:v>
      </x:c>
      <x:c r="D6" s="16" t="str">
        <x:v>Invalid rate</x:v>
      </x:c>
      <x:c r="E6" s="16" t="str">
        <x:v>Expected attempts</x:v>
      </x:c>
      <x:c r="F6" s="16" t="str">
        <x:v>Variance</x:v>
      </x:c>
      <x:c r="G6" s="16" t="str">
        <x:v>Std dev</x:v>
      </x:c>
      <x:c r="H6" s="16" t="str">
        <x:v>P90 z</x:v>
      </x:c>
      <x:c r="I6" s="16" t="str">
        <x:v>P90 raw</x:v>
      </x:c>
      <x:c r="J6" s="16" t="str">
        <x:v>P90 attempts</x:v>
      </x:c>
      <x:c r="K6" s="16" t="str">
        <x:v>Cycle days</x:v>
      </x:c>
      <x:c r="L6" s="16" t="str">
        <x:v>P90 station-days</x:v>
      </x:c>
    </x:row>
    <x:row r="7">
      <x:c r="B7" s="64" t="str">
        <x:v>Closure</x:v>
      </x:c>
      <x:c r="C7" s="64" t="n">
        <x:f>'Control Inputs'!D7</x:f>
        <x:v>72</x:v>
      </x:c>
      <x:c r="D7" s="73" t="n">
        <x:f>'Control Inputs'!D8</x:f>
        <x:v>0.15</x:v>
      </x:c>
      <x:c r="E7" s="74" t="n">
        <x:f>C7/(1-D7)</x:f>
        <x:v>84.70588235294117</x:v>
      </x:c>
      <x:c r="F7" s="74" t="n">
        <x:f>C7*D7/POWER(1-D7,2)</x:f>
        <x:v>14.948096885813149</x:v>
      </x:c>
      <x:c r="G7" s="74" t="n">
        <x:f>SQRT(F7)</x:f>
        <x:v>3.866276876507055</x:v>
      </x:c>
      <x:c r="H7" s="74" t="n">
        <x:f>'Control Inputs'!D11</x:f>
        <x:v>1.2816</x:v>
      </x:c>
      <x:c r="I7" s="74" t="n">
        <x:f>E7+H7*G7</x:f>
        <x:v>89.66090279787261</x:v>
      </x:c>
      <x:c r="J7" s="64" t="n">
        <x:f>ROUNDUP(I7,0)</x:f>
        <x:v>90</x:v>
      </x:c>
      <x:c r="K7" s="64" t="n">
        <x:f>'Control Inputs'!D12</x:f>
        <x:v>8</x:v>
      </x:c>
      <x:c r="L7" s="75" t="n">
        <x:f>J7*K7</x:f>
        <x:v>720</x:v>
      </x:c>
    </x:row>
    <x:row r="8">
      <x:c r="B8" s="69" t="str">
        <x:v>Damage</x:v>
      </x:c>
      <x:c r="C8" s="69" t="n">
        <x:f>'Control Inputs'!D9</x:f>
        <x:v>26</x:v>
      </x:c>
      <x:c r="D8" s="76" t="n">
        <x:f>'Control Inputs'!D10</x:f>
        <x:v>0.2</x:v>
      </x:c>
      <x:c r="E8" s="77" t="n">
        <x:f>C8/(1-D8)</x:f>
        <x:v>32.5</x:v>
      </x:c>
      <x:c r="F8" s="77" t="n">
        <x:f>C8*D8/POWER(1-D8,2)</x:f>
        <x:v>8.124999999999998</x:v>
      </x:c>
      <x:c r="G8" s="77" t="n">
        <x:f>SQRT(F8)</x:f>
        <x:v>2.850438562747845</x:v>
      </x:c>
      <x:c r="H8" s="77" t="n">
        <x:f>'Control Inputs'!D11</x:f>
        <x:v>1.2816</x:v>
      </x:c>
      <x:c r="I8" s="77" t="n">
        <x:f>E8+H8*G8</x:f>
        <x:v>36.15312206201764</x:v>
      </x:c>
      <x:c r="J8" s="69" t="n">
        <x:f>ROUNDUP(I8,0)</x:f>
        <x:v>37</x:v>
      </x:c>
      <x:c r="K8" s="69" t="n">
        <x:f>'Control Inputs'!D13</x:f>
        <x:v>14</x:v>
      </x:c>
      <x:c r="L8" s="78" t="n">
        <x:f>J8*K8</x:f>
        <x:v>518</x:v>
      </x:c>
    </x:row>
    <x:row r="9"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</x:row>
    <x:row r="10"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</x:row>
    <x:row r="11"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</x:row>
    <x:row r="12">
      <x:c r="B12" s="56" t="str">
        <x:v>Interpretation and stop rule</x:v>
      </x:c>
      <x:c r="C12" s="57" t="str">
        <x:v>Interpretation and stop rule</x:v>
      </x:c>
      <x:c r="D12" s="57" t="str">
        <x:v>Interpretation and stop rule</x:v>
      </x:c>
      <x:c r="E12" s="57" t="str">
        <x:v>Interpretation and stop rule</x:v>
      </x:c>
      <x:c r="F12" s="57" t="str">
        <x:v>Interpretation and stop rule</x:v>
      </x:c>
      <x:c r="G12" s="57" t="str">
        <x:v>Interpretation and stop rule</x:v>
      </x:c>
      <x:c r="H12" s="57" t="str">
        <x:v>Interpretation and stop rule</x:v>
      </x:c>
      <x:c r="I12" s="57" t="str">
        <x:v>Interpretation and stop rule</x:v>
      </x:c>
      <x:c r="J12" s="57" t="str">
        <x:v>Interpretation and stop rule</x:v>
      </x:c>
      <x:c r="K12" s="57" t="str">
        <x:v>Interpretation and stop rule</x:v>
      </x:c>
      <x:c r="L12" s="58" t="str">
        <x:v>Interpretation and stop rule</x:v>
      </x:c>
    </x:row>
    <x:row r="13" ht="38" customHeight="1">
      <x:c r="B13" s="53" t="str">
        <x:v>Approximation</x:v>
      </x:c>
      <x:c r="C13" s="61" t="str">
        <x:v>Prospective design load only; replace with cause-specific empirical simulation after commissioning.</x:v>
      </x:c>
      <x:c r="D13" s="61"/>
      <x:c r="E13" s="61"/>
      <x:c r="F13" s="61"/>
      <x:c r="G13" s="61"/>
      <x:c r="H13" s="61"/>
      <x:c r="I13" s="61"/>
      <x:c r="J13" s="61"/>
      <x:c r="K13" s="61"/>
      <x:c r="L13" s="61"/>
    </x:row>
    <x:row r="14" ht="38" customHeight="1">
      <x:c r="B14" s="53" t="str">
        <x:v>First invalid</x:v>
      </x:c>
      <x:c r="C14" s="61" t="str">
        <x:v>One repeat only if range cause is independently verified and blind truth survives.</x:v>
      </x:c>
      <x:c r="D14" s="61"/>
      <x:c r="E14" s="61"/>
      <x:c r="F14" s="61"/>
      <x:c r="G14" s="61"/>
      <x:c r="H14" s="61"/>
      <x:c r="I14" s="61"/>
      <x:c r="J14" s="61"/>
      <x:c r="K14" s="61"/>
      <x:c r="L14" s="61"/>
    </x:row>
    <x:row r="15" ht="38" customHeight="1">
      <x:c r="B15" s="53" t="str">
        <x:v>Second invalid</x:v>
      </x:c>
      <x:c r="C15" s="61" t="str">
        <x:v>Freeze the lane and open common-cause review.</x:v>
      </x:c>
      <x:c r="D15" s="61"/>
      <x:c r="E15" s="61"/>
      <x:c r="F15" s="61"/>
      <x:c r="G15" s="61"/>
      <x:c r="H15" s="61"/>
      <x:c r="I15" s="61"/>
      <x:c r="J15" s="61"/>
      <x:c r="K15" s="61"/>
      <x:c r="L15" s="61"/>
    </x:row>
    <x:row r="16" ht="38" customHeight="1">
      <x:c r="B16" s="53" t="str">
        <x:v>Valid failure</x:v>
      </x:c>
      <x:c r="C16" s="61" t="str">
        <x:v>No automatic repeat; a causal experiment is a new governed event.</x:v>
      </x:c>
      <x:c r="D16" s="61"/>
      <x:c r="E16" s="61"/>
      <x:c r="F16" s="61"/>
      <x:c r="G16" s="61"/>
      <x:c r="H16" s="61"/>
      <x:c r="I16" s="61"/>
      <x:c r="J16" s="61"/>
      <x:c r="K16" s="61"/>
      <x:c r="L16" s="61"/>
    </x:row>
  </x:sheetData>
  <x:mergeCells>
    <x:mergeCell ref="B3:L3"/>
    <x:mergeCell ref="B12:L12"/>
    <x:mergeCell ref="C13:L13"/>
    <x:mergeCell ref="C14:L14"/>
    <x:mergeCell ref="C15:L15"/>
    <x:mergeCell ref="C16:L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32" hidden="0" customWidth="1"/>
    <x:col min="3" max="3" width="14" hidden="0" customWidth="1"/>
    <x:col min="4" max="4" width="40" hidden="0" customWidth="1"/>
    <x:col min="5" max="5" width="18" hidden="0" customWidth="1"/>
    <x:col min="6" max="6" width="4" hidden="0" customWidth="1"/>
    <x:col min="7" max="7" width="34" hidden="0" customWidth="1"/>
    <x:col min="8" max="8" width="14" hidden="0" customWidth="1"/>
    <x:col min="9" max="9" width="40" hidden="0" customWidth="1"/>
    <x:col min="10" max="10" width="18" hidden="0" customWidth="1"/>
  </x:cols>
  <x:sheetData>
    <x:row r="2">
      <x:c r="B2" s="1" t="str">
        <x:v>Complete station cycles</x:v>
      </x:c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B3" s="2" t="str">
        <x:v>A station returns to capacity only after physical reset, post-bracket, custody and configuration closure.</x:v>
      </x:c>
      <x:c r="C3" s="53"/>
      <x:c r="D3" s="53"/>
      <x:c r="E3" s="53"/>
      <x:c r="F3" s="53"/>
      <x:c r="G3" s="53"/>
      <x:c r="H3" s="53"/>
      <x:c r="I3" s="53"/>
      <x:c r="J3" s="53"/>
      <x:c r="K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  <x:c r="K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  <x:c r="K5" s="53"/>
    </x:row>
    <x:row r="6">
      <x:c r="B6" s="15" t="str">
        <x:v>Closure segment</x:v>
      </x:c>
      <x:c r="C6" s="16" t="str">
        <x:v>Days</x:v>
      </x:c>
      <x:c r="D6" s="16" t="str">
        <x:v>Exit condition</x:v>
      </x:c>
      <x:c r="E6" s="16" t="str">
        <x:v>Capacity state</x:v>
      </x:c>
      <x:c r="F6" s="53"/>
      <x:c r="G6" s="15" t="str">
        <x:v>Damage segment</x:v>
      </x:c>
      <x:c r="H6" s="16" t="str">
        <x:v>Days</x:v>
      </x:c>
      <x:c r="I6" s="16" t="str">
        <x:v>Exit condition</x:v>
      </x:c>
      <x:c r="J6" s="16" t="str">
        <x:v>Capacity state</x:v>
      </x:c>
      <x:c r="K6" s="53"/>
    </x:row>
    <x:row r="7">
      <x:c r="B7" s="64" t="str">
        <x:v>receive/configuration survey</x:v>
      </x:c>
      <x:c r="C7" s="64" t="n">
        <x:v>0.75</x:v>
      </x:c>
      <x:c r="D7" s="64" t="str">
        <x:v>article and adapter accepted</x:v>
      </x:c>
      <x:c r="E7" s="75" t="str">
        <x:v>RESETTING</x:v>
      </x:c>
      <x:c r="F7" s="53"/>
      <x:c r="G7" s="64" t="str">
        <x:v>cassette/article installation</x:v>
      </x:c>
      <x:c r="H7" s="64" t="n">
        <x:v>2</x:v>
      </x:c>
      <x:c r="I7" s="64" t="str">
        <x:v>active 120 m article sealed</x:v>
      </x:c>
      <x:c r="J7" s="75" t="str">
        <x:v>RESETTING</x:v>
      </x:c>
      <x:c r="K7" s="53"/>
    </x:row>
    <x:row r="8">
      <x:c r="B8" s="64" t="str">
        <x:v>install/instrument/pre-bracket</x:v>
      </x:c>
      <x:c r="C8" s="64" t="n">
        <x:v>1.25</x:v>
      </x:c>
      <x:c r="D8" s="64" t="str">
        <x:v>mounted truth chain closes</x:v>
      </x:c>
      <x:c r="E8" s="75" t="str">
        <x:v>RESETTING</x:v>
      </x:c>
      <x:c r="F8" s="53"/>
      <x:c r="G8" s="64" t="str">
        <x:v>pre-bracket/blanks/custody</x:v>
      </x:c>
      <x:c r="H8" s="64" t="n">
        <x:v>1</x:v>
      </x:c>
      <x:c r="I8" s="64" t="str">
        <x:v>entry controls close</x:v>
      </x:c>
      <x:c r="J8" s="75" t="str">
        <x:v>RESETTING</x:v>
      </x:c>
      <x:c r="K8" s="53"/>
    </x:row>
    <x:row r="9">
      <x:c r="B9" s="64" t="str">
        <x:v>process and proof</x:v>
      </x:c>
      <x:c r="C9" s="64" t="n">
        <x:v>4.17</x:v>
      </x:c>
      <x:c r="D9" s="64" t="str">
        <x:v>100 instrumented hours complete</x:v>
      </x:c>
      <x:c r="E9" s="75" t="str">
        <x:v>RESETTING</x:v>
      </x:c>
      <x:c r="F9" s="53"/>
      <x:c r="G9" s="64" t="str">
        <x:v>injury and restoration</x:v>
      </x:c>
      <x:c r="H9" s="64" t="n">
        <x:v>1</x:v>
      </x:c>
      <x:c r="I9" s="64" t="str">
        <x:v>safe terminal service state</x:v>
      </x:c>
      <x:c r="J9" s="75" t="str">
        <x:v>RESETTING</x:v>
      </x:c>
      <x:c r="K9" s="53"/>
    </x:row>
    <x:row r="10">
      <x:c r="B10" s="64" t="str">
        <x:v>safe removal/quarantine</x:v>
      </x:c>
      <x:c r="C10" s="64" t="n">
        <x:v>0.5</x:v>
      </x:c>
      <x:c r="D10" s="64" t="str">
        <x:v>article transferred under custody</x:v>
      </x:c>
      <x:c r="E10" s="75" t="str">
        <x:v>RESETTING</x:v>
      </x:c>
      <x:c r="F10" s="53"/>
      <x:c r="G10" s="64" t="str">
        <x:v>quarantine/sample recovery</x:v>
      </x:c>
      <x:c r="H10" s="64" t="n">
        <x:v>2</x:v>
      </x:c>
      <x:c r="I10" s="64" t="str">
        <x:v>water, waste and article separated</x:v>
      </x:c>
      <x:c r="J10" s="75" t="str">
        <x:v>RESETTING</x:v>
      </x:c>
      <x:c r="K10" s="53"/>
    </x:row>
    <x:row r="11">
      <x:c r="B11" s="64" t="str">
        <x:v>reset and post-bracket</x:v>
      </x:c>
      <x:c r="C11" s="64" t="n">
        <x:v>0.75</x:v>
      </x:c>
      <x:c r="D11" s="64" t="str">
        <x:v>cleaning, inspection and references pass</x:v>
      </x:c>
      <x:c r="E11" s="75" t="str">
        <x:v>RESETTING</x:v>
      </x:c>
      <x:c r="F11" s="53"/>
      <x:c r="G11" s="64" t="str">
        <x:v>removal/forensic transfer</x:v>
      </x:c>
      <x:c r="H11" s="64" t="n">
        <x:v>2</x:v>
      </x:c>
      <x:c r="I11" s="64" t="str">
        <x:v>damage truth preserved</x:v>
      </x:c>
      <x:c r="J11" s="75" t="str">
        <x:v>RESETTING</x:v>
      </x:c>
      <x:c r="K11" s="53"/>
    </x:row>
    <x:row r="12">
      <x:c r="B12" s="64" t="str">
        <x:v>schedule/weather allowance</x:v>
      </x:c>
      <x:c r="C12" s="64" t="n">
        <x:v>0.58</x:v>
      </x:c>
      <x:c r="D12" s="64" t="str">
        <x:v>local variation absorbed</x:v>
      </x:c>
      <x:c r="E12" s="75" t="str">
        <x:v>RESETTING</x:v>
      </x:c>
      <x:c r="F12" s="53"/>
      <x:c r="G12" s="64" t="str">
        <x:v>decontamination/utilities</x:v>
      </x:c>
      <x:c r="H12" s="64" t="n">
        <x:v>3</x:v>
      </x:c>
      <x:c r="I12" s="64" t="str">
        <x:v>blanks, drains and loops clean</x:v>
      </x:c>
      <x:c r="J12" s="75" t="str">
        <x:v>RESETTING</x:v>
      </x:c>
      <x:c r="K12" s="53"/>
    </x:row>
    <x:row r="13">
      <x:c r="B13" s="69" t="str">
        <x:v>TOTAL</x:v>
      </x:c>
      <x:c r="C13" s="69" t="n">
        <x:f>SUM(C7:C12)</x:f>
        <x:v>8</x:v>
      </x:c>
      <x:c r="D13" s="69" t="str">
        <x:f>IF(ABS(C13-'Control Inputs'!D12)&lt;0.001,"PASS","FAIL")</x:f>
        <x:v>PASS</x:v>
      </x:c>
      <x:c r="E13" s="78"/>
      <x:c r="F13" s="53"/>
      <x:c r="G13" s="64" t="str">
        <x:v>cassette/actuator/sensor reset</x:v>
      </x:c>
      <x:c r="H13" s="64" t="n">
        <x:v>2</x:v>
      </x:c>
      <x:c r="I13" s="64" t="str">
        <x:v>mechanical/config references pass</x:v>
      </x:c>
      <x:c r="J13" s="75" t="str">
        <x:v>RESETTING</x:v>
      </x:c>
      <x:c r="K13" s="53"/>
    </x:row>
    <x:row r="14">
      <x:c r="B14" s="53"/>
      <x:c r="C14" s="53"/>
      <x:c r="D14" s="53"/>
      <x:c r="E14" s="53"/>
      <x:c r="F14" s="53"/>
      <x:c r="G14" s="64" t="str">
        <x:v>schedule/weather allowance</x:v>
      </x:c>
      <x:c r="H14" s="64" t="n">
        <x:v>1</x:v>
      </x:c>
      <x:c r="I14" s="64" t="str">
        <x:v>local variation absorbed</x:v>
      </x:c>
      <x:c r="J14" s="75" t="str">
        <x:v>RESETTING</x:v>
      </x:c>
      <x:c r="K14" s="53"/>
    </x:row>
    <x:row r="15">
      <x:c r="B15" s="53"/>
      <x:c r="C15" s="53"/>
      <x:c r="D15" s="53"/>
      <x:c r="E15" s="53"/>
      <x:c r="F15" s="53"/>
      <x:c r="G15" s="69" t="str">
        <x:v>TOTAL</x:v>
      </x:c>
      <x:c r="H15" s="69" t="n">
        <x:f>SUM(H7:H14)</x:f>
        <x:v>14</x:v>
      </x:c>
      <x:c r="I15" s="69" t="str">
        <x:f>IF(ABS(H15-'Control Inputs'!D13)&lt;0.001,"PASS","FAIL")</x:f>
        <x:v>PASS</x:v>
      </x:c>
      <x:c r="J15" s="78"/>
      <x:c r="K15" s="53"/>
    </x:row>
  </x:sheetData>
  <x:mergeCells>
    <x:mergeCell ref="B3:K3"/>
  </x:mergeCells>
  <x:conditionalFormatting sqref="D13:E13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HOLD"/>
    <x:cfRule type="containsText" dxfId="15" priority="4" operator="containsText" text="OPEN"/>
    <x:cfRule type="containsText" dxfId="16" priority="5" operator="containsText" text="OUT"/>
    <x:cfRule type="containsText" dxfId="17" priority="6" operator="containsText" text="UNTESTED"/>
    <x:cfRule type="containsText" dxfId="18" priority="7" operator="containsText" text="PASS"/>
    <x:cfRule type="containsText" dxfId="19" priority="8" operator="containsText" text="READY"/>
    <x:cfRule type="containsText" dxfId="20" priority="9" operator="containsText" text="AUTHORIZED"/>
    <x:cfRule type="containsText" dxfId="21" priority="10" operator="containsText" text="PLANNING PASS"/>
    <x:cfRule type="containsText" dxfId="22" priority="11" operator="containsText" text="RELEASED"/>
    <x:cfRule type="containsText" dxfId="23" priority="12" operator="containsText" text="ADMITTED"/>
  </x:conditionalFormatting>
  <x:conditionalFormatting sqref="I15:J15">
    <x:cfRule type="containsText" dxfId="24" priority="13" operator="containsText" text="FAIL"/>
    <x:cfRule type="containsText" dxfId="25" priority="14" operator="containsText" text="BLOCKED"/>
    <x:cfRule type="containsText" dxfId="26" priority="15" operator="containsText" text="HOLD"/>
    <x:cfRule type="containsText" dxfId="27" priority="16" operator="containsText" text="OPEN"/>
    <x:cfRule type="containsText" dxfId="28" priority="17" operator="containsText" text="OUT"/>
    <x:cfRule type="containsText" dxfId="29" priority="18" operator="containsText" text="UNTESTED"/>
    <x:cfRule type="containsText" dxfId="30" priority="19" operator="containsText" text="PASS"/>
    <x:cfRule type="containsText" dxfId="31" priority="20" operator="containsText" text="READY"/>
    <x:cfRule type="containsText" dxfId="32" priority="21" operator="containsText" text="AUTHORIZED"/>
    <x:cfRule type="containsText" dxfId="33" priority="22" operator="containsText" text="PLANNING PASS"/>
    <x:cfRule type="containsText" dxfId="34" priority="23" operator="containsText" text="RELEASED"/>
    <x:cfRule type="containsText" dxfId="35" priority="24" operator="containsText" text="ADMIT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29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16" hidden="0" customWidth="1"/>
    <x:col min="9" max="9" width="16" hidden="0" customWidth="1"/>
    <x:col min="10" max="10" width="17" hidden="0" customWidth="1"/>
    <x:col min="11" max="11" width="19" hidden="0" customWidth="1"/>
    <x:col min="12" max="12" width="18" hidden="0" customWidth="1"/>
    <x:col min="13" max="13" width="14" hidden="0" customWidth="1"/>
  </x:cols>
  <x:sheetData>
    <x:row r="2">
      <x:c r="B2" s="1" t="str">
        <x:v>Service-lane capacity after campus loss</x:v>
      </x:c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</x:row>
    <x:row r="3">
      <x:c r="B3" s="2" t="str">
        <x:v>Recommended quantities preserve P90 demand under loss of one complete campus and keep residual utilization at or below 70%.</x:v>
      </x:c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</x:row>
    <x:row r="6">
      <x:c r="B6" s="15" t="str">
        <x:v>Lane</x:v>
      </x:c>
      <x:c r="C6" s="16" t="str">
        <x:v>P90 workload</x:v>
      </x:c>
      <x:c r="D6" s="16" t="str">
        <x:v>Work unit</x:v>
      </x:c>
      <x:c r="E6" s="16" t="str">
        <x:v>Per-asset productive capacity</x:v>
      </x:c>
      <x:c r="F6" s="16" t="str">
        <x:v>Asset loss/campus</x:v>
      </x:c>
      <x:c r="G6" s="16" t="str">
        <x:v>Mathematical minimum</x:v>
      </x:c>
      <x:c r="H6" s="16" t="str">
        <x:v>N-1 minimum</x:v>
      </x:c>
      <x:c r="I6" s="16" t="str">
        <x:v>Recommended</x:v>
      </x:c>
      <x:c r="J6" s="16" t="str">
        <x:v>Residual assets</x:v>
      </x:c>
      <x:c r="K6" s="16" t="str">
        <x:v>Residual capacity</x:v>
      </x:c>
      <x:c r="L6" s="16" t="str">
        <x:v>Residual utilization</x:v>
      </x:c>
      <x:c r="M6" s="16" t="str">
        <x:v>Gate</x:v>
      </x:c>
    </x:row>
    <x:row r="7">
      <x:c r="B7" s="64" t="str">
        <x:v>Closure bays</x:v>
      </x:c>
      <x:c r="C7" s="64" t="n">
        <x:f>'Attempt Demand'!L7</x:f>
        <x:v>720</x:v>
      </x:c>
      <x:c r="D7" s="64" t="str">
        <x:v>bay-days</x:v>
      </x:c>
      <x:c r="E7" s="64" t="n">
        <x:f>'Control Inputs'!D15*'Control Inputs'!D14*'Control Inputs'!D17</x:f>
        <x:v>289.76500000000004</x:v>
      </x:c>
      <x:c r="F7" s="64" t="n">
        <x:f>'Control Inputs'!D20</x:f>
        <x:v>2</x:v>
      </x:c>
      <x:c r="G7" s="64" t="n">
        <x:f>ROUNDUP(C7/E7,0)</x:f>
        <x:v>3</x:v>
      </x:c>
      <x:c r="H7" s="64" t="n">
        <x:f>G7+1</x:f>
        <x:v>4</x:v>
      </x:c>
      <x:c r="I7" s="64" t="n">
        <x:f>'Control Inputs'!D21*'Control Inputs'!D22</x:f>
        <x:v>6</x:v>
      </x:c>
      <x:c r="J7" s="64" t="n">
        <x:f>I7-F7</x:f>
        <x:v>4</x:v>
      </x:c>
      <x:c r="K7" s="64" t="n">
        <x:f>J7*E7</x:f>
        <x:v>1159.0600000000002</x:v>
      </x:c>
      <x:c r="L7" s="73" t="n">
        <x:f>C7/K7</x:f>
        <x:v>0.6211930357358548</x:v>
      </x:c>
      <x:c r="M7" s="75" t="str">
        <x:f>IF(AND(J7&gt;0,L7&lt;='Control Inputs'!D19),"PASS","FAIL")</x:f>
        <x:v>PASS</x:v>
      </x:c>
    </x:row>
    <x:row r="8">
      <x:c r="B8" s="64" t="str">
        <x:v>Damage cells</x:v>
      </x:c>
      <x:c r="C8" s="64" t="n">
        <x:f>'Attempt Demand'!L8</x:f>
        <x:v>518</x:v>
      </x:c>
      <x:c r="D8" s="64" t="str">
        <x:v>cell-days</x:v>
      </x:c>
      <x:c r="E8" s="64" t="n">
        <x:f>'Control Inputs'!D16*'Control Inputs'!D14*'Control Inputs'!D18</x:f>
        <x:v>237.4125</x:v>
      </x:c>
      <x:c r="F8" s="64" t="n">
        <x:f>'Control Inputs'!D20</x:f>
        <x:v>2</x:v>
      </x:c>
      <x:c r="G8" s="64" t="n">
        <x:f>ROUNDUP(C8/E8,0)</x:f>
        <x:v>3</x:v>
      </x:c>
      <x:c r="H8" s="64" t="n">
        <x:f>G8+1</x:f>
        <x:v>4</x:v>
      </x:c>
      <x:c r="I8" s="64" t="n">
        <x:f>'Control Inputs'!D21*'Control Inputs'!D23</x:f>
        <x:v>6</x:v>
      </x:c>
      <x:c r="J8" s="64" t="n">
        <x:f>I8-F8</x:f>
        <x:v>4</x:v>
      </x:c>
      <x:c r="K8" s="64" t="n">
        <x:f>J8*E8</x:f>
        <x:v>949.65</x:v>
      </x:c>
      <x:c r="L8" s="73" t="n">
        <x:f>C8/K8</x:f>
        <x:v>0.5454641183593956</x:v>
      </x:c>
      <x:c r="M8" s="75" t="str">
        <x:f>IF(AND(J8&gt;0,L8&lt;='Control Inputs'!D19),"PASS","FAIL")</x:f>
        <x:v>PASS</x:v>
      </x:c>
    </x:row>
    <x:row r="9">
      <x:c r="B9" s="64" t="str">
        <x:v>Forensic lines</x:v>
      </x:c>
      <x:c r="C9" s="64" t="n">
        <x:f>'Attempt Demand'!J7*'Control Inputs'!D29+'Attempt Demand'!J8*'Control Inputs'!D30</x:f>
        <x:v>365</x:v>
      </x:c>
      <x:c r="D9" s="64" t="str">
        <x:v>line-days</x:v>
      </x:c>
      <x:c r="E9" s="64" t="n">
        <x:f>'Control Inputs'!D31*'Control Inputs'!D14*'Control Inputs'!D32</x:f>
        <x:v>298.28749999999997</x:v>
      </x:c>
      <x:c r="F9" s="64" t="n">
        <x:f>'Control Inputs'!D27</x:f>
        <x:v>1</x:v>
      </x:c>
      <x:c r="G9" s="64" t="n">
        <x:f>ROUNDUP(C9/E9,0)</x:f>
        <x:v>2</x:v>
      </x:c>
      <x:c r="H9" s="64" t="n">
        <x:f>G9+1</x:f>
        <x:v>3</x:v>
      </x:c>
      <x:c r="I9" s="64" t="n">
        <x:f>'Control Inputs'!D21*'Control Inputs'!D27</x:f>
        <x:v>3</x:v>
      </x:c>
      <x:c r="J9" s="64" t="n">
        <x:f>I9-F9</x:f>
        <x:v>2</x:v>
      </x:c>
      <x:c r="K9" s="64" t="n">
        <x:f>J9*E9</x:f>
        <x:v>596.5749999999999</x:v>
      </x:c>
      <x:c r="L9" s="73" t="n">
        <x:f>C9/K9</x:f>
        <x:v>0.6118258391652349</x:v>
      </x:c>
      <x:c r="M9" s="75" t="str">
        <x:f>IF(AND(J9&gt;0,L9&lt;='Control Inputs'!D19),"PASS","FAIL")</x:f>
        <x:v>PASS</x:v>
      </x:c>
    </x:row>
    <x:row r="10">
      <x:c r="B10" s="64" t="str">
        <x:v>Water laboratories</x:v>
      </x:c>
      <x:c r="C10" s="64" t="n">
        <x:f>'Attempt Demand'!J7*'Control Inputs'!D33+'Attempt Demand'!J8*'Control Inputs'!D34</x:f>
        <x:v>6600</x:v>
      </x:c>
      <x:c r="D10" s="64" t="str">
        <x:v>assay panels</x:v>
      </x:c>
      <x:c r="E10" s="64" t="n">
        <x:f>'Control Inputs'!D36*'Control Inputs'!D14*'Control Inputs'!D37*'Control Inputs'!D35</x:f>
        <x:v>3323.775</x:v>
      </x:c>
      <x:c r="F10" s="64" t="n">
        <x:f>'Control Inputs'!D24</x:f>
        <x:v>2</x:v>
      </x:c>
      <x:c r="G10" s="64" t="n">
        <x:f>ROUNDUP(C10/E10,0)</x:f>
        <x:v>2</x:v>
      </x:c>
      <x:c r="H10" s="64" t="n">
        <x:f>G10+1</x:f>
        <x:v>3</x:v>
      </x:c>
      <x:c r="I10" s="64" t="n">
        <x:f>'Control Inputs'!D21*'Control Inputs'!D24</x:f>
        <x:v>6</x:v>
      </x:c>
      <x:c r="J10" s="64" t="n">
        <x:f>I10-F10</x:f>
        <x:v>4</x:v>
      </x:c>
      <x:c r="K10" s="64" t="n">
        <x:f>J10*E10</x:f>
        <x:v>13295.1</x:v>
      </x:c>
      <x:c r="L10" s="73" t="n">
        <x:f>C10/K10</x:f>
        <x:v>0.49642349437010624</x:v>
      </x:c>
      <x:c r="M10" s="75" t="str">
        <x:f>IF(AND(J10&gt;0,L10&lt;='Control Inputs'!D19),"PASS","FAIL")</x:f>
        <x:v>PASS</x:v>
      </x:c>
    </x:row>
    <x:row r="11">
      <x:c r="B11" s="64" t="str">
        <x:v>Metrology detachments</x:v>
      </x:c>
      <x:c r="C11" s="64" t="n">
        <x:f>('Attempt Demand'!J7+'Attempt Demand'!J8)*'Control Inputs'!D38</x:f>
        <x:v>254</x:v>
      </x:c>
      <x:c r="D11" s="64" t="str">
        <x:v>brackets</x:v>
      </x:c>
      <x:c r="E11" s="64" t="n">
        <x:f>'Control Inputs'!D40*'Control Inputs'!D42*'Control Inputs'!D39*'Control Inputs'!D41</x:f>
        <x:v>212.90499999999997</x:v>
      </x:c>
      <x:c r="F11" s="64" t="n">
        <x:f>'Control Inputs'!D25</x:f>
        <x:v>2</x:v>
      </x:c>
      <x:c r="G11" s="64" t="n">
        <x:f>ROUNDUP(C11/E11,0)</x:f>
        <x:v>2</x:v>
      </x:c>
      <x:c r="H11" s="64" t="n">
        <x:f>G11+1</x:f>
        <x:v>3</x:v>
      </x:c>
      <x:c r="I11" s="64" t="n">
        <x:f>'Control Inputs'!D21*'Control Inputs'!D25</x:f>
        <x:v>6</x:v>
      </x:c>
      <x:c r="J11" s="64" t="n">
        <x:f>I11-F11</x:f>
        <x:v>4</x:v>
      </x:c>
      <x:c r="K11" s="64" t="n">
        <x:f>J11*E11</x:f>
        <x:v>851.6199999999999</x:v>
      </x:c>
      <x:c r="L11" s="73" t="n">
        <x:f>C11/K11</x:f>
        <x:v>0.29825509029848996</x:v>
      </x:c>
      <x:c r="M11" s="75" t="str">
        <x:f>IF(AND(J11&gt;0,L11&lt;='Control Inputs'!D19),"PASS","FAIL")</x:f>
        <x:v>PASS</x:v>
      </x:c>
    </x:row>
    <x:row r="12">
      <x:c r="B12" s="64" t="str">
        <x:v>Evidence replay cells</x:v>
      </x:c>
      <x:c r="C12" s="64" t="n">
        <x:f>'Control Inputs'!D45*('Attempt Demand'!J7*'Control Inputs'!D43+'Attempt Demand'!J8*'Control Inputs'!D44)</x:f>
        <x:v>2392</x:v>
      </x:c>
      <x:c r="D12" s="64" t="str">
        <x:v>replay hours</x:v>
      </x:c>
      <x:c r="E12" s="64" t="n">
        <x:f>'Control Inputs'!D47*'Control Inputs'!D14*'Control Inputs'!D46*'Control Inputs'!D48</x:f>
        <x:v>3798.6</x:v>
      </x:c>
      <x:c r="F12" s="64" t="n">
        <x:f>'Control Inputs'!D26</x:f>
        <x:v>2</x:v>
      </x:c>
      <x:c r="G12" s="64" t="n">
        <x:f>ROUNDUP(C12/E12,0)</x:f>
        <x:v>1</x:v>
      </x:c>
      <x:c r="H12" s="64" t="n">
        <x:f>G12+1</x:f>
        <x:v>2</x:v>
      </x:c>
      <x:c r="I12" s="64" t="n">
        <x:f>'Control Inputs'!D21*'Control Inputs'!D26</x:f>
        <x:v>6</x:v>
      </x:c>
      <x:c r="J12" s="64" t="n">
        <x:f>I12-F12</x:f>
        <x:v>4</x:v>
      </x:c>
      <x:c r="K12" s="64" t="n">
        <x:f>J12*E12</x:f>
        <x:v>15194.4</x:v>
      </x:c>
      <x:c r="L12" s="73" t="n">
        <x:f>C12/K12</x:f>
        <x:v>0.15742642026009582</x:v>
      </x:c>
      <x:c r="M12" s="75" t="str">
        <x:f>IF(AND(J12&gt;0,L12&lt;='Control Inputs'!D19),"PASS","FAIL")</x:f>
        <x:v>PASS</x:v>
      </x:c>
    </x:row>
    <x:row r="13">
      <x:c r="B13" s="69" t="str">
        <x:v>Blind/config shops</x:v>
      </x:c>
      <x:c r="C13" s="69" t="n">
        <x:f>'Control Inputs'!D49</x:f>
        <x:v>30</x:v>
      </x:c>
      <x:c r="D13" s="69" t="str">
        <x:v>blind events</x:v>
      </x:c>
      <x:c r="E13" s="69" t="n">
        <x:f>'Control Inputs'!D51*'Control Inputs'!D42*'Control Inputs'!D50*'Control Inputs'!D52</x:f>
        <x:v>79.079</x:v>
      </x:c>
      <x:c r="F13" s="69" t="n">
        <x:f>'Control Inputs'!D28</x:f>
        <x:v>1</x:v>
      </x:c>
      <x:c r="G13" s="69" t="n">
        <x:f>ROUNDUP(C13/E13,0)</x:f>
        <x:v>1</x:v>
      </x:c>
      <x:c r="H13" s="69" t="n">
        <x:f>G13+1</x:f>
        <x:v>2</x:v>
      </x:c>
      <x:c r="I13" s="69" t="n">
        <x:f>'Control Inputs'!D21*'Control Inputs'!D28</x:f>
        <x:v>3</x:v>
      </x:c>
      <x:c r="J13" s="69" t="n">
        <x:f>I13-F13</x:f>
        <x:v>2</x:v>
      </x:c>
      <x:c r="K13" s="69" t="n">
        <x:f>J13*E13</x:f>
        <x:v>158.158</x:v>
      </x:c>
      <x:c r="L13" s="76" t="n">
        <x:f>C13/K13</x:f>
        <x:v>0.18968373398753147</x:v>
      </x:c>
      <x:c r="M13" s="78" t="str">
        <x:f>IF(AND(J13&gt;0,L13&lt;='Control Inputs'!D19),"PASS","FAIL")</x:f>
        <x:v>PASS</x:v>
      </x:c>
    </x:row>
    <x:row r="14"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</x:row>
    <x:row r="15"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</x:row>
    <x:row r="16"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</x:row>
    <x:row r="17">
      <x:c r="B17" s="56" t="str">
        <x:v>National recommendation</x:v>
      </x:c>
      <x:c r="C17" s="57" t="str">
        <x:v>National recommendation</x:v>
      </x:c>
      <x:c r="D17" s="57" t="str">
        <x:v>National recommendation</x:v>
      </x:c>
      <x:c r="E17" s="57" t="str">
        <x:v>National recommendation</x:v>
      </x:c>
      <x:c r="F17" s="57" t="str">
        <x:v>National recommendation</x:v>
      </x:c>
      <x:c r="G17" s="57" t="str">
        <x:v>National recommendation</x:v>
      </x:c>
      <x:c r="H17" s="57" t="str">
        <x:v>National recommendation</x:v>
      </x:c>
      <x:c r="I17" s="57" t="str">
        <x:v>National recommendation</x:v>
      </x:c>
      <x:c r="J17" s="57" t="str">
        <x:v>National recommendation</x:v>
      </x:c>
      <x:c r="K17" s="57" t="str">
        <x:v>National recommendation</x:v>
      </x:c>
      <x:c r="L17" s="57" t="str">
        <x:v>National recommendation</x:v>
      </x:c>
      <x:c r="M17" s="58" t="str">
        <x:v>National recommendation</x:v>
      </x:c>
    </x:row>
    <x:row r="18" ht="38" customHeight="1">
      <x:c r="B18" s="53" t="str">
        <x:v>Mathematical minimum</x:v>
      </x:c>
      <x:c r="C18" s="61" t="str">
        <x:v>Three closure bays and three damage cells; all must survive.</x:v>
      </x:c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</x:row>
    <x:row r="19" ht="38" customHeight="1">
      <x:c r="B19" s="53" t="str">
        <x:v>One-cell-loss minimum</x:v>
      </x:c>
      <x:c r="C19" s="61" t="str">
        <x:v>Four of each finish after one loss but exceed the mature utilization ceiling.</x:v>
      </x:c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</x:row>
    <x:row r="20" ht="38" customHeight="1">
      <x:c r="B20" s="53" t="str">
        <x:v>Mature force</x:v>
      </x:c>
      <x:c r="C20" s="61" t="str">
        <x:v>Six of each across three campuses preserve the deadline after losing two co-located assets.</x:v>
      </x:c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</x:row>
    <x:row r="21" ht="38" customHeight="1">
      <x:c r="B21" s="53" t="str">
        <x:v>Supporting lanes</x:v>
      </x:c>
      <x:c r="C21" s="61" t="str">
        <x:v>Quantities follow their own work and independence requirements, not fixture count.</x:v>
      </x:c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</x:row>
    <x:row r="22" ht="38" customHeight="1">
      <x:c r="B22" s="53" t="str">
        <x:v>Capacity meaning</x:v>
      </x:c>
      <x:c r="C22" s="61" t="str">
        <x:v>Only commissioned READY state counts; reserve is not consumed by routine schedule.</x:v>
      </x:c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</x:row>
  </x:sheetData>
  <x:mergeCells>
    <x:mergeCell ref="B3:M3"/>
    <x:mergeCell ref="B17:M17"/>
    <x:mergeCell ref="C18:M18"/>
    <x:mergeCell ref="C19:M19"/>
    <x:mergeCell ref="C20:M20"/>
    <x:mergeCell ref="C21:M21"/>
    <x:mergeCell ref="C22:M22"/>
  </x:mergeCells>
  <x:conditionalFormatting sqref="M7:M13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HOLD"/>
    <x:cfRule type="containsText" dxfId="39" priority="4" operator="containsText" text="OPEN"/>
    <x:cfRule type="containsText" dxfId="40" priority="5" operator="containsText" text="OUT"/>
    <x:cfRule type="containsText" dxfId="41" priority="6" operator="containsText" text="UNTESTED"/>
    <x:cfRule type="containsText" dxfId="42" priority="7" operator="containsText" text="PASS"/>
    <x:cfRule type="containsText" dxfId="43" priority="8" operator="containsText" text="READY"/>
    <x:cfRule type="containsText" dxfId="44" priority="9" operator="containsText" text="AUTHORIZED"/>
    <x:cfRule type="containsText" dxfId="45" priority="10" operator="containsText" text="PLANNING PASS"/>
    <x:cfRule type="containsText" dxfId="46" priority="11" operator="containsText" text="RELEASED"/>
    <x:cfRule type="containsText" dxfId="47" priority="12" operator="containsText" text="ADMITT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7" hidden="0" customWidth="1"/>
    <x:col min="4" max="4" width="16" hidden="0" customWidth="1"/>
    <x:col min="5" max="5" width="16" hidden="0" customWidth="1"/>
    <x:col min="6" max="6" width="14" hidden="0" customWidth="1"/>
    <x:col min="7" max="7" width="18" hidden="0" customWidth="1"/>
    <x:col min="8" max="8" width="15" hidden="0" customWidth="1"/>
    <x:col min="9" max="9" width="17" hidden="0" customWidth="1"/>
    <x:col min="10" max="10" width="15" hidden="0" customWidth="1"/>
    <x:col min="11" max="11" width="34" hidden="0" customWidth="1"/>
    <x:col min="12" max="12" width="16" hidden="0" customWidth="1"/>
  </x:cols>
  <x:sheetData>
    <x:row r="2">
      <x:c r="B2" s="1" t="str">
        <x:v>Three complete and unlike campuses</x:v>
      </x:c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</x:row>
    <x:row r="3">
      <x:c r="B3" s="2" t="str">
        <x:v>Each campus can reach safe state, preserve originals and continue authorized work without a shared national service.</x:v>
      </x:c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</x:row>
    <x:row r="6">
      <x:c r="B6" s="15" t="str">
        <x:v>Campus</x:v>
      </x:c>
      <x:c r="C6" s="16" t="str">
        <x:v>Posture</x:v>
      </x:c>
      <x:c r="D6" s="16" t="str">
        <x:v>Closure bays</x:v>
      </x:c>
      <x:c r="E6" s="16" t="str">
        <x:v>Damage cells</x:v>
      </x:c>
      <x:c r="F6" s="16" t="str">
        <x:v>Water labs</x:v>
      </x:c>
      <x:c r="G6" s="16" t="str">
        <x:v>Metrology teams</x:v>
      </x:c>
      <x:c r="H6" s="16" t="str">
        <x:v>Replay cells</x:v>
      </x:c>
      <x:c r="I6" s="16" t="str">
        <x:v>Forensic lines</x:v>
      </x:c>
      <x:c r="J6" s="16" t="str">
        <x:v>Blind shops</x:v>
      </x:c>
      <x:c r="K6" s="16" t="str">
        <x:v>Independence root</x:v>
      </x:c>
      <x:c r="L6" s="16" t="str">
        <x:v>Physical state</x:v>
      </x:c>
      <x:c r="M6" s="53"/>
    </x:row>
    <x:row r="7" ht="50" customHeight="1">
      <x:c r="B7" s="64" t="str">
        <x:v>NRC-A</x:v>
      </x:c>
      <x:c r="C7" s="65" t="str">
        <x:v>cold/hydraulic tempo</x:v>
      </x:c>
      <x:c r="D7" s="65" t="n">
        <x:v>2</x:v>
      </x:c>
      <x:c r="E7" s="65" t="n">
        <x:v>2</x:v>
      </x:c>
      <x:c r="F7" s="65" t="n">
        <x:v>2</x:v>
      </x:c>
      <x:c r="G7" s="65" t="n">
        <x:v>2</x:v>
      </x:c>
      <x:c r="H7" s="65" t="n">
        <x:v>2</x:v>
      </x:c>
      <x:c r="I7" s="65" t="n">
        <x:v>1</x:v>
      </x:c>
      <x:c r="J7" s="65" t="n">
        <x:v>1</x:v>
      </x:c>
      <x:c r="K7" s="65" t="str">
        <x:v>grid/water/control root A</x:v>
      </x:c>
      <x:c r="L7" s="67" t="str">
        <x:v>OPEN</x:v>
      </x:c>
      <x:c r="M7" s="53"/>
    </x:row>
    <x:row r="8" ht="50" customHeight="1">
      <x:c r="B8" s="64" t="str">
        <x:v>NRC-B</x:v>
      </x:c>
      <x:c r="C8" s="65" t="str">
        <x:v>hot/contaminated civil interface</x:v>
      </x:c>
      <x:c r="D8" s="65" t="n">
        <x:v>2</x:v>
      </x:c>
      <x:c r="E8" s="65" t="n">
        <x:v>2</x:v>
      </x:c>
      <x:c r="F8" s="65" t="n">
        <x:v>2</x:v>
      </x:c>
      <x:c r="G8" s="65" t="n">
        <x:v>2</x:v>
      </x:c>
      <x:c r="H8" s="65" t="n">
        <x:v>2</x:v>
      </x:c>
      <x:c r="I8" s="65" t="n">
        <x:v>1</x:v>
      </x:c>
      <x:c r="J8" s="65" t="n">
        <x:v>1</x:v>
      </x:c>
      <x:c r="K8" s="65" t="str">
        <x:v>grid/water/control root B</x:v>
      </x:c>
      <x:c r="L8" s="67" t="str">
        <x:v>OPEN</x:v>
      </x:c>
      <x:c r="M8" s="53"/>
    </x:row>
    <x:row r="9" ht="50" customHeight="1">
      <x:c r="B9" s="69" t="str">
        <x:v>NRC-C</x:v>
      </x:c>
      <x:c r="C9" s="70" t="str">
        <x:v>protected reserve and reproduction</x:v>
      </x:c>
      <x:c r="D9" s="70" t="n">
        <x:v>2</x:v>
      </x:c>
      <x:c r="E9" s="70" t="n">
        <x:v>2</x:v>
      </x:c>
      <x:c r="F9" s="70" t="n">
        <x:v>2</x:v>
      </x:c>
      <x:c r="G9" s="70" t="n">
        <x:v>2</x:v>
      </x:c>
      <x:c r="H9" s="70" t="n">
        <x:v>2</x:v>
      </x:c>
      <x:c r="I9" s="70" t="n">
        <x:v>1</x:v>
      </x:c>
      <x:c r="J9" s="70" t="n">
        <x:v>1</x:v>
      </x:c>
      <x:c r="K9" s="70" t="str">
        <x:v>grid/water/control root C</x:v>
      </x:c>
      <x:c r="L9" s="72" t="str">
        <x:v>OPEN</x:v>
      </x:c>
      <x:c r="M9" s="53"/>
    </x:row>
    <x:row r="10"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</x:row>
    <x:row r="11">
      <x:c r="B11" s="56" t="str">
        <x:v>Complete campus-island boundary</x:v>
      </x:c>
      <x:c r="C11" s="57" t="str">
        <x:v>Complete campus-island boundary</x:v>
      </x:c>
      <x:c r="D11" s="57" t="str">
        <x:v>Complete campus-island boundary</x:v>
      </x:c>
      <x:c r="E11" s="57" t="str">
        <x:v>Complete campus-island boundary</x:v>
      </x:c>
      <x:c r="F11" s="57" t="str">
        <x:v>Complete campus-island boundary</x:v>
      </x:c>
      <x:c r="G11" s="57" t="str">
        <x:v>Complete campus-island boundary</x:v>
      </x:c>
      <x:c r="H11" s="57" t="str">
        <x:v>Complete campus-island boundary</x:v>
      </x:c>
      <x:c r="I11" s="57" t="str">
        <x:v>Complete campus-island boundary</x:v>
      </x:c>
      <x:c r="J11" s="57" t="str">
        <x:v>Complete campus-island boundary</x:v>
      </x:c>
      <x:c r="K11" s="57" t="str">
        <x:v>Complete campus-island boundary</x:v>
      </x:c>
      <x:c r="L11" s="58" t="str">
        <x:v>Complete campus-island boundary</x:v>
      </x:c>
      <x:c r="M11" s="53"/>
    </x:row>
    <x:row r="12" ht="38" customHeight="1">
      <x:c r="B12" s="53" t="str">
        <x:v>source/receiver</x:v>
      </x:c>
      <x:c r="C12" s="61" t="str">
        <x:v>independent water, treatment, buffer and quarantine</x:v>
      </x:c>
      <x:c r="D12" s="61"/>
      <x:c r="E12" s="61"/>
      <x:c r="F12" s="61"/>
      <x:c r="G12" s="61"/>
      <x:c r="H12" s="61"/>
      <x:c r="I12" s="61"/>
      <x:c r="J12" s="61"/>
      <x:c r="K12" s="61"/>
      <x:c r="L12" s="61"/>
      <x:c r="M12" s="53"/>
    </x:row>
    <x:row r="13" ht="38" customHeight="1">
      <x:c r="B13" s="53" t="str">
        <x:v>power</x:v>
      </x:c>
      <x:c r="C13" s="61" t="str">
        <x:v>unlike grid region, local grid-forming island and non-electric safe stop</x:v>
      </x:c>
      <x:c r="D13" s="61"/>
      <x:c r="E13" s="61"/>
      <x:c r="F13" s="61"/>
      <x:c r="G13" s="61"/>
      <x:c r="H13" s="61"/>
      <x:c r="I13" s="61"/>
      <x:c r="J13" s="61"/>
      <x:c r="K13" s="61"/>
      <x:c r="L13" s="61"/>
      <x:c r="M13" s="53"/>
    </x:row>
    <x:row r="14" ht="38" customHeight="1">
      <x:c r="B14" s="53" t="str">
        <x:v>data/time</x:v>
      </x:c>
      <x:c r="C14" s="61" t="str">
        <x:v>local originals, holdover clocks and delayed reconciliation</x:v>
      </x:c>
      <x:c r="D14" s="61"/>
      <x:c r="E14" s="61"/>
      <x:c r="F14" s="61"/>
      <x:c r="G14" s="61"/>
      <x:c r="H14" s="61"/>
      <x:c r="I14" s="61"/>
      <x:c r="J14" s="61"/>
      <x:c r="K14" s="61"/>
      <x:c r="L14" s="61"/>
      <x:c r="M14" s="53"/>
    </x:row>
    <x:row r="15" ht="38" customHeight="1">
      <x:c r="B15" s="53" t="str">
        <x:v>lifting/access</x:v>
      </x:c>
      <x:c r="C15" s="61" t="str">
        <x:v>campus-owned cranes and alternate recovery paths</x:v>
      </x:c>
      <x:c r="D15" s="61"/>
      <x:c r="E15" s="61"/>
      <x:c r="F15" s="61"/>
      <x:c r="G15" s="61"/>
      <x:c r="H15" s="61"/>
      <x:c r="I15" s="61"/>
      <x:c r="J15" s="61"/>
      <x:c r="K15" s="61"/>
      <x:c r="L15" s="61"/>
      <x:c r="M15" s="53"/>
    </x:row>
    <x:row r="16" ht="38" customHeight="1">
      <x:c r="B16" s="53" t="str">
        <x:v>waste</x:v>
      </x:c>
      <x:c r="C16" s="61" t="str">
        <x:v>local holding plus more than one disposition route</x:v>
      </x:c>
      <x:c r="D16" s="61"/>
      <x:c r="E16" s="61"/>
      <x:c r="F16" s="61"/>
      <x:c r="G16" s="61"/>
      <x:c r="H16" s="61"/>
      <x:c r="I16" s="61"/>
      <x:c r="J16" s="61"/>
      <x:c r="K16" s="61"/>
      <x:c r="L16" s="61"/>
      <x:c r="M16" s="53"/>
    </x:row>
    <x:row r="17" ht="38" customHeight="1">
      <x:c r="B17" s="53" t="str">
        <x:v>workforce</x:v>
      </x:c>
      <x:c r="C17" s="61" t="str">
        <x:v>separate shift pool plus cross-campus qualification</x:v>
      </x:c>
      <x:c r="D17" s="61"/>
      <x:c r="E17" s="61"/>
      <x:c r="F17" s="61"/>
      <x:c r="G17" s="61"/>
      <x:c r="H17" s="61"/>
      <x:c r="I17" s="61"/>
      <x:c r="J17" s="61"/>
      <x:c r="K17" s="61"/>
      <x:c r="L17" s="61"/>
      <x:c r="M17" s="53"/>
    </x:row>
    <x:row r="18" ht="38" customHeight="1">
      <x:c r="B18" s="53" t="str">
        <x:v>controls</x:v>
      </x:c>
      <x:c r="C18" s="61" t="str">
        <x:v>independently buildable baseline and local credentials</x:v>
      </x:c>
      <x:c r="D18" s="61"/>
      <x:c r="E18" s="61"/>
      <x:c r="F18" s="61"/>
      <x:c r="G18" s="61"/>
      <x:c r="H18" s="61"/>
      <x:c r="I18" s="61"/>
      <x:c r="J18" s="61"/>
      <x:c r="K18" s="61"/>
      <x:c r="L18" s="61"/>
      <x:c r="M18" s="53"/>
    </x:row>
    <x:row r="19" ht="38" customHeight="1">
      <x:c r="B19" s="53" t="str">
        <x:v>transport</x:v>
      </x:c>
      <x:c r="C19" s="61" t="str">
        <x:v>multiple heavy routes plus resident reset stock</x:v>
      </x:c>
      <x:c r="D19" s="61"/>
      <x:c r="E19" s="61"/>
      <x:c r="F19" s="61"/>
      <x:c r="G19" s="61"/>
      <x:c r="H19" s="61"/>
      <x:c r="I19" s="61"/>
      <x:c r="J19" s="61"/>
      <x:c r="K19" s="61"/>
      <x:c r="L19" s="61"/>
      <x:c r="M19" s="53"/>
    </x:row>
    <x:row r="20" ht="38" customHeight="1">
      <x:c r="B20" s="53" t="str">
        <x:v>reserve</x:v>
      </x:c>
      <x:c r="C20" s="61" t="str">
        <x:v>NRC-C exercises continuously; reserve is a state, not a warehouse</x:v>
      </x:c>
      <x:c r="D20" s="61"/>
      <x:c r="E20" s="61"/>
      <x:c r="F20" s="61"/>
      <x:c r="G20" s="61"/>
      <x:c r="H20" s="61"/>
      <x:c r="I20" s="61"/>
      <x:c r="J20" s="61"/>
      <x:c r="K20" s="61"/>
      <x:c r="L20" s="61"/>
      <x:c r="M20" s="53"/>
    </x:row>
  </x:sheetData>
  <x:mergeCells>
    <x:mergeCell ref="B3:M3"/>
    <x:mergeCell ref="B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</x:mergeCells>
  <x:conditionalFormatting sqref="L7:L9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HOLD"/>
    <x:cfRule type="containsText" dxfId="51" priority="4" operator="containsText" text="OPEN"/>
    <x:cfRule type="containsText" dxfId="52" priority="5" operator="containsText" text="OUT"/>
    <x:cfRule type="containsText" dxfId="53" priority="6" operator="containsText" text="UNTESTED"/>
    <x:cfRule type="containsText" dxfId="54" priority="7" operator="containsText" text="PASS"/>
    <x:cfRule type="containsText" dxfId="55" priority="8" operator="containsText" text="READY"/>
    <x:cfRule type="containsText" dxfId="56" priority="9" operator="containsText" text="AUTHORIZED"/>
    <x:cfRule type="containsText" dxfId="57" priority="10" operator="containsText" text="PLANNING PASS"/>
    <x:cfRule type="containsText" dxfId="58" priority="11" operator="containsText" text="RELEASED"/>
    <x:cfRule type="containsText" dxfId="59" priority="12" operator="containsText" text="ADMITT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3" hidden="0" customWidth="1"/>
    <x:col min="4" max="4" width="22" hidden="0" customWidth="1"/>
    <x:col min="5" max="5" width="24" hidden="0" customWidth="1"/>
    <x:col min="6" max="6" width="20" hidden="0" customWidth="1"/>
    <x:col min="7" max="7" width="43" hidden="0" customWidth="1"/>
    <x:col min="8" max="8" width="16" hidden="0" customWidth="1"/>
  </x:cols>
  <x:sheetData>
    <x:row r="2">
      <x:c r="B2" s="1" t="str">
        <x:v>Six reconfigurable full-bore closure bays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2" t="str">
        <x:v>Public stimulus and measurement remain separate from article-owned closure capability.</x:v>
      </x:c>
      <x:c r="C3" s="53"/>
      <x:c r="D3" s="53"/>
      <x:c r="E3" s="53"/>
      <x:c r="F3" s="53"/>
      <x:c r="G3" s="53"/>
      <x:c r="H3" s="53"/>
      <x:c r="I3" s="53"/>
      <x:c r="J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15" t="str">
        <x:v>Asset</x:v>
      </x:c>
      <x:c r="C6" s="16" t="str">
        <x:v>Campus</x:v>
      </x:c>
      <x:c r="D6" s="16" t="str">
        <x:v>Posture</x:v>
      </x:c>
      <x:c r="E6" s="16" t="str">
        <x:v>Utility root</x:v>
      </x:c>
      <x:c r="F6" s="16" t="str">
        <x:v>Control root</x:v>
      </x:c>
      <x:c r="G6" s="16" t="str">
        <x:v>Primary role</x:v>
      </x:c>
      <x:c r="H6" s="16" t="str">
        <x:v>Physical state</x:v>
      </x:c>
      <x:c r="I6" s="53"/>
      <x:c r="J6" s="53"/>
    </x:row>
    <x:row r="7" ht="45" customHeight="1">
      <x:c r="B7" s="64" t="str">
        <x:v>CB-A1</x:v>
      </x:c>
      <x:c r="C7" s="65" t="str">
        <x:v>NRC-A</x:v>
      </x:c>
      <x:c r="D7" s="65" t="str">
        <x:v>ACTIVE</x:v>
      </x:c>
      <x:c r="E7" s="65" t="str">
        <x:v>UA</x:v>
      </x:c>
      <x:c r="F7" s="65" t="str">
        <x:v>X</x:v>
      </x:c>
      <x:c r="G7" s="65" t="str">
        <x:v>cold/nominal closure</x:v>
      </x:c>
      <x:c r="H7" s="67" t="str">
        <x:v>OPEN</x:v>
      </x:c>
      <x:c r="I7" s="53"/>
      <x:c r="J7" s="53"/>
    </x:row>
    <x:row r="8" ht="45" customHeight="1">
      <x:c r="B8" s="64" t="str">
        <x:v>CB-A2</x:v>
      </x:c>
      <x:c r="C8" s="65" t="str">
        <x:v>NRC-A</x:v>
      </x:c>
      <x:c r="D8" s="65" t="str">
        <x:v>ACTIVE</x:v>
      </x:c>
      <x:c r="E8" s="65" t="str">
        <x:v>UA</x:v>
      </x:c>
      <x:c r="F8" s="65" t="str">
        <x:v>Y</x:v>
      </x:c>
      <x:c r="G8" s="65" t="str">
        <x:v>surge and process-window closure</x:v>
      </x:c>
      <x:c r="H8" s="67" t="str">
        <x:v>OPEN</x:v>
      </x:c>
      <x:c r="I8" s="53"/>
      <x:c r="J8" s="53"/>
    </x:row>
    <x:row r="9" ht="45" customHeight="1">
      <x:c r="B9" s="64" t="str">
        <x:v>CB-B1</x:v>
      </x:c>
      <x:c r="C9" s="65" t="str">
        <x:v>NRC-B</x:v>
      </x:c>
      <x:c r="D9" s="65" t="str">
        <x:v>ACTIVE</x:v>
      </x:c>
      <x:c r="E9" s="65" t="str">
        <x:v>UB</x:v>
      </x:c>
      <x:c r="F9" s="65" t="str">
        <x:v>Y</x:v>
      </x:c>
      <x:c r="G9" s="65" t="str">
        <x:v>hot/wet closure</x:v>
      </x:c>
      <x:c r="H9" s="67" t="str">
        <x:v>OPEN</x:v>
      </x:c>
      <x:c r="I9" s="53"/>
      <x:c r="J9" s="53"/>
    </x:row>
    <x:row r="10" ht="45" customHeight="1">
      <x:c r="B10" s="64" t="str">
        <x:v>CB-B2</x:v>
      </x:c>
      <x:c r="C10" s="65" t="str">
        <x:v>NRC-B</x:v>
      </x:c>
      <x:c r="D10" s="65" t="str">
        <x:v>ACTIVE</x:v>
      </x:c>
      <x:c r="E10" s="65" t="str">
        <x:v>UB</x:v>
      </x:c>
      <x:c r="F10" s="65" t="str">
        <x:v>Z</x:v>
      </x:c>
      <x:c r="G10" s="65" t="str">
        <x:v>contaminated preparation</x:v>
      </x:c>
      <x:c r="H10" s="67" t="str">
        <x:v>OPEN</x:v>
      </x:c>
      <x:c r="I10" s="53"/>
      <x:c r="J10" s="53"/>
    </x:row>
    <x:row r="11" ht="45" customHeight="1">
      <x:c r="B11" s="64" t="str">
        <x:v>CB-C1</x:v>
      </x:c>
      <x:c r="C11" s="65" t="str">
        <x:v>NRC-C</x:v>
      </x:c>
      <x:c r="D11" s="65" t="str">
        <x:v>ACTIVE</x:v>
      </x:c>
      <x:c r="E11" s="65" t="str">
        <x:v>UC</x:v>
      </x:c>
      <x:c r="F11" s="65" t="str">
        <x:v>Z</x:v>
      </x:c>
      <x:c r="G11" s="65" t="str">
        <x:v>independent reproduction</x:v>
      </x:c>
      <x:c r="H11" s="67" t="str">
        <x:v>OPEN</x:v>
      </x:c>
      <x:c r="I11" s="53"/>
      <x:c r="J11" s="53"/>
    </x:row>
    <x:row r="12" ht="45" customHeight="1">
      <x:c r="B12" s="69" t="str">
        <x:v>CB-C2</x:v>
      </x:c>
      <x:c r="C12" s="70" t="str">
        <x:v>NRC-C</x:v>
      </x:c>
      <x:c r="D12" s="70" t="str">
        <x:v>RESERVE_READY</x:v>
      </x:c>
      <x:c r="E12" s="70" t="str">
        <x:v>UC</x:v>
      </x:c>
      <x:c r="F12" s="70" t="str">
        <x:v>X</x:v>
      </x:c>
      <x:c r="G12" s="70" t="str">
        <x:v>protected surge and replacement</x:v>
      </x:c>
      <x:c r="H12" s="72" t="str">
        <x:v>OPEN</x:v>
      </x:c>
      <x:c r="I12" s="53"/>
      <x:c r="J12" s="53"/>
    </x:row>
    <x:row r="13">
      <x:c r="B13" s="53"/>
      <x:c r="C13" s="53"/>
      <x:c r="D13" s="53"/>
      <x:c r="E13" s="53"/>
      <x:c r="F13" s="53"/>
      <x:c r="G13" s="53"/>
      <x:c r="H13" s="53"/>
      <x:c r="I13" s="53"/>
      <x:c r="J13" s="53"/>
    </x:row>
    <x:row r="14">
      <x:c r="B14" s="53"/>
      <x:c r="C14" s="53"/>
      <x:c r="D14" s="53"/>
      <x:c r="E14" s="53"/>
      <x:c r="F14" s="53"/>
      <x:c r="G14" s="53"/>
      <x:c r="H14" s="53"/>
      <x:c r="I14" s="53"/>
      <x:c r="J14" s="53"/>
    </x:row>
    <x:row r="15">
      <x:c r="B15" s="53"/>
      <x:c r="C15" s="53"/>
      <x:c r="D15" s="53"/>
      <x:c r="E15" s="53"/>
      <x:c r="F15" s="53"/>
      <x:c r="G15" s="53"/>
      <x:c r="H15" s="53"/>
      <x:c r="I15" s="53"/>
      <x:c r="J15" s="53"/>
    </x:row>
    <x:row r="16">
      <x:c r="B16" s="53" t="str">
        <x:v>CONTROL</x:v>
      </x:c>
      <x:c r="C16" s="53" t="str">
        <x:v>Asset records</x:v>
      </x:c>
      <x:c r="D16" s="53" t="n">
        <x:f>COUNTA(B7:B12)</x:f>
        <x:v>6</x:v>
      </x:c>
      <x:c r="E16" s="53" t="str">
        <x:f>IF(D16=6,"PASS","FAIL")</x:f>
        <x:v>PASS</x:v>
      </x:c>
      <x:c r="F16" s="53"/>
      <x:c r="G16" s="53"/>
      <x:c r="H16" s="53"/>
      <x:c r="I16" s="53"/>
      <x:c r="J16" s="53"/>
    </x:row>
  </x:sheetData>
  <x:mergeCells>
    <x:mergeCell ref="B3:J3"/>
  </x:mergeCells>
  <x:conditionalFormatting sqref="H7:H12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HOLD"/>
    <x:cfRule type="containsText" dxfId="63" priority="4" operator="containsText" text="OPEN"/>
    <x:cfRule type="containsText" dxfId="64" priority="5" operator="containsText" text="OUT"/>
    <x:cfRule type="containsText" dxfId="65" priority="6" operator="containsText" text="UNTESTED"/>
    <x:cfRule type="containsText" dxfId="66" priority="7" operator="containsText" text="PASS"/>
    <x:cfRule type="containsText" dxfId="67" priority="8" operator="containsText" text="READY"/>
    <x:cfRule type="containsText" dxfId="68" priority="9" operator="containsText" text="AUTHORIZED"/>
    <x:cfRule type="containsText" dxfId="69" priority="10" operator="containsText" text="PLANNING PASS"/>
    <x:cfRule type="containsText" dxfId="70" priority="11" operator="containsText" text="RELEASED"/>
    <x:cfRule type="containsText" dxfId="71" priority="12" operator="containsText" text="ADMITTED"/>
  </x:conditionalFormatting>
  <x:conditionalFormatting sqref="E16:E16">
    <x:cfRule type="containsText" dxfId="72" priority="13" operator="containsText" text="FAIL"/>
    <x:cfRule type="containsText" dxfId="73" priority="14" operator="containsText" text="BLOCKED"/>
    <x:cfRule type="containsText" dxfId="74" priority="15" operator="containsText" text="HOLD"/>
    <x:cfRule type="containsText" dxfId="75" priority="16" operator="containsText" text="OPEN"/>
    <x:cfRule type="containsText" dxfId="76" priority="17" operator="containsText" text="OUT"/>
    <x:cfRule type="containsText" dxfId="77" priority="18" operator="containsText" text="UNTESTED"/>
    <x:cfRule type="containsText" dxfId="78" priority="19" operator="containsText" text="PASS"/>
    <x:cfRule type="containsText" dxfId="79" priority="20" operator="containsText" text="READY"/>
    <x:cfRule type="containsText" dxfId="80" priority="21" operator="containsText" text="AUTHORIZED"/>
    <x:cfRule type="containsText" dxfId="81" priority="22" operator="containsText" text="PLANNING PASS"/>
    <x:cfRule type="containsText" dxfId="82" priority="23" operator="containsText" text="RELEASED"/>
    <x:cfRule type="containsText" dxfId="83" priority="24" operator="containsText" text="ADMITT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3" hidden="0" customWidth="1"/>
    <x:col min="4" max="4" width="22" hidden="0" customWidth="1"/>
    <x:col min="5" max="5" width="24" hidden="0" customWidth="1"/>
    <x:col min="6" max="6" width="20" hidden="0" customWidth="1"/>
    <x:col min="7" max="7" width="43" hidden="0" customWidth="1"/>
    <x:col min="8" max="8" width="16" hidden="0" customWidth="1"/>
  </x:cols>
  <x:sheetData>
    <x:row r="2">
      <x:c r="B2" s="1" t="str">
        <x:v>Six modular 120 m full-bore damage cells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2" t="str">
        <x:v>Replaceable cassettes and liners shorten reset without simplifying the registered service problem.</x:v>
      </x:c>
      <x:c r="C3" s="53"/>
      <x:c r="D3" s="53"/>
      <x:c r="E3" s="53"/>
      <x:c r="F3" s="53"/>
      <x:c r="G3" s="53"/>
      <x:c r="H3" s="53"/>
      <x:c r="I3" s="53"/>
      <x:c r="J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15" t="str">
        <x:v>Asset</x:v>
      </x:c>
      <x:c r="C6" s="16" t="str">
        <x:v>Campus</x:v>
      </x:c>
      <x:c r="D6" s="16" t="str">
        <x:v>Posture</x:v>
      </x:c>
      <x:c r="E6" s="16" t="str">
        <x:v>Utility root</x:v>
      </x:c>
      <x:c r="F6" s="16" t="str">
        <x:v>Control root</x:v>
      </x:c>
      <x:c r="G6" s="16" t="str">
        <x:v>Primary role</x:v>
      </x:c>
      <x:c r="H6" s="16" t="str">
        <x:v>Physical state</x:v>
      </x:c>
      <x:c r="I6" s="53"/>
      <x:c r="J6" s="53"/>
    </x:row>
    <x:row r="7" ht="45" customHeight="1">
      <x:c r="B7" s="64" t="str">
        <x:v>DC-A1</x:v>
      </x:c>
      <x:c r="C7" s="65" t="str">
        <x:v>NRC-A</x:v>
      </x:c>
      <x:c r="D7" s="65" t="str">
        <x:v>ACTIVE</x:v>
      </x:c>
      <x:c r="E7" s="65" t="str">
        <x:v>UA</x:v>
      </x:c>
      <x:c r="F7" s="65" t="str">
        <x:v>X</x:v>
      </x:c>
      <x:c r="G7" s="65" t="str">
        <x:v>clean injury and cold recovery</x:v>
      </x:c>
      <x:c r="H7" s="67" t="str">
        <x:v>OPEN</x:v>
      </x:c>
      <x:c r="I7" s="53"/>
      <x:c r="J7" s="53"/>
    </x:row>
    <x:row r="8" ht="45" customHeight="1">
      <x:c r="B8" s="64" t="str">
        <x:v>DC-A2</x:v>
      </x:c>
      <x:c r="C8" s="65" t="str">
        <x:v>NRC-A</x:v>
      </x:c>
      <x:c r="D8" s="65" t="str">
        <x:v>ACTIVE</x:v>
      </x:c>
      <x:c r="E8" s="65" t="str">
        <x:v>UA</x:v>
      </x:c>
      <x:c r="F8" s="65" t="str">
        <x:v>Y</x:v>
      </x:c>
      <x:c r="G8" s="65" t="str">
        <x:v>settlement and debris</x:v>
      </x:c>
      <x:c r="H8" s="67" t="str">
        <x:v>OPEN</x:v>
      </x:c>
      <x:c r="I8" s="53"/>
      <x:c r="J8" s="53"/>
    </x:row>
    <x:row r="9" ht="45" customHeight="1">
      <x:c r="B9" s="64" t="str">
        <x:v>DC-B1</x:v>
      </x:c>
      <x:c r="C9" s="65" t="str">
        <x:v>NRC-B</x:v>
      </x:c>
      <x:c r="D9" s="65" t="str">
        <x:v>ACTIVE</x:v>
      </x:c>
      <x:c r="E9" s="65" t="str">
        <x:v>UB</x:v>
      </x:c>
      <x:c r="F9" s="65" t="str">
        <x:v>Y</x:v>
      </x:c>
      <x:c r="G9" s="65" t="str">
        <x:v>contaminated breach</x:v>
      </x:c>
      <x:c r="H9" s="67" t="str">
        <x:v>OPEN</x:v>
      </x:c>
      <x:c r="I9" s="53"/>
      <x:c r="J9" s="53"/>
    </x:row>
    <x:row r="10" ht="45" customHeight="1">
      <x:c r="B10" s="64" t="str">
        <x:v>DC-B2</x:v>
      </x:c>
      <x:c r="C10" s="65" t="str">
        <x:v>NRC-B</x:v>
      </x:c>
      <x:c r="D10" s="65" t="str">
        <x:v>ACTIVE</x:v>
      </x:c>
      <x:c r="E10" s="65" t="str">
        <x:v>UB</x:v>
      </x:c>
      <x:c r="F10" s="65" t="str">
        <x:v>Z</x:v>
      </x:c>
      <x:c r="G10" s="65" t="str">
        <x:v>hot/civil exclusion</x:v>
      </x:c>
      <x:c r="H10" s="67" t="str">
        <x:v>OPEN</x:v>
      </x:c>
      <x:c r="I10" s="53"/>
      <x:c r="J10" s="53"/>
    </x:row>
    <x:row r="11" ht="45" customHeight="1">
      <x:c r="B11" s="64" t="str">
        <x:v>DC-C1</x:v>
      </x:c>
      <x:c r="C11" s="65" t="str">
        <x:v>NRC-C</x:v>
      </x:c>
      <x:c r="D11" s="65" t="str">
        <x:v>ACTIVE</x:v>
      </x:c>
      <x:c r="E11" s="65" t="str">
        <x:v>UC</x:v>
      </x:c>
      <x:c r="F11" s="65" t="str">
        <x:v>Z</x:v>
      </x:c>
      <x:c r="G11" s="65" t="str">
        <x:v>independent reproduction</x:v>
      </x:c>
      <x:c r="H11" s="67" t="str">
        <x:v>OPEN</x:v>
      </x:c>
      <x:c r="I11" s="53"/>
      <x:c r="J11" s="53"/>
    </x:row>
    <x:row r="12" ht="45" customHeight="1">
      <x:c r="B12" s="69" t="str">
        <x:v>DC-C2</x:v>
      </x:c>
      <x:c r="C12" s="70" t="str">
        <x:v>NRC-C</x:v>
      </x:c>
      <x:c r="D12" s="70" t="str">
        <x:v>RESERVE_READY</x:v>
      </x:c>
      <x:c r="E12" s="70" t="str">
        <x:v>UC</x:v>
      </x:c>
      <x:c r="F12" s="70" t="str">
        <x:v>X</x:v>
      </x:c>
      <x:c r="G12" s="70" t="str">
        <x:v>protected surge and replacement</x:v>
      </x:c>
      <x:c r="H12" s="72" t="str">
        <x:v>OPEN</x:v>
      </x:c>
      <x:c r="I12" s="53"/>
      <x:c r="J12" s="53"/>
    </x:row>
    <x:row r="13">
      <x:c r="B13" s="53"/>
      <x:c r="C13" s="53"/>
      <x:c r="D13" s="53"/>
      <x:c r="E13" s="53"/>
      <x:c r="F13" s="53"/>
      <x:c r="G13" s="53"/>
      <x:c r="H13" s="53"/>
      <x:c r="I13" s="53"/>
      <x:c r="J13" s="53"/>
    </x:row>
    <x:row r="14">
      <x:c r="B14" s="53"/>
      <x:c r="C14" s="53"/>
      <x:c r="D14" s="53"/>
      <x:c r="E14" s="53"/>
      <x:c r="F14" s="53"/>
      <x:c r="G14" s="53"/>
      <x:c r="H14" s="53"/>
      <x:c r="I14" s="53"/>
      <x:c r="J14" s="53"/>
    </x:row>
    <x:row r="15">
      <x:c r="B15" s="53"/>
      <x:c r="C15" s="53"/>
      <x:c r="D15" s="53"/>
      <x:c r="E15" s="53"/>
      <x:c r="F15" s="53"/>
      <x:c r="G15" s="53"/>
      <x:c r="H15" s="53"/>
      <x:c r="I15" s="53"/>
      <x:c r="J15" s="53"/>
    </x:row>
    <x:row r="16">
      <x:c r="B16" s="53" t="str">
        <x:v>CONTROL</x:v>
      </x:c>
      <x:c r="C16" s="53" t="str">
        <x:v>Asset records</x:v>
      </x:c>
      <x:c r="D16" s="53" t="n">
        <x:f>COUNTA(B7:B12)</x:f>
        <x:v>6</x:v>
      </x:c>
      <x:c r="E16" s="53" t="str">
        <x:f>IF(D16=6,"PASS","FAIL")</x:f>
        <x:v>PASS</x:v>
      </x:c>
      <x:c r="F16" s="53"/>
      <x:c r="G16" s="53"/>
      <x:c r="H16" s="53"/>
      <x:c r="I16" s="53"/>
      <x:c r="J16" s="53"/>
    </x:row>
  </x:sheetData>
  <x:mergeCells>
    <x:mergeCell ref="B3:J3"/>
  </x:mergeCells>
  <x:conditionalFormatting sqref="H7:H12">
    <x:cfRule type="containsText" dxfId="84" priority="1" operator="containsText" text="FAIL"/>
    <x:cfRule type="containsText" dxfId="85" priority="2" operator="containsText" text="BLOCKED"/>
    <x:cfRule type="containsText" dxfId="86" priority="3" operator="containsText" text="HOLD"/>
    <x:cfRule type="containsText" dxfId="87" priority="4" operator="containsText" text="OPEN"/>
    <x:cfRule type="containsText" dxfId="88" priority="5" operator="containsText" text="OUT"/>
    <x:cfRule type="containsText" dxfId="89" priority="6" operator="containsText" text="UNTESTED"/>
    <x:cfRule type="containsText" dxfId="90" priority="7" operator="containsText" text="PASS"/>
    <x:cfRule type="containsText" dxfId="91" priority="8" operator="containsText" text="READY"/>
    <x:cfRule type="containsText" dxfId="92" priority="9" operator="containsText" text="AUTHORIZED"/>
    <x:cfRule type="containsText" dxfId="93" priority="10" operator="containsText" text="PLANNING PASS"/>
    <x:cfRule type="containsText" dxfId="94" priority="11" operator="containsText" text="RELEASED"/>
    <x:cfRule type="containsText" dxfId="95" priority="12" operator="containsText" text="ADMITTED"/>
  </x:conditionalFormatting>
  <x:conditionalFormatting sqref="E16:E16">
    <x:cfRule type="containsText" dxfId="96" priority="13" operator="containsText" text="FAIL"/>
    <x:cfRule type="containsText" dxfId="97" priority="14" operator="containsText" text="BLOCKED"/>
    <x:cfRule type="containsText" dxfId="98" priority="15" operator="containsText" text="HOLD"/>
    <x:cfRule type="containsText" dxfId="99" priority="16" operator="containsText" text="OPEN"/>
    <x:cfRule type="containsText" dxfId="100" priority="17" operator="containsText" text="OUT"/>
    <x:cfRule type="containsText" dxfId="101" priority="18" operator="containsText" text="UNTESTED"/>
    <x:cfRule type="containsText" dxfId="102" priority="19" operator="containsText" text="PASS"/>
    <x:cfRule type="containsText" dxfId="103" priority="20" operator="containsText" text="READY"/>
    <x:cfRule type="containsText" dxfId="104" priority="21" operator="containsText" text="AUTHORIZED"/>
    <x:cfRule type="containsText" dxfId="105" priority="22" operator="containsText" text="PLANNING PASS"/>
    <x:cfRule type="containsText" dxfId="106" priority="23" operator="containsText" text="RELEASED"/>
    <x:cfRule type="containsText" dxfId="107" priority="24" operator="containsText" text="ADMITT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3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6" hidden="0" customWidth="1"/>
  </x:cols>
  <x:sheetData>
    <x:row r="2">
      <x:c r="B2" s="1" t="str">
        <x:v>Six traveling metrology detachments</x:v>
      </x:c>
      <x:c r="C2" s="53"/>
      <x:c r="D2" s="53"/>
      <x:c r="E2" s="53"/>
      <x:c r="F2" s="53"/>
      <x:c r="G2" s="53"/>
      <x:c r="H2" s="53"/>
    </x:row>
    <x:row r="3">
      <x:c r="B3" s="2" t="str">
        <x:v>Two teams per campus preserve pre/post brackets, reference care and cross-campus transfer.</x:v>
      </x:c>
      <x:c r="C3" s="53"/>
      <x:c r="D3" s="53"/>
      <x:c r="E3" s="53"/>
      <x:c r="F3" s="53"/>
      <x:c r="G3" s="53"/>
      <x:c r="H3" s="53"/>
    </x:row>
    <x:row r="4">
      <x:c r="B4" s="55"/>
      <x:c r="C4" s="55"/>
      <x:c r="D4" s="55"/>
      <x:c r="E4" s="55"/>
      <x:c r="F4" s="55"/>
      <x:c r="G4" s="55"/>
      <x:c r="H4" s="55"/>
    </x:row>
    <x:row r="5">
      <x:c r="B5" s="53"/>
      <x:c r="C5" s="53"/>
      <x:c r="D5" s="53"/>
      <x:c r="E5" s="53"/>
      <x:c r="F5" s="53"/>
      <x:c r="G5" s="53"/>
      <x:c r="H5" s="53"/>
    </x:row>
    <x:row r="6">
      <x:c r="B6" s="15" t="str">
        <x:v>Team</x:v>
      </x:c>
      <x:c r="C6" s="16" t="str">
        <x:v>Campus</x:v>
      </x:c>
      <x:c r="D6" s="16" t="str">
        <x:v>Pressure/flow</x:v>
      </x:c>
      <x:c r="E6" s="16" t="str">
        <x:v>Geometry/force</x:v>
      </x:c>
      <x:c r="F6" s="16" t="str">
        <x:v>Time/water</x:v>
      </x:c>
      <x:c r="G6" s="16" t="str">
        <x:v>Travel posture</x:v>
      </x:c>
      <x:c r="H6" s="16" t="str">
        <x:v>Physical state</x:v>
      </x:c>
    </x:row>
    <x:row r="7" ht="42" customHeight="1">
      <x:c r="B7" s="64" t="str">
        <x:v>MT-A1</x:v>
      </x:c>
      <x:c r="C7" s="65" t="str">
        <x:v>NRC-A</x:v>
      </x:c>
      <x:c r="D7" s="65" t="str">
        <x:v>primary</x:v>
      </x:c>
      <x:c r="E7" s="65" t="str">
        <x:v>secondary</x:v>
      </x:c>
      <x:c r="F7" s="65" t="str">
        <x:v>witness</x:v>
      </x:c>
      <x:c r="G7" s="65" t="str">
        <x:v>resident</x:v>
      </x:c>
      <x:c r="H7" s="67" t="str">
        <x:v>OPEN</x:v>
      </x:c>
    </x:row>
    <x:row r="8" ht="42" customHeight="1">
      <x:c r="B8" s="64" t="str">
        <x:v>MT-A2</x:v>
      </x:c>
      <x:c r="C8" s="65" t="str">
        <x:v>NRC-A</x:v>
      </x:c>
      <x:c r="D8" s="65" t="str">
        <x:v>secondary</x:v>
      </x:c>
      <x:c r="E8" s="65" t="str">
        <x:v>primary</x:v>
      </x:c>
      <x:c r="F8" s="65" t="str">
        <x:v>transfer</x:v>
      </x:c>
      <x:c r="G8" s="65" t="str">
        <x:v>traveling</x:v>
      </x:c>
      <x:c r="H8" s="67" t="str">
        <x:v>OPEN</x:v>
      </x:c>
    </x:row>
    <x:row r="9" ht="42" customHeight="1">
      <x:c r="B9" s="64" t="str">
        <x:v>MT-B1</x:v>
      </x:c>
      <x:c r="C9" s="65" t="str">
        <x:v>NRC-B</x:v>
      </x:c>
      <x:c r="D9" s="65" t="str">
        <x:v>primary</x:v>
      </x:c>
      <x:c r="E9" s="65" t="str">
        <x:v>secondary</x:v>
      </x:c>
      <x:c r="F9" s="65" t="str">
        <x:v>witness</x:v>
      </x:c>
      <x:c r="G9" s="65" t="str">
        <x:v>resident</x:v>
      </x:c>
      <x:c r="H9" s="67" t="str">
        <x:v>OPEN</x:v>
      </x:c>
    </x:row>
    <x:row r="10" ht="42" customHeight="1">
      <x:c r="B10" s="64" t="str">
        <x:v>MT-B2</x:v>
      </x:c>
      <x:c r="C10" s="65" t="str">
        <x:v>NRC-B</x:v>
      </x:c>
      <x:c r="D10" s="65" t="str">
        <x:v>secondary</x:v>
      </x:c>
      <x:c r="E10" s="65" t="str">
        <x:v>primary</x:v>
      </x:c>
      <x:c r="F10" s="65" t="str">
        <x:v>transfer</x:v>
      </x:c>
      <x:c r="G10" s="65" t="str">
        <x:v>traveling</x:v>
      </x:c>
      <x:c r="H10" s="67" t="str">
        <x:v>OPEN</x:v>
      </x:c>
    </x:row>
    <x:row r="11" ht="42" customHeight="1">
      <x:c r="B11" s="64" t="str">
        <x:v>MT-C1</x:v>
      </x:c>
      <x:c r="C11" s="65" t="str">
        <x:v>NRC-C</x:v>
      </x:c>
      <x:c r="D11" s="65" t="str">
        <x:v>primary</x:v>
      </x:c>
      <x:c r="E11" s="65" t="str">
        <x:v>secondary</x:v>
      </x:c>
      <x:c r="F11" s="65" t="str">
        <x:v>witness</x:v>
      </x:c>
      <x:c r="G11" s="65" t="str">
        <x:v>resident</x:v>
      </x:c>
      <x:c r="H11" s="67" t="str">
        <x:v>OPEN</x:v>
      </x:c>
    </x:row>
    <x:row r="12" ht="42" customHeight="1">
      <x:c r="B12" s="69" t="str">
        <x:v>MT-C2</x:v>
      </x:c>
      <x:c r="C12" s="70" t="str">
        <x:v>NRC-C</x:v>
      </x:c>
      <x:c r="D12" s="70" t="str">
        <x:v>secondary</x:v>
      </x:c>
      <x:c r="E12" s="70" t="str">
        <x:v>primary</x:v>
      </x:c>
      <x:c r="F12" s="70" t="str">
        <x:v>transfer</x:v>
      </x:c>
      <x:c r="G12" s="70" t="str">
        <x:v>traveling</x:v>
      </x:c>
      <x:c r="H12" s="72" t="str">
        <x:v>OPEN</x:v>
      </x:c>
    </x:row>
    <x:row r="13">
      <x:c r="B13" s="53"/>
      <x:c r="C13" s="53"/>
      <x:c r="D13" s="53"/>
      <x:c r="E13" s="53"/>
      <x:c r="F13" s="53"/>
      <x:c r="G13" s="53"/>
      <x:c r="H13" s="53"/>
    </x:row>
    <x:row r="14">
      <x:c r="B14" s="53"/>
      <x:c r="C14" s="53"/>
      <x:c r="D14" s="53"/>
      <x:c r="E14" s="53"/>
      <x:c r="F14" s="53"/>
      <x:c r="G14" s="53"/>
      <x:c r="H14" s="53"/>
    </x:row>
    <x:row r="15">
      <x:c r="B15" s="53"/>
      <x:c r="C15" s="53"/>
      <x:c r="D15" s="53"/>
      <x:c r="E15" s="53"/>
      <x:c r="F15" s="53"/>
      <x:c r="G15" s="53"/>
      <x:c r="H15" s="53"/>
    </x:row>
    <x:row r="16">
      <x:c r="B16" s="53"/>
      <x:c r="C16" s="53"/>
      <x:c r="D16" s="53"/>
      <x:c r="E16" s="53"/>
      <x:c r="F16" s="53"/>
      <x:c r="G16" s="53"/>
      <x:c r="H16" s="53"/>
    </x:row>
    <x:row r="17">
      <x:c r="B17" s="53" t="str">
        <x:v>CONTROL</x:v>
      </x:c>
      <x:c r="C17" s="53" t="str">
        <x:v>Records</x:v>
      </x:c>
      <x:c r="D17" s="53" t="n">
        <x:f>COUNTA(B7:B12)</x:f>
        <x:v>6</x:v>
      </x:c>
      <x:c r="E17" s="53" t="str">
        <x:f>IF(D17=6,"PASS","FAIL")</x:f>
        <x:v>PASS</x:v>
      </x:c>
      <x:c r="F17" s="53"/>
      <x:c r="G17" s="53"/>
      <x:c r="H17" s="53"/>
    </x:row>
  </x:sheetData>
  <x:mergeCells>
    <x:mergeCell ref="B3:H3"/>
  </x:mergeCells>
  <x:conditionalFormatting sqref="H7:H12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HOLD"/>
    <x:cfRule type="containsText" dxfId="111" priority="4" operator="containsText" text="OPEN"/>
    <x:cfRule type="containsText" dxfId="112" priority="5" operator="containsText" text="OUT"/>
    <x:cfRule type="containsText" dxfId="113" priority="6" operator="containsText" text="UNTESTED"/>
    <x:cfRule type="containsText" dxfId="114" priority="7" operator="containsText" text="PASS"/>
    <x:cfRule type="containsText" dxfId="115" priority="8" operator="containsText" text="READY"/>
    <x:cfRule type="containsText" dxfId="116" priority="9" operator="containsText" text="AUTHORIZED"/>
    <x:cfRule type="containsText" dxfId="117" priority="10" operator="containsText" text="PLANNING PASS"/>
    <x:cfRule type="containsText" dxfId="118" priority="11" operator="containsText" text="RELEASED"/>
    <x:cfRule type="containsText" dxfId="119" priority="12" operator="containsText" text="ADMITTED"/>
  </x:conditionalFormatting>
  <x:conditionalFormatting sqref="E17:E17">
    <x:cfRule type="containsText" dxfId="120" priority="13" operator="containsText" text="FAIL"/>
    <x:cfRule type="containsText" dxfId="121" priority="14" operator="containsText" text="BLOCKED"/>
    <x:cfRule type="containsText" dxfId="122" priority="15" operator="containsText" text="HOLD"/>
    <x:cfRule type="containsText" dxfId="123" priority="16" operator="containsText" text="OPEN"/>
    <x:cfRule type="containsText" dxfId="124" priority="17" operator="containsText" text="OUT"/>
    <x:cfRule type="containsText" dxfId="125" priority="18" operator="containsText" text="UNTESTED"/>
    <x:cfRule type="containsText" dxfId="126" priority="19" operator="containsText" text="PASS"/>
    <x:cfRule type="containsText" dxfId="127" priority="20" operator="containsText" text="READY"/>
    <x:cfRule type="containsText" dxfId="128" priority="21" operator="containsText" text="AUTHORIZED"/>
    <x:cfRule type="containsText" dxfId="129" priority="22" operator="containsText" text="PLANNING PASS"/>
    <x:cfRule type="containsText" dxfId="130" priority="23" operator="containsText" text="RELEASED"/>
    <x:cfRule type="containsText" dxfId="131" priority="24" operator="containsText" text="ADMITT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3" hidden="0" customWidth="1"/>
    <x:col min="4" max="4" width="18" hidden="0" customWidth="1"/>
    <x:col min="5" max="5" width="34" hidden="0" customWidth="1"/>
    <x:col min="6" max="6" width="15" hidden="0" customWidth="1"/>
    <x:col min="7" max="7" width="18" hidden="0" customWidth="1"/>
    <x:col min="8" max="8" width="16" hidden="0" customWidth="1"/>
  </x:cols>
  <x:sheetData>
    <x:row r="2">
      <x:c r="B2" s="1" t="str">
        <x:v>Six sanitary laboratories</x:v>
      </x:c>
      <x:c r="C2" s="53"/>
      <x:c r="D2" s="53"/>
      <x:c r="E2" s="53"/>
      <x:c r="F2" s="53"/>
      <x:c r="G2" s="53"/>
      <x:c r="H2" s="53"/>
    </x:row>
    <x:row r="3">
      <x:c r="B3" s="2" t="str">
        <x:v>Primary, split, blank/recovery and surge functions remain available after a campus loss.</x:v>
      </x:c>
      <x:c r="C3" s="53"/>
      <x:c r="D3" s="53"/>
      <x:c r="E3" s="53"/>
      <x:c r="F3" s="53"/>
      <x:c r="G3" s="53"/>
      <x:c r="H3" s="53"/>
    </x:row>
    <x:row r="4">
      <x:c r="B4" s="55"/>
      <x:c r="C4" s="55"/>
      <x:c r="D4" s="55"/>
      <x:c r="E4" s="55"/>
      <x:c r="F4" s="55"/>
      <x:c r="G4" s="55"/>
      <x:c r="H4" s="55"/>
    </x:row>
    <x:row r="5">
      <x:c r="B5" s="53"/>
      <x:c r="C5" s="53"/>
      <x:c r="D5" s="53"/>
      <x:c r="E5" s="53"/>
      <x:c r="F5" s="53"/>
      <x:c r="G5" s="53"/>
      <x:c r="H5" s="53"/>
    </x:row>
    <x:row r="6">
      <x:c r="B6" s="15" t="str">
        <x:v>Lab</x:v>
      </x:c>
      <x:c r="C6" s="16" t="str">
        <x:v>Campus</x:v>
      </x:c>
      <x:c r="D6" s="16" t="str">
        <x:v>Method root</x:v>
      </x:c>
      <x:c r="E6" s="16" t="str">
        <x:v>Primary duty</x:v>
      </x:c>
      <x:c r="F6" s="16" t="str">
        <x:v>Panels/day</x:v>
      </x:c>
      <x:c r="G6" s="16" t="str">
        <x:v>Isolation</x:v>
      </x:c>
      <x:c r="H6" s="16" t="str">
        <x:v>Physical state</x:v>
      </x:c>
    </x:row>
    <x:row r="7" ht="42" customHeight="1">
      <x:c r="B7" s="64" t="str">
        <x:v>WL-A1</x:v>
      </x:c>
      <x:c r="C7" s="65" t="str">
        <x:v>NRC-A</x:v>
      </x:c>
      <x:c r="D7" s="65" t="str">
        <x:v>M1</x:v>
      </x:c>
      <x:c r="E7" s="65" t="str">
        <x:v>primary closure/damage</x:v>
      </x:c>
      <x:c r="F7" s="65" t="n">
        <x:v>14</x:v>
      </x:c>
      <x:c r="G7" s="65" t="str">
        <x:v>clean</x:v>
      </x:c>
      <x:c r="H7" s="67" t="str">
        <x:v>OPEN</x:v>
      </x:c>
    </x:row>
    <x:row r="8" ht="42" customHeight="1">
      <x:c r="B8" s="64" t="str">
        <x:v>WL-A2</x:v>
      </x:c>
      <x:c r="C8" s="65" t="str">
        <x:v>NRC-A</x:v>
      </x:c>
      <x:c r="D8" s="65" t="str">
        <x:v>M2</x:v>
      </x:c>
      <x:c r="E8" s="65" t="str">
        <x:v>split and recovery</x:v>
      </x:c>
      <x:c r="F8" s="65" t="n">
        <x:v>14</x:v>
      </x:c>
      <x:c r="G8" s="65" t="str">
        <x:v>independent</x:v>
      </x:c>
      <x:c r="H8" s="67" t="str">
        <x:v>OPEN</x:v>
      </x:c>
    </x:row>
    <x:row r="9" ht="42" customHeight="1">
      <x:c r="B9" s="64" t="str">
        <x:v>WL-B1</x:v>
      </x:c>
      <x:c r="C9" s="65" t="str">
        <x:v>NRC-B</x:v>
      </x:c>
      <x:c r="D9" s="65" t="str">
        <x:v>M2</x:v>
      </x:c>
      <x:c r="E9" s="65" t="str">
        <x:v>primary contaminated</x:v>
      </x:c>
      <x:c r="F9" s="65" t="n">
        <x:v>14</x:v>
      </x:c>
      <x:c r="G9" s="65" t="str">
        <x:v>clean</x:v>
      </x:c>
      <x:c r="H9" s="67" t="str">
        <x:v>OPEN</x:v>
      </x:c>
    </x:row>
    <x:row r="10" ht="42" customHeight="1">
      <x:c r="B10" s="64" t="str">
        <x:v>WL-B2</x:v>
      </x:c>
      <x:c r="C10" s="65" t="str">
        <x:v>NRC-B</x:v>
      </x:c>
      <x:c r="D10" s="65" t="str">
        <x:v>M3</x:v>
      </x:c>
      <x:c r="E10" s="65" t="str">
        <x:v>split and carryover</x:v>
      </x:c>
      <x:c r="F10" s="65" t="n">
        <x:v>14</x:v>
      </x:c>
      <x:c r="G10" s="65" t="str">
        <x:v>independent</x:v>
      </x:c>
      <x:c r="H10" s="67" t="str">
        <x:v>OPEN</x:v>
      </x:c>
    </x:row>
    <x:row r="11" ht="42" customHeight="1">
      <x:c r="B11" s="64" t="str">
        <x:v>WL-C1</x:v>
      </x:c>
      <x:c r="C11" s="65" t="str">
        <x:v>NRC-C</x:v>
      </x:c>
      <x:c r="D11" s="65" t="str">
        <x:v>M3</x:v>
      </x:c>
      <x:c r="E11" s="65" t="str">
        <x:v>independent reproduction</x:v>
      </x:c>
      <x:c r="F11" s="65" t="n">
        <x:v>14</x:v>
      </x:c>
      <x:c r="G11" s="65" t="str">
        <x:v>clean</x:v>
      </x:c>
      <x:c r="H11" s="67" t="str">
        <x:v>OPEN</x:v>
      </x:c>
    </x:row>
    <x:row r="12" ht="42" customHeight="1">
      <x:c r="B12" s="69" t="str">
        <x:v>WL-C2</x:v>
      </x:c>
      <x:c r="C12" s="70" t="str">
        <x:v>NRC-C</x:v>
      </x:c>
      <x:c r="D12" s="70" t="str">
        <x:v>M1</x:v>
      </x:c>
      <x:c r="E12" s="70" t="str">
        <x:v>mobile surge</x:v>
      </x:c>
      <x:c r="F12" s="70" t="n">
        <x:v>14</x:v>
      </x:c>
      <x:c r="G12" s="70" t="str">
        <x:v>mobile</x:v>
      </x:c>
      <x:c r="H12" s="72" t="str">
        <x:v>OPEN</x:v>
      </x:c>
    </x:row>
    <x:row r="13">
      <x:c r="B13" s="53"/>
      <x:c r="C13" s="53"/>
      <x:c r="D13" s="53"/>
      <x:c r="E13" s="53"/>
      <x:c r="F13" s="53"/>
      <x:c r="G13" s="53"/>
      <x:c r="H13" s="53"/>
    </x:row>
    <x:row r="14">
      <x:c r="B14" s="53"/>
      <x:c r="C14" s="53"/>
      <x:c r="D14" s="53"/>
      <x:c r="E14" s="53"/>
      <x:c r="F14" s="53"/>
      <x:c r="G14" s="53"/>
      <x:c r="H14" s="53"/>
    </x:row>
    <x:row r="15">
      <x:c r="B15" s="53"/>
      <x:c r="C15" s="53"/>
      <x:c r="D15" s="53"/>
      <x:c r="E15" s="53"/>
      <x:c r="F15" s="53"/>
      <x:c r="G15" s="53"/>
      <x:c r="H15" s="53"/>
    </x:row>
    <x:row r="16">
      <x:c r="B16" s="53"/>
      <x:c r="C16" s="53"/>
      <x:c r="D16" s="53"/>
      <x:c r="E16" s="53"/>
      <x:c r="F16" s="53"/>
      <x:c r="G16" s="53"/>
      <x:c r="H16" s="53"/>
    </x:row>
    <x:row r="17">
      <x:c r="B17" s="53" t="str">
        <x:v>CONTROL</x:v>
      </x:c>
      <x:c r="C17" s="53" t="str">
        <x:v>Records</x:v>
      </x:c>
      <x:c r="D17" s="53" t="n">
        <x:f>COUNTA(B7:B12)</x:f>
        <x:v>6</x:v>
      </x:c>
      <x:c r="E17" s="53" t="str">
        <x:f>IF(D17=6,"PASS","FAIL")</x:f>
        <x:v>PASS</x:v>
      </x:c>
      <x:c r="F17" s="53"/>
      <x:c r="G17" s="53"/>
      <x:c r="H17" s="53"/>
    </x:row>
  </x:sheetData>
  <x:mergeCells>
    <x:mergeCell ref="B3:H3"/>
  </x:mergeCells>
  <x:conditionalFormatting sqref="H7:H12">
    <x:cfRule type="containsText" dxfId="132" priority="1" operator="containsText" text="FAIL"/>
    <x:cfRule type="containsText" dxfId="133" priority="2" operator="containsText" text="BLOCKED"/>
    <x:cfRule type="containsText" dxfId="134" priority="3" operator="containsText" text="HOLD"/>
    <x:cfRule type="containsText" dxfId="135" priority="4" operator="containsText" text="OPEN"/>
    <x:cfRule type="containsText" dxfId="136" priority="5" operator="containsText" text="OUT"/>
    <x:cfRule type="containsText" dxfId="137" priority="6" operator="containsText" text="UNTESTED"/>
    <x:cfRule type="containsText" dxfId="138" priority="7" operator="containsText" text="PASS"/>
    <x:cfRule type="containsText" dxfId="139" priority="8" operator="containsText" text="READY"/>
    <x:cfRule type="containsText" dxfId="140" priority="9" operator="containsText" text="AUTHORIZED"/>
    <x:cfRule type="containsText" dxfId="141" priority="10" operator="containsText" text="PLANNING PASS"/>
    <x:cfRule type="containsText" dxfId="142" priority="11" operator="containsText" text="RELEASED"/>
    <x:cfRule type="containsText" dxfId="143" priority="12" operator="containsText" text="ADMITTED"/>
  </x:conditionalFormatting>
  <x:conditionalFormatting sqref="E17:E17">
    <x:cfRule type="containsText" dxfId="144" priority="13" operator="containsText" text="FAIL"/>
    <x:cfRule type="containsText" dxfId="145" priority="14" operator="containsText" text="BLOCKED"/>
    <x:cfRule type="containsText" dxfId="146" priority="15" operator="containsText" text="HOLD"/>
    <x:cfRule type="containsText" dxfId="147" priority="16" operator="containsText" text="OPEN"/>
    <x:cfRule type="containsText" dxfId="148" priority="17" operator="containsText" text="OUT"/>
    <x:cfRule type="containsText" dxfId="149" priority="18" operator="containsText" text="UNTESTED"/>
    <x:cfRule type="containsText" dxfId="150" priority="19" operator="containsText" text="PASS"/>
    <x:cfRule type="containsText" dxfId="151" priority="20" operator="containsText" text="READY"/>
    <x:cfRule type="containsText" dxfId="152" priority="21" operator="containsText" text="AUTHORIZED"/>
    <x:cfRule type="containsText" dxfId="153" priority="22" operator="containsText" text="PLANNING PASS"/>
    <x:cfRule type="containsText" dxfId="154" priority="23" operator="containsText" text="RELEASED"/>
    <x:cfRule type="containsText" dxfId="155" priority="24" operator="containsText" text="ADMITT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3" hidden="0" customWidth="1"/>
    <x:col min="4" max="4" width="22" hidden="0" customWidth="1"/>
    <x:col min="5" max="5" width="24" hidden="0" customWidth="1"/>
    <x:col min="6" max="6" width="20" hidden="0" customWidth="1"/>
    <x:col min="7" max="7" width="32" hidden="0" customWidth="1"/>
    <x:col min="8" max="8" width="16" hidden="0" customWidth="1"/>
  </x:cols>
  <x:sheetData>
    <x:row r="2">
      <x:c r="B2" s="1" t="str">
        <x:v>Three large-article forensic lines</x:v>
      </x:c>
      <x:c r="C2" s="53"/>
      <x:c r="D2" s="53"/>
      <x:c r="E2" s="53"/>
      <x:c r="F2" s="53"/>
      <x:c r="G2" s="53"/>
      <x:c r="H2" s="53"/>
    </x:row>
    <x:row r="3">
      <x:c r="B3" s="2" t="str">
        <x:v>One line per campus leaves two unlike lines after a site loss.</x:v>
      </x:c>
      <x:c r="C3" s="53"/>
      <x:c r="D3" s="53"/>
      <x:c r="E3" s="53"/>
      <x:c r="F3" s="53"/>
      <x:c r="G3" s="53"/>
      <x:c r="H3" s="53"/>
    </x:row>
    <x:row r="4">
      <x:c r="B4" s="55"/>
      <x:c r="C4" s="55"/>
      <x:c r="D4" s="55"/>
      <x:c r="E4" s="55"/>
      <x:c r="F4" s="55"/>
      <x:c r="G4" s="55"/>
      <x:c r="H4" s="55"/>
    </x:row>
    <x:row r="5">
      <x:c r="B5" s="53"/>
      <x:c r="C5" s="53"/>
      <x:c r="D5" s="53"/>
      <x:c r="E5" s="53"/>
      <x:c r="F5" s="53"/>
      <x:c r="G5" s="53"/>
      <x:c r="H5" s="53"/>
    </x:row>
    <x:row r="6">
      <x:c r="B6" s="15" t="str">
        <x:v>Line</x:v>
      </x:c>
      <x:c r="C6" s="16" t="str">
        <x:v>Campus</x:v>
      </x:c>
      <x:c r="D6" s="16" t="str">
        <x:v>Imaging root</x:v>
      </x:c>
      <x:c r="E6" s="16" t="str">
        <x:v>Sectioning root</x:v>
      </x:c>
      <x:c r="F6" s="16" t="str">
        <x:v>Water/material</x:v>
      </x:c>
      <x:c r="G6" s="16" t="str">
        <x:v>Primary duty</x:v>
      </x:c>
      <x:c r="H6" s="16" t="str">
        <x:v>Physical state</x:v>
      </x:c>
    </x:row>
    <x:row r="7" ht="42" customHeight="1">
      <x:c r="B7" s="64" t="str">
        <x:v>FL-A</x:v>
      </x:c>
      <x:c r="C7" s="65" t="str">
        <x:v>NRC-A</x:v>
      </x:c>
      <x:c r="D7" s="65" t="str">
        <x:v>CT/fiber</x:v>
      </x:c>
      <x:c r="E7" s="65" t="str">
        <x:v>robotic water-cooled</x:v>
      </x:c>
      <x:c r="F7" s="65" t="str">
        <x:v>recovery A</x:v>
      </x:c>
      <x:c r="G7" s="65" t="str">
        <x:v>closure correlation</x:v>
      </x:c>
      <x:c r="H7" s="67" t="str">
        <x:v>OPEN</x:v>
      </x:c>
    </x:row>
    <x:row r="8" ht="42" customHeight="1">
      <x:c r="B8" s="64" t="str">
        <x:v>FL-B</x:v>
      </x:c>
      <x:c r="C8" s="65" t="str">
        <x:v>NRC-B</x:v>
      </x:c>
      <x:c r="D8" s="65" t="str">
        <x:v>ultrasound/optical</x:v>
      </x:c>
      <x:c r="E8" s="65" t="str">
        <x:v>abrasive isolated</x:v>
      </x:c>
      <x:c r="F8" s="65" t="str">
        <x:v>recovery B</x:v>
      </x:c>
      <x:c r="G8" s="65" t="str">
        <x:v>damage causality</x:v>
      </x:c>
      <x:c r="H8" s="67" t="str">
        <x:v>OPEN</x:v>
      </x:c>
    </x:row>
    <x:row r="9" ht="42" customHeight="1">
      <x:c r="B9" s="69" t="str">
        <x:v>FL-C</x:v>
      </x:c>
      <x:c r="C9" s="70" t="str">
        <x:v>NRC-C</x:v>
      </x:c>
      <x:c r="D9" s="70" t="str">
        <x:v>radiographic/thermal</x:v>
      </x:c>
      <x:c r="E9" s="70" t="str">
        <x:v>robotic dry</x:v>
      </x:c>
      <x:c r="F9" s="70" t="str">
        <x:v>recovery C</x:v>
      </x:c>
      <x:c r="G9" s="70" t="str">
        <x:v>independent reproduction</x:v>
      </x:c>
      <x:c r="H9" s="72" t="str">
        <x:v>OPEN</x:v>
      </x:c>
    </x:row>
    <x:row r="10">
      <x:c r="B10" s="53"/>
      <x:c r="C10" s="53"/>
      <x:c r="D10" s="53"/>
      <x:c r="E10" s="53"/>
      <x:c r="F10" s="53"/>
      <x:c r="G10" s="53"/>
      <x:c r="H10" s="53"/>
    </x:row>
    <x:row r="11">
      <x:c r="B11" s="53"/>
      <x:c r="C11" s="53"/>
      <x:c r="D11" s="53"/>
      <x:c r="E11" s="53"/>
      <x:c r="F11" s="53"/>
      <x:c r="G11" s="53"/>
      <x:c r="H11" s="53"/>
    </x:row>
    <x:row r="12">
      <x:c r="B12" s="53"/>
      <x:c r="C12" s="53"/>
      <x:c r="D12" s="53"/>
      <x:c r="E12" s="53"/>
      <x:c r="F12" s="53"/>
      <x:c r="G12" s="53"/>
      <x:c r="H12" s="53"/>
    </x:row>
    <x:row r="13">
      <x:c r="B13" s="53"/>
      <x:c r="C13" s="53"/>
      <x:c r="D13" s="53"/>
      <x:c r="E13" s="53"/>
      <x:c r="F13" s="53"/>
      <x:c r="G13" s="53"/>
      <x:c r="H13" s="53"/>
    </x:row>
    <x:row r="14">
      <x:c r="B14" s="53"/>
      <x:c r="C14" s="53"/>
      <x:c r="D14" s="53"/>
      <x:c r="E14" s="53"/>
      <x:c r="F14" s="53"/>
      <x:c r="G14" s="53"/>
      <x:c r="H14" s="53"/>
    </x:row>
    <x:row r="15">
      <x:c r="B15" s="53"/>
      <x:c r="C15" s="53"/>
      <x:c r="D15" s="53"/>
      <x:c r="E15" s="53"/>
      <x:c r="F15" s="53"/>
      <x:c r="G15" s="53"/>
      <x:c r="H15" s="53"/>
    </x:row>
    <x:row r="16">
      <x:c r="B16" s="53"/>
      <x:c r="C16" s="53"/>
      <x:c r="D16" s="53"/>
      <x:c r="E16" s="53"/>
      <x:c r="F16" s="53"/>
      <x:c r="G16" s="53"/>
      <x:c r="H16" s="53"/>
    </x:row>
    <x:row r="17">
      <x:c r="B17" s="53" t="str">
        <x:v>CONTROL</x:v>
      </x:c>
      <x:c r="C17" s="53" t="str">
        <x:v>Records</x:v>
      </x:c>
      <x:c r="D17" s="53" t="n">
        <x:f>COUNTA(B7:B9)</x:f>
        <x:v>3</x:v>
      </x:c>
      <x:c r="E17" s="53" t="str">
        <x:f>IF(D17=3,"PASS","FAIL")</x:f>
        <x:v>PASS</x:v>
      </x:c>
      <x:c r="F17" s="53"/>
      <x:c r="G17" s="53"/>
      <x:c r="H17" s="53"/>
    </x:row>
  </x:sheetData>
  <x:mergeCells>
    <x:mergeCell ref="B3:H3"/>
  </x:mergeCells>
  <x:conditionalFormatting sqref="H7:H9">
    <x:cfRule type="containsText" dxfId="156" priority="1" operator="containsText" text="FAIL"/>
    <x:cfRule type="containsText" dxfId="157" priority="2" operator="containsText" text="BLOCKED"/>
    <x:cfRule type="containsText" dxfId="158" priority="3" operator="containsText" text="HOLD"/>
    <x:cfRule type="containsText" dxfId="159" priority="4" operator="containsText" text="OPEN"/>
    <x:cfRule type="containsText" dxfId="160" priority="5" operator="containsText" text="OUT"/>
    <x:cfRule type="containsText" dxfId="161" priority="6" operator="containsText" text="UNTESTED"/>
    <x:cfRule type="containsText" dxfId="162" priority="7" operator="containsText" text="PASS"/>
    <x:cfRule type="containsText" dxfId="163" priority="8" operator="containsText" text="READY"/>
    <x:cfRule type="containsText" dxfId="164" priority="9" operator="containsText" text="AUTHORIZED"/>
    <x:cfRule type="containsText" dxfId="165" priority="10" operator="containsText" text="PLANNING PASS"/>
    <x:cfRule type="containsText" dxfId="166" priority="11" operator="containsText" text="RELEASED"/>
    <x:cfRule type="containsText" dxfId="167" priority="12" operator="containsText" text="ADMITTED"/>
  </x:conditionalFormatting>
  <x:conditionalFormatting sqref="E17:E17">
    <x:cfRule type="containsText" dxfId="168" priority="13" operator="containsText" text="FAIL"/>
    <x:cfRule type="containsText" dxfId="169" priority="14" operator="containsText" text="BLOCKED"/>
    <x:cfRule type="containsText" dxfId="170" priority="15" operator="containsText" text="HOLD"/>
    <x:cfRule type="containsText" dxfId="171" priority="16" operator="containsText" text="OPEN"/>
    <x:cfRule type="containsText" dxfId="172" priority="17" operator="containsText" text="OUT"/>
    <x:cfRule type="containsText" dxfId="173" priority="18" operator="containsText" text="UNTESTED"/>
    <x:cfRule type="containsText" dxfId="174" priority="19" operator="containsText" text="PASS"/>
    <x:cfRule type="containsText" dxfId="175" priority="20" operator="containsText" text="READY"/>
    <x:cfRule type="containsText" dxfId="176" priority="21" operator="containsText" text="AUTHORIZED"/>
    <x:cfRule type="containsText" dxfId="177" priority="22" operator="containsText" text="PLANNING PASS"/>
    <x:cfRule type="containsText" dxfId="178" priority="23" operator="containsText" text="RELEASED"/>
    <x:cfRule type="containsText" dxfId="179" priority="24" operator="containsText" text="ADMITT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3" hidden="0" customWidth="1"/>
    <x:col min="4" max="4" width="22" hidden="0" customWidth="1"/>
    <x:col min="5" max="5" width="20" hidden="0" customWidth="1"/>
    <x:col min="6" max="6" width="16" hidden="0" customWidth="1"/>
    <x:col min="7" max="7" width="34" hidden="0" customWidth="1"/>
    <x:col min="8" max="8" width="16" hidden="0" customWidth="1"/>
  </x:cols>
  <x:sheetData>
    <x:row r="2">
      <x:c r="B2" s="1" t="str">
        <x:v>Six independent replay cells</x:v>
      </x:c>
      <x:c r="C2" s="53"/>
      <x:c r="D2" s="53"/>
      <x:c r="E2" s="53"/>
      <x:c r="F2" s="53"/>
      <x:c r="G2" s="53"/>
      <x:c r="H2" s="53"/>
    </x:row>
    <x:row r="3">
      <x:c r="B3" s="2" t="str">
        <x:v>Quantity is driven by authority and implementation diversity rather than compute scarcity.</x:v>
      </x:c>
      <x:c r="C3" s="53"/>
      <x:c r="D3" s="53"/>
      <x:c r="E3" s="53"/>
      <x:c r="F3" s="53"/>
      <x:c r="G3" s="53"/>
      <x:c r="H3" s="53"/>
    </x:row>
    <x:row r="4">
      <x:c r="B4" s="55"/>
      <x:c r="C4" s="55"/>
      <x:c r="D4" s="55"/>
      <x:c r="E4" s="55"/>
      <x:c r="F4" s="55"/>
      <x:c r="G4" s="55"/>
      <x:c r="H4" s="55"/>
    </x:row>
    <x:row r="5">
      <x:c r="B5" s="53"/>
      <x:c r="C5" s="53"/>
      <x:c r="D5" s="53"/>
      <x:c r="E5" s="53"/>
      <x:c r="F5" s="53"/>
      <x:c r="G5" s="53"/>
      <x:c r="H5" s="53"/>
    </x:row>
    <x:row r="6">
      <x:c r="B6" s="15" t="str">
        <x:v>Cell</x:v>
      </x:c>
      <x:c r="C6" s="16" t="str">
        <x:v>Campus</x:v>
      </x:c>
      <x:c r="D6" s="16" t="str">
        <x:v>Original authority</x:v>
      </x:c>
      <x:c r="E6" s="16" t="str">
        <x:v>Implementation</x:v>
      </x:c>
      <x:c r="F6" s="16" t="str">
        <x:v>Clock root</x:v>
      </x:c>
      <x:c r="G6" s="16" t="str">
        <x:v>Primary duty</x:v>
      </x:c>
      <x:c r="H6" s="16" t="str">
        <x:v>Physical state</x:v>
      </x:c>
    </x:row>
    <x:row r="7" ht="42" customHeight="1">
      <x:c r="B7" s="64" t="str">
        <x:v>ER-A1</x:v>
      </x:c>
      <x:c r="C7" s="65" t="str">
        <x:v>NRC-A</x:v>
      </x:c>
      <x:c r="D7" s="65" t="str">
        <x:v>evidence</x:v>
      </x:c>
      <x:c r="E7" s="65" t="str">
        <x:v>Stack X</x:v>
      </x:c>
      <x:c r="F7" s="65" t="str">
        <x:v>TA</x:v>
      </x:c>
      <x:c r="G7" s="65" t="str">
        <x:v>first replay</x:v>
      </x:c>
      <x:c r="H7" s="67" t="str">
        <x:v>OPEN</x:v>
      </x:c>
    </x:row>
    <x:row r="8" ht="42" customHeight="1">
      <x:c r="B8" s="64" t="str">
        <x:v>ER-A2</x:v>
      </x:c>
      <x:c r="C8" s="65" t="str">
        <x:v>NRC-A</x:v>
      </x:c>
      <x:c r="D8" s="65" t="str">
        <x:v>witness</x:v>
      </x:c>
      <x:c r="E8" s="65" t="str">
        <x:v>Stack Y</x:v>
      </x:c>
      <x:c r="F8" s="65" t="str">
        <x:v>TB</x:v>
      </x:c>
      <x:c r="G8" s="65" t="str">
        <x:v>second replay</x:v>
      </x:c>
      <x:c r="H8" s="67" t="str">
        <x:v>OPEN</x:v>
      </x:c>
    </x:row>
    <x:row r="9" ht="42" customHeight="1">
      <x:c r="B9" s="64" t="str">
        <x:v>ER-B1</x:v>
      </x:c>
      <x:c r="C9" s="65" t="str">
        <x:v>NRC-B</x:v>
      </x:c>
      <x:c r="D9" s="65" t="str">
        <x:v>evidence</x:v>
      </x:c>
      <x:c r="E9" s="65" t="str">
        <x:v>Stack Y</x:v>
      </x:c>
      <x:c r="F9" s="65" t="str">
        <x:v>TB</x:v>
      </x:c>
      <x:c r="G9" s="65" t="str">
        <x:v>first replay</x:v>
      </x:c>
      <x:c r="H9" s="67" t="str">
        <x:v>OPEN</x:v>
      </x:c>
    </x:row>
    <x:row r="10" ht="42" customHeight="1">
      <x:c r="B10" s="64" t="str">
        <x:v>ER-B2</x:v>
      </x:c>
      <x:c r="C10" s="65" t="str">
        <x:v>NRC-B</x:v>
      </x:c>
      <x:c r="D10" s="65" t="str">
        <x:v>witness</x:v>
      </x:c>
      <x:c r="E10" s="65" t="str">
        <x:v>Stack Z</x:v>
      </x:c>
      <x:c r="F10" s="65" t="str">
        <x:v>TC</x:v>
      </x:c>
      <x:c r="G10" s="65" t="str">
        <x:v>second replay</x:v>
      </x:c>
      <x:c r="H10" s="67" t="str">
        <x:v>OPEN</x:v>
      </x:c>
    </x:row>
    <x:row r="11" ht="42" customHeight="1">
      <x:c r="B11" s="64" t="str">
        <x:v>ER-C1</x:v>
      </x:c>
      <x:c r="C11" s="65" t="str">
        <x:v>NRC-C</x:v>
      </x:c>
      <x:c r="D11" s="65" t="str">
        <x:v>adjudication</x:v>
      </x:c>
      <x:c r="E11" s="65" t="str">
        <x:v>Stack Z</x:v>
      </x:c>
      <x:c r="F11" s="65" t="str">
        <x:v>TC</x:v>
      </x:c>
      <x:c r="G11" s="65" t="str">
        <x:v>migration/reproduction</x:v>
      </x:c>
      <x:c r="H11" s="67" t="str">
        <x:v>OPEN</x:v>
      </x:c>
    </x:row>
    <x:row r="12" ht="42" customHeight="1">
      <x:c r="B12" s="69" t="str">
        <x:v>ER-C2</x:v>
      </x:c>
      <x:c r="C12" s="70" t="str">
        <x:v>NRC-C</x:v>
      </x:c>
      <x:c r="D12" s="70" t="str">
        <x:v>reserve witness</x:v>
      </x:c>
      <x:c r="E12" s="70" t="str">
        <x:v>Stack X</x:v>
      </x:c>
      <x:c r="F12" s="70" t="str">
        <x:v>TA</x:v>
      </x:c>
      <x:c r="G12" s="70" t="str">
        <x:v>surge/failover</x:v>
      </x:c>
      <x:c r="H12" s="72" t="str">
        <x:v>OPEN</x:v>
      </x:c>
    </x:row>
    <x:row r="13">
      <x:c r="B13" s="53"/>
      <x:c r="C13" s="53"/>
      <x:c r="D13" s="53"/>
      <x:c r="E13" s="53"/>
      <x:c r="F13" s="53"/>
      <x:c r="G13" s="53"/>
      <x:c r="H13" s="53"/>
    </x:row>
    <x:row r="14">
      <x:c r="B14" s="53"/>
      <x:c r="C14" s="53"/>
      <x:c r="D14" s="53"/>
      <x:c r="E14" s="53"/>
      <x:c r="F14" s="53"/>
      <x:c r="G14" s="53"/>
      <x:c r="H14" s="53"/>
    </x:row>
    <x:row r="15">
      <x:c r="B15" s="53"/>
      <x:c r="C15" s="53"/>
      <x:c r="D15" s="53"/>
      <x:c r="E15" s="53"/>
      <x:c r="F15" s="53"/>
      <x:c r="G15" s="53"/>
      <x:c r="H15" s="53"/>
    </x:row>
    <x:row r="16">
      <x:c r="B16" s="53"/>
      <x:c r="C16" s="53"/>
      <x:c r="D16" s="53"/>
      <x:c r="E16" s="53"/>
      <x:c r="F16" s="53"/>
      <x:c r="G16" s="53"/>
      <x:c r="H16" s="53"/>
    </x:row>
    <x:row r="17">
      <x:c r="B17" s="53" t="str">
        <x:v>CONTROL</x:v>
      </x:c>
      <x:c r="C17" s="53" t="str">
        <x:v>Records</x:v>
      </x:c>
      <x:c r="D17" s="53" t="n">
        <x:f>COUNTA(B7:B12)</x:f>
        <x:v>6</x:v>
      </x:c>
      <x:c r="E17" s="53" t="str">
        <x:f>IF(D17=6,"PASS","FAIL")</x:f>
        <x:v>PASS</x:v>
      </x:c>
      <x:c r="F17" s="53"/>
      <x:c r="G17" s="53"/>
      <x:c r="H17" s="53"/>
    </x:row>
  </x:sheetData>
  <x:mergeCells>
    <x:mergeCell ref="B3:H3"/>
  </x:mergeCells>
  <x:conditionalFormatting sqref="H7:H12">
    <x:cfRule type="containsText" dxfId="180" priority="1" operator="containsText" text="FAIL"/>
    <x:cfRule type="containsText" dxfId="181" priority="2" operator="containsText" text="BLOCKED"/>
    <x:cfRule type="containsText" dxfId="182" priority="3" operator="containsText" text="HOLD"/>
    <x:cfRule type="containsText" dxfId="183" priority="4" operator="containsText" text="OPEN"/>
    <x:cfRule type="containsText" dxfId="184" priority="5" operator="containsText" text="OUT"/>
    <x:cfRule type="containsText" dxfId="185" priority="6" operator="containsText" text="UNTESTED"/>
    <x:cfRule type="containsText" dxfId="186" priority="7" operator="containsText" text="PASS"/>
    <x:cfRule type="containsText" dxfId="187" priority="8" operator="containsText" text="READY"/>
    <x:cfRule type="containsText" dxfId="188" priority="9" operator="containsText" text="AUTHORIZED"/>
    <x:cfRule type="containsText" dxfId="189" priority="10" operator="containsText" text="PLANNING PASS"/>
    <x:cfRule type="containsText" dxfId="190" priority="11" operator="containsText" text="RELEASED"/>
    <x:cfRule type="containsText" dxfId="191" priority="12" operator="containsText" text="ADMITTED"/>
  </x:conditionalFormatting>
  <x:conditionalFormatting sqref="E17:E17">
    <x:cfRule type="containsText" dxfId="192" priority="13" operator="containsText" text="FAIL"/>
    <x:cfRule type="containsText" dxfId="193" priority="14" operator="containsText" text="BLOCKED"/>
    <x:cfRule type="containsText" dxfId="194" priority="15" operator="containsText" text="HOLD"/>
    <x:cfRule type="containsText" dxfId="195" priority="16" operator="containsText" text="OPEN"/>
    <x:cfRule type="containsText" dxfId="196" priority="17" operator="containsText" text="OUT"/>
    <x:cfRule type="containsText" dxfId="197" priority="18" operator="containsText" text="UNTESTED"/>
    <x:cfRule type="containsText" dxfId="198" priority="19" operator="containsText" text="PASS"/>
    <x:cfRule type="containsText" dxfId="199" priority="20" operator="containsText" text="READY"/>
    <x:cfRule type="containsText" dxfId="200" priority="21" operator="containsText" text="AUTHORIZED"/>
    <x:cfRule type="containsText" dxfId="201" priority="22" operator="containsText" text="PLANNING PASS"/>
    <x:cfRule type="containsText" dxfId="202" priority="23" operator="containsText" text="RELEASED"/>
    <x:cfRule type="containsText" dxfId="203" priority="24" operator="containsText" text="ADMITT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3" hidden="0" customWidth="1"/>
    <x:col min="4" max="4" width="17" hidden="0" customWidth="1"/>
    <x:col min="5" max="5" width="22" hidden="0" customWidth="1"/>
    <x:col min="6" max="6" width="17" hidden="0" customWidth="1"/>
    <x:col min="7" max="7" width="39" hidden="0" customWidth="1"/>
    <x:col min="8" max="8" width="16" hidden="0" customWidth="1"/>
  </x:cols>
  <x:sheetData>
    <x:row r="2">
      <x:c r="B2" s="1" t="str">
        <x:v>Three separated truth and configuration shops</x:v>
      </x:c>
      <x:c r="C2" s="53"/>
      <x:c r="D2" s="53"/>
      <x:c r="E2" s="53"/>
      <x:c r="F2" s="53"/>
      <x:c r="G2" s="53"/>
      <x:c r="H2" s="53"/>
    </x:row>
    <x:row r="3">
      <x:c r="B3" s="2" t="str">
        <x:v>One shop cannot be sole manufacturer and custodian of every blind state.</x:v>
      </x:c>
      <x:c r="C3" s="53"/>
      <x:c r="D3" s="53"/>
      <x:c r="E3" s="53"/>
      <x:c r="F3" s="53"/>
      <x:c r="G3" s="53"/>
      <x:c r="H3" s="53"/>
    </x:row>
    <x:row r="4">
      <x:c r="B4" s="55"/>
      <x:c r="C4" s="55"/>
      <x:c r="D4" s="55"/>
      <x:c r="E4" s="55"/>
      <x:c r="F4" s="55"/>
      <x:c r="G4" s="55"/>
      <x:c r="H4" s="55"/>
    </x:row>
    <x:row r="5">
      <x:c r="B5" s="53"/>
      <x:c r="C5" s="53"/>
      <x:c r="D5" s="53"/>
      <x:c r="E5" s="53"/>
      <x:c r="F5" s="53"/>
      <x:c r="G5" s="53"/>
      <x:c r="H5" s="53"/>
    </x:row>
    <x:row r="6">
      <x:c r="B6" s="15" t="str">
        <x:v>Shop</x:v>
      </x:c>
      <x:c r="C6" s="16" t="str">
        <x:v>Campus</x:v>
      </x:c>
      <x:c r="D6" s="16" t="str">
        <x:v>Truth root</x:v>
      </x:c>
      <x:c r="E6" s="16" t="str">
        <x:v>Configuration root</x:v>
      </x:c>
      <x:c r="F6" s="16" t="str">
        <x:v>Vault root</x:v>
      </x:c>
      <x:c r="G6" s="16" t="str">
        <x:v>Primary duty</x:v>
      </x:c>
      <x:c r="H6" s="16" t="str">
        <x:v>Physical state</x:v>
      </x:c>
    </x:row>
    <x:row r="7" ht="42" customHeight="1">
      <x:c r="B7" s="64" t="str">
        <x:v>BS-A</x:v>
      </x:c>
      <x:c r="C7" s="65" t="str">
        <x:v>NRC-A</x:v>
      </x:c>
      <x:c r="D7" s="65" t="str">
        <x:v>TA</x:v>
      </x:c>
      <x:c r="E7" s="65" t="str">
        <x:v>CX</x:v>
      </x:c>
      <x:c r="F7" s="65" t="str">
        <x:v>VA</x:v>
      </x:c>
      <x:c r="G7" s="65" t="str">
        <x:v>physical defects and clean controls</x:v>
      </x:c>
      <x:c r="H7" s="67" t="str">
        <x:v>OPEN</x:v>
      </x:c>
    </x:row>
    <x:row r="8" ht="42" customHeight="1">
      <x:c r="B8" s="64" t="str">
        <x:v>BS-B</x:v>
      </x:c>
      <x:c r="C8" s="65" t="str">
        <x:v>NRC-B</x:v>
      </x:c>
      <x:c r="D8" s="65" t="str">
        <x:v>TB</x:v>
      </x:c>
      <x:c r="E8" s="65" t="str">
        <x:v>CY</x:v>
      </x:c>
      <x:c r="F8" s="65" t="str">
        <x:v>VB</x:v>
      </x:c>
      <x:c r="G8" s="65" t="str">
        <x:v>configuration faults and challenge lots</x:v>
      </x:c>
      <x:c r="H8" s="67" t="str">
        <x:v>OPEN</x:v>
      </x:c>
    </x:row>
    <x:row r="9" ht="42" customHeight="1">
      <x:c r="B9" s="69" t="str">
        <x:v>BS-C</x:v>
      </x:c>
      <x:c r="C9" s="70" t="str">
        <x:v>NRC-C</x:v>
      </x:c>
      <x:c r="D9" s="70" t="str">
        <x:v>TC</x:v>
      </x:c>
      <x:c r="E9" s="70" t="str">
        <x:v>CZ</x:v>
      </x:c>
      <x:c r="F9" s="70" t="str">
        <x:v>VC</x:v>
      </x:c>
      <x:c r="G9" s="70" t="str">
        <x:v>verification, rekey and reproduction</x:v>
      </x:c>
      <x:c r="H9" s="72" t="str">
        <x:v>OPEN</x:v>
      </x:c>
    </x:row>
    <x:row r="10">
      <x:c r="B10" s="53"/>
      <x:c r="C10" s="53"/>
      <x:c r="D10" s="53"/>
      <x:c r="E10" s="53"/>
      <x:c r="F10" s="53"/>
      <x:c r="G10" s="53"/>
      <x:c r="H10" s="53"/>
    </x:row>
    <x:row r="11">
      <x:c r="B11" s="53"/>
      <x:c r="C11" s="53"/>
      <x:c r="D11" s="53"/>
      <x:c r="E11" s="53"/>
      <x:c r="F11" s="53"/>
      <x:c r="G11" s="53"/>
      <x:c r="H11" s="53"/>
    </x:row>
    <x:row r="12">
      <x:c r="B12" s="53"/>
      <x:c r="C12" s="53"/>
      <x:c r="D12" s="53"/>
      <x:c r="E12" s="53"/>
      <x:c r="F12" s="53"/>
      <x:c r="G12" s="53"/>
      <x:c r="H12" s="53"/>
    </x:row>
    <x:row r="13">
      <x:c r="B13" s="53"/>
      <x:c r="C13" s="53"/>
      <x:c r="D13" s="53"/>
      <x:c r="E13" s="53"/>
      <x:c r="F13" s="53"/>
      <x:c r="G13" s="53"/>
      <x:c r="H13" s="53"/>
    </x:row>
    <x:row r="14">
      <x:c r="B14" s="53"/>
      <x:c r="C14" s="53"/>
      <x:c r="D14" s="53"/>
      <x:c r="E14" s="53"/>
      <x:c r="F14" s="53"/>
      <x:c r="G14" s="53"/>
      <x:c r="H14" s="53"/>
    </x:row>
    <x:row r="15">
      <x:c r="B15" s="53"/>
      <x:c r="C15" s="53"/>
      <x:c r="D15" s="53"/>
      <x:c r="E15" s="53"/>
      <x:c r="F15" s="53"/>
      <x:c r="G15" s="53"/>
      <x:c r="H15" s="53"/>
    </x:row>
    <x:row r="16">
      <x:c r="B16" s="53"/>
      <x:c r="C16" s="53"/>
      <x:c r="D16" s="53"/>
      <x:c r="E16" s="53"/>
      <x:c r="F16" s="53"/>
      <x:c r="G16" s="53"/>
      <x:c r="H16" s="53"/>
    </x:row>
    <x:row r="17">
      <x:c r="B17" s="53" t="str">
        <x:v>CONTROL</x:v>
      </x:c>
      <x:c r="C17" s="53" t="str">
        <x:v>Records</x:v>
      </x:c>
      <x:c r="D17" s="53" t="n">
        <x:f>COUNTA(B7:B9)</x:f>
        <x:v>3</x:v>
      </x:c>
      <x:c r="E17" s="53" t="str">
        <x:f>IF(D17=3,"PASS","FAIL")</x:f>
        <x:v>PASS</x:v>
      </x:c>
      <x:c r="F17" s="53"/>
      <x:c r="G17" s="53"/>
      <x:c r="H17" s="53"/>
    </x:row>
  </x:sheetData>
  <x:mergeCells>
    <x:mergeCell ref="B3:H3"/>
  </x:mergeCells>
  <x:conditionalFormatting sqref="H7:H9">
    <x:cfRule type="containsText" dxfId="204" priority="1" operator="containsText" text="FAIL"/>
    <x:cfRule type="containsText" dxfId="205" priority="2" operator="containsText" text="BLOCKED"/>
    <x:cfRule type="containsText" dxfId="206" priority="3" operator="containsText" text="HOLD"/>
    <x:cfRule type="containsText" dxfId="207" priority="4" operator="containsText" text="OPEN"/>
    <x:cfRule type="containsText" dxfId="208" priority="5" operator="containsText" text="OUT"/>
    <x:cfRule type="containsText" dxfId="209" priority="6" operator="containsText" text="UNTESTED"/>
    <x:cfRule type="containsText" dxfId="210" priority="7" operator="containsText" text="PASS"/>
    <x:cfRule type="containsText" dxfId="211" priority="8" operator="containsText" text="READY"/>
    <x:cfRule type="containsText" dxfId="212" priority="9" operator="containsText" text="AUTHORIZED"/>
    <x:cfRule type="containsText" dxfId="213" priority="10" operator="containsText" text="PLANNING PASS"/>
    <x:cfRule type="containsText" dxfId="214" priority="11" operator="containsText" text="RELEASED"/>
    <x:cfRule type="containsText" dxfId="215" priority="12" operator="containsText" text="ADMITTED"/>
  </x:conditionalFormatting>
  <x:conditionalFormatting sqref="E17:E17">
    <x:cfRule type="containsText" dxfId="216" priority="13" operator="containsText" text="FAIL"/>
    <x:cfRule type="containsText" dxfId="217" priority="14" operator="containsText" text="BLOCKED"/>
    <x:cfRule type="containsText" dxfId="218" priority="15" operator="containsText" text="HOLD"/>
    <x:cfRule type="containsText" dxfId="219" priority="16" operator="containsText" text="OPEN"/>
    <x:cfRule type="containsText" dxfId="220" priority="17" operator="containsText" text="OUT"/>
    <x:cfRule type="containsText" dxfId="221" priority="18" operator="containsText" text="UNTESTED"/>
    <x:cfRule type="containsText" dxfId="222" priority="19" operator="containsText" text="PASS"/>
    <x:cfRule type="containsText" dxfId="223" priority="20" operator="containsText" text="READY"/>
    <x:cfRule type="containsText" dxfId="224" priority="21" operator="containsText" text="AUTHORIZED"/>
    <x:cfRule type="containsText" dxfId="225" priority="22" operator="containsText" text="PLANNING PASS"/>
    <x:cfRule type="containsText" dxfId="226" priority="23" operator="containsText" text="RELEASED"/>
    <x:cfRule type="containsText" dxfId="227" priority="24" operator="containsText" text="ADMITT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24" hidden="0" customWidth="1"/>
    <x:col min="3" max="3" width="36" hidden="0" customWidth="1"/>
    <x:col min="4" max="4" width="17" hidden="0" customWidth="1"/>
    <x:col min="5" max="5" width="16" hidden="0" customWidth="1"/>
    <x:col min="6" max="6" width="18" hidden="0" customWidth="1"/>
    <x:col min="7" max="7" width="15" hidden="0" customWidth="1"/>
    <x:col min="8" max="8" width="39" hidden="0" customWidth="1"/>
    <x:col min="9" max="9" width="16" hidden="0" customWidth="1"/>
  </x:cols>
  <x:sheetData>
    <x:row r="2">
      <x:c r="B2" s="1" t="str">
        <x:v>Regenerative ready-stock floors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2" t="str">
        <x:v>Falling below a floor blocks the next dependent token; it does not rewrite an active event.</x:v>
      </x:c>
      <x:c r="C3" s="53"/>
      <x:c r="D3" s="53"/>
      <x:c r="E3" s="53"/>
      <x:c r="F3" s="53"/>
      <x:c r="G3" s="53"/>
      <x:c r="H3" s="53"/>
      <x:c r="I3" s="53"/>
      <x:c r="J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15" t="str">
        <x:v>ID</x:v>
      </x:c>
      <x:c r="C6" s="16" t="str">
        <x:v>Stock</x:v>
      </x:c>
      <x:c r="D6" s="16" t="str">
        <x:v>Required floor</x:v>
      </x:c>
      <x:c r="E6" s="16" t="str">
        <x:v>Unit</x:v>
      </x:c>
      <x:c r="F6" s="16" t="str">
        <x:v>Observed ready</x:v>
      </x:c>
      <x:c r="G6" s="16" t="str">
        <x:v>Gap</x:v>
      </x:c>
      <x:c r="H6" s="16" t="str">
        <x:v>Planning basis</x:v>
      </x:c>
      <x:c r="I6" s="16" t="str">
        <x:v>Physical state</x:v>
      </x:c>
      <x:c r="J6" s="53"/>
    </x:row>
    <x:row r="7">
      <x:c r="B7" s="64" t="str">
        <x:v>RS01</x:v>
      </x:c>
      <x:c r="C7" s="64" t="str">
        <x:v>closure article positions</x:v>
      </x:c>
      <x:c r="D7" s="64" t="n">
        <x:v>24</x:v>
      </x:c>
      <x:c r="E7" s="64" t="str">
        <x:v>positions</x:v>
      </x:c>
      <x:c r="F7" s="64" t="n">
        <x:v>0</x:v>
      </x:c>
      <x:c r="G7" s="64" t="n">
        <x:f>F7-D7</x:f>
        <x:v>-24</x:v>
      </x:c>
      <x:c r="H7" s="64" t="str">
        <x:v>four per bay</x:v>
      </x:c>
      <x:c r="I7" s="75" t="str">
        <x:v>OPEN</x:v>
      </x:c>
      <x:c r="J7" s="53"/>
    </x:row>
    <x:row r="8">
      <x:c r="B8" s="64" t="str">
        <x:v>RS02</x:v>
      </x:c>
      <x:c r="C8" s="64" t="str">
        <x:v>closure instrument packs</x:v>
      </x:c>
      <x:c r="D8" s="64" t="n">
        <x:v>18</x:v>
      </x:c>
      <x:c r="E8" s="64" t="str">
        <x:v>packs</x:v>
      </x:c>
      <x:c r="F8" s="64" t="n">
        <x:v>0</x:v>
      </x:c>
      <x:c r="G8" s="64" t="n">
        <x:f>F8-D8</x:f>
        <x:v>-18</x:v>
      </x:c>
      <x:c r="H8" s="64" t="str">
        <x:v>three per bay</x:v>
      </x:c>
      <x:c r="I8" s="75" t="str">
        <x:v>OPEN</x:v>
      </x:c>
      <x:c r="J8" s="53"/>
    </x:row>
    <x:row r="9">
      <x:c r="B9" s="64" t="str">
        <x:v>RS03</x:v>
      </x:c>
      <x:c r="C9" s="64" t="str">
        <x:v>root-adapter sets</x:v>
      </x:c>
      <x:c r="D9" s="64" t="n">
        <x:v>12</x:v>
      </x:c>
      <x:c r="E9" s="64" t="str">
        <x:v>sets</x:v>
      </x:c>
      <x:c r="F9" s="64" t="n">
        <x:v>0</x:v>
      </x:c>
      <x:c r="G9" s="64" t="n">
        <x:f>F9-D9</x:f>
        <x:v>-12</x:v>
      </x:c>
      <x:c r="H9" s="64" t="str">
        <x:v>two per bay</x:v>
      </x:c>
      <x:c r="I9" s="75" t="str">
        <x:v>OPEN</x:v>
      </x:c>
      <x:c r="J9" s="53"/>
    </x:row>
    <x:row r="10">
      <x:c r="B10" s="64" t="str">
        <x:v>RS04</x:v>
      </x:c>
      <x:c r="C10" s="64" t="str">
        <x:v>registered injury cassettes</x:v>
      </x:c>
      <x:c r="D10" s="64" t="n">
        <x:v>60</x:v>
      </x:c>
      <x:c r="E10" s="64" t="str">
        <x:v>cassettes</x:v>
      </x:c>
      <x:c r="F10" s="64" t="n">
        <x:v>0</x:v>
      </x:c>
      <x:c r="G10" s="64" t="n">
        <x:f>F10-D10</x:f>
        <x:v>-60</x:v>
      </x:c>
      <x:c r="H10" s="64" t="str">
        <x:v>P90 plus diversity/reserve</x:v>
      </x:c>
      <x:c r="I10" s="75" t="str">
        <x:v>OPEN</x:v>
      </x:c>
      <x:c r="J10" s="53"/>
    </x:row>
    <x:row r="11">
      <x:c r="B11" s="64" t="str">
        <x:v>RS05</x:v>
      </x:c>
      <x:c r="C11" s="64" t="str">
        <x:v>damage sensor/actuator packs</x:v>
      </x:c>
      <x:c r="D11" s="64" t="n">
        <x:v>18</x:v>
      </x:c>
      <x:c r="E11" s="64" t="str">
        <x:v>packs</x:v>
      </x:c>
      <x:c r="F11" s="64" t="n">
        <x:v>0</x:v>
      </x:c>
      <x:c r="G11" s="64" t="n">
        <x:f>F11-D11</x:f>
        <x:v>-18</x:v>
      </x:c>
      <x:c r="H11" s="64" t="str">
        <x:v>three per cell</x:v>
      </x:c>
      <x:c r="I11" s="75" t="str">
        <x:v>OPEN</x:v>
      </x:c>
      <x:c r="J11" s="53"/>
    </x:row>
    <x:row r="12">
      <x:c r="B12" s="64" t="str">
        <x:v>RS06</x:v>
      </x:c>
      <x:c r="C12" s="64" t="str">
        <x:v>contamination modules</x:v>
      </x:c>
      <x:c r="D12" s="64" t="n">
        <x:v>12</x:v>
      </x:c>
      <x:c r="E12" s="64" t="str">
        <x:v>modules</x:v>
      </x:c>
      <x:c r="F12" s="64" t="n">
        <x:v>0</x:v>
      </x:c>
      <x:c r="G12" s="64" t="n">
        <x:f>F12-D12</x:f>
        <x:v>-12</x:v>
      </x:c>
      <x:c r="H12" s="64" t="str">
        <x:v>two per cell</x:v>
      </x:c>
      <x:c r="I12" s="75" t="str">
        <x:v>OPEN</x:v>
      </x:c>
      <x:c r="J12" s="53"/>
    </x:row>
    <x:row r="13">
      <x:c r="B13" s="64" t="str">
        <x:v>RS07</x:v>
      </x:c>
      <x:c r="C13" s="64" t="str">
        <x:v>traveling calibration packages</x:v>
      </x:c>
      <x:c r="D13" s="64" t="n">
        <x:v>12</x:v>
      </x:c>
      <x:c r="E13" s="64" t="str">
        <x:v>packages</x:v>
      </x:c>
      <x:c r="F13" s="64" t="n">
        <x:v>0</x:v>
      </x:c>
      <x:c r="G13" s="64" t="n">
        <x:f>F13-D13</x:f>
        <x:v>-12</x:v>
      </x:c>
      <x:c r="H13" s="64" t="str">
        <x:v>two per team</x:v>
      </x:c>
      <x:c r="I13" s="75" t="str">
        <x:v>OPEN</x:v>
      </x:c>
      <x:c r="J13" s="53"/>
    </x:row>
    <x:row r="14">
      <x:c r="B14" s="64" t="str">
        <x:v>RS08</x:v>
      </x:c>
      <x:c r="C14" s="64" t="str">
        <x:v>protected challenge lots</x:v>
      </x:c>
      <x:c r="D14" s="64" t="n">
        <x:v>24</x:v>
      </x:c>
      <x:c r="E14" s="64" t="str">
        <x:v>lots</x:v>
      </x:c>
      <x:c r="F14" s="64" t="n">
        <x:v>0</x:v>
      </x:c>
      <x:c r="G14" s="64" t="n">
        <x:f>F14-D14</x:f>
        <x:v>-24</x:v>
      </x:c>
      <x:c r="H14" s="64" t="str">
        <x:v>water and particle families</x:v>
      </x:c>
      <x:c r="I14" s="75" t="str">
        <x:v>OPEN</x:v>
      </x:c>
      <x:c r="J14" s="53"/>
    </x:row>
    <x:row r="15">
      <x:c r="B15" s="69" t="str">
        <x:v>RS09</x:v>
      </x:c>
      <x:c r="C15" s="69" t="str">
        <x:v>evidence media sets</x:v>
      </x:c>
      <x:c r="D15" s="69" t="n">
        <x:v>18</x:v>
      </x:c>
      <x:c r="E15" s="69" t="str">
        <x:v>sets</x:v>
      </x:c>
      <x:c r="F15" s="69" t="n">
        <x:v>0</x:v>
      </x:c>
      <x:c r="G15" s="69" t="n">
        <x:f>F15-D15</x:f>
        <x:v>-18</x:v>
      </x:c>
      <x:c r="H15" s="69" t="str">
        <x:v>three per replay cell</x:v>
      </x:c>
      <x:c r="I15" s="78" t="str">
        <x:v>OPEN</x:v>
      </x:c>
      <x:c r="J15" s="53"/>
    </x:row>
    <x:row r="16">
      <x:c r="B16" s="53"/>
      <x:c r="C16" s="53"/>
      <x:c r="D16" s="53"/>
      <x:c r="E16" s="53"/>
      <x:c r="F16" s="53"/>
      <x:c r="G16" s="53"/>
      <x:c r="H16" s="53"/>
      <x:c r="I16" s="53"/>
      <x:c r="J16" s="53"/>
    </x:row>
    <x:row r="17">
      <x:c r="B17" s="53"/>
      <x:c r="C17" s="53"/>
      <x:c r="D17" s="53"/>
      <x:c r="E17" s="53"/>
      <x:c r="F17" s="53"/>
      <x:c r="G17" s="53"/>
      <x:c r="H17" s="53"/>
      <x:c r="I17" s="53"/>
      <x:c r="J17" s="53"/>
    </x:row>
    <x:row r="18">
      <x:c r="B18" s="53"/>
      <x:c r="C18" s="53"/>
      <x:c r="D18" s="53"/>
      <x:c r="E18" s="53"/>
      <x:c r="F18" s="53"/>
      <x:c r="G18" s="53"/>
      <x:c r="H18" s="53"/>
      <x:c r="I18" s="53"/>
      <x:c r="J18" s="53"/>
    </x:row>
    <x:row r="19">
      <x:c r="B19" s="56" t="str">
        <x:v>Return-to-known-state clocks</x:v>
      </x:c>
      <x:c r="C19" s="57" t="str">
        <x:v>Return-to-known-state clocks</x:v>
      </x:c>
      <x:c r="D19" s="57" t="str">
        <x:v>Return-to-known-state clocks</x:v>
      </x:c>
      <x:c r="E19" s="57" t="str">
        <x:v>Return-to-known-state clocks</x:v>
      </x:c>
      <x:c r="F19" s="57" t="str">
        <x:v>Return-to-known-state clocks</x:v>
      </x:c>
      <x:c r="G19" s="57" t="str">
        <x:v>Return-to-known-state clocks</x:v>
      </x:c>
      <x:c r="H19" s="57" t="str">
        <x:v>Return-to-known-state clocks</x:v>
      </x:c>
      <x:c r="I19" s="58" t="str">
        <x:v>Return-to-known-state clocks</x:v>
      </x:c>
      <x:c r="J19" s="53"/>
    </x:row>
    <x:row r="20" ht="34" customHeight="1">
      <x:c r="B20" s="53" t="str">
        <x:v>closure bay</x:v>
      </x:c>
      <x:c r="C20" s="53" t="n">
        <x:v>72</x:v>
      </x:c>
      <x:c r="D20" s="53" t="str">
        <x:v>hours</x:v>
      </x:c>
      <x:c r="E20" s="53" t="str">
        <x:v>after article removal</x:v>
      </x:c>
      <x:c r="F20" s="53"/>
      <x:c r="G20" s="53"/>
      <x:c r="H20" s="53"/>
      <x:c r="I20" s="53"/>
      <x:c r="J20" s="53"/>
    </x:row>
    <x:row r="21" ht="34" customHeight="1">
      <x:c r="B21" s="53" t="str">
        <x:v>damage cell</x:v>
      </x:c>
      <x:c r="C21" s="53" t="n">
        <x:v>240</x:v>
      </x:c>
      <x:c r="D21" s="53" t="str">
        <x:v>hours</x:v>
      </x:c>
      <x:c r="E21" s="53" t="str">
        <x:v>after contaminated article removal</x:v>
      </x:c>
      <x:c r="F21" s="53"/>
      <x:c r="G21" s="53"/>
      <x:c r="H21" s="53"/>
      <x:c r="I21" s="53"/>
      <x:c r="J21" s="53"/>
    </x:row>
    <x:row r="22" ht="34" customHeight="1">
      <x:c r="B22" s="53" t="str">
        <x:v>water laboratory</x:v>
      </x:c>
      <x:c r="C22" s="53" t="n">
        <x:v>24</x:v>
      </x:c>
      <x:c r="D22" s="53" t="str">
        <x:v>hours</x:v>
      </x:c>
      <x:c r="E22" s="53" t="str">
        <x:v>after high challenge</x:v>
      </x:c>
      <x:c r="F22" s="53"/>
      <x:c r="G22" s="53"/>
      <x:c r="H22" s="53"/>
      <x:c r="I22" s="53"/>
      <x:c r="J22" s="53"/>
    </x:row>
    <x:row r="23" ht="34" customHeight="1">
      <x:c r="B23" s="53" t="str">
        <x:v>forensic line</x:v>
      </x:c>
      <x:c r="C23" s="53" t="n">
        <x:v>48</x:v>
      </x:c>
      <x:c r="D23" s="53" t="str">
        <x:v>hours</x:v>
      </x:c>
      <x:c r="E23" s="53" t="str">
        <x:v>after opened article</x:v>
      </x:c>
      <x:c r="F23" s="53"/>
      <x:c r="G23" s="53"/>
      <x:c r="H23" s="53"/>
      <x:c r="I23" s="53"/>
      <x:c r="J23" s="53"/>
    </x:row>
    <x:row r="24" ht="34" customHeight="1">
      <x:c r="B24" s="53" t="str">
        <x:v>replay cell</x:v>
      </x:c>
      <x:c r="C24" s="53" t="n">
        <x:v>4</x:v>
      </x:c>
      <x:c r="D24" s="53" t="str">
        <x:v>hours</x:v>
      </x:c>
      <x:c r="E24" s="53" t="str">
        <x:v>after software fault</x:v>
      </x:c>
      <x:c r="F24" s="53"/>
      <x:c r="G24" s="53"/>
      <x:c r="H24" s="53"/>
      <x:c r="I24" s="53"/>
      <x:c r="J24" s="53"/>
    </x:row>
    <x:row r="25" ht="34" customHeight="1">
      <x:c r="B25" s="53" t="str">
        <x:v>blind shop</x:v>
      </x:c>
      <x:c r="C25" s="53" t="n">
        <x:v>8</x:v>
      </x:c>
      <x:c r="D25" s="53" t="str">
        <x:v>hours</x:v>
      </x:c>
      <x:c r="E25" s="53" t="str">
        <x:v>after integrity event</x:v>
      </x:c>
      <x:c r="F25" s="53"/>
      <x:c r="G25" s="53"/>
      <x:c r="H25" s="53"/>
      <x:c r="I25" s="53"/>
      <x:c r="J25" s="53"/>
    </x:row>
    <x:row r="26" ht="34" customHeight="1">
      <x:c r="B26" s="53" t="str">
        <x:v>lost modular station</x:v>
      </x:c>
      <x:c r="C26" s="53" t="n">
        <x:v>30</x:v>
      </x:c>
      <x:c r="D26" s="53" t="str">
        <x:v>days</x:v>
      </x:c>
      <x:c r="E26" s="53" t="str">
        <x:v>one replacement lane commissioned</x:v>
      </x:c>
      <x:c r="F26" s="53"/>
      <x:c r="G26" s="53"/>
      <x:c r="H26" s="53"/>
      <x:c r="I26" s="53"/>
      <x:c r="J26" s="53"/>
    </x:row>
    <x:row r="27" ht="34" customHeight="1">
      <x:c r="B27" s="53" t="str">
        <x:v>lost campus</x:v>
      </x:c>
      <x:c r="C27" s="53" t="n">
        <x:v>180</x:v>
      </x:c>
      <x:c r="D27" s="53" t="str">
        <x:v>days</x:v>
      </x:c>
      <x:c r="E27" s="53" t="str">
        <x:v>complete chain recommissioned</x:v>
      </x:c>
      <x:c r="F27" s="53"/>
      <x:c r="G27" s="53"/>
      <x:c r="H27" s="53"/>
      <x:c r="I27" s="53"/>
      <x:c r="J27" s="53"/>
    </x:row>
  </x:sheetData>
  <x:mergeCells>
    <x:mergeCell ref="B3:J3"/>
    <x:mergeCell ref="B19:I19"/>
  </x:mergeCells>
  <x:conditionalFormatting sqref="I7:I15">
    <x:cfRule type="containsText" dxfId="228" priority="1" operator="containsText" text="FAIL"/>
    <x:cfRule type="containsText" dxfId="229" priority="2" operator="containsText" text="BLOCKED"/>
    <x:cfRule type="containsText" dxfId="230" priority="3" operator="containsText" text="HOLD"/>
    <x:cfRule type="containsText" dxfId="231" priority="4" operator="containsText" text="OPEN"/>
    <x:cfRule type="containsText" dxfId="232" priority="5" operator="containsText" text="OUT"/>
    <x:cfRule type="containsText" dxfId="233" priority="6" operator="containsText" text="UNTESTED"/>
    <x:cfRule type="containsText" dxfId="234" priority="7" operator="containsText" text="PASS"/>
    <x:cfRule type="containsText" dxfId="235" priority="8" operator="containsText" text="READY"/>
    <x:cfRule type="containsText" dxfId="236" priority="9" operator="containsText" text="AUTHORIZED"/>
    <x:cfRule type="containsText" dxfId="237" priority="10" operator="containsText" text="PLANNING PASS"/>
    <x:cfRule type="containsText" dxfId="238" priority="11" operator="containsText" text="RELEASED"/>
    <x:cfRule type="containsText" dxfId="239" priority="12" operator="containsText" text="ADMITT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8" hidden="0" customWidth="1"/>
    <x:col min="4" max="4" width="18" hidden="0" customWidth="1"/>
    <x:col min="5" max="5" width="52" hidden="0" customWidth="1"/>
    <x:col min="6" max="6" width="16" hidden="0" customWidth="1"/>
  </x:cols>
  <x:sheetData>
    <x:row r="2">
      <x:c r="B2" s="1" t="str">
        <x:v>Permanent range force</x:v>
      </x:c>
      <x:c r="C2" s="53"/>
      <x:c r="D2" s="53"/>
      <x:c r="E2" s="53"/>
      <x:c r="F2" s="53"/>
      <x:c r="G2" s="53"/>
      <x:c r="H2" s="53"/>
      <x:c r="I2" s="53"/>
    </x:row>
    <x:row r="3">
      <x:c r="B3" s="2" t="str">
        <x:v>Five-team station systems prevent training, illness, leave or investigation from becoming hidden contractor substitution.</x:v>
      </x:c>
      <x:c r="C3" s="53"/>
      <x:c r="D3" s="53"/>
      <x:c r="E3" s="53"/>
      <x:c r="F3" s="53"/>
      <x:c r="G3" s="53"/>
      <x:c r="H3" s="53"/>
      <x:c r="I3" s="53"/>
    </x:row>
    <x:row r="4">
      <x:c r="B4" s="55"/>
      <x:c r="C4" s="55"/>
      <x:c r="D4" s="55"/>
      <x:c r="E4" s="55"/>
      <x:c r="F4" s="55"/>
      <x:c r="G4" s="55"/>
      <x:c r="H4" s="55"/>
      <x:c r="I4" s="55"/>
    </x:row>
    <x:row r="5">
      <x:c r="B5" s="53"/>
      <x:c r="C5" s="53"/>
      <x:c r="D5" s="53"/>
      <x:c r="E5" s="53"/>
      <x:c r="F5" s="53"/>
      <x:c r="G5" s="53"/>
      <x:c r="H5" s="53"/>
      <x:c r="I5" s="53"/>
    </x:row>
    <x:row r="6">
      <x:c r="B6" s="15" t="str">
        <x:v>ID</x:v>
      </x:c>
      <x:c r="C6" s="16" t="str">
        <x:v>Community</x:v>
      </x:c>
      <x:c r="D6" s="16" t="str">
        <x:v>Direct personnel</x:v>
      </x:c>
      <x:c r="E6" s="16" t="str">
        <x:v>Sizing basis</x:v>
      </x:c>
      <x:c r="F6" s="16" t="str">
        <x:v>Status</x:v>
      </x:c>
      <x:c r="G6" s="53"/>
      <x:c r="H6" s="53"/>
      <x:c r="I6" s="53"/>
    </x:row>
    <x:row r="7" ht="39" customHeight="1">
      <x:c r="B7" s="64" t="str">
        <x:v>WF01</x:v>
      </x:c>
      <x:c r="C7" s="65" t="str">
        <x:v>closure-bay operations</x:v>
      </x:c>
      <x:c r="D7" s="65" t="n">
        <x:v>240</x:v>
      </x:c>
      <x:c r="E7" s="65" t="str">
        <x:v>six bays and five-team system</x:v>
      </x:c>
      <x:c r="F7" s="67" t="str">
        <x:v>PUBLIC</x:v>
      </x:c>
      <x:c r="G7" s="53"/>
      <x:c r="H7" s="53"/>
      <x:c r="I7" s="53"/>
    </x:row>
    <x:row r="8" ht="39" customHeight="1">
      <x:c r="B8" s="64" t="str">
        <x:v>WF02</x:v>
      </x:c>
      <x:c r="C8" s="65" t="str">
        <x:v>damage-cell operations</x:v>
      </x:c>
      <x:c r="D8" s="65" t="n">
        <x:v>330</x:v>
      </x:c>
      <x:c r="E8" s="65" t="str">
        <x:v>six cells, injury, containment and reset</x:v>
      </x:c>
      <x:c r="F8" s="67" t="str">
        <x:v>PUBLIC</x:v>
      </x:c>
      <x:c r="G8" s="53"/>
      <x:c r="H8" s="53"/>
      <x:c r="I8" s="53"/>
    </x:row>
    <x:row r="9" ht="39" customHeight="1">
      <x:c r="B9" s="64" t="str">
        <x:v>WF03</x:v>
      </x:c>
      <x:c r="C9" s="65" t="str">
        <x:v>sanitary laboratories</x:v>
      </x:c>
      <x:c r="D9" s="65" t="n">
        <x:v>120</x:v>
      </x:c>
      <x:c r="E9" s="65" t="str">
        <x:v>six labs, splits and controls</x:v>
      </x:c>
      <x:c r="F9" s="67" t="str">
        <x:v>PUBLIC</x:v>
      </x:c>
      <x:c r="G9" s="53"/>
      <x:c r="H9" s="53"/>
      <x:c r="I9" s="53"/>
    </x:row>
    <x:row r="10" ht="39" customHeight="1">
      <x:c r="B10" s="64" t="str">
        <x:v>WF04</x:v>
      </x:c>
      <x:c r="C10" s="65" t="str">
        <x:v>forensic lines</x:v>
      </x:c>
      <x:c r="D10" s="65" t="n">
        <x:v>90</x:v>
      </x:c>
      <x:c r="E10" s="65" t="str">
        <x:v>scanning, sectioning and custody</x:v>
      </x:c>
      <x:c r="F10" s="67" t="str">
        <x:v>PUBLIC</x:v>
      </x:c>
      <x:c r="G10" s="53"/>
      <x:c r="H10" s="53"/>
      <x:c r="I10" s="53"/>
    </x:row>
    <x:row r="11" ht="39" customHeight="1">
      <x:c r="B11" s="64" t="str">
        <x:v>WF05</x:v>
      </x:c>
      <x:c r="C11" s="65" t="str">
        <x:v>metrology detachments</x:v>
      </x:c>
      <x:c r="D11" s="65" t="n">
        <x:v>96</x:v>
      </x:c>
      <x:c r="E11" s="65" t="str">
        <x:v>six teams and reference estate</x:v>
      </x:c>
      <x:c r="F11" s="67" t="str">
        <x:v>PUBLIC</x:v>
      </x:c>
      <x:c r="G11" s="53"/>
      <x:c r="H11" s="53"/>
      <x:c r="I11" s="53"/>
    </x:row>
    <x:row r="12" ht="39" customHeight="1">
      <x:c r="B12" s="64" t="str">
        <x:v>WF06</x:v>
      </x:c>
      <x:c r="C12" s="65" t="str">
        <x:v>evidence replay and time</x:v>
      </x:c>
      <x:c r="D12" s="65" t="n">
        <x:v>72</x:v>
      </x:c>
      <x:c r="E12" s="65" t="str">
        <x:v>six cells and two implementations</x:v>
      </x:c>
      <x:c r="F12" s="67" t="str">
        <x:v>PUBLIC</x:v>
      </x:c>
      <x:c r="G12" s="53"/>
      <x:c r="H12" s="53"/>
      <x:c r="I12" s="53"/>
    </x:row>
    <x:row r="13" ht="39" customHeight="1">
      <x:c r="B13" s="64" t="str">
        <x:v>WF07</x:v>
      </x:c>
      <x:c r="C13" s="65" t="str">
        <x:v>blind/configuration shops</x:v>
      </x:c>
      <x:c r="D13" s="65" t="n">
        <x:v>45</x:v>
      </x:c>
      <x:c r="E13" s="65" t="str">
        <x:v>truth manufacture and rekeying</x:v>
      </x:c>
      <x:c r="F13" s="67" t="str">
        <x:v>PUBLIC</x:v>
      </x:c>
      <x:c r="G13" s="53"/>
      <x:c r="H13" s="53"/>
      <x:c r="I13" s="53"/>
    </x:row>
    <x:row r="14" ht="39" customHeight="1">
      <x:c r="B14" s="64" t="str">
        <x:v>WF08</x:v>
      </x:c>
      <x:c r="C14" s="65" t="str">
        <x:v>campus utilities and safety</x:v>
      </x:c>
      <x:c r="D14" s="65" t="n">
        <x:v>120</x:v>
      </x:c>
      <x:c r="E14" s="65" t="str">
        <x:v>three complete islands</x:v>
      </x:c>
      <x:c r="F14" s="67" t="str">
        <x:v>PUBLIC</x:v>
      </x:c>
      <x:c r="G14" s="53"/>
      <x:c r="H14" s="53"/>
      <x:c r="I14" s="53"/>
    </x:row>
    <x:row r="15" ht="39" customHeight="1">
      <x:c r="B15" s="64" t="str">
        <x:v>WF09</x:v>
      </x:c>
      <x:c r="C15" s="65" t="str">
        <x:v>command and evidence boards</x:v>
      </x:c>
      <x:c r="D15" s="65" t="n">
        <x:v>42</x:v>
      </x:c>
      <x:c r="E15" s="65" t="str">
        <x:v>requirements, schedule and admission</x:v>
      </x:c>
      <x:c r="F15" s="67" t="str">
        <x:v>PUBLIC</x:v>
      </x:c>
      <x:c r="G15" s="53"/>
      <x:c r="H15" s="53"/>
      <x:c r="I15" s="53"/>
    </x:row>
    <x:row r="16" ht="39" customHeight="1">
      <x:c r="B16" s="69" t="str">
        <x:v>WF10</x:v>
      </x:c>
      <x:c r="C16" s="70" t="str">
        <x:v>mobile reserve and training</x:v>
      </x:c>
      <x:c r="D16" s="70" t="n">
        <x:v>75</x:v>
      </x:c>
      <x:c r="E16" s="70" t="str">
        <x:v>augmentation and casualty replacement</x:v>
      </x:c>
      <x:c r="F16" s="72" t="str">
        <x:v>PUBLIC</x:v>
      </x:c>
      <x:c r="G16" s="53"/>
      <x:c r="H16" s="53"/>
      <x:c r="I16" s="53"/>
    </x:row>
    <x:row r="17">
      <x:c r="B17" s="53"/>
      <x:c r="C17" s="53"/>
      <x:c r="D17" s="53"/>
      <x:c r="E17" s="53"/>
      <x:c r="F17" s="53"/>
      <x:c r="G17" s="53"/>
      <x:c r="H17" s="53"/>
      <x:c r="I17" s="53"/>
    </x:row>
    <x:row r="18">
      <x:c r="B18" s="53" t="str">
        <x:v>TOTAL</x:v>
      </x:c>
      <x:c r="C18" s="53" t="str">
        <x:v>Direct public force</x:v>
      </x:c>
      <x:c r="D18" s="53" t="n">
        <x:f>SUM(D7:D16)</x:f>
        <x:v>1230</x:v>
      </x:c>
      <x:c r="E18" s="53" t="str">
        <x:f>IF(D18='Control Inputs'!D53,"PASS","FAIL")</x:f>
        <x:v>PASS</x:v>
      </x:c>
      <x:c r="F18" s="53"/>
      <x:c r="G18" s="53"/>
      <x:c r="H18" s="53"/>
      <x:c r="I18" s="53"/>
    </x:row>
    <x:row r="19">
      <x:c r="B19" s="53"/>
      <x:c r="C19" s="53"/>
      <x:c r="D19" s="53"/>
      <x:c r="E19" s="53"/>
      <x:c r="F19" s="53"/>
      <x:c r="G19" s="53"/>
      <x:c r="H19" s="53"/>
      <x:c r="I19" s="53"/>
    </x:row>
    <x:row r="20">
      <x:c r="B20" s="53"/>
      <x:c r="C20" s="53"/>
      <x:c r="D20" s="53"/>
      <x:c r="E20" s="53"/>
      <x:c r="F20" s="53"/>
      <x:c r="G20" s="53"/>
      <x:c r="H20" s="53"/>
      <x:c r="I20" s="53"/>
    </x:row>
    <x:row r="21">
      <x:c r="B21" s="56" t="str">
        <x:v>Qualified industrial affiliate pool</x:v>
      </x:c>
      <x:c r="C21" s="57" t="str">
        <x:v>Qualified industrial affiliate pool</x:v>
      </x:c>
      <x:c r="D21" s="57" t="str">
        <x:v>Qualified industrial affiliate pool</x:v>
      </x:c>
      <x:c r="E21" s="57" t="str">
        <x:v>Qualified industrial affiliate pool</x:v>
      </x:c>
      <x:c r="F21" s="58" t="str">
        <x:v>Qualified industrial affiliate pool</x:v>
      </x:c>
      <x:c r="G21" s="53"/>
      <x:c r="H21" s="53"/>
      <x:c r="I21" s="53"/>
    </x:row>
    <x:row r="22">
      <x:c r="B22" s="53" t="str">
        <x:v>Affiliates</x:v>
      </x:c>
      <x:c r="C22" s="53" t="n">
        <x:v>1850</x:v>
      </x:c>
      <x:c r="D22" s="53"/>
      <x:c r="E22" s="53"/>
      <x:c r="F22" s="53"/>
      <x:c r="G22" s="53"/>
      <x:c r="H22" s="53"/>
      <x:c r="I22" s="53"/>
    </x:row>
    <x:row r="23">
      <x:c r="B23" s="53" t="str">
        <x:v>Allowed work</x:v>
      </x:c>
      <x:c r="C23" s="53" t="str">
        <x:v>fabrication, specialized maintenance, reference renewal, software reproduction, modular replacement</x:v>
      </x:c>
      <x:c r="D23" s="53"/>
      <x:c r="E23" s="53"/>
      <x:c r="F23" s="53"/>
      <x:c r="G23" s="53"/>
      <x:c r="H23" s="53"/>
      <x:c r="I23" s="53"/>
    </x:row>
    <x:row r="24">
      <x:c r="B24" s="53" t="str">
        <x:v>Reserved public work</x:v>
      </x:c>
      <x:c r="C24" s="53" t="str">
        <x:v>requirements, safety, metrology disposition, truth custody, evidence admission and receiver release</x:v>
      </x:c>
      <x:c r="D24" s="53"/>
      <x:c r="E24" s="53"/>
      <x:c r="F24" s="53"/>
      <x:c r="G24" s="53"/>
      <x:c r="H24" s="53"/>
      <x:c r="I24" s="53"/>
    </x:row>
  </x:sheetData>
  <x:mergeCells>
    <x:mergeCell ref="B3:I3"/>
    <x:mergeCell ref="B21:F21"/>
  </x:mergeCells>
  <x:conditionalFormatting sqref="E18:F18">
    <x:cfRule type="containsText" dxfId="240" priority="1" operator="containsText" text="FAIL"/>
    <x:cfRule type="containsText" dxfId="241" priority="2" operator="containsText" text="BLOCKED"/>
    <x:cfRule type="containsText" dxfId="242" priority="3" operator="containsText" text="HOLD"/>
    <x:cfRule type="containsText" dxfId="243" priority="4" operator="containsText" text="OPEN"/>
    <x:cfRule type="containsText" dxfId="244" priority="5" operator="containsText" text="OUT"/>
    <x:cfRule type="containsText" dxfId="245" priority="6" operator="containsText" text="UNTESTED"/>
    <x:cfRule type="containsText" dxfId="246" priority="7" operator="containsText" text="PASS"/>
    <x:cfRule type="containsText" dxfId="247" priority="8" operator="containsText" text="READY"/>
    <x:cfRule type="containsText" dxfId="248" priority="9" operator="containsText" text="AUTHORIZED"/>
    <x:cfRule type="containsText" dxfId="249" priority="10" operator="containsText" text="PLANNING PASS"/>
    <x:cfRule type="containsText" dxfId="250" priority="11" operator="containsText" text="RELEASED"/>
    <x:cfRule type="containsText" dxfId="251" priority="12" operator="containsText" text="ADMITT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2" hidden="0" customWidth="1"/>
    <x:col min="4" max="4" width="15" hidden="0" customWidth="1"/>
    <x:col min="5" max="5" width="15" hidden="0" customWidth="1"/>
    <x:col min="6" max="6" width="52" hidden="0" customWidth="1"/>
    <x:col min="7" max="7" width="15" hidden="0" customWidth="1"/>
    <x:col min="8" max="8" width="16" hidden="0" customWidth="1"/>
  </x:cols>
  <x:sheetData>
    <x:row r="2">
      <x:c r="B2" s="1" t="str">
        <x:v>Thirty-month range and campaign schedule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2" t="str">
        <x:v>Rolling admission preserves root prerequisites while support-lane work closes behind each event.</x:v>
      </x:c>
      <x:c r="C3" s="53"/>
      <x:c r="D3" s="53"/>
      <x:c r="E3" s="53"/>
      <x:c r="F3" s="53"/>
      <x:c r="G3" s="53"/>
      <x:c r="H3" s="53"/>
      <x:c r="I3" s="53"/>
      <x:c r="J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15" t="str">
        <x:v>WP</x:v>
      </x:c>
      <x:c r="C6" s="16" t="str">
        <x:v>Work package</x:v>
      </x:c>
      <x:c r="D6" s="16" t="str">
        <x:v>Start month</x:v>
      </x:c>
      <x:c r="E6" s="16" t="str">
        <x:v>End month</x:v>
      </x:c>
      <x:c r="F6" s="16" t="str">
        <x:v>Exit object</x:v>
      </x:c>
      <x:c r="G6" s="16" t="str">
        <x:v>Duration</x:v>
      </x:c>
      <x:c r="H6" s="16" t="str">
        <x:v>Planning state</x:v>
      </x:c>
      <x:c r="I6" s="53"/>
      <x:c r="J6" s="53"/>
    </x:row>
    <x:row r="7" ht="40" customHeight="1">
      <x:c r="B7" s="64" t="str">
        <x:v>RC01</x:v>
      </x:c>
      <x:c r="C7" s="65" t="str">
        <x:v>site and modular-station design</x:v>
      </x:c>
      <x:c r="D7" s="65" t="n">
        <x:v>1</x:v>
      </x:c>
      <x:c r="E7" s="65" t="n">
        <x:v>5</x:v>
      </x:c>
      <x:c r="F7" s="65" t="str">
        <x:v>three-campus baseline</x:v>
      </x:c>
      <x:c r="G7" s="65" t="n">
        <x:v>5</x:v>
      </x:c>
      <x:c r="H7" s="67" t="str">
        <x:v>PASS</x:v>
      </x:c>
      <x:c r="I7" s="53"/>
      <x:c r="J7" s="53"/>
    </x:row>
    <x:row r="8" ht="40" customHeight="1">
      <x:c r="B8" s="64" t="str">
        <x:v>RC02</x:v>
      </x:c>
      <x:c r="C8" s="65" t="str">
        <x:v>site islands and long-lead plant</x:v>
      </x:c>
      <x:c r="D8" s="65" t="n">
        <x:v>3</x:v>
      </x:c>
      <x:c r="E8" s="65" t="n">
        <x:v>10</x:v>
      </x:c>
      <x:c r="F8" s="65" t="str">
        <x:v>power/hydraulic/water/waste/evidence islands</x:v>
      </x:c>
      <x:c r="G8" s="65" t="n">
        <x:v>8</x:v>
      </x:c>
      <x:c r="H8" s="67" t="str">
        <x:v>PASS</x:v>
      </x:c>
      <x:c r="I8" s="53"/>
      <x:c r="J8" s="53"/>
    </x:row>
    <x:row r="9" ht="40" customHeight="1">
      <x:c r="B9" s="64" t="str">
        <x:v>RC03</x:v>
      </x:c>
      <x:c r="C9" s="65" t="str">
        <x:v>closure bays and support lanes</x:v>
      </x:c>
      <x:c r="D9" s="65" t="n">
        <x:v>6</x:v>
      </x:c>
      <x:c r="E9" s="65" t="n">
        <x:v>13</x:v>
      </x:c>
      <x:c r="F9" s="65" t="str">
        <x:v>six bays plus services</x:v>
      </x:c>
      <x:c r="G9" s="65" t="n">
        <x:v>8</x:v>
      </x:c>
      <x:c r="H9" s="67" t="str">
        <x:v>PASS</x:v>
      </x:c>
      <x:c r="I9" s="53"/>
      <x:c r="J9" s="53"/>
    </x:row>
    <x:row r="10" ht="40" customHeight="1">
      <x:c r="B10" s="64" t="str">
        <x:v>RC04</x:v>
      </x:c>
      <x:c r="C10" s="65" t="str">
        <x:v>damage cells and cassette estate</x:v>
      </x:c>
      <x:c r="D10" s="65" t="n">
        <x:v>7</x:v>
      </x:c>
      <x:c r="E10" s="65" t="n">
        <x:v>15</x:v>
      </x:c>
      <x:c r="F10" s="65" t="str">
        <x:v>six cells and injury stock</x:v>
      </x:c>
      <x:c r="G10" s="65" t="n">
        <x:v>9</x:v>
      </x:c>
      <x:c r="H10" s="67" t="str">
        <x:v>PASS</x:v>
      </x:c>
      <x:c r="I10" s="53"/>
      <x:c r="J10" s="53"/>
    </x:row>
    <x:row r="11" ht="40" customHeight="1">
      <x:c r="B11" s="64" t="str">
        <x:v>RC05</x:v>
      </x:c>
      <x:c r="C11" s="65" t="str">
        <x:v>station and campus commissioning</x:v>
      </x:c>
      <x:c r="D11" s="65" t="n">
        <x:v>10</x:v>
      </x:c>
      <x:c r="E11" s="65" t="n">
        <x:v>18</x:v>
      </x:c>
      <x:c r="F11" s="65" t="str">
        <x:v>known-state and common-cause gates</x:v>
      </x:c>
      <x:c r="G11" s="65" t="n">
        <x:v>9</x:v>
      </x:c>
      <x:c r="H11" s="67" t="str">
        <x:v>PASS</x:v>
      </x:c>
      <x:c r="I11" s="53"/>
      <x:c r="J11" s="53"/>
    </x:row>
    <x:row r="12" ht="40" customHeight="1">
      <x:c r="B12" s="64" t="str">
        <x:v>RC06</x:v>
      </x:c>
      <x:c r="C12" s="65" t="str">
        <x:v>closure campaign</x:v>
      </x:c>
      <x:c r="D12" s="65" t="n">
        <x:v>15</x:v>
      </x:c>
      <x:c r="E12" s="65" t="n">
        <x:v>28</x:v>
      </x:c>
      <x:c r="F12" s="65" t="str">
        <x:v>72 credits plus bounded repeats</x:v>
      </x:c>
      <x:c r="G12" s="65" t="n">
        <x:v>14</x:v>
      </x:c>
      <x:c r="H12" s="67" t="str">
        <x:v>PASS</x:v>
      </x:c>
      <x:c r="I12" s="53"/>
      <x:c r="J12" s="53"/>
    </x:row>
    <x:row r="13" ht="40" customHeight="1">
      <x:c r="B13" s="64" t="str">
        <x:v>RC07</x:v>
      </x:c>
      <x:c r="C13" s="65" t="str">
        <x:v>damage campaign</x:v>
      </x:c>
      <x:c r="D13" s="65" t="n">
        <x:v>18</x:v>
      </x:c>
      <x:c r="E13" s="65" t="n">
        <x:v>29</x:v>
      </x:c>
      <x:c r="F13" s="65" t="str">
        <x:v>26 credits plus bounded repeats</x:v>
      </x:c>
      <x:c r="G13" s="65" t="n">
        <x:v>12</x:v>
      </x:c>
      <x:c r="H13" s="67" t="str">
        <x:v>PASS</x:v>
      </x:c>
      <x:c r="I13" s="53"/>
      <x:c r="J13" s="53"/>
    </x:row>
    <x:row r="14" ht="40" customHeight="1">
      <x:c r="B14" s="69" t="str">
        <x:v>RC08</x:v>
      </x:c>
      <x:c r="C14" s="70" t="str">
        <x:v>forensic/replay/final admission</x:v>
      </x:c>
      <x:c r="D14" s="70" t="n">
        <x:v>16</x:v>
      </x:c>
      <x:c r="E14" s="70" t="n">
        <x:v>30</x:v>
      </x:c>
      <x:c r="F14" s="70" t="str">
        <x:v>all packets terminal</x:v>
      </x:c>
      <x:c r="G14" s="70" t="n">
        <x:v>15</x:v>
      </x:c>
      <x:c r="H14" s="72" t="str">
        <x:v>PASS</x:v>
      </x:c>
      <x:c r="I14" s="53"/>
      <x:c r="J14" s="53"/>
    </x:row>
    <x:row r="15">
      <x:c r="B15" s="53"/>
      <x:c r="C15" s="53"/>
      <x:c r="D15" s="53"/>
      <x:c r="E15" s="53"/>
      <x:c r="F15" s="53"/>
      <x:c r="G15" s="53"/>
      <x:c r="H15" s="53"/>
      <x:c r="I15" s="53"/>
      <x:c r="J15" s="53"/>
    </x:row>
    <x:row r="16">
      <x:c r="B16" s="53"/>
      <x:c r="C16" s="53"/>
      <x:c r="D16" s="53"/>
      <x:c r="E16" s="53"/>
      <x:c r="F16" s="53"/>
      <x:c r="G16" s="53"/>
      <x:c r="H16" s="53"/>
      <x:c r="I16" s="53"/>
      <x:c r="J16" s="53"/>
    </x:row>
    <x:row r="17">
      <x:c r="B17" s="53"/>
      <x:c r="C17" s="53"/>
      <x:c r="D17" s="53"/>
      <x:c r="E17" s="53"/>
      <x:c r="F17" s="53"/>
      <x:c r="G17" s="53"/>
      <x:c r="H17" s="53"/>
      <x:c r="I17" s="53"/>
      <x:c r="J17" s="53"/>
    </x:row>
    <x:row r="18">
      <x:c r="B18" s="53" t="str">
        <x:v>CONTROL</x:v>
      </x:c>
      <x:c r="C18" s="53" t="str">
        <x:v>Final month</x:v>
      </x:c>
      <x:c r="D18" s="53" t="n">
        <x:f>MAX(E7:E14)</x:f>
        <x:v>30</x:v>
      </x:c>
      <x:c r="E18" s="53" t="str">
        <x:f>IF(AND(D18='Control Inputs'!D59,COUNTIF(H7:H14,"PASS")=8),"PASS","FAIL")</x:f>
        <x:v>PASS</x:v>
      </x:c>
      <x:c r="F18" s="53"/>
      <x:c r="G18" s="53"/>
      <x:c r="H18" s="53"/>
      <x:c r="I18" s="53"/>
      <x:c r="J18" s="53"/>
    </x:row>
  </x:sheetData>
  <x:mergeCells>
    <x:mergeCell ref="B3:J3"/>
  </x:mergeCells>
  <x:conditionalFormatting sqref="H7:H14">
    <x:cfRule type="containsText" dxfId="252" priority="1" operator="containsText" text="FAIL"/>
    <x:cfRule type="containsText" dxfId="253" priority="2" operator="containsText" text="BLOCKED"/>
    <x:cfRule type="containsText" dxfId="254" priority="3" operator="containsText" text="HOLD"/>
    <x:cfRule type="containsText" dxfId="255" priority="4" operator="containsText" text="OPEN"/>
    <x:cfRule type="containsText" dxfId="256" priority="5" operator="containsText" text="OUT"/>
    <x:cfRule type="containsText" dxfId="257" priority="6" operator="containsText" text="UNTESTED"/>
    <x:cfRule type="containsText" dxfId="258" priority="7" operator="containsText" text="PASS"/>
    <x:cfRule type="containsText" dxfId="259" priority="8" operator="containsText" text="READY"/>
    <x:cfRule type="containsText" dxfId="260" priority="9" operator="containsText" text="AUTHORIZED"/>
    <x:cfRule type="containsText" dxfId="261" priority="10" operator="containsText" text="PLANNING PASS"/>
    <x:cfRule type="containsText" dxfId="262" priority="11" operator="containsText" text="RELEASED"/>
    <x:cfRule type="containsText" dxfId="263" priority="12" operator="containsText" text="ADMITTED"/>
  </x:conditionalFormatting>
  <x:conditionalFormatting sqref="E18:E18">
    <x:cfRule type="containsText" dxfId="264" priority="13" operator="containsText" text="FAIL"/>
    <x:cfRule type="containsText" dxfId="265" priority="14" operator="containsText" text="BLOCKED"/>
    <x:cfRule type="containsText" dxfId="266" priority="15" operator="containsText" text="HOLD"/>
    <x:cfRule type="containsText" dxfId="267" priority="16" operator="containsText" text="OPEN"/>
    <x:cfRule type="containsText" dxfId="268" priority="17" operator="containsText" text="OUT"/>
    <x:cfRule type="containsText" dxfId="269" priority="18" operator="containsText" text="UNTESTED"/>
    <x:cfRule type="containsText" dxfId="270" priority="19" operator="containsText" text="PASS"/>
    <x:cfRule type="containsText" dxfId="271" priority="20" operator="containsText" text="READY"/>
    <x:cfRule type="containsText" dxfId="272" priority="21" operator="containsText" text="AUTHORIZED"/>
    <x:cfRule type="containsText" dxfId="273" priority="22" operator="containsText" text="PLANNING PASS"/>
    <x:cfRule type="containsText" dxfId="274" priority="23" operator="containsText" text="RELEASED"/>
    <x:cfRule type="containsText" dxfId="275" priority="24" operator="containsText" text="ADMITT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2" hidden="0" customWidth="1"/>
    <x:col min="4" max="4" width="17" hidden="0" customWidth="1"/>
    <x:col min="5" max="5" width="59" hidden="0" customWidth="1"/>
    <x:col min="6" max="6" width="16" hidden="0" customWidth="1"/>
  </x:cols>
  <x:sheetData>
    <x:row r="2">
      <x:c r="B2" s="1" t="str">
        <x:v>USD 4.480B range-complex capital</x:v>
      </x:c>
      <x:c r="C2" s="53"/>
      <x:c r="D2" s="53"/>
      <x:c r="E2" s="53"/>
      <x:c r="F2" s="53"/>
      <x:c r="G2" s="53"/>
      <x:c r="H2" s="53"/>
    </x:row>
    <x:row r="3">
      <x:c r="B3" s="2" t="str">
        <x:v>Cross-classified inside Pass 101 and inclusive of Pass 102/103 infrastructure.</x:v>
      </x:c>
      <x:c r="C3" s="53"/>
      <x:c r="D3" s="53"/>
      <x:c r="E3" s="53"/>
      <x:c r="F3" s="53"/>
      <x:c r="G3" s="53"/>
      <x:c r="H3" s="53"/>
    </x:row>
    <x:row r="4">
      <x:c r="B4" s="55"/>
      <x:c r="C4" s="55"/>
      <x:c r="D4" s="55"/>
      <x:c r="E4" s="55"/>
      <x:c r="F4" s="55"/>
      <x:c r="G4" s="55"/>
      <x:c r="H4" s="55"/>
    </x:row>
    <x:row r="5">
      <x:c r="B5" s="53"/>
      <x:c r="C5" s="53"/>
      <x:c r="D5" s="53"/>
      <x:c r="E5" s="53"/>
      <x:c r="F5" s="53"/>
      <x:c r="G5" s="53"/>
      <x:c r="H5" s="53"/>
    </x:row>
    <x:row r="6">
      <x:c r="B6" s="15" t="str">
        <x:v>ID</x:v>
      </x:c>
      <x:c r="C6" s="16" t="str">
        <x:v>Use</x:v>
      </x:c>
      <x:c r="D6" s="16" t="str">
        <x:v>USD B</x:v>
      </x:c>
      <x:c r="E6" s="16" t="str">
        <x:v>Physical object</x:v>
      </x:c>
      <x:c r="F6" s="16" t="str">
        <x:v>State</x:v>
      </x:c>
      <x:c r="G6" s="53"/>
      <x:c r="H6" s="53"/>
    </x:row>
    <x:row r="7" ht="40" customHeight="1">
      <x:c r="B7" s="64" t="str">
        <x:v>CAP01</x:v>
      </x:c>
      <x:c r="C7" s="65" t="str">
        <x:v>six closure bays</x:v>
      </x:c>
      <x:c r="D7" s="79" t="n">
        <x:v>0.78</x:v>
      </x:c>
      <x:c r="E7" s="65" t="str">
        <x:v>full-bore stations and maintenance positions</x:v>
      </x:c>
      <x:c r="F7" s="67" t="str">
        <x:v>DESIGN</x:v>
      </x:c>
      <x:c r="G7" s="53"/>
      <x:c r="H7" s="53"/>
    </x:row>
    <x:row r="8" ht="40" customHeight="1">
      <x:c r="B8" s="64" t="str">
        <x:v>CAP02</x:v>
      </x:c>
      <x:c r="C8" s="65" t="str">
        <x:v>six damage cells</x:v>
      </x:c>
      <x:c r="D8" s="79" t="n">
        <x:v>1.44</x:v>
      </x:c>
      <x:c r="E8" s="65" t="str">
        <x:v>120 m cells, cassettes, containment and injury systems</x:v>
      </x:c>
      <x:c r="F8" s="67" t="str">
        <x:v>DESIGN</x:v>
      </x:c>
      <x:c r="G8" s="53"/>
      <x:c r="H8" s="53"/>
    </x:row>
    <x:row r="9" ht="40" customHeight="1">
      <x:c r="B9" s="64" t="str">
        <x:v>CAP03</x:v>
      </x:c>
      <x:c r="C9" s="65" t="str">
        <x:v>campus hydraulic and utility islands</x:v>
      </x:c>
      <x:c r="D9" s="79" t="n">
        <x:v>0.54</x:v>
      </x:c>
      <x:c r="E9" s="65" t="str">
        <x:v>source, receiver, power, water, waste and black start</x:v>
      </x:c>
      <x:c r="F9" s="67" t="str">
        <x:v>DESIGN</x:v>
      </x:c>
      <x:c r="G9" s="53"/>
      <x:c r="H9" s="53"/>
    </x:row>
    <x:row r="10" ht="40" customHeight="1">
      <x:c r="B10" s="64" t="str">
        <x:v>CAP04</x:v>
      </x:c>
      <x:c r="C10" s="65" t="str">
        <x:v>six sanitary laboratories</x:v>
      </x:c>
      <x:c r="D10" s="79" t="n">
        <x:v>0.3</x:v>
      </x:c>
      <x:c r="E10" s="65" t="str">
        <x:v>primary, split, control and mobile capacity</x:v>
      </x:c>
      <x:c r="F10" s="67" t="str">
        <x:v>DESIGN</x:v>
      </x:c>
      <x:c r="G10" s="53"/>
      <x:c r="H10" s="53"/>
    </x:row>
    <x:row r="11" ht="40" customHeight="1">
      <x:c r="B11" s="64" t="str">
        <x:v>CAP05</x:v>
      </x:c>
      <x:c r="C11" s="65" t="str">
        <x:v>three forensic lines</x:v>
      </x:c>
      <x:c r="D11" s="79" t="n">
        <x:v>0.27</x:v>
      </x:c>
      <x:c r="E11" s="65" t="str">
        <x:v>scanning, sectioning, microscopy and custody</x:v>
      </x:c>
      <x:c r="F11" s="67" t="str">
        <x:v>DESIGN</x:v>
      </x:c>
      <x:c r="G11" s="53"/>
      <x:c r="H11" s="53"/>
    </x:row>
    <x:row r="12" ht="40" customHeight="1">
      <x:c r="B12" s="64" t="str">
        <x:v>CAP06</x:v>
      </x:c>
      <x:c r="C12" s="65" t="str">
        <x:v>metrology estate</x:v>
      </x:c>
      <x:c r="D12" s="79" t="n">
        <x:v>0.21</x:v>
      </x:c>
      <x:c r="E12" s="65" t="str">
        <x:v>six detachments and primary comparisons</x:v>
      </x:c>
      <x:c r="F12" s="67" t="str">
        <x:v>DESIGN</x:v>
      </x:c>
      <x:c r="G12" s="53"/>
      <x:c r="H12" s="53"/>
    </x:row>
    <x:row r="13" ht="40" customHeight="1">
      <x:c r="B13" s="64" t="str">
        <x:v>CAP07</x:v>
      </x:c>
      <x:c r="C13" s="65" t="str">
        <x:v>evidence and replay estate</x:v>
      </x:c>
      <x:c r="D13" s="79" t="n">
        <x:v>0.15</x:v>
      </x:c>
      <x:c r="E13" s="65" t="str">
        <x:v>six replay cells, clocks and stores</x:v>
      </x:c>
      <x:c r="F13" s="67" t="str">
        <x:v>DESIGN</x:v>
      </x:c>
      <x:c r="G13" s="53"/>
      <x:c r="H13" s="53"/>
    </x:row>
    <x:row r="14" ht="40" customHeight="1">
      <x:c r="B14" s="64" t="str">
        <x:v>CAP08</x:v>
      </x:c>
      <x:c r="C14" s="65" t="str">
        <x:v>three blind/configuration shops</x:v>
      </x:c>
      <x:c r="D14" s="79" t="n">
        <x:v>0.09</x:v>
      </x:c>
      <x:c r="E14" s="65" t="str">
        <x:v>truth manufacture, vaults and controls</x:v>
      </x:c>
      <x:c r="F14" s="67" t="str">
        <x:v>DESIGN</x:v>
      </x:c>
      <x:c r="G14" s="53"/>
      <x:c r="H14" s="53"/>
    </x:row>
    <x:row r="15" ht="40" customHeight="1">
      <x:c r="B15" s="64" t="str">
        <x:v>CAP09</x:v>
      </x:c>
      <x:c r="C15" s="65" t="str">
        <x:v>site separation and custody</x:v>
      </x:c>
      <x:c r="D15" s="79" t="n">
        <x:v>0.24</x:v>
      </x:c>
      <x:c r="E15" s="65" t="str">
        <x:v>transport, storage, security and networks</x:v>
      </x:c>
      <x:c r="F15" s="67" t="str">
        <x:v>DESIGN</x:v>
      </x:c>
      <x:c r="G15" s="53"/>
      <x:c r="H15" s="53"/>
    </x:row>
    <x:row r="16" ht="40" customHeight="1">
      <x:c r="B16" s="64" t="str">
        <x:v>CAP10</x:v>
      </x:c>
      <x:c r="C16" s="65" t="str">
        <x:v>reset stock and modular reserve</x:v>
      </x:c>
      <x:c r="D16" s="79" t="n">
        <x:v>0.25</x:v>
      </x:c>
      <x:c r="E16" s="65" t="str">
        <x:v>adapters, packs, cassettes and modules</x:v>
      </x:c>
      <x:c r="F16" s="67" t="str">
        <x:v>DESIGN</x:v>
      </x:c>
      <x:c r="G16" s="53"/>
      <x:c r="H16" s="53"/>
    </x:row>
    <x:row r="17" ht="40" customHeight="1">
      <x:c r="B17" s="69" t="str">
        <x:v>CAP11</x:v>
      </x:c>
      <x:c r="C17" s="70" t="str">
        <x:v>controlled program reserve</x:v>
      </x:c>
      <x:c r="D17" s="80" t="n">
        <x:v>0.21</x:v>
      </x:c>
      <x:c r="E17" s="70" t="str">
        <x:v>uncertainty retirement and replacement</x:v>
      </x:c>
      <x:c r="F17" s="72" t="str">
        <x:v>DESIGN</x:v>
      </x:c>
      <x:c r="G17" s="53"/>
      <x:c r="H17" s="53"/>
    </x:row>
    <x:row r="18">
      <x:c r="B18" s="53"/>
      <x:c r="C18" s="53"/>
      <x:c r="D18" s="53"/>
      <x:c r="E18" s="53"/>
      <x:c r="F18" s="53"/>
      <x:c r="G18" s="53"/>
      <x:c r="H18" s="53"/>
    </x:row>
    <x:row r="19">
      <x:c r="B19" s="53"/>
      <x:c r="C19" s="53"/>
      <x:c r="D19" s="53"/>
      <x:c r="E19" s="53"/>
      <x:c r="F19" s="53"/>
      <x:c r="G19" s="53"/>
      <x:c r="H19" s="53"/>
    </x:row>
    <x:row r="20">
      <x:c r="B20" s="53" t="str">
        <x:v>TOTAL</x:v>
      </x:c>
      <x:c r="C20" s="53" t="str">
        <x:v>Range-complex capital</x:v>
      </x:c>
      <x:c r="D20" s="60" t="n">
        <x:f>SUM(D7:D17)</x:f>
        <x:v>4.4799999999999995</x:v>
      </x:c>
      <x:c r="E20" s="53"/>
      <x:c r="F20" s="53"/>
      <x:c r="G20" s="53"/>
      <x:c r="H20" s="53"/>
    </x:row>
    <x:row r="21">
      <x:c r="B21" s="53" t="str">
        <x:v>BOUNDARY</x:v>
      </x:c>
      <x:c r="C21" s="53" t="str">
        <x:v>Pass 101 capital</x:v>
      </x:c>
      <x:c r="D21" s="60" t="n">
        <x:f>'Control Inputs'!D56</x:f>
        <x:v>8.12</x:v>
      </x:c>
      <x:c r="E21" s="53"/>
      <x:c r="F21" s="53"/>
      <x:c r="G21" s="53"/>
      <x:c r="H21" s="53"/>
    </x:row>
    <x:row r="22">
      <x:c r="B22" s="53" t="str">
        <x:v>SHARE</x:v>
      </x:c>
      <x:c r="C22" s="53" t="str">
        <x:v>Range / Pass 101</x:v>
      </x:c>
      <x:c r="D22" s="59" t="n">
        <x:f>D20/D21</x:f>
        <x:v>0.5517241379310345</x:v>
      </x:c>
      <x:c r="E22" s="53" t="str">
        <x:f>IF(AND(ABS(D20-'Control Inputs'!D55)&lt;0.0001,D20&lt;=D21),"PASS","FAIL")</x:f>
        <x:v>PASS</x:v>
      </x:c>
      <x:c r="F22" s="53"/>
      <x:c r="G22" s="53"/>
      <x:c r="H22" s="53"/>
    </x:row>
  </x:sheetData>
  <x:mergeCells>
    <x:mergeCell ref="B3:H3"/>
  </x:mergeCells>
  <x:conditionalFormatting sqref="E22:E22">
    <x:cfRule type="containsText" dxfId="276" priority="1" operator="containsText" text="FAIL"/>
    <x:cfRule type="containsText" dxfId="277" priority="2" operator="containsText" text="BLOCKED"/>
    <x:cfRule type="containsText" dxfId="278" priority="3" operator="containsText" text="HOLD"/>
    <x:cfRule type="containsText" dxfId="279" priority="4" operator="containsText" text="OPEN"/>
    <x:cfRule type="containsText" dxfId="280" priority="5" operator="containsText" text="OUT"/>
    <x:cfRule type="containsText" dxfId="281" priority="6" operator="containsText" text="UNTESTED"/>
    <x:cfRule type="containsText" dxfId="282" priority="7" operator="containsText" text="PASS"/>
    <x:cfRule type="containsText" dxfId="283" priority="8" operator="containsText" text="READY"/>
    <x:cfRule type="containsText" dxfId="284" priority="9" operator="containsText" text="AUTHORIZED"/>
    <x:cfRule type="containsText" dxfId="285" priority="10" operator="containsText" text="PLANNING PASS"/>
    <x:cfRule type="containsText" dxfId="286" priority="11" operator="containsText" text="RELEASED"/>
    <x:cfRule type="containsText" dxfId="287" priority="12" operator="containsText" text="ADMITT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2" hidden="0" customWidth="1"/>
    <x:col min="4" max="4" width="19" hidden="0" customWidth="1"/>
    <x:col min="5" max="5" width="55" hidden="0" customWidth="1"/>
    <x:col min="6" max="6" width="16" hidden="0" customWidth="1"/>
  </x:cols>
  <x:sheetData>
    <x:row r="2">
      <x:c r="B2" s="1" t="str">
        <x:v>USD 0.398B annual range support</x:v>
      </x:c>
      <x:c r="C2" s="53"/>
      <x:c r="D2" s="53"/>
      <x:c r="E2" s="53"/>
      <x:c r="F2" s="53"/>
      <x:c r="G2" s="53"/>
      <x:c r="H2" s="53"/>
    </x:row>
    <x:row r="3">
      <x:c r="B3" s="2" t="str">
        <x:v>Standing workforce and regeneration consume most of the inherited annual boundary.</x:v>
      </x:c>
      <x:c r="C3" s="53"/>
      <x:c r="D3" s="53"/>
      <x:c r="E3" s="53"/>
      <x:c r="F3" s="53"/>
      <x:c r="G3" s="53"/>
      <x:c r="H3" s="53"/>
    </x:row>
    <x:row r="4">
      <x:c r="B4" s="55"/>
      <x:c r="C4" s="55"/>
      <x:c r="D4" s="55"/>
      <x:c r="E4" s="55"/>
      <x:c r="F4" s="55"/>
      <x:c r="G4" s="55"/>
      <x:c r="H4" s="55"/>
    </x:row>
    <x:row r="5">
      <x:c r="B5" s="53"/>
      <x:c r="C5" s="53"/>
      <x:c r="D5" s="53"/>
      <x:c r="E5" s="53"/>
      <x:c r="F5" s="53"/>
      <x:c r="G5" s="53"/>
      <x:c r="H5" s="53"/>
    </x:row>
    <x:row r="6">
      <x:c r="B6" s="15" t="str">
        <x:v>ID</x:v>
      </x:c>
      <x:c r="C6" s="16" t="str">
        <x:v>Use</x:v>
      </x:c>
      <x:c r="D6" s="16" t="str">
        <x:v>USD B/year</x:v>
      </x:c>
      <x:c r="E6" s="16" t="str">
        <x:v>Persistent service</x:v>
      </x:c>
      <x:c r="F6" s="16" t="str">
        <x:v>State</x:v>
      </x:c>
      <x:c r="G6" s="53"/>
      <x:c r="H6" s="53"/>
    </x:row>
    <x:row r="7" ht="40" customHeight="1">
      <x:c r="B7" s="64" t="str">
        <x:v>ANN01</x:v>
      </x:c>
      <x:c r="C7" s="65" t="str">
        <x:v>public workforce and training</x:v>
      </x:c>
      <x:c r="D7" s="79" t="n">
        <x:v>0.14</x:v>
      </x:c>
      <x:c r="E7" s="65" t="str">
        <x:v>1,230 direct personnel</x:v>
      </x:c>
      <x:c r="F7" s="67" t="str">
        <x:v>DESIGN</x:v>
      </x:c>
      <x:c r="G7" s="53"/>
      <x:c r="H7" s="53"/>
    </x:row>
    <x:row r="8" ht="40" customHeight="1">
      <x:c r="B8" s="64" t="str">
        <x:v>ANN02</x:v>
      </x:c>
      <x:c r="C8" s="65" t="str">
        <x:v>utilities, water and waste</x:v>
      </x:c>
      <x:c r="D8" s="79" t="n">
        <x:v>0.06</x:v>
      </x:c>
      <x:c r="E8" s="65" t="str">
        <x:v>isolated operation and disposition</x:v>
      </x:c>
      <x:c r="F8" s="67" t="str">
        <x:v>DESIGN</x:v>
      </x:c>
      <x:c r="G8" s="53"/>
      <x:c r="H8" s="53"/>
    </x:row>
    <x:row r="9" ht="40" customHeight="1">
      <x:c r="B9" s="64" t="str">
        <x:v>ANN03</x:v>
      </x:c>
      <x:c r="C9" s="65" t="str">
        <x:v>maintenance and reset</x:v>
      </x:c>
      <x:c r="D9" s="79" t="n">
        <x:v>0.065</x:v>
      </x:c>
      <x:c r="E9" s="65" t="str">
        <x:v>known-state work and modular repair</x:v>
      </x:c>
      <x:c r="F9" s="67" t="str">
        <x:v>DESIGN</x:v>
      </x:c>
      <x:c r="G9" s="53"/>
      <x:c r="H9" s="53"/>
    </x:row>
    <x:row r="10" ht="40" customHeight="1">
      <x:c r="B10" s="64" t="str">
        <x:v>ANN04</x:v>
      </x:c>
      <x:c r="C10" s="65" t="str">
        <x:v>metrology and reference renewal</x:v>
      </x:c>
      <x:c r="D10" s="79" t="n">
        <x:v>0.03</x:v>
      </x:c>
      <x:c r="E10" s="65" t="str">
        <x:v>traveling transfer and artifacts</x:v>
      </x:c>
      <x:c r="F10" s="67" t="str">
        <x:v>DESIGN</x:v>
      </x:c>
      <x:c r="G10" s="53"/>
      <x:c r="H10" s="53"/>
    </x:row>
    <x:row r="11" ht="40" customHeight="1">
      <x:c r="B11" s="64" t="str">
        <x:v>ANN05</x:v>
      </x:c>
      <x:c r="C11" s="65" t="str">
        <x:v>sanitary laboratories</x:v>
      </x:c>
      <x:c r="D11" s="79" t="n">
        <x:v>0.028</x:v>
      </x:c>
      <x:c r="E11" s="65" t="str">
        <x:v>assays, blanks, splits and challenge lots</x:v>
      </x:c>
      <x:c r="F11" s="67" t="str">
        <x:v>DESIGN</x:v>
      </x:c>
      <x:c r="G11" s="53"/>
      <x:c r="H11" s="53"/>
    </x:row>
    <x:row r="12" ht="40" customHeight="1">
      <x:c r="B12" s="64" t="str">
        <x:v>ANN06</x:v>
      </x:c>
      <x:c r="C12" s="65" t="str">
        <x:v>forensic operations</x:v>
      </x:c>
      <x:c r="D12" s="79" t="n">
        <x:v>0.02</x:v>
      </x:c>
      <x:c r="E12" s="65" t="str">
        <x:v>scanning, sectioning and causal packages</x:v>
      </x:c>
      <x:c r="F12" s="67" t="str">
        <x:v>DESIGN</x:v>
      </x:c>
      <x:c r="G12" s="53"/>
      <x:c r="H12" s="53"/>
    </x:row>
    <x:row r="13" ht="40" customHeight="1">
      <x:c r="B13" s="64" t="str">
        <x:v>ANN07</x:v>
      </x:c>
      <x:c r="C13" s="65" t="str">
        <x:v>evidence, time and cyber</x:v>
      </x:c>
      <x:c r="D13" s="79" t="n">
        <x:v>0.018</x:v>
      </x:c>
      <x:c r="E13" s="65" t="str">
        <x:v>originals, replay, clocks and signing</x:v>
      </x:c>
      <x:c r="F13" s="67" t="str">
        <x:v>DESIGN</x:v>
      </x:c>
      <x:c r="G13" s="53"/>
      <x:c r="H13" s="53"/>
    </x:row>
    <x:row r="14" ht="40" customHeight="1">
      <x:c r="B14" s="64" t="str">
        <x:v>ANN08</x:v>
      </x:c>
      <x:c r="C14" s="65" t="str">
        <x:v>blind truth and custody</x:v>
      </x:c>
      <x:c r="D14" s="79" t="n">
        <x:v>0.012</x:v>
      </x:c>
      <x:c r="E14" s="65" t="str">
        <x:v>sealed manufacture and vaults</x:v>
      </x:c>
      <x:c r="F14" s="67" t="str">
        <x:v>DESIGN</x:v>
      </x:c>
      <x:c r="G14" s="53"/>
      <x:c r="H14" s="53"/>
    </x:row>
    <x:row r="15" ht="40" customHeight="1">
      <x:c r="B15" s="64" t="str">
        <x:v>ANN09</x:v>
      </x:c>
      <x:c r="C15" s="65" t="str">
        <x:v>campus transport and protection</x:v>
      </x:c>
      <x:c r="D15" s="79" t="n">
        <x:v>0.015</x:v>
      </x:c>
      <x:c r="E15" s="65" t="str">
        <x:v>heavy routes and cross-campus movement</x:v>
      </x:c>
      <x:c r="F15" s="67" t="str">
        <x:v>DESIGN</x:v>
      </x:c>
      <x:c r="G15" s="53"/>
      <x:c r="H15" s="53"/>
    </x:row>
    <x:row r="16" ht="40" customHeight="1">
      <x:c r="B16" s="69" t="str">
        <x:v>ANN10</x:v>
      </x:c>
      <x:c r="C16" s="70" t="str">
        <x:v>readiness and exercise reserve</x:v>
      </x:c>
      <x:c r="D16" s="80" t="n">
        <x:v>0.01</x:v>
      </x:c>
      <x:c r="E16" s="70" t="str">
        <x:v>loss rehearsals and surge activation</x:v>
      </x:c>
      <x:c r="F16" s="72" t="str">
        <x:v>DESIGN</x:v>
      </x:c>
      <x:c r="G16" s="53"/>
      <x:c r="H16" s="53"/>
    </x:row>
    <x:row r="17">
      <x:c r="B17" s="53"/>
      <x:c r="C17" s="53"/>
      <x:c r="D17" s="53"/>
      <x:c r="E17" s="53"/>
      <x:c r="F17" s="53"/>
      <x:c r="G17" s="53"/>
      <x:c r="H17" s="53"/>
    </x:row>
    <x:row r="18">
      <x:c r="B18" s="53"/>
      <x:c r="C18" s="53"/>
      <x:c r="D18" s="53"/>
      <x:c r="E18" s="53"/>
      <x:c r="F18" s="53"/>
      <x:c r="G18" s="53"/>
      <x:c r="H18" s="53"/>
    </x:row>
    <x:row r="19">
      <x:c r="B19" s="53" t="str">
        <x:v>TOTAL</x:v>
      </x:c>
      <x:c r="C19" s="53" t="str">
        <x:v>Range annual support</x:v>
      </x:c>
      <x:c r="D19" s="60" t="n">
        <x:f>SUM(D7:D16)</x:f>
        <x:v>0.39800000000000013</x:v>
      </x:c>
      <x:c r="E19" s="53"/>
      <x:c r="F19" s="53"/>
      <x:c r="G19" s="53"/>
      <x:c r="H19" s="53"/>
    </x:row>
    <x:row r="20">
      <x:c r="B20" s="53" t="str">
        <x:v>BOUNDARY</x:v>
      </x:c>
      <x:c r="C20" s="53" t="str">
        <x:v>Pass 101 annual support</x:v>
      </x:c>
      <x:c r="D20" s="60" t="n">
        <x:f>'Control Inputs'!D58</x:f>
        <x:v>0.446</x:v>
      </x:c>
      <x:c r="E20" s="53"/>
      <x:c r="F20" s="53"/>
      <x:c r="G20" s="53"/>
      <x:c r="H20" s="53"/>
    </x:row>
    <x:row r="21">
      <x:c r="B21" s="53" t="str">
        <x:v>SHARE</x:v>
      </x:c>
      <x:c r="C21" s="53" t="str">
        <x:v>Range / Pass 101</x:v>
      </x:c>
      <x:c r="D21" s="59" t="n">
        <x:f>D19/D20</x:f>
        <x:v>0.89237668161435</x:v>
      </x:c>
      <x:c r="E21" s="53" t="str">
        <x:f>IF(AND(ABS(D19-'Control Inputs'!D57)&lt;0.0001,D19&lt;=D20),"PASS","FAIL")</x:f>
        <x:v>PASS</x:v>
      </x:c>
      <x:c r="F21" s="53"/>
      <x:c r="G21" s="53"/>
      <x:c r="H21" s="53"/>
    </x:row>
  </x:sheetData>
  <x:mergeCells>
    <x:mergeCell ref="B3:H3"/>
  </x:mergeCells>
  <x:conditionalFormatting sqref="E21:E21">
    <x:cfRule type="containsText" dxfId="288" priority="1" operator="containsText" text="FAIL"/>
    <x:cfRule type="containsText" dxfId="289" priority="2" operator="containsText" text="BLOCKED"/>
    <x:cfRule type="containsText" dxfId="290" priority="3" operator="containsText" text="HOLD"/>
    <x:cfRule type="containsText" dxfId="291" priority="4" operator="containsText" text="OPEN"/>
    <x:cfRule type="containsText" dxfId="292" priority="5" operator="containsText" text="OUT"/>
    <x:cfRule type="containsText" dxfId="293" priority="6" operator="containsText" text="UNTESTED"/>
    <x:cfRule type="containsText" dxfId="294" priority="7" operator="containsText" text="PASS"/>
    <x:cfRule type="containsText" dxfId="295" priority="8" operator="containsText" text="READY"/>
    <x:cfRule type="containsText" dxfId="296" priority="9" operator="containsText" text="AUTHORIZED"/>
    <x:cfRule type="containsText" dxfId="297" priority="10" operator="containsText" text="PLANNING PASS"/>
    <x:cfRule type="containsText" dxfId="298" priority="11" operator="containsText" text="RELEASED"/>
    <x:cfRule type="containsText" dxfId="299" priority="12" operator="containsText" text="ADMITT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7" hidden="0" customWidth="1"/>
    <x:col min="4" max="4" width="67" hidden="0" customWidth="1"/>
    <x:col min="5" max="5" width="26" hidden="0" customWidth="1"/>
    <x:col min="6" max="6" width="16" hidden="0" customWidth="1"/>
  </x:cols>
  <x:sheetData>
    <x:row r="2">
      <x:c r="B2" s="1" t="str">
        <x:v>Subsystem-level independence and loss rehearsals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2" t="str">
        <x:v>Co-located duplicates or shared decisive services do not count as resilient capacity.</x:v>
      </x:c>
      <x:c r="C3" s="53"/>
      <x:c r="D3" s="53"/>
      <x:c r="E3" s="53"/>
      <x:c r="F3" s="53"/>
      <x:c r="G3" s="53"/>
      <x:c r="H3" s="53"/>
      <x:c r="I3" s="53"/>
      <x:c r="J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15" t="str">
        <x:v>ID</x:v>
      </x:c>
      <x:c r="C6" s="16" t="str">
        <x:v>Family</x:v>
      </x:c>
      <x:c r="D6" s="16" t="str">
        <x:v>Required separation</x:v>
      </x:c>
      <x:c r="E6" s="16" t="str">
        <x:v>Rehearsal</x:v>
      </x:c>
      <x:c r="F6" s="16" t="str">
        <x:v>Planning state</x:v>
      </x:c>
      <x:c r="G6" s="53"/>
      <x:c r="H6" s="53"/>
      <x:c r="I6" s="53"/>
      <x:c r="J6" s="53"/>
    </x:row>
    <x:row r="7" ht="43" customHeight="1">
      <x:c r="B7" s="64" t="str">
        <x:v>CC01</x:v>
      </x:c>
      <x:c r="C7" s="65" t="str">
        <x:v>electric power</x:v>
      </x:c>
      <x:c r="D7" s="65" t="str">
        <x:v>unlike grid regions; local grid-forming islands; non-electric safe stop</x:v>
      </x:c>
      <x:c r="E7" s="65" t="str">
        <x:v>campus loss</x:v>
      </x:c>
      <x:c r="F7" s="67" t="str">
        <x:v>PASS</x:v>
      </x:c>
      <x:c r="G7" s="53"/>
      <x:c r="H7" s="53"/>
      <x:c r="I7" s="53"/>
      <x:c r="J7" s="53"/>
    </x:row>
    <x:row r="8" ht="43" customHeight="1">
      <x:c r="B8" s="64" t="str">
        <x:v>CC02</x:v>
      </x:c>
      <x:c r="C8" s="65" t="str">
        <x:v>source/receiver water</x:v>
      </x:c>
      <x:c r="D8" s="65" t="str">
        <x:v>separate sources, treatment, buffers and quarantine</x:v>
      </x:c>
      <x:c r="E8" s="65" t="str">
        <x:v>water-system loss</x:v>
      </x:c>
      <x:c r="F8" s="67" t="str">
        <x:v>PASS</x:v>
      </x:c>
      <x:c r="G8" s="53"/>
      <x:c r="H8" s="53"/>
      <x:c r="I8" s="53"/>
      <x:c r="J8" s="53"/>
    </x:row>
    <x:row r="9" ht="43" customHeight="1">
      <x:c r="B9" s="64" t="str">
        <x:v>CC03</x:v>
      </x:c>
      <x:c r="C9" s="65" t="str">
        <x:v>controls</x:v>
      </x:c>
      <x:c r="D9" s="65" t="str">
        <x:v>two implementation roots and independently buildable baselines</x:v>
      </x:c>
      <x:c r="E9" s="65" t="str">
        <x:v>software fleet fault</x:v>
      </x:c>
      <x:c r="F9" s="67" t="str">
        <x:v>PASS</x:v>
      </x:c>
      <x:c r="G9" s="53"/>
      <x:c r="H9" s="53"/>
      <x:c r="I9" s="53"/>
      <x:c r="J9" s="53"/>
    </x:row>
    <x:row r="10" ht="43" customHeight="1">
      <x:c r="B10" s="64" t="str">
        <x:v>CC04</x:v>
      </x:c>
      <x:c r="C10" s="65" t="str">
        <x:v>time</x:v>
      </x:c>
      <x:c r="D10" s="65" t="str">
        <x:v>local holdover and separate witness sources</x:v>
      </x:c>
      <x:c r="E10" s="65" t="str">
        <x:v>network/time loss</x:v>
      </x:c>
      <x:c r="F10" s="67" t="str">
        <x:v>PASS</x:v>
      </x:c>
      <x:c r="G10" s="53"/>
      <x:c r="H10" s="53"/>
      <x:c r="I10" s="53"/>
      <x:c r="J10" s="53"/>
    </x:row>
    <x:row r="11" ht="43" customHeight="1">
      <x:c r="B11" s="64" t="str">
        <x:v>CC05</x:v>
      </x:c>
      <x:c r="C11" s="65" t="str">
        <x:v>evidence</x:v>
      </x:c>
      <x:c r="D11" s="65" t="str">
        <x:v>two original authorities and local stores</x:v>
      </x:c>
      <x:c r="E11" s="65" t="str">
        <x:v>network/store loss</x:v>
      </x:c>
      <x:c r="F11" s="67" t="str">
        <x:v>PASS</x:v>
      </x:c>
      <x:c r="G11" s="53"/>
      <x:c r="H11" s="53"/>
      <x:c r="I11" s="53"/>
      <x:c r="J11" s="53"/>
    </x:row>
    <x:row r="12" ht="43" customHeight="1">
      <x:c r="B12" s="64" t="str">
        <x:v>CC06</x:v>
      </x:c>
      <x:c r="C12" s="65" t="str">
        <x:v>lifting/access</x:v>
      </x:c>
      <x:c r="D12" s="65" t="str">
        <x:v>campus-owned cranes and alternate recovery</x:v>
      </x:c>
      <x:c r="E12" s="65" t="str">
        <x:v>fleet grounding</x:v>
      </x:c>
      <x:c r="F12" s="67" t="str">
        <x:v>PASS</x:v>
      </x:c>
      <x:c r="G12" s="53"/>
      <x:c r="H12" s="53"/>
      <x:c r="I12" s="53"/>
      <x:c r="J12" s="53"/>
    </x:row>
    <x:row r="13" ht="43" customHeight="1">
      <x:c r="B13" s="64" t="str">
        <x:v>CC07</x:v>
      </x:c>
      <x:c r="C13" s="65" t="str">
        <x:v>sanitary assay</x:v>
      </x:c>
      <x:c r="D13" s="65" t="str">
        <x:v>unlike reagent lots, methods and split laboratories</x:v>
      </x:c>
      <x:c r="E13" s="65" t="str">
        <x:v>reagent invalidation</x:v>
      </x:c>
      <x:c r="F13" s="67" t="str">
        <x:v>PASS</x:v>
      </x:c>
      <x:c r="G13" s="53"/>
      <x:c r="H13" s="53"/>
      <x:c r="I13" s="53"/>
      <x:c r="J13" s="53"/>
    </x:row>
    <x:row r="14" ht="43" customHeight="1">
      <x:c r="B14" s="64" t="str">
        <x:v>CC08</x:v>
      </x:c>
      <x:c r="C14" s="65" t="str">
        <x:v>waste/discharge</x:v>
      </x:c>
      <x:c r="D14" s="65" t="str">
        <x:v>local holding and multiple disposition routes</x:v>
      </x:c>
      <x:c r="E14" s="65" t="str">
        <x:v>permit/route closure</x:v>
      </x:c>
      <x:c r="F14" s="67" t="str">
        <x:v>PASS</x:v>
      </x:c>
      <x:c r="G14" s="53"/>
      <x:c r="H14" s="53"/>
      <x:c r="I14" s="53"/>
      <x:c r="J14" s="53"/>
    </x:row>
    <x:row r="15" ht="43" customHeight="1">
      <x:c r="B15" s="64" t="str">
        <x:v>CC09</x:v>
      </x:c>
      <x:c r="C15" s="65" t="str">
        <x:v>workforce</x:v>
      </x:c>
      <x:c r="D15" s="65" t="str">
        <x:v>separate shift pools and protected reserve</x:v>
      </x:c>
      <x:c r="E15" s="65" t="str">
        <x:v>quarantine</x:v>
      </x:c>
      <x:c r="F15" s="67" t="str">
        <x:v>PASS</x:v>
      </x:c>
      <x:c r="G15" s="53"/>
      <x:c r="H15" s="53"/>
      <x:c r="I15" s="53"/>
      <x:c r="J15" s="53"/>
    </x:row>
    <x:row r="16" ht="43" customHeight="1">
      <x:c r="B16" s="64" t="str">
        <x:v>CC10</x:v>
      </x:c>
      <x:c r="C16" s="65" t="str">
        <x:v>transport</x:v>
      </x:c>
      <x:c r="D16" s="65" t="str">
        <x:v>multiple heavy routes and resident reset stock</x:v>
      </x:c>
      <x:c r="E16" s="65" t="str">
        <x:v>corridor loss</x:v>
      </x:c>
      <x:c r="F16" s="67" t="str">
        <x:v>PASS</x:v>
      </x:c>
      <x:c r="G16" s="53"/>
      <x:c r="H16" s="53"/>
      <x:c r="I16" s="53"/>
      <x:c r="J16" s="53"/>
    </x:row>
    <x:row r="17" ht="43" customHeight="1">
      <x:c r="B17" s="64" t="str">
        <x:v>CC11</x:v>
      </x:c>
      <x:c r="C17" s="65" t="str">
        <x:v>cyber/signing</x:v>
      </x:c>
      <x:c r="D17" s="65" t="str">
        <x:v>separate trust roots and local revocable credentials</x:v>
      </x:c>
      <x:c r="E17" s="65" t="str">
        <x:v>trust-root revocation</x:v>
      </x:c>
      <x:c r="F17" s="67" t="str">
        <x:v>PASS</x:v>
      </x:c>
      <x:c r="G17" s="53"/>
      <x:c r="H17" s="53"/>
      <x:c r="I17" s="53"/>
      <x:c r="J17" s="53"/>
    </x:row>
    <x:row r="18" ht="43" customHeight="1">
      <x:c r="B18" s="69" t="str">
        <x:v>CC12</x:v>
      </x:c>
      <x:c r="C18" s="70" t="str">
        <x:v>weather/hazard</x:v>
      </x:c>
      <x:c r="D18" s="70" t="str">
        <x:v>geographic separation from one declared regional event</x:v>
      </x:c>
      <x:c r="E18" s="70" t="str">
        <x:v>regional denial</x:v>
      </x:c>
      <x:c r="F18" s="72" t="str">
        <x:v>PASS</x:v>
      </x:c>
      <x:c r="G18" s="53"/>
      <x:c r="H18" s="53"/>
      <x:c r="I18" s="53"/>
      <x:c r="J18" s="53"/>
    </x:row>
    <x:row r="19">
      <x:c r="B19" s="53"/>
      <x:c r="C19" s="53"/>
      <x:c r="D19" s="53"/>
      <x:c r="E19" s="53"/>
      <x:c r="F19" s="53"/>
      <x:c r="G19" s="53"/>
      <x:c r="H19" s="53"/>
      <x:c r="I19" s="53"/>
      <x:c r="J19" s="53"/>
    </x:row>
    <x:row r="20">
      <x:c r="B20" s="53"/>
      <x:c r="C20" s="53"/>
      <x:c r="D20" s="53"/>
      <x:c r="E20" s="53"/>
      <x:c r="F20" s="53"/>
      <x:c r="G20" s="53"/>
      <x:c r="H20" s="53"/>
      <x:c r="I20" s="53"/>
      <x:c r="J20" s="53"/>
    </x:row>
    <x:row r="21">
      <x:c r="B21" s="53"/>
      <x:c r="C21" s="53"/>
      <x:c r="D21" s="53"/>
      <x:c r="E21" s="53"/>
      <x:c r="F21" s="53"/>
      <x:c r="G21" s="53"/>
      <x:c r="H21" s="53"/>
      <x:c r="I21" s="53"/>
      <x:c r="J21" s="53"/>
    </x:row>
    <x:row r="22">
      <x:c r="B22" s="56" t="str">
        <x:v>Required rehearsal outputs</x:v>
      </x:c>
      <x:c r="C22" s="57" t="str">
        <x:v>Required rehearsal outputs</x:v>
      </x:c>
      <x:c r="D22" s="57" t="str">
        <x:v>Required rehearsal outputs</x:v>
      </x:c>
      <x:c r="E22" s="57" t="str">
        <x:v>Required rehearsal outputs</x:v>
      </x:c>
      <x:c r="F22" s="58" t="str">
        <x:v>Required rehearsal outputs</x:v>
      </x:c>
      <x:c r="G22" s="53"/>
      <x:c r="H22" s="53"/>
      <x:c r="I22" s="53"/>
      <x:c r="J22" s="53"/>
    </x:row>
    <x:row r="23" ht="38" customHeight="1">
      <x:c r="B23" s="53" t="str">
        <x:v>safe state</x:v>
      </x:c>
      <x:c r="C23" s="61" t="str">
        <x:v>active events stop without hidden assistance</x:v>
      </x:c>
      <x:c r="D23" s="61"/>
      <x:c r="E23" s="61"/>
      <x:c r="F23" s="61"/>
      <x:c r="G23" s="53"/>
      <x:c r="H23" s="53"/>
      <x:c r="I23" s="53"/>
      <x:c r="J23" s="53"/>
    </x:row>
    <x:row r="24" ht="38" customHeight="1">
      <x:c r="B24" s="53" t="str">
        <x:v>evidence</x:v>
      </x:c>
      <x:c r="C24" s="61" t="str">
        <x:v>two originals and clock order survive</x:v>
      </x:c>
      <x:c r="D24" s="61"/>
      <x:c r="E24" s="61"/>
      <x:c r="F24" s="61"/>
      <x:c r="G24" s="53"/>
      <x:c r="H24" s="53"/>
      <x:c r="I24" s="53"/>
      <x:c r="J24" s="53"/>
    </x:row>
    <x:row r="25" ht="38" customHeight="1">
      <x:c r="B25" s="53" t="str">
        <x:v>truth</x:v>
      </x:c>
      <x:c r="C25" s="61" t="str">
        <x:v>blind state and custody remain protected</x:v>
      </x:c>
      <x:c r="D25" s="61"/>
      <x:c r="E25" s="61"/>
      <x:c r="F25" s="61"/>
      <x:c r="G25" s="53"/>
      <x:c r="H25" s="53"/>
      <x:c r="I25" s="53"/>
      <x:c r="J25" s="53"/>
    </x:row>
    <x:row r="26" ht="38" customHeight="1">
      <x:c r="B26" s="53" t="str">
        <x:v>schedule</x:v>
      </x:c>
      <x:c r="C26" s="61" t="str">
        <x:v>residual assets produce a new deadline-compliant plan</x:v>
      </x:c>
      <x:c r="D26" s="61"/>
      <x:c r="E26" s="61"/>
      <x:c r="F26" s="61"/>
      <x:c r="G26" s="53"/>
      <x:c r="H26" s="53"/>
      <x:c r="I26" s="53"/>
      <x:c r="J26" s="53"/>
    </x:row>
    <x:row r="27" ht="38" customHeight="1">
      <x:c r="B27" s="53" t="str">
        <x:v>authority</x:v>
      </x:c>
      <x:c r="C27" s="61" t="str">
        <x:v>no scheduler or campus command awards its own waiver</x:v>
      </x:c>
      <x:c r="D27" s="61"/>
      <x:c r="E27" s="61"/>
      <x:c r="F27" s="61"/>
      <x:c r="G27" s="53"/>
      <x:c r="H27" s="53"/>
      <x:c r="I27" s="53"/>
      <x:c r="J27" s="53"/>
    </x:row>
  </x:sheetData>
  <x:mergeCells>
    <x:mergeCell ref="B3:J3"/>
    <x:mergeCell ref="B22:F22"/>
    <x:mergeCell ref="C23:F23"/>
    <x:mergeCell ref="C24:F24"/>
    <x:mergeCell ref="C25:F25"/>
    <x:mergeCell ref="C26:F26"/>
    <x:mergeCell ref="C27:F27"/>
  </x:mergeCells>
  <x:conditionalFormatting sqref="F7:F18">
    <x:cfRule type="containsText" dxfId="300" priority="1" operator="containsText" text="FAIL"/>
    <x:cfRule type="containsText" dxfId="301" priority="2" operator="containsText" text="BLOCKED"/>
    <x:cfRule type="containsText" dxfId="302" priority="3" operator="containsText" text="HOLD"/>
    <x:cfRule type="containsText" dxfId="303" priority="4" operator="containsText" text="OPEN"/>
    <x:cfRule type="containsText" dxfId="304" priority="5" operator="containsText" text="OUT"/>
    <x:cfRule type="containsText" dxfId="305" priority="6" operator="containsText" text="UNTESTED"/>
    <x:cfRule type="containsText" dxfId="306" priority="7" operator="containsText" text="PASS"/>
    <x:cfRule type="containsText" dxfId="307" priority="8" operator="containsText" text="READY"/>
    <x:cfRule type="containsText" dxfId="308" priority="9" operator="containsText" text="AUTHORIZED"/>
    <x:cfRule type="containsText" dxfId="309" priority="10" operator="containsText" text="PLANNING PASS"/>
    <x:cfRule type="containsText" dxfId="310" priority="11" operator="containsText" text="RELEASED"/>
    <x:cfRule type="containsText" dxfId="311" priority="12" operator="containsText" text="ADMITT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51" hidden="0" customWidth="1"/>
    <x:col min="4" max="4" width="15" hidden="0" customWidth="1"/>
    <x:col min="5" max="5" width="12" hidden="0" customWidth="1"/>
    <x:col min="6" max="6" width="12" hidden="0" customWidth="1"/>
    <x:col min="7" max="7" width="18" hidden="0" customWidth="1"/>
    <x:col min="8" max="8" width="25" hidden="0" customWidth="1"/>
    <x:col min="9" max="9" width="18" hidden="0" customWidth="1"/>
    <x:col min="10" max="10" width="18" hidden="0" customWidth="1"/>
  </x:cols>
  <x:sheetData>
    <x:row r="2">
      <x:c r="B2" s="1" t="str">
        <x:v>Range-complex release ladder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2" t="str">
        <x:v>Capacity arithmetic cannot buy a site, commission a lane, pass a loss rehearsal or admit campaign work.</x:v>
      </x:c>
      <x:c r="C3" s="53"/>
      <x:c r="D3" s="53"/>
      <x:c r="E3" s="53"/>
      <x:c r="F3" s="53"/>
      <x:c r="G3" s="53"/>
      <x:c r="H3" s="53"/>
      <x:c r="I3" s="53"/>
      <x:c r="J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15" t="str">
        <x:v>Gate</x:v>
      </x:c>
      <x:c r="C6" s="16" t="str">
        <x:v>Decision</x:v>
      </x:c>
      <x:c r="D6" s="16" t="str">
        <x:v>Class</x:v>
      </x:c>
      <x:c r="E6" s="16" t="str">
        <x:v>Required</x:v>
      </x:c>
      <x:c r="F6" s="16" t="str">
        <x:v>Observed</x:v>
      </x:c>
      <x:c r="G6" s="16" t="str">
        <x:v>Gate state</x:v>
      </x:c>
      <x:c r="H6" s="16" t="str">
        <x:v>Consequence</x:v>
      </x:c>
      <x:c r="I6" s="16" t="str">
        <x:v>Production/form</x:v>
      </x:c>
      <x:c r="J6" s="16" t="str">
        <x:v>Rendering</x:v>
      </x:c>
    </x:row>
    <x:row r="7" ht="38" customHeight="1">
      <x:c r="B7" s="64" t="str">
        <x:v>G01</x:v>
      </x:c>
      <x:c r="C7" s="65" t="str">
        <x:v>credit demand and stochastic load complete</x:v>
      </x:c>
      <x:c r="D7" s="65" t="str">
        <x:v>package</x:v>
      </x:c>
      <x:c r="E7" s="65" t="n">
        <x:v>1</x:v>
      </x:c>
      <x:c r="F7" s="65" t="n">
        <x:f>IF(AND('Attempt Demand'!J7=90,'Attempt Demand'!J8=37),1,0)</x:f>
        <x:v>1</x:v>
      </x:c>
      <x:c r="G7" s="65" t="str">
        <x:f>IF(F7&gt;=E7,IF(D7="package","PLANNING PASS","PASS"),IF(D7="package","FAIL","OPEN"))</x:f>
        <x:v>PLANNING PASS</x:v>
      </x:c>
      <x:c r="H7" s="65" t="str">
        <x:v>design only</x:v>
      </x:c>
      <x:c r="I7" s="65" t="str">
        <x:v>BLOCKED</x:v>
      </x:c>
      <x:c r="J7" s="67" t="str">
        <x:v>BLOCKED</x:v>
      </x:c>
    </x:row>
    <x:row r="8" ht="38" customHeight="1">
      <x:c r="B8" s="64" t="str">
        <x:v>G02</x:v>
      </x:c>
      <x:c r="C8" s="65" t="str">
        <x:v>station cycle clocks complete</x:v>
      </x:c>
      <x:c r="D8" s="65" t="str">
        <x:v>package</x:v>
      </x:c>
      <x:c r="E8" s="65" t="n">
        <x:v>1</x:v>
      </x:c>
      <x:c r="F8" s="65" t="n">
        <x:f>IF(AND('Station Cycles'!D13="PASS",'Station Cycles'!I15="PASS"),1,0)</x:f>
        <x:v>1</x:v>
      </x:c>
      <x:c r="G8" s="65" t="str">
        <x:f>IF(F8&gt;=E8,IF(D8="package","PLANNING PASS","PASS"),IF(D8="package","FAIL","OPEN"))</x:f>
        <x:v>PLANNING PASS</x:v>
      </x:c>
      <x:c r="H8" s="65" t="str">
        <x:v>design only</x:v>
      </x:c>
      <x:c r="I8" s="65" t="str">
        <x:v>BLOCKED</x:v>
      </x:c>
      <x:c r="J8" s="67" t="str">
        <x:v>BLOCKED</x:v>
      </x:c>
    </x:row>
    <x:row r="9" ht="38" customHeight="1">
      <x:c r="B9" s="64" t="str">
        <x:v>G03</x:v>
      </x:c>
      <x:c r="C9" s="65" t="str">
        <x:v>closure capacity closes after campus loss</x:v>
      </x:c>
      <x:c r="D9" s="65" t="str">
        <x:v>package</x:v>
      </x:c>
      <x:c r="E9" s="65" t="n">
        <x:v>1</x:v>
      </x:c>
      <x:c r="F9" s="65" t="n">
        <x:f>IF('Capacity Sizing'!M7="PASS",1,0)</x:f>
        <x:v>1</x:v>
      </x:c>
      <x:c r="G9" s="65" t="str">
        <x:f>IF(F9&gt;=E9,IF(D9="package","PLANNING PASS","PASS"),IF(D9="package","FAIL","OPEN"))</x:f>
        <x:v>PLANNING PASS</x:v>
      </x:c>
      <x:c r="H9" s="65" t="str">
        <x:v>design only</x:v>
      </x:c>
      <x:c r="I9" s="65" t="str">
        <x:v>BLOCKED</x:v>
      </x:c>
      <x:c r="J9" s="67" t="str">
        <x:v>BLOCKED</x:v>
      </x:c>
    </x:row>
    <x:row r="10" ht="38" customHeight="1">
      <x:c r="B10" s="64" t="str">
        <x:v>G04</x:v>
      </x:c>
      <x:c r="C10" s="65" t="str">
        <x:v>damage capacity closes after campus loss</x:v>
      </x:c>
      <x:c r="D10" s="65" t="str">
        <x:v>package</x:v>
      </x:c>
      <x:c r="E10" s="65" t="n">
        <x:v>1</x:v>
      </x:c>
      <x:c r="F10" s="65" t="n">
        <x:f>IF('Capacity Sizing'!M8="PASS",1,0)</x:f>
        <x:v>1</x:v>
      </x:c>
      <x:c r="G10" s="65" t="str">
        <x:f>IF(F10&gt;=E10,IF(D10="package","PLANNING PASS","PASS"),IF(D10="package","FAIL","OPEN"))</x:f>
        <x:v>PLANNING PASS</x:v>
      </x:c>
      <x:c r="H10" s="65" t="str">
        <x:v>design only</x:v>
      </x:c>
      <x:c r="I10" s="65" t="str">
        <x:v>BLOCKED</x:v>
      </x:c>
      <x:c r="J10" s="67" t="str">
        <x:v>BLOCKED</x:v>
      </x:c>
    </x:row>
    <x:row r="11" ht="38" customHeight="1">
      <x:c r="B11" s="64" t="str">
        <x:v>G05</x:v>
      </x:c>
      <x:c r="C11" s="65" t="str">
        <x:v>forensic capacity closes after campus loss</x:v>
      </x:c>
      <x:c r="D11" s="65" t="str">
        <x:v>package</x:v>
      </x:c>
      <x:c r="E11" s="65" t="n">
        <x:v>1</x:v>
      </x:c>
      <x:c r="F11" s="65" t="n">
        <x:f>IF('Capacity Sizing'!M9="PASS",1,0)</x:f>
        <x:v>1</x:v>
      </x:c>
      <x:c r="G11" s="65" t="str">
        <x:f>IF(F11&gt;=E11,IF(D11="package","PLANNING PASS","PASS"),IF(D11="package","FAIL","OPEN"))</x:f>
        <x:v>PLANNING PASS</x:v>
      </x:c>
      <x:c r="H11" s="65" t="str">
        <x:v>design only</x:v>
      </x:c>
      <x:c r="I11" s="65" t="str">
        <x:v>BLOCKED</x:v>
      </x:c>
      <x:c r="J11" s="67" t="str">
        <x:v>BLOCKED</x:v>
      </x:c>
    </x:row>
    <x:row r="12" ht="38" customHeight="1">
      <x:c r="B12" s="64" t="str">
        <x:v>G06</x:v>
      </x:c>
      <x:c r="C12" s="65" t="str">
        <x:v>water-lab capacity closes after campus loss</x:v>
      </x:c>
      <x:c r="D12" s="65" t="str">
        <x:v>package</x:v>
      </x:c>
      <x:c r="E12" s="65" t="n">
        <x:v>1</x:v>
      </x:c>
      <x:c r="F12" s="65" t="n">
        <x:f>IF('Capacity Sizing'!M10="PASS",1,0)</x:f>
        <x:v>1</x:v>
      </x:c>
      <x:c r="G12" s="65" t="str">
        <x:f>IF(F12&gt;=E12,IF(D12="package","PLANNING PASS","PASS"),IF(D12="package","FAIL","OPEN"))</x:f>
        <x:v>PLANNING PASS</x:v>
      </x:c>
      <x:c r="H12" s="65" t="str">
        <x:v>design only</x:v>
      </x:c>
      <x:c r="I12" s="65" t="str">
        <x:v>BLOCKED</x:v>
      </x:c>
      <x:c r="J12" s="67" t="str">
        <x:v>BLOCKED</x:v>
      </x:c>
    </x:row>
    <x:row r="13" ht="38" customHeight="1">
      <x:c r="B13" s="64" t="str">
        <x:v>G07</x:v>
      </x:c>
      <x:c r="C13" s="65" t="str">
        <x:v>metrology capacity closes after campus loss</x:v>
      </x:c>
      <x:c r="D13" s="65" t="str">
        <x:v>package</x:v>
      </x:c>
      <x:c r="E13" s="65" t="n">
        <x:v>1</x:v>
      </x:c>
      <x:c r="F13" s="65" t="n">
        <x:f>IF('Capacity Sizing'!M11="PASS",1,0)</x:f>
        <x:v>1</x:v>
      </x:c>
      <x:c r="G13" s="65" t="str">
        <x:f>IF(F13&gt;=E13,IF(D13="package","PLANNING PASS","PASS"),IF(D13="package","FAIL","OPEN"))</x:f>
        <x:v>PLANNING PASS</x:v>
      </x:c>
      <x:c r="H13" s="65" t="str">
        <x:v>design only</x:v>
      </x:c>
      <x:c r="I13" s="65" t="str">
        <x:v>BLOCKED</x:v>
      </x:c>
      <x:c r="J13" s="67" t="str">
        <x:v>BLOCKED</x:v>
      </x:c>
    </x:row>
    <x:row r="14" ht="38" customHeight="1">
      <x:c r="B14" s="64" t="str">
        <x:v>G08</x:v>
      </x:c>
      <x:c r="C14" s="65" t="str">
        <x:v>evidence-replay capacity closes after campus loss</x:v>
      </x:c>
      <x:c r="D14" s="65" t="str">
        <x:v>package</x:v>
      </x:c>
      <x:c r="E14" s="65" t="n">
        <x:v>1</x:v>
      </x:c>
      <x:c r="F14" s="65" t="n">
        <x:f>IF('Capacity Sizing'!M12="PASS",1,0)</x:f>
        <x:v>1</x:v>
      </x:c>
      <x:c r="G14" s="65" t="str">
        <x:f>IF(F14&gt;=E14,IF(D14="package","PLANNING PASS","PASS"),IF(D14="package","FAIL","OPEN"))</x:f>
        <x:v>PLANNING PASS</x:v>
      </x:c>
      <x:c r="H14" s="65" t="str">
        <x:v>design only</x:v>
      </x:c>
      <x:c r="I14" s="65" t="str">
        <x:v>BLOCKED</x:v>
      </x:c>
      <x:c r="J14" s="67" t="str">
        <x:v>BLOCKED</x:v>
      </x:c>
    </x:row>
    <x:row r="15" ht="38" customHeight="1">
      <x:c r="B15" s="64" t="str">
        <x:v>G09</x:v>
      </x:c>
      <x:c r="C15" s="65" t="str">
        <x:v>blind-shop capacity and separation close</x:v>
      </x:c>
      <x:c r="D15" s="65" t="str">
        <x:v>package</x:v>
      </x:c>
      <x:c r="E15" s="65" t="n">
        <x:v>1</x:v>
      </x:c>
      <x:c r="F15" s="65" t="n">
        <x:f>IF('Capacity Sizing'!M13="PASS",1,0)</x:f>
        <x:v>1</x:v>
      </x:c>
      <x:c r="G15" s="65" t="str">
        <x:f>IF(F15&gt;=E15,IF(D15="package","PLANNING PASS","PASS"),IF(D15="package","FAIL","OPEN"))</x:f>
        <x:v>PLANNING PASS</x:v>
      </x:c>
      <x:c r="H15" s="65" t="str">
        <x:v>design only</x:v>
      </x:c>
      <x:c r="I15" s="65" t="str">
        <x:v>BLOCKED</x:v>
      </x:c>
      <x:c r="J15" s="67" t="str">
        <x:v>BLOCKED</x:v>
      </x:c>
    </x:row>
    <x:row r="16" ht="38" customHeight="1">
      <x:c r="B16" s="64" t="str">
        <x:v>G10</x:v>
      </x:c>
      <x:c r="C16" s="65" t="str">
        <x:v>three-campus architecture complete</x:v>
      </x:c>
      <x:c r="D16" s="65" t="str">
        <x:v>package</x:v>
      </x:c>
      <x:c r="E16" s="65" t="n">
        <x:v>1</x:v>
      </x:c>
      <x:c r="F16" s="65" t="n">
        <x:f>IF(AND(COUNTA('Campus Architecture'!B7:B9)=3,COUNTBLANK('Campus Architecture'!B7:L9)=0),1,0)</x:f>
        <x:v>1</x:v>
      </x:c>
      <x:c r="G16" s="65" t="str">
        <x:f>IF(F16&gt;=E16,IF(D16="package","PLANNING PASS","PASS"),IF(D16="package","FAIL","OPEN"))</x:f>
        <x:v>PLANNING PASS</x:v>
      </x:c>
      <x:c r="H16" s="65" t="str">
        <x:v>design only</x:v>
      </x:c>
      <x:c r="I16" s="65" t="str">
        <x:v>BLOCKED</x:v>
      </x:c>
      <x:c r="J16" s="67" t="str">
        <x:v>BLOCKED</x:v>
      </x:c>
    </x:row>
    <x:row r="17" ht="38" customHeight="1">
      <x:c r="B17" s="64" t="str">
        <x:v>G11</x:v>
      </x:c>
      <x:c r="C17" s="65" t="str">
        <x:v>common-cause separation complete</x:v>
      </x:c>
      <x:c r="D17" s="65" t="str">
        <x:v>package</x:v>
      </x:c>
      <x:c r="E17" s="65" t="n">
        <x:v>1</x:v>
      </x:c>
      <x:c r="F17" s="65" t="n">
        <x:f>IF(COUNTIF('Common Cause'!F7:F18,"PASS")=12,1,0)</x:f>
        <x:v>1</x:v>
      </x:c>
      <x:c r="G17" s="65" t="str">
        <x:f>IF(F17&gt;=E17,IF(D17="package","PLANNING PASS","PASS"),IF(D17="package","FAIL","OPEN"))</x:f>
        <x:v>PLANNING PASS</x:v>
      </x:c>
      <x:c r="H17" s="65" t="str">
        <x:v>design only</x:v>
      </x:c>
      <x:c r="I17" s="65" t="str">
        <x:v>BLOCKED</x:v>
      </x:c>
      <x:c r="J17" s="67" t="str">
        <x:v>BLOCKED</x:v>
      </x:c>
    </x:row>
    <x:row r="18" ht="38" customHeight="1">
      <x:c r="B18" s="64" t="str">
        <x:v>G12</x:v>
      </x:c>
      <x:c r="C18" s="65" t="str">
        <x:v>reset stocks and regeneration clocks complete</x:v>
      </x:c>
      <x:c r="D18" s="65" t="str">
        <x:v>package</x:v>
      </x:c>
      <x:c r="E18" s="65" t="n">
        <x:v>1</x:v>
      </x:c>
      <x:c r="F18" s="65" t="n">
        <x:f>IF(AND(COUNTA('Reset Stocks'!B7:B15)=9,COUNTA('Reset Stocks'!B20:B27)=8),1,0)</x:f>
        <x:v>1</x:v>
      </x:c>
      <x:c r="G18" s="65" t="str">
        <x:f>IF(F18&gt;=E18,IF(D18="package","PLANNING PASS","PASS"),IF(D18="package","FAIL","OPEN"))</x:f>
        <x:v>PLANNING PASS</x:v>
      </x:c>
      <x:c r="H18" s="65" t="str">
        <x:v>design only</x:v>
      </x:c>
      <x:c r="I18" s="65" t="str">
        <x:v>BLOCKED</x:v>
      </x:c>
      <x:c r="J18" s="67" t="str">
        <x:v>BLOCKED</x:v>
      </x:c>
    </x:row>
    <x:row r="19" ht="38" customHeight="1">
      <x:c r="B19" s="64" t="str">
        <x:v>G13</x:v>
      </x:c>
      <x:c r="C19" s="65" t="str">
        <x:v>workforce and shift system reconcile</x:v>
      </x:c>
      <x:c r="D19" s="65" t="str">
        <x:v>package</x:v>
      </x:c>
      <x:c r="E19" s="65" t="n">
        <x:v>1</x:v>
      </x:c>
      <x:c r="F19" s="65" t="n">
        <x:f>IF(Workforce!E18="PASS",1,0)</x:f>
        <x:v>1</x:v>
      </x:c>
      <x:c r="G19" s="65" t="str">
        <x:f>IF(F19&gt;=E19,IF(D19="package","PLANNING PASS","PASS"),IF(D19="package","FAIL","OPEN"))</x:f>
        <x:v>PLANNING PASS</x:v>
      </x:c>
      <x:c r="H19" s="65" t="str">
        <x:v>design only</x:v>
      </x:c>
      <x:c r="I19" s="65" t="str">
        <x:v>BLOCKED</x:v>
      </x:c>
      <x:c r="J19" s="67" t="str">
        <x:v>BLOCKED</x:v>
      </x:c>
    </x:row>
    <x:row r="20" ht="38" customHeight="1">
      <x:c r="B20" s="64" t="str">
        <x:v>G14</x:v>
      </x:c>
      <x:c r="C20" s="65" t="str">
        <x:v>campaign schedule closes inside month 30</x:v>
      </x:c>
      <x:c r="D20" s="65" t="str">
        <x:v>package</x:v>
      </x:c>
      <x:c r="E20" s="65" t="n">
        <x:v>1</x:v>
      </x:c>
      <x:c r="F20" s="65" t="n">
        <x:f>IF('Campaign Schedule'!E18="PASS",1,0)</x:f>
        <x:v>1</x:v>
      </x:c>
      <x:c r="G20" s="65" t="str">
        <x:f>IF(F20&gt;=E20,IF(D20="package","PLANNING PASS","PASS"),IF(D20="package","FAIL","OPEN"))</x:f>
        <x:v>PLANNING PASS</x:v>
      </x:c>
      <x:c r="H20" s="65" t="str">
        <x:v>design only</x:v>
      </x:c>
      <x:c r="I20" s="65" t="str">
        <x:v>BLOCKED</x:v>
      </x:c>
      <x:c r="J20" s="67" t="str">
        <x:v>BLOCKED</x:v>
      </x:c>
    </x:row>
    <x:row r="21" ht="38" customHeight="1">
      <x:c r="B21" s="64" t="str">
        <x:v>G15</x:v>
      </x:c>
      <x:c r="C21" s="65" t="str">
        <x:v>capital remains inside Pass 101</x:v>
      </x:c>
      <x:c r="D21" s="65" t="str">
        <x:v>package</x:v>
      </x:c>
      <x:c r="E21" s="65" t="n">
        <x:v>1</x:v>
      </x:c>
      <x:c r="F21" s="65" t="n">
        <x:f>IF('Capital Control'!E22="PASS",1,0)</x:f>
        <x:v>1</x:v>
      </x:c>
      <x:c r="G21" s="65" t="str">
        <x:f>IF(F21&gt;=E21,IF(D21="package","PLANNING PASS","PASS"),IF(D21="package","FAIL","OPEN"))</x:f>
        <x:v>PLANNING PASS</x:v>
      </x:c>
      <x:c r="H21" s="65" t="str">
        <x:v>design only</x:v>
      </x:c>
      <x:c r="I21" s="65" t="str">
        <x:v>BLOCKED</x:v>
      </x:c>
      <x:c r="J21" s="67" t="str">
        <x:v>BLOCKED</x:v>
      </x:c>
    </x:row>
    <x:row r="22" ht="38" customHeight="1">
      <x:c r="B22" s="64" t="str">
        <x:v>G16</x:v>
      </x:c>
      <x:c r="C22" s="65" t="str">
        <x:v>annual support remains inside Pass 101</x:v>
      </x:c>
      <x:c r="D22" s="65" t="str">
        <x:v>package</x:v>
      </x:c>
      <x:c r="E22" s="65" t="n">
        <x:v>1</x:v>
      </x:c>
      <x:c r="F22" s="65" t="n">
        <x:f>IF('Annual Support'!E21="PASS",1,0)</x:f>
        <x:v>1</x:v>
      </x:c>
      <x:c r="G22" s="65" t="str">
        <x:f>IF(F22&gt;=E22,IF(D22="package","PLANNING PASS","PASS"),IF(D22="package","FAIL","OPEN"))</x:f>
        <x:v>PLANNING PASS</x:v>
      </x:c>
      <x:c r="H22" s="65" t="str">
        <x:v>design only</x:v>
      </x:c>
      <x:c r="I22" s="65" t="str">
        <x:v>BLOCKED</x:v>
      </x:c>
      <x:c r="J22" s="67" t="str">
        <x:v>BLOCKED</x:v>
      </x:c>
    </x:row>
    <x:row r="23" ht="38" customHeight="1">
      <x:c r="B23" s="64" t="str">
        <x:v>G17</x:v>
      </x:c>
      <x:c r="C23" s="65" t="str">
        <x:v>planning package complete</x:v>
      </x:c>
      <x:c r="D23" s="65" t="str">
        <x:v>package</x:v>
      </x:c>
      <x:c r="E23" s="65" t="n">
        <x:v>1</x:v>
      </x:c>
      <x:c r="F23" s="65" t="n">
        <x:f>'Control Inputs'!D60</x:f>
        <x:v>1</x:v>
      </x:c>
      <x:c r="G23" s="65" t="str">
        <x:f>IF(F23&gt;=E23,IF(D23="package","PLANNING PASS","PASS"),IF(D23="package","FAIL","OPEN"))</x:f>
        <x:v>PLANNING PASS</x:v>
      </x:c>
      <x:c r="H23" s="65" t="str">
        <x:v>design only</x:v>
      </x:c>
      <x:c r="I23" s="65" t="str">
        <x:v>BLOCKED</x:v>
      </x:c>
      <x:c r="J23" s="67" t="str">
        <x:v>BLOCKED</x:v>
      </x:c>
    </x:row>
    <x:row r="24" ht="38" customHeight="1">
      <x:c r="B24" s="64" t="str">
        <x:v>G18</x:v>
      </x:c>
      <x:c r="C24" s="65" t="str">
        <x:v>constituted authorities approve construction</x:v>
      </x:c>
      <x:c r="D24" s="65" t="str">
        <x:v>external</x:v>
      </x:c>
      <x:c r="E24" s="65" t="n">
        <x:v>1</x:v>
      </x:c>
      <x:c r="F24" s="65" t="n">
        <x:f>'Control Inputs'!D61</x:f>
        <x:v>0</x:v>
      </x:c>
      <x:c r="G24" s="65" t="str">
        <x:f>IF(F24&gt;=E24,IF(D24="package","PLANNING PASS","PASS"),IF(D24="package","FAIL","OPEN"))</x:f>
        <x:v>OPEN</x:v>
      </x:c>
      <x:c r="H24" s="65" t="str">
        <x:v>site construction</x:v>
      </x:c>
      <x:c r="I24" s="65" t="str">
        <x:v>BLOCKED</x:v>
      </x:c>
      <x:c r="J24" s="67" t="str">
        <x:v>BLOCKED</x:v>
      </x:c>
    </x:row>
    <x:row r="25" ht="38" customHeight="1">
      <x:c r="B25" s="64" t="str">
        <x:v>G19</x:v>
      </x:c>
      <x:c r="C25" s="65" t="str">
        <x:v>three campus islands commissioned</x:v>
      </x:c>
      <x:c r="D25" s="65" t="str">
        <x:v>physical</x:v>
      </x:c>
      <x:c r="E25" s="65" t="n">
        <x:v>1</x:v>
      </x:c>
      <x:c r="F25" s="65" t="n">
        <x:f>IF(AND(G24="PASS",'Control Inputs'!D62&gt;=3,'Control Inputs'!D63&gt;=3),1,0)</x:f>
        <x:v>0</x:v>
      </x:c>
      <x:c r="G25" s="65" t="str">
        <x:f>IF(F25&gt;=E25,IF(D25="package","PLANNING PASS","PASS"),IF(D25="package","FAIL","OPEN"))</x:f>
        <x:v>OPEN</x:v>
      </x:c>
      <x:c r="H25" s="65" t="str">
        <x:v>lane commissioning</x:v>
      </x:c>
      <x:c r="I25" s="65" t="str">
        <x:v>BLOCKED</x:v>
      </x:c>
      <x:c r="J25" s="67" t="str">
        <x:v>BLOCKED</x:v>
      </x:c>
    </x:row>
    <x:row r="26" ht="38" customHeight="1">
      <x:c r="B26" s="64" t="str">
        <x:v>G20</x:v>
      </x:c>
      <x:c r="C26" s="65" t="str">
        <x:v>all service-lane classes commissioned and staffed</x:v>
      </x:c>
      <x:c r="D26" s="65" t="str">
        <x:v>physical</x:v>
      </x:c>
      <x:c r="E26" s="65" t="n">
        <x:v>1</x:v>
      </x:c>
      <x:c r="F26" s="65" t="n">
        <x:f>IF(AND(G25="PASS",'Control Inputs'!D64&gt;=7),1,0)</x:f>
        <x:v>0</x:v>
      </x:c>
      <x:c r="G26" s="65" t="str">
        <x:f>IF(F26&gt;=E26,IF(D26="package","PLANNING PASS","PASS"),IF(D26="package","FAIL","OPEN"))</x:f>
        <x:v>OPEN</x:v>
      </x:c>
      <x:c r="H26" s="65" t="str">
        <x:v>loss rehearsal</x:v>
      </x:c>
      <x:c r="I26" s="65" t="str">
        <x:v>BLOCKED</x:v>
      </x:c>
      <x:c r="J26" s="67" t="str">
        <x:v>BLOCKED</x:v>
      </x:c>
    </x:row>
    <x:row r="27" ht="38" customHeight="1">
      <x:c r="B27" s="64" t="str">
        <x:v>G21</x:v>
      </x:c>
      <x:c r="C27" s="65" t="str">
        <x:v>complete-campus loss rehearsal passes</x:v>
      </x:c>
      <x:c r="D27" s="65" t="str">
        <x:v>physical</x:v>
      </x:c>
      <x:c r="E27" s="65" t="n">
        <x:v>1</x:v>
      </x:c>
      <x:c r="F27" s="65" t="n">
        <x:f>IF(AND(G26="PASS",'Control Inputs'!D65=1),1,0)</x:f>
        <x:v>0</x:v>
      </x:c>
      <x:c r="G27" s="65" t="str">
        <x:f>IF(F27&gt;=E27,IF(D27="package","PLANNING PASS","PASS"),IF(D27="package","FAIL","OPEN"))</x:f>
        <x:v>OPEN</x:v>
      </x:c>
      <x:c r="H27" s="65" t="str">
        <x:v>campaign entry</x:v>
      </x:c>
      <x:c r="I27" s="65" t="str">
        <x:v>BLOCKED</x:v>
      </x:c>
      <x:c r="J27" s="67" t="str">
        <x:v>BLOCKED</x:v>
      </x:c>
    </x:row>
    <x:row r="28" ht="38" customHeight="1">
      <x:c r="B28" s="69" t="str">
        <x:v>G22</x:v>
      </x:c>
      <x:c r="C28" s="70" t="str">
        <x:v>first campaign wave admitted</x:v>
      </x:c>
      <x:c r="D28" s="70" t="str">
        <x:v>physical</x:v>
      </x:c>
      <x:c r="E28" s="70" t="n">
        <x:v>1</x:v>
      </x:c>
      <x:c r="F28" s="70" t="n">
        <x:f>IF(AND(G27="PASS",'Control Inputs'!D66=1),1,0)</x:f>
        <x:v>0</x:v>
      </x:c>
      <x:c r="G28" s="70" t="str">
        <x:f>IF(F28&gt;=E28,IF(D28="package","PLANNING PASS","PASS"),IF(D28="package","FAIL","OPEN"))</x:f>
        <x:v>OPEN</x:v>
      </x:c>
      <x:c r="H28" s="70" t="str">
        <x:v>first-wave credit</x:v>
      </x:c>
      <x:c r="I28" s="70" t="str">
        <x:v>BLOCKED</x:v>
      </x:c>
      <x:c r="J28" s="72" t="str">
        <x:v>BLOCKED</x:v>
      </x:c>
    </x:row>
    <x:row r="29">
      <x:c r="B29" s="53"/>
      <x:c r="C29" s="53"/>
      <x:c r="D29" s="53"/>
      <x:c r="E29" s="53"/>
      <x:c r="F29" s="53"/>
      <x:c r="G29" s="53"/>
      <x:c r="H29" s="53"/>
      <x:c r="I29" s="53"/>
      <x:c r="J29" s="53"/>
    </x:row>
    <x:row r="30">
      <x:c r="B30" s="53"/>
      <x:c r="C30" s="53"/>
      <x:c r="D30" s="53"/>
      <x:c r="E30" s="53"/>
      <x:c r="F30" s="53"/>
      <x:c r="G30" s="53"/>
      <x:c r="H30" s="53"/>
      <x:c r="I30" s="53"/>
      <x:c r="J30" s="53"/>
    </x:row>
    <x:row r="31">
      <x:c r="B31" s="56" t="str">
        <x:v>Derived present states</x:v>
      </x:c>
      <x:c r="C31" s="57" t="str">
        <x:v>Derived present states</x:v>
      </x:c>
      <x:c r="D31" s="57" t="str">
        <x:v>Derived present states</x:v>
      </x:c>
      <x:c r="E31" s="57" t="str">
        <x:v>Derived present states</x:v>
      </x:c>
      <x:c r="F31" s="57" t="str">
        <x:v>Derived present states</x:v>
      </x:c>
      <x:c r="G31" s="57" t="str">
        <x:v>Derived present states</x:v>
      </x:c>
      <x:c r="H31" s="57" t="str">
        <x:v>Derived present states</x:v>
      </x:c>
      <x:c r="I31" s="57" t="str">
        <x:v>Derived present states</x:v>
      </x:c>
      <x:c r="J31" s="58" t="str">
        <x:v>Derived present states</x:v>
      </x:c>
    </x:row>
    <x:row r="32">
      <x:c r="B32" s="53" t="str">
        <x:v>Planning package</x:v>
      </x:c>
      <x:c r="C32" s="53" t="str">
        <x:v>G01–G17</x:v>
      </x:c>
      <x:c r="D32" s="53" t="str">
        <x:f>IF(COUNTIF(G7:G23,"PLANNING PASS")=17,"AUTHORIZED","HOLD")</x:f>
        <x:v>AUTHORIZED</x:v>
      </x:c>
      <x:c r="E32" s="53"/>
      <x:c r="F32" s="53"/>
      <x:c r="G32" s="53"/>
      <x:c r="H32" s="53"/>
      <x:c r="I32" s="53"/>
      <x:c r="J32" s="53"/>
    </x:row>
    <x:row r="33">
      <x:c r="B33" s="53" t="str">
        <x:v>Site construction</x:v>
      </x:c>
      <x:c r="C33" s="53" t="str">
        <x:v>G18</x:v>
      </x:c>
      <x:c r="D33" s="53" t="str">
        <x:f>IF(G24="PASS","RELEASED","HOLD")</x:f>
        <x:v>HOLD</x:v>
      </x:c>
      <x:c r="E33" s="53"/>
      <x:c r="F33" s="53"/>
      <x:c r="G33" s="53"/>
      <x:c r="H33" s="53"/>
      <x:c r="I33" s="53"/>
      <x:c r="J33" s="53"/>
    </x:row>
    <x:row r="34">
      <x:c r="B34" s="53" t="str">
        <x:v>Campus commissioning</x:v>
      </x:c>
      <x:c r="C34" s="53" t="str">
        <x:v>G19</x:v>
      </x:c>
      <x:c r="D34" s="53" t="str">
        <x:f>IF(G25="PASS","RELEASED","HOLD")</x:f>
        <x:v>HOLD</x:v>
      </x:c>
      <x:c r="E34" s="53"/>
      <x:c r="F34" s="53"/>
      <x:c r="G34" s="53"/>
      <x:c r="H34" s="53"/>
      <x:c r="I34" s="53"/>
      <x:c r="J34" s="53"/>
    </x:row>
    <x:row r="35">
      <x:c r="B35" s="53" t="str">
        <x:v>Service lanes</x:v>
      </x:c>
      <x:c r="C35" s="53" t="str">
        <x:v>G20</x:v>
      </x:c>
      <x:c r="D35" s="53" t="str">
        <x:f>IF(G26="PASS","RELEASED","HOLD")</x:f>
        <x:v>HOLD</x:v>
      </x:c>
      <x:c r="E35" s="53"/>
      <x:c r="F35" s="53"/>
      <x:c r="G35" s="53"/>
      <x:c r="H35" s="53"/>
      <x:c r="I35" s="53"/>
      <x:c r="J35" s="53"/>
    </x:row>
    <x:row r="36">
      <x:c r="B36" s="53" t="str">
        <x:v>Loss rehearsal</x:v>
      </x:c>
      <x:c r="C36" s="53" t="str">
        <x:v>G21</x:v>
      </x:c>
      <x:c r="D36" s="53" t="str">
        <x:f>IF(G27="PASS","PASS","HOLD")</x:f>
        <x:v>HOLD</x:v>
      </x:c>
      <x:c r="E36" s="53"/>
      <x:c r="F36" s="53"/>
      <x:c r="G36" s="53"/>
      <x:c r="H36" s="53"/>
      <x:c r="I36" s="53"/>
      <x:c r="J36" s="53"/>
    </x:row>
    <x:row r="37">
      <x:c r="B37" s="53" t="str">
        <x:v>First wave</x:v>
      </x:c>
      <x:c r="C37" s="53" t="str">
        <x:v>G22</x:v>
      </x:c>
      <x:c r="D37" s="53" t="str">
        <x:f>IF(G28="PASS","ADMITTED","HOLD")</x:f>
        <x:v>HOLD</x:v>
      </x:c>
      <x:c r="E37" s="53"/>
      <x:c r="F37" s="53"/>
      <x:c r="G37" s="53"/>
      <x:c r="H37" s="53"/>
      <x:c r="I37" s="53"/>
      <x:c r="J37" s="53"/>
    </x:row>
    <x:row r="38">
      <x:c r="B38" s="53" t="str">
        <x:v>Production and rendering</x:v>
      </x:c>
      <x:c r="C38" s="53" t="str">
        <x:v>parent F36 chain</x:v>
      </x:c>
      <x:c r="D38" s="53" t="str">
        <x:f>IF(AND('Control Inputs'!D67=1,'Control Inputs'!D68=1),"AUTHORIZED","BLOCKED")</x:f>
        <x:v>BLOCKED</x:v>
      </x:c>
      <x:c r="E38" s="53"/>
      <x:c r="F38" s="53"/>
      <x:c r="G38" s="53"/>
      <x:c r="H38" s="53"/>
      <x:c r="I38" s="53"/>
      <x:c r="J38" s="53"/>
    </x:row>
  </x:sheetData>
  <x:mergeCells>
    <x:mergeCell ref="B3:J3"/>
    <x:mergeCell ref="B31:J31"/>
  </x:mergeCells>
  <x:conditionalFormatting sqref="G7:J28">
    <x:cfRule type="containsText" dxfId="312" priority="1" operator="containsText" text="FAIL"/>
    <x:cfRule type="containsText" dxfId="313" priority="2" operator="containsText" text="BLOCKED"/>
    <x:cfRule type="containsText" dxfId="314" priority="3" operator="containsText" text="HOLD"/>
    <x:cfRule type="containsText" dxfId="315" priority="4" operator="containsText" text="OPEN"/>
    <x:cfRule type="containsText" dxfId="316" priority="5" operator="containsText" text="OUT"/>
    <x:cfRule type="containsText" dxfId="317" priority="6" operator="containsText" text="UNTESTED"/>
    <x:cfRule type="containsText" dxfId="318" priority="7" operator="containsText" text="PASS"/>
    <x:cfRule type="containsText" dxfId="319" priority="8" operator="containsText" text="READY"/>
    <x:cfRule type="containsText" dxfId="320" priority="9" operator="containsText" text="AUTHORIZED"/>
    <x:cfRule type="containsText" dxfId="321" priority="10" operator="containsText" text="PLANNING PASS"/>
    <x:cfRule type="containsText" dxfId="322" priority="11" operator="containsText" text="RELEASED"/>
    <x:cfRule type="containsText" dxfId="323" priority="12" operator="containsText" text="ADMITTED"/>
  </x:conditionalFormatting>
  <x:conditionalFormatting sqref="D32:D38">
    <x:cfRule type="containsText" dxfId="324" priority="13" operator="containsText" text="FAIL"/>
    <x:cfRule type="containsText" dxfId="325" priority="14" operator="containsText" text="BLOCKED"/>
    <x:cfRule type="containsText" dxfId="326" priority="15" operator="containsText" text="HOLD"/>
    <x:cfRule type="containsText" dxfId="327" priority="16" operator="containsText" text="OPEN"/>
    <x:cfRule type="containsText" dxfId="328" priority="17" operator="containsText" text="OUT"/>
    <x:cfRule type="containsText" dxfId="329" priority="18" operator="containsText" text="UNTESTED"/>
    <x:cfRule type="containsText" dxfId="330" priority="19" operator="containsText" text="PASS"/>
    <x:cfRule type="containsText" dxfId="331" priority="20" operator="containsText" text="READY"/>
    <x:cfRule type="containsText" dxfId="332" priority="21" operator="containsText" text="AUTHORIZED"/>
    <x:cfRule type="containsText" dxfId="333" priority="22" operator="containsText" text="PLANNING PASS"/>
    <x:cfRule type="containsText" dxfId="334" priority="23" operator="containsText" text="RELEASED"/>
    <x:cfRule type="containsText" dxfId="335" priority="24" operator="containsText" text="ADMITTE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3" hidden="0" customWidth="1"/>
    <x:col min="4" max="4" width="21" hidden="0" customWidth="1"/>
    <x:col min="5" max="5" width="21" hidden="0" customWidth="1"/>
    <x:col min="6" max="6" width="21" hidden="0" customWidth="1"/>
    <x:col min="7" max="7" width="15" hidden="0" customWidth="1"/>
    <x:col min="8" max="8" width="39" hidden="0" customWidth="1"/>
  </x:cols>
  <x:sheetData>
    <x:row r="2">
      <x:c r="B2" s="1" t="str">
        <x:v>Independent terminal audit</x:v>
      </x:c>
      <x:c r="C2" s="53"/>
      <x:c r="D2" s="53"/>
      <x:c r="E2" s="53"/>
      <x:c r="F2" s="53"/>
      <x:c r="G2" s="53"/>
      <x:c r="H2" s="53"/>
    </x:row>
    <x:row r="3">
      <x:c r="B3" s="2" t="str">
        <x:v>This sheet observes the model and feeds no output, capacity calculation or release gate.</x:v>
      </x:c>
      <x:c r="C3" s="53"/>
      <x:c r="D3" s="53"/>
      <x:c r="E3" s="53"/>
      <x:c r="F3" s="53"/>
      <x:c r="G3" s="53"/>
      <x:c r="H3" s="53"/>
    </x:row>
    <x:row r="4">
      <x:c r="B4" s="55"/>
      <x:c r="C4" s="55"/>
      <x:c r="D4" s="55"/>
      <x:c r="E4" s="55"/>
      <x:c r="F4" s="55"/>
      <x:c r="G4" s="55"/>
      <x:c r="H4" s="55"/>
    </x:row>
    <x:row r="5">
      <x:c r="B5" s="53"/>
      <x:c r="C5" s="53"/>
      <x:c r="D5" s="53"/>
      <x:c r="E5" s="53"/>
      <x:c r="F5" s="53"/>
      <x:c r="G5" s="53"/>
      <x:c r="H5" s="53"/>
    </x:row>
    <x:row r="6">
      <x:c r="B6" s="15" t="str">
        <x:v>Check</x:v>
      </x:c>
      <x:c r="C6" s="16" t="str">
        <x:v>Control</x:v>
      </x:c>
      <x:c r="D6" s="16" t="str">
        <x:v>Actual</x:v>
      </x:c>
      <x:c r="E6" s="16" t="str">
        <x:v>Expected</x:v>
      </x:c>
      <x:c r="F6" s="16" t="str">
        <x:v>Difference</x:v>
      </x:c>
      <x:c r="G6" s="16" t="str">
        <x:v>Result</x:v>
      </x:c>
      <x:c r="H6" s="16" t="str">
        <x:v>Notes</x:v>
      </x:c>
    </x:row>
    <x:row r="7" ht="28" customHeight="1">
      <x:c r="B7" s="64" t="str">
        <x:v>AU01</x:v>
      </x:c>
      <x:c r="C7" s="65" t="str">
        <x:v>Input count</x:v>
      </x:c>
      <x:c r="D7" s="81" t="n">
        <x:f>COUNTA('Control Inputs'!B7:B77)</x:f>
        <x:v>71</x:v>
      </x:c>
      <x:c r="E7" s="81" t="n">
        <x:v>71</x:v>
      </x:c>
      <x:c r="F7" s="81" t="n">
        <x:f>D7-E7</x:f>
        <x:v>0</x:v>
      </x:c>
      <x:c r="G7" s="65" t="str">
        <x:f>IF(ABS(F7)&lt;0.001,"PASS","FAIL")</x:f>
        <x:v>PASS</x:v>
      </x:c>
      <x:c r="H7" s="67" t="str"/>
    </x:row>
    <x:row r="8" ht="28" customHeight="1">
      <x:c r="B8" s="64" t="str">
        <x:v>AU02</x:v>
      </x:c>
      <x:c r="C8" s="65" t="str">
        <x:v>Closure required credits</x:v>
      </x:c>
      <x:c r="D8" s="81" t="n">
        <x:f>'Attempt Demand'!C7</x:f>
        <x:v>72</x:v>
      </x:c>
      <x:c r="E8" s="81" t="n">
        <x:v>72</x:v>
      </x:c>
      <x:c r="F8" s="81" t="n">
        <x:f>D8-E8</x:f>
        <x:v>0</x:v>
      </x:c>
      <x:c r="G8" s="65" t="str">
        <x:f>IF(ABS(F8)&lt;0.001,"PASS","FAIL")</x:f>
        <x:v>PASS</x:v>
      </x:c>
      <x:c r="H8" s="67" t="str"/>
    </x:row>
    <x:row r="9" ht="28" customHeight="1">
      <x:c r="B9" s="64" t="str">
        <x:v>AU03</x:v>
      </x:c>
      <x:c r="C9" s="65" t="str">
        <x:v>Damage required credits</x:v>
      </x:c>
      <x:c r="D9" s="81" t="n">
        <x:f>'Attempt Demand'!C8</x:f>
        <x:v>26</x:v>
      </x:c>
      <x:c r="E9" s="81" t="n">
        <x:v>26</x:v>
      </x:c>
      <x:c r="F9" s="81" t="n">
        <x:f>D9-E9</x:f>
        <x:v>0</x:v>
      </x:c>
      <x:c r="G9" s="65" t="str">
        <x:f>IF(ABS(F9)&lt;0.001,"PASS","FAIL")</x:f>
        <x:v>PASS</x:v>
      </x:c>
      <x:c r="H9" s="67" t="str"/>
    </x:row>
    <x:row r="10" ht="28" customHeight="1">
      <x:c r="B10" s="64" t="str">
        <x:v>AU04</x:v>
      </x:c>
      <x:c r="C10" s="65" t="str">
        <x:v>Closure expected attempts</x:v>
      </x:c>
      <x:c r="D10" s="81" t="n">
        <x:f>'Attempt Demand'!E7</x:f>
        <x:v>84.70588235294117</x:v>
      </x:c>
      <x:c r="E10" s="81" t="n">
        <x:v>84.7058823529</x:v>
      </x:c>
      <x:c r="F10" s="81" t="n">
        <x:f>D10-E10</x:f>
        <x:v>4.1168846109940205e-11</x:v>
      </x:c>
      <x:c r="G10" s="65" t="str">
        <x:f>IF(ABS(F10)&lt;0.001,"PASS","FAIL")</x:f>
        <x:v>PASS</x:v>
      </x:c>
      <x:c r="H10" s="67" t="str"/>
    </x:row>
    <x:row r="11" ht="28" customHeight="1">
      <x:c r="B11" s="64" t="str">
        <x:v>AU05</x:v>
      </x:c>
      <x:c r="C11" s="65" t="str">
        <x:v>Damage expected attempts</x:v>
      </x:c>
      <x:c r="D11" s="81" t="n">
        <x:f>'Attempt Demand'!E8</x:f>
        <x:v>32.5</x:v>
      </x:c>
      <x:c r="E11" s="81" t="n">
        <x:v>32.5</x:v>
      </x:c>
      <x:c r="F11" s="81" t="n">
        <x:f>D11-E11</x:f>
        <x:v>0</x:v>
      </x:c>
      <x:c r="G11" s="65" t="str">
        <x:f>IF(ABS(F11)&lt;0.001,"PASS","FAIL")</x:f>
        <x:v>PASS</x:v>
      </x:c>
      <x:c r="H11" s="67" t="str"/>
    </x:row>
    <x:row r="12" ht="28" customHeight="1">
      <x:c r="B12" s="64" t="str">
        <x:v>AU06</x:v>
      </x:c>
      <x:c r="C12" s="65" t="str">
        <x:v>Closure P90 attempts</x:v>
      </x:c>
      <x:c r="D12" s="81" t="n">
        <x:f>'Attempt Demand'!J7</x:f>
        <x:v>90</x:v>
      </x:c>
      <x:c r="E12" s="81" t="n">
        <x:v>90</x:v>
      </x:c>
      <x:c r="F12" s="81" t="n">
        <x:f>D12-E12</x:f>
        <x:v>0</x:v>
      </x:c>
      <x:c r="G12" s="65" t="str">
        <x:f>IF(ABS(F12)&lt;0.001,"PASS","FAIL")</x:f>
        <x:v>PASS</x:v>
      </x:c>
      <x:c r="H12" s="67" t="str"/>
    </x:row>
    <x:row r="13" ht="28" customHeight="1">
      <x:c r="B13" s="64" t="str">
        <x:v>AU07</x:v>
      </x:c>
      <x:c r="C13" s="65" t="str">
        <x:v>Damage P90 attempts</x:v>
      </x:c>
      <x:c r="D13" s="81" t="n">
        <x:f>'Attempt Demand'!J8</x:f>
        <x:v>37</x:v>
      </x:c>
      <x:c r="E13" s="81" t="n">
        <x:v>37</x:v>
      </x:c>
      <x:c r="F13" s="81" t="n">
        <x:f>D13-E13</x:f>
        <x:v>0</x:v>
      </x:c>
      <x:c r="G13" s="65" t="str">
        <x:f>IF(ABS(F13)&lt;0.001,"PASS","FAIL")</x:f>
        <x:v>PASS</x:v>
      </x:c>
      <x:c r="H13" s="67" t="str"/>
    </x:row>
    <x:row r="14" ht="28" customHeight="1">
      <x:c r="B14" s="64" t="str">
        <x:v>AU08</x:v>
      </x:c>
      <x:c r="C14" s="65" t="str">
        <x:v>Closure P90 bay-days</x:v>
      </x:c>
      <x:c r="D14" s="81" t="n">
        <x:f>'Attempt Demand'!L7</x:f>
        <x:v>720</x:v>
      </x:c>
      <x:c r="E14" s="81" t="n">
        <x:v>720</x:v>
      </x:c>
      <x:c r="F14" s="81" t="n">
        <x:f>D14-E14</x:f>
        <x:v>0</x:v>
      </x:c>
      <x:c r="G14" s="65" t="str">
        <x:f>IF(ABS(F14)&lt;0.001,"PASS","FAIL")</x:f>
        <x:v>PASS</x:v>
      </x:c>
      <x:c r="H14" s="67" t="str"/>
    </x:row>
    <x:row r="15" ht="28" customHeight="1">
      <x:c r="B15" s="64" t="str">
        <x:v>AU09</x:v>
      </x:c>
      <x:c r="C15" s="65" t="str">
        <x:v>Damage P90 cell-days</x:v>
      </x:c>
      <x:c r="D15" s="81" t="n">
        <x:f>'Attempt Demand'!L8</x:f>
        <x:v>518</x:v>
      </x:c>
      <x:c r="E15" s="81" t="n">
        <x:v>518</x:v>
      </x:c>
      <x:c r="F15" s="81" t="n">
        <x:f>D15-E15</x:f>
        <x:v>0</x:v>
      </x:c>
      <x:c r="G15" s="65" t="str">
        <x:f>IF(ABS(F15)&lt;0.001,"PASS","FAIL")</x:f>
        <x:v>PASS</x:v>
      </x:c>
      <x:c r="H15" s="67" t="str"/>
    </x:row>
    <x:row r="16" ht="28" customHeight="1">
      <x:c r="B16" s="64" t="str">
        <x:v>AU10</x:v>
      </x:c>
      <x:c r="C16" s="65" t="str">
        <x:v>Closure cycle days</x:v>
      </x:c>
      <x:c r="D16" s="81" t="n">
        <x:f>'Station Cycles'!C13</x:f>
        <x:v>8</x:v>
      </x:c>
      <x:c r="E16" s="81" t="n">
        <x:v>8</x:v>
      </x:c>
      <x:c r="F16" s="81" t="n">
        <x:f>D16-E16</x:f>
        <x:v>0</x:v>
      </x:c>
      <x:c r="G16" s="65" t="str">
        <x:f>IF(ABS(F16)&lt;0.001,"PASS","FAIL")</x:f>
        <x:v>PASS</x:v>
      </x:c>
      <x:c r="H16" s="67" t="str"/>
    </x:row>
    <x:row r="17" ht="28" customHeight="1">
      <x:c r="B17" s="64" t="str">
        <x:v>AU11</x:v>
      </x:c>
      <x:c r="C17" s="65" t="str">
        <x:v>Damage cycle days</x:v>
      </x:c>
      <x:c r="D17" s="81" t="n">
        <x:f>'Station Cycles'!H15</x:f>
        <x:v>14</x:v>
      </x:c>
      <x:c r="E17" s="81" t="n">
        <x:v>14</x:v>
      </x:c>
      <x:c r="F17" s="81" t="n">
        <x:f>D17-E17</x:f>
        <x:v>0</x:v>
      </x:c>
      <x:c r="G17" s="65" t="str">
        <x:f>IF(ABS(F17)&lt;0.001,"PASS","FAIL")</x:f>
        <x:v>PASS</x:v>
      </x:c>
      <x:c r="H17" s="67" t="str"/>
    </x:row>
    <x:row r="18" ht="28" customHeight="1">
      <x:c r="B18" s="64" t="str">
        <x:v>AU12</x:v>
      </x:c>
      <x:c r="C18" s="65" t="str">
        <x:v>Closure per-bay capacity</x:v>
      </x:c>
      <x:c r="D18" s="81" t="n">
        <x:f>'Capacity Sizing'!E7</x:f>
        <x:v>289.76500000000004</x:v>
      </x:c>
      <x:c r="E18" s="81" t="n">
        <x:v>289.765</x:v>
      </x:c>
      <x:c r="F18" s="81" t="n">
        <x:f>D18-E18</x:f>
        <x:v>5.684341886080802e-14</x:v>
      </x:c>
      <x:c r="G18" s="65" t="str">
        <x:f>IF(ABS(F18)&lt;0.001,"PASS","FAIL")</x:f>
        <x:v>PASS</x:v>
      </x:c>
      <x:c r="H18" s="67" t="str"/>
    </x:row>
    <x:row r="19" ht="28" customHeight="1">
      <x:c r="B19" s="64" t="str">
        <x:v>AU13</x:v>
      </x:c>
      <x:c r="C19" s="65" t="str">
        <x:v>Damage per-cell capacity</x:v>
      </x:c>
      <x:c r="D19" s="81" t="n">
        <x:f>'Capacity Sizing'!E8</x:f>
        <x:v>237.4125</x:v>
      </x:c>
      <x:c r="E19" s="81" t="n">
        <x:v>237.4125</x:v>
      </x:c>
      <x:c r="F19" s="81" t="n">
        <x:f>D19-E19</x:f>
        <x:v>0</x:v>
      </x:c>
      <x:c r="G19" s="65" t="str">
        <x:f>IF(ABS(F19)&lt;0.001,"PASS","FAIL")</x:f>
        <x:v>PASS</x:v>
      </x:c>
      <x:c r="H19" s="67" t="str"/>
    </x:row>
    <x:row r="20" ht="28" customHeight="1">
      <x:c r="B20" s="64" t="str">
        <x:v>AU14</x:v>
      </x:c>
      <x:c r="C20" s="65" t="str">
        <x:v>Closure recommended bays</x:v>
      </x:c>
      <x:c r="D20" s="81" t="n">
        <x:f>'Capacity Sizing'!I7</x:f>
        <x:v>6</x:v>
      </x:c>
      <x:c r="E20" s="81" t="n">
        <x:v>6</x:v>
      </x:c>
      <x:c r="F20" s="81" t="n">
        <x:f>D20-E20</x:f>
        <x:v>0</x:v>
      </x:c>
      <x:c r="G20" s="65" t="str">
        <x:f>IF(ABS(F20)&lt;0.001,"PASS","FAIL")</x:f>
        <x:v>PASS</x:v>
      </x:c>
      <x:c r="H20" s="67" t="str"/>
    </x:row>
    <x:row r="21" ht="28" customHeight="1">
      <x:c r="B21" s="64" t="str">
        <x:v>AU15</x:v>
      </x:c>
      <x:c r="C21" s="65" t="str">
        <x:v>Damage recommended cells</x:v>
      </x:c>
      <x:c r="D21" s="81" t="n">
        <x:f>'Capacity Sizing'!I8</x:f>
        <x:v>6</x:v>
      </x:c>
      <x:c r="E21" s="81" t="n">
        <x:v>6</x:v>
      </x:c>
      <x:c r="F21" s="81" t="n">
        <x:f>D21-E21</x:f>
        <x:v>0</x:v>
      </x:c>
      <x:c r="G21" s="65" t="str">
        <x:f>IF(ABS(F21)&lt;0.001,"PASS","FAIL")</x:f>
        <x:v>PASS</x:v>
      </x:c>
      <x:c r="H21" s="67" t="str"/>
    </x:row>
    <x:row r="22" ht="28" customHeight="1">
      <x:c r="B22" s="64" t="str">
        <x:v>AU16</x:v>
      </x:c>
      <x:c r="C22" s="65" t="str">
        <x:v>Closure residual utilization</x:v>
      </x:c>
      <x:c r="D22" s="81" t="n">
        <x:f>'Capacity Sizing'!L7</x:f>
        <x:v>0.6211930357358548</x:v>
      </x:c>
      <x:c r="E22" s="81" t="n">
        <x:v>0.621193</x:v>
      </x:c>
      <x:c r="F22" s="81" t="n">
        <x:f>D22-E22</x:f>
        <x:v>3.573585483085395e-8</x:v>
      </x:c>
      <x:c r="G22" s="65" t="str">
        <x:f>IF(ABS(F22)&lt;0.001,"PASS","FAIL")</x:f>
        <x:v>PASS</x:v>
      </x:c>
      <x:c r="H22" s="67" t="str"/>
    </x:row>
    <x:row r="23" ht="28" customHeight="1">
      <x:c r="B23" s="64" t="str">
        <x:v>AU17</x:v>
      </x:c>
      <x:c r="C23" s="65" t="str">
        <x:v>Damage residual utilization</x:v>
      </x:c>
      <x:c r="D23" s="81" t="n">
        <x:f>'Capacity Sizing'!L8</x:f>
        <x:v>0.5454641183593956</x:v>
      </x:c>
      <x:c r="E23" s="81" t="n">
        <x:v>0.545464</x:v>
      </x:c>
      <x:c r="F23" s="81" t="n">
        <x:f>D23-E23</x:f>
        <x:v>1.1835939561777309e-7</x:v>
      </x:c>
      <x:c r="G23" s="65" t="str">
        <x:f>IF(ABS(F23)&lt;0.001,"PASS","FAIL")</x:f>
        <x:v>PASS</x:v>
      </x:c>
      <x:c r="H23" s="67" t="str"/>
    </x:row>
    <x:row r="24" ht="28" customHeight="1">
      <x:c r="B24" s="64" t="str">
        <x:v>AU18</x:v>
      </x:c>
      <x:c r="C24" s="65" t="str">
        <x:v>Forensic workload</x:v>
      </x:c>
      <x:c r="D24" s="81" t="n">
        <x:f>'Capacity Sizing'!C9</x:f>
        <x:v>365</x:v>
      </x:c>
      <x:c r="E24" s="81" t="n">
        <x:v>365</x:v>
      </x:c>
      <x:c r="F24" s="81" t="n">
        <x:f>D24-E24</x:f>
        <x:v>0</x:v>
      </x:c>
      <x:c r="G24" s="65" t="str">
        <x:f>IF(ABS(F24)&lt;0.001,"PASS","FAIL")</x:f>
        <x:v>PASS</x:v>
      </x:c>
      <x:c r="H24" s="67" t="str"/>
    </x:row>
    <x:row r="25" ht="28" customHeight="1">
      <x:c r="B25" s="64" t="str">
        <x:v>AU19</x:v>
      </x:c>
      <x:c r="C25" s="65" t="str">
        <x:v>Water panel workload</x:v>
      </x:c>
      <x:c r="D25" s="81" t="n">
        <x:f>'Capacity Sizing'!C10</x:f>
        <x:v>6600</x:v>
      </x:c>
      <x:c r="E25" s="81" t="n">
        <x:v>6600</x:v>
      </x:c>
      <x:c r="F25" s="81" t="n">
        <x:f>D25-E25</x:f>
        <x:v>0</x:v>
      </x:c>
      <x:c r="G25" s="65" t="str">
        <x:f>IF(ABS(F25)&lt;0.001,"PASS","FAIL")</x:f>
        <x:v>PASS</x:v>
      </x:c>
      <x:c r="H25" s="67" t="str"/>
    </x:row>
    <x:row r="26" ht="28" customHeight="1">
      <x:c r="B26" s="64" t="str">
        <x:v>AU20</x:v>
      </x:c>
      <x:c r="C26" s="65" t="str">
        <x:v>Metrology brackets</x:v>
      </x:c>
      <x:c r="D26" s="81" t="n">
        <x:f>'Capacity Sizing'!C11</x:f>
        <x:v>254</x:v>
      </x:c>
      <x:c r="E26" s="81" t="n">
        <x:v>254</x:v>
      </x:c>
      <x:c r="F26" s="81" t="n">
        <x:f>D26-E26</x:f>
        <x:v>0</x:v>
      </x:c>
      <x:c r="G26" s="65" t="str">
        <x:f>IF(ABS(F26)&lt;0.001,"PASS","FAIL")</x:f>
        <x:v>PASS</x:v>
      </x:c>
      <x:c r="H26" s="67" t="str"/>
    </x:row>
    <x:row r="27" ht="28" customHeight="1">
      <x:c r="B27" s="64" t="str">
        <x:v>AU21</x:v>
      </x:c>
      <x:c r="C27" s="65" t="str">
        <x:v>Replay hours</x:v>
      </x:c>
      <x:c r="D27" s="81" t="n">
        <x:f>'Capacity Sizing'!C12</x:f>
        <x:v>2392</x:v>
      </x:c>
      <x:c r="E27" s="81" t="n">
        <x:v>2392</x:v>
      </x:c>
      <x:c r="F27" s="81" t="n">
        <x:f>D27-E27</x:f>
        <x:v>0</x:v>
      </x:c>
      <x:c r="G27" s="65" t="str">
        <x:f>IF(ABS(F27)&lt;0.001,"PASS","FAIL")</x:f>
        <x:v>PASS</x:v>
      </x:c>
      <x:c r="H27" s="67" t="str"/>
    </x:row>
    <x:row r="28" ht="28" customHeight="1">
      <x:c r="B28" s="64" t="str">
        <x:v>AU22</x:v>
      </x:c>
      <x:c r="C28" s="65" t="str">
        <x:v>Blind events</x:v>
      </x:c>
      <x:c r="D28" s="81" t="n">
        <x:f>'Capacity Sizing'!C13</x:f>
        <x:v>30</x:v>
      </x:c>
      <x:c r="E28" s="81" t="n">
        <x:v>30</x:v>
      </x:c>
      <x:c r="F28" s="81" t="n">
        <x:f>D28-E28</x:f>
        <x:v>0</x:v>
      </x:c>
      <x:c r="G28" s="65" t="str">
        <x:f>IF(ABS(F28)&lt;0.001,"PASS","FAIL")</x:f>
        <x:v>PASS</x:v>
      </x:c>
      <x:c r="H28" s="67" t="str"/>
    </x:row>
    <x:row r="29" ht="28" customHeight="1">
      <x:c r="B29" s="64" t="str">
        <x:v>AU23</x:v>
      </x:c>
      <x:c r="C29" s="65" t="str">
        <x:v>Capacity gates passing</x:v>
      </x:c>
      <x:c r="D29" s="81" t="n">
        <x:f>COUNTIF('Capacity Sizing'!M7:M13,"PASS")</x:f>
        <x:v>7</x:v>
      </x:c>
      <x:c r="E29" s="81" t="n">
        <x:v>7</x:v>
      </x:c>
      <x:c r="F29" s="81" t="n">
        <x:f>D29-E29</x:f>
        <x:v>0</x:v>
      </x:c>
      <x:c r="G29" s="65" t="str">
        <x:f>IF(ABS(F29)&lt;0.001,"PASS","FAIL")</x:f>
        <x:v>PASS</x:v>
      </x:c>
      <x:c r="H29" s="67" t="str"/>
    </x:row>
    <x:row r="30" ht="28" customHeight="1">
      <x:c r="B30" s="64" t="str">
        <x:v>AU24</x:v>
      </x:c>
      <x:c r="C30" s="65" t="str">
        <x:v>Campuses</x:v>
      </x:c>
      <x:c r="D30" s="81" t="n">
        <x:f>COUNTA('Campus Architecture'!B7:B9)</x:f>
        <x:v>3</x:v>
      </x:c>
      <x:c r="E30" s="81" t="n">
        <x:v>3</x:v>
      </x:c>
      <x:c r="F30" s="81" t="n">
        <x:f>D30-E30</x:f>
        <x:v>0</x:v>
      </x:c>
      <x:c r="G30" s="65" t="str">
        <x:f>IF(ABS(F30)&lt;0.001,"PASS","FAIL")</x:f>
        <x:v>PASS</x:v>
      </x:c>
      <x:c r="H30" s="67" t="str"/>
    </x:row>
    <x:row r="31" ht="28" customHeight="1">
      <x:c r="B31" s="64" t="str">
        <x:v>AU25</x:v>
      </x:c>
      <x:c r="C31" s="65" t="str">
        <x:v>Closure bay records</x:v>
      </x:c>
      <x:c r="D31" s="81" t="n">
        <x:f>COUNTA('Closure Bays'!B7:B12)</x:f>
        <x:v>6</x:v>
      </x:c>
      <x:c r="E31" s="81" t="n">
        <x:v>6</x:v>
      </x:c>
      <x:c r="F31" s="81" t="n">
        <x:f>D31-E31</x:f>
        <x:v>0</x:v>
      </x:c>
      <x:c r="G31" s="65" t="str">
        <x:f>IF(ABS(F31)&lt;0.001,"PASS","FAIL")</x:f>
        <x:v>PASS</x:v>
      </x:c>
      <x:c r="H31" s="67" t="str"/>
    </x:row>
    <x:row r="32" ht="28" customHeight="1">
      <x:c r="B32" s="64" t="str">
        <x:v>AU26</x:v>
      </x:c>
      <x:c r="C32" s="65" t="str">
        <x:v>Damage cell records</x:v>
      </x:c>
      <x:c r="D32" s="81" t="n">
        <x:f>COUNTA('Damage Cells'!B7:B12)</x:f>
        <x:v>6</x:v>
      </x:c>
      <x:c r="E32" s="81" t="n">
        <x:v>6</x:v>
      </x:c>
      <x:c r="F32" s="81" t="n">
        <x:f>D32-E32</x:f>
        <x:v>0</x:v>
      </x:c>
      <x:c r="G32" s="65" t="str">
        <x:f>IF(ABS(F32)&lt;0.001,"PASS","FAIL")</x:f>
        <x:v>PASS</x:v>
      </x:c>
      <x:c r="H32" s="67" t="str"/>
    </x:row>
    <x:row r="33" ht="28" customHeight="1">
      <x:c r="B33" s="64" t="str">
        <x:v>AU27</x:v>
      </x:c>
      <x:c r="C33" s="65" t="str">
        <x:v>Metrology teams</x:v>
      </x:c>
      <x:c r="D33" s="81" t="n">
        <x:f>COUNTA(Metrology!B7:B12)</x:f>
        <x:v>6</x:v>
      </x:c>
      <x:c r="E33" s="81" t="n">
        <x:v>6</x:v>
      </x:c>
      <x:c r="F33" s="81" t="n">
        <x:f>D33-E33</x:f>
        <x:v>0</x:v>
      </x:c>
      <x:c r="G33" s="65" t="str">
        <x:f>IF(ABS(F33)&lt;0.001,"PASS","FAIL")</x:f>
        <x:v>PASS</x:v>
      </x:c>
      <x:c r="H33" s="67" t="str"/>
    </x:row>
    <x:row r="34" ht="28" customHeight="1">
      <x:c r="B34" s="64" t="str">
        <x:v>AU28</x:v>
      </x:c>
      <x:c r="C34" s="65" t="str">
        <x:v>Water labs</x:v>
      </x:c>
      <x:c r="D34" s="81" t="n">
        <x:f>COUNTA('Water Labs'!B7:B12)</x:f>
        <x:v>6</x:v>
      </x:c>
      <x:c r="E34" s="81" t="n">
        <x:v>6</x:v>
      </x:c>
      <x:c r="F34" s="81" t="n">
        <x:f>D34-E34</x:f>
        <x:v>0</x:v>
      </x:c>
      <x:c r="G34" s="65" t="str">
        <x:f>IF(ABS(F34)&lt;0.001,"PASS","FAIL")</x:f>
        <x:v>PASS</x:v>
      </x:c>
      <x:c r="H34" s="67" t="str"/>
    </x:row>
    <x:row r="35" ht="28" customHeight="1">
      <x:c r="B35" s="64" t="str">
        <x:v>AU29</x:v>
      </x:c>
      <x:c r="C35" s="65" t="str">
        <x:v>Forensic lines</x:v>
      </x:c>
      <x:c r="D35" s="81" t="n">
        <x:f>COUNTA('Forensic Lines'!B7:B9)</x:f>
        <x:v>3</x:v>
      </x:c>
      <x:c r="E35" s="81" t="n">
        <x:v>3</x:v>
      </x:c>
      <x:c r="F35" s="81" t="n">
        <x:f>D35-E35</x:f>
        <x:v>0</x:v>
      </x:c>
      <x:c r="G35" s="65" t="str">
        <x:f>IF(ABS(F35)&lt;0.001,"PASS","FAIL")</x:f>
        <x:v>PASS</x:v>
      </x:c>
      <x:c r="H35" s="67" t="str"/>
    </x:row>
    <x:row r="36" ht="28" customHeight="1">
      <x:c r="B36" s="64" t="str">
        <x:v>AU30</x:v>
      </x:c>
      <x:c r="C36" s="65" t="str">
        <x:v>Replay cells</x:v>
      </x:c>
      <x:c r="D36" s="81" t="n">
        <x:f>COUNTA('Evidence Replay'!B7:B12)</x:f>
        <x:v>6</x:v>
      </x:c>
      <x:c r="E36" s="81" t="n">
        <x:v>6</x:v>
      </x:c>
      <x:c r="F36" s="81" t="n">
        <x:f>D36-E36</x:f>
        <x:v>0</x:v>
      </x:c>
      <x:c r="G36" s="65" t="str">
        <x:f>IF(ABS(F36)&lt;0.001,"PASS","FAIL")</x:f>
        <x:v>PASS</x:v>
      </x:c>
      <x:c r="H36" s="67" t="str"/>
    </x:row>
    <x:row r="37" ht="28" customHeight="1">
      <x:c r="B37" s="64" t="str">
        <x:v>AU31</x:v>
      </x:c>
      <x:c r="C37" s="65" t="str">
        <x:v>Blind shops</x:v>
      </x:c>
      <x:c r="D37" s="81" t="n">
        <x:f>COUNTA('Blind Shops'!B7:B9)</x:f>
        <x:v>3</x:v>
      </x:c>
      <x:c r="E37" s="81" t="n">
        <x:v>3</x:v>
      </x:c>
      <x:c r="F37" s="81" t="n">
        <x:f>D37-E37</x:f>
        <x:v>0</x:v>
      </x:c>
      <x:c r="G37" s="65" t="str">
        <x:f>IF(ABS(F37)&lt;0.001,"PASS","FAIL")</x:f>
        <x:v>PASS</x:v>
      </x:c>
      <x:c r="H37" s="67" t="str"/>
    </x:row>
    <x:row r="38" ht="28" customHeight="1">
      <x:c r="B38" s="64" t="str">
        <x:v>AU32</x:v>
      </x:c>
      <x:c r="C38" s="65" t="str">
        <x:v>Reset stock classes</x:v>
      </x:c>
      <x:c r="D38" s="81" t="n">
        <x:f>COUNTA('Reset Stocks'!B7:B15)</x:f>
        <x:v>9</x:v>
      </x:c>
      <x:c r="E38" s="81" t="n">
        <x:v>9</x:v>
      </x:c>
      <x:c r="F38" s="81" t="n">
        <x:f>D38-E38</x:f>
        <x:v>0</x:v>
      </x:c>
      <x:c r="G38" s="65" t="str">
        <x:f>IF(ABS(F38)&lt;0.001,"PASS","FAIL")</x:f>
        <x:v>PASS</x:v>
      </x:c>
      <x:c r="H38" s="67" t="str"/>
    </x:row>
    <x:row r="39" ht="28" customHeight="1">
      <x:c r="B39" s="64" t="str">
        <x:v>AU33</x:v>
      </x:c>
      <x:c r="C39" s="65" t="str">
        <x:v>Regeneration clocks</x:v>
      </x:c>
      <x:c r="D39" s="81" t="n">
        <x:f>COUNTA('Reset Stocks'!B20:B27)</x:f>
        <x:v>8</x:v>
      </x:c>
      <x:c r="E39" s="81" t="n">
        <x:v>8</x:v>
      </x:c>
      <x:c r="F39" s="81" t="n">
        <x:f>D39-E39</x:f>
        <x:v>0</x:v>
      </x:c>
      <x:c r="G39" s="65" t="str">
        <x:f>IF(ABS(F39)&lt;0.001,"PASS","FAIL")</x:f>
        <x:v>PASS</x:v>
      </x:c>
      <x:c r="H39" s="67" t="str"/>
    </x:row>
    <x:row r="40" ht="28" customHeight="1">
      <x:c r="B40" s="64" t="str">
        <x:v>AU34</x:v>
      </x:c>
      <x:c r="C40" s="65" t="str">
        <x:v>Direct personnel</x:v>
      </x:c>
      <x:c r="D40" s="81" t="n">
        <x:f>Workforce!D18</x:f>
        <x:v>1230</x:v>
      </x:c>
      <x:c r="E40" s="81" t="n">
        <x:v>1230</x:v>
      </x:c>
      <x:c r="F40" s="81" t="n">
        <x:f>D40-E40</x:f>
        <x:v>0</x:v>
      </x:c>
      <x:c r="G40" s="65" t="str">
        <x:f>IF(ABS(F40)&lt;0.001,"PASS","FAIL")</x:f>
        <x:v>PASS</x:v>
      </x:c>
      <x:c r="H40" s="67" t="str"/>
    </x:row>
    <x:row r="41" ht="28" customHeight="1">
      <x:c r="B41" s="64" t="str">
        <x:v>AU35</x:v>
      </x:c>
      <x:c r="C41" s="65" t="str">
        <x:v>Industrial affiliates</x:v>
      </x:c>
      <x:c r="D41" s="81" t="n">
        <x:f>'Control Inputs'!D54</x:f>
        <x:v>1850</x:v>
      </x:c>
      <x:c r="E41" s="81" t="n">
        <x:v>1850</x:v>
      </x:c>
      <x:c r="F41" s="81" t="n">
        <x:f>D41-E41</x:f>
        <x:v>0</x:v>
      </x:c>
      <x:c r="G41" s="65" t="str">
        <x:f>IF(ABS(F41)&lt;0.001,"PASS","FAIL")</x:f>
        <x:v>PASS</x:v>
      </x:c>
      <x:c r="H41" s="67" t="str"/>
    </x:row>
    <x:row r="42" ht="28" customHeight="1">
      <x:c r="B42" s="64" t="str">
        <x:v>AU36</x:v>
      </x:c>
      <x:c r="C42" s="65" t="str">
        <x:v>Schedule work packages</x:v>
      </x:c>
      <x:c r="D42" s="81" t="n">
        <x:f>COUNTA('Campaign Schedule'!B7:B14)</x:f>
        <x:v>8</x:v>
      </x:c>
      <x:c r="E42" s="81" t="n">
        <x:v>8</x:v>
      </x:c>
      <x:c r="F42" s="81" t="n">
        <x:f>D42-E42</x:f>
        <x:v>0</x:v>
      </x:c>
      <x:c r="G42" s="65" t="str">
        <x:f>IF(ABS(F42)&lt;0.001,"PASS","FAIL")</x:f>
        <x:v>PASS</x:v>
      </x:c>
      <x:c r="H42" s="67" t="str"/>
    </x:row>
    <x:row r="43" ht="28" customHeight="1">
      <x:c r="B43" s="64" t="str">
        <x:v>AU37</x:v>
      </x:c>
      <x:c r="C43" s="65" t="str">
        <x:v>Schedule final month</x:v>
      </x:c>
      <x:c r="D43" s="81" t="n">
        <x:f>'Campaign Schedule'!D18</x:f>
        <x:v>30</x:v>
      </x:c>
      <x:c r="E43" s="81" t="n">
        <x:v>30</x:v>
      </x:c>
      <x:c r="F43" s="81" t="n">
        <x:f>D43-E43</x:f>
        <x:v>0</x:v>
      </x:c>
      <x:c r="G43" s="65" t="str">
        <x:f>IF(ABS(F43)&lt;0.001,"PASS","FAIL")</x:f>
        <x:v>PASS</x:v>
      </x:c>
      <x:c r="H43" s="67" t="str"/>
    </x:row>
    <x:row r="44" ht="28" customHeight="1">
      <x:c r="B44" s="64" t="str">
        <x:v>AU38</x:v>
      </x:c>
      <x:c r="C44" s="65" t="str">
        <x:v>Capital uses</x:v>
      </x:c>
      <x:c r="D44" s="81" t="n">
        <x:f>COUNTA('Capital Control'!B7:B17)</x:f>
        <x:v>11</x:v>
      </x:c>
      <x:c r="E44" s="81" t="n">
        <x:v>11</x:v>
      </x:c>
      <x:c r="F44" s="81" t="n">
        <x:f>D44-E44</x:f>
        <x:v>0</x:v>
      </x:c>
      <x:c r="G44" s="65" t="str">
        <x:f>IF(ABS(F44)&lt;0.001,"PASS","FAIL")</x:f>
        <x:v>PASS</x:v>
      </x:c>
      <x:c r="H44" s="67" t="str"/>
    </x:row>
    <x:row r="45" ht="28" customHeight="1">
      <x:c r="B45" s="64" t="str">
        <x:v>AU39</x:v>
      </x:c>
      <x:c r="C45" s="65" t="str">
        <x:v>Capital total</x:v>
      </x:c>
      <x:c r="D45" s="81" t="n">
        <x:f>'Capital Control'!D20</x:f>
        <x:v>4.4799999999999995</x:v>
      </x:c>
      <x:c r="E45" s="81" t="n">
        <x:v>4.48</x:v>
      </x:c>
      <x:c r="F45" s="81" t="n">
        <x:f>D45-E45</x:f>
        <x:v>-8.881784197001252e-16</x:v>
      </x:c>
      <x:c r="G45" s="65" t="str">
        <x:f>IF(ABS(F45)&lt;0.001,"PASS","FAIL")</x:f>
        <x:v>PASS</x:v>
      </x:c>
      <x:c r="H45" s="67" t="str"/>
    </x:row>
    <x:row r="46" ht="28" customHeight="1">
      <x:c r="B46" s="64" t="str">
        <x:v>AU40</x:v>
      </x:c>
      <x:c r="C46" s="65" t="str">
        <x:v>Capital boundary</x:v>
      </x:c>
      <x:c r="D46" s="81" t="n">
        <x:f>'Capital Control'!D21</x:f>
        <x:v>8.12</x:v>
      </x:c>
      <x:c r="E46" s="81" t="n">
        <x:v>8.12</x:v>
      </x:c>
      <x:c r="F46" s="81" t="n">
        <x:f>D46-E46</x:f>
        <x:v>0</x:v>
      </x:c>
      <x:c r="G46" s="65" t="str">
        <x:f>IF(ABS(F46)&lt;0.001,"PASS","FAIL")</x:f>
        <x:v>PASS</x:v>
      </x:c>
      <x:c r="H46" s="67" t="str"/>
    </x:row>
    <x:row r="47" ht="28" customHeight="1">
      <x:c r="B47" s="64" t="str">
        <x:v>AU41</x:v>
      </x:c>
      <x:c r="C47" s="65" t="str">
        <x:v>Annual uses</x:v>
      </x:c>
      <x:c r="D47" s="81" t="n">
        <x:f>COUNTA('Annual Support'!B7:B16)</x:f>
        <x:v>10</x:v>
      </x:c>
      <x:c r="E47" s="81" t="n">
        <x:v>10</x:v>
      </x:c>
      <x:c r="F47" s="81" t="n">
        <x:f>D47-E47</x:f>
        <x:v>0</x:v>
      </x:c>
      <x:c r="G47" s="65" t="str">
        <x:f>IF(ABS(F47)&lt;0.001,"PASS","FAIL")</x:f>
        <x:v>PASS</x:v>
      </x:c>
      <x:c r="H47" s="67" t="str"/>
    </x:row>
    <x:row r="48" ht="28" customHeight="1">
      <x:c r="B48" s="64" t="str">
        <x:v>AU42</x:v>
      </x:c>
      <x:c r="C48" s="65" t="str">
        <x:v>Annual total</x:v>
      </x:c>
      <x:c r="D48" s="81" t="n">
        <x:f>'Annual Support'!D19</x:f>
        <x:v>0.39800000000000013</x:v>
      </x:c>
      <x:c r="E48" s="81" t="n">
        <x:v>0.398</x:v>
      </x:c>
      <x:c r="F48" s="81" t="n">
        <x:f>D48-E48</x:f>
        <x:v>1.1102230246251565e-16</x:v>
      </x:c>
      <x:c r="G48" s="65" t="str">
        <x:f>IF(ABS(F48)&lt;0.001,"PASS","FAIL")</x:f>
        <x:v>PASS</x:v>
      </x:c>
      <x:c r="H48" s="67" t="str"/>
    </x:row>
    <x:row r="49" ht="28" customHeight="1">
      <x:c r="B49" s="64" t="str">
        <x:v>AU43</x:v>
      </x:c>
      <x:c r="C49" s="65" t="str">
        <x:v>Annual boundary</x:v>
      </x:c>
      <x:c r="D49" s="81" t="n">
        <x:f>'Annual Support'!D20</x:f>
        <x:v>0.446</x:v>
      </x:c>
      <x:c r="E49" s="81" t="n">
        <x:v>0.446</x:v>
      </x:c>
      <x:c r="F49" s="81" t="n">
        <x:f>D49-E49</x:f>
        <x:v>0</x:v>
      </x:c>
      <x:c r="G49" s="65" t="str">
        <x:f>IF(ABS(F49)&lt;0.001,"PASS","FAIL")</x:f>
        <x:v>PASS</x:v>
      </x:c>
      <x:c r="H49" s="67" t="str"/>
    </x:row>
    <x:row r="50" ht="28" customHeight="1">
      <x:c r="B50" s="64" t="str">
        <x:v>AU44</x:v>
      </x:c>
      <x:c r="C50" s="65" t="str">
        <x:v>Common-cause families</x:v>
      </x:c>
      <x:c r="D50" s="81" t="n">
        <x:f>COUNTA('Common Cause'!B7:B18)</x:f>
        <x:v>12</x:v>
      </x:c>
      <x:c r="E50" s="81" t="n">
        <x:v>12</x:v>
      </x:c>
      <x:c r="F50" s="81" t="n">
        <x:f>D50-E50</x:f>
        <x:v>0</x:v>
      </x:c>
      <x:c r="G50" s="65" t="str">
        <x:f>IF(ABS(F50)&lt;0.001,"PASS","FAIL")</x:f>
        <x:v>PASS</x:v>
      </x:c>
      <x:c r="H50" s="67" t="str"/>
    </x:row>
    <x:row r="51" ht="28" customHeight="1">
      <x:c r="B51" s="64" t="str">
        <x:v>AU45</x:v>
      </x:c>
      <x:c r="C51" s="65" t="str">
        <x:v>Release gates</x:v>
      </x:c>
      <x:c r="D51" s="81" t="n">
        <x:f>COUNTA('Release Gates'!B7:B28)</x:f>
        <x:v>22</x:v>
      </x:c>
      <x:c r="E51" s="81" t="n">
        <x:v>22</x:v>
      </x:c>
      <x:c r="F51" s="81" t="n">
        <x:f>D51-E51</x:f>
        <x:v>0</x:v>
      </x:c>
      <x:c r="G51" s="65" t="str">
        <x:f>IF(ABS(F51)&lt;0.001,"PASS","FAIL")</x:f>
        <x:v>PASS</x:v>
      </x:c>
      <x:c r="H51" s="67" t="str"/>
    </x:row>
    <x:row r="52" ht="28" customHeight="1">
      <x:c r="B52" s="64" t="str">
        <x:v>AU46</x:v>
      </x:c>
      <x:c r="C52" s="65" t="str">
        <x:v>Planning gates passing</x:v>
      </x:c>
      <x:c r="D52" s="81" t="n">
        <x:f>COUNTIF('Release Gates'!G7:G23,"PLANNING PASS")</x:f>
        <x:v>17</x:v>
      </x:c>
      <x:c r="E52" s="81" t="n">
        <x:v>17</x:v>
      </x:c>
      <x:c r="F52" s="81" t="n">
        <x:f>D52-E52</x:f>
        <x:v>0</x:v>
      </x:c>
      <x:c r="G52" s="65" t="str">
        <x:f>IF(ABS(F52)&lt;0.001,"PASS","FAIL")</x:f>
        <x:v>PASS</x:v>
      </x:c>
      <x:c r="H52" s="67" t="str"/>
    </x:row>
    <x:row r="53" ht="28" customHeight="1">
      <x:c r="B53" s="64" t="str">
        <x:v>AU47</x:v>
      </x:c>
      <x:c r="C53" s="65" t="str">
        <x:v>Physical gates passing</x:v>
      </x:c>
      <x:c r="D53" s="81" t="n">
        <x:f>COUNTIF('Release Gates'!G24:G28,"PASS")</x:f>
        <x:v>0</x:v>
      </x:c>
      <x:c r="E53" s="81" t="n">
        <x:v>0</x:v>
      </x:c>
      <x:c r="F53" s="81" t="n">
        <x:f>D53-E53</x:f>
        <x:v>0</x:v>
      </x:c>
      <x:c r="G53" s="65" t="str">
        <x:f>IF(ABS(F53)&lt;0.001,"PASS","FAIL")</x:f>
        <x:v>PASS</x:v>
      </x:c>
      <x:c r="H53" s="67" t="str">
        <x:v>physical or authority state intentionally zero/held</x:v>
      </x:c>
    </x:row>
    <x:row r="54" ht="28" customHeight="1">
      <x:c r="B54" s="64" t="str">
        <x:v>AU48</x:v>
      </x:c>
      <x:c r="C54" s="65" t="str">
        <x:v>Planning authorized</x:v>
      </x:c>
      <x:c r="D54" s="81" t="n">
        <x:f>IF('Release Gates'!D32="AUTHORIZED",1,0)</x:f>
        <x:v>1</x:v>
      </x:c>
      <x:c r="E54" s="81" t="n">
        <x:v>1</x:v>
      </x:c>
      <x:c r="F54" s="81" t="n">
        <x:f>D54-E54</x:f>
        <x:v>0</x:v>
      </x:c>
      <x:c r="G54" s="65" t="str">
        <x:f>IF(ABS(F54)&lt;0.001,"PASS","FAIL")</x:f>
        <x:v>PASS</x:v>
      </x:c>
      <x:c r="H54" s="67" t="str">
        <x:v>physical or authority state intentionally zero/held</x:v>
      </x:c>
    </x:row>
    <x:row r="55" ht="28" customHeight="1">
      <x:c r="B55" s="64" t="str">
        <x:v>AU49</x:v>
      </x:c>
      <x:c r="C55" s="65" t="str">
        <x:v>Construction held</x:v>
      </x:c>
      <x:c r="D55" s="81" t="n">
        <x:f>IF('Release Gates'!D33="HOLD",1,0)</x:f>
        <x:v>1</x:v>
      </x:c>
      <x:c r="E55" s="81" t="n">
        <x:v>1</x:v>
      </x:c>
      <x:c r="F55" s="81" t="n">
        <x:f>D55-E55</x:f>
        <x:v>0</x:v>
      </x:c>
      <x:c r="G55" s="65" t="str">
        <x:f>IF(ABS(F55)&lt;0.001,"PASS","FAIL")</x:f>
        <x:v>PASS</x:v>
      </x:c>
      <x:c r="H55" s="67" t="str">
        <x:v>physical or authority state intentionally zero/held</x:v>
      </x:c>
    </x:row>
    <x:row r="56" ht="28" customHeight="1">
      <x:c r="B56" s="64" t="str">
        <x:v>AU50</x:v>
      </x:c>
      <x:c r="C56" s="65" t="str">
        <x:v>Campus commissioning held</x:v>
      </x:c>
      <x:c r="D56" s="81" t="n">
        <x:f>IF('Release Gates'!D34="HOLD",1,0)</x:f>
        <x:v>1</x:v>
      </x:c>
      <x:c r="E56" s="81" t="n">
        <x:v>1</x:v>
      </x:c>
      <x:c r="F56" s="81" t="n">
        <x:f>D56-E56</x:f>
        <x:v>0</x:v>
      </x:c>
      <x:c r="G56" s="65" t="str">
        <x:f>IF(ABS(F56)&lt;0.001,"PASS","FAIL")</x:f>
        <x:v>PASS</x:v>
      </x:c>
      <x:c r="H56" s="67" t="str">
        <x:v>physical or authority state intentionally zero/held</x:v>
      </x:c>
    </x:row>
    <x:row r="57" ht="28" customHeight="1">
      <x:c r="B57" s="64" t="str">
        <x:v>AU51</x:v>
      </x:c>
      <x:c r="C57" s="65" t="str">
        <x:v>Service lanes held</x:v>
      </x:c>
      <x:c r="D57" s="81" t="n">
        <x:f>IF('Release Gates'!D35="HOLD",1,0)</x:f>
        <x:v>1</x:v>
      </x:c>
      <x:c r="E57" s="81" t="n">
        <x:v>1</x:v>
      </x:c>
      <x:c r="F57" s="81" t="n">
        <x:f>D57-E57</x:f>
        <x:v>0</x:v>
      </x:c>
      <x:c r="G57" s="65" t="str">
        <x:f>IF(ABS(F57)&lt;0.001,"PASS","FAIL")</x:f>
        <x:v>PASS</x:v>
      </x:c>
      <x:c r="H57" s="67" t="str">
        <x:v>physical or authority state intentionally zero/held</x:v>
      </x:c>
    </x:row>
    <x:row r="58" ht="28" customHeight="1">
      <x:c r="B58" s="64" t="str">
        <x:v>AU52</x:v>
      </x:c>
      <x:c r="C58" s="65" t="str">
        <x:v>Loss rehearsal held</x:v>
      </x:c>
      <x:c r="D58" s="81" t="n">
        <x:f>IF('Release Gates'!D36="HOLD",1,0)</x:f>
        <x:v>1</x:v>
      </x:c>
      <x:c r="E58" s="81" t="n">
        <x:v>1</x:v>
      </x:c>
      <x:c r="F58" s="81" t="n">
        <x:f>D58-E58</x:f>
        <x:v>0</x:v>
      </x:c>
      <x:c r="G58" s="65" t="str">
        <x:f>IF(ABS(F58)&lt;0.001,"PASS","FAIL")</x:f>
        <x:v>PASS</x:v>
      </x:c>
      <x:c r="H58" s="67" t="str">
        <x:v>physical or authority state intentionally zero/held</x:v>
      </x:c>
    </x:row>
    <x:row r="59" ht="28" customHeight="1">
      <x:c r="B59" s="64" t="str">
        <x:v>AU53</x:v>
      </x:c>
      <x:c r="C59" s="65" t="str">
        <x:v>First wave held</x:v>
      </x:c>
      <x:c r="D59" s="81" t="n">
        <x:f>IF('Release Gates'!D37="HOLD",1,0)</x:f>
        <x:v>1</x:v>
      </x:c>
      <x:c r="E59" s="81" t="n">
        <x:v>1</x:v>
      </x:c>
      <x:c r="F59" s="81" t="n">
        <x:f>D59-E59</x:f>
        <x:v>0</x:v>
      </x:c>
      <x:c r="G59" s="65" t="str">
        <x:f>IF(ABS(F59)&lt;0.001,"PASS","FAIL")</x:f>
        <x:v>PASS</x:v>
      </x:c>
      <x:c r="H59" s="67" t="str">
        <x:v>physical or authority state intentionally zero/held</x:v>
      </x:c>
    </x:row>
    <x:row r="60" ht="28" customHeight="1">
      <x:c r="B60" s="64" t="str">
        <x:v>AU54</x:v>
      </x:c>
      <x:c r="C60" s="65" t="str">
        <x:v>Production/rendering blocked</x:v>
      </x:c>
      <x:c r="D60" s="81" t="n">
        <x:f>IF('Release Gates'!D38="BLOCKED",1,0)</x:f>
        <x:v>1</x:v>
      </x:c>
      <x:c r="E60" s="81" t="n">
        <x:v>1</x:v>
      </x:c>
      <x:c r="F60" s="81" t="n">
        <x:f>D60-E60</x:f>
        <x:v>0</x:v>
      </x:c>
      <x:c r="G60" s="65" t="str">
        <x:f>IF(ABS(F60)&lt;0.001,"PASS","FAIL")</x:f>
        <x:v>PASS</x:v>
      </x:c>
      <x:c r="H60" s="67" t="str">
        <x:v>physical or authority state intentionally zero/held</x:v>
      </x:c>
    </x:row>
    <x:row r="61" ht="28" customHeight="1">
      <x:c r="B61" s="64" t="str">
        <x:v>AU55</x:v>
      </x:c>
      <x:c r="C61" s="65" t="str">
        <x:v>Constructed campuses</x:v>
      </x:c>
      <x:c r="D61" s="81" t="n">
        <x:f>'Control Inputs'!D62</x:f>
        <x:v>0</x:v>
      </x:c>
      <x:c r="E61" s="81" t="n">
        <x:v>0</x:v>
      </x:c>
      <x:c r="F61" s="81" t="n">
        <x:f>D61-E61</x:f>
        <x:v>0</x:v>
      </x:c>
      <x:c r="G61" s="65" t="str">
        <x:f>IF(ABS(F61)&lt;0.001,"PASS","FAIL")</x:f>
        <x:v>PASS</x:v>
      </x:c>
      <x:c r="H61" s="67" t="str">
        <x:v>physical or authority state intentionally zero/held</x:v>
      </x:c>
    </x:row>
    <x:row r="62" ht="28" customHeight="1">
      <x:c r="B62" s="64" t="str">
        <x:v>AU56</x:v>
      </x:c>
      <x:c r="C62" s="65" t="str">
        <x:v>Commissioned islands</x:v>
      </x:c>
      <x:c r="D62" s="81" t="n">
        <x:f>'Control Inputs'!D63</x:f>
        <x:v>0</x:v>
      </x:c>
      <x:c r="E62" s="81" t="n">
        <x:v>0</x:v>
      </x:c>
      <x:c r="F62" s="81" t="n">
        <x:f>D62-E62</x:f>
        <x:v>0</x:v>
      </x:c>
      <x:c r="G62" s="65" t="str">
        <x:f>IF(ABS(F62)&lt;0.001,"PASS","FAIL")</x:f>
        <x:v>PASS</x:v>
      </x:c>
      <x:c r="H62" s="67" t="str">
        <x:v>physical or authority state intentionally zero/held</x:v>
      </x:c>
    </x:row>
    <x:row r="63" ht="28" customHeight="1">
      <x:c r="B63" s="64" t="str">
        <x:v>AU57</x:v>
      </x:c>
      <x:c r="C63" s="65" t="str">
        <x:v>Commissioned lanes</x:v>
      </x:c>
      <x:c r="D63" s="81" t="n">
        <x:f>'Control Inputs'!D64</x:f>
        <x:v>0</x:v>
      </x:c>
      <x:c r="E63" s="81" t="n">
        <x:v>0</x:v>
      </x:c>
      <x:c r="F63" s="81" t="n">
        <x:f>D63-E63</x:f>
        <x:v>0</x:v>
      </x:c>
      <x:c r="G63" s="65" t="str">
        <x:f>IF(ABS(F63)&lt;0.001,"PASS","FAIL")</x:f>
        <x:v>PASS</x:v>
      </x:c>
      <x:c r="H63" s="67" t="str">
        <x:v>physical or authority state intentionally zero/held</x:v>
      </x:c>
    </x:row>
    <x:row r="64" ht="28" customHeight="1">
      <x:c r="B64" s="64" t="str">
        <x:v>AU58</x:v>
      </x:c>
      <x:c r="C64" s="65" t="str">
        <x:v>Loss rehearsal input</x:v>
      </x:c>
      <x:c r="D64" s="81" t="n">
        <x:f>'Control Inputs'!D65</x:f>
        <x:v>0</x:v>
      </x:c>
      <x:c r="E64" s="81" t="n">
        <x:v>0</x:v>
      </x:c>
      <x:c r="F64" s="81" t="n">
        <x:f>D64-E64</x:f>
        <x:v>0</x:v>
      </x:c>
      <x:c r="G64" s="65" t="str">
        <x:f>IF(ABS(F64)&lt;0.001,"PASS","FAIL")</x:f>
        <x:v>PASS</x:v>
      </x:c>
      <x:c r="H64" s="67" t="str">
        <x:v>physical or authority state intentionally zero/held</x:v>
      </x:c>
    </x:row>
    <x:row r="65" ht="28" customHeight="1">
      <x:c r="B65" s="69" t="str">
        <x:v>AU59</x:v>
      </x:c>
      <x:c r="C65" s="70" t="str">
        <x:v>First-wave input</x:v>
      </x:c>
      <x:c r="D65" s="82" t="n">
        <x:f>'Control Inputs'!D66</x:f>
        <x:v>0</x:v>
      </x:c>
      <x:c r="E65" s="82" t="n">
        <x:v>0</x:v>
      </x:c>
      <x:c r="F65" s="82" t="n">
        <x:f>D65-E65</x:f>
        <x:v>0</x:v>
      </x:c>
      <x:c r="G65" s="70" t="str">
        <x:f>IF(ABS(F65)&lt;0.001,"PASS","FAIL")</x:f>
        <x:v>PASS</x:v>
      </x:c>
      <x:c r="H65" s="72" t="str">
        <x:v>physical or authority state intentionally zero/held</x:v>
      </x:c>
    </x:row>
  </x:sheetData>
  <x:mergeCells>
    <x:mergeCell ref="B3:H3"/>
  </x:mergeCells>
  <x:conditionalFormatting sqref="G7:G65">
    <x:cfRule type="containsText" dxfId="336" priority="1" operator="containsText" text="FAIL"/>
    <x:cfRule type="containsText" dxfId="337" priority="2" operator="containsText" text="BLOCKED"/>
    <x:cfRule type="containsText" dxfId="338" priority="3" operator="containsText" text="HOLD"/>
    <x:cfRule type="containsText" dxfId="339" priority="4" operator="containsText" text="OPEN"/>
    <x:cfRule type="containsText" dxfId="340" priority="5" operator="containsText" text="OUT"/>
    <x:cfRule type="containsText" dxfId="341" priority="6" operator="containsText" text="UNTESTED"/>
    <x:cfRule type="containsText" dxfId="342" priority="7" operator="containsText" text="PASS"/>
    <x:cfRule type="containsText" dxfId="343" priority="8" operator="containsText" text="READY"/>
    <x:cfRule type="containsText" dxfId="344" priority="9" operator="containsText" text="AUTHORIZED"/>
    <x:cfRule type="containsText" dxfId="345" priority="10" operator="containsText" text="PLANNING PASS"/>
    <x:cfRule type="containsText" dxfId="346" priority="11" operator="containsText" text="RELEASED"/>
    <x:cfRule type="containsText" dxfId="347" priority="12" operator="containsText" text="ADMITTE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8C6D3F"/>
  </x:sheetPr>
  <x:sheetViews>
    <x:sheetView showGridLines="0" workbookViewId="0"/>
  </x:sheetViews>
  <x:sheetFormatPr defaultRowHeight="15"/>
  <x:cols>
    <x:col min="2" max="2" width="29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B2" s="1" t="str">
        <x:v>Workbook method and limitations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2" t="str">
        <x:v>A prospective range-throughput model with no site, vendor, observed invalidity or physical readiness data.</x:v>
      </x:c>
      <x:c r="C3" s="53"/>
      <x:c r="D3" s="53"/>
      <x:c r="E3" s="53"/>
      <x:c r="F3" s="53"/>
      <x:c r="G3" s="53"/>
      <x:c r="H3" s="53"/>
      <x:c r="I3" s="53"/>
      <x:c r="J3" s="53"/>
    </x:row>
    <x:row r="4"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56" t="str">
        <x:v>Method</x:v>
      </x:c>
      <x:c r="C6" s="57" t="str">
        <x:v>Method</x:v>
      </x:c>
      <x:c r="D6" s="57" t="str">
        <x:v>Method</x:v>
      </x:c>
      <x:c r="E6" s="57" t="str">
        <x:v>Method</x:v>
      </x:c>
      <x:c r="F6" s="57" t="str">
        <x:v>Method</x:v>
      </x:c>
      <x:c r="G6" s="57" t="str">
        <x:v>Method</x:v>
      </x:c>
      <x:c r="H6" s="57" t="str">
        <x:v>Method</x:v>
      </x:c>
      <x:c r="I6" s="57" t="str">
        <x:v>Method</x:v>
      </x:c>
      <x:c r="J6" s="58" t="str">
        <x:v>Method</x:v>
      </x:c>
    </x:row>
    <x:row r="7" ht="49" customHeight="1">
      <x:c r="B7" s="52" t="str">
        <x:v>Decision</x:v>
      </x:c>
      <x:c r="C7" s="61" t="str">
        <x:v>How much complete public capacity preserves the F36 campaign after stochastic invalid events and a lost campus.</x:v>
      </x:c>
      <x:c r="D7" s="61"/>
      <x:c r="E7" s="61"/>
      <x:c r="F7" s="61"/>
      <x:c r="G7" s="61"/>
      <x:c r="H7" s="61"/>
      <x:c r="I7" s="61"/>
      <x:c r="J7" s="61"/>
    </x:row>
    <x:row r="8" ht="49" customHeight="1">
      <x:c r="B8" s="52" t="str">
        <x:v>Demand</x:v>
      </x:c>
      <x:c r="C8" s="61" t="str">
        <x:v>Negative-binomial moments with a normal P90 approximation; replace after commissioning data exist.</x:v>
      </x:c>
      <x:c r="D8" s="61"/>
      <x:c r="E8" s="61"/>
      <x:c r="F8" s="61"/>
      <x:c r="G8" s="61"/>
      <x:c r="H8" s="61"/>
      <x:c r="I8" s="61"/>
      <x:c r="J8" s="61"/>
    </x:row>
    <x:row r="9" ht="49" customHeight="1">
      <x:c r="B9" s="52" t="str">
        <x:v>Capacity</x:v>
      </x:c>
      <x:c r="C9" s="61" t="str">
        <x:v>Workload divided by productive calendar capacity; residual utilization is tested after a whole-campus asset loss.</x:v>
      </x:c>
      <x:c r="D9" s="61"/>
      <x:c r="E9" s="61"/>
      <x:c r="F9" s="61"/>
      <x:c r="G9" s="61"/>
      <x:c r="H9" s="61"/>
      <x:c r="I9" s="61"/>
      <x:c r="J9" s="61"/>
    </x:row>
    <x:row r="10" ht="49" customHeight="1">
      <x:c r="B10" s="52" t="str">
        <x:v>Sources</x:v>
      </x:c>
      <x:c r="C10" s="61" t="str">
        <x:v>Internal Pass 101–103 program lineage only. No external sites or current standards are used.</x:v>
      </x:c>
      <x:c r="D10" s="61"/>
      <x:c r="E10" s="61"/>
      <x:c r="F10" s="61"/>
      <x:c r="G10" s="61"/>
      <x:c r="H10" s="61"/>
      <x:c r="I10" s="61"/>
      <x:c r="J10" s="61"/>
    </x:row>
    <x:row r="11" ht="49" customHeight="1">
      <x:c r="B11" s="52" t="str">
        <x:v>Finance</x:v>
      </x:c>
      <x:c r="C11" s="61" t="str">
        <x:v>USD billions; the range slice includes earlier nested protocol and commissioning infrastructure.</x:v>
      </x:c>
      <x:c r="D11" s="61"/>
      <x:c r="E11" s="61"/>
      <x:c r="F11" s="61"/>
      <x:c r="G11" s="61"/>
      <x:c r="H11" s="61"/>
      <x:c r="I11" s="61"/>
      <x:c r="J11" s="61"/>
    </x:row>
    <x:row r="12" ht="49" customHeight="1">
      <x:c r="B12" s="52" t="str">
        <x:v>Authority</x:v>
      </x:c>
      <x:c r="C12" s="61" t="str">
        <x:v>Seventeen planning gates pass. Construction, commissioning, rehearsal, campaign, production and rendering remain held.</x:v>
      </x:c>
      <x:c r="D12" s="61"/>
      <x:c r="E12" s="61"/>
      <x:c r="F12" s="61"/>
      <x:c r="G12" s="61"/>
      <x:c r="H12" s="61"/>
      <x:c r="I12" s="61"/>
      <x:c r="J12" s="61"/>
    </x:row>
    <x:row r="13">
      <x:c r="B13" s="53"/>
      <x:c r="C13" s="53"/>
      <x:c r="D13" s="53"/>
      <x:c r="E13" s="53"/>
      <x:c r="F13" s="53"/>
      <x:c r="G13" s="53"/>
      <x:c r="H13" s="53"/>
      <x:c r="I13" s="53"/>
      <x:c r="J13" s="53"/>
    </x:row>
    <x:row r="14">
      <x:c r="B14" s="53"/>
      <x:c r="C14" s="53"/>
      <x:c r="D14" s="53"/>
      <x:c r="E14" s="53"/>
      <x:c r="F14" s="53"/>
      <x:c r="G14" s="53"/>
      <x:c r="H14" s="53"/>
      <x:c r="I14" s="53"/>
      <x:c r="J14" s="53"/>
    </x:row>
    <x:row r="15">
      <x:c r="B15" s="56" t="str">
        <x:v>State grammar</x:v>
      </x:c>
      <x:c r="C15" s="57" t="str">
        <x:v>State grammar</x:v>
      </x:c>
      <x:c r="D15" s="57" t="str">
        <x:v>State grammar</x:v>
      </x:c>
      <x:c r="E15" s="57" t="str">
        <x:v>State grammar</x:v>
      </x:c>
      <x:c r="F15" s="57" t="str">
        <x:v>State grammar</x:v>
      </x:c>
      <x:c r="G15" s="57" t="str">
        <x:v>State grammar</x:v>
      </x:c>
      <x:c r="H15" s="57" t="str">
        <x:v>State grammar</x:v>
      </x:c>
      <x:c r="I15" s="57" t="str">
        <x:v>State grammar</x:v>
      </x:c>
      <x:c r="J15" s="58" t="str">
        <x:v>State grammar</x:v>
      </x:c>
    </x:row>
    <x:row r="16" ht="41" customHeight="1">
      <x:c r="B16" s="52" t="str">
        <x:v>READY</x:v>
      </x:c>
      <x:c r="C16" s="61" t="str">
        <x:v>Commissioned lane with valid people, references, configuration and stock.</x:v>
      </x:c>
      <x:c r="D16" s="61"/>
      <x:c r="E16" s="61"/>
      <x:c r="F16" s="61"/>
      <x:c r="G16" s="61"/>
      <x:c r="H16" s="61"/>
      <x:c r="I16" s="61"/>
      <x:c r="J16" s="61"/>
    </x:row>
    <x:row r="17" ht="41" customHeight="1">
      <x:c r="B17" s="52" t="str">
        <x:v>RESERVE_READY</x:v>
      </x:c>
      <x:c r="C17" s="61" t="str">
        <x:v>Commissioned and protected from routine schedule; counts only after declared activation.</x:v>
      </x:c>
      <x:c r="D17" s="61"/>
      <x:c r="E17" s="61"/>
      <x:c r="F17" s="61"/>
      <x:c r="G17" s="61"/>
      <x:c r="H17" s="61"/>
      <x:c r="I17" s="61"/>
      <x:c r="J17" s="61"/>
    </x:row>
    <x:row r="18" ht="41" customHeight="1">
      <x:c r="B18" s="52" t="str">
        <x:v>OCCUPIED</x:v>
      </x:c>
      <x:c r="C18" s="61" t="str">
        <x:v>Registered event or mandatory hold is underway; no capacity credit.</x:v>
      </x:c>
      <x:c r="D18" s="61"/>
      <x:c r="E18" s="61"/>
      <x:c r="F18" s="61"/>
      <x:c r="G18" s="61"/>
      <x:c r="H18" s="61"/>
      <x:c r="I18" s="61"/>
      <x:c r="J18" s="61"/>
    </x:row>
    <x:row r="19" ht="41" customHeight="1">
      <x:c r="B19" s="52" t="str">
        <x:v>RESETTING</x:v>
      </x:c>
      <x:c r="C19" s="61" t="str">
        <x:v>Cleaning, repair, bracket, custody or evidence closure is incomplete.</x:v>
      </x:c>
      <x:c r="D19" s="61"/>
      <x:c r="E19" s="61"/>
      <x:c r="F19" s="61"/>
      <x:c r="G19" s="61"/>
      <x:c r="H19" s="61"/>
      <x:c r="I19" s="61"/>
      <x:c r="J19" s="61"/>
    </x:row>
    <x:row r="20" ht="41" customHeight="1">
      <x:c r="B20" s="52" t="str">
        <x:v>OUT</x:v>
      </x:c>
      <x:c r="C20" s="61" t="str">
        <x:v>Unsafe, uncalibrated, unstaffed or configuration-unknown.</x:v>
      </x:c>
      <x:c r="D20" s="61"/>
      <x:c r="E20" s="61"/>
      <x:c r="F20" s="61"/>
      <x:c r="G20" s="61"/>
      <x:c r="H20" s="61"/>
      <x:c r="I20" s="61"/>
      <x:c r="J20" s="61"/>
    </x:row>
    <x:row r="21" ht="41" customHeight="1">
      <x:c r="B21" s="52" t="str">
        <x:v>PLANNING PASS</x:v>
      </x:c>
      <x:c r="C21" s="61" t="str">
        <x:v>Required design content exists; it is not physical capacity.</x:v>
      </x:c>
      <x:c r="D21" s="61"/>
      <x:c r="E21" s="61"/>
      <x:c r="F21" s="61"/>
      <x:c r="G21" s="61"/>
      <x:c r="H21" s="61"/>
      <x:c r="I21" s="61"/>
      <x:c r="J21" s="61"/>
    </x:row>
    <x:row r="22" ht="41" customHeight="1">
      <x:c r="B22" s="52" t="str">
        <x:v>HOLD / BLOCKED</x:v>
      </x:c>
      <x:c r="C22" s="61" t="str">
        <x:v>A predecessor is absent or parent authority is unavailable.</x:v>
      </x:c>
      <x:c r="D22" s="61"/>
      <x:c r="E22" s="61"/>
      <x:c r="F22" s="61"/>
      <x:c r="G22" s="61"/>
      <x:c r="H22" s="61"/>
      <x:c r="I22" s="61"/>
      <x:c r="J22" s="61"/>
    </x:row>
  </x:sheetData>
  <x:mergeCells>
    <x:mergeCell ref="B3:J3"/>
    <x:mergeCell ref="B6:J6"/>
    <x:mergeCell ref="C7:J7"/>
    <x:mergeCell ref="C8:J8"/>
    <x:mergeCell ref="C9:J9"/>
    <x:mergeCell ref="C10:J10"/>
    <x:mergeCell ref="C11:J11"/>
    <x:mergeCell ref="C12:J12"/>
    <x:mergeCell ref="B15:J15"/>
    <x:mergeCell ref="C16:J16"/>
    <x:mergeCell ref="C17:J17"/>
    <x:mergeCell ref="C18:J18"/>
    <x:mergeCell ref="C19:J19"/>
    <x:mergeCell ref="C20:J20"/>
    <x:mergeCell ref="C21:J21"/>
    <x:mergeCell ref="C22:J22"/>
  </x:mergeCells>
  <x:conditionalFormatting sqref="B16:B22">
    <x:cfRule type="containsText" dxfId="360" priority="1" operator="containsText" text="FAIL"/>
    <x:cfRule type="containsText" dxfId="361" priority="2" operator="containsText" text="BLOCKED"/>
    <x:cfRule type="containsText" dxfId="362" priority="3" operator="containsText" text="HOLD"/>
    <x:cfRule type="containsText" dxfId="363" priority="4" operator="containsText" text="OPEN"/>
    <x:cfRule type="containsText" dxfId="364" priority="5" operator="containsText" text="OUT"/>
    <x:cfRule type="containsText" dxfId="365" priority="6" operator="containsText" text="UNTESTED"/>
    <x:cfRule type="containsText" dxfId="366" priority="7" operator="containsText" text="PASS"/>
    <x:cfRule type="containsText" dxfId="367" priority="8" operator="containsText" text="READY"/>
    <x:cfRule type="containsText" dxfId="368" priority="9" operator="containsText" text="AUTHORIZED"/>
    <x:cfRule type="containsText" dxfId="369" priority="10" operator="containsText" text="PLANNING PASS"/>
    <x:cfRule type="containsText" dxfId="370" priority="11" operator="containsText" text="RELEASED"/>
    <x:cfRule type="containsText" dxfId="371" priority="12" operator="containsText" text="ADMITTED"/>
  </x:conditionalFormatting>
  <x:pageMargins left="0.7" right="0.7" top="0.75" bottom="0.75" header="0.3" footer="0.3"/>
</x:worksheet>
</file>