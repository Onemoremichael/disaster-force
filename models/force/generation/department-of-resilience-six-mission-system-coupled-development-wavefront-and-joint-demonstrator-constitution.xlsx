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831ad0924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7dfd9269aab4d55"/>
    <x:sheet xmlns:r="http://schemas.openxmlformats.org/officeDocument/2006/relationships" name="Decision" sheetId="2" r:id="R4b48263d07f3434e"/>
    <x:sheet xmlns:r="http://schemas.openxmlformats.org/officeDocument/2006/relationships" name="Candidates" sheetId="3" r:id="R9d13dbfeaafa4802"/>
    <x:sheet xmlns:r="http://schemas.openxmlformats.org/officeDocument/2006/relationships" name="Wavefront" sheetId="4" r:id="Re45e047822c6467d"/>
    <x:sheet xmlns:r="http://schemas.openxmlformats.org/officeDocument/2006/relationships" name="System Budgets" sheetId="5" r:id="R96a975228c3b4a0c"/>
    <x:sheet xmlns:r="http://schemas.openxmlformats.org/officeDocument/2006/relationships" name="Annual Program" sheetId="6" r:id="R617ce4b0bad249bd"/>
    <x:sheet xmlns:r="http://schemas.openxmlformats.org/officeDocument/2006/relationships" name="Gate Interlock" sheetId="7" r:id="R3fe38fa092d746ba"/>
    <x:sheet xmlns:r="http://schemas.openxmlformats.org/officeDocument/2006/relationships" name="Joint Campaign" sheetId="8" r:id="Re51be25ff30e4f0f"/>
    <x:sheet xmlns:r="http://schemas.openxmlformats.org/officeDocument/2006/relationships" name="Interface Matrix" sheetId="9" r:id="Rf32af1850b58440b"/>
    <x:sheet xmlns:r="http://schemas.openxmlformats.org/officeDocument/2006/relationships" name="Parent Fields" sheetId="10" r:id="R32b644f34801444d"/>
    <x:sheet xmlns:r="http://schemas.openxmlformats.org/officeDocument/2006/relationships" name="Common Primitives" sheetId="11" r:id="R2c0d9ab5eadb4205"/>
    <x:sheet xmlns:r="http://schemas.openxmlformats.org/officeDocument/2006/relationships" name="Economics" sheetId="12" r:id="Ra62844dea9834ea6"/>
    <x:sheet xmlns:r="http://schemas.openxmlformats.org/officeDocument/2006/relationships" name="Controls" sheetId="13" r:id="Rd093760dcdd74e1a"/>
    <x:sheet xmlns:r="http://schemas.openxmlformats.org/officeDocument/2006/relationships" name="Audits" sheetId="14" r:id="R669c46a8337647b5"/>
    <x:sheet xmlns:r="http://schemas.openxmlformats.org/officeDocument/2006/relationships" name="Sources" sheetId="15" r:id="R603e002b7e92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"/>
    <x:numFmt numFmtId="201" formatCode="0.0%"/>
    <x:numFmt numFmtId="202" formatCode="#,##0"/>
    <x:numFmt numFmtId="203" formatCode="#,##0.0"/>
    <x:numFmt numFmtId="204" formatCode="0"/>
    <x:numFmt numFmtId="205" formatCode="#,##0.0###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63717D"/>
      <x:name val="Arial"/>
    </x:font>
    <x:font>
      <x:b/>
      <x:sz val="10"/>
      <x:color rgb="FFFFFFFF"/>
      <x:name val="Arial"/>
    </x:font>
    <x:font>
      <x:sz val="10"/>
      <x:color rgb="FF23323F"/>
      <x:name val="Arial"/>
    </x:font>
    <x:font>
      <x:b/>
      <x:sz val="10"/>
      <x:color rgb="FF23323F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11"/>
      <x:color rgb="FF23323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EDF3F6"/>
      </x:patternFill>
    </x:fill>
  </x:fills>
  <x:borders count="7">
    <x:border/>
    <x:border>
      <x:bottom style="thin">
        <x:color rgb="FFCBD5DC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bottom style="hair">
        <x:color rgb="FFCBD5DC"/>
      </x:bottom>
    </x:border>
    <x:border>
      <x:top style="double">
        <x:color rgb="FF17324D"/>
      </x:top>
      <x:bottom style="hair">
        <x:color rgb="FFCBD5DC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166534"/>
      </x:font>
      <x:fill>
        <x:patternFill patternType="solid">
          <x:bgColor rgb="FFEAF5EC"/>
        </x:patternFill>
      </x:fill>
    </x:dxf>
    <x:dxf>
      <x:font>
        <x:b/>
        <x:color rgb="FFC68A2B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166534"/>
      </x:font>
      <x:fill>
        <x:patternFill patternType="solid">
          <x:bgColor rgb="FFEAF5EC"/>
        </x:patternFill>
      </x:fill>
    </x:dxf>
    <x:dxf>
      <x:font>
        <x:b/>
        <x:color rgb="FFC68A2B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166534"/>
      </x:font>
      <x:fill>
        <x:patternFill patternType="solid">
          <x:bgColor rgb="FFEAF5EC"/>
        </x:patternFill>
      </x:fill>
    </x:dxf>
    <x:dxf>
      <x:font>
        <x:b/>
        <x:color rgb="FFC68A2B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166534"/>
      </x:font>
      <x:fill>
        <x:patternFill patternType="solid">
          <x:bgColor rgb="FFEAF5EC"/>
        </x:patternFill>
      </x:fill>
    </x:dxf>
    <x:dxf>
      <x:font>
        <x:b/>
        <x:color rgb="FFC68A2B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166534"/>
      </x:font>
      <x:fill>
        <x:patternFill patternType="solid">
          <x:bgColor rgb="FFEAF5EC"/>
        </x:patternFill>
      </x:fill>
    </x:dxf>
    <x:dxf>
      <x:font>
        <x:b/>
        <x:color rgb="FFC68A2B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951ad4d234307" /><Relationship Type="http://schemas.openxmlformats.org/officeDocument/2006/relationships/theme" Target="/xl/theme/theme1.xml" Id="R7485e68e02a5422e" /><Relationship Type="http://schemas.microsoft.com/office/2022/11/relationships/FeaturePropertyBag" Target="/xl/featurePropertyBag/featurePropertyBag.xml" Id="R00c49efad9b0459a" /><Relationship Type="http://schemas.openxmlformats.org/officeDocument/2006/relationships/sharedStrings" Target="/xl/sharedStrings.xml" Id="Rcbe812e5f0be4101" /><Relationship Type="http://schemas.openxmlformats.org/officeDocument/2006/relationships/worksheet" Target="/xl/worksheets/sheet1.xml" Id="R17dfd9269aab4d55" /><Relationship Type="http://schemas.openxmlformats.org/officeDocument/2006/relationships/worksheet" Target="/xl/worksheets/sheet2.xml" Id="R4b48263d07f3434e" /><Relationship Type="http://schemas.openxmlformats.org/officeDocument/2006/relationships/worksheet" Target="/xl/worksheets/sheet3.xml" Id="R9d13dbfeaafa4802" /><Relationship Type="http://schemas.openxmlformats.org/officeDocument/2006/relationships/worksheet" Target="/xl/worksheets/sheet4.xml" Id="Re45e047822c6467d" /><Relationship Type="http://schemas.openxmlformats.org/officeDocument/2006/relationships/worksheet" Target="/xl/worksheets/sheet5.xml" Id="R96a975228c3b4a0c" /><Relationship Type="http://schemas.openxmlformats.org/officeDocument/2006/relationships/worksheet" Target="/xl/worksheets/sheet6.xml" Id="R617ce4b0bad249bd" /><Relationship Type="http://schemas.openxmlformats.org/officeDocument/2006/relationships/worksheet" Target="/xl/worksheets/sheet7.xml" Id="R3fe38fa092d746ba" /><Relationship Type="http://schemas.openxmlformats.org/officeDocument/2006/relationships/worksheet" Target="/xl/worksheets/sheet8.xml" Id="Re51be25ff30e4f0f" /><Relationship Type="http://schemas.openxmlformats.org/officeDocument/2006/relationships/worksheet" Target="/xl/worksheets/sheet9.xml" Id="Rf32af1850b58440b" /><Relationship Type="http://schemas.openxmlformats.org/officeDocument/2006/relationships/worksheet" Target="/xl/worksheets/sheet10.xml" Id="R32b644f34801444d" /><Relationship Type="http://schemas.openxmlformats.org/officeDocument/2006/relationships/worksheet" Target="/xl/worksheets/sheet11.xml" Id="R2c0d9ab5eadb4205" /><Relationship Type="http://schemas.openxmlformats.org/officeDocument/2006/relationships/worksheet" Target="/xl/worksheets/sheet12.xml" Id="Ra62844dea9834ea6" /><Relationship Type="http://schemas.openxmlformats.org/officeDocument/2006/relationships/worksheet" Target="/xl/worksheets/sheet13.xml" Id="Rd093760dcdd74e1a" /><Relationship Type="http://schemas.openxmlformats.org/officeDocument/2006/relationships/worksheet" Target="/xl/worksheets/sheet14.xml" Id="R669c46a8337647b5" /><Relationship Type="http://schemas.openxmlformats.org/officeDocument/2006/relationships/worksheet" Target="/xl/worksheets/sheet15.xml" Id="R603e002b7e9246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857c695b4045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35a30e07f8d48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Mission-system development allocation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25Y allocation (USD B)</c:v>
          </c:tx>
          <c:cat>
            <c:strRef>
              <c:f>'System Budgets'!$C$6:$C$11</c:f>
              <c:strCache>
                <c:ptCount val="0"/>
              </c:strCache>
            </c:strRef>
          </c:cat>
          <c:val>
            <c:numRef>
              <c:f>'System Budgets'!$J$6:$J$11</c:f>
              <c:numCache>
                <c:formatCode>$#,##0.0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Annual program by constitutional account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Mission systems</c:v>
          </c:tx>
          <c:cat>
            <c:strRef>
              <c:f>'Annual Program'!$B$6:$B$30</c:f>
              <c:strCache>
                <c:ptCount val="0"/>
              </c:strCache>
            </c:strRef>
          </c:cat>
          <c:val>
            <c:numRef>
              <c:f>'Annual Program'!$E$6:$E$30</c:f>
              <c:numCache>
                <c:formatCode>$#,##0.0</c:formatCode>
                <c:ptCount val="0"/>
              </c:numCache>
            </c:numRef>
          </c:val>
        </c:ser>
        <c:ser>
          <c:idx val="1"/>
          <c:order val="1"/>
          <c:tx>
            <c:v>Service bases</c:v>
          </c:tx>
          <c:cat>
            <c:strRef>
              <c:f>'Annual Program'!$B$6:$B$30</c:f>
              <c:strCache>
                <c:ptCount val="0"/>
              </c:strCache>
            </c:strRef>
          </c:cat>
          <c:val>
            <c:numRef>
              <c:f>'Annual Program'!$F$6:$F$30</c:f>
              <c:numCache>
                <c:formatCode>$#,##0.0</c:formatCode>
                <c:ptCount val="0"/>
              </c:numCache>
            </c:numRef>
          </c:val>
        </c:ser>
        <c:ser>
          <c:idx val="2"/>
          <c:order val="2"/>
          <c:tx>
            <c:v>Common capacity</c:v>
          </c:tx>
          <c:cat>
            <c:strRef>
              <c:f>'Annual Program'!$B$6:$B$30</c:f>
              <c:strCache>
                <c:ptCount val="0"/>
              </c:strCache>
            </c:strRef>
          </c:cat>
          <c:val>
            <c:numRef>
              <c:f>'Annual Program'!$G$6:$G$30</c:f>
              <c:numCache>
                <c:formatCode>$#,##0.0</c:formatCode>
                <c:ptCount val="0"/>
              </c:numCache>
            </c:numRef>
          </c:val>
        </c:ser>
        <c:ser>
          <c:idx val="3"/>
          <c:order val="3"/>
          <c:tx>
            <c:v>Sovereign technical</c:v>
          </c:tx>
          <c:cat>
            <c:strRef>
              <c:f>'Annual Program'!$B$6:$B$30</c:f>
              <c:strCache>
                <c:ptCount val="0"/>
              </c:strCache>
            </c:strRef>
          </c:cat>
          <c:val>
            <c:numRef>
              <c:f>'Annual Program'!$H$6:$H$30</c:f>
              <c:numCache>
                <c:formatCode>$#,##0.0</c:formatCode>
                <c:ptCount val="0"/>
              </c:numCache>
            </c:numRef>
          </c:val>
        </c:ser>
        <c:ser>
          <c:idx val="4"/>
          <c:order val="4"/>
          <c:tx>
            <c:v>Failure reserve</c:v>
          </c:tx>
          <c:cat>
            <c:strRef>
              <c:f>'Annual Program'!$B$6:$B$30</c:f>
              <c:strCache>
                <c:ptCount val="0"/>
              </c:strCache>
            </c:strRef>
          </c:cat>
          <c:val>
            <c:numRef>
              <c:f>'Annual Program'!$I$6:$I$30</c:f>
              <c:numCache>
                <c:formatCode>$#,##0.0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14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857c695b40455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5a30e07f8d48d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56cb8f85bc044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28288f93d8dc4142" /></Relationships>
</file>

<file path=xl/worksheets/sheet1.xml><?xml version="1.0" encoding="utf-8"?>
<x:worksheet xmlns:x="http://schemas.openxmlformats.org/spreadsheetml/2006/main">
  <x:sheetPr>
    <x:tabColor rgb="FF63717D"/>
  </x:sheetPr>
  <x:sheetViews>
    <x:sheetView showGridLines="0" workbookViewId="0"/>
  </x:sheetViews>
  <x:sheetFormatPr defaultRowHeight="15"/>
  <x:cols>
    <x:col min="2" max="2" width="28" hidden="0" customWidth="1"/>
    <x:col min="3" max="3" width="72" hidden="0" customWidth="1"/>
  </x:cols>
  <x:sheetData>
    <x:row r="2">
      <x:c r="B2" s="62" t="str">
        <x:v>Pass 171 model guide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3">
      <x:c r="B3" s="64" t="str">
        <x:v>Department of Resilience six-mission-system coupled development wavefront.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</x:row>
    <x:row r="5">
      <x:c r="B5" s="66" t="str">
        <x:v>Purpose</x:v>
      </x:c>
      <x:c r="C5" s="66"/>
      <x:c r="D5" s="66"/>
      <x:c r="E5" s="66"/>
      <x:c r="F5" s="66"/>
      <x:c r="G5" s="66"/>
      <x:c r="H5" s="66"/>
      <x:c r="I5" s="63"/>
      <x:c r="J5" s="63"/>
      <x:c r="K5" s="63"/>
      <x:c r="L5" s="63"/>
    </x:row>
    <x:row r="6">
      <x:c r="B6" s="43" t="str">
        <x:v>Decision</x:v>
      </x:c>
      <x:c r="C6" s="13" t="str">
        <x:v>Select the 25-year sequencing constitution for six mission systems</x:v>
      </x:c>
      <x:c r="D6" s="63"/>
      <x:c r="E6" s="63"/>
      <x:c r="F6" s="63"/>
      <x:c r="G6" s="63"/>
      <x:c r="H6" s="63"/>
      <x:c r="I6" s="63"/>
      <x:c r="J6" s="63"/>
      <x:c r="K6" s="63"/>
      <x:c r="L6" s="63"/>
    </x:row>
    <x:row r="7">
      <x:c r="B7" s="43" t="str">
        <x:v>Selected result</x:v>
      </x:c>
      <x:c r="C7" s="13" t="str">
        <x:v>S5 coupled development wavefront</x:v>
      </x:c>
      <x:c r="D7" s="63"/>
      <x:c r="E7" s="63"/>
      <x:c r="F7" s="63"/>
      <x:c r="G7" s="63"/>
      <x:c r="H7" s="63"/>
      <x:c r="I7" s="63"/>
      <x:c r="J7" s="63"/>
      <x:c r="K7" s="63"/>
      <x:c r="L7" s="63"/>
    </x:row>
    <x:row r="8">
      <x:c r="B8" s="43" t="str">
        <x:v>Unit of Department truth</x:v>
      </x:c>
      <x:c r="C8" s="13" t="str">
        <x:v>Rotating all-six joint demonstrator</x:v>
      </x:c>
      <x:c r="D8" s="63"/>
      <x:c r="E8" s="63"/>
      <x:c r="F8" s="63"/>
      <x:c r="G8" s="63"/>
      <x:c r="H8" s="63"/>
      <x:c r="I8" s="63"/>
      <x:c r="J8" s="63"/>
      <x:c r="K8" s="63"/>
      <x:c r="L8" s="63"/>
    </x:row>
    <x:row r="9">
      <x:c r="B9" s="43" t="str">
        <x:v>Not authorized</x:v>
      </x:c>
      <x:c r="C9" s="13" t="str">
        <x:v>Procurement, force credit, supplier selection, physical form or rendering</x:v>
      </x:c>
      <x:c r="D9" s="63"/>
      <x:c r="E9" s="63"/>
      <x:c r="F9" s="63"/>
      <x:c r="G9" s="63"/>
      <x:c r="H9" s="63"/>
      <x:c r="I9" s="63"/>
      <x:c r="J9" s="63"/>
      <x:c r="K9" s="63"/>
      <x:c r="L9" s="63"/>
    </x:row>
    <x:row r="10"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</x:row>
    <x:row r="11"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</x:row>
    <x:row r="12">
      <x:c r="B12" s="66" t="str">
        <x:v>How to read the workbook</x:v>
      </x:c>
      <x:c r="C12" s="66"/>
      <x:c r="D12" s="66"/>
      <x:c r="E12" s="66"/>
      <x:c r="F12" s="66"/>
      <x:c r="G12" s="66"/>
      <x:c r="H12" s="66"/>
      <x:c r="I12" s="63"/>
      <x:c r="J12" s="63"/>
      <x:c r="K12" s="63"/>
      <x:c r="L12" s="63"/>
    </x:row>
    <x:row r="13">
      <x:c r="B13" s="43" t="str">
        <x:v>Decision</x:v>
      </x:c>
      <x:c r="C13" s="13" t="str">
        <x:v>Outcome, ledger and boundary</x:v>
      </x:c>
      <x:c r="D13" s="63"/>
      <x:c r="E13" s="63"/>
      <x:c r="F13" s="63"/>
      <x:c r="G13" s="63"/>
      <x:c r="H13" s="63"/>
      <x:c r="I13" s="63"/>
      <x:c r="J13" s="63"/>
      <x:c r="K13" s="63"/>
      <x:c r="L13" s="63"/>
    </x:row>
    <x:row r="14">
      <x:c r="B14" s="43" t="str">
        <x:v>Candidates</x:v>
      </x:c>
      <x:c r="C14" s="13" t="str">
        <x:v>Five architectures against eight hard gates</x:v>
      </x:c>
      <x:c r="D14" s="63"/>
      <x:c r="E14" s="63"/>
      <x:c r="F14" s="63"/>
      <x:c r="G14" s="63"/>
      <x:c r="H14" s="63"/>
      <x:c r="I14" s="63"/>
      <x:c r="J14" s="63"/>
      <x:c r="K14" s="63"/>
      <x:c r="L14" s="63"/>
    </x:row>
    <x:row r="15">
      <x:c r="B15" s="43" t="str">
        <x:v>Wavefront / Annual Program</x:v>
      </x:c>
      <x:c r="C15" s="13" t="str">
        <x:v>Five waves and the non-additive USD 1.00T schedule</x:v>
      </x:c>
      <x:c r="D15" s="63"/>
      <x:c r="E15" s="63"/>
      <x:c r="F15" s="63"/>
      <x:c r="G15" s="63"/>
      <x:c r="H15" s="63"/>
      <x:c r="I15" s="63"/>
      <x:c r="J15" s="63"/>
      <x:c r="K15" s="63"/>
      <x:c r="L15" s="63"/>
    </x:row>
    <x:row r="16">
      <x:c r="B16" s="43" t="str">
        <x:v>System Budgets</x:v>
      </x:c>
      <x:c r="C16" s="13" t="str">
        <x:v>Pass 168 allocations carried through every wave</x:v>
      </x:c>
      <x:c r="D16" s="63"/>
      <x:c r="E16" s="63"/>
      <x:c r="F16" s="63"/>
      <x:c r="G16" s="63"/>
      <x:c r="H16" s="63"/>
      <x:c r="I16" s="63"/>
      <x:c r="J16" s="63"/>
      <x:c r="K16" s="63"/>
      <x:c r="L16" s="63"/>
    </x:row>
    <x:row r="17">
      <x:c r="B17" s="43" t="str">
        <x:v>Gate Interlock</x:v>
      </x:c>
      <x:c r="C17" s="13" t="str">
        <x:v>G0–G7 local and portfolio decision rights</x:v>
      </x:c>
      <x:c r="D17" s="63"/>
      <x:c r="E17" s="63"/>
      <x:c r="F17" s="63"/>
      <x:c r="G17" s="63"/>
      <x:c r="H17" s="63"/>
      <x:c r="I17" s="63"/>
      <x:c r="J17" s="63"/>
      <x:c r="K17" s="63"/>
      <x:c r="L17" s="63"/>
    </x:row>
    <x:row r="18">
      <x:c r="B18" s="43" t="str">
        <x:v>Joint Campaign / Interface Matrix</x:v>
      </x:c>
      <x:c r="C18" s="13" t="str">
        <x:v>120 missions and fifteen system pairs</x:v>
      </x:c>
      <x:c r="D18" s="63"/>
      <x:c r="E18" s="63"/>
      <x:c r="F18" s="63"/>
      <x:c r="G18" s="63"/>
      <x:c r="H18" s="63"/>
      <x:c r="I18" s="63"/>
      <x:c r="J18" s="63"/>
      <x:c r="K18" s="63"/>
      <x:c r="L18" s="63"/>
    </x:row>
    <x:row r="19">
      <x:c r="B19" s="43" t="str">
        <x:v>Parent Fields / Common Primitives</x:v>
      </x:c>
      <x:c r="C19" s="13" t="str">
        <x:v>Mission-led competitions and cross-cutting innovation</x:v>
      </x:c>
      <x:c r="D19" s="63"/>
      <x:c r="E19" s="63"/>
      <x:c r="F19" s="63"/>
      <x:c r="G19" s="63"/>
      <x:c r="H19" s="63"/>
      <x:c r="I19" s="63"/>
      <x:c r="J19" s="63"/>
      <x:c r="K19" s="63"/>
      <x:c r="L19" s="63"/>
    </x:row>
    <x:row r="20">
      <x:c r="B20" s="43" t="str">
        <x:v>Economics / Controls / Audits / Sources</x:v>
      </x:c>
      <x:c r="C20" s="13" t="str">
        <x:v>Boundaries, editable inputs, checks and lineage</x:v>
      </x:c>
      <x:c r="D20" s="63"/>
      <x:c r="E20" s="63"/>
      <x:c r="F20" s="63"/>
      <x:c r="G20" s="63"/>
      <x:c r="H20" s="63"/>
      <x:c r="I20" s="63"/>
      <x:c r="J20" s="63"/>
      <x:c r="K20" s="63"/>
      <x:c r="L20" s="63"/>
    </x:row>
    <x:row r="21"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</x:row>
    <x:row r="22"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</x:row>
    <x:row r="23">
      <x:c r="B23" s="66" t="str">
        <x:v>Model conventions</x:v>
      </x:c>
      <x:c r="C23" s="66"/>
      <x:c r="D23" s="66"/>
      <x:c r="E23" s="66"/>
      <x:c r="F23" s="66"/>
      <x:c r="G23" s="66"/>
      <x:c r="H23" s="66"/>
      <x:c r="I23" s="63"/>
      <x:c r="J23" s="63"/>
      <x:c r="K23" s="63"/>
      <x:c r="L23" s="63"/>
    </x:row>
    <x:row r="24">
      <x:c r="B24" s="43" t="str">
        <x:v>Currency</x:v>
      </x:c>
      <x:c r="C24" s="13" t="str">
        <x:v>Constant 2026 USD billions; undiscounted</x:v>
      </x:c>
      <x:c r="D24" s="63"/>
      <x:c r="E24" s="63"/>
      <x:c r="F24" s="63"/>
      <x:c r="G24" s="63"/>
      <x:c r="H24" s="63"/>
      <x:c r="I24" s="63"/>
      <x:c r="J24" s="63"/>
      <x:c r="K24" s="63"/>
      <x:c r="L24" s="63"/>
    </x:row>
    <x:row r="25">
      <x:c r="B25" s="43" t="str">
        <x:v>Inputs</x:v>
      </x:c>
      <x:c r="C25" s="13" t="str">
        <x:v>Yellow cells in Controls and inherited values in source tables</x:v>
      </x:c>
      <x:c r="D25" s="63"/>
      <x:c r="E25" s="63"/>
      <x:c r="F25" s="63"/>
      <x:c r="G25" s="63"/>
      <x:c r="H25" s="63"/>
      <x:c r="I25" s="63"/>
      <x:c r="J25" s="63"/>
      <x:c r="K25" s="63"/>
      <x:c r="L25" s="63"/>
    </x:row>
    <x:row r="26">
      <x:c r="B26" s="43" t="str">
        <x:v>Formulas</x:v>
      </x:c>
      <x:c r="C26" s="13" t="str">
        <x:v>Black calculated cells; totals reconcile across sheets</x:v>
      </x:c>
      <x:c r="D26" s="63"/>
      <x:c r="E26" s="63"/>
      <x:c r="F26" s="63"/>
      <x:c r="G26" s="63"/>
      <x:c r="H26" s="63"/>
      <x:c r="I26" s="63"/>
      <x:c r="J26" s="63"/>
      <x:c r="K26" s="63"/>
      <x:c r="L26" s="63"/>
    </x:row>
    <x:row r="27">
      <x:c r="B27" s="43" t="str">
        <x:v>Campaign counts</x:v>
      </x:c>
      <x:c r="C27" s="13" t="str">
        <x:v>Registered design cells, not accomplished tests or readiness</x:v>
      </x:c>
      <x:c r="D27" s="63"/>
      <x:c r="E27" s="63"/>
      <x:c r="F27" s="63"/>
      <x:c r="G27" s="63"/>
      <x:c r="H27" s="63"/>
      <x:c r="I27" s="63"/>
      <x:c r="J27" s="63"/>
      <x:c r="K27" s="63"/>
      <x:c r="L27" s="63"/>
    </x:row>
    <x:row r="28">
      <x:c r="B28" s="43" t="str">
        <x:v>Sources</x:v>
      </x:c>
      <x:c r="C28" s="13" t="str">
        <x:v>Repository artifacts only; no external-site research introduced</x:v>
      </x:c>
      <x:c r="D28" s="63"/>
      <x:c r="E28" s="63"/>
      <x:c r="F28" s="63"/>
      <x:c r="G28" s="63"/>
      <x:c r="H28" s="63"/>
      <x:c r="I28" s="63"/>
      <x:c r="J28" s="63"/>
      <x:c r="K28" s="63"/>
      <x:c r="L28" s="63"/>
    </x:row>
    <x:row r="29">
      <x:c r="B29" s="43" t="str">
        <x:v>Precision</x:v>
      </x:c>
      <x:c r="C29" s="13" t="str">
        <x:v>Displays use no more than three significant figures where modeled</x:v>
      </x:c>
      <x:c r="D29" s="63"/>
      <x:c r="E29" s="63"/>
      <x:c r="F29" s="63"/>
      <x:c r="G29" s="63"/>
      <x:c r="H29" s="63"/>
      <x:c r="I29" s="63"/>
      <x:c r="J29" s="63"/>
      <x:c r="K29" s="63"/>
      <x:c r="L29" s="6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8" hidden="0" customWidth="1"/>
    <x:col min="3" max="3" width="64" hidden="0" customWidth="1"/>
    <x:col min="4" max="4" width="12" hidden="0" customWidth="1"/>
    <x:col min="5" max="5" width="36" hidden="0" customWidth="1"/>
    <x:col min="7" max="7" width="95" hidden="0" customWidth="1"/>
  </x:cols>
  <x:sheetData>
    <x:row r="2">
      <x:c r="B2" s="62" t="str">
        <x:v>Coupled development wavefront decision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</x:row>
    <x:row r="3">
      <x:c r="B3" s="64" t="str">
        <x:v>Pass 171 closes balanced six-system development sequencing at the fifth-pass boundary.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</x:row>
    <x:row r="5" ht="31" customHeight="1">
      <x:c r="B5" s="9" t="str">
        <x:v>Decision field</x:v>
      </x:c>
      <x:c r="C5" s="10" t="str">
        <x:v>Pass 171 result</x:v>
      </x:c>
      <x:c r="D5" s="10" t="str">
        <x:v>Status</x:v>
      </x:c>
      <x:c r="E5" s="11" t="str">
        <x:v>Boundary</x:v>
      </x:c>
      <x:c r="F5" s="63"/>
      <x:c r="G5" s="66" t="str">
        <x:v>Why the serial intuition fails</x:v>
      </x:c>
      <x:c r="H5" s="66"/>
      <x:c r="I5" s="66"/>
      <x:c r="J5" s="66"/>
      <x:c r="K5" s="66"/>
      <x:c r="L5" s="66"/>
      <x:c r="M5" s="66"/>
      <x:c r="N5" s="66"/>
    </x:row>
    <x:row r="6" ht="36" customHeight="1">
      <x:c r="B6" s="43" t="str">
        <x:v>Verdict</x:v>
      </x:c>
      <x:c r="C6" s="26" t="str">
        <x:v>CLOSE</x:v>
      </x:c>
      <x:c r="D6" s="26" t="str">
        <x:v>PASS</x:v>
      </x:c>
      <x:c r="E6" s="26" t="str">
        <x:v>MSDW-1</x:v>
      </x:c>
      <x:c r="F6" s="63"/>
      <x:c r="G6" s="67" t="str">
        <x:v>A disaster force is not six platform programs. It is one chain of arrival, civil reach, hazard control, lifeline production, human continuity and regeneration.</x:v>
      </x:c>
      <x:c r="H6" s="63"/>
      <x:c r="I6" s="63"/>
      <x:c r="J6" s="63"/>
      <x:c r="K6" s="63"/>
      <x:c r="L6" s="63"/>
      <x:c r="M6" s="63"/>
      <x:c r="N6" s="63"/>
    </x:row>
    <x:row r="7" ht="36" customHeight="1">
      <x:c r="B7" s="43" t="str">
        <x:v>Selected architecture</x:v>
      </x:c>
      <x:c r="C7" s="26" t="str">
        <x:v>S5 coupled development wavefront</x:v>
      </x:c>
      <x:c r="D7" s="26" t="str">
        <x:v>PASS</x:v>
      </x:c>
      <x:c r="E7" s="26" t="str">
        <x:v>One joint development program</x:v>
      </x:c>
      <x:c r="F7" s="63"/>
      <x:c r="G7" s="67" t="str">
        <x:v>Finishing the largest portfolio first would lock its receivers, utilities, data and logistics before its dependencies can contest them.</x:v>
      </x:c>
      <x:c r="H7" s="63"/>
      <x:c r="I7" s="63"/>
      <x:c r="J7" s="63"/>
      <x:c r="K7" s="63"/>
      <x:c r="L7" s="63"/>
      <x:c r="M7" s="63"/>
      <x:c r="N7" s="63"/>
    </x:row>
    <x:row r="8" ht="36" customHeight="1">
      <x:c r="B8" s="43" t="str">
        <x:v>Meaning of balance</x:v>
      </x:c>
      <x:c r="C8" s="26" t="str">
        <x:v>Equal survival, evidence access and joint obligation; unequal dollars retained</x:v>
      </x:c>
      <x:c r="D8" s="26" t="str">
        <x:v>PASS</x:v>
      </x:c>
      <x:c r="E8" s="26" t="str">
        <x:v>No equal-slice rule</x:v>
      </x:c>
      <x:c r="F8" s="63"/>
      <x:c r="G8" s="67" t="str">
        <x:v>Independent parallelism protects schedules but allows six locally successful systems to fail as a force.</x:v>
      </x:c>
      <x:c r="H8" s="63"/>
      <x:c r="I8" s="63"/>
      <x:c r="J8" s="63"/>
      <x:c r="K8" s="63"/>
      <x:c r="L8" s="63"/>
      <x:c r="M8" s="63"/>
      <x:c r="N8" s="63"/>
    </x:row>
    <x:row r="9" ht="36" customHeight="1">
      <x:c r="B9" s="43" t="str">
        <x:v>Fiscal envelope</x:v>
      </x:c>
      <x:c r="C9" s="26" t="str">
        <x:v>USD 1.00T over 25 years</x:v>
      </x:c>
      <x:c r="D9" s="26" t="str">
        <x:v>PASS</x:v>
      </x:c>
      <x:c r="E9" s="26" t="str">
        <x:v>Constant 2026 USD; undiscounted</x:v>
      </x:c>
      <x:c r="F9" s="63"/>
      <x:c r="G9" s="67" t="str">
        <x:v>The joint demonstrator therefore becomes the Department-level unit of truth. Each system remains a separate acquisition and technical object.</x:v>
      </x:c>
      <x:c r="H9" s="63"/>
      <x:c r="I9" s="63"/>
      <x:c r="J9" s="63"/>
      <x:c r="K9" s="63"/>
      <x:c r="L9" s="63"/>
      <x:c r="M9" s="63"/>
      <x:c r="N9" s="63"/>
    </x:row>
    <x:row r="10" ht="36" customHeight="1">
      <x:c r="B10" s="43" t="str">
        <x:v>Mission-system envelope</x:v>
      </x:c>
      <x:c r="C10" s="26" t="str">
        <x:v>USD 550B</x:v>
      </x:c>
      <x:c r="D10" s="26" t="str">
        <x:v>PASS</x:v>
      </x:c>
      <x:c r="E10" s="26" t="str">
        <x:v>Conserved Pass 168 allocations</x:v>
      </x:c>
      <x:c r="F10" s="63"/>
      <x:c r="G10" s="67" t="str">
        <x:v>The HCDN-50 result occupies one MS-HU root family; it does not authorize an MS-HU lead program or a complete stack.</x:v>
      </x:c>
      <x:c r="H10" s="63"/>
      <x:c r="I10" s="63"/>
      <x:c r="J10" s="63"/>
      <x:c r="K10" s="63"/>
      <x:c r="L10" s="63"/>
      <x:c r="M10" s="63"/>
      <x:c r="N10" s="63"/>
    </x:row>
    <x:row r="11" ht="36" customHeight="1">
      <x:c r="B11" s="43" t="str">
        <x:v>Systems / parent fields</x:v>
      </x:c>
      <x:c r="C11" s="26" t="str">
        <x:v>6 / 24</x:v>
      </x:c>
      <x:c r="D11" s="26" t="str">
        <x:v>PASS</x:v>
      </x:c>
      <x:c r="E11" s="26" t="str">
        <x:v>All active in every wave</x:v>
      </x:c>
      <x:c r="F11" s="63"/>
      <x:c r="G11" s="67" t="str">
        <x:v>No physical quantity, procurement, site, supplier or exterior form is selected here.</x:v>
      </x:c>
      <x:c r="H11" s="63"/>
      <x:c r="I11" s="63"/>
      <x:c r="J11" s="63"/>
      <x:c r="K11" s="63"/>
      <x:c r="L11" s="63"/>
      <x:c r="M11" s="63"/>
      <x:c r="N11" s="63"/>
    </x:row>
    <x:row r="12" ht="36" customHeight="1">
      <x:c r="B12" s="43" t="str">
        <x:v>Initial / Wave 2 mechanisms</x:v>
      </x:c>
      <x:c r="C12" s="26" t="str">
        <x:v>96 / 48</x:v>
      </x:c>
      <x:c r="D12" s="26" t="str">
        <x:v>PASS</x:v>
      </x:c>
      <x:c r="E12" s="26" t="str">
        <x:v>Floors; not accepted technology</x:v>
      </x:c>
      <x:c r="F12" s="63"/>
      <x:c r="G12" s="67" t="str">
        <x:v>Next admissible resolution: compile five missing service contracts and the exact six-system exchange grammar.</x:v>
      </x:c>
      <x:c r="H12" s="63"/>
      <x:c r="I12" s="63"/>
      <x:c r="J12" s="63"/>
      <x:c r="K12" s="63"/>
      <x:c r="L12" s="63"/>
      <x:c r="M12" s="63"/>
      <x:c r="N12" s="63"/>
    </x:row>
    <x:row r="13">
      <x:c r="B13" s="43" t="str">
        <x:v>Complete system roots</x:v>
      </x:c>
      <x:c r="C13" s="26" t="str">
        <x:v>24</x:v>
      </x:c>
      <x:c r="D13" s="26" t="str">
        <x:v>PASS</x:v>
      </x:c>
      <x:c r="E13" s="26" t="str">
        <x:v>Four per system at joint-stack entry</x:v>
      </x:c>
      <x:c r="F13" s="63"/>
      <x:c r="G13" s="63"/>
      <x:c r="H13" s="63"/>
      <x:c r="I13" s="63"/>
      <x:c r="J13" s="63"/>
      <x:c r="K13" s="63"/>
      <x:c r="L13" s="63"/>
      <x:c r="M13" s="63"/>
      <x:c r="N13" s="63"/>
    </x:row>
    <x:row r="14">
      <x:c r="B14" s="43" t="str">
        <x:v>Joint demonstrator</x:v>
      </x:c>
      <x:c r="C14" s="26" t="str">
        <x:v>120 missions; 720 system judgments; 1,800 interface observations</x:v>
      </x:c>
      <x:c r="D14" s="26" t="str">
        <x:v>PASS</x:v>
      </x:c>
      <x:c r="E14" s="26" t="str">
        <x:v>Planned evidence cells only</x:v>
      </x:c>
      <x:c r="F14" s="63"/>
      <x:c r="G14" s="63"/>
      <x:c r="H14" s="63"/>
      <x:c r="I14" s="63"/>
      <x:c r="J14" s="63"/>
      <x:c r="K14" s="63"/>
      <x:c r="L14" s="63"/>
      <x:c r="M14" s="63"/>
      <x:c r="N14" s="63"/>
    </x:row>
    <x:row r="15">
      <x:c r="B15" s="43" t="str">
        <x:v>Production interlock</x:v>
      </x:c>
      <x:c r="C15" s="26" t="str">
        <x:v>All six supply G4-capable root before any G5 entry</x:v>
      </x:c>
      <x:c r="D15" s="26" t="str">
        <x:v>PASS</x:v>
      </x:c>
      <x:c r="E15" s="26" t="str">
        <x:v>No leader scales around a laggard</x:v>
      </x:c>
      <x:c r="F15" s="63"/>
      <x:c r="G15" s="63"/>
      <x:c r="H15" s="63"/>
      <x:c r="I15" s="63"/>
      <x:c r="J15" s="63"/>
      <x:c r="K15" s="63"/>
      <x:c r="L15" s="63"/>
      <x:c r="M15" s="63"/>
      <x:c r="N15" s="63"/>
    </x:row>
    <x:row r="16">
      <x:c r="B16" s="43" t="str">
        <x:v>Force credit</x:v>
      </x:c>
      <x:c r="C16" s="26" t="str">
        <x:v>Exact configuration only after G6</x:v>
      </x:c>
      <x:c r="D16" s="26" t="str">
        <x:v>PASS</x:v>
      </x:c>
      <x:c r="E16" s="26" t="str">
        <x:v>No blanket readiness</x:v>
      </x:c>
      <x:c r="F16" s="63"/>
      <x:c r="G16" s="63"/>
      <x:c r="H16" s="63"/>
      <x:c r="I16" s="63"/>
      <x:c r="J16" s="63"/>
      <x:c r="K16" s="63"/>
      <x:c r="L16" s="63"/>
      <x:c r="M16" s="63"/>
      <x:c r="N16" s="63"/>
    </x:row>
    <x:row r="17">
      <x:c r="B17" s="34" t="str">
        <x:v>Exterior rendering</x:v>
      </x:c>
      <x:c r="C17" s="27" t="str">
        <x:v>Blocked</x:v>
      </x:c>
      <x:c r="D17" s="27" t="str">
        <x:v>BLOCKED</x:v>
      </x:c>
      <x:c r="E17" s="27" t="str">
        <x:v>No physical form selected</x:v>
      </x:c>
      <x:c r="F17" s="63"/>
      <x:c r="G17" s="63"/>
      <x:c r="H17" s="63"/>
      <x:c r="I17" s="63"/>
      <x:c r="J17" s="63"/>
      <x:c r="K17" s="63"/>
      <x:c r="L17" s="63"/>
      <x:c r="M17" s="63"/>
      <x:c r="N17" s="63"/>
    </x:row>
    <x:row r="18"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M18" s="63"/>
      <x:c r="N18" s="63"/>
    </x:row>
    <x:row r="19"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M19" s="63"/>
      <x:c r="N19" s="63"/>
    </x:row>
    <x:row r="20">
      <x:c r="B20" s="66" t="str">
        <x:v>Open-item ledger</x:v>
      </x:c>
      <x:c r="C20" s="66"/>
      <x:c r="D20" s="66"/>
      <x:c r="E20" s="66"/>
      <x:c r="F20" s="63"/>
      <x:c r="G20" s="63"/>
      <x:c r="H20" s="63"/>
      <x:c r="I20" s="63"/>
      <x:c r="J20" s="63"/>
      <x:c r="K20" s="63"/>
      <x:c r="L20" s="63"/>
      <x:c r="M20" s="63"/>
      <x:c r="N20" s="63"/>
    </x:row>
    <x:row r="21">
      <x:c r="B21" s="24" t="str">
        <x:v>Opened</x:v>
      </x:c>
      <x:c r="C21" s="13" t="n">
        <x:v>0</x:v>
      </x:c>
      <x:c r="D21" s="13"/>
      <x:c r="E21" s="13" t="str">
        <x:v>No new formal item</x:v>
      </x:c>
      <x:c r="F21" s="63"/>
      <x:c r="G21" s="63"/>
      <x:c r="H21" s="63"/>
      <x:c r="I21" s="63"/>
      <x:c r="J21" s="63"/>
      <x:c r="K21" s="63"/>
      <x:c r="L21" s="63"/>
      <x:c r="M21" s="63"/>
      <x:c r="N21" s="63"/>
    </x:row>
    <x:row r="22">
      <x:c r="B22" s="24" t="str">
        <x:v>Closed</x:v>
      </x:c>
      <x:c r="C22" s="13" t="n">
        <x:v>1</x:v>
      </x:c>
      <x:c r="D22" s="13"/>
      <x:c r="E22" s="13" t="str">
        <x:v>MSDW-1</x:v>
      </x:c>
      <x:c r="F22" s="63"/>
      <x:c r="G22" s="63"/>
      <x:c r="H22" s="63"/>
      <x:c r="I22" s="63"/>
      <x:c r="J22" s="63"/>
      <x:c r="K22" s="63"/>
      <x:c r="L22" s="63"/>
      <x:c r="M22" s="63"/>
      <x:c r="N22" s="63"/>
    </x:row>
    <x:row r="23">
      <x:c r="B23" s="24" t="str">
        <x:v>Net</x:v>
      </x:c>
      <x:c r="C23" s="13" t="n">
        <x:v>-1</x:v>
      </x:c>
      <x:c r="D23" s="13"/>
      <x:c r="E23" s="13" t="str">
        <x:v>Must be nonpositive</x:v>
      </x:c>
      <x:c r="F23" s="63"/>
      <x:c r="G23" s="63"/>
      <x:c r="H23" s="63"/>
      <x:c r="I23" s="63"/>
      <x:c r="J23" s="63"/>
      <x:c r="K23" s="63"/>
      <x:c r="L23" s="63"/>
      <x:c r="M23" s="63"/>
      <x:c r="N23" s="63"/>
    </x:row>
    <x:row r="24">
      <x:c r="B24" s="24" t="str">
        <x:v>Running parent-level total</x:v>
      </x:c>
      <x:c r="C24" s="13" t="n">
        <x:v>0</x:v>
      </x:c>
      <x:c r="D24" s="13"/>
      <x:c r="E24" s="13" t="str">
        <x:v>After closure</x:v>
      </x:c>
      <x:c r="F24" s="63"/>
      <x:c r="G24" s="63"/>
      <x:c r="H24" s="63"/>
      <x:c r="I24" s="63"/>
      <x:c r="J24" s="63"/>
      <x:c r="K24" s="63"/>
      <x:c r="L24" s="63"/>
      <x:c r="M24" s="63"/>
      <x:c r="N24" s="63"/>
    </x:row>
    <x:row r="25">
      <x:c r="B25" s="25" t="str">
        <x:v>Verdict valid</x:v>
      </x:c>
      <x:c r="C25" s="14" t="str">
        <x:f>IF(AND(C21=0,C22=1,C23&lt;=0,C24=0),"PASS","FAIL")</x:f>
        <x:v>PASS</x:v>
      </x:c>
      <x:c r="D25" s="14"/>
      <x:c r="E25" s="14" t="str">
        <x:v>CLOSE with one closed item</x:v>
      </x:c>
      <x:c r="F25" s="63"/>
      <x:c r="G25" s="63"/>
      <x:c r="H25" s="63"/>
      <x:c r="I25" s="63"/>
      <x:c r="J25" s="63"/>
      <x:c r="K25" s="63"/>
      <x:c r="L25" s="63"/>
      <x:c r="M25" s="63"/>
      <x:c r="N25" s="63"/>
    </x:row>
  </x:sheetData>
  <x:conditionalFormatting sqref="D6:D17">
    <x:cfRule type="containsText" dxfId="6" priority="1" operator="containsText" text="FAIL"/>
    <x:cfRule type="containsText" dxfId="7" priority="2" operator="containsText" text="PASS"/>
    <x:cfRule type="containsText" dxfId="8" priority="3" operator="containsText" text="BLOCKED"/>
  </x:conditionalFormatting>
  <x:conditionalFormatting sqref="C25:C25">
    <x:cfRule type="containsText" dxfId="9" priority="4" operator="containsText" text="FAIL"/>
    <x:cfRule type="containsText" dxfId="10" priority="5" operator="containsText" text="PASS"/>
    <x:cfRule type="containsText" dxfId="11" priority="6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8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1" hidden="0" customWidth="1"/>
    <x:col min="13" max="13" width="56" hidden="0" customWidth="1"/>
  </x:cols>
  <x:sheetData>
    <x:row r="2">
      <x:c r="B2" s="62" t="str">
        <x:v>Candidate sequencing architectures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B3" s="64" t="str">
        <x:v>Hard gates are noncompensable. Only one architecture may pass all eight.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</x:row>
    <x:row r="5" ht="31" customHeight="1">
      <x:c r="B5" s="9" t="str">
        <x:v>ID</x:v>
      </x:c>
      <x:c r="C5" s="10" t="str">
        <x:v>Architecture</x:v>
      </x:c>
      <x:c r="D5" s="10" t="str">
        <x:v>All six live</x:v>
      </x:c>
      <x:c r="E5" s="10" t="str">
        <x:v>Stable owners</x:v>
      </x:c>
      <x:c r="F5" s="10" t="str">
        <x:v>Rival roots</x:v>
      </x:c>
      <x:c r="G5" s="10" t="str">
        <x:v>Common interfaces</x:v>
      </x:c>
      <x:c r="H5" s="10" t="str">
        <x:v>All-six G4</x:v>
      </x:c>
      <x:c r="I5" s="10" t="str">
        <x:v>Independent evidence</x:v>
      </x:c>
      <x:c r="J5" s="10" t="str">
        <x:v>G6 force law</x:v>
      </x:c>
      <x:c r="K5" s="10" t="str">
        <x:v>G7 renewal</x:v>
      </x:c>
      <x:c r="L5" s="10" t="str">
        <x:v>Result</x:v>
      </x:c>
      <x:c r="M5" s="11" t="str">
        <x:v>Disposition</x:v>
      </x:c>
    </x:row>
    <x:row r="6">
      <x:c r="B6" s="24" t="str">
        <x:v>S1</x:v>
      </x:c>
      <x:c r="C6" s="24" t="str">
        <x:v>Demand-ranked serial</x:v>
      </x:c>
      <x:c r="D6" s="32" t="b">
        <x:v>0</x:v>
      </x:c>
      <x:c r="E6" s="32" t="b">
        <x:v>1</x:v>
      </x:c>
      <x:c r="F6" s="32" t="b">
        <x:v>1</x:v>
      </x:c>
      <x:c r="G6" s="32" t="b">
        <x:v>0</x:v>
      </x:c>
      <x:c r="H6" s="32" t="b">
        <x:v>0</x:v>
      </x:c>
      <x:c r="I6" s="32" t="b">
        <x:v>1</x:v>
      </x:c>
      <x:c r="J6" s="32" t="b">
        <x:v>1</x:v>
      </x:c>
      <x:c r="K6" s="32" t="b">
        <x:v>0</x:v>
      </x:c>
      <x:c r="L6" s="13" t="str">
        <x:f>IF(AND(D6,E6,F6,G6,H6,I6,J6,K6),"PASS","FAIL")</x:f>
        <x:v>FAIL</x:v>
      </x:c>
      <x:c r="M6" s="26" t="str">
        <x:v>Reject: enabling systems starve and integration arrives after lock-in.</x:v>
      </x:c>
    </x:row>
    <x:row r="7">
      <x:c r="B7" s="24" t="str">
        <x:v>S2</x:v>
      </x:c>
      <x:c r="C7" s="24" t="str">
        <x:v>Physics-first serial</x:v>
      </x:c>
      <x:c r="D7" s="32" t="b">
        <x:v>0</x:v>
      </x:c>
      <x:c r="E7" s="32" t="b">
        <x:v>1</x:v>
      </x:c>
      <x:c r="F7" s="32" t="b">
        <x:v>1</x:v>
      </x:c>
      <x:c r="G7" s="32" t="b">
        <x:v>0</x:v>
      </x:c>
      <x:c r="H7" s="32" t="b">
        <x:v>0</x:v>
      </x:c>
      <x:c r="I7" s="32" t="b">
        <x:v>1</x:v>
      </x:c>
      <x:c r="J7" s="32" t="b">
        <x:v>1</x:v>
      </x:c>
      <x:c r="K7" s="32" t="b">
        <x:v>0</x:v>
      </x:c>
      <x:c r="L7" s="13" t="str">
        <x:f>IF(AND(D7,E7,F7,G7,H7,I7,J7,K7),"PASS","FAIL")</x:f>
        <x:v>FAIL</x:v>
      </x:c>
      <x:c r="M7" s="26" t="str">
        <x:v>Reject: public service is defined after machine architecture.</x:v>
      </x:c>
    </x:row>
    <x:row r="8">
      <x:c r="B8" s="24" t="str">
        <x:v>S3</x:v>
      </x:c>
      <x:c r="C8" s="24" t="str">
        <x:v>Six isolated parallel lanes</x:v>
      </x:c>
      <x:c r="D8" s="32" t="b">
        <x:v>1</x:v>
      </x:c>
      <x:c r="E8" s="32" t="b">
        <x:v>1</x:v>
      </x:c>
      <x:c r="F8" s="32" t="b">
        <x:v>1</x:v>
      </x:c>
      <x:c r="G8" s="32" t="b">
        <x:v>0</x:v>
      </x:c>
      <x:c r="H8" s="32" t="b">
        <x:v>0</x:v>
      </x:c>
      <x:c r="I8" s="32" t="b">
        <x:v>1</x:v>
      </x:c>
      <x:c r="J8" s="32" t="b">
        <x:v>1</x:v>
      </x:c>
      <x:c r="K8" s="32" t="b">
        <x:v>1</x:v>
      </x:c>
      <x:c r="L8" s="13" t="str">
        <x:f>IF(AND(D8,E8,F8,G8,H8,I8,J8,K8),"PASS","FAIL")</x:f>
        <x:v>FAIL</x:v>
      </x:c>
      <x:c r="M8" s="26" t="str">
        <x:v>Reject: compatible components are assumed rather than demonstrated.</x:v>
      </x:c>
    </x:row>
    <x:row r="9">
      <x:c r="B9" s="24" t="str">
        <x:v>S4</x:v>
      </x:c>
      <x:c r="C9" s="24" t="str">
        <x:v>Campaign-specific bundles</x:v>
      </x:c>
      <x:c r="D9" s="32" t="b">
        <x:v>1</x:v>
      </x:c>
      <x:c r="E9" s="32" t="b">
        <x:v>0</x:v>
      </x:c>
      <x:c r="F9" s="32" t="b">
        <x:v>1</x:v>
      </x:c>
      <x:c r="G9" s="32" t="b">
        <x:v>1</x:v>
      </x:c>
      <x:c r="H9" s="32" t="b">
        <x:v>1</x:v>
      </x:c>
      <x:c r="I9" s="32" t="b">
        <x:v>1</x:v>
      </x:c>
      <x:c r="J9" s="32" t="b">
        <x:v>1</x:v>
      </x:c>
      <x:c r="K9" s="32" t="b">
        <x:v>0</x:v>
      </x:c>
      <x:c r="L9" s="13" t="str">
        <x:f>IF(AND(D9,E9,F9,G9,H9,I9,J9,K9),"PASS","FAIL")</x:f>
        <x:v>FAIL</x:v>
      </x:c>
      <x:c r="M9" s="26" t="str">
        <x:v>Reject: stable owners dissolve and interfaces are repeatedly purchased.</x:v>
      </x:c>
    </x:row>
    <x:row r="10">
      <x:c r="B10" s="25" t="str">
        <x:v>S5</x:v>
      </x:c>
      <x:c r="C10" s="25" t="str">
        <x:v>Coupled development wavefront</x:v>
      </x:c>
      <x:c r="D10" s="33" t="b">
        <x:v>1</x:v>
      </x:c>
      <x:c r="E10" s="33" t="b">
        <x:v>1</x:v>
      </x:c>
      <x:c r="F10" s="33" t="b">
        <x:v>1</x:v>
      </x:c>
      <x:c r="G10" s="33" t="b">
        <x:v>1</x:v>
      </x:c>
      <x:c r="H10" s="33" t="b">
        <x:v>1</x:v>
      </x:c>
      <x:c r="I10" s="33" t="b">
        <x:v>1</x:v>
      </x:c>
      <x:c r="J10" s="33" t="b">
        <x:v>1</x:v>
      </x:c>
      <x:c r="K10" s="33" t="b">
        <x:v>1</x:v>
      </x:c>
      <x:c r="L10" s="14" t="str">
        <x:f>IF(AND(D10,E10,F10,G10,H10,I10,J10,K10),"PASS","FAIL")</x:f>
        <x:v>PASS</x:v>
      </x:c>
      <x:c r="M10" s="27" t="str">
        <x:v>SELECT: all six mature through shared waves and one joint truth object.</x:v>
      </x:c>
    </x:row>
  </x:sheetData>
  <x:conditionalFormatting sqref="L6:L10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2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2">
      <x:c r="B2" s="62" t="str">
        <x:v>Twenty-five-year coupled wavefront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</x:row>
    <x:row r="3">
      <x:c r="B3" s="64" t="str">
        <x:v>Fiscal phases are inherited; gate exits are the new sequencing constitution.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</x:row>
    <x:row r="5" ht="31" customHeight="1">
      <x:c r="B5" s="9" t="str">
        <x:v>Wave</x:v>
      </x:c>
      <x:c r="C5" s="10" t="str">
        <x:v>Years</x:v>
      </x:c>
      <x:c r="D5" s="10" t="str">
        <x:v>Share</x:v>
      </x:c>
      <x:c r="E5" s="10" t="str">
        <x:v>Program (USD B)</x:v>
      </x:c>
      <x:c r="F5" s="10" t="str">
        <x:v>Mission systems</x:v>
      </x:c>
      <x:c r="G5" s="10" t="str">
        <x:v>Service bases</x:v>
      </x:c>
      <x:c r="H5" s="10" t="str">
        <x:v>Common capacity</x:v>
      </x:c>
      <x:c r="I5" s="10" t="str">
        <x:v>Sovereign technical</x:v>
      </x:c>
      <x:c r="J5" s="10" t="str">
        <x:v>Failure reserve</x:v>
      </x:c>
      <x:c r="K5" s="10" t="str">
        <x:v>Required gate exit</x:v>
      </x:c>
      <x:c r="L5" s="10" t="str">
        <x:v>Minimum rivalry</x:v>
      </x:c>
      <x:c r="M5" s="10" t="str">
        <x:v>Joint-stack rule</x:v>
      </x:c>
      <x:c r="N5" s="10" t="str">
        <x:v>Permitted claim</x:v>
      </x:c>
      <x:c r="O5" s="11" t="str">
        <x:v>Stop condition</x:v>
      </x:c>
    </x:row>
    <x:row r="6" ht="54" customHeight="1">
      <x:c r="B6" s="13" t="str">
        <x:v>W1 Constitute</x:v>
      </x:c>
      <x:c r="C6" s="13" t="str">
        <x:v>1–5</x:v>
      </x:c>
      <x:c r="D6" s="20" t="n">
        <x:f>Controls!$C$14</x:f>
        <x:v>0.2</x:v>
      </x:c>
      <x:c r="E6" s="18" t="n">
        <x:f>Controls!$C$6*D6</x:f>
        <x:v>200</x:v>
      </x:c>
      <x:c r="F6" s="18" t="n">
        <x:f>Controls!$C$7*D6</x:f>
        <x:v>110</x:v>
      </x:c>
      <x:c r="G6" s="18" t="n">
        <x:f>Controls!$C$8*D6</x:f>
        <x:v>30</x:v>
      </x:c>
      <x:c r="H6" s="18" t="n">
        <x:f>Controls!$C$9*D6</x:f>
        <x:v>30</x:v>
      </x:c>
      <x:c r="I6" s="18" t="n">
        <x:f>Controls!$C$10*D6</x:f>
        <x:v>20</x:v>
      </x:c>
      <x:c r="J6" s="18" t="n">
        <x:f>Controls!$C$11*D6</x:f>
        <x:v>10</x:v>
      </x:c>
      <x:c r="K6" s="13" t="str">
        <x:v>G0–G1</x:v>
      </x:c>
      <x:c r="L6" s="26" t="str">
        <x:v>4 unlike mechanisms / parent field</x:v>
      </x:c>
      <x:c r="M6" s="26" t="str">
        <x:v>No stack claim</x:v>
      </x:c>
      <x:c r="N6" s="26" t="str">
        <x:v>Research opportunity and reproduced mechanism</x:v>
      </x:c>
      <x:c r="O6" s="26" t="str">
        <x:v>Any system absent or decisive mechanism not reproduced</x:v>
      </x:c>
    </x:row>
    <x:row r="7" ht="54" customHeight="1">
      <x:c r="B7" s="13" t="str">
        <x:v>W2 Integrate</x:v>
      </x:c>
      <x:c r="C7" s="13" t="str">
        <x:v>6–10</x:v>
      </x:c>
      <x:c r="D7" s="20" t="n">
        <x:f>Controls!$C$15</x:f>
        <x:v>0.3</x:v>
      </x:c>
      <x:c r="E7" s="18" t="n">
        <x:f>Controls!$C$6*D7</x:f>
        <x:v>300</x:v>
      </x:c>
      <x:c r="F7" s="18" t="n">
        <x:f>Controls!$C$7*D7</x:f>
        <x:v>165</x:v>
      </x:c>
      <x:c r="G7" s="18" t="n">
        <x:f>Controls!$C$8*D7</x:f>
        <x:v>45</x:v>
      </x:c>
      <x:c r="H7" s="18" t="n">
        <x:f>Controls!$C$9*D7</x:f>
        <x:v>45</x:v>
      </x:c>
      <x:c r="I7" s="18" t="n">
        <x:f>Controls!$C$10*D7</x:f>
        <x:v>30</x:v>
      </x:c>
      <x:c r="J7" s="18" t="n">
        <x:f>Controls!$C$11*D7</x:f>
        <x:v>15</x:v>
      </x:c>
      <x:c r="K7" s="13" t="str">
        <x:v>G2–G3</x:v>
      </x:c>
      <x:c r="L7" s="26" t="str">
        <x:v>2 mechanisms / field; 4 complete roots / system</x:v>
      </x:c>
      <x:c r="M7" s="26" t="str">
        <x:v>All six must supply roots</x:v>
      </x:c>
      <x:c r="N7" s="26" t="str">
        <x:v>Integrated and relevant-environment evidence</x:v>
      </x:c>
      <x:c r="O7" s="26" t="str">
        <x:v>Common-mode collapse or fewer than four complete roots in any system</x:v>
      </x:c>
    </x:row>
    <x:row r="8" ht="54" customHeight="1">
      <x:c r="B8" s="13" t="str">
        <x:v>W3 Prove</x:v>
      </x:c>
      <x:c r="C8" s="13" t="str">
        <x:v>11–15</x:v>
      </x:c>
      <x:c r="D8" s="20" t="n">
        <x:f>Controls!$C$16</x:f>
        <x:v>0.25</x:v>
      </x:c>
      <x:c r="E8" s="18" t="n">
        <x:f>Controls!$C$6*D8</x:f>
        <x:v>250</x:v>
      </x:c>
      <x:c r="F8" s="18" t="n">
        <x:f>Controls!$C$7*D8</x:f>
        <x:v>137.5</x:v>
      </x:c>
      <x:c r="G8" s="18" t="n">
        <x:f>Controls!$C$8*D8</x:f>
        <x:v>37.5</x:v>
      </x:c>
      <x:c r="H8" s="18" t="n">
        <x:f>Controls!$C$9*D8</x:f>
        <x:v>37.5</x:v>
      </x:c>
      <x:c r="I8" s="18" t="n">
        <x:f>Controls!$C$10*D8</x:f>
        <x:v>25</x:v>
      </x:c>
      <x:c r="J8" s="18" t="n">
        <x:f>Controls!$C$11*D8</x:f>
        <x:v>12.5</x:v>
      </x:c>
      <x:c r="K8" s="13" t="str">
        <x:v>G4</x:v>
      </x:c>
      <x:c r="L8" s="26" t="str">
        <x:v>4 rotating all-six stacks</x:v>
      </x:c>
      <x:c r="M8" s="26" t="str">
        <x:v>10 campaigns × 3 sites</x:v>
      </x:c>
      <x:c r="N8" s="26" t="str">
        <x:v>Limited field authority for exact configuration</x:v>
      </x:c>
      <x:c r="O8" s="26" t="str">
        <x:v>No net public-service gain or dependency failure</x:v>
      </x:c>
    </x:row>
    <x:row r="9" ht="54" customHeight="1">
      <x:c r="B9" s="13" t="str">
        <x:v>W4 Qualify</x:v>
      </x:c>
      <x:c r="C9" s="13" t="str">
        <x:v>16–20</x:v>
      </x:c>
      <x:c r="D9" s="20" t="n">
        <x:f>Controls!$C$17</x:f>
        <x:v>0.15</x:v>
      </x:c>
      <x:c r="E9" s="18" t="n">
        <x:f>Controls!$C$6*D9</x:f>
        <x:v>150</x:v>
      </x:c>
      <x:c r="F9" s="18" t="n">
        <x:f>Controls!$C$7*D9</x:f>
        <x:v>82.5</x:v>
      </x:c>
      <x:c r="G9" s="18" t="n">
        <x:f>Controls!$C$8*D9</x:f>
        <x:v>22.5</x:v>
      </x:c>
      <x:c r="H9" s="18" t="n">
        <x:f>Controls!$C$9*D9</x:f>
        <x:v>22.5</x:v>
      </x:c>
      <x:c r="I9" s="18" t="n">
        <x:f>Controls!$C$10*D9</x:f>
        <x:v>15</x:v>
      </x:c>
      <x:c r="J9" s="18" t="n">
        <x:f>Controls!$C$11*D9</x:f>
        <x:v>7.5</x:v>
      </x:c>
      <x:c r="K9" s="13" t="str">
        <x:v>G5–G6</x:v>
      </x:c>
      <x:c r="L9" s="26" t="str">
        <x:v>Unlike production paths retained</x:v>
      </x:c>
      <x:c r="M9" s="26" t="str">
        <x:v>Replicated joint use</x:v>
      </x:c>
      <x:c r="N9" s="26" t="str">
        <x:v>Low-rate production then bounded force coefficient</x:v>
      </x:c>
      <x:c r="O9" s="26" t="str">
        <x:v>Brittle source, configuration drift or nonreplication</x:v>
      </x:c>
    </x:row>
    <x:row r="10" ht="54" customHeight="1">
      <x:c r="B10" s="13" t="str">
        <x:v>W5 Renew</x:v>
      </x:c>
      <x:c r="C10" s="13" t="str">
        <x:v>21–25</x:v>
      </x:c>
      <x:c r="D10" s="20" t="n">
        <x:f>Controls!$C$18</x:f>
        <x:v>0.1</x:v>
      </x:c>
      <x:c r="E10" s="18" t="n">
        <x:f>Controls!$C$6*D10</x:f>
        <x:v>100</x:v>
      </x:c>
      <x:c r="F10" s="18" t="n">
        <x:f>Controls!$C$7*D10</x:f>
        <x:v>55</x:v>
      </x:c>
      <x:c r="G10" s="18" t="n">
        <x:f>Controls!$C$8*D10</x:f>
        <x:v>15</x:v>
      </x:c>
      <x:c r="H10" s="18" t="n">
        <x:f>Controls!$C$9*D10</x:f>
        <x:v>15</x:v>
      </x:c>
      <x:c r="I10" s="18" t="n">
        <x:f>Controls!$C$10*D10</x:f>
        <x:v>10</x:v>
      </x:c>
      <x:c r="J10" s="18" t="n">
        <x:f>Controls!$C$11*D10</x:f>
        <x:v>5</x:v>
      </x:c>
      <x:c r="K10" s="13" t="str">
        <x:v>G7</x:v>
      </x:c>
      <x:c r="L10" s="26" t="str">
        <x:v>Unlike challenger retained</x:v>
      </x:c>
      <x:c r="M10" s="26" t="str">
        <x:v>Challenge incumbent stack</x:v>
      </x:c>
      <x:c r="N10" s="26" t="str">
        <x:v>Scale, license, redirect or retire</x:v>
      </x:c>
      <x:c r="O10" s="26" t="str">
        <x:v>Sunk-cost defense or lifecycle burden dominates</x:v>
      </x:c>
    </x:row>
    <x:row r="11">
      <x:c r="B11" s="35" t="str">
        <x:v>Total</x:v>
      </x:c>
      <x:c r="C11" s="35"/>
      <x:c r="D11" s="40" t="n">
        <x:f>SUM(D6:D10)</x:f>
        <x:v>1</x:v>
      </x:c>
      <x:c r="E11" s="39" t="n">
        <x:f>SUM(E6:E10)</x:f>
        <x:v>1000</x:v>
      </x:c>
      <x:c r="F11" s="39" t="n">
        <x:f>SUM(F6:F10)</x:f>
        <x:v>550</x:v>
      </x:c>
      <x:c r="G11" s="39" t="n">
        <x:f>SUM(G6:G10)</x:f>
        <x:v>150</x:v>
      </x:c>
      <x:c r="H11" s="39" t="n">
        <x:f>SUM(H6:H10)</x:f>
        <x:v>150</x:v>
      </x:c>
      <x:c r="I11" s="39" t="n">
        <x:f>SUM(I6:I10)</x:f>
        <x:v>100</x:v>
      </x:c>
      <x:c r="J11" s="39" t="n">
        <x:f>SUM(J6:J10)</x:f>
        <x:v>50</x:v>
      </x:c>
      <x:c r="K11" s="35"/>
      <x:c r="L11" s="35"/>
      <x:c r="M11" s="35"/>
      <x:c r="N11" s="35"/>
      <x:c r="O11" s="3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0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1" hidden="0" customWidth="1"/>
  </x:cols>
  <x:sheetData>
    <x:row r="2">
      <x:c r="B2" s="62" t="str">
        <x:v>Six-system funding continuity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>
      <x:c r="B3" s="64" t="str">
        <x:v>Unequal obligations retain unequal budgets; every system receives every wave share.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</x:row>
    <x:row r="5" ht="31" customHeight="1">
      <x:c r="B5" s="9" t="str">
        <x:v>ID</x:v>
      </x:c>
      <x:c r="C5" s="10" t="str">
        <x:v>Mission chain</x:v>
      </x:c>
      <x:c r="D5" s="10" t="str">
        <x:v>Demand</x:v>
      </x:c>
      <x:c r="E5" s="10" t="str">
        <x:v>N−1 inventory</x:v>
      </x:c>
      <x:c r="F5" s="10" t="str">
        <x:v>Direct billets</x:v>
      </x:c>
      <x:c r="G5" s="10" t="str">
        <x:v>Formation capital (USD B)</x:v>
      </x:c>
      <x:c r="H5" s="10" t="str">
        <x:v>Completeness</x:v>
      </x:c>
      <x:c r="I5" s="10" t="str">
        <x:v>Unclosed demand</x:v>
      </x:c>
      <x:c r="J5" s="10" t="str">
        <x:v>25Y allocation (USD B)</x:v>
      </x:c>
      <x:c r="K5" s="10" t="str">
        <x:v>W1</x:v>
      </x:c>
      <x:c r="L5" s="10" t="str">
        <x:v>W2</x:v>
      </x:c>
      <x:c r="M5" s="10" t="str">
        <x:v>W3</x:v>
      </x:c>
      <x:c r="N5" s="10" t="str">
        <x:v>W4</x:v>
      </x:c>
      <x:c r="O5" s="10" t="str">
        <x:v>W5</x:v>
      </x:c>
      <x:c r="P5" s="10" t="str">
        <x:v>First 15Y</x:v>
      </x:c>
      <x:c r="Q5" s="11" t="str">
        <x:v>Reconcile</x:v>
      </x:c>
      <x:c r="R5" s="63"/>
    </x:row>
    <x:row r="6">
      <x:c r="B6" s="13" t="str">
        <x:v>MS-ET</x:v>
      </x:c>
      <x:c r="C6" s="13" t="str">
        <x:v>Enter a broken theater</x:v>
      </x:c>
      <x:c r="D6" s="22" t="n">
        <x:v>369</x:v>
      </x:c>
      <x:c r="E6" s="22" t="n">
        <x:v>827</x:v>
      </x:c>
      <x:c r="F6" s="22" t="n">
        <x:v>1012600</x:v>
      </x:c>
      <x:c r="G6" s="18" t="n">
        <x:v>2054.5</x:v>
      </x:c>
      <x:c r="H6" s="20" t="n">
        <x:v>0.4531165311653117</x:v>
      </x:c>
      <x:c r="I6" s="37" t="n">
        <x:v>201.8</x:v>
      </x:c>
      <x:c r="J6" s="18" t="n">
        <x:v>89.02339608008444</x:v>
      </x:c>
      <x:c r="K6" s="18" t="n">
        <x:f>$J6*Controls!$C$14</x:f>
        <x:v>17.80467921601689</x:v>
      </x:c>
      <x:c r="L6" s="18" t="n">
        <x:f>$J6*Controls!$C$15</x:f>
        <x:v>26.70701882402533</x:v>
      </x:c>
      <x:c r="M6" s="18" t="n">
        <x:f>$J6*Controls!$C$16</x:f>
        <x:v>22.25584902002111</x:v>
      </x:c>
      <x:c r="N6" s="18" t="n">
        <x:f>$J6*Controls!$C$17</x:f>
        <x:v>13.353509412012665</x:v>
      </x:c>
      <x:c r="O6" s="18" t="n">
        <x:f>$J6*Controls!$C$18</x:f>
        <x:v>8.902339608008445</x:v>
      </x:c>
      <x:c r="P6" s="18" t="n">
        <x:f>SUM(K6:M6)</x:f>
        <x:v>66.76754706006332</x:v>
      </x:c>
      <x:c r="Q6" s="13" t="str">
        <x:f>IF(ABS(SUM(K6:O6)-J6)&lt;0.000001,"PASS","FAIL")</x:f>
        <x:v>PASS</x:v>
      </x:c>
      <x:c r="R6" s="63"/>
    </x:row>
    <x:row r="7">
      <x:c r="B7" s="13" t="str">
        <x:v>MS-CT</x:v>
      </x:c>
      <x:c r="C7" s="13" t="str">
        <x:v>Reach occupied civil terrain</x:v>
      </x:c>
      <x:c r="D7" s="22" t="n">
        <x:v>343</x:v>
      </x:c>
      <x:c r="E7" s="22" t="n">
        <x:v>724</x:v>
      </x:c>
      <x:c r="F7" s="22" t="n">
        <x:v>3380998</x:v>
      </x:c>
      <x:c r="G7" s="18" t="n">
        <x:v>1505.46</x:v>
      </x:c>
      <x:c r="H7" s="20" t="n">
        <x:v>0.5290087463556852</x:v>
      </x:c>
      <x:c r="I7" s="37" t="n">
        <x:v>161.55</x:v>
      </x:c>
      <x:c r="J7" s="18" t="n">
        <x:v>91.87279861858138</x:v>
      </x:c>
      <x:c r="K7" s="18" t="n">
        <x:f>$J7*Controls!$C$14</x:f>
        <x:v>18.374559723716278</x:v>
      </x:c>
      <x:c r="L7" s="18" t="n">
        <x:f>$J7*Controls!$C$15</x:f>
        <x:v>27.561839585574415</x:v>
      </x:c>
      <x:c r="M7" s="18" t="n">
        <x:f>$J7*Controls!$C$16</x:f>
        <x:v>22.968199654645346</x:v>
      </x:c>
      <x:c r="N7" s="18" t="n">
        <x:f>$J7*Controls!$C$17</x:f>
        <x:v>13.780919792787207</x:v>
      </x:c>
      <x:c r="O7" s="18" t="n">
        <x:f>$J7*Controls!$C$18</x:f>
        <x:v>9.187279861858139</x:v>
      </x:c>
      <x:c r="P7" s="18" t="n">
        <x:f>SUM(K7:M7)</x:f>
        <x:v>68.90459896393604</x:v>
      </x:c>
      <x:c r="Q7" s="13" t="str">
        <x:f>IF(ABS(SUM(K7:O7)-J7)&lt;0.000001,"PASS","FAIL")</x:f>
        <x:v>PASS</x:v>
      </x:c>
      <x:c r="R7" s="63"/>
    </x:row>
    <x:row r="8">
      <x:c r="B8" s="13" t="str">
        <x:v>MS-HC</x:v>
      </x:c>
      <x:c r="C8" s="13" t="str">
        <x:v>Control an active hazard</x:v>
      </x:c>
      <x:c r="D8" s="22" t="n">
        <x:v>170</x:v>
      </x:c>
      <x:c r="E8" s="22" t="n">
        <x:v>370</x:v>
      </x:c>
      <x:c r="F8" s="22" t="n">
        <x:v>460870</x:v>
      </x:c>
      <x:c r="G8" s="18" t="n">
        <x:v>767.4</x:v>
      </x:c>
      <x:c r="H8" s="20" t="n">
        <x:v>0.6208823529411764</x:v>
      </x:c>
      <x:c r="I8" s="37" t="n">
        <x:v>64.45</x:v>
      </x:c>
      <x:c r="J8" s="18" t="n">
        <x:v>54.64795617252303</x:v>
      </x:c>
      <x:c r="K8" s="18" t="n">
        <x:f>$J8*Controls!$C$14</x:f>
        <x:v>10.929591234504606</x:v>
      </x:c>
      <x:c r="L8" s="18" t="n">
        <x:f>$J8*Controls!$C$15</x:f>
        <x:v>16.39438685175691</x:v>
      </x:c>
      <x:c r="M8" s="18" t="n">
        <x:f>$J8*Controls!$C$16</x:f>
        <x:v>13.661989043130758</x:v>
      </x:c>
      <x:c r="N8" s="18" t="n">
        <x:f>$J8*Controls!$C$17</x:f>
        <x:v>8.197193425878455</x:v>
      </x:c>
      <x:c r="O8" s="18" t="n">
        <x:f>$J8*Controls!$C$18</x:f>
        <x:v>5.464795617252303</x:v>
      </x:c>
      <x:c r="P8" s="18" t="n">
        <x:f>SUM(K8:M8)</x:f>
        <x:v>40.98596712939227</x:v>
      </x:c>
      <x:c r="Q8" s="13" t="str">
        <x:f>IF(ABS(SUM(K8:O8)-J8)&lt;0.000001,"PASS","FAIL")</x:f>
        <x:v>PASS</x:v>
      </x:c>
      <x:c r="R8" s="63"/>
    </x:row>
    <x:row r="9">
      <x:c r="B9" s="13" t="str">
        <x:v>MS-LF</x:v>
      </x:c>
      <x:c r="C9" s="13" t="str">
        <x:v>Produce and distribute lifelines</x:v>
      </x:c>
      <x:c r="D9" s="22" t="n">
        <x:v>256</x:v>
      </x:c>
      <x:c r="E9" s="22" t="n">
        <x:v>554</x:v>
      </x:c>
      <x:c r="F9" s="22" t="n">
        <x:v>2338110</x:v>
      </x:c>
      <x:c r="G9" s="18" t="n">
        <x:v>804</x:v>
      </x:c>
      <x:c r="H9" s="20" t="n">
        <x:v>0.6576171875</x:v>
      </x:c>
      <x:c r="I9" s="37" t="n">
        <x:v>87.65</x:v>
      </x:c>
      <x:c r="J9" s="18" t="n">
        <x:v>71.95302554564509</x:v>
      </x:c>
      <x:c r="K9" s="18" t="n">
        <x:f>$J9*Controls!$C$14</x:f>
        <x:v>14.39060510912902</x:v>
      </x:c>
      <x:c r="L9" s="18" t="n">
        <x:f>$J9*Controls!$C$15</x:f>
        <x:v>21.585907663693526</x:v>
      </x:c>
      <x:c r="M9" s="18" t="n">
        <x:f>$J9*Controls!$C$16</x:f>
        <x:v>17.988256386411273</x:v>
      </x:c>
      <x:c r="N9" s="18" t="n">
        <x:f>$J9*Controls!$C$17</x:f>
        <x:v>10.792953831846763</x:v>
      </x:c>
      <x:c r="O9" s="18" t="n">
        <x:f>$J9*Controls!$C$18</x:f>
        <x:v>7.19530255456451</x:v>
      </x:c>
      <x:c r="P9" s="18" t="n">
        <x:f>SUM(K9:M9)</x:f>
        <x:v>53.96476915923382</x:v>
      </x:c>
      <x:c r="Q9" s="13" t="str">
        <x:f>IF(ABS(SUM(K9:O9)-J9)&lt;0.000001,"PASS","FAIL")</x:f>
        <x:v>PASS</x:v>
      </x:c>
      <x:c r="R9" s="63"/>
    </x:row>
    <x:row r="10">
      <x:c r="B10" s="13" t="str">
        <x:v>MS-HU</x:v>
      </x:c>
      <x:c r="C10" s="13" t="str">
        <x:v>Preserve care and human continuity</x:v>
      </x:c>
      <x:c r="D10" s="22" t="n">
        <x:v>879</x:v>
      </x:c>
      <x:c r="E10" s="22" t="n">
        <x:v>1944</x:v>
      </x:c>
      <x:c r="F10" s="22" t="n">
        <x:v>3251860</x:v>
      </x:c>
      <x:c r="G10" s="18" t="n">
        <x:v>2482.8</x:v>
      </x:c>
      <x:c r="H10" s="20" t="n">
        <x:v>0.5291808873720136</x:v>
      </x:c>
      <x:c r="I10" s="37" t="n">
        <x:v>413.85</x:v>
      </x:c>
      <x:c r="J10" s="18" t="n">
        <x:v>153.1017614897401</x:v>
      </x:c>
      <x:c r="K10" s="18" t="n">
        <x:f>$J10*Controls!$C$14</x:f>
        <x:v>30.620352297948024</x:v>
      </x:c>
      <x:c r="L10" s="18" t="n">
        <x:f>$J10*Controls!$C$15</x:f>
        <x:v>45.93052844692203</x:v>
      </x:c>
      <x:c r="M10" s="18" t="n">
        <x:f>$J10*Controls!$C$16</x:f>
        <x:v>38.27544037243503</x:v>
      </x:c>
      <x:c r="N10" s="18" t="n">
        <x:f>$J10*Controls!$C$17</x:f>
        <x:v>22.965264223461016</x:v>
      </x:c>
      <x:c r="O10" s="18" t="n">
        <x:f>$J10*Controls!$C$18</x:f>
        <x:v>15.310176148974012</x:v>
      </x:c>
      <x:c r="P10" s="18" t="n">
        <x:f>SUM(K10:M10)</x:f>
        <x:v>114.82632111730508</x:v>
      </x:c>
      <x:c r="Q10" s="13" t="str">
        <x:f>IF(ABS(SUM(K10:O10)-J10)&lt;0.000001,"PASS","FAIL")</x:f>
        <x:v>PASS</x:v>
      </x:c>
      <x:c r="R10" s="63"/>
    </x:row>
    <x:row r="11">
      <x:c r="B11" s="13" t="str">
        <x:v>MS-RT</x:v>
      </x:c>
      <x:c r="C11" s="13" t="str">
        <x:v>Sustain, transfer and regenerate</x:v>
      </x:c>
      <x:c r="D11" s="22" t="n">
        <x:v>403</x:v>
      </x:c>
      <x:c r="E11" s="22" t="n">
        <x:v>832</x:v>
      </x:c>
      <x:c r="F11" s="22" t="n">
        <x:v>1020775</x:v>
      </x:c>
      <x:c r="G11" s="18" t="n">
        <x:v>1796.4</x:v>
      </x:c>
      <x:c r="H11" s="20" t="n">
        <x:v>0.44354838709677413</x:v>
      </x:c>
      <x:c r="I11" s="37" t="n">
        <x:v>224.25</x:v>
      </x:c>
      <x:c r="J11" s="18" t="n">
        <x:v>89.40106209342595</x:v>
      </x:c>
      <x:c r="K11" s="18" t="n">
        <x:f>$J11*Controls!$C$14</x:f>
        <x:v>17.88021241868519</x:v>
      </x:c>
      <x:c r="L11" s="18" t="n">
        <x:f>$J11*Controls!$C$15</x:f>
        <x:v>26.820318628027785</x:v>
      </x:c>
      <x:c r="M11" s="18" t="n">
        <x:f>$J11*Controls!$C$16</x:f>
        <x:v>22.350265523356487</x:v>
      </x:c>
      <x:c r="N11" s="18" t="n">
        <x:f>$J11*Controls!$C$17</x:f>
        <x:v>13.410159314013892</x:v>
      </x:c>
      <x:c r="O11" s="18" t="n">
        <x:f>$J11*Controls!$C$18</x:f>
        <x:v>8.940106209342595</x:v>
      </x:c>
      <x:c r="P11" s="18" t="n">
        <x:f>SUM(K11:M11)</x:f>
        <x:v>67.05079657006947</x:v>
      </x:c>
      <x:c r="Q11" s="13" t="str">
        <x:f>IF(ABS(SUM(K11:O11)-J11)&lt;0.000001,"PASS","FAIL")</x:f>
        <x:v>PASS</x:v>
      </x:c>
      <x:c r="R11" s="63"/>
    </x:row>
    <x:row r="12">
      <x:c r="B12" s="35" t="str">
        <x:v>Total</x:v>
      </x:c>
      <x:c r="C12" s="35"/>
      <x:c r="D12" s="36" t="n">
        <x:f>SUM(D6:D11)</x:f>
        <x:v>2420</x:v>
      </x:c>
      <x:c r="E12" s="36" t="n">
        <x:f>SUM(E6:E11)</x:f>
        <x:v>5251</x:v>
      </x:c>
      <x:c r="F12" s="36" t="n">
        <x:f>SUM(F6:F11)</x:f>
        <x:v>11465213</x:v>
      </x:c>
      <x:c r="G12" s="35" t="n">
        <x:f>SUM(G6:G11)</x:f>
        <x:v>9410.56</x:v>
      </x:c>
      <x:c r="H12" s="35"/>
      <x:c r="I12" s="38" t="n">
        <x:f>SUM(I6:I11)</x:f>
        <x:v>1153.5500000000002</x:v>
      </x:c>
      <x:c r="J12" s="39" t="n">
        <x:f>SUM(J6:J11)</x:f>
        <x:v>550</x:v>
      </x:c>
      <x:c r="K12" s="39" t="n">
        <x:f>SUM(K6:K11)</x:f>
        <x:v>110.00000000000001</x:v>
      </x:c>
      <x:c r="L12" s="39" t="n">
        <x:f>SUM(L6:L11)</x:f>
        <x:v>165</x:v>
      </x:c>
      <x:c r="M12" s="39" t="n">
        <x:f>SUM(M6:M11)</x:f>
        <x:v>137.5</x:v>
      </x:c>
      <x:c r="N12" s="39" t="n">
        <x:f>SUM(N6:N11)</x:f>
        <x:v>82.5</x:v>
      </x:c>
      <x:c r="O12" s="39" t="n">
        <x:f>SUM(O6:O11)</x:f>
        <x:v>55.00000000000001</x:v>
      </x:c>
      <x:c r="P12" s="39" t="n">
        <x:f>SUM(P6:P11)</x:f>
        <x:v>412.49999999999994</x:v>
      </x:c>
      <x:c r="Q12" s="35" t="str">
        <x:f>IF(AND(ABS(J12-Controls!C7)&lt;0.000001,COUNTIF(Q6:Q11,"FAIL")=0),"PASS","FAIL")</x:f>
        <x:v>PASS</x:v>
      </x:c>
      <x:c r="R12" s="63"/>
    </x:row>
  </x:sheetData>
  <x:conditionalFormatting sqref="Q6:Q12">
    <x:cfRule type="containsText" dxfId="3" priority="1" operator="containsText" text="FAIL"/>
    <x:cfRule type="containsText" dxfId="4" priority="2" operator="containsText" text="PASS"/>
    <x:cfRule type="containsText" dxfId="5" priority="3" operator="containsText" text="BLOCKED"/>
  </x:conditionalFormatting>
  <x:pageMargins left="0.7" right="0.7" top="0.75" bottom="0.75" header="0.3" footer="0.3"/>
  <x:drawing xmlns:r="http://schemas.openxmlformats.org/officeDocument/2006/relationships" r:id="Re56cb8f85bc0443c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8" hidden="0" customWidth="1"/>
    <x:col min="3" max="3" width="10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3" max="13" width="82" hidden="0" customWidth="1"/>
  </x:cols>
  <x:sheetData>
    <x:row r="2">
      <x:c r="B2" s="62" t="str">
        <x:v>Annual development program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  <x:c r="S2" s="63"/>
      <x:c r="T2" s="63"/>
      <x:c r="U2" s="63"/>
    </x:row>
    <x:row r="3">
      <x:c r="B3" s="64" t="str">
        <x:v>One USD 1.00T non-additive view across five constitutional accounts.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</x:row>
    <x:row r="5" ht="31" customHeight="1">
      <x:c r="B5" s="9" t="str">
        <x:v>Year</x:v>
      </x:c>
      <x:c r="C5" s="10" t="str">
        <x:v>Wave</x:v>
      </x:c>
      <x:c r="D5" s="10" t="str">
        <x:v>Annual share</x:v>
      </x:c>
      <x:c r="E5" s="10" t="str">
        <x:v>Mission systems</x:v>
      </x:c>
      <x:c r="F5" s="10" t="str">
        <x:v>Service bases</x:v>
      </x:c>
      <x:c r="G5" s="10" t="str">
        <x:v>Common capacity</x:v>
      </x:c>
      <x:c r="H5" s="10" t="str">
        <x:v>Sovereign technical</x:v>
      </x:c>
      <x:c r="I5" s="10" t="str">
        <x:v>Failure reserve</x:v>
      </x:c>
      <x:c r="J5" s="10" t="str">
        <x:v>Annual total</x:v>
      </x:c>
      <x:c r="K5" s="11" t="str">
        <x:v>Cumulative</x:v>
      </x:c>
      <x:c r="L5" s="63"/>
      <x:c r="M5" s="63"/>
      <x:c r="N5" s="63"/>
      <x:c r="O5" s="63"/>
      <x:c r="P5" s="63"/>
      <x:c r="Q5" s="63"/>
      <x:c r="R5" s="63"/>
      <x:c r="S5" s="63"/>
      <x:c r="T5" s="63"/>
      <x:c r="U5" s="63"/>
    </x:row>
    <x:row r="6">
      <x:c r="B6" s="13" t="n">
        <x:v>1</x:v>
      </x:c>
      <x:c r="C6" s="13" t="str">
        <x:v>W1</x:v>
      </x:c>
      <x:c r="D6" s="20" t="n">
        <x:v>0.04</x:v>
      </x:c>
      <x:c r="E6" s="18" t="n">
        <x:f>Controls!$C$7*$D6</x:f>
        <x:v>22</x:v>
      </x:c>
      <x:c r="F6" s="18" t="n">
        <x:f>Controls!$C$8*$D6</x:f>
        <x:v>6</x:v>
      </x:c>
      <x:c r="G6" s="18" t="n">
        <x:f>Controls!$C$9*$D6</x:f>
        <x:v>6</x:v>
      </x:c>
      <x:c r="H6" s="18" t="n">
        <x:f>Controls!$C$10*$D6</x:f>
        <x:v>4</x:v>
      </x:c>
      <x:c r="I6" s="18" t="n">
        <x:f>Controls!$C$11*$D6</x:f>
        <x:v>2</x:v>
      </x:c>
      <x:c r="J6" s="18" t="n">
        <x:f>SUM(E6:I6)</x:f>
        <x:v>40</x:v>
      </x:c>
      <x:c r="K6" s="18" t="n">
        <x:f>J6</x:f>
        <x:v>40</x:v>
      </x:c>
      <x:c r="L6" s="63"/>
      <x:c r="M6" s="63"/>
      <x:c r="N6" s="63"/>
      <x:c r="O6" s="63"/>
      <x:c r="P6" s="63"/>
      <x:c r="Q6" s="63"/>
      <x:c r="R6" s="63"/>
      <x:c r="S6" s="63"/>
      <x:c r="T6" s="63"/>
      <x:c r="U6" s="63"/>
    </x:row>
    <x:row r="7">
      <x:c r="B7" s="13" t="n">
        <x:v>2</x:v>
      </x:c>
      <x:c r="C7" s="13" t="str">
        <x:v>W1</x:v>
      </x:c>
      <x:c r="D7" s="20" t="n">
        <x:v>0.04</x:v>
      </x:c>
      <x:c r="E7" s="18" t="n">
        <x:f>Controls!$C$7*$D7</x:f>
        <x:v>22</x:v>
      </x:c>
      <x:c r="F7" s="18" t="n">
        <x:f>Controls!$C$8*$D7</x:f>
        <x:v>6</x:v>
      </x:c>
      <x:c r="G7" s="18" t="n">
        <x:f>Controls!$C$9*$D7</x:f>
        <x:v>6</x:v>
      </x:c>
      <x:c r="H7" s="18" t="n">
        <x:f>Controls!$C$10*$D7</x:f>
        <x:v>4</x:v>
      </x:c>
      <x:c r="I7" s="18" t="n">
        <x:f>Controls!$C$11*$D7</x:f>
        <x:v>2</x:v>
      </x:c>
      <x:c r="J7" s="18" t="n">
        <x:f>SUM(E7:I7)</x:f>
        <x:v>40</x:v>
      </x:c>
      <x:c r="K7" s="18" t="n">
        <x:f>K6+J7</x:f>
        <x:v>80</x:v>
      </x:c>
      <x:c r="L7" s="63"/>
      <x:c r="M7" s="63"/>
      <x:c r="N7" s="63"/>
      <x:c r="O7" s="63"/>
      <x:c r="P7" s="63"/>
      <x:c r="Q7" s="63"/>
      <x:c r="R7" s="63"/>
      <x:c r="S7" s="63"/>
      <x:c r="T7" s="63"/>
      <x:c r="U7" s="63"/>
    </x:row>
    <x:row r="8">
      <x:c r="B8" s="13" t="n">
        <x:v>3</x:v>
      </x:c>
      <x:c r="C8" s="13" t="str">
        <x:v>W1</x:v>
      </x:c>
      <x:c r="D8" s="20" t="n">
        <x:v>0.04</x:v>
      </x:c>
      <x:c r="E8" s="18" t="n">
        <x:f>Controls!$C$7*$D8</x:f>
        <x:v>22</x:v>
      </x:c>
      <x:c r="F8" s="18" t="n">
        <x:f>Controls!$C$8*$D8</x:f>
        <x:v>6</x:v>
      </x:c>
      <x:c r="G8" s="18" t="n">
        <x:f>Controls!$C$9*$D8</x:f>
        <x:v>6</x:v>
      </x:c>
      <x:c r="H8" s="18" t="n">
        <x:f>Controls!$C$10*$D8</x:f>
        <x:v>4</x:v>
      </x:c>
      <x:c r="I8" s="18" t="n">
        <x:f>Controls!$C$11*$D8</x:f>
        <x:v>2</x:v>
      </x:c>
      <x:c r="J8" s="18" t="n">
        <x:f>SUM(E8:I8)</x:f>
        <x:v>40</x:v>
      </x:c>
      <x:c r="K8" s="18" t="n">
        <x:f>K7+J8</x:f>
        <x:v>120</x:v>
      </x:c>
      <x:c r="L8" s="63"/>
      <x:c r="M8" s="63"/>
      <x:c r="N8" s="63"/>
      <x:c r="O8" s="63"/>
      <x:c r="P8" s="63"/>
      <x:c r="Q8" s="63"/>
      <x:c r="R8" s="63"/>
      <x:c r="S8" s="63"/>
      <x:c r="T8" s="63"/>
      <x:c r="U8" s="63"/>
    </x:row>
    <x:row r="9">
      <x:c r="B9" s="13" t="n">
        <x:v>4</x:v>
      </x:c>
      <x:c r="C9" s="13" t="str">
        <x:v>W1</x:v>
      </x:c>
      <x:c r="D9" s="20" t="n">
        <x:v>0.04</x:v>
      </x:c>
      <x:c r="E9" s="18" t="n">
        <x:f>Controls!$C$7*$D9</x:f>
        <x:v>22</x:v>
      </x:c>
      <x:c r="F9" s="18" t="n">
        <x:f>Controls!$C$8*$D9</x:f>
        <x:v>6</x:v>
      </x:c>
      <x:c r="G9" s="18" t="n">
        <x:f>Controls!$C$9*$D9</x:f>
        <x:v>6</x:v>
      </x:c>
      <x:c r="H9" s="18" t="n">
        <x:f>Controls!$C$10*$D9</x:f>
        <x:v>4</x:v>
      </x:c>
      <x:c r="I9" s="18" t="n">
        <x:f>Controls!$C$11*$D9</x:f>
        <x:v>2</x:v>
      </x:c>
      <x:c r="J9" s="18" t="n">
        <x:f>SUM(E9:I9)</x:f>
        <x:v>40</x:v>
      </x:c>
      <x:c r="K9" s="18" t="n">
        <x:f>K8+J9</x:f>
        <x:v>160</x:v>
      </x:c>
      <x:c r="L9" s="63"/>
      <x:c r="M9" s="63"/>
      <x:c r="N9" s="63"/>
      <x:c r="O9" s="63"/>
      <x:c r="P9" s="63"/>
      <x:c r="Q9" s="63"/>
      <x:c r="R9" s="63"/>
      <x:c r="S9" s="63"/>
      <x:c r="T9" s="63"/>
      <x:c r="U9" s="63"/>
    </x:row>
    <x:row r="10">
      <x:c r="B10" s="13" t="n">
        <x:v>5</x:v>
      </x:c>
      <x:c r="C10" s="13" t="str">
        <x:v>W1</x:v>
      </x:c>
      <x:c r="D10" s="20" t="n">
        <x:v>0.04</x:v>
      </x:c>
      <x:c r="E10" s="18" t="n">
        <x:f>Controls!$C$7*$D10</x:f>
        <x:v>22</x:v>
      </x:c>
      <x:c r="F10" s="18" t="n">
        <x:f>Controls!$C$8*$D10</x:f>
        <x:v>6</x:v>
      </x:c>
      <x:c r="G10" s="18" t="n">
        <x:f>Controls!$C$9*$D10</x:f>
        <x:v>6</x:v>
      </x:c>
      <x:c r="H10" s="18" t="n">
        <x:f>Controls!$C$10*$D10</x:f>
        <x:v>4</x:v>
      </x:c>
      <x:c r="I10" s="18" t="n">
        <x:f>Controls!$C$11*$D10</x:f>
        <x:v>2</x:v>
      </x:c>
      <x:c r="J10" s="18" t="n">
        <x:f>SUM(E10:I10)</x:f>
        <x:v>40</x:v>
      </x:c>
      <x:c r="K10" s="18" t="n">
        <x:f>K9+J10</x:f>
        <x:v>200</x:v>
      </x:c>
      <x:c r="L10" s="63"/>
      <x:c r="M10" s="63"/>
      <x:c r="N10" s="63"/>
      <x:c r="O10" s="63"/>
      <x:c r="P10" s="63"/>
      <x:c r="Q10" s="63"/>
      <x:c r="R10" s="63"/>
      <x:c r="S10" s="63"/>
      <x:c r="T10" s="63"/>
      <x:c r="U10" s="63"/>
    </x:row>
    <x:row r="11">
      <x:c r="B11" s="13" t="n">
        <x:v>6</x:v>
      </x:c>
      <x:c r="C11" s="13" t="str">
        <x:v>W2</x:v>
      </x:c>
      <x:c r="D11" s="20" t="n">
        <x:v>0.06</x:v>
      </x:c>
      <x:c r="E11" s="18" t="n">
        <x:f>Controls!$C$7*$D11</x:f>
        <x:v>33</x:v>
      </x:c>
      <x:c r="F11" s="18" t="n">
        <x:f>Controls!$C$8*$D11</x:f>
        <x:v>9</x:v>
      </x:c>
      <x:c r="G11" s="18" t="n">
        <x:f>Controls!$C$9*$D11</x:f>
        <x:v>9</x:v>
      </x:c>
      <x:c r="H11" s="18" t="n">
        <x:f>Controls!$C$10*$D11</x:f>
        <x:v>6</x:v>
      </x:c>
      <x:c r="I11" s="18" t="n">
        <x:f>Controls!$C$11*$D11</x:f>
        <x:v>3</x:v>
      </x:c>
      <x:c r="J11" s="18" t="n">
        <x:f>SUM(E11:I11)</x:f>
        <x:v>60</x:v>
      </x:c>
      <x:c r="K11" s="18" t="n">
        <x:f>K10+J11</x:f>
        <x:v>260</x:v>
      </x:c>
      <x:c r="L11" s="63"/>
      <x:c r="M11" s="63"/>
      <x:c r="N11" s="63"/>
      <x:c r="O11" s="63"/>
      <x:c r="P11" s="63"/>
      <x:c r="Q11" s="63"/>
      <x:c r="R11" s="63"/>
      <x:c r="S11" s="63"/>
      <x:c r="T11" s="63"/>
      <x:c r="U11" s="63"/>
    </x:row>
    <x:row r="12">
      <x:c r="B12" s="13" t="n">
        <x:v>7</x:v>
      </x:c>
      <x:c r="C12" s="13" t="str">
        <x:v>W2</x:v>
      </x:c>
      <x:c r="D12" s="20" t="n">
        <x:v>0.06</x:v>
      </x:c>
      <x:c r="E12" s="18" t="n">
        <x:f>Controls!$C$7*$D12</x:f>
        <x:v>33</x:v>
      </x:c>
      <x:c r="F12" s="18" t="n">
        <x:f>Controls!$C$8*$D12</x:f>
        <x:v>9</x:v>
      </x:c>
      <x:c r="G12" s="18" t="n">
        <x:f>Controls!$C$9*$D12</x:f>
        <x:v>9</x:v>
      </x:c>
      <x:c r="H12" s="18" t="n">
        <x:f>Controls!$C$10*$D12</x:f>
        <x:v>6</x:v>
      </x:c>
      <x:c r="I12" s="18" t="n">
        <x:f>Controls!$C$11*$D12</x:f>
        <x:v>3</x:v>
      </x:c>
      <x:c r="J12" s="18" t="n">
        <x:f>SUM(E12:I12)</x:f>
        <x:v>60</x:v>
      </x:c>
      <x:c r="K12" s="18" t="n">
        <x:f>K11+J12</x:f>
        <x:v>320</x:v>
      </x:c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</x:row>
    <x:row r="13">
      <x:c r="B13" s="13" t="n">
        <x:v>8</x:v>
      </x:c>
      <x:c r="C13" s="13" t="str">
        <x:v>W2</x:v>
      </x:c>
      <x:c r="D13" s="20" t="n">
        <x:v>0.06</x:v>
      </x:c>
      <x:c r="E13" s="18" t="n">
        <x:f>Controls!$C$7*$D13</x:f>
        <x:v>33</x:v>
      </x:c>
      <x:c r="F13" s="18" t="n">
        <x:f>Controls!$C$8*$D13</x:f>
        <x:v>9</x:v>
      </x:c>
      <x:c r="G13" s="18" t="n">
        <x:f>Controls!$C$9*$D13</x:f>
        <x:v>9</x:v>
      </x:c>
      <x:c r="H13" s="18" t="n">
        <x:f>Controls!$C$10*$D13</x:f>
        <x:v>6</x:v>
      </x:c>
      <x:c r="I13" s="18" t="n">
        <x:f>Controls!$C$11*$D13</x:f>
        <x:v>3</x:v>
      </x:c>
      <x:c r="J13" s="18" t="n">
        <x:f>SUM(E13:I13)</x:f>
        <x:v>60</x:v>
      </x:c>
      <x:c r="K13" s="18" t="n">
        <x:f>K12+J13</x:f>
        <x:v>380</x:v>
      </x:c>
      <x:c r="L13" s="63"/>
      <x:c r="M13" s="63"/>
      <x:c r="N13" s="63"/>
      <x:c r="O13" s="63"/>
      <x:c r="P13" s="63"/>
      <x:c r="Q13" s="63"/>
      <x:c r="R13" s="63"/>
      <x:c r="S13" s="63"/>
      <x:c r="T13" s="63"/>
      <x:c r="U13" s="63"/>
    </x:row>
    <x:row r="14">
      <x:c r="B14" s="13" t="n">
        <x:v>9</x:v>
      </x:c>
      <x:c r="C14" s="13" t="str">
        <x:v>W2</x:v>
      </x:c>
      <x:c r="D14" s="20" t="n">
        <x:v>0.06</x:v>
      </x:c>
      <x:c r="E14" s="18" t="n">
        <x:f>Controls!$C$7*$D14</x:f>
        <x:v>33</x:v>
      </x:c>
      <x:c r="F14" s="18" t="n">
        <x:f>Controls!$C$8*$D14</x:f>
        <x:v>9</x:v>
      </x:c>
      <x:c r="G14" s="18" t="n">
        <x:f>Controls!$C$9*$D14</x:f>
        <x:v>9</x:v>
      </x:c>
      <x:c r="H14" s="18" t="n">
        <x:f>Controls!$C$10*$D14</x:f>
        <x:v>6</x:v>
      </x:c>
      <x:c r="I14" s="18" t="n">
        <x:f>Controls!$C$11*$D14</x:f>
        <x:v>3</x:v>
      </x:c>
      <x:c r="J14" s="18" t="n">
        <x:f>SUM(E14:I14)</x:f>
        <x:v>60</x:v>
      </x:c>
      <x:c r="K14" s="18" t="n">
        <x:f>K13+J14</x:f>
        <x:v>440</x:v>
      </x:c>
      <x:c r="L14" s="63"/>
      <x:c r="M14" s="63"/>
      <x:c r="N14" s="63"/>
      <x:c r="O14" s="63"/>
      <x:c r="P14" s="63"/>
      <x:c r="Q14" s="63"/>
      <x:c r="R14" s="63"/>
      <x:c r="S14" s="63"/>
      <x:c r="T14" s="63"/>
      <x:c r="U14" s="63"/>
    </x:row>
    <x:row r="15">
      <x:c r="B15" s="13" t="n">
        <x:v>10</x:v>
      </x:c>
      <x:c r="C15" s="13" t="str">
        <x:v>W2</x:v>
      </x:c>
      <x:c r="D15" s="20" t="n">
        <x:v>0.06</x:v>
      </x:c>
      <x:c r="E15" s="18" t="n">
        <x:f>Controls!$C$7*$D15</x:f>
        <x:v>33</x:v>
      </x:c>
      <x:c r="F15" s="18" t="n">
        <x:f>Controls!$C$8*$D15</x:f>
        <x:v>9</x:v>
      </x:c>
      <x:c r="G15" s="18" t="n">
        <x:f>Controls!$C$9*$D15</x:f>
        <x:v>9</x:v>
      </x:c>
      <x:c r="H15" s="18" t="n">
        <x:f>Controls!$C$10*$D15</x:f>
        <x:v>6</x:v>
      </x:c>
      <x:c r="I15" s="18" t="n">
        <x:f>Controls!$C$11*$D15</x:f>
        <x:v>3</x:v>
      </x:c>
      <x:c r="J15" s="18" t="n">
        <x:f>SUM(E15:I15)</x:f>
        <x:v>60</x:v>
      </x:c>
      <x:c r="K15" s="18" t="n">
        <x:f>K14+J15</x:f>
        <x:v>500</x:v>
      </x:c>
      <x:c r="L15" s="63"/>
      <x:c r="M15" s="63"/>
      <x:c r="N15" s="63"/>
      <x:c r="O15" s="63"/>
      <x:c r="P15" s="63"/>
      <x:c r="Q15" s="63"/>
      <x:c r="R15" s="63"/>
      <x:c r="S15" s="63"/>
      <x:c r="T15" s="63"/>
      <x:c r="U15" s="63"/>
    </x:row>
    <x:row r="16">
      <x:c r="B16" s="13" t="n">
        <x:v>11</x:v>
      </x:c>
      <x:c r="C16" s="13" t="str">
        <x:v>W3</x:v>
      </x:c>
      <x:c r="D16" s="20" t="n">
        <x:v>0.05</x:v>
      </x:c>
      <x:c r="E16" s="18" t="n">
        <x:f>Controls!$C$7*$D16</x:f>
        <x:v>27.5</x:v>
      </x:c>
      <x:c r="F16" s="18" t="n">
        <x:f>Controls!$C$8*$D16</x:f>
        <x:v>7.5</x:v>
      </x:c>
      <x:c r="G16" s="18" t="n">
        <x:f>Controls!$C$9*$D16</x:f>
        <x:v>7.5</x:v>
      </x:c>
      <x:c r="H16" s="18" t="n">
        <x:f>Controls!$C$10*$D16</x:f>
        <x:v>5</x:v>
      </x:c>
      <x:c r="I16" s="18" t="n">
        <x:f>Controls!$C$11*$D16</x:f>
        <x:v>2.5</x:v>
      </x:c>
      <x:c r="J16" s="18" t="n">
        <x:f>SUM(E16:I16)</x:f>
        <x:v>50</x:v>
      </x:c>
      <x:c r="K16" s="18" t="n">
        <x:f>K15+J16</x:f>
        <x:v>550</x:v>
      </x:c>
      <x:c r="L16" s="63"/>
      <x:c r="M16" s="63"/>
      <x:c r="N16" s="63"/>
      <x:c r="O16" s="63"/>
      <x:c r="P16" s="63"/>
      <x:c r="Q16" s="63"/>
      <x:c r="R16" s="63"/>
      <x:c r="S16" s="63"/>
      <x:c r="T16" s="63"/>
      <x:c r="U16" s="63"/>
    </x:row>
    <x:row r="17">
      <x:c r="B17" s="13" t="n">
        <x:v>12</x:v>
      </x:c>
      <x:c r="C17" s="13" t="str">
        <x:v>W3</x:v>
      </x:c>
      <x:c r="D17" s="20" t="n">
        <x:v>0.05</x:v>
      </x:c>
      <x:c r="E17" s="18" t="n">
        <x:f>Controls!$C$7*$D17</x:f>
        <x:v>27.5</x:v>
      </x:c>
      <x:c r="F17" s="18" t="n">
        <x:f>Controls!$C$8*$D17</x:f>
        <x:v>7.5</x:v>
      </x:c>
      <x:c r="G17" s="18" t="n">
        <x:f>Controls!$C$9*$D17</x:f>
        <x:v>7.5</x:v>
      </x:c>
      <x:c r="H17" s="18" t="n">
        <x:f>Controls!$C$10*$D17</x:f>
        <x:v>5</x:v>
      </x:c>
      <x:c r="I17" s="18" t="n">
        <x:f>Controls!$C$11*$D17</x:f>
        <x:v>2.5</x:v>
      </x:c>
      <x:c r="J17" s="18" t="n">
        <x:f>SUM(E17:I17)</x:f>
        <x:v>50</x:v>
      </x:c>
      <x:c r="K17" s="18" t="n">
        <x:f>K16+J17</x:f>
        <x:v>600</x:v>
      </x:c>
      <x:c r="L17" s="63"/>
      <x:c r="M17" s="63"/>
      <x:c r="N17" s="63"/>
      <x:c r="O17" s="63"/>
      <x:c r="P17" s="63"/>
      <x:c r="Q17" s="63"/>
      <x:c r="R17" s="63"/>
      <x:c r="S17" s="63"/>
      <x:c r="T17" s="63"/>
      <x:c r="U17" s="63"/>
    </x:row>
    <x:row r="18">
      <x:c r="B18" s="13" t="n">
        <x:v>13</x:v>
      </x:c>
      <x:c r="C18" s="13" t="str">
        <x:v>W3</x:v>
      </x:c>
      <x:c r="D18" s="20" t="n">
        <x:v>0.05</x:v>
      </x:c>
      <x:c r="E18" s="18" t="n">
        <x:f>Controls!$C$7*$D18</x:f>
        <x:v>27.5</x:v>
      </x:c>
      <x:c r="F18" s="18" t="n">
        <x:f>Controls!$C$8*$D18</x:f>
        <x:v>7.5</x:v>
      </x:c>
      <x:c r="G18" s="18" t="n">
        <x:f>Controls!$C$9*$D18</x:f>
        <x:v>7.5</x:v>
      </x:c>
      <x:c r="H18" s="18" t="n">
        <x:f>Controls!$C$10*$D18</x:f>
        <x:v>5</x:v>
      </x:c>
      <x:c r="I18" s="18" t="n">
        <x:f>Controls!$C$11*$D18</x:f>
        <x:v>2.5</x:v>
      </x:c>
      <x:c r="J18" s="18" t="n">
        <x:f>SUM(E18:I18)</x:f>
        <x:v>50</x:v>
      </x:c>
      <x:c r="K18" s="18" t="n">
        <x:f>K17+J18</x:f>
        <x:v>650</x:v>
      </x:c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</x:row>
    <x:row r="19">
      <x:c r="B19" s="13" t="n">
        <x:v>14</x:v>
      </x:c>
      <x:c r="C19" s="13" t="str">
        <x:v>W3</x:v>
      </x:c>
      <x:c r="D19" s="20" t="n">
        <x:v>0.05</x:v>
      </x:c>
      <x:c r="E19" s="18" t="n">
        <x:f>Controls!$C$7*$D19</x:f>
        <x:v>27.5</x:v>
      </x:c>
      <x:c r="F19" s="18" t="n">
        <x:f>Controls!$C$8*$D19</x:f>
        <x:v>7.5</x:v>
      </x:c>
      <x:c r="G19" s="18" t="n">
        <x:f>Controls!$C$9*$D19</x:f>
        <x:v>7.5</x:v>
      </x:c>
      <x:c r="H19" s="18" t="n">
        <x:f>Controls!$C$10*$D19</x:f>
        <x:v>5</x:v>
      </x:c>
      <x:c r="I19" s="18" t="n">
        <x:f>Controls!$C$11*$D19</x:f>
        <x:v>2.5</x:v>
      </x:c>
      <x:c r="J19" s="18" t="n">
        <x:f>SUM(E19:I19)</x:f>
        <x:v>50</x:v>
      </x:c>
      <x:c r="K19" s="18" t="n">
        <x:f>K18+J19</x:f>
        <x:v>700</x:v>
      </x:c>
      <x:c r="L19" s="63"/>
      <x:c r="M19" s="63"/>
      <x:c r="N19" s="63"/>
      <x:c r="O19" s="63"/>
      <x:c r="P19" s="63"/>
      <x:c r="Q19" s="63"/>
      <x:c r="R19" s="63"/>
      <x:c r="S19" s="63"/>
      <x:c r="T19" s="63"/>
      <x:c r="U19" s="63"/>
    </x:row>
    <x:row r="20">
      <x:c r="B20" s="13" t="n">
        <x:v>15</x:v>
      </x:c>
      <x:c r="C20" s="13" t="str">
        <x:v>W3</x:v>
      </x:c>
      <x:c r="D20" s="20" t="n">
        <x:v>0.05</x:v>
      </x:c>
      <x:c r="E20" s="18" t="n">
        <x:f>Controls!$C$7*$D20</x:f>
        <x:v>27.5</x:v>
      </x:c>
      <x:c r="F20" s="18" t="n">
        <x:f>Controls!$C$8*$D20</x:f>
        <x:v>7.5</x:v>
      </x:c>
      <x:c r="G20" s="18" t="n">
        <x:f>Controls!$C$9*$D20</x:f>
        <x:v>7.5</x:v>
      </x:c>
      <x:c r="H20" s="18" t="n">
        <x:f>Controls!$C$10*$D20</x:f>
        <x:v>5</x:v>
      </x:c>
      <x:c r="I20" s="18" t="n">
        <x:f>Controls!$C$11*$D20</x:f>
        <x:v>2.5</x:v>
      </x:c>
      <x:c r="J20" s="18" t="n">
        <x:f>SUM(E20:I20)</x:f>
        <x:v>50</x:v>
      </x:c>
      <x:c r="K20" s="18" t="n">
        <x:f>K19+J20</x:f>
        <x:v>750</x:v>
      </x:c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</x:row>
    <x:row r="21">
      <x:c r="B21" s="13" t="n">
        <x:v>16</x:v>
      </x:c>
      <x:c r="C21" s="13" t="str">
        <x:v>W4</x:v>
      </x:c>
      <x:c r="D21" s="20" t="n">
        <x:v>0.03</x:v>
      </x:c>
      <x:c r="E21" s="18" t="n">
        <x:f>Controls!$C$7*$D21</x:f>
        <x:v>16.5</x:v>
      </x:c>
      <x:c r="F21" s="18" t="n">
        <x:f>Controls!$C$8*$D21</x:f>
        <x:v>4.5</x:v>
      </x:c>
      <x:c r="G21" s="18" t="n">
        <x:f>Controls!$C$9*$D21</x:f>
        <x:v>4.5</x:v>
      </x:c>
      <x:c r="H21" s="18" t="n">
        <x:f>Controls!$C$10*$D21</x:f>
        <x:v>3</x:v>
      </x:c>
      <x:c r="I21" s="18" t="n">
        <x:f>Controls!$C$11*$D21</x:f>
        <x:v>1.5</x:v>
      </x:c>
      <x:c r="J21" s="18" t="n">
        <x:f>SUM(E21:I21)</x:f>
        <x:v>30</x:v>
      </x:c>
      <x:c r="K21" s="18" t="n">
        <x:f>K20+J21</x:f>
        <x:v>780</x:v>
      </x:c>
      <x:c r="L21" s="63"/>
      <x:c r="M21" s="63"/>
      <x:c r="N21" s="63"/>
      <x:c r="O21" s="63"/>
      <x:c r="P21" s="63"/>
      <x:c r="Q21" s="63"/>
      <x:c r="R21" s="63"/>
      <x:c r="S21" s="63"/>
      <x:c r="T21" s="63"/>
      <x:c r="U21" s="63"/>
    </x:row>
    <x:row r="22">
      <x:c r="B22" s="13" t="n">
        <x:v>17</x:v>
      </x:c>
      <x:c r="C22" s="13" t="str">
        <x:v>W4</x:v>
      </x:c>
      <x:c r="D22" s="20" t="n">
        <x:v>0.03</x:v>
      </x:c>
      <x:c r="E22" s="18" t="n">
        <x:f>Controls!$C$7*$D22</x:f>
        <x:v>16.5</x:v>
      </x:c>
      <x:c r="F22" s="18" t="n">
        <x:f>Controls!$C$8*$D22</x:f>
        <x:v>4.5</x:v>
      </x:c>
      <x:c r="G22" s="18" t="n">
        <x:f>Controls!$C$9*$D22</x:f>
        <x:v>4.5</x:v>
      </x:c>
      <x:c r="H22" s="18" t="n">
        <x:f>Controls!$C$10*$D22</x:f>
        <x:v>3</x:v>
      </x:c>
      <x:c r="I22" s="18" t="n">
        <x:f>Controls!$C$11*$D22</x:f>
        <x:v>1.5</x:v>
      </x:c>
      <x:c r="J22" s="18" t="n">
        <x:f>SUM(E22:I22)</x:f>
        <x:v>30</x:v>
      </x:c>
      <x:c r="K22" s="18" t="n">
        <x:f>K21+J22</x:f>
        <x:v>810</x:v>
      </x:c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</x:row>
    <x:row r="23">
      <x:c r="B23" s="13" t="n">
        <x:v>18</x:v>
      </x:c>
      <x:c r="C23" s="13" t="str">
        <x:v>W4</x:v>
      </x:c>
      <x:c r="D23" s="20" t="n">
        <x:v>0.03</x:v>
      </x:c>
      <x:c r="E23" s="18" t="n">
        <x:f>Controls!$C$7*$D23</x:f>
        <x:v>16.5</x:v>
      </x:c>
      <x:c r="F23" s="18" t="n">
        <x:f>Controls!$C$8*$D23</x:f>
        <x:v>4.5</x:v>
      </x:c>
      <x:c r="G23" s="18" t="n">
        <x:f>Controls!$C$9*$D23</x:f>
        <x:v>4.5</x:v>
      </x:c>
      <x:c r="H23" s="18" t="n">
        <x:f>Controls!$C$10*$D23</x:f>
        <x:v>3</x:v>
      </x:c>
      <x:c r="I23" s="18" t="n">
        <x:f>Controls!$C$11*$D23</x:f>
        <x:v>1.5</x:v>
      </x:c>
      <x:c r="J23" s="18" t="n">
        <x:f>SUM(E23:I23)</x:f>
        <x:v>30</x:v>
      </x:c>
      <x:c r="K23" s="18" t="n">
        <x:f>K22+J23</x:f>
        <x:v>840</x:v>
      </x:c>
      <x:c r="L23" s="63"/>
      <x:c r="M23" s="63"/>
      <x:c r="N23" s="63"/>
      <x:c r="O23" s="63"/>
      <x:c r="P23" s="63"/>
      <x:c r="Q23" s="63"/>
      <x:c r="R23" s="63"/>
      <x:c r="S23" s="63"/>
      <x:c r="T23" s="63"/>
      <x:c r="U23" s="63"/>
    </x:row>
    <x:row r="24">
      <x:c r="B24" s="13" t="n">
        <x:v>19</x:v>
      </x:c>
      <x:c r="C24" s="13" t="str">
        <x:v>W4</x:v>
      </x:c>
      <x:c r="D24" s="20" t="n">
        <x:v>0.03</x:v>
      </x:c>
      <x:c r="E24" s="18" t="n">
        <x:f>Controls!$C$7*$D24</x:f>
        <x:v>16.5</x:v>
      </x:c>
      <x:c r="F24" s="18" t="n">
        <x:f>Controls!$C$8*$D24</x:f>
        <x:v>4.5</x:v>
      </x:c>
      <x:c r="G24" s="18" t="n">
        <x:f>Controls!$C$9*$D24</x:f>
        <x:v>4.5</x:v>
      </x:c>
      <x:c r="H24" s="18" t="n">
        <x:f>Controls!$C$10*$D24</x:f>
        <x:v>3</x:v>
      </x:c>
      <x:c r="I24" s="18" t="n">
        <x:f>Controls!$C$11*$D24</x:f>
        <x:v>1.5</x:v>
      </x:c>
      <x:c r="J24" s="18" t="n">
        <x:f>SUM(E24:I24)</x:f>
        <x:v>30</x:v>
      </x:c>
      <x:c r="K24" s="18" t="n">
        <x:f>K23+J24</x:f>
        <x:v>870</x:v>
      </x:c>
      <x:c r="L24" s="63"/>
      <x:c r="M24" s="68" t="str">
        <x:v>Interpretation</x:v>
      </x:c>
      <x:c r="N24" s="68"/>
      <x:c r="O24" s="68"/>
      <x:c r="P24" s="68"/>
      <x:c r="Q24" s="68"/>
      <x:c r="R24" s="68"/>
      <x:c r="S24" s="68"/>
      <x:c r="T24" s="68"/>
      <x:c r="U24" s="68"/>
    </x:row>
    <x:row r="25">
      <x:c r="B25" s="13" t="n">
        <x:v>20</x:v>
      </x:c>
      <x:c r="C25" s="13" t="str">
        <x:v>W4</x:v>
      </x:c>
      <x:c r="D25" s="20" t="n">
        <x:v>0.03</x:v>
      </x:c>
      <x:c r="E25" s="18" t="n">
        <x:f>Controls!$C$7*$D25</x:f>
        <x:v>16.5</x:v>
      </x:c>
      <x:c r="F25" s="18" t="n">
        <x:f>Controls!$C$8*$D25</x:f>
        <x:v>4.5</x:v>
      </x:c>
      <x:c r="G25" s="18" t="n">
        <x:f>Controls!$C$9*$D25</x:f>
        <x:v>4.5</x:v>
      </x:c>
      <x:c r="H25" s="18" t="n">
        <x:f>Controls!$C$10*$D25</x:f>
        <x:v>3</x:v>
      </x:c>
      <x:c r="I25" s="18" t="n">
        <x:f>Controls!$C$11*$D25</x:f>
        <x:v>1.5</x:v>
      </x:c>
      <x:c r="J25" s="18" t="n">
        <x:f>SUM(E25:I25)</x:f>
        <x:v>30</x:v>
      </x:c>
      <x:c r="K25" s="18" t="n">
        <x:f>K24+J25</x:f>
        <x:v>900</x:v>
      </x:c>
      <x:c r="L25" s="63"/>
      <x:c r="M25" s="13" t="str">
        <x:v>USD 750B is committed in the first fifteen years, before any system may claim replicated field acceptance.</x:v>
      </x:c>
      <x:c r="N25" s="63"/>
      <x:c r="O25" s="63"/>
      <x:c r="P25" s="63"/>
      <x:c r="Q25" s="63"/>
      <x:c r="R25" s="63"/>
      <x:c r="S25" s="63"/>
      <x:c r="T25" s="63"/>
      <x:c r="U25" s="63"/>
    </x:row>
    <x:row r="26">
      <x:c r="B26" s="13" t="n">
        <x:v>21</x:v>
      </x:c>
      <x:c r="C26" s="13" t="str">
        <x:v>W5</x:v>
      </x:c>
      <x:c r="D26" s="20" t="n">
        <x:v>0.02</x:v>
      </x:c>
      <x:c r="E26" s="18" t="n">
        <x:f>Controls!$C$7*$D26</x:f>
        <x:v>11</x:v>
      </x:c>
      <x:c r="F26" s="18" t="n">
        <x:f>Controls!$C$8*$D26</x:f>
        <x:v>3</x:v>
      </x:c>
      <x:c r="G26" s="18" t="n">
        <x:f>Controls!$C$9*$D26</x:f>
        <x:v>3</x:v>
      </x:c>
      <x:c r="H26" s="18" t="n">
        <x:f>Controls!$C$10*$D26</x:f>
        <x:v>2</x:v>
      </x:c>
      <x:c r="I26" s="18" t="n">
        <x:f>Controls!$C$11*$D26</x:f>
        <x:v>1</x:v>
      </x:c>
      <x:c r="J26" s="18" t="n">
        <x:f>SUM(E26:I26)</x:f>
        <x:v>20</x:v>
      </x:c>
      <x:c r="K26" s="18" t="n">
        <x:f>K25+J26</x:f>
        <x:v>920</x:v>
      </x:c>
      <x:c r="L26" s="63"/>
      <x:c r="M26" s="13" t="str">
        <x:v>The chart shows appropriation jurisdiction, not vendor or platform spend.</x:v>
      </x:c>
      <x:c r="N26" s="63"/>
      <x:c r="O26" s="63"/>
      <x:c r="P26" s="63"/>
      <x:c r="Q26" s="63"/>
      <x:c r="R26" s="63"/>
      <x:c r="S26" s="63"/>
      <x:c r="T26" s="63"/>
      <x:c r="U26" s="63"/>
    </x:row>
    <x:row r="27">
      <x:c r="B27" s="13" t="n">
        <x:v>22</x:v>
      </x:c>
      <x:c r="C27" s="13" t="str">
        <x:v>W5</x:v>
      </x:c>
      <x:c r="D27" s="20" t="n">
        <x:v>0.02</x:v>
      </x:c>
      <x:c r="E27" s="18" t="n">
        <x:f>Controls!$C$7*$D27</x:f>
        <x:v>11</x:v>
      </x:c>
      <x:c r="F27" s="18" t="n">
        <x:f>Controls!$C$8*$D27</x:f>
        <x:v>3</x:v>
      </x:c>
      <x:c r="G27" s="18" t="n">
        <x:f>Controls!$C$9*$D27</x:f>
        <x:v>3</x:v>
      </x:c>
      <x:c r="H27" s="18" t="n">
        <x:f>Controls!$C$10*$D27</x:f>
        <x:v>2</x:v>
      </x:c>
      <x:c r="I27" s="18" t="n">
        <x:f>Controls!$C$11*$D27</x:f>
        <x:v>1</x:v>
      </x:c>
      <x:c r="J27" s="18" t="n">
        <x:f>SUM(E27:I27)</x:f>
        <x:v>20</x:v>
      </x:c>
      <x:c r="K27" s="18" t="n">
        <x:f>K26+J27</x:f>
        <x:v>940</x:v>
      </x:c>
      <x:c r="L27" s="63"/>
      <x:c r="M27" s="13" t="str">
        <x:v>Formation capital and mature operations remain outside this USD 1.00T program.</x:v>
      </x:c>
      <x:c r="N27" s="63"/>
      <x:c r="O27" s="63"/>
      <x:c r="P27" s="63"/>
      <x:c r="Q27" s="63"/>
      <x:c r="R27" s="63"/>
      <x:c r="S27" s="63"/>
      <x:c r="T27" s="63"/>
      <x:c r="U27" s="63"/>
    </x:row>
    <x:row r="28">
      <x:c r="B28" s="13" t="n">
        <x:v>23</x:v>
      </x:c>
      <x:c r="C28" s="13" t="str">
        <x:v>W5</x:v>
      </x:c>
      <x:c r="D28" s="20" t="n">
        <x:v>0.02</x:v>
      </x:c>
      <x:c r="E28" s="18" t="n">
        <x:f>Controls!$C$7*$D28</x:f>
        <x:v>11</x:v>
      </x:c>
      <x:c r="F28" s="18" t="n">
        <x:f>Controls!$C$8*$D28</x:f>
        <x:v>3</x:v>
      </x:c>
      <x:c r="G28" s="18" t="n">
        <x:f>Controls!$C$9*$D28</x:f>
        <x:v>3</x:v>
      </x:c>
      <x:c r="H28" s="18" t="n">
        <x:f>Controls!$C$10*$D28</x:f>
        <x:v>2</x:v>
      </x:c>
      <x:c r="I28" s="18" t="n">
        <x:f>Controls!$C$11*$D28</x:f>
        <x:v>1</x:v>
      </x:c>
      <x:c r="J28" s="18" t="n">
        <x:f>SUM(E28:I28)</x:f>
        <x:v>20</x:v>
      </x:c>
      <x:c r="K28" s="18" t="n">
        <x:f>K27+J28</x:f>
        <x:v>960</x:v>
      </x:c>
      <x:c r="L28" s="63"/>
      <x:c r="M28" s="63"/>
      <x:c r="N28" s="63"/>
      <x:c r="O28" s="63"/>
      <x:c r="P28" s="63"/>
      <x:c r="Q28" s="63"/>
      <x:c r="R28" s="63"/>
      <x:c r="S28" s="63"/>
      <x:c r="T28" s="63"/>
      <x:c r="U28" s="63"/>
    </x:row>
    <x:row r="29">
      <x:c r="B29" s="13" t="n">
        <x:v>24</x:v>
      </x:c>
      <x:c r="C29" s="13" t="str">
        <x:v>W5</x:v>
      </x:c>
      <x:c r="D29" s="20" t="n">
        <x:v>0.02</x:v>
      </x:c>
      <x:c r="E29" s="18" t="n">
        <x:f>Controls!$C$7*$D29</x:f>
        <x:v>11</x:v>
      </x:c>
      <x:c r="F29" s="18" t="n">
        <x:f>Controls!$C$8*$D29</x:f>
        <x:v>3</x:v>
      </x:c>
      <x:c r="G29" s="18" t="n">
        <x:f>Controls!$C$9*$D29</x:f>
        <x:v>3</x:v>
      </x:c>
      <x:c r="H29" s="18" t="n">
        <x:f>Controls!$C$10*$D29</x:f>
        <x:v>2</x:v>
      </x:c>
      <x:c r="I29" s="18" t="n">
        <x:f>Controls!$C$11*$D29</x:f>
        <x:v>1</x:v>
      </x:c>
      <x:c r="J29" s="18" t="n">
        <x:f>SUM(E29:I29)</x:f>
        <x:v>20</x:v>
      </x:c>
      <x:c r="K29" s="18" t="n">
        <x:f>K28+J29</x:f>
        <x:v>980</x:v>
      </x:c>
      <x:c r="L29" s="63"/>
      <x:c r="M29" s="63"/>
      <x:c r="N29" s="63"/>
      <x:c r="O29" s="63"/>
      <x:c r="P29" s="63"/>
      <x:c r="Q29" s="63"/>
      <x:c r="R29" s="63"/>
      <x:c r="S29" s="63"/>
      <x:c r="T29" s="63"/>
      <x:c r="U29" s="63"/>
    </x:row>
    <x:row r="30">
      <x:c r="B30" s="13" t="n">
        <x:v>25</x:v>
      </x:c>
      <x:c r="C30" s="13" t="str">
        <x:v>W5</x:v>
      </x:c>
      <x:c r="D30" s="20" t="n">
        <x:v>0.02</x:v>
      </x:c>
      <x:c r="E30" s="18" t="n">
        <x:f>Controls!$C$7*$D30</x:f>
        <x:v>11</x:v>
      </x:c>
      <x:c r="F30" s="18" t="n">
        <x:f>Controls!$C$8*$D30</x:f>
        <x:v>3</x:v>
      </x:c>
      <x:c r="G30" s="18" t="n">
        <x:f>Controls!$C$9*$D30</x:f>
        <x:v>3</x:v>
      </x:c>
      <x:c r="H30" s="18" t="n">
        <x:f>Controls!$C$10*$D30</x:f>
        <x:v>2</x:v>
      </x:c>
      <x:c r="I30" s="18" t="n">
        <x:f>Controls!$C$11*$D30</x:f>
        <x:v>1</x:v>
      </x:c>
      <x:c r="J30" s="18" t="n">
        <x:f>SUM(E30:I30)</x:f>
        <x:v>20</x:v>
      </x:c>
      <x:c r="K30" s="18" t="n">
        <x:f>K29+J30</x:f>
        <x:v>1000</x:v>
      </x:c>
      <x:c r="L30" s="63"/>
      <x:c r="M30" s="63"/>
      <x:c r="N30" s="63"/>
      <x:c r="O30" s="63"/>
      <x:c r="P30" s="63"/>
      <x:c r="Q30" s="63"/>
      <x:c r="R30" s="63"/>
      <x:c r="S30" s="63"/>
      <x:c r="T30" s="63"/>
      <x:c r="U30" s="63"/>
    </x:row>
    <x:row r="31">
      <x:c r="B31" s="35" t="str">
        <x:v>Total</x:v>
      </x:c>
      <x:c r="C31" s="35"/>
      <x:c r="D31" s="40" t="n">
        <x:f>SUM(D6:D30)</x:f>
        <x:v>1.0000000000000004</x:v>
      </x:c>
      <x:c r="E31" s="39" t="n">
        <x:f>SUM(E6:E30)</x:f>
        <x:v>550</x:v>
      </x:c>
      <x:c r="F31" s="39" t="n">
        <x:f>SUM(F6:F30)</x:f>
        <x:v>150</x:v>
      </x:c>
      <x:c r="G31" s="39" t="n">
        <x:f>SUM(G6:G30)</x:f>
        <x:v>150</x:v>
      </x:c>
      <x:c r="H31" s="39" t="n">
        <x:f>SUM(H6:H30)</x:f>
        <x:v>100</x:v>
      </x:c>
      <x:c r="I31" s="39" t="n">
        <x:f>SUM(I6:I30)</x:f>
        <x:v>50</x:v>
      </x:c>
      <x:c r="J31" s="39" t="n">
        <x:f>SUM(J6:J30)</x:f>
        <x:v>1000</x:v>
      </x:c>
      <x:c r="K31" s="39" t="n">
        <x:f>K30</x:f>
        <x:v>1000</x:v>
      </x:c>
      <x:c r="L31" s="63"/>
      <x:c r="M31" s="63"/>
      <x:c r="N31" s="63"/>
      <x:c r="O31" s="63"/>
      <x:c r="P31" s="63"/>
      <x:c r="Q31" s="63"/>
      <x:c r="R31" s="63"/>
      <x:c r="S31" s="63"/>
      <x:c r="T31" s="63"/>
      <x:c r="U31" s="63"/>
    </x:row>
  </x:sheetData>
  <x:pageMargins left="0.7" right="0.7" top="0.75" bottom="0.75" header="0.3" footer="0.3"/>
  <x:drawing xmlns:r="http://schemas.openxmlformats.org/officeDocument/2006/relationships" r:id="R28288f93d8dc4142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9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</x:cols>
  <x:sheetData>
    <x:row r="2">
      <x:c r="B2" s="62" t="str">
        <x:v>Interlocked evidence gates</x:v>
      </x:c>
      <x:c r="C2" s="63"/>
      <x:c r="D2" s="63"/>
      <x:c r="E2" s="63"/>
      <x:c r="F2" s="63"/>
      <x:c r="G2" s="63"/>
      <x:c r="H2" s="63"/>
      <x:c r="I2" s="63"/>
      <x:c r="J2" s="63"/>
      <x:c r="K2" s="63"/>
    </x:row>
    <x:row r="3">
      <x:c r="B3" s="64" t="str">
        <x:v>Local technical progress is allowed; portfolio maturity is deliberately coupled.</x:v>
      </x:c>
      <x:c r="C3" s="64"/>
      <x:c r="D3" s="64"/>
      <x:c r="E3" s="64"/>
      <x:c r="F3" s="64"/>
      <x:c r="G3" s="64"/>
      <x:c r="H3" s="64"/>
      <x:c r="I3" s="64"/>
      <x:c r="J3" s="64"/>
      <x:c r="K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</x:row>
    <x:row r="5" ht="31" customHeight="1">
      <x:c r="B5" s="9" t="str">
        <x:v>Gate</x:v>
      </x:c>
      <x:c r="C5" s="10" t="str">
        <x:v>Wave</x:v>
      </x:c>
      <x:c r="D5" s="10" t="str">
        <x:v>Decision question</x:v>
      </x:c>
      <x:c r="E5" s="10" t="str">
        <x:v>Local evidence</x:v>
      </x:c>
      <x:c r="F5" s="10" t="str">
        <x:v>Portfolio interlock</x:v>
      </x:c>
      <x:c r="G5" s="10" t="str">
        <x:v>Decision owner</x:v>
      </x:c>
      <x:c r="H5" s="10" t="str">
        <x:v>Permitted claim</x:v>
      </x:c>
      <x:c r="I5" s="10" t="str">
        <x:v>Prohibited claim</x:v>
      </x:c>
      <x:c r="J5" s="11" t="str">
        <x:v>Stop / redirect trigger</x:v>
      </x:c>
      <x:c r="K5" s="63"/>
    </x:row>
    <x:row r="6" ht="58" customHeight="1">
      <x:c r="B6" s="44" t="str">
        <x:v>G0 Opportunity</x:v>
      </x:c>
      <x:c r="C6" s="44" t="str">
        <x:v>W1</x:v>
      </x:c>
      <x:c r="D6" s="26" t="str">
        <x:v>Is the mission variable consequential and bounded?</x:v>
      </x:c>
      <x:c r="E6" s="26" t="str">
        <x:v>Baseline, causal map, alternative interventions</x:v>
      </x:c>
      <x:c r="F6" s="26" t="str">
        <x:v>All 24 parent fields chartered; no system omitted</x:v>
      </x:c>
      <x:c r="G6" s="26" t="str">
        <x:v>Mission office + ARPA-R</x:v>
      </x:c>
      <x:c r="H6" s="26" t="str">
        <x:v>Research opportunity</x:v>
      </x:c>
      <x:c r="I6" s="26" t="str">
        <x:v>Hardware requirement</x:v>
      </x:c>
      <x:c r="J6" s="26" t="str">
        <x:v>No material mission leverage</x:v>
      </x:c>
      <x:c r="K6" s="63"/>
    </x:row>
    <x:row r="7" ht="58" customHeight="1">
      <x:c r="B7" s="44" t="str">
        <x:v>G1 Mechanism</x:v>
      </x:c>
      <x:c r="C7" s="44" t="str">
        <x:v>W1</x:v>
      </x:c>
      <x:c r="D7" s="26" t="str">
        <x:v>Does a reproducible mechanism exist?</x:v>
      </x:c>
      <x:c r="E7" s="26" t="str">
        <x:v>Independent reproduction of critical phenomenon</x:v>
      </x:c>
      <x:c r="F7" s="26" t="str">
        <x:v>Four unlike entries per parent field; decisive ancestry disclosed</x:v>
      </x:c>
      <x:c r="G7" s="26" t="str">
        <x:v>National laboratory</x:v>
      </x:c>
      <x:c r="H7" s="26" t="str">
        <x:v>Mechanism demonstrated</x:v>
      </x:c>
      <x:c r="I7" s="26" t="str">
        <x:v>System maturity</x:v>
      </x:c>
      <x:c r="J7" s="26" t="str">
        <x:v>Effect disappears or violates physics / biology</x:v>
      </x:c>
      <x:c r="K7" s="63"/>
    </x:row>
    <x:row r="8" ht="58" customHeight="1">
      <x:c r="B8" s="44" t="str">
        <x:v>G2 Breadboard</x:v>
      </x:c>
      <x:c r="C8" s="44" t="str">
        <x:v>W2</x:v>
      </x:c>
      <x:c r="D8" s="26" t="str">
        <x:v>Can critical functions coexist?</x:v>
      </x:c>
      <x:c r="E8" s="26" t="str">
        <x:v>Loads, interfaces, propagation and burden</x:v>
      </x:c>
      <x:c r="F8" s="26" t="str">
        <x:v>Every system supplies integrated roots against common interfaces</x:v>
      </x:c>
      <x:c r="G8" s="26" t="str">
        <x:v>Laboratory + range</x:v>
      </x:c>
      <x:c r="H8" s="26" t="str">
        <x:v>Integrated function</x:v>
      </x:c>
      <x:c r="I8" s="26" t="str">
        <x:v>Mission effect</x:v>
      </x:c>
      <x:c r="J8" s="26" t="str">
        <x:v>Integration erases component gain</x:v>
      </x:c>
      <x:c r="K8" s="63"/>
    </x:row>
    <x:row r="9" ht="58" customHeight="1">
      <x:c r="B9" s="44" t="str">
        <x:v>G3 Relevant environment</x:v>
      </x:c>
      <x:c r="C9" s="44" t="str">
        <x:v>W2</x:v>
      </x:c>
      <x:c r="D9" s="26" t="str">
        <x:v>Does it survive the real envelope?</x:v>
      </x:c>
      <x:c r="E9" s="26" t="str">
        <x:v>Extremes, tails, maintenance and safe states</x:v>
      </x:c>
      <x:c r="F9" s="26" t="str">
        <x:v>Four configuration-controlled roots per system before joint-stack entry</x:v>
      </x:c>
      <x:c r="G9" s="26" t="str">
        <x:v>RTEA</x:v>
      </x:c>
      <x:c r="H9" s="26" t="str">
        <x:v>Relevant-environment evidence</x:v>
      </x:c>
      <x:c r="I9" s="26" t="str">
        <x:v>Field authority</x:v>
      </x:c>
      <x:c r="J9" s="26" t="str">
        <x:v>Tail failure or unsafe degradation</x:v>
      </x:c>
      <x:c r="K9" s="63"/>
    </x:row>
    <x:row r="10" ht="58" customHeight="1">
      <x:c r="B10" s="44" t="str">
        <x:v>G4 Mission thread</x:v>
      </x:c>
      <x:c r="C10" s="44" t="str">
        <x:v>W3</x:v>
      </x:c>
      <x:c r="D10" s="26" t="str">
        <x:v>Does the all-six stack improve public service?</x:v>
      </x:c>
      <x:c r="E10" s="26" t="str">
        <x:v>Cold arrival through recovery in one campaign</x:v>
      </x:c>
      <x:c r="F10" s="26" t="str">
        <x:v>120 complete missions; focal system plus five dependency conditions</x:v>
      </x:c>
      <x:c r="G10" s="26" t="str">
        <x:v>RTEA + effect ledgers</x:v>
      </x:c>
      <x:c r="H10" s="26" t="str">
        <x:v>Limited authority for exact configuration</x:v>
      </x:c>
      <x:c r="I10" s="26" t="str">
        <x:v>Production or force credit</x:v>
      </x:c>
      <x:c r="J10" s="26" t="str">
        <x:v>No net service gain or dependency collapse</x:v>
      </x:c>
      <x:c r="K10" s="63"/>
    </x:row>
    <x:row r="11" ht="58" customHeight="1">
      <x:c r="B11" s="44" t="str">
        <x:v>G5 Production readiness</x:v>
      </x:c>
      <x:c r="C11" s="44" t="str">
        <x:v>W4</x:v>
      </x:c>
      <x:c r="D11" s="26" t="str">
        <x:v>Can industry reproduce and sustain it?</x:v>
      </x:c>
      <x:c r="E11" s="26" t="str">
        <x:v>Supplier depth, tooling, QA, depot and repair</x:v>
      </x:c>
      <x:c r="F11" s="26" t="str">
        <x:v>No entry until every system supplied a G4-capable root</x:v>
      </x:c>
      <x:c r="G11" s="26" t="str">
        <x:v>Manufacturing Administration + RTEA</x:v>
      </x:c>
      <x:c r="H11" s="26" t="str">
        <x:v>Low-rate production</x:v>
      </x:c>
      <x:c r="I11" s="26" t="str">
        <x:v>Fleet maturity</x:v>
      </x:c>
      <x:c r="J11" s="26" t="str">
        <x:v>Configuration drift or brittle sole source</x:v>
      </x:c>
      <x:c r="K11" s="63"/>
    </x:row>
    <x:row r="12" ht="58" customHeight="1">
      <x:c r="B12" s="44" t="str">
        <x:v>G6 Field acceptance</x:v>
      </x:c>
      <x:c r="C12" s="44" t="str">
        <x:v>W4</x:v>
      </x:c>
      <x:c r="D12" s="26" t="str">
        <x:v>Does replicated use justify force credit?</x:v>
      </x:c>
      <x:c r="E12" s="26" t="str">
        <x:v>Independent events and reliability growth</x:v>
      </x:c>
      <x:c r="F12" s="26" t="str">
        <x:v>Credit is exact-system, exact-root and exact-campaign bounded</x:v>
      </x:c>
      <x:c r="G12" s="26" t="str">
        <x:v>Department Acquisition Board</x:v>
      </x:c>
      <x:c r="H12" s="26" t="str">
        <x:v>Force-sizing coefficient</x:v>
      </x:c>
      <x:c r="I12" s="26" t="str">
        <x:v>Sibling or blanket readiness</x:v>
      </x:c>
      <x:c r="J12" s="26" t="str">
        <x:v>Effect not replicated or lifecycle burden dominates</x:v>
      </x:c>
      <x:c r="K12" s="63"/>
    </x:row>
    <x:row r="13" ht="58" customHeight="1">
      <x:c r="B13" s="45" t="str">
        <x:v>G7 Renewal / retirement</x:v>
      </x:c>
      <x:c r="C13" s="45" t="str">
        <x:v>W5</x:v>
      </x:c>
      <x:c r="D13" s="27" t="str">
        <x:v>Should it scale, change or end?</x:v>
      </x:c>
      <x:c r="E13" s="27" t="str">
        <x:v>Operational learning, alternatives and lifecycle cost</x:v>
      </x:c>
      <x:c r="F13" s="27" t="str">
        <x:v>Unlike challenger confronts incumbent joint stack</x:v>
      </x:c>
      <x:c r="G13" s="27" t="str">
        <x:v>Independent portfolio council</x:v>
      </x:c>
      <x:c r="H13" s="27" t="str">
        <x:v>Scale, license, redirect or retire</x:v>
      </x:c>
      <x:c r="I13" s="27" t="str">
        <x:v>Sunk-cost defense</x:v>
      </x:c>
      <x:c r="J13" s="27" t="str">
        <x:v>Inferior alternative or unacceptable transition burden</x:v>
      </x:c>
      <x:c r="K13" s="6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7" ySplit="5" topLeftCell="H6" activePane="bottomRight" state="frozen"/>
    </x:sheetView>
  </x:sheetViews>
  <x:sheetFormatPr defaultRowHeight="15"/>
  <x:cols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7" hidden="0" customWidth="1"/>
    <x:col min="15" max="15" width="17" hidden="0" customWidth="1"/>
    <x:col min="16" max="16" width="12" hidden="0" customWidth="1"/>
  </x:cols>
  <x:sheetData>
    <x:row r="2">
      <x:c r="B2" s="62" t="str">
        <x:v>Rotating all-six joint demonstrator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</x:row>
    <x:row r="3">
      <x:c r="B3" s="64" t="str">
        <x:v>Four stack configurations × ten campaign archetypes × three independent sites; fractional rotation is not a full 4⁶ factorial.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</x:row>
    <x:row r="5" ht="31" customHeight="1">
      <x:c r="B5" s="9" t="str">
        <x:v>Mission ID</x:v>
      </x:c>
      <x:c r="C5" s="10" t="str">
        <x:v>Campaign</x:v>
      </x:c>
      <x:c r="D5" s="10" t="str">
        <x:v>Campaign #</x:v>
      </x:c>
      <x:c r="E5" s="10" t="str">
        <x:v>Site</x:v>
      </x:c>
      <x:c r="F5" s="10" t="str">
        <x:v>Site #</x:v>
      </x:c>
      <x:c r="G5" s="10" t="str">
        <x:v>Stack</x:v>
      </x:c>
      <x:c r="H5" s="10" t="str">
        <x:v>ET root</x:v>
      </x:c>
      <x:c r="I5" s="10" t="str">
        <x:v>CT root</x:v>
      </x:c>
      <x:c r="J5" s="10" t="str">
        <x:v>HC root</x:v>
      </x:c>
      <x:c r="K5" s="10" t="str">
        <x:v>LF root</x:v>
      </x:c>
      <x:c r="L5" s="10" t="str">
        <x:v>HU root</x:v>
      </x:c>
      <x:c r="M5" s="10" t="str">
        <x:v>RT root</x:v>
      </x:c>
      <x:c r="N5" s="10" t="str">
        <x:v>System judgments</x:v>
      </x:c>
      <x:c r="O5" s="10" t="str">
        <x:v>Pair observations</x:v>
      </x:c>
      <x:c r="P5" s="11" t="str">
        <x:v>State</x:v>
      </x:c>
      <x:c r="Q5" s="63"/>
    </x:row>
    <x:row r="6">
      <x:c r="B6" s="46" t="str">
        <x:v>JM-001</x:v>
      </x:c>
      <x:c r="C6" s="46" t="str">
        <x:v>C1</x:v>
      </x:c>
      <x:c r="D6" s="46" t="n">
        <x:v>1</x:v>
      </x:c>
      <x:c r="E6" s="46" t="str">
        <x:v>SITE-1</x:v>
      </x:c>
      <x:c r="F6" s="46" t="n">
        <x:v>1</x:v>
      </x:c>
      <x:c r="G6" s="46" t="n">
        <x:v>1</x:v>
      </x:c>
      <x:c r="H6" s="46" t="str">
        <x:f>"ET-R"&amp;(MOD($G6-1+$D6+$F6+0,4)+1)</x:f>
        <x:v>ET-R3</x:v>
      </x:c>
      <x:c r="I6" s="46" t="str">
        <x:f>"CT-R"&amp;(MOD($G6-1+$D6+$F6+1,4)+1)</x:f>
        <x:v>CT-R4</x:v>
      </x:c>
      <x:c r="J6" s="46" t="str">
        <x:f>"HC-R"&amp;(MOD($G6-1+$D6+$F6+2,4)+1)</x:f>
        <x:v>HC-R1</x:v>
      </x:c>
      <x:c r="K6" s="46" t="str">
        <x:f>"LF-R"&amp;(MOD($G6-1+$D6+$F6+3,4)+1)</x:f>
        <x:v>LF-R2</x:v>
      </x:c>
      <x:c r="L6" s="46" t="str">
        <x:f>"HU-R"&amp;(MOD($G6-1+$D6+$F6+1,4)+1)</x:f>
        <x:v>HU-R4</x:v>
      </x:c>
      <x:c r="M6" s="46" t="str">
        <x:f>"RT-R"&amp;(MOD($G6-1+$D6+$F6+3,4)+1)</x:f>
        <x:v>RT-R2</x:v>
      </x:c>
      <x:c r="N6" s="46" t="n">
        <x:f>Controls!$C$20</x:f>
        <x:v>6</x:v>
      </x:c>
      <x:c r="O6" s="46" t="n">
        <x:f>Controls!$C$27</x:f>
        <x:v>15</x:v>
      </x:c>
      <x:c r="P6" s="46" t="str">
        <x:v>PLANNED</x:v>
      </x:c>
      <x:c r="Q6" s="63"/>
    </x:row>
    <x:row r="7">
      <x:c r="B7" s="46" t="str">
        <x:v>JM-002</x:v>
      </x:c>
      <x:c r="C7" s="46" t="str">
        <x:v>C1</x:v>
      </x:c>
      <x:c r="D7" s="46" t="n">
        <x:v>1</x:v>
      </x:c>
      <x:c r="E7" s="46" t="str">
        <x:v>SITE-1</x:v>
      </x:c>
      <x:c r="F7" s="46" t="n">
        <x:v>1</x:v>
      </x:c>
      <x:c r="G7" s="46" t="n">
        <x:v>2</x:v>
      </x:c>
      <x:c r="H7" s="46" t="str">
        <x:f>"ET-R"&amp;(MOD($G7-1+$D7+$F7+0,4)+1)</x:f>
        <x:v>ET-R4</x:v>
      </x:c>
      <x:c r="I7" s="46" t="str">
        <x:f>"CT-R"&amp;(MOD($G7-1+$D7+$F7+1,4)+1)</x:f>
        <x:v>CT-R1</x:v>
      </x:c>
      <x:c r="J7" s="46" t="str">
        <x:f>"HC-R"&amp;(MOD($G7-1+$D7+$F7+2,4)+1)</x:f>
        <x:v>HC-R2</x:v>
      </x:c>
      <x:c r="K7" s="46" t="str">
        <x:f>"LF-R"&amp;(MOD($G7-1+$D7+$F7+3,4)+1)</x:f>
        <x:v>LF-R3</x:v>
      </x:c>
      <x:c r="L7" s="46" t="str">
        <x:f>"HU-R"&amp;(MOD($G7-1+$D7+$F7+1,4)+1)</x:f>
        <x:v>HU-R1</x:v>
      </x:c>
      <x:c r="M7" s="46" t="str">
        <x:f>"RT-R"&amp;(MOD($G7-1+$D7+$F7+3,4)+1)</x:f>
        <x:v>RT-R3</x:v>
      </x:c>
      <x:c r="N7" s="46" t="n">
        <x:f>Controls!$C$20</x:f>
        <x:v>6</x:v>
      </x:c>
      <x:c r="O7" s="46" t="n">
        <x:f>Controls!$C$27</x:f>
        <x:v>15</x:v>
      </x:c>
      <x:c r="P7" s="46" t="str">
        <x:v>PLANNED</x:v>
      </x:c>
      <x:c r="Q7" s="63"/>
    </x:row>
    <x:row r="8">
      <x:c r="B8" s="46" t="str">
        <x:v>JM-003</x:v>
      </x:c>
      <x:c r="C8" s="46" t="str">
        <x:v>C1</x:v>
      </x:c>
      <x:c r="D8" s="46" t="n">
        <x:v>1</x:v>
      </x:c>
      <x:c r="E8" s="46" t="str">
        <x:v>SITE-1</x:v>
      </x:c>
      <x:c r="F8" s="46" t="n">
        <x:v>1</x:v>
      </x:c>
      <x:c r="G8" s="46" t="n">
        <x:v>3</x:v>
      </x:c>
      <x:c r="H8" s="46" t="str">
        <x:f>"ET-R"&amp;(MOD($G8-1+$D8+$F8+0,4)+1)</x:f>
        <x:v>ET-R1</x:v>
      </x:c>
      <x:c r="I8" s="46" t="str">
        <x:f>"CT-R"&amp;(MOD($G8-1+$D8+$F8+1,4)+1)</x:f>
        <x:v>CT-R2</x:v>
      </x:c>
      <x:c r="J8" s="46" t="str">
        <x:f>"HC-R"&amp;(MOD($G8-1+$D8+$F8+2,4)+1)</x:f>
        <x:v>HC-R3</x:v>
      </x:c>
      <x:c r="K8" s="46" t="str">
        <x:f>"LF-R"&amp;(MOD($G8-1+$D8+$F8+3,4)+1)</x:f>
        <x:v>LF-R4</x:v>
      </x:c>
      <x:c r="L8" s="46" t="str">
        <x:f>"HU-R"&amp;(MOD($G8-1+$D8+$F8+1,4)+1)</x:f>
        <x:v>HU-R2</x:v>
      </x:c>
      <x:c r="M8" s="46" t="str">
        <x:f>"RT-R"&amp;(MOD($G8-1+$D8+$F8+3,4)+1)</x:f>
        <x:v>RT-R4</x:v>
      </x:c>
      <x:c r="N8" s="46" t="n">
        <x:f>Controls!$C$20</x:f>
        <x:v>6</x:v>
      </x:c>
      <x:c r="O8" s="46" t="n">
        <x:f>Controls!$C$27</x:f>
        <x:v>15</x:v>
      </x:c>
      <x:c r="P8" s="46" t="str">
        <x:v>PLANNED</x:v>
      </x:c>
      <x:c r="Q8" s="63"/>
    </x:row>
    <x:row r="9">
      <x:c r="B9" s="46" t="str">
        <x:v>JM-004</x:v>
      </x:c>
      <x:c r="C9" s="46" t="str">
        <x:v>C1</x:v>
      </x:c>
      <x:c r="D9" s="46" t="n">
        <x:v>1</x:v>
      </x:c>
      <x:c r="E9" s="46" t="str">
        <x:v>SITE-1</x:v>
      </x:c>
      <x:c r="F9" s="46" t="n">
        <x:v>1</x:v>
      </x:c>
      <x:c r="G9" s="46" t="n">
        <x:v>4</x:v>
      </x:c>
      <x:c r="H9" s="46" t="str">
        <x:f>"ET-R"&amp;(MOD($G9-1+$D9+$F9+0,4)+1)</x:f>
        <x:v>ET-R2</x:v>
      </x:c>
      <x:c r="I9" s="46" t="str">
        <x:f>"CT-R"&amp;(MOD($G9-1+$D9+$F9+1,4)+1)</x:f>
        <x:v>CT-R3</x:v>
      </x:c>
      <x:c r="J9" s="46" t="str">
        <x:f>"HC-R"&amp;(MOD($G9-1+$D9+$F9+2,4)+1)</x:f>
        <x:v>HC-R4</x:v>
      </x:c>
      <x:c r="K9" s="46" t="str">
        <x:f>"LF-R"&amp;(MOD($G9-1+$D9+$F9+3,4)+1)</x:f>
        <x:v>LF-R1</x:v>
      </x:c>
      <x:c r="L9" s="46" t="str">
        <x:f>"HU-R"&amp;(MOD($G9-1+$D9+$F9+1,4)+1)</x:f>
        <x:v>HU-R3</x:v>
      </x:c>
      <x:c r="M9" s="46" t="str">
        <x:f>"RT-R"&amp;(MOD($G9-1+$D9+$F9+3,4)+1)</x:f>
        <x:v>RT-R1</x:v>
      </x:c>
      <x:c r="N9" s="46" t="n">
        <x:f>Controls!$C$20</x:f>
        <x:v>6</x:v>
      </x:c>
      <x:c r="O9" s="46" t="n">
        <x:f>Controls!$C$27</x:f>
        <x:v>15</x:v>
      </x:c>
      <x:c r="P9" s="46" t="str">
        <x:v>PLANNED</x:v>
      </x:c>
      <x:c r="Q9" s="63"/>
    </x:row>
    <x:row r="10">
      <x:c r="B10" s="46" t="str">
        <x:v>JM-005</x:v>
      </x:c>
      <x:c r="C10" s="46" t="str">
        <x:v>C1</x:v>
      </x:c>
      <x:c r="D10" s="46" t="n">
        <x:v>1</x:v>
      </x:c>
      <x:c r="E10" s="46" t="str">
        <x:v>SITE-2</x:v>
      </x:c>
      <x:c r="F10" s="46" t="n">
        <x:v>2</x:v>
      </x:c>
      <x:c r="G10" s="46" t="n">
        <x:v>1</x:v>
      </x:c>
      <x:c r="H10" s="46" t="str">
        <x:f>"ET-R"&amp;(MOD($G10-1+$D10+$F10+0,4)+1)</x:f>
        <x:v>ET-R4</x:v>
      </x:c>
      <x:c r="I10" s="46" t="str">
        <x:f>"CT-R"&amp;(MOD($G10-1+$D10+$F10+1,4)+1)</x:f>
        <x:v>CT-R1</x:v>
      </x:c>
      <x:c r="J10" s="46" t="str">
        <x:f>"HC-R"&amp;(MOD($G10-1+$D10+$F10+2,4)+1)</x:f>
        <x:v>HC-R2</x:v>
      </x:c>
      <x:c r="K10" s="46" t="str">
        <x:f>"LF-R"&amp;(MOD($G10-1+$D10+$F10+3,4)+1)</x:f>
        <x:v>LF-R3</x:v>
      </x:c>
      <x:c r="L10" s="46" t="str">
        <x:f>"HU-R"&amp;(MOD($G10-1+$D10+$F10+1,4)+1)</x:f>
        <x:v>HU-R1</x:v>
      </x:c>
      <x:c r="M10" s="46" t="str">
        <x:f>"RT-R"&amp;(MOD($G10-1+$D10+$F10+3,4)+1)</x:f>
        <x:v>RT-R3</x:v>
      </x:c>
      <x:c r="N10" s="46" t="n">
        <x:f>Controls!$C$20</x:f>
        <x:v>6</x:v>
      </x:c>
      <x:c r="O10" s="46" t="n">
        <x:f>Controls!$C$27</x:f>
        <x:v>15</x:v>
      </x:c>
      <x:c r="P10" s="46" t="str">
        <x:v>PLANNED</x:v>
      </x:c>
      <x:c r="Q10" s="63"/>
    </x:row>
    <x:row r="11">
      <x:c r="B11" s="46" t="str">
        <x:v>JM-006</x:v>
      </x:c>
      <x:c r="C11" s="46" t="str">
        <x:v>C1</x:v>
      </x:c>
      <x:c r="D11" s="46" t="n">
        <x:v>1</x:v>
      </x:c>
      <x:c r="E11" s="46" t="str">
        <x:v>SITE-2</x:v>
      </x:c>
      <x:c r="F11" s="46" t="n">
        <x:v>2</x:v>
      </x:c>
      <x:c r="G11" s="46" t="n">
        <x:v>2</x:v>
      </x:c>
      <x:c r="H11" s="46" t="str">
        <x:f>"ET-R"&amp;(MOD($G11-1+$D11+$F11+0,4)+1)</x:f>
        <x:v>ET-R1</x:v>
      </x:c>
      <x:c r="I11" s="46" t="str">
        <x:f>"CT-R"&amp;(MOD($G11-1+$D11+$F11+1,4)+1)</x:f>
        <x:v>CT-R2</x:v>
      </x:c>
      <x:c r="J11" s="46" t="str">
        <x:f>"HC-R"&amp;(MOD($G11-1+$D11+$F11+2,4)+1)</x:f>
        <x:v>HC-R3</x:v>
      </x:c>
      <x:c r="K11" s="46" t="str">
        <x:f>"LF-R"&amp;(MOD($G11-1+$D11+$F11+3,4)+1)</x:f>
        <x:v>LF-R4</x:v>
      </x:c>
      <x:c r="L11" s="46" t="str">
        <x:f>"HU-R"&amp;(MOD($G11-1+$D11+$F11+1,4)+1)</x:f>
        <x:v>HU-R2</x:v>
      </x:c>
      <x:c r="M11" s="46" t="str">
        <x:f>"RT-R"&amp;(MOD($G11-1+$D11+$F11+3,4)+1)</x:f>
        <x:v>RT-R4</x:v>
      </x:c>
      <x:c r="N11" s="46" t="n">
        <x:f>Controls!$C$20</x:f>
        <x:v>6</x:v>
      </x:c>
      <x:c r="O11" s="46" t="n">
        <x:f>Controls!$C$27</x:f>
        <x:v>15</x:v>
      </x:c>
      <x:c r="P11" s="46" t="str">
        <x:v>PLANNED</x:v>
      </x:c>
      <x:c r="Q11" s="63"/>
    </x:row>
    <x:row r="12">
      <x:c r="B12" s="46" t="str">
        <x:v>JM-007</x:v>
      </x:c>
      <x:c r="C12" s="46" t="str">
        <x:v>C1</x:v>
      </x:c>
      <x:c r="D12" s="46" t="n">
        <x:v>1</x:v>
      </x:c>
      <x:c r="E12" s="46" t="str">
        <x:v>SITE-2</x:v>
      </x:c>
      <x:c r="F12" s="46" t="n">
        <x:v>2</x:v>
      </x:c>
      <x:c r="G12" s="46" t="n">
        <x:v>3</x:v>
      </x:c>
      <x:c r="H12" s="46" t="str">
        <x:f>"ET-R"&amp;(MOD($G12-1+$D12+$F12+0,4)+1)</x:f>
        <x:v>ET-R2</x:v>
      </x:c>
      <x:c r="I12" s="46" t="str">
        <x:f>"CT-R"&amp;(MOD($G12-1+$D12+$F12+1,4)+1)</x:f>
        <x:v>CT-R3</x:v>
      </x:c>
      <x:c r="J12" s="46" t="str">
        <x:f>"HC-R"&amp;(MOD($G12-1+$D12+$F12+2,4)+1)</x:f>
        <x:v>HC-R4</x:v>
      </x:c>
      <x:c r="K12" s="46" t="str">
        <x:f>"LF-R"&amp;(MOD($G12-1+$D12+$F12+3,4)+1)</x:f>
        <x:v>LF-R1</x:v>
      </x:c>
      <x:c r="L12" s="46" t="str">
        <x:f>"HU-R"&amp;(MOD($G12-1+$D12+$F12+1,4)+1)</x:f>
        <x:v>HU-R3</x:v>
      </x:c>
      <x:c r="M12" s="46" t="str">
        <x:f>"RT-R"&amp;(MOD($G12-1+$D12+$F12+3,4)+1)</x:f>
        <x:v>RT-R1</x:v>
      </x:c>
      <x:c r="N12" s="46" t="n">
        <x:f>Controls!$C$20</x:f>
        <x:v>6</x:v>
      </x:c>
      <x:c r="O12" s="46" t="n">
        <x:f>Controls!$C$27</x:f>
        <x:v>15</x:v>
      </x:c>
      <x:c r="P12" s="46" t="str">
        <x:v>PLANNED</x:v>
      </x:c>
      <x:c r="Q12" s="63"/>
    </x:row>
    <x:row r="13">
      <x:c r="B13" s="46" t="str">
        <x:v>JM-008</x:v>
      </x:c>
      <x:c r="C13" s="46" t="str">
        <x:v>C1</x:v>
      </x:c>
      <x:c r="D13" s="46" t="n">
        <x:v>1</x:v>
      </x:c>
      <x:c r="E13" s="46" t="str">
        <x:v>SITE-2</x:v>
      </x:c>
      <x:c r="F13" s="46" t="n">
        <x:v>2</x:v>
      </x:c>
      <x:c r="G13" s="46" t="n">
        <x:v>4</x:v>
      </x:c>
      <x:c r="H13" s="46" t="str">
        <x:f>"ET-R"&amp;(MOD($G13-1+$D13+$F13+0,4)+1)</x:f>
        <x:v>ET-R3</x:v>
      </x:c>
      <x:c r="I13" s="46" t="str">
        <x:f>"CT-R"&amp;(MOD($G13-1+$D13+$F13+1,4)+1)</x:f>
        <x:v>CT-R4</x:v>
      </x:c>
      <x:c r="J13" s="46" t="str">
        <x:f>"HC-R"&amp;(MOD($G13-1+$D13+$F13+2,4)+1)</x:f>
        <x:v>HC-R1</x:v>
      </x:c>
      <x:c r="K13" s="46" t="str">
        <x:f>"LF-R"&amp;(MOD($G13-1+$D13+$F13+3,4)+1)</x:f>
        <x:v>LF-R2</x:v>
      </x:c>
      <x:c r="L13" s="46" t="str">
        <x:f>"HU-R"&amp;(MOD($G13-1+$D13+$F13+1,4)+1)</x:f>
        <x:v>HU-R4</x:v>
      </x:c>
      <x:c r="M13" s="46" t="str">
        <x:f>"RT-R"&amp;(MOD($G13-1+$D13+$F13+3,4)+1)</x:f>
        <x:v>RT-R2</x:v>
      </x:c>
      <x:c r="N13" s="46" t="n">
        <x:f>Controls!$C$20</x:f>
        <x:v>6</x:v>
      </x:c>
      <x:c r="O13" s="46" t="n">
        <x:f>Controls!$C$27</x:f>
        <x:v>15</x:v>
      </x:c>
      <x:c r="P13" s="46" t="str">
        <x:v>PLANNED</x:v>
      </x:c>
      <x:c r="Q13" s="63"/>
    </x:row>
    <x:row r="14">
      <x:c r="B14" s="46" t="str">
        <x:v>JM-009</x:v>
      </x:c>
      <x:c r="C14" s="46" t="str">
        <x:v>C1</x:v>
      </x:c>
      <x:c r="D14" s="46" t="n">
        <x:v>1</x:v>
      </x:c>
      <x:c r="E14" s="46" t="str">
        <x:v>SITE-3</x:v>
      </x:c>
      <x:c r="F14" s="46" t="n">
        <x:v>3</x:v>
      </x:c>
      <x:c r="G14" s="46" t="n">
        <x:v>1</x:v>
      </x:c>
      <x:c r="H14" s="46" t="str">
        <x:f>"ET-R"&amp;(MOD($G14-1+$D14+$F14+0,4)+1)</x:f>
        <x:v>ET-R1</x:v>
      </x:c>
      <x:c r="I14" s="46" t="str">
        <x:f>"CT-R"&amp;(MOD($G14-1+$D14+$F14+1,4)+1)</x:f>
        <x:v>CT-R2</x:v>
      </x:c>
      <x:c r="J14" s="46" t="str">
        <x:f>"HC-R"&amp;(MOD($G14-1+$D14+$F14+2,4)+1)</x:f>
        <x:v>HC-R3</x:v>
      </x:c>
      <x:c r="K14" s="46" t="str">
        <x:f>"LF-R"&amp;(MOD($G14-1+$D14+$F14+3,4)+1)</x:f>
        <x:v>LF-R4</x:v>
      </x:c>
      <x:c r="L14" s="46" t="str">
        <x:f>"HU-R"&amp;(MOD($G14-1+$D14+$F14+1,4)+1)</x:f>
        <x:v>HU-R2</x:v>
      </x:c>
      <x:c r="M14" s="46" t="str">
        <x:f>"RT-R"&amp;(MOD($G14-1+$D14+$F14+3,4)+1)</x:f>
        <x:v>RT-R4</x:v>
      </x:c>
      <x:c r="N14" s="46" t="n">
        <x:f>Controls!$C$20</x:f>
        <x:v>6</x:v>
      </x:c>
      <x:c r="O14" s="46" t="n">
        <x:f>Controls!$C$27</x:f>
        <x:v>15</x:v>
      </x:c>
      <x:c r="P14" s="46" t="str">
        <x:v>PLANNED</x:v>
      </x:c>
      <x:c r="Q14" s="63"/>
    </x:row>
    <x:row r="15">
      <x:c r="B15" s="46" t="str">
        <x:v>JM-010</x:v>
      </x:c>
      <x:c r="C15" s="46" t="str">
        <x:v>C1</x:v>
      </x:c>
      <x:c r="D15" s="46" t="n">
        <x:v>1</x:v>
      </x:c>
      <x:c r="E15" s="46" t="str">
        <x:v>SITE-3</x:v>
      </x:c>
      <x:c r="F15" s="46" t="n">
        <x:v>3</x:v>
      </x:c>
      <x:c r="G15" s="46" t="n">
        <x:v>2</x:v>
      </x:c>
      <x:c r="H15" s="46" t="str">
        <x:f>"ET-R"&amp;(MOD($G15-1+$D15+$F15+0,4)+1)</x:f>
        <x:v>ET-R2</x:v>
      </x:c>
      <x:c r="I15" s="46" t="str">
        <x:f>"CT-R"&amp;(MOD($G15-1+$D15+$F15+1,4)+1)</x:f>
        <x:v>CT-R3</x:v>
      </x:c>
      <x:c r="J15" s="46" t="str">
        <x:f>"HC-R"&amp;(MOD($G15-1+$D15+$F15+2,4)+1)</x:f>
        <x:v>HC-R4</x:v>
      </x:c>
      <x:c r="K15" s="46" t="str">
        <x:f>"LF-R"&amp;(MOD($G15-1+$D15+$F15+3,4)+1)</x:f>
        <x:v>LF-R1</x:v>
      </x:c>
      <x:c r="L15" s="46" t="str">
        <x:f>"HU-R"&amp;(MOD($G15-1+$D15+$F15+1,4)+1)</x:f>
        <x:v>HU-R3</x:v>
      </x:c>
      <x:c r="M15" s="46" t="str">
        <x:f>"RT-R"&amp;(MOD($G15-1+$D15+$F15+3,4)+1)</x:f>
        <x:v>RT-R1</x:v>
      </x:c>
      <x:c r="N15" s="46" t="n">
        <x:f>Controls!$C$20</x:f>
        <x:v>6</x:v>
      </x:c>
      <x:c r="O15" s="46" t="n">
        <x:f>Controls!$C$27</x:f>
        <x:v>15</x:v>
      </x:c>
      <x:c r="P15" s="46" t="str">
        <x:v>PLANNED</x:v>
      </x:c>
      <x:c r="Q15" s="63"/>
    </x:row>
    <x:row r="16">
      <x:c r="B16" s="46" t="str">
        <x:v>JM-011</x:v>
      </x:c>
      <x:c r="C16" s="46" t="str">
        <x:v>C1</x:v>
      </x:c>
      <x:c r="D16" s="46" t="n">
        <x:v>1</x:v>
      </x:c>
      <x:c r="E16" s="46" t="str">
        <x:v>SITE-3</x:v>
      </x:c>
      <x:c r="F16" s="46" t="n">
        <x:v>3</x:v>
      </x:c>
      <x:c r="G16" s="46" t="n">
        <x:v>3</x:v>
      </x:c>
      <x:c r="H16" s="46" t="str">
        <x:f>"ET-R"&amp;(MOD($G16-1+$D16+$F16+0,4)+1)</x:f>
        <x:v>ET-R3</x:v>
      </x:c>
      <x:c r="I16" s="46" t="str">
        <x:f>"CT-R"&amp;(MOD($G16-1+$D16+$F16+1,4)+1)</x:f>
        <x:v>CT-R4</x:v>
      </x:c>
      <x:c r="J16" s="46" t="str">
        <x:f>"HC-R"&amp;(MOD($G16-1+$D16+$F16+2,4)+1)</x:f>
        <x:v>HC-R1</x:v>
      </x:c>
      <x:c r="K16" s="46" t="str">
        <x:f>"LF-R"&amp;(MOD($G16-1+$D16+$F16+3,4)+1)</x:f>
        <x:v>LF-R2</x:v>
      </x:c>
      <x:c r="L16" s="46" t="str">
        <x:f>"HU-R"&amp;(MOD($G16-1+$D16+$F16+1,4)+1)</x:f>
        <x:v>HU-R4</x:v>
      </x:c>
      <x:c r="M16" s="46" t="str">
        <x:f>"RT-R"&amp;(MOD($G16-1+$D16+$F16+3,4)+1)</x:f>
        <x:v>RT-R2</x:v>
      </x:c>
      <x:c r="N16" s="46" t="n">
        <x:f>Controls!$C$20</x:f>
        <x:v>6</x:v>
      </x:c>
      <x:c r="O16" s="46" t="n">
        <x:f>Controls!$C$27</x:f>
        <x:v>15</x:v>
      </x:c>
      <x:c r="P16" s="46" t="str">
        <x:v>PLANNED</x:v>
      </x:c>
      <x:c r="Q16" s="63"/>
    </x:row>
    <x:row r="17">
      <x:c r="B17" s="46" t="str">
        <x:v>JM-012</x:v>
      </x:c>
      <x:c r="C17" s="46" t="str">
        <x:v>C1</x:v>
      </x:c>
      <x:c r="D17" s="46" t="n">
        <x:v>1</x:v>
      </x:c>
      <x:c r="E17" s="46" t="str">
        <x:v>SITE-3</x:v>
      </x:c>
      <x:c r="F17" s="46" t="n">
        <x:v>3</x:v>
      </x:c>
      <x:c r="G17" s="46" t="n">
        <x:v>4</x:v>
      </x:c>
      <x:c r="H17" s="46" t="str">
        <x:f>"ET-R"&amp;(MOD($G17-1+$D17+$F17+0,4)+1)</x:f>
        <x:v>ET-R4</x:v>
      </x:c>
      <x:c r="I17" s="46" t="str">
        <x:f>"CT-R"&amp;(MOD($G17-1+$D17+$F17+1,4)+1)</x:f>
        <x:v>CT-R1</x:v>
      </x:c>
      <x:c r="J17" s="46" t="str">
        <x:f>"HC-R"&amp;(MOD($G17-1+$D17+$F17+2,4)+1)</x:f>
        <x:v>HC-R2</x:v>
      </x:c>
      <x:c r="K17" s="46" t="str">
        <x:f>"LF-R"&amp;(MOD($G17-1+$D17+$F17+3,4)+1)</x:f>
        <x:v>LF-R3</x:v>
      </x:c>
      <x:c r="L17" s="46" t="str">
        <x:f>"HU-R"&amp;(MOD($G17-1+$D17+$F17+1,4)+1)</x:f>
        <x:v>HU-R1</x:v>
      </x:c>
      <x:c r="M17" s="46" t="str">
        <x:f>"RT-R"&amp;(MOD($G17-1+$D17+$F17+3,4)+1)</x:f>
        <x:v>RT-R3</x:v>
      </x:c>
      <x:c r="N17" s="46" t="n">
        <x:f>Controls!$C$20</x:f>
        <x:v>6</x:v>
      </x:c>
      <x:c r="O17" s="46" t="n">
        <x:f>Controls!$C$27</x:f>
        <x:v>15</x:v>
      </x:c>
      <x:c r="P17" s="46" t="str">
        <x:v>PLANNED</x:v>
      </x:c>
      <x:c r="Q17" s="63"/>
    </x:row>
    <x:row r="18">
      <x:c r="B18" s="46" t="str">
        <x:v>JM-013</x:v>
      </x:c>
      <x:c r="C18" s="46" t="str">
        <x:v>C2</x:v>
      </x:c>
      <x:c r="D18" s="46" t="n">
        <x:v>2</x:v>
      </x:c>
      <x:c r="E18" s="46" t="str">
        <x:v>SITE-1</x:v>
      </x:c>
      <x:c r="F18" s="46" t="n">
        <x:v>1</x:v>
      </x:c>
      <x:c r="G18" s="46" t="n">
        <x:v>1</x:v>
      </x:c>
      <x:c r="H18" s="46" t="str">
        <x:f>"ET-R"&amp;(MOD($G18-1+$D18+$F18+0,4)+1)</x:f>
        <x:v>ET-R4</x:v>
      </x:c>
      <x:c r="I18" s="46" t="str">
        <x:f>"CT-R"&amp;(MOD($G18-1+$D18+$F18+1,4)+1)</x:f>
        <x:v>CT-R1</x:v>
      </x:c>
      <x:c r="J18" s="46" t="str">
        <x:f>"HC-R"&amp;(MOD($G18-1+$D18+$F18+2,4)+1)</x:f>
        <x:v>HC-R2</x:v>
      </x:c>
      <x:c r="K18" s="46" t="str">
        <x:f>"LF-R"&amp;(MOD($G18-1+$D18+$F18+3,4)+1)</x:f>
        <x:v>LF-R3</x:v>
      </x:c>
      <x:c r="L18" s="46" t="str">
        <x:f>"HU-R"&amp;(MOD($G18-1+$D18+$F18+1,4)+1)</x:f>
        <x:v>HU-R1</x:v>
      </x:c>
      <x:c r="M18" s="46" t="str">
        <x:f>"RT-R"&amp;(MOD($G18-1+$D18+$F18+3,4)+1)</x:f>
        <x:v>RT-R3</x:v>
      </x:c>
      <x:c r="N18" s="46" t="n">
        <x:f>Controls!$C$20</x:f>
        <x:v>6</x:v>
      </x:c>
      <x:c r="O18" s="46" t="n">
        <x:f>Controls!$C$27</x:f>
        <x:v>15</x:v>
      </x:c>
      <x:c r="P18" s="46" t="str">
        <x:v>PLANNED</x:v>
      </x:c>
      <x:c r="Q18" s="63"/>
    </x:row>
    <x:row r="19">
      <x:c r="B19" s="46" t="str">
        <x:v>JM-014</x:v>
      </x:c>
      <x:c r="C19" s="46" t="str">
        <x:v>C2</x:v>
      </x:c>
      <x:c r="D19" s="46" t="n">
        <x:v>2</x:v>
      </x:c>
      <x:c r="E19" s="46" t="str">
        <x:v>SITE-1</x:v>
      </x:c>
      <x:c r="F19" s="46" t="n">
        <x:v>1</x:v>
      </x:c>
      <x:c r="G19" s="46" t="n">
        <x:v>2</x:v>
      </x:c>
      <x:c r="H19" s="46" t="str">
        <x:f>"ET-R"&amp;(MOD($G19-1+$D19+$F19+0,4)+1)</x:f>
        <x:v>ET-R1</x:v>
      </x:c>
      <x:c r="I19" s="46" t="str">
        <x:f>"CT-R"&amp;(MOD($G19-1+$D19+$F19+1,4)+1)</x:f>
        <x:v>CT-R2</x:v>
      </x:c>
      <x:c r="J19" s="46" t="str">
        <x:f>"HC-R"&amp;(MOD($G19-1+$D19+$F19+2,4)+1)</x:f>
        <x:v>HC-R3</x:v>
      </x:c>
      <x:c r="K19" s="46" t="str">
        <x:f>"LF-R"&amp;(MOD($G19-1+$D19+$F19+3,4)+1)</x:f>
        <x:v>LF-R4</x:v>
      </x:c>
      <x:c r="L19" s="46" t="str">
        <x:f>"HU-R"&amp;(MOD($G19-1+$D19+$F19+1,4)+1)</x:f>
        <x:v>HU-R2</x:v>
      </x:c>
      <x:c r="M19" s="46" t="str">
        <x:f>"RT-R"&amp;(MOD($G19-1+$D19+$F19+3,4)+1)</x:f>
        <x:v>RT-R4</x:v>
      </x:c>
      <x:c r="N19" s="46" t="n">
        <x:f>Controls!$C$20</x:f>
        <x:v>6</x:v>
      </x:c>
      <x:c r="O19" s="46" t="n">
        <x:f>Controls!$C$27</x:f>
        <x:v>15</x:v>
      </x:c>
      <x:c r="P19" s="46" t="str">
        <x:v>PLANNED</x:v>
      </x:c>
      <x:c r="Q19" s="63"/>
    </x:row>
    <x:row r="20">
      <x:c r="B20" s="46" t="str">
        <x:v>JM-015</x:v>
      </x:c>
      <x:c r="C20" s="46" t="str">
        <x:v>C2</x:v>
      </x:c>
      <x:c r="D20" s="46" t="n">
        <x:v>2</x:v>
      </x:c>
      <x:c r="E20" s="46" t="str">
        <x:v>SITE-1</x:v>
      </x:c>
      <x:c r="F20" s="46" t="n">
        <x:v>1</x:v>
      </x:c>
      <x:c r="G20" s="46" t="n">
        <x:v>3</x:v>
      </x:c>
      <x:c r="H20" s="46" t="str">
        <x:f>"ET-R"&amp;(MOD($G20-1+$D20+$F20+0,4)+1)</x:f>
        <x:v>ET-R2</x:v>
      </x:c>
      <x:c r="I20" s="46" t="str">
        <x:f>"CT-R"&amp;(MOD($G20-1+$D20+$F20+1,4)+1)</x:f>
        <x:v>CT-R3</x:v>
      </x:c>
      <x:c r="J20" s="46" t="str">
        <x:f>"HC-R"&amp;(MOD($G20-1+$D20+$F20+2,4)+1)</x:f>
        <x:v>HC-R4</x:v>
      </x:c>
      <x:c r="K20" s="46" t="str">
        <x:f>"LF-R"&amp;(MOD($G20-1+$D20+$F20+3,4)+1)</x:f>
        <x:v>LF-R1</x:v>
      </x:c>
      <x:c r="L20" s="46" t="str">
        <x:f>"HU-R"&amp;(MOD($G20-1+$D20+$F20+1,4)+1)</x:f>
        <x:v>HU-R3</x:v>
      </x:c>
      <x:c r="M20" s="46" t="str">
        <x:f>"RT-R"&amp;(MOD($G20-1+$D20+$F20+3,4)+1)</x:f>
        <x:v>RT-R1</x:v>
      </x:c>
      <x:c r="N20" s="46" t="n">
        <x:f>Controls!$C$20</x:f>
        <x:v>6</x:v>
      </x:c>
      <x:c r="O20" s="46" t="n">
        <x:f>Controls!$C$27</x:f>
        <x:v>15</x:v>
      </x:c>
      <x:c r="P20" s="46" t="str">
        <x:v>PLANNED</x:v>
      </x:c>
      <x:c r="Q20" s="63"/>
    </x:row>
    <x:row r="21">
      <x:c r="B21" s="46" t="str">
        <x:v>JM-016</x:v>
      </x:c>
      <x:c r="C21" s="46" t="str">
        <x:v>C2</x:v>
      </x:c>
      <x:c r="D21" s="46" t="n">
        <x:v>2</x:v>
      </x:c>
      <x:c r="E21" s="46" t="str">
        <x:v>SITE-1</x:v>
      </x:c>
      <x:c r="F21" s="46" t="n">
        <x:v>1</x:v>
      </x:c>
      <x:c r="G21" s="46" t="n">
        <x:v>4</x:v>
      </x:c>
      <x:c r="H21" s="46" t="str">
        <x:f>"ET-R"&amp;(MOD($G21-1+$D21+$F21+0,4)+1)</x:f>
        <x:v>ET-R3</x:v>
      </x:c>
      <x:c r="I21" s="46" t="str">
        <x:f>"CT-R"&amp;(MOD($G21-1+$D21+$F21+1,4)+1)</x:f>
        <x:v>CT-R4</x:v>
      </x:c>
      <x:c r="J21" s="46" t="str">
        <x:f>"HC-R"&amp;(MOD($G21-1+$D21+$F21+2,4)+1)</x:f>
        <x:v>HC-R1</x:v>
      </x:c>
      <x:c r="K21" s="46" t="str">
        <x:f>"LF-R"&amp;(MOD($G21-1+$D21+$F21+3,4)+1)</x:f>
        <x:v>LF-R2</x:v>
      </x:c>
      <x:c r="L21" s="46" t="str">
        <x:f>"HU-R"&amp;(MOD($G21-1+$D21+$F21+1,4)+1)</x:f>
        <x:v>HU-R4</x:v>
      </x:c>
      <x:c r="M21" s="46" t="str">
        <x:f>"RT-R"&amp;(MOD($G21-1+$D21+$F21+3,4)+1)</x:f>
        <x:v>RT-R2</x:v>
      </x:c>
      <x:c r="N21" s="46" t="n">
        <x:f>Controls!$C$20</x:f>
        <x:v>6</x:v>
      </x:c>
      <x:c r="O21" s="46" t="n">
        <x:f>Controls!$C$27</x:f>
        <x:v>15</x:v>
      </x:c>
      <x:c r="P21" s="46" t="str">
        <x:v>PLANNED</x:v>
      </x:c>
      <x:c r="Q21" s="63"/>
    </x:row>
    <x:row r="22">
      <x:c r="B22" s="46" t="str">
        <x:v>JM-017</x:v>
      </x:c>
      <x:c r="C22" s="46" t="str">
        <x:v>C2</x:v>
      </x:c>
      <x:c r="D22" s="46" t="n">
        <x:v>2</x:v>
      </x:c>
      <x:c r="E22" s="46" t="str">
        <x:v>SITE-2</x:v>
      </x:c>
      <x:c r="F22" s="46" t="n">
        <x:v>2</x:v>
      </x:c>
      <x:c r="G22" s="46" t="n">
        <x:v>1</x:v>
      </x:c>
      <x:c r="H22" s="46" t="str">
        <x:f>"ET-R"&amp;(MOD($G22-1+$D22+$F22+0,4)+1)</x:f>
        <x:v>ET-R1</x:v>
      </x:c>
      <x:c r="I22" s="46" t="str">
        <x:f>"CT-R"&amp;(MOD($G22-1+$D22+$F22+1,4)+1)</x:f>
        <x:v>CT-R2</x:v>
      </x:c>
      <x:c r="J22" s="46" t="str">
        <x:f>"HC-R"&amp;(MOD($G22-1+$D22+$F22+2,4)+1)</x:f>
        <x:v>HC-R3</x:v>
      </x:c>
      <x:c r="K22" s="46" t="str">
        <x:f>"LF-R"&amp;(MOD($G22-1+$D22+$F22+3,4)+1)</x:f>
        <x:v>LF-R4</x:v>
      </x:c>
      <x:c r="L22" s="46" t="str">
        <x:f>"HU-R"&amp;(MOD($G22-1+$D22+$F22+1,4)+1)</x:f>
        <x:v>HU-R2</x:v>
      </x:c>
      <x:c r="M22" s="46" t="str">
        <x:f>"RT-R"&amp;(MOD($G22-1+$D22+$F22+3,4)+1)</x:f>
        <x:v>RT-R4</x:v>
      </x:c>
      <x:c r="N22" s="46" t="n">
        <x:f>Controls!$C$20</x:f>
        <x:v>6</x:v>
      </x:c>
      <x:c r="O22" s="46" t="n">
        <x:f>Controls!$C$27</x:f>
        <x:v>15</x:v>
      </x:c>
      <x:c r="P22" s="46" t="str">
        <x:v>PLANNED</x:v>
      </x:c>
      <x:c r="Q22" s="63"/>
    </x:row>
    <x:row r="23">
      <x:c r="B23" s="46" t="str">
        <x:v>JM-018</x:v>
      </x:c>
      <x:c r="C23" s="46" t="str">
        <x:v>C2</x:v>
      </x:c>
      <x:c r="D23" s="46" t="n">
        <x:v>2</x:v>
      </x:c>
      <x:c r="E23" s="46" t="str">
        <x:v>SITE-2</x:v>
      </x:c>
      <x:c r="F23" s="46" t="n">
        <x:v>2</x:v>
      </x:c>
      <x:c r="G23" s="46" t="n">
        <x:v>2</x:v>
      </x:c>
      <x:c r="H23" s="46" t="str">
        <x:f>"ET-R"&amp;(MOD($G23-1+$D23+$F23+0,4)+1)</x:f>
        <x:v>ET-R2</x:v>
      </x:c>
      <x:c r="I23" s="46" t="str">
        <x:f>"CT-R"&amp;(MOD($G23-1+$D23+$F23+1,4)+1)</x:f>
        <x:v>CT-R3</x:v>
      </x:c>
      <x:c r="J23" s="46" t="str">
        <x:f>"HC-R"&amp;(MOD($G23-1+$D23+$F23+2,4)+1)</x:f>
        <x:v>HC-R4</x:v>
      </x:c>
      <x:c r="K23" s="46" t="str">
        <x:f>"LF-R"&amp;(MOD($G23-1+$D23+$F23+3,4)+1)</x:f>
        <x:v>LF-R1</x:v>
      </x:c>
      <x:c r="L23" s="46" t="str">
        <x:f>"HU-R"&amp;(MOD($G23-1+$D23+$F23+1,4)+1)</x:f>
        <x:v>HU-R3</x:v>
      </x:c>
      <x:c r="M23" s="46" t="str">
        <x:f>"RT-R"&amp;(MOD($G23-1+$D23+$F23+3,4)+1)</x:f>
        <x:v>RT-R1</x:v>
      </x:c>
      <x:c r="N23" s="46" t="n">
        <x:f>Controls!$C$20</x:f>
        <x:v>6</x:v>
      </x:c>
      <x:c r="O23" s="46" t="n">
        <x:f>Controls!$C$27</x:f>
        <x:v>15</x:v>
      </x:c>
      <x:c r="P23" s="46" t="str">
        <x:v>PLANNED</x:v>
      </x:c>
      <x:c r="Q23" s="63"/>
    </x:row>
    <x:row r="24">
      <x:c r="B24" s="46" t="str">
        <x:v>JM-019</x:v>
      </x:c>
      <x:c r="C24" s="46" t="str">
        <x:v>C2</x:v>
      </x:c>
      <x:c r="D24" s="46" t="n">
        <x:v>2</x:v>
      </x:c>
      <x:c r="E24" s="46" t="str">
        <x:v>SITE-2</x:v>
      </x:c>
      <x:c r="F24" s="46" t="n">
        <x:v>2</x:v>
      </x:c>
      <x:c r="G24" s="46" t="n">
        <x:v>3</x:v>
      </x:c>
      <x:c r="H24" s="46" t="str">
        <x:f>"ET-R"&amp;(MOD($G24-1+$D24+$F24+0,4)+1)</x:f>
        <x:v>ET-R3</x:v>
      </x:c>
      <x:c r="I24" s="46" t="str">
        <x:f>"CT-R"&amp;(MOD($G24-1+$D24+$F24+1,4)+1)</x:f>
        <x:v>CT-R4</x:v>
      </x:c>
      <x:c r="J24" s="46" t="str">
        <x:f>"HC-R"&amp;(MOD($G24-1+$D24+$F24+2,4)+1)</x:f>
        <x:v>HC-R1</x:v>
      </x:c>
      <x:c r="K24" s="46" t="str">
        <x:f>"LF-R"&amp;(MOD($G24-1+$D24+$F24+3,4)+1)</x:f>
        <x:v>LF-R2</x:v>
      </x:c>
      <x:c r="L24" s="46" t="str">
        <x:f>"HU-R"&amp;(MOD($G24-1+$D24+$F24+1,4)+1)</x:f>
        <x:v>HU-R4</x:v>
      </x:c>
      <x:c r="M24" s="46" t="str">
        <x:f>"RT-R"&amp;(MOD($G24-1+$D24+$F24+3,4)+1)</x:f>
        <x:v>RT-R2</x:v>
      </x:c>
      <x:c r="N24" s="46" t="n">
        <x:f>Controls!$C$20</x:f>
        <x:v>6</x:v>
      </x:c>
      <x:c r="O24" s="46" t="n">
        <x:f>Controls!$C$27</x:f>
        <x:v>15</x:v>
      </x:c>
      <x:c r="P24" s="46" t="str">
        <x:v>PLANNED</x:v>
      </x:c>
      <x:c r="Q24" s="63"/>
    </x:row>
    <x:row r="25">
      <x:c r="B25" s="46" t="str">
        <x:v>JM-020</x:v>
      </x:c>
      <x:c r="C25" s="46" t="str">
        <x:v>C2</x:v>
      </x:c>
      <x:c r="D25" s="46" t="n">
        <x:v>2</x:v>
      </x:c>
      <x:c r="E25" s="46" t="str">
        <x:v>SITE-2</x:v>
      </x:c>
      <x:c r="F25" s="46" t="n">
        <x:v>2</x:v>
      </x:c>
      <x:c r="G25" s="46" t="n">
        <x:v>4</x:v>
      </x:c>
      <x:c r="H25" s="46" t="str">
        <x:f>"ET-R"&amp;(MOD($G25-1+$D25+$F25+0,4)+1)</x:f>
        <x:v>ET-R4</x:v>
      </x:c>
      <x:c r="I25" s="46" t="str">
        <x:f>"CT-R"&amp;(MOD($G25-1+$D25+$F25+1,4)+1)</x:f>
        <x:v>CT-R1</x:v>
      </x:c>
      <x:c r="J25" s="46" t="str">
        <x:f>"HC-R"&amp;(MOD($G25-1+$D25+$F25+2,4)+1)</x:f>
        <x:v>HC-R2</x:v>
      </x:c>
      <x:c r="K25" s="46" t="str">
        <x:f>"LF-R"&amp;(MOD($G25-1+$D25+$F25+3,4)+1)</x:f>
        <x:v>LF-R3</x:v>
      </x:c>
      <x:c r="L25" s="46" t="str">
        <x:f>"HU-R"&amp;(MOD($G25-1+$D25+$F25+1,4)+1)</x:f>
        <x:v>HU-R1</x:v>
      </x:c>
      <x:c r="M25" s="46" t="str">
        <x:f>"RT-R"&amp;(MOD($G25-1+$D25+$F25+3,4)+1)</x:f>
        <x:v>RT-R3</x:v>
      </x:c>
      <x:c r="N25" s="46" t="n">
        <x:f>Controls!$C$20</x:f>
        <x:v>6</x:v>
      </x:c>
      <x:c r="O25" s="46" t="n">
        <x:f>Controls!$C$27</x:f>
        <x:v>15</x:v>
      </x:c>
      <x:c r="P25" s="46" t="str">
        <x:v>PLANNED</x:v>
      </x:c>
      <x:c r="Q25" s="63"/>
    </x:row>
    <x:row r="26">
      <x:c r="B26" s="46" t="str">
        <x:v>JM-021</x:v>
      </x:c>
      <x:c r="C26" s="46" t="str">
        <x:v>C2</x:v>
      </x:c>
      <x:c r="D26" s="46" t="n">
        <x:v>2</x:v>
      </x:c>
      <x:c r="E26" s="46" t="str">
        <x:v>SITE-3</x:v>
      </x:c>
      <x:c r="F26" s="46" t="n">
        <x:v>3</x:v>
      </x:c>
      <x:c r="G26" s="46" t="n">
        <x:v>1</x:v>
      </x:c>
      <x:c r="H26" s="46" t="str">
        <x:f>"ET-R"&amp;(MOD($G26-1+$D26+$F26+0,4)+1)</x:f>
        <x:v>ET-R2</x:v>
      </x:c>
      <x:c r="I26" s="46" t="str">
        <x:f>"CT-R"&amp;(MOD($G26-1+$D26+$F26+1,4)+1)</x:f>
        <x:v>CT-R3</x:v>
      </x:c>
      <x:c r="J26" s="46" t="str">
        <x:f>"HC-R"&amp;(MOD($G26-1+$D26+$F26+2,4)+1)</x:f>
        <x:v>HC-R4</x:v>
      </x:c>
      <x:c r="K26" s="46" t="str">
        <x:f>"LF-R"&amp;(MOD($G26-1+$D26+$F26+3,4)+1)</x:f>
        <x:v>LF-R1</x:v>
      </x:c>
      <x:c r="L26" s="46" t="str">
        <x:f>"HU-R"&amp;(MOD($G26-1+$D26+$F26+1,4)+1)</x:f>
        <x:v>HU-R3</x:v>
      </x:c>
      <x:c r="M26" s="46" t="str">
        <x:f>"RT-R"&amp;(MOD($G26-1+$D26+$F26+3,4)+1)</x:f>
        <x:v>RT-R1</x:v>
      </x:c>
      <x:c r="N26" s="46" t="n">
        <x:f>Controls!$C$20</x:f>
        <x:v>6</x:v>
      </x:c>
      <x:c r="O26" s="46" t="n">
        <x:f>Controls!$C$27</x:f>
        <x:v>15</x:v>
      </x:c>
      <x:c r="P26" s="46" t="str">
        <x:v>PLANNED</x:v>
      </x:c>
      <x:c r="Q26" s="63"/>
    </x:row>
    <x:row r="27">
      <x:c r="B27" s="46" t="str">
        <x:v>JM-022</x:v>
      </x:c>
      <x:c r="C27" s="46" t="str">
        <x:v>C2</x:v>
      </x:c>
      <x:c r="D27" s="46" t="n">
        <x:v>2</x:v>
      </x:c>
      <x:c r="E27" s="46" t="str">
        <x:v>SITE-3</x:v>
      </x:c>
      <x:c r="F27" s="46" t="n">
        <x:v>3</x:v>
      </x:c>
      <x:c r="G27" s="46" t="n">
        <x:v>2</x:v>
      </x:c>
      <x:c r="H27" s="46" t="str">
        <x:f>"ET-R"&amp;(MOD($G27-1+$D27+$F27+0,4)+1)</x:f>
        <x:v>ET-R3</x:v>
      </x:c>
      <x:c r="I27" s="46" t="str">
        <x:f>"CT-R"&amp;(MOD($G27-1+$D27+$F27+1,4)+1)</x:f>
        <x:v>CT-R4</x:v>
      </x:c>
      <x:c r="J27" s="46" t="str">
        <x:f>"HC-R"&amp;(MOD($G27-1+$D27+$F27+2,4)+1)</x:f>
        <x:v>HC-R1</x:v>
      </x:c>
      <x:c r="K27" s="46" t="str">
        <x:f>"LF-R"&amp;(MOD($G27-1+$D27+$F27+3,4)+1)</x:f>
        <x:v>LF-R2</x:v>
      </x:c>
      <x:c r="L27" s="46" t="str">
        <x:f>"HU-R"&amp;(MOD($G27-1+$D27+$F27+1,4)+1)</x:f>
        <x:v>HU-R4</x:v>
      </x:c>
      <x:c r="M27" s="46" t="str">
        <x:f>"RT-R"&amp;(MOD($G27-1+$D27+$F27+3,4)+1)</x:f>
        <x:v>RT-R2</x:v>
      </x:c>
      <x:c r="N27" s="46" t="n">
        <x:f>Controls!$C$20</x:f>
        <x:v>6</x:v>
      </x:c>
      <x:c r="O27" s="46" t="n">
        <x:f>Controls!$C$27</x:f>
        <x:v>15</x:v>
      </x:c>
      <x:c r="P27" s="46" t="str">
        <x:v>PLANNED</x:v>
      </x:c>
      <x:c r="Q27" s="63"/>
    </x:row>
    <x:row r="28">
      <x:c r="B28" s="46" t="str">
        <x:v>JM-023</x:v>
      </x:c>
      <x:c r="C28" s="46" t="str">
        <x:v>C2</x:v>
      </x:c>
      <x:c r="D28" s="46" t="n">
        <x:v>2</x:v>
      </x:c>
      <x:c r="E28" s="46" t="str">
        <x:v>SITE-3</x:v>
      </x:c>
      <x:c r="F28" s="46" t="n">
        <x:v>3</x:v>
      </x:c>
      <x:c r="G28" s="46" t="n">
        <x:v>3</x:v>
      </x:c>
      <x:c r="H28" s="46" t="str">
        <x:f>"ET-R"&amp;(MOD($G28-1+$D28+$F28+0,4)+1)</x:f>
        <x:v>ET-R4</x:v>
      </x:c>
      <x:c r="I28" s="46" t="str">
        <x:f>"CT-R"&amp;(MOD($G28-1+$D28+$F28+1,4)+1)</x:f>
        <x:v>CT-R1</x:v>
      </x:c>
      <x:c r="J28" s="46" t="str">
        <x:f>"HC-R"&amp;(MOD($G28-1+$D28+$F28+2,4)+1)</x:f>
        <x:v>HC-R2</x:v>
      </x:c>
      <x:c r="K28" s="46" t="str">
        <x:f>"LF-R"&amp;(MOD($G28-1+$D28+$F28+3,4)+1)</x:f>
        <x:v>LF-R3</x:v>
      </x:c>
      <x:c r="L28" s="46" t="str">
        <x:f>"HU-R"&amp;(MOD($G28-1+$D28+$F28+1,4)+1)</x:f>
        <x:v>HU-R1</x:v>
      </x:c>
      <x:c r="M28" s="46" t="str">
        <x:f>"RT-R"&amp;(MOD($G28-1+$D28+$F28+3,4)+1)</x:f>
        <x:v>RT-R3</x:v>
      </x:c>
      <x:c r="N28" s="46" t="n">
        <x:f>Controls!$C$20</x:f>
        <x:v>6</x:v>
      </x:c>
      <x:c r="O28" s="46" t="n">
        <x:f>Controls!$C$27</x:f>
        <x:v>15</x:v>
      </x:c>
      <x:c r="P28" s="46" t="str">
        <x:v>PLANNED</x:v>
      </x:c>
      <x:c r="Q28" s="63"/>
    </x:row>
    <x:row r="29">
      <x:c r="B29" s="46" t="str">
        <x:v>JM-024</x:v>
      </x:c>
      <x:c r="C29" s="46" t="str">
        <x:v>C2</x:v>
      </x:c>
      <x:c r="D29" s="46" t="n">
        <x:v>2</x:v>
      </x:c>
      <x:c r="E29" s="46" t="str">
        <x:v>SITE-3</x:v>
      </x:c>
      <x:c r="F29" s="46" t="n">
        <x:v>3</x:v>
      </x:c>
      <x:c r="G29" s="46" t="n">
        <x:v>4</x:v>
      </x:c>
      <x:c r="H29" s="46" t="str">
        <x:f>"ET-R"&amp;(MOD($G29-1+$D29+$F29+0,4)+1)</x:f>
        <x:v>ET-R1</x:v>
      </x:c>
      <x:c r="I29" s="46" t="str">
        <x:f>"CT-R"&amp;(MOD($G29-1+$D29+$F29+1,4)+1)</x:f>
        <x:v>CT-R2</x:v>
      </x:c>
      <x:c r="J29" s="46" t="str">
        <x:f>"HC-R"&amp;(MOD($G29-1+$D29+$F29+2,4)+1)</x:f>
        <x:v>HC-R3</x:v>
      </x:c>
      <x:c r="K29" s="46" t="str">
        <x:f>"LF-R"&amp;(MOD($G29-1+$D29+$F29+3,4)+1)</x:f>
        <x:v>LF-R4</x:v>
      </x:c>
      <x:c r="L29" s="46" t="str">
        <x:f>"HU-R"&amp;(MOD($G29-1+$D29+$F29+1,4)+1)</x:f>
        <x:v>HU-R2</x:v>
      </x:c>
      <x:c r="M29" s="46" t="str">
        <x:f>"RT-R"&amp;(MOD($G29-1+$D29+$F29+3,4)+1)</x:f>
        <x:v>RT-R4</x:v>
      </x:c>
      <x:c r="N29" s="46" t="n">
        <x:f>Controls!$C$20</x:f>
        <x:v>6</x:v>
      </x:c>
      <x:c r="O29" s="46" t="n">
        <x:f>Controls!$C$27</x:f>
        <x:v>15</x:v>
      </x:c>
      <x:c r="P29" s="46" t="str">
        <x:v>PLANNED</x:v>
      </x:c>
      <x:c r="Q29" s="63"/>
    </x:row>
    <x:row r="30">
      <x:c r="B30" s="46" t="str">
        <x:v>JM-025</x:v>
      </x:c>
      <x:c r="C30" s="46" t="str">
        <x:v>C3</x:v>
      </x:c>
      <x:c r="D30" s="46" t="n">
        <x:v>3</x:v>
      </x:c>
      <x:c r="E30" s="46" t="str">
        <x:v>SITE-1</x:v>
      </x:c>
      <x:c r="F30" s="46" t="n">
        <x:v>1</x:v>
      </x:c>
      <x:c r="G30" s="46" t="n">
        <x:v>1</x:v>
      </x:c>
      <x:c r="H30" s="46" t="str">
        <x:f>"ET-R"&amp;(MOD($G30-1+$D30+$F30+0,4)+1)</x:f>
        <x:v>ET-R1</x:v>
      </x:c>
      <x:c r="I30" s="46" t="str">
        <x:f>"CT-R"&amp;(MOD($G30-1+$D30+$F30+1,4)+1)</x:f>
        <x:v>CT-R2</x:v>
      </x:c>
      <x:c r="J30" s="46" t="str">
        <x:f>"HC-R"&amp;(MOD($G30-1+$D30+$F30+2,4)+1)</x:f>
        <x:v>HC-R3</x:v>
      </x:c>
      <x:c r="K30" s="46" t="str">
        <x:f>"LF-R"&amp;(MOD($G30-1+$D30+$F30+3,4)+1)</x:f>
        <x:v>LF-R4</x:v>
      </x:c>
      <x:c r="L30" s="46" t="str">
        <x:f>"HU-R"&amp;(MOD($G30-1+$D30+$F30+1,4)+1)</x:f>
        <x:v>HU-R2</x:v>
      </x:c>
      <x:c r="M30" s="46" t="str">
        <x:f>"RT-R"&amp;(MOD($G30-1+$D30+$F30+3,4)+1)</x:f>
        <x:v>RT-R4</x:v>
      </x:c>
      <x:c r="N30" s="46" t="n">
        <x:f>Controls!$C$20</x:f>
        <x:v>6</x:v>
      </x:c>
      <x:c r="O30" s="46" t="n">
        <x:f>Controls!$C$27</x:f>
        <x:v>15</x:v>
      </x:c>
      <x:c r="P30" s="46" t="str">
        <x:v>PLANNED</x:v>
      </x:c>
      <x:c r="Q30" s="63"/>
    </x:row>
    <x:row r="31">
      <x:c r="B31" s="46" t="str">
        <x:v>JM-026</x:v>
      </x:c>
      <x:c r="C31" s="46" t="str">
        <x:v>C3</x:v>
      </x:c>
      <x:c r="D31" s="46" t="n">
        <x:v>3</x:v>
      </x:c>
      <x:c r="E31" s="46" t="str">
        <x:v>SITE-1</x:v>
      </x:c>
      <x:c r="F31" s="46" t="n">
        <x:v>1</x:v>
      </x:c>
      <x:c r="G31" s="46" t="n">
        <x:v>2</x:v>
      </x:c>
      <x:c r="H31" s="46" t="str">
        <x:f>"ET-R"&amp;(MOD($G31-1+$D31+$F31+0,4)+1)</x:f>
        <x:v>ET-R2</x:v>
      </x:c>
      <x:c r="I31" s="46" t="str">
        <x:f>"CT-R"&amp;(MOD($G31-1+$D31+$F31+1,4)+1)</x:f>
        <x:v>CT-R3</x:v>
      </x:c>
      <x:c r="J31" s="46" t="str">
        <x:f>"HC-R"&amp;(MOD($G31-1+$D31+$F31+2,4)+1)</x:f>
        <x:v>HC-R4</x:v>
      </x:c>
      <x:c r="K31" s="46" t="str">
        <x:f>"LF-R"&amp;(MOD($G31-1+$D31+$F31+3,4)+1)</x:f>
        <x:v>LF-R1</x:v>
      </x:c>
      <x:c r="L31" s="46" t="str">
        <x:f>"HU-R"&amp;(MOD($G31-1+$D31+$F31+1,4)+1)</x:f>
        <x:v>HU-R3</x:v>
      </x:c>
      <x:c r="M31" s="46" t="str">
        <x:f>"RT-R"&amp;(MOD($G31-1+$D31+$F31+3,4)+1)</x:f>
        <x:v>RT-R1</x:v>
      </x:c>
      <x:c r="N31" s="46" t="n">
        <x:f>Controls!$C$20</x:f>
        <x:v>6</x:v>
      </x:c>
      <x:c r="O31" s="46" t="n">
        <x:f>Controls!$C$27</x:f>
        <x:v>15</x:v>
      </x:c>
      <x:c r="P31" s="46" t="str">
        <x:v>PLANNED</x:v>
      </x:c>
      <x:c r="Q31" s="63"/>
    </x:row>
    <x:row r="32">
      <x:c r="B32" s="46" t="str">
        <x:v>JM-027</x:v>
      </x:c>
      <x:c r="C32" s="46" t="str">
        <x:v>C3</x:v>
      </x:c>
      <x:c r="D32" s="46" t="n">
        <x:v>3</x:v>
      </x:c>
      <x:c r="E32" s="46" t="str">
        <x:v>SITE-1</x:v>
      </x:c>
      <x:c r="F32" s="46" t="n">
        <x:v>1</x:v>
      </x:c>
      <x:c r="G32" s="46" t="n">
        <x:v>3</x:v>
      </x:c>
      <x:c r="H32" s="46" t="str">
        <x:f>"ET-R"&amp;(MOD($G32-1+$D32+$F32+0,4)+1)</x:f>
        <x:v>ET-R3</x:v>
      </x:c>
      <x:c r="I32" s="46" t="str">
        <x:f>"CT-R"&amp;(MOD($G32-1+$D32+$F32+1,4)+1)</x:f>
        <x:v>CT-R4</x:v>
      </x:c>
      <x:c r="J32" s="46" t="str">
        <x:f>"HC-R"&amp;(MOD($G32-1+$D32+$F32+2,4)+1)</x:f>
        <x:v>HC-R1</x:v>
      </x:c>
      <x:c r="K32" s="46" t="str">
        <x:f>"LF-R"&amp;(MOD($G32-1+$D32+$F32+3,4)+1)</x:f>
        <x:v>LF-R2</x:v>
      </x:c>
      <x:c r="L32" s="46" t="str">
        <x:f>"HU-R"&amp;(MOD($G32-1+$D32+$F32+1,4)+1)</x:f>
        <x:v>HU-R4</x:v>
      </x:c>
      <x:c r="M32" s="46" t="str">
        <x:f>"RT-R"&amp;(MOD($G32-1+$D32+$F32+3,4)+1)</x:f>
        <x:v>RT-R2</x:v>
      </x:c>
      <x:c r="N32" s="46" t="n">
        <x:f>Controls!$C$20</x:f>
        <x:v>6</x:v>
      </x:c>
      <x:c r="O32" s="46" t="n">
        <x:f>Controls!$C$27</x:f>
        <x:v>15</x:v>
      </x:c>
      <x:c r="P32" s="46" t="str">
        <x:v>PLANNED</x:v>
      </x:c>
      <x:c r="Q32" s="63"/>
    </x:row>
    <x:row r="33">
      <x:c r="B33" s="46" t="str">
        <x:v>JM-028</x:v>
      </x:c>
      <x:c r="C33" s="46" t="str">
        <x:v>C3</x:v>
      </x:c>
      <x:c r="D33" s="46" t="n">
        <x:v>3</x:v>
      </x:c>
      <x:c r="E33" s="46" t="str">
        <x:v>SITE-1</x:v>
      </x:c>
      <x:c r="F33" s="46" t="n">
        <x:v>1</x:v>
      </x:c>
      <x:c r="G33" s="46" t="n">
        <x:v>4</x:v>
      </x:c>
      <x:c r="H33" s="46" t="str">
        <x:f>"ET-R"&amp;(MOD($G33-1+$D33+$F33+0,4)+1)</x:f>
        <x:v>ET-R4</x:v>
      </x:c>
      <x:c r="I33" s="46" t="str">
        <x:f>"CT-R"&amp;(MOD($G33-1+$D33+$F33+1,4)+1)</x:f>
        <x:v>CT-R1</x:v>
      </x:c>
      <x:c r="J33" s="46" t="str">
        <x:f>"HC-R"&amp;(MOD($G33-1+$D33+$F33+2,4)+1)</x:f>
        <x:v>HC-R2</x:v>
      </x:c>
      <x:c r="K33" s="46" t="str">
        <x:f>"LF-R"&amp;(MOD($G33-1+$D33+$F33+3,4)+1)</x:f>
        <x:v>LF-R3</x:v>
      </x:c>
      <x:c r="L33" s="46" t="str">
        <x:f>"HU-R"&amp;(MOD($G33-1+$D33+$F33+1,4)+1)</x:f>
        <x:v>HU-R1</x:v>
      </x:c>
      <x:c r="M33" s="46" t="str">
        <x:f>"RT-R"&amp;(MOD($G33-1+$D33+$F33+3,4)+1)</x:f>
        <x:v>RT-R3</x:v>
      </x:c>
      <x:c r="N33" s="46" t="n">
        <x:f>Controls!$C$20</x:f>
        <x:v>6</x:v>
      </x:c>
      <x:c r="O33" s="46" t="n">
        <x:f>Controls!$C$27</x:f>
        <x:v>15</x:v>
      </x:c>
      <x:c r="P33" s="46" t="str">
        <x:v>PLANNED</x:v>
      </x:c>
      <x:c r="Q33" s="63"/>
    </x:row>
    <x:row r="34">
      <x:c r="B34" s="46" t="str">
        <x:v>JM-029</x:v>
      </x:c>
      <x:c r="C34" s="46" t="str">
        <x:v>C3</x:v>
      </x:c>
      <x:c r="D34" s="46" t="n">
        <x:v>3</x:v>
      </x:c>
      <x:c r="E34" s="46" t="str">
        <x:v>SITE-2</x:v>
      </x:c>
      <x:c r="F34" s="46" t="n">
        <x:v>2</x:v>
      </x:c>
      <x:c r="G34" s="46" t="n">
        <x:v>1</x:v>
      </x:c>
      <x:c r="H34" s="46" t="str">
        <x:f>"ET-R"&amp;(MOD($G34-1+$D34+$F34+0,4)+1)</x:f>
        <x:v>ET-R2</x:v>
      </x:c>
      <x:c r="I34" s="46" t="str">
        <x:f>"CT-R"&amp;(MOD($G34-1+$D34+$F34+1,4)+1)</x:f>
        <x:v>CT-R3</x:v>
      </x:c>
      <x:c r="J34" s="46" t="str">
        <x:f>"HC-R"&amp;(MOD($G34-1+$D34+$F34+2,4)+1)</x:f>
        <x:v>HC-R4</x:v>
      </x:c>
      <x:c r="K34" s="46" t="str">
        <x:f>"LF-R"&amp;(MOD($G34-1+$D34+$F34+3,4)+1)</x:f>
        <x:v>LF-R1</x:v>
      </x:c>
      <x:c r="L34" s="46" t="str">
        <x:f>"HU-R"&amp;(MOD($G34-1+$D34+$F34+1,4)+1)</x:f>
        <x:v>HU-R3</x:v>
      </x:c>
      <x:c r="M34" s="46" t="str">
        <x:f>"RT-R"&amp;(MOD($G34-1+$D34+$F34+3,4)+1)</x:f>
        <x:v>RT-R1</x:v>
      </x:c>
      <x:c r="N34" s="46" t="n">
        <x:f>Controls!$C$20</x:f>
        <x:v>6</x:v>
      </x:c>
      <x:c r="O34" s="46" t="n">
        <x:f>Controls!$C$27</x:f>
        <x:v>15</x:v>
      </x:c>
      <x:c r="P34" s="46" t="str">
        <x:v>PLANNED</x:v>
      </x:c>
      <x:c r="Q34" s="63"/>
    </x:row>
    <x:row r="35">
      <x:c r="B35" s="46" t="str">
        <x:v>JM-030</x:v>
      </x:c>
      <x:c r="C35" s="46" t="str">
        <x:v>C3</x:v>
      </x:c>
      <x:c r="D35" s="46" t="n">
        <x:v>3</x:v>
      </x:c>
      <x:c r="E35" s="46" t="str">
        <x:v>SITE-2</x:v>
      </x:c>
      <x:c r="F35" s="46" t="n">
        <x:v>2</x:v>
      </x:c>
      <x:c r="G35" s="46" t="n">
        <x:v>2</x:v>
      </x:c>
      <x:c r="H35" s="46" t="str">
        <x:f>"ET-R"&amp;(MOD($G35-1+$D35+$F35+0,4)+1)</x:f>
        <x:v>ET-R3</x:v>
      </x:c>
      <x:c r="I35" s="46" t="str">
        <x:f>"CT-R"&amp;(MOD($G35-1+$D35+$F35+1,4)+1)</x:f>
        <x:v>CT-R4</x:v>
      </x:c>
      <x:c r="J35" s="46" t="str">
        <x:f>"HC-R"&amp;(MOD($G35-1+$D35+$F35+2,4)+1)</x:f>
        <x:v>HC-R1</x:v>
      </x:c>
      <x:c r="K35" s="46" t="str">
        <x:f>"LF-R"&amp;(MOD($G35-1+$D35+$F35+3,4)+1)</x:f>
        <x:v>LF-R2</x:v>
      </x:c>
      <x:c r="L35" s="46" t="str">
        <x:f>"HU-R"&amp;(MOD($G35-1+$D35+$F35+1,4)+1)</x:f>
        <x:v>HU-R4</x:v>
      </x:c>
      <x:c r="M35" s="46" t="str">
        <x:f>"RT-R"&amp;(MOD($G35-1+$D35+$F35+3,4)+1)</x:f>
        <x:v>RT-R2</x:v>
      </x:c>
      <x:c r="N35" s="46" t="n">
        <x:f>Controls!$C$20</x:f>
        <x:v>6</x:v>
      </x:c>
      <x:c r="O35" s="46" t="n">
        <x:f>Controls!$C$27</x:f>
        <x:v>15</x:v>
      </x:c>
      <x:c r="P35" s="46" t="str">
        <x:v>PLANNED</x:v>
      </x:c>
      <x:c r="Q35" s="63"/>
    </x:row>
    <x:row r="36">
      <x:c r="B36" s="46" t="str">
        <x:v>JM-031</x:v>
      </x:c>
      <x:c r="C36" s="46" t="str">
        <x:v>C3</x:v>
      </x:c>
      <x:c r="D36" s="46" t="n">
        <x:v>3</x:v>
      </x:c>
      <x:c r="E36" s="46" t="str">
        <x:v>SITE-2</x:v>
      </x:c>
      <x:c r="F36" s="46" t="n">
        <x:v>2</x:v>
      </x:c>
      <x:c r="G36" s="46" t="n">
        <x:v>3</x:v>
      </x:c>
      <x:c r="H36" s="46" t="str">
        <x:f>"ET-R"&amp;(MOD($G36-1+$D36+$F36+0,4)+1)</x:f>
        <x:v>ET-R4</x:v>
      </x:c>
      <x:c r="I36" s="46" t="str">
        <x:f>"CT-R"&amp;(MOD($G36-1+$D36+$F36+1,4)+1)</x:f>
        <x:v>CT-R1</x:v>
      </x:c>
      <x:c r="J36" s="46" t="str">
        <x:f>"HC-R"&amp;(MOD($G36-1+$D36+$F36+2,4)+1)</x:f>
        <x:v>HC-R2</x:v>
      </x:c>
      <x:c r="K36" s="46" t="str">
        <x:f>"LF-R"&amp;(MOD($G36-1+$D36+$F36+3,4)+1)</x:f>
        <x:v>LF-R3</x:v>
      </x:c>
      <x:c r="L36" s="46" t="str">
        <x:f>"HU-R"&amp;(MOD($G36-1+$D36+$F36+1,4)+1)</x:f>
        <x:v>HU-R1</x:v>
      </x:c>
      <x:c r="M36" s="46" t="str">
        <x:f>"RT-R"&amp;(MOD($G36-1+$D36+$F36+3,4)+1)</x:f>
        <x:v>RT-R3</x:v>
      </x:c>
      <x:c r="N36" s="46" t="n">
        <x:f>Controls!$C$20</x:f>
        <x:v>6</x:v>
      </x:c>
      <x:c r="O36" s="46" t="n">
        <x:f>Controls!$C$27</x:f>
        <x:v>15</x:v>
      </x:c>
      <x:c r="P36" s="46" t="str">
        <x:v>PLANNED</x:v>
      </x:c>
      <x:c r="Q36" s="63"/>
    </x:row>
    <x:row r="37">
      <x:c r="B37" s="46" t="str">
        <x:v>JM-032</x:v>
      </x:c>
      <x:c r="C37" s="46" t="str">
        <x:v>C3</x:v>
      </x:c>
      <x:c r="D37" s="46" t="n">
        <x:v>3</x:v>
      </x:c>
      <x:c r="E37" s="46" t="str">
        <x:v>SITE-2</x:v>
      </x:c>
      <x:c r="F37" s="46" t="n">
        <x:v>2</x:v>
      </x:c>
      <x:c r="G37" s="46" t="n">
        <x:v>4</x:v>
      </x:c>
      <x:c r="H37" s="46" t="str">
        <x:f>"ET-R"&amp;(MOD($G37-1+$D37+$F37+0,4)+1)</x:f>
        <x:v>ET-R1</x:v>
      </x:c>
      <x:c r="I37" s="46" t="str">
        <x:f>"CT-R"&amp;(MOD($G37-1+$D37+$F37+1,4)+1)</x:f>
        <x:v>CT-R2</x:v>
      </x:c>
      <x:c r="J37" s="46" t="str">
        <x:f>"HC-R"&amp;(MOD($G37-1+$D37+$F37+2,4)+1)</x:f>
        <x:v>HC-R3</x:v>
      </x:c>
      <x:c r="K37" s="46" t="str">
        <x:f>"LF-R"&amp;(MOD($G37-1+$D37+$F37+3,4)+1)</x:f>
        <x:v>LF-R4</x:v>
      </x:c>
      <x:c r="L37" s="46" t="str">
        <x:f>"HU-R"&amp;(MOD($G37-1+$D37+$F37+1,4)+1)</x:f>
        <x:v>HU-R2</x:v>
      </x:c>
      <x:c r="M37" s="46" t="str">
        <x:f>"RT-R"&amp;(MOD($G37-1+$D37+$F37+3,4)+1)</x:f>
        <x:v>RT-R4</x:v>
      </x:c>
      <x:c r="N37" s="46" t="n">
        <x:f>Controls!$C$20</x:f>
        <x:v>6</x:v>
      </x:c>
      <x:c r="O37" s="46" t="n">
        <x:f>Controls!$C$27</x:f>
        <x:v>15</x:v>
      </x:c>
      <x:c r="P37" s="46" t="str">
        <x:v>PLANNED</x:v>
      </x:c>
      <x:c r="Q37" s="63"/>
    </x:row>
    <x:row r="38">
      <x:c r="B38" s="46" t="str">
        <x:v>JM-033</x:v>
      </x:c>
      <x:c r="C38" s="46" t="str">
        <x:v>C3</x:v>
      </x:c>
      <x:c r="D38" s="46" t="n">
        <x:v>3</x:v>
      </x:c>
      <x:c r="E38" s="46" t="str">
        <x:v>SITE-3</x:v>
      </x:c>
      <x:c r="F38" s="46" t="n">
        <x:v>3</x:v>
      </x:c>
      <x:c r="G38" s="46" t="n">
        <x:v>1</x:v>
      </x:c>
      <x:c r="H38" s="46" t="str">
        <x:f>"ET-R"&amp;(MOD($G38-1+$D38+$F38+0,4)+1)</x:f>
        <x:v>ET-R3</x:v>
      </x:c>
      <x:c r="I38" s="46" t="str">
        <x:f>"CT-R"&amp;(MOD($G38-1+$D38+$F38+1,4)+1)</x:f>
        <x:v>CT-R4</x:v>
      </x:c>
      <x:c r="J38" s="46" t="str">
        <x:f>"HC-R"&amp;(MOD($G38-1+$D38+$F38+2,4)+1)</x:f>
        <x:v>HC-R1</x:v>
      </x:c>
      <x:c r="K38" s="46" t="str">
        <x:f>"LF-R"&amp;(MOD($G38-1+$D38+$F38+3,4)+1)</x:f>
        <x:v>LF-R2</x:v>
      </x:c>
      <x:c r="L38" s="46" t="str">
        <x:f>"HU-R"&amp;(MOD($G38-1+$D38+$F38+1,4)+1)</x:f>
        <x:v>HU-R4</x:v>
      </x:c>
      <x:c r="M38" s="46" t="str">
        <x:f>"RT-R"&amp;(MOD($G38-1+$D38+$F38+3,4)+1)</x:f>
        <x:v>RT-R2</x:v>
      </x:c>
      <x:c r="N38" s="46" t="n">
        <x:f>Controls!$C$20</x:f>
        <x:v>6</x:v>
      </x:c>
      <x:c r="O38" s="46" t="n">
        <x:f>Controls!$C$27</x:f>
        <x:v>15</x:v>
      </x:c>
      <x:c r="P38" s="46" t="str">
        <x:v>PLANNED</x:v>
      </x:c>
      <x:c r="Q38" s="63"/>
    </x:row>
    <x:row r="39">
      <x:c r="B39" s="46" t="str">
        <x:v>JM-034</x:v>
      </x:c>
      <x:c r="C39" s="46" t="str">
        <x:v>C3</x:v>
      </x:c>
      <x:c r="D39" s="46" t="n">
        <x:v>3</x:v>
      </x:c>
      <x:c r="E39" s="46" t="str">
        <x:v>SITE-3</x:v>
      </x:c>
      <x:c r="F39" s="46" t="n">
        <x:v>3</x:v>
      </x:c>
      <x:c r="G39" s="46" t="n">
        <x:v>2</x:v>
      </x:c>
      <x:c r="H39" s="46" t="str">
        <x:f>"ET-R"&amp;(MOD($G39-1+$D39+$F39+0,4)+1)</x:f>
        <x:v>ET-R4</x:v>
      </x:c>
      <x:c r="I39" s="46" t="str">
        <x:f>"CT-R"&amp;(MOD($G39-1+$D39+$F39+1,4)+1)</x:f>
        <x:v>CT-R1</x:v>
      </x:c>
      <x:c r="J39" s="46" t="str">
        <x:f>"HC-R"&amp;(MOD($G39-1+$D39+$F39+2,4)+1)</x:f>
        <x:v>HC-R2</x:v>
      </x:c>
      <x:c r="K39" s="46" t="str">
        <x:f>"LF-R"&amp;(MOD($G39-1+$D39+$F39+3,4)+1)</x:f>
        <x:v>LF-R3</x:v>
      </x:c>
      <x:c r="L39" s="46" t="str">
        <x:f>"HU-R"&amp;(MOD($G39-1+$D39+$F39+1,4)+1)</x:f>
        <x:v>HU-R1</x:v>
      </x:c>
      <x:c r="M39" s="46" t="str">
        <x:f>"RT-R"&amp;(MOD($G39-1+$D39+$F39+3,4)+1)</x:f>
        <x:v>RT-R3</x:v>
      </x:c>
      <x:c r="N39" s="46" t="n">
        <x:f>Controls!$C$20</x:f>
        <x:v>6</x:v>
      </x:c>
      <x:c r="O39" s="46" t="n">
        <x:f>Controls!$C$27</x:f>
        <x:v>15</x:v>
      </x:c>
      <x:c r="P39" s="46" t="str">
        <x:v>PLANNED</x:v>
      </x:c>
      <x:c r="Q39" s="63"/>
    </x:row>
    <x:row r="40">
      <x:c r="B40" s="46" t="str">
        <x:v>JM-035</x:v>
      </x:c>
      <x:c r="C40" s="46" t="str">
        <x:v>C3</x:v>
      </x:c>
      <x:c r="D40" s="46" t="n">
        <x:v>3</x:v>
      </x:c>
      <x:c r="E40" s="46" t="str">
        <x:v>SITE-3</x:v>
      </x:c>
      <x:c r="F40" s="46" t="n">
        <x:v>3</x:v>
      </x:c>
      <x:c r="G40" s="46" t="n">
        <x:v>3</x:v>
      </x:c>
      <x:c r="H40" s="46" t="str">
        <x:f>"ET-R"&amp;(MOD($G40-1+$D40+$F40+0,4)+1)</x:f>
        <x:v>ET-R1</x:v>
      </x:c>
      <x:c r="I40" s="46" t="str">
        <x:f>"CT-R"&amp;(MOD($G40-1+$D40+$F40+1,4)+1)</x:f>
        <x:v>CT-R2</x:v>
      </x:c>
      <x:c r="J40" s="46" t="str">
        <x:f>"HC-R"&amp;(MOD($G40-1+$D40+$F40+2,4)+1)</x:f>
        <x:v>HC-R3</x:v>
      </x:c>
      <x:c r="K40" s="46" t="str">
        <x:f>"LF-R"&amp;(MOD($G40-1+$D40+$F40+3,4)+1)</x:f>
        <x:v>LF-R4</x:v>
      </x:c>
      <x:c r="L40" s="46" t="str">
        <x:f>"HU-R"&amp;(MOD($G40-1+$D40+$F40+1,4)+1)</x:f>
        <x:v>HU-R2</x:v>
      </x:c>
      <x:c r="M40" s="46" t="str">
        <x:f>"RT-R"&amp;(MOD($G40-1+$D40+$F40+3,4)+1)</x:f>
        <x:v>RT-R4</x:v>
      </x:c>
      <x:c r="N40" s="46" t="n">
        <x:f>Controls!$C$20</x:f>
        <x:v>6</x:v>
      </x:c>
      <x:c r="O40" s="46" t="n">
        <x:f>Controls!$C$27</x:f>
        <x:v>15</x:v>
      </x:c>
      <x:c r="P40" s="46" t="str">
        <x:v>PLANNED</x:v>
      </x:c>
      <x:c r="Q40" s="63"/>
    </x:row>
    <x:row r="41">
      <x:c r="B41" s="46" t="str">
        <x:v>JM-036</x:v>
      </x:c>
      <x:c r="C41" s="46" t="str">
        <x:v>C3</x:v>
      </x:c>
      <x:c r="D41" s="46" t="n">
        <x:v>3</x:v>
      </x:c>
      <x:c r="E41" s="46" t="str">
        <x:v>SITE-3</x:v>
      </x:c>
      <x:c r="F41" s="46" t="n">
        <x:v>3</x:v>
      </x:c>
      <x:c r="G41" s="46" t="n">
        <x:v>4</x:v>
      </x:c>
      <x:c r="H41" s="46" t="str">
        <x:f>"ET-R"&amp;(MOD($G41-1+$D41+$F41+0,4)+1)</x:f>
        <x:v>ET-R2</x:v>
      </x:c>
      <x:c r="I41" s="46" t="str">
        <x:f>"CT-R"&amp;(MOD($G41-1+$D41+$F41+1,4)+1)</x:f>
        <x:v>CT-R3</x:v>
      </x:c>
      <x:c r="J41" s="46" t="str">
        <x:f>"HC-R"&amp;(MOD($G41-1+$D41+$F41+2,4)+1)</x:f>
        <x:v>HC-R4</x:v>
      </x:c>
      <x:c r="K41" s="46" t="str">
        <x:f>"LF-R"&amp;(MOD($G41-1+$D41+$F41+3,4)+1)</x:f>
        <x:v>LF-R1</x:v>
      </x:c>
      <x:c r="L41" s="46" t="str">
        <x:f>"HU-R"&amp;(MOD($G41-1+$D41+$F41+1,4)+1)</x:f>
        <x:v>HU-R3</x:v>
      </x:c>
      <x:c r="M41" s="46" t="str">
        <x:f>"RT-R"&amp;(MOD($G41-1+$D41+$F41+3,4)+1)</x:f>
        <x:v>RT-R1</x:v>
      </x:c>
      <x:c r="N41" s="46" t="n">
        <x:f>Controls!$C$20</x:f>
        <x:v>6</x:v>
      </x:c>
      <x:c r="O41" s="46" t="n">
        <x:f>Controls!$C$27</x:f>
        <x:v>15</x:v>
      </x:c>
      <x:c r="P41" s="46" t="str">
        <x:v>PLANNED</x:v>
      </x:c>
      <x:c r="Q41" s="63"/>
    </x:row>
    <x:row r="42">
      <x:c r="B42" s="46" t="str">
        <x:v>JM-037</x:v>
      </x:c>
      <x:c r="C42" s="46" t="str">
        <x:v>M1</x:v>
      </x:c>
      <x:c r="D42" s="46" t="n">
        <x:v>4</x:v>
      </x:c>
      <x:c r="E42" s="46" t="str">
        <x:v>SITE-1</x:v>
      </x:c>
      <x:c r="F42" s="46" t="n">
        <x:v>1</x:v>
      </x:c>
      <x:c r="G42" s="46" t="n">
        <x:v>1</x:v>
      </x:c>
      <x:c r="H42" s="46" t="str">
        <x:f>"ET-R"&amp;(MOD($G42-1+$D42+$F42+0,4)+1)</x:f>
        <x:v>ET-R2</x:v>
      </x:c>
      <x:c r="I42" s="46" t="str">
        <x:f>"CT-R"&amp;(MOD($G42-1+$D42+$F42+1,4)+1)</x:f>
        <x:v>CT-R3</x:v>
      </x:c>
      <x:c r="J42" s="46" t="str">
        <x:f>"HC-R"&amp;(MOD($G42-1+$D42+$F42+2,4)+1)</x:f>
        <x:v>HC-R4</x:v>
      </x:c>
      <x:c r="K42" s="46" t="str">
        <x:f>"LF-R"&amp;(MOD($G42-1+$D42+$F42+3,4)+1)</x:f>
        <x:v>LF-R1</x:v>
      </x:c>
      <x:c r="L42" s="46" t="str">
        <x:f>"HU-R"&amp;(MOD($G42-1+$D42+$F42+1,4)+1)</x:f>
        <x:v>HU-R3</x:v>
      </x:c>
      <x:c r="M42" s="46" t="str">
        <x:f>"RT-R"&amp;(MOD($G42-1+$D42+$F42+3,4)+1)</x:f>
        <x:v>RT-R1</x:v>
      </x:c>
      <x:c r="N42" s="46" t="n">
        <x:f>Controls!$C$20</x:f>
        <x:v>6</x:v>
      </x:c>
      <x:c r="O42" s="46" t="n">
        <x:f>Controls!$C$27</x:f>
        <x:v>15</x:v>
      </x:c>
      <x:c r="P42" s="46" t="str">
        <x:v>PLANNED</x:v>
      </x:c>
      <x:c r="Q42" s="63"/>
    </x:row>
    <x:row r="43">
      <x:c r="B43" s="46" t="str">
        <x:v>JM-038</x:v>
      </x:c>
      <x:c r="C43" s="46" t="str">
        <x:v>M1</x:v>
      </x:c>
      <x:c r="D43" s="46" t="n">
        <x:v>4</x:v>
      </x:c>
      <x:c r="E43" s="46" t="str">
        <x:v>SITE-1</x:v>
      </x:c>
      <x:c r="F43" s="46" t="n">
        <x:v>1</x:v>
      </x:c>
      <x:c r="G43" s="46" t="n">
        <x:v>2</x:v>
      </x:c>
      <x:c r="H43" s="46" t="str">
        <x:f>"ET-R"&amp;(MOD($G43-1+$D43+$F43+0,4)+1)</x:f>
        <x:v>ET-R3</x:v>
      </x:c>
      <x:c r="I43" s="46" t="str">
        <x:f>"CT-R"&amp;(MOD($G43-1+$D43+$F43+1,4)+1)</x:f>
        <x:v>CT-R4</x:v>
      </x:c>
      <x:c r="J43" s="46" t="str">
        <x:f>"HC-R"&amp;(MOD($G43-1+$D43+$F43+2,4)+1)</x:f>
        <x:v>HC-R1</x:v>
      </x:c>
      <x:c r="K43" s="46" t="str">
        <x:f>"LF-R"&amp;(MOD($G43-1+$D43+$F43+3,4)+1)</x:f>
        <x:v>LF-R2</x:v>
      </x:c>
      <x:c r="L43" s="46" t="str">
        <x:f>"HU-R"&amp;(MOD($G43-1+$D43+$F43+1,4)+1)</x:f>
        <x:v>HU-R4</x:v>
      </x:c>
      <x:c r="M43" s="46" t="str">
        <x:f>"RT-R"&amp;(MOD($G43-1+$D43+$F43+3,4)+1)</x:f>
        <x:v>RT-R2</x:v>
      </x:c>
      <x:c r="N43" s="46" t="n">
        <x:f>Controls!$C$20</x:f>
        <x:v>6</x:v>
      </x:c>
      <x:c r="O43" s="46" t="n">
        <x:f>Controls!$C$27</x:f>
        <x:v>15</x:v>
      </x:c>
      <x:c r="P43" s="46" t="str">
        <x:v>PLANNED</x:v>
      </x:c>
      <x:c r="Q43" s="63"/>
    </x:row>
    <x:row r="44">
      <x:c r="B44" s="46" t="str">
        <x:v>JM-039</x:v>
      </x:c>
      <x:c r="C44" s="46" t="str">
        <x:v>M1</x:v>
      </x:c>
      <x:c r="D44" s="46" t="n">
        <x:v>4</x:v>
      </x:c>
      <x:c r="E44" s="46" t="str">
        <x:v>SITE-1</x:v>
      </x:c>
      <x:c r="F44" s="46" t="n">
        <x:v>1</x:v>
      </x:c>
      <x:c r="G44" s="46" t="n">
        <x:v>3</x:v>
      </x:c>
      <x:c r="H44" s="46" t="str">
        <x:f>"ET-R"&amp;(MOD($G44-1+$D44+$F44+0,4)+1)</x:f>
        <x:v>ET-R4</x:v>
      </x:c>
      <x:c r="I44" s="46" t="str">
        <x:f>"CT-R"&amp;(MOD($G44-1+$D44+$F44+1,4)+1)</x:f>
        <x:v>CT-R1</x:v>
      </x:c>
      <x:c r="J44" s="46" t="str">
        <x:f>"HC-R"&amp;(MOD($G44-1+$D44+$F44+2,4)+1)</x:f>
        <x:v>HC-R2</x:v>
      </x:c>
      <x:c r="K44" s="46" t="str">
        <x:f>"LF-R"&amp;(MOD($G44-1+$D44+$F44+3,4)+1)</x:f>
        <x:v>LF-R3</x:v>
      </x:c>
      <x:c r="L44" s="46" t="str">
        <x:f>"HU-R"&amp;(MOD($G44-1+$D44+$F44+1,4)+1)</x:f>
        <x:v>HU-R1</x:v>
      </x:c>
      <x:c r="M44" s="46" t="str">
        <x:f>"RT-R"&amp;(MOD($G44-1+$D44+$F44+3,4)+1)</x:f>
        <x:v>RT-R3</x:v>
      </x:c>
      <x:c r="N44" s="46" t="n">
        <x:f>Controls!$C$20</x:f>
        <x:v>6</x:v>
      </x:c>
      <x:c r="O44" s="46" t="n">
        <x:f>Controls!$C$27</x:f>
        <x:v>15</x:v>
      </x:c>
      <x:c r="P44" s="46" t="str">
        <x:v>PLANNED</x:v>
      </x:c>
      <x:c r="Q44" s="63"/>
    </x:row>
    <x:row r="45">
      <x:c r="B45" s="46" t="str">
        <x:v>JM-040</x:v>
      </x:c>
      <x:c r="C45" s="46" t="str">
        <x:v>M1</x:v>
      </x:c>
      <x:c r="D45" s="46" t="n">
        <x:v>4</x:v>
      </x:c>
      <x:c r="E45" s="46" t="str">
        <x:v>SITE-1</x:v>
      </x:c>
      <x:c r="F45" s="46" t="n">
        <x:v>1</x:v>
      </x:c>
      <x:c r="G45" s="46" t="n">
        <x:v>4</x:v>
      </x:c>
      <x:c r="H45" s="46" t="str">
        <x:f>"ET-R"&amp;(MOD($G45-1+$D45+$F45+0,4)+1)</x:f>
        <x:v>ET-R1</x:v>
      </x:c>
      <x:c r="I45" s="46" t="str">
        <x:f>"CT-R"&amp;(MOD($G45-1+$D45+$F45+1,4)+1)</x:f>
        <x:v>CT-R2</x:v>
      </x:c>
      <x:c r="J45" s="46" t="str">
        <x:f>"HC-R"&amp;(MOD($G45-1+$D45+$F45+2,4)+1)</x:f>
        <x:v>HC-R3</x:v>
      </x:c>
      <x:c r="K45" s="46" t="str">
        <x:f>"LF-R"&amp;(MOD($G45-1+$D45+$F45+3,4)+1)</x:f>
        <x:v>LF-R4</x:v>
      </x:c>
      <x:c r="L45" s="46" t="str">
        <x:f>"HU-R"&amp;(MOD($G45-1+$D45+$F45+1,4)+1)</x:f>
        <x:v>HU-R2</x:v>
      </x:c>
      <x:c r="M45" s="46" t="str">
        <x:f>"RT-R"&amp;(MOD($G45-1+$D45+$F45+3,4)+1)</x:f>
        <x:v>RT-R4</x:v>
      </x:c>
      <x:c r="N45" s="46" t="n">
        <x:f>Controls!$C$20</x:f>
        <x:v>6</x:v>
      </x:c>
      <x:c r="O45" s="46" t="n">
        <x:f>Controls!$C$27</x:f>
        <x:v>15</x:v>
      </x:c>
      <x:c r="P45" s="46" t="str">
        <x:v>PLANNED</x:v>
      </x:c>
      <x:c r="Q45" s="63"/>
    </x:row>
    <x:row r="46">
      <x:c r="B46" s="46" t="str">
        <x:v>JM-041</x:v>
      </x:c>
      <x:c r="C46" s="46" t="str">
        <x:v>M1</x:v>
      </x:c>
      <x:c r="D46" s="46" t="n">
        <x:v>4</x:v>
      </x:c>
      <x:c r="E46" s="46" t="str">
        <x:v>SITE-2</x:v>
      </x:c>
      <x:c r="F46" s="46" t="n">
        <x:v>2</x:v>
      </x:c>
      <x:c r="G46" s="46" t="n">
        <x:v>1</x:v>
      </x:c>
      <x:c r="H46" s="46" t="str">
        <x:f>"ET-R"&amp;(MOD($G46-1+$D46+$F46+0,4)+1)</x:f>
        <x:v>ET-R3</x:v>
      </x:c>
      <x:c r="I46" s="46" t="str">
        <x:f>"CT-R"&amp;(MOD($G46-1+$D46+$F46+1,4)+1)</x:f>
        <x:v>CT-R4</x:v>
      </x:c>
      <x:c r="J46" s="46" t="str">
        <x:f>"HC-R"&amp;(MOD($G46-1+$D46+$F46+2,4)+1)</x:f>
        <x:v>HC-R1</x:v>
      </x:c>
      <x:c r="K46" s="46" t="str">
        <x:f>"LF-R"&amp;(MOD($G46-1+$D46+$F46+3,4)+1)</x:f>
        <x:v>LF-R2</x:v>
      </x:c>
      <x:c r="L46" s="46" t="str">
        <x:f>"HU-R"&amp;(MOD($G46-1+$D46+$F46+1,4)+1)</x:f>
        <x:v>HU-R4</x:v>
      </x:c>
      <x:c r="M46" s="46" t="str">
        <x:f>"RT-R"&amp;(MOD($G46-1+$D46+$F46+3,4)+1)</x:f>
        <x:v>RT-R2</x:v>
      </x:c>
      <x:c r="N46" s="46" t="n">
        <x:f>Controls!$C$20</x:f>
        <x:v>6</x:v>
      </x:c>
      <x:c r="O46" s="46" t="n">
        <x:f>Controls!$C$27</x:f>
        <x:v>15</x:v>
      </x:c>
      <x:c r="P46" s="46" t="str">
        <x:v>PLANNED</x:v>
      </x:c>
      <x:c r="Q46" s="63"/>
    </x:row>
    <x:row r="47">
      <x:c r="B47" s="46" t="str">
        <x:v>JM-042</x:v>
      </x:c>
      <x:c r="C47" s="46" t="str">
        <x:v>M1</x:v>
      </x:c>
      <x:c r="D47" s="46" t="n">
        <x:v>4</x:v>
      </x:c>
      <x:c r="E47" s="46" t="str">
        <x:v>SITE-2</x:v>
      </x:c>
      <x:c r="F47" s="46" t="n">
        <x:v>2</x:v>
      </x:c>
      <x:c r="G47" s="46" t="n">
        <x:v>2</x:v>
      </x:c>
      <x:c r="H47" s="46" t="str">
        <x:f>"ET-R"&amp;(MOD($G47-1+$D47+$F47+0,4)+1)</x:f>
        <x:v>ET-R4</x:v>
      </x:c>
      <x:c r="I47" s="46" t="str">
        <x:f>"CT-R"&amp;(MOD($G47-1+$D47+$F47+1,4)+1)</x:f>
        <x:v>CT-R1</x:v>
      </x:c>
      <x:c r="J47" s="46" t="str">
        <x:f>"HC-R"&amp;(MOD($G47-1+$D47+$F47+2,4)+1)</x:f>
        <x:v>HC-R2</x:v>
      </x:c>
      <x:c r="K47" s="46" t="str">
        <x:f>"LF-R"&amp;(MOD($G47-1+$D47+$F47+3,4)+1)</x:f>
        <x:v>LF-R3</x:v>
      </x:c>
      <x:c r="L47" s="46" t="str">
        <x:f>"HU-R"&amp;(MOD($G47-1+$D47+$F47+1,4)+1)</x:f>
        <x:v>HU-R1</x:v>
      </x:c>
      <x:c r="M47" s="46" t="str">
        <x:f>"RT-R"&amp;(MOD($G47-1+$D47+$F47+3,4)+1)</x:f>
        <x:v>RT-R3</x:v>
      </x:c>
      <x:c r="N47" s="46" t="n">
        <x:f>Controls!$C$20</x:f>
        <x:v>6</x:v>
      </x:c>
      <x:c r="O47" s="46" t="n">
        <x:f>Controls!$C$27</x:f>
        <x:v>15</x:v>
      </x:c>
      <x:c r="P47" s="46" t="str">
        <x:v>PLANNED</x:v>
      </x:c>
      <x:c r="Q47" s="63"/>
    </x:row>
    <x:row r="48">
      <x:c r="B48" s="46" t="str">
        <x:v>JM-043</x:v>
      </x:c>
      <x:c r="C48" s="46" t="str">
        <x:v>M1</x:v>
      </x:c>
      <x:c r="D48" s="46" t="n">
        <x:v>4</x:v>
      </x:c>
      <x:c r="E48" s="46" t="str">
        <x:v>SITE-2</x:v>
      </x:c>
      <x:c r="F48" s="46" t="n">
        <x:v>2</x:v>
      </x:c>
      <x:c r="G48" s="46" t="n">
        <x:v>3</x:v>
      </x:c>
      <x:c r="H48" s="46" t="str">
        <x:f>"ET-R"&amp;(MOD($G48-1+$D48+$F48+0,4)+1)</x:f>
        <x:v>ET-R1</x:v>
      </x:c>
      <x:c r="I48" s="46" t="str">
        <x:f>"CT-R"&amp;(MOD($G48-1+$D48+$F48+1,4)+1)</x:f>
        <x:v>CT-R2</x:v>
      </x:c>
      <x:c r="J48" s="46" t="str">
        <x:f>"HC-R"&amp;(MOD($G48-1+$D48+$F48+2,4)+1)</x:f>
        <x:v>HC-R3</x:v>
      </x:c>
      <x:c r="K48" s="46" t="str">
        <x:f>"LF-R"&amp;(MOD($G48-1+$D48+$F48+3,4)+1)</x:f>
        <x:v>LF-R4</x:v>
      </x:c>
      <x:c r="L48" s="46" t="str">
        <x:f>"HU-R"&amp;(MOD($G48-1+$D48+$F48+1,4)+1)</x:f>
        <x:v>HU-R2</x:v>
      </x:c>
      <x:c r="M48" s="46" t="str">
        <x:f>"RT-R"&amp;(MOD($G48-1+$D48+$F48+3,4)+1)</x:f>
        <x:v>RT-R4</x:v>
      </x:c>
      <x:c r="N48" s="46" t="n">
        <x:f>Controls!$C$20</x:f>
        <x:v>6</x:v>
      </x:c>
      <x:c r="O48" s="46" t="n">
        <x:f>Controls!$C$27</x:f>
        <x:v>15</x:v>
      </x:c>
      <x:c r="P48" s="46" t="str">
        <x:v>PLANNED</x:v>
      </x:c>
      <x:c r="Q48" s="63"/>
    </x:row>
    <x:row r="49">
      <x:c r="B49" s="46" t="str">
        <x:v>JM-044</x:v>
      </x:c>
      <x:c r="C49" s="46" t="str">
        <x:v>M1</x:v>
      </x:c>
      <x:c r="D49" s="46" t="n">
        <x:v>4</x:v>
      </x:c>
      <x:c r="E49" s="46" t="str">
        <x:v>SITE-2</x:v>
      </x:c>
      <x:c r="F49" s="46" t="n">
        <x:v>2</x:v>
      </x:c>
      <x:c r="G49" s="46" t="n">
        <x:v>4</x:v>
      </x:c>
      <x:c r="H49" s="46" t="str">
        <x:f>"ET-R"&amp;(MOD($G49-1+$D49+$F49+0,4)+1)</x:f>
        <x:v>ET-R2</x:v>
      </x:c>
      <x:c r="I49" s="46" t="str">
        <x:f>"CT-R"&amp;(MOD($G49-1+$D49+$F49+1,4)+1)</x:f>
        <x:v>CT-R3</x:v>
      </x:c>
      <x:c r="J49" s="46" t="str">
        <x:f>"HC-R"&amp;(MOD($G49-1+$D49+$F49+2,4)+1)</x:f>
        <x:v>HC-R4</x:v>
      </x:c>
      <x:c r="K49" s="46" t="str">
        <x:f>"LF-R"&amp;(MOD($G49-1+$D49+$F49+3,4)+1)</x:f>
        <x:v>LF-R1</x:v>
      </x:c>
      <x:c r="L49" s="46" t="str">
        <x:f>"HU-R"&amp;(MOD($G49-1+$D49+$F49+1,4)+1)</x:f>
        <x:v>HU-R3</x:v>
      </x:c>
      <x:c r="M49" s="46" t="str">
        <x:f>"RT-R"&amp;(MOD($G49-1+$D49+$F49+3,4)+1)</x:f>
        <x:v>RT-R1</x:v>
      </x:c>
      <x:c r="N49" s="46" t="n">
        <x:f>Controls!$C$20</x:f>
        <x:v>6</x:v>
      </x:c>
      <x:c r="O49" s="46" t="n">
        <x:f>Controls!$C$27</x:f>
        <x:v>15</x:v>
      </x:c>
      <x:c r="P49" s="46" t="str">
        <x:v>PLANNED</x:v>
      </x:c>
      <x:c r="Q49" s="63"/>
    </x:row>
    <x:row r="50">
      <x:c r="B50" s="46" t="str">
        <x:v>JM-045</x:v>
      </x:c>
      <x:c r="C50" s="46" t="str">
        <x:v>M1</x:v>
      </x:c>
      <x:c r="D50" s="46" t="n">
        <x:v>4</x:v>
      </x:c>
      <x:c r="E50" s="46" t="str">
        <x:v>SITE-3</x:v>
      </x:c>
      <x:c r="F50" s="46" t="n">
        <x:v>3</x:v>
      </x:c>
      <x:c r="G50" s="46" t="n">
        <x:v>1</x:v>
      </x:c>
      <x:c r="H50" s="46" t="str">
        <x:f>"ET-R"&amp;(MOD($G50-1+$D50+$F50+0,4)+1)</x:f>
        <x:v>ET-R4</x:v>
      </x:c>
      <x:c r="I50" s="46" t="str">
        <x:f>"CT-R"&amp;(MOD($G50-1+$D50+$F50+1,4)+1)</x:f>
        <x:v>CT-R1</x:v>
      </x:c>
      <x:c r="J50" s="46" t="str">
        <x:f>"HC-R"&amp;(MOD($G50-1+$D50+$F50+2,4)+1)</x:f>
        <x:v>HC-R2</x:v>
      </x:c>
      <x:c r="K50" s="46" t="str">
        <x:f>"LF-R"&amp;(MOD($G50-1+$D50+$F50+3,4)+1)</x:f>
        <x:v>LF-R3</x:v>
      </x:c>
      <x:c r="L50" s="46" t="str">
        <x:f>"HU-R"&amp;(MOD($G50-1+$D50+$F50+1,4)+1)</x:f>
        <x:v>HU-R1</x:v>
      </x:c>
      <x:c r="M50" s="46" t="str">
        <x:f>"RT-R"&amp;(MOD($G50-1+$D50+$F50+3,4)+1)</x:f>
        <x:v>RT-R3</x:v>
      </x:c>
      <x:c r="N50" s="46" t="n">
        <x:f>Controls!$C$20</x:f>
        <x:v>6</x:v>
      </x:c>
      <x:c r="O50" s="46" t="n">
        <x:f>Controls!$C$27</x:f>
        <x:v>15</x:v>
      </x:c>
      <x:c r="P50" s="46" t="str">
        <x:v>PLANNED</x:v>
      </x:c>
      <x:c r="Q50" s="63"/>
    </x:row>
    <x:row r="51">
      <x:c r="B51" s="46" t="str">
        <x:v>JM-046</x:v>
      </x:c>
      <x:c r="C51" s="46" t="str">
        <x:v>M1</x:v>
      </x:c>
      <x:c r="D51" s="46" t="n">
        <x:v>4</x:v>
      </x:c>
      <x:c r="E51" s="46" t="str">
        <x:v>SITE-3</x:v>
      </x:c>
      <x:c r="F51" s="46" t="n">
        <x:v>3</x:v>
      </x:c>
      <x:c r="G51" s="46" t="n">
        <x:v>2</x:v>
      </x:c>
      <x:c r="H51" s="46" t="str">
        <x:f>"ET-R"&amp;(MOD($G51-1+$D51+$F51+0,4)+1)</x:f>
        <x:v>ET-R1</x:v>
      </x:c>
      <x:c r="I51" s="46" t="str">
        <x:f>"CT-R"&amp;(MOD($G51-1+$D51+$F51+1,4)+1)</x:f>
        <x:v>CT-R2</x:v>
      </x:c>
      <x:c r="J51" s="46" t="str">
        <x:f>"HC-R"&amp;(MOD($G51-1+$D51+$F51+2,4)+1)</x:f>
        <x:v>HC-R3</x:v>
      </x:c>
      <x:c r="K51" s="46" t="str">
        <x:f>"LF-R"&amp;(MOD($G51-1+$D51+$F51+3,4)+1)</x:f>
        <x:v>LF-R4</x:v>
      </x:c>
      <x:c r="L51" s="46" t="str">
        <x:f>"HU-R"&amp;(MOD($G51-1+$D51+$F51+1,4)+1)</x:f>
        <x:v>HU-R2</x:v>
      </x:c>
      <x:c r="M51" s="46" t="str">
        <x:f>"RT-R"&amp;(MOD($G51-1+$D51+$F51+3,4)+1)</x:f>
        <x:v>RT-R4</x:v>
      </x:c>
      <x:c r="N51" s="46" t="n">
        <x:f>Controls!$C$20</x:f>
        <x:v>6</x:v>
      </x:c>
      <x:c r="O51" s="46" t="n">
        <x:f>Controls!$C$27</x:f>
        <x:v>15</x:v>
      </x:c>
      <x:c r="P51" s="46" t="str">
        <x:v>PLANNED</x:v>
      </x:c>
      <x:c r="Q51" s="63"/>
    </x:row>
    <x:row r="52">
      <x:c r="B52" s="46" t="str">
        <x:v>JM-047</x:v>
      </x:c>
      <x:c r="C52" s="46" t="str">
        <x:v>M1</x:v>
      </x:c>
      <x:c r="D52" s="46" t="n">
        <x:v>4</x:v>
      </x:c>
      <x:c r="E52" s="46" t="str">
        <x:v>SITE-3</x:v>
      </x:c>
      <x:c r="F52" s="46" t="n">
        <x:v>3</x:v>
      </x:c>
      <x:c r="G52" s="46" t="n">
        <x:v>3</x:v>
      </x:c>
      <x:c r="H52" s="46" t="str">
        <x:f>"ET-R"&amp;(MOD($G52-1+$D52+$F52+0,4)+1)</x:f>
        <x:v>ET-R2</x:v>
      </x:c>
      <x:c r="I52" s="46" t="str">
        <x:f>"CT-R"&amp;(MOD($G52-1+$D52+$F52+1,4)+1)</x:f>
        <x:v>CT-R3</x:v>
      </x:c>
      <x:c r="J52" s="46" t="str">
        <x:f>"HC-R"&amp;(MOD($G52-1+$D52+$F52+2,4)+1)</x:f>
        <x:v>HC-R4</x:v>
      </x:c>
      <x:c r="K52" s="46" t="str">
        <x:f>"LF-R"&amp;(MOD($G52-1+$D52+$F52+3,4)+1)</x:f>
        <x:v>LF-R1</x:v>
      </x:c>
      <x:c r="L52" s="46" t="str">
        <x:f>"HU-R"&amp;(MOD($G52-1+$D52+$F52+1,4)+1)</x:f>
        <x:v>HU-R3</x:v>
      </x:c>
      <x:c r="M52" s="46" t="str">
        <x:f>"RT-R"&amp;(MOD($G52-1+$D52+$F52+3,4)+1)</x:f>
        <x:v>RT-R1</x:v>
      </x:c>
      <x:c r="N52" s="46" t="n">
        <x:f>Controls!$C$20</x:f>
        <x:v>6</x:v>
      </x:c>
      <x:c r="O52" s="46" t="n">
        <x:f>Controls!$C$27</x:f>
        <x:v>15</x:v>
      </x:c>
      <x:c r="P52" s="46" t="str">
        <x:v>PLANNED</x:v>
      </x:c>
      <x:c r="Q52" s="63"/>
    </x:row>
    <x:row r="53">
      <x:c r="B53" s="46" t="str">
        <x:v>JM-048</x:v>
      </x:c>
      <x:c r="C53" s="46" t="str">
        <x:v>M1</x:v>
      </x:c>
      <x:c r="D53" s="46" t="n">
        <x:v>4</x:v>
      </x:c>
      <x:c r="E53" s="46" t="str">
        <x:v>SITE-3</x:v>
      </x:c>
      <x:c r="F53" s="46" t="n">
        <x:v>3</x:v>
      </x:c>
      <x:c r="G53" s="46" t="n">
        <x:v>4</x:v>
      </x:c>
      <x:c r="H53" s="46" t="str">
        <x:f>"ET-R"&amp;(MOD($G53-1+$D53+$F53+0,4)+1)</x:f>
        <x:v>ET-R3</x:v>
      </x:c>
      <x:c r="I53" s="46" t="str">
        <x:f>"CT-R"&amp;(MOD($G53-1+$D53+$F53+1,4)+1)</x:f>
        <x:v>CT-R4</x:v>
      </x:c>
      <x:c r="J53" s="46" t="str">
        <x:f>"HC-R"&amp;(MOD($G53-1+$D53+$F53+2,4)+1)</x:f>
        <x:v>HC-R1</x:v>
      </x:c>
      <x:c r="K53" s="46" t="str">
        <x:f>"LF-R"&amp;(MOD($G53-1+$D53+$F53+3,4)+1)</x:f>
        <x:v>LF-R2</x:v>
      </x:c>
      <x:c r="L53" s="46" t="str">
        <x:f>"HU-R"&amp;(MOD($G53-1+$D53+$F53+1,4)+1)</x:f>
        <x:v>HU-R4</x:v>
      </x:c>
      <x:c r="M53" s="46" t="str">
        <x:f>"RT-R"&amp;(MOD($G53-1+$D53+$F53+3,4)+1)</x:f>
        <x:v>RT-R2</x:v>
      </x:c>
      <x:c r="N53" s="46" t="n">
        <x:f>Controls!$C$20</x:f>
        <x:v>6</x:v>
      </x:c>
      <x:c r="O53" s="46" t="n">
        <x:f>Controls!$C$27</x:f>
        <x:v>15</x:v>
      </x:c>
      <x:c r="P53" s="46" t="str">
        <x:v>PLANNED</x:v>
      </x:c>
      <x:c r="Q53" s="63"/>
    </x:row>
    <x:row r="54">
      <x:c r="B54" s="46" t="str">
        <x:v>JM-049</x:v>
      </x:c>
      <x:c r="C54" s="46" t="str">
        <x:v>M2</x:v>
      </x:c>
      <x:c r="D54" s="46" t="n">
        <x:v>5</x:v>
      </x:c>
      <x:c r="E54" s="46" t="str">
        <x:v>SITE-1</x:v>
      </x:c>
      <x:c r="F54" s="46" t="n">
        <x:v>1</x:v>
      </x:c>
      <x:c r="G54" s="46" t="n">
        <x:v>1</x:v>
      </x:c>
      <x:c r="H54" s="46" t="str">
        <x:f>"ET-R"&amp;(MOD($G54-1+$D54+$F54+0,4)+1)</x:f>
        <x:v>ET-R3</x:v>
      </x:c>
      <x:c r="I54" s="46" t="str">
        <x:f>"CT-R"&amp;(MOD($G54-1+$D54+$F54+1,4)+1)</x:f>
        <x:v>CT-R4</x:v>
      </x:c>
      <x:c r="J54" s="46" t="str">
        <x:f>"HC-R"&amp;(MOD($G54-1+$D54+$F54+2,4)+1)</x:f>
        <x:v>HC-R1</x:v>
      </x:c>
      <x:c r="K54" s="46" t="str">
        <x:f>"LF-R"&amp;(MOD($G54-1+$D54+$F54+3,4)+1)</x:f>
        <x:v>LF-R2</x:v>
      </x:c>
      <x:c r="L54" s="46" t="str">
        <x:f>"HU-R"&amp;(MOD($G54-1+$D54+$F54+1,4)+1)</x:f>
        <x:v>HU-R4</x:v>
      </x:c>
      <x:c r="M54" s="46" t="str">
        <x:f>"RT-R"&amp;(MOD($G54-1+$D54+$F54+3,4)+1)</x:f>
        <x:v>RT-R2</x:v>
      </x:c>
      <x:c r="N54" s="46" t="n">
        <x:f>Controls!$C$20</x:f>
        <x:v>6</x:v>
      </x:c>
      <x:c r="O54" s="46" t="n">
        <x:f>Controls!$C$27</x:f>
        <x:v>15</x:v>
      </x:c>
      <x:c r="P54" s="46" t="str">
        <x:v>PLANNED</x:v>
      </x:c>
      <x:c r="Q54" s="63"/>
    </x:row>
    <x:row r="55">
      <x:c r="B55" s="46" t="str">
        <x:v>JM-050</x:v>
      </x:c>
      <x:c r="C55" s="46" t="str">
        <x:v>M2</x:v>
      </x:c>
      <x:c r="D55" s="46" t="n">
        <x:v>5</x:v>
      </x:c>
      <x:c r="E55" s="46" t="str">
        <x:v>SITE-1</x:v>
      </x:c>
      <x:c r="F55" s="46" t="n">
        <x:v>1</x:v>
      </x:c>
      <x:c r="G55" s="46" t="n">
        <x:v>2</x:v>
      </x:c>
      <x:c r="H55" s="46" t="str">
        <x:f>"ET-R"&amp;(MOD($G55-1+$D55+$F55+0,4)+1)</x:f>
        <x:v>ET-R4</x:v>
      </x:c>
      <x:c r="I55" s="46" t="str">
        <x:f>"CT-R"&amp;(MOD($G55-1+$D55+$F55+1,4)+1)</x:f>
        <x:v>CT-R1</x:v>
      </x:c>
      <x:c r="J55" s="46" t="str">
        <x:f>"HC-R"&amp;(MOD($G55-1+$D55+$F55+2,4)+1)</x:f>
        <x:v>HC-R2</x:v>
      </x:c>
      <x:c r="K55" s="46" t="str">
        <x:f>"LF-R"&amp;(MOD($G55-1+$D55+$F55+3,4)+1)</x:f>
        <x:v>LF-R3</x:v>
      </x:c>
      <x:c r="L55" s="46" t="str">
        <x:f>"HU-R"&amp;(MOD($G55-1+$D55+$F55+1,4)+1)</x:f>
        <x:v>HU-R1</x:v>
      </x:c>
      <x:c r="M55" s="46" t="str">
        <x:f>"RT-R"&amp;(MOD($G55-1+$D55+$F55+3,4)+1)</x:f>
        <x:v>RT-R3</x:v>
      </x:c>
      <x:c r="N55" s="46" t="n">
        <x:f>Controls!$C$20</x:f>
        <x:v>6</x:v>
      </x:c>
      <x:c r="O55" s="46" t="n">
        <x:f>Controls!$C$27</x:f>
        <x:v>15</x:v>
      </x:c>
      <x:c r="P55" s="46" t="str">
        <x:v>PLANNED</x:v>
      </x:c>
      <x:c r="Q55" s="63"/>
    </x:row>
    <x:row r="56">
      <x:c r="B56" s="46" t="str">
        <x:v>JM-051</x:v>
      </x:c>
      <x:c r="C56" s="46" t="str">
        <x:v>M2</x:v>
      </x:c>
      <x:c r="D56" s="46" t="n">
        <x:v>5</x:v>
      </x:c>
      <x:c r="E56" s="46" t="str">
        <x:v>SITE-1</x:v>
      </x:c>
      <x:c r="F56" s="46" t="n">
        <x:v>1</x:v>
      </x:c>
      <x:c r="G56" s="46" t="n">
        <x:v>3</x:v>
      </x:c>
      <x:c r="H56" s="46" t="str">
        <x:f>"ET-R"&amp;(MOD($G56-1+$D56+$F56+0,4)+1)</x:f>
        <x:v>ET-R1</x:v>
      </x:c>
      <x:c r="I56" s="46" t="str">
        <x:f>"CT-R"&amp;(MOD($G56-1+$D56+$F56+1,4)+1)</x:f>
        <x:v>CT-R2</x:v>
      </x:c>
      <x:c r="J56" s="46" t="str">
        <x:f>"HC-R"&amp;(MOD($G56-1+$D56+$F56+2,4)+1)</x:f>
        <x:v>HC-R3</x:v>
      </x:c>
      <x:c r="K56" s="46" t="str">
        <x:f>"LF-R"&amp;(MOD($G56-1+$D56+$F56+3,4)+1)</x:f>
        <x:v>LF-R4</x:v>
      </x:c>
      <x:c r="L56" s="46" t="str">
        <x:f>"HU-R"&amp;(MOD($G56-1+$D56+$F56+1,4)+1)</x:f>
        <x:v>HU-R2</x:v>
      </x:c>
      <x:c r="M56" s="46" t="str">
        <x:f>"RT-R"&amp;(MOD($G56-1+$D56+$F56+3,4)+1)</x:f>
        <x:v>RT-R4</x:v>
      </x:c>
      <x:c r="N56" s="46" t="n">
        <x:f>Controls!$C$20</x:f>
        <x:v>6</x:v>
      </x:c>
      <x:c r="O56" s="46" t="n">
        <x:f>Controls!$C$27</x:f>
        <x:v>15</x:v>
      </x:c>
      <x:c r="P56" s="46" t="str">
        <x:v>PLANNED</x:v>
      </x:c>
      <x:c r="Q56" s="63"/>
    </x:row>
    <x:row r="57">
      <x:c r="B57" s="46" t="str">
        <x:v>JM-052</x:v>
      </x:c>
      <x:c r="C57" s="46" t="str">
        <x:v>M2</x:v>
      </x:c>
      <x:c r="D57" s="46" t="n">
        <x:v>5</x:v>
      </x:c>
      <x:c r="E57" s="46" t="str">
        <x:v>SITE-1</x:v>
      </x:c>
      <x:c r="F57" s="46" t="n">
        <x:v>1</x:v>
      </x:c>
      <x:c r="G57" s="46" t="n">
        <x:v>4</x:v>
      </x:c>
      <x:c r="H57" s="46" t="str">
        <x:f>"ET-R"&amp;(MOD($G57-1+$D57+$F57+0,4)+1)</x:f>
        <x:v>ET-R2</x:v>
      </x:c>
      <x:c r="I57" s="46" t="str">
        <x:f>"CT-R"&amp;(MOD($G57-1+$D57+$F57+1,4)+1)</x:f>
        <x:v>CT-R3</x:v>
      </x:c>
      <x:c r="J57" s="46" t="str">
        <x:f>"HC-R"&amp;(MOD($G57-1+$D57+$F57+2,4)+1)</x:f>
        <x:v>HC-R4</x:v>
      </x:c>
      <x:c r="K57" s="46" t="str">
        <x:f>"LF-R"&amp;(MOD($G57-1+$D57+$F57+3,4)+1)</x:f>
        <x:v>LF-R1</x:v>
      </x:c>
      <x:c r="L57" s="46" t="str">
        <x:f>"HU-R"&amp;(MOD($G57-1+$D57+$F57+1,4)+1)</x:f>
        <x:v>HU-R3</x:v>
      </x:c>
      <x:c r="M57" s="46" t="str">
        <x:f>"RT-R"&amp;(MOD($G57-1+$D57+$F57+3,4)+1)</x:f>
        <x:v>RT-R1</x:v>
      </x:c>
      <x:c r="N57" s="46" t="n">
        <x:f>Controls!$C$20</x:f>
        <x:v>6</x:v>
      </x:c>
      <x:c r="O57" s="46" t="n">
        <x:f>Controls!$C$27</x:f>
        <x:v>15</x:v>
      </x:c>
      <x:c r="P57" s="46" t="str">
        <x:v>PLANNED</x:v>
      </x:c>
      <x:c r="Q57" s="63"/>
    </x:row>
    <x:row r="58">
      <x:c r="B58" s="46" t="str">
        <x:v>JM-053</x:v>
      </x:c>
      <x:c r="C58" s="46" t="str">
        <x:v>M2</x:v>
      </x:c>
      <x:c r="D58" s="46" t="n">
        <x:v>5</x:v>
      </x:c>
      <x:c r="E58" s="46" t="str">
        <x:v>SITE-2</x:v>
      </x:c>
      <x:c r="F58" s="46" t="n">
        <x:v>2</x:v>
      </x:c>
      <x:c r="G58" s="46" t="n">
        <x:v>1</x:v>
      </x:c>
      <x:c r="H58" s="46" t="str">
        <x:f>"ET-R"&amp;(MOD($G58-1+$D58+$F58+0,4)+1)</x:f>
        <x:v>ET-R4</x:v>
      </x:c>
      <x:c r="I58" s="46" t="str">
        <x:f>"CT-R"&amp;(MOD($G58-1+$D58+$F58+1,4)+1)</x:f>
        <x:v>CT-R1</x:v>
      </x:c>
      <x:c r="J58" s="46" t="str">
        <x:f>"HC-R"&amp;(MOD($G58-1+$D58+$F58+2,4)+1)</x:f>
        <x:v>HC-R2</x:v>
      </x:c>
      <x:c r="K58" s="46" t="str">
        <x:f>"LF-R"&amp;(MOD($G58-1+$D58+$F58+3,4)+1)</x:f>
        <x:v>LF-R3</x:v>
      </x:c>
      <x:c r="L58" s="46" t="str">
        <x:f>"HU-R"&amp;(MOD($G58-1+$D58+$F58+1,4)+1)</x:f>
        <x:v>HU-R1</x:v>
      </x:c>
      <x:c r="M58" s="46" t="str">
        <x:f>"RT-R"&amp;(MOD($G58-1+$D58+$F58+3,4)+1)</x:f>
        <x:v>RT-R3</x:v>
      </x:c>
      <x:c r="N58" s="46" t="n">
        <x:f>Controls!$C$20</x:f>
        <x:v>6</x:v>
      </x:c>
      <x:c r="O58" s="46" t="n">
        <x:f>Controls!$C$27</x:f>
        <x:v>15</x:v>
      </x:c>
      <x:c r="P58" s="46" t="str">
        <x:v>PLANNED</x:v>
      </x:c>
      <x:c r="Q58" s="63"/>
    </x:row>
    <x:row r="59">
      <x:c r="B59" s="46" t="str">
        <x:v>JM-054</x:v>
      </x:c>
      <x:c r="C59" s="46" t="str">
        <x:v>M2</x:v>
      </x:c>
      <x:c r="D59" s="46" t="n">
        <x:v>5</x:v>
      </x:c>
      <x:c r="E59" s="46" t="str">
        <x:v>SITE-2</x:v>
      </x:c>
      <x:c r="F59" s="46" t="n">
        <x:v>2</x:v>
      </x:c>
      <x:c r="G59" s="46" t="n">
        <x:v>2</x:v>
      </x:c>
      <x:c r="H59" s="46" t="str">
        <x:f>"ET-R"&amp;(MOD($G59-1+$D59+$F59+0,4)+1)</x:f>
        <x:v>ET-R1</x:v>
      </x:c>
      <x:c r="I59" s="46" t="str">
        <x:f>"CT-R"&amp;(MOD($G59-1+$D59+$F59+1,4)+1)</x:f>
        <x:v>CT-R2</x:v>
      </x:c>
      <x:c r="J59" s="46" t="str">
        <x:f>"HC-R"&amp;(MOD($G59-1+$D59+$F59+2,4)+1)</x:f>
        <x:v>HC-R3</x:v>
      </x:c>
      <x:c r="K59" s="46" t="str">
        <x:f>"LF-R"&amp;(MOD($G59-1+$D59+$F59+3,4)+1)</x:f>
        <x:v>LF-R4</x:v>
      </x:c>
      <x:c r="L59" s="46" t="str">
        <x:f>"HU-R"&amp;(MOD($G59-1+$D59+$F59+1,4)+1)</x:f>
        <x:v>HU-R2</x:v>
      </x:c>
      <x:c r="M59" s="46" t="str">
        <x:f>"RT-R"&amp;(MOD($G59-1+$D59+$F59+3,4)+1)</x:f>
        <x:v>RT-R4</x:v>
      </x:c>
      <x:c r="N59" s="46" t="n">
        <x:f>Controls!$C$20</x:f>
        <x:v>6</x:v>
      </x:c>
      <x:c r="O59" s="46" t="n">
        <x:f>Controls!$C$27</x:f>
        <x:v>15</x:v>
      </x:c>
      <x:c r="P59" s="46" t="str">
        <x:v>PLANNED</x:v>
      </x:c>
      <x:c r="Q59" s="63"/>
    </x:row>
    <x:row r="60">
      <x:c r="B60" s="46" t="str">
        <x:v>JM-055</x:v>
      </x:c>
      <x:c r="C60" s="46" t="str">
        <x:v>M2</x:v>
      </x:c>
      <x:c r="D60" s="46" t="n">
        <x:v>5</x:v>
      </x:c>
      <x:c r="E60" s="46" t="str">
        <x:v>SITE-2</x:v>
      </x:c>
      <x:c r="F60" s="46" t="n">
        <x:v>2</x:v>
      </x:c>
      <x:c r="G60" s="46" t="n">
        <x:v>3</x:v>
      </x:c>
      <x:c r="H60" s="46" t="str">
        <x:f>"ET-R"&amp;(MOD($G60-1+$D60+$F60+0,4)+1)</x:f>
        <x:v>ET-R2</x:v>
      </x:c>
      <x:c r="I60" s="46" t="str">
        <x:f>"CT-R"&amp;(MOD($G60-1+$D60+$F60+1,4)+1)</x:f>
        <x:v>CT-R3</x:v>
      </x:c>
      <x:c r="J60" s="46" t="str">
        <x:f>"HC-R"&amp;(MOD($G60-1+$D60+$F60+2,4)+1)</x:f>
        <x:v>HC-R4</x:v>
      </x:c>
      <x:c r="K60" s="46" t="str">
        <x:f>"LF-R"&amp;(MOD($G60-1+$D60+$F60+3,4)+1)</x:f>
        <x:v>LF-R1</x:v>
      </x:c>
      <x:c r="L60" s="46" t="str">
        <x:f>"HU-R"&amp;(MOD($G60-1+$D60+$F60+1,4)+1)</x:f>
        <x:v>HU-R3</x:v>
      </x:c>
      <x:c r="M60" s="46" t="str">
        <x:f>"RT-R"&amp;(MOD($G60-1+$D60+$F60+3,4)+1)</x:f>
        <x:v>RT-R1</x:v>
      </x:c>
      <x:c r="N60" s="46" t="n">
        <x:f>Controls!$C$20</x:f>
        <x:v>6</x:v>
      </x:c>
      <x:c r="O60" s="46" t="n">
        <x:f>Controls!$C$27</x:f>
        <x:v>15</x:v>
      </x:c>
      <x:c r="P60" s="46" t="str">
        <x:v>PLANNED</x:v>
      </x:c>
      <x:c r="Q60" s="63"/>
    </x:row>
    <x:row r="61">
      <x:c r="B61" s="46" t="str">
        <x:v>JM-056</x:v>
      </x:c>
      <x:c r="C61" s="46" t="str">
        <x:v>M2</x:v>
      </x:c>
      <x:c r="D61" s="46" t="n">
        <x:v>5</x:v>
      </x:c>
      <x:c r="E61" s="46" t="str">
        <x:v>SITE-2</x:v>
      </x:c>
      <x:c r="F61" s="46" t="n">
        <x:v>2</x:v>
      </x:c>
      <x:c r="G61" s="46" t="n">
        <x:v>4</x:v>
      </x:c>
      <x:c r="H61" s="46" t="str">
        <x:f>"ET-R"&amp;(MOD($G61-1+$D61+$F61+0,4)+1)</x:f>
        <x:v>ET-R3</x:v>
      </x:c>
      <x:c r="I61" s="46" t="str">
        <x:f>"CT-R"&amp;(MOD($G61-1+$D61+$F61+1,4)+1)</x:f>
        <x:v>CT-R4</x:v>
      </x:c>
      <x:c r="J61" s="46" t="str">
        <x:f>"HC-R"&amp;(MOD($G61-1+$D61+$F61+2,4)+1)</x:f>
        <x:v>HC-R1</x:v>
      </x:c>
      <x:c r="K61" s="46" t="str">
        <x:f>"LF-R"&amp;(MOD($G61-1+$D61+$F61+3,4)+1)</x:f>
        <x:v>LF-R2</x:v>
      </x:c>
      <x:c r="L61" s="46" t="str">
        <x:f>"HU-R"&amp;(MOD($G61-1+$D61+$F61+1,4)+1)</x:f>
        <x:v>HU-R4</x:v>
      </x:c>
      <x:c r="M61" s="46" t="str">
        <x:f>"RT-R"&amp;(MOD($G61-1+$D61+$F61+3,4)+1)</x:f>
        <x:v>RT-R2</x:v>
      </x:c>
      <x:c r="N61" s="46" t="n">
        <x:f>Controls!$C$20</x:f>
        <x:v>6</x:v>
      </x:c>
      <x:c r="O61" s="46" t="n">
        <x:f>Controls!$C$27</x:f>
        <x:v>15</x:v>
      </x:c>
      <x:c r="P61" s="46" t="str">
        <x:v>PLANNED</x:v>
      </x:c>
      <x:c r="Q61" s="63"/>
    </x:row>
    <x:row r="62">
      <x:c r="B62" s="46" t="str">
        <x:v>JM-057</x:v>
      </x:c>
      <x:c r="C62" s="46" t="str">
        <x:v>M2</x:v>
      </x:c>
      <x:c r="D62" s="46" t="n">
        <x:v>5</x:v>
      </x:c>
      <x:c r="E62" s="46" t="str">
        <x:v>SITE-3</x:v>
      </x:c>
      <x:c r="F62" s="46" t="n">
        <x:v>3</x:v>
      </x:c>
      <x:c r="G62" s="46" t="n">
        <x:v>1</x:v>
      </x:c>
      <x:c r="H62" s="46" t="str">
        <x:f>"ET-R"&amp;(MOD($G62-1+$D62+$F62+0,4)+1)</x:f>
        <x:v>ET-R1</x:v>
      </x:c>
      <x:c r="I62" s="46" t="str">
        <x:f>"CT-R"&amp;(MOD($G62-1+$D62+$F62+1,4)+1)</x:f>
        <x:v>CT-R2</x:v>
      </x:c>
      <x:c r="J62" s="46" t="str">
        <x:f>"HC-R"&amp;(MOD($G62-1+$D62+$F62+2,4)+1)</x:f>
        <x:v>HC-R3</x:v>
      </x:c>
      <x:c r="K62" s="46" t="str">
        <x:f>"LF-R"&amp;(MOD($G62-1+$D62+$F62+3,4)+1)</x:f>
        <x:v>LF-R4</x:v>
      </x:c>
      <x:c r="L62" s="46" t="str">
        <x:f>"HU-R"&amp;(MOD($G62-1+$D62+$F62+1,4)+1)</x:f>
        <x:v>HU-R2</x:v>
      </x:c>
      <x:c r="M62" s="46" t="str">
        <x:f>"RT-R"&amp;(MOD($G62-1+$D62+$F62+3,4)+1)</x:f>
        <x:v>RT-R4</x:v>
      </x:c>
      <x:c r="N62" s="46" t="n">
        <x:f>Controls!$C$20</x:f>
        <x:v>6</x:v>
      </x:c>
      <x:c r="O62" s="46" t="n">
        <x:f>Controls!$C$27</x:f>
        <x:v>15</x:v>
      </x:c>
      <x:c r="P62" s="46" t="str">
        <x:v>PLANNED</x:v>
      </x:c>
      <x:c r="Q62" s="63"/>
    </x:row>
    <x:row r="63">
      <x:c r="B63" s="46" t="str">
        <x:v>JM-058</x:v>
      </x:c>
      <x:c r="C63" s="46" t="str">
        <x:v>M2</x:v>
      </x:c>
      <x:c r="D63" s="46" t="n">
        <x:v>5</x:v>
      </x:c>
      <x:c r="E63" s="46" t="str">
        <x:v>SITE-3</x:v>
      </x:c>
      <x:c r="F63" s="46" t="n">
        <x:v>3</x:v>
      </x:c>
      <x:c r="G63" s="46" t="n">
        <x:v>2</x:v>
      </x:c>
      <x:c r="H63" s="46" t="str">
        <x:f>"ET-R"&amp;(MOD($G63-1+$D63+$F63+0,4)+1)</x:f>
        <x:v>ET-R2</x:v>
      </x:c>
      <x:c r="I63" s="46" t="str">
        <x:f>"CT-R"&amp;(MOD($G63-1+$D63+$F63+1,4)+1)</x:f>
        <x:v>CT-R3</x:v>
      </x:c>
      <x:c r="J63" s="46" t="str">
        <x:f>"HC-R"&amp;(MOD($G63-1+$D63+$F63+2,4)+1)</x:f>
        <x:v>HC-R4</x:v>
      </x:c>
      <x:c r="K63" s="46" t="str">
        <x:f>"LF-R"&amp;(MOD($G63-1+$D63+$F63+3,4)+1)</x:f>
        <x:v>LF-R1</x:v>
      </x:c>
      <x:c r="L63" s="46" t="str">
        <x:f>"HU-R"&amp;(MOD($G63-1+$D63+$F63+1,4)+1)</x:f>
        <x:v>HU-R3</x:v>
      </x:c>
      <x:c r="M63" s="46" t="str">
        <x:f>"RT-R"&amp;(MOD($G63-1+$D63+$F63+3,4)+1)</x:f>
        <x:v>RT-R1</x:v>
      </x:c>
      <x:c r="N63" s="46" t="n">
        <x:f>Controls!$C$20</x:f>
        <x:v>6</x:v>
      </x:c>
      <x:c r="O63" s="46" t="n">
        <x:f>Controls!$C$27</x:f>
        <x:v>15</x:v>
      </x:c>
      <x:c r="P63" s="46" t="str">
        <x:v>PLANNED</x:v>
      </x:c>
      <x:c r="Q63" s="63"/>
    </x:row>
    <x:row r="64">
      <x:c r="B64" s="46" t="str">
        <x:v>JM-059</x:v>
      </x:c>
      <x:c r="C64" s="46" t="str">
        <x:v>M2</x:v>
      </x:c>
      <x:c r="D64" s="46" t="n">
        <x:v>5</x:v>
      </x:c>
      <x:c r="E64" s="46" t="str">
        <x:v>SITE-3</x:v>
      </x:c>
      <x:c r="F64" s="46" t="n">
        <x:v>3</x:v>
      </x:c>
      <x:c r="G64" s="46" t="n">
        <x:v>3</x:v>
      </x:c>
      <x:c r="H64" s="46" t="str">
        <x:f>"ET-R"&amp;(MOD($G64-1+$D64+$F64+0,4)+1)</x:f>
        <x:v>ET-R3</x:v>
      </x:c>
      <x:c r="I64" s="46" t="str">
        <x:f>"CT-R"&amp;(MOD($G64-1+$D64+$F64+1,4)+1)</x:f>
        <x:v>CT-R4</x:v>
      </x:c>
      <x:c r="J64" s="46" t="str">
        <x:f>"HC-R"&amp;(MOD($G64-1+$D64+$F64+2,4)+1)</x:f>
        <x:v>HC-R1</x:v>
      </x:c>
      <x:c r="K64" s="46" t="str">
        <x:f>"LF-R"&amp;(MOD($G64-1+$D64+$F64+3,4)+1)</x:f>
        <x:v>LF-R2</x:v>
      </x:c>
      <x:c r="L64" s="46" t="str">
        <x:f>"HU-R"&amp;(MOD($G64-1+$D64+$F64+1,4)+1)</x:f>
        <x:v>HU-R4</x:v>
      </x:c>
      <x:c r="M64" s="46" t="str">
        <x:f>"RT-R"&amp;(MOD($G64-1+$D64+$F64+3,4)+1)</x:f>
        <x:v>RT-R2</x:v>
      </x:c>
      <x:c r="N64" s="46" t="n">
        <x:f>Controls!$C$20</x:f>
        <x:v>6</x:v>
      </x:c>
      <x:c r="O64" s="46" t="n">
        <x:f>Controls!$C$27</x:f>
        <x:v>15</x:v>
      </x:c>
      <x:c r="P64" s="46" t="str">
        <x:v>PLANNED</x:v>
      </x:c>
      <x:c r="Q64" s="63"/>
    </x:row>
    <x:row r="65">
      <x:c r="B65" s="46" t="str">
        <x:v>JM-060</x:v>
      </x:c>
      <x:c r="C65" s="46" t="str">
        <x:v>M2</x:v>
      </x:c>
      <x:c r="D65" s="46" t="n">
        <x:v>5</x:v>
      </x:c>
      <x:c r="E65" s="46" t="str">
        <x:v>SITE-3</x:v>
      </x:c>
      <x:c r="F65" s="46" t="n">
        <x:v>3</x:v>
      </x:c>
      <x:c r="G65" s="46" t="n">
        <x:v>4</x:v>
      </x:c>
      <x:c r="H65" s="46" t="str">
        <x:f>"ET-R"&amp;(MOD($G65-1+$D65+$F65+0,4)+1)</x:f>
        <x:v>ET-R4</x:v>
      </x:c>
      <x:c r="I65" s="46" t="str">
        <x:f>"CT-R"&amp;(MOD($G65-1+$D65+$F65+1,4)+1)</x:f>
        <x:v>CT-R1</x:v>
      </x:c>
      <x:c r="J65" s="46" t="str">
        <x:f>"HC-R"&amp;(MOD($G65-1+$D65+$F65+2,4)+1)</x:f>
        <x:v>HC-R2</x:v>
      </x:c>
      <x:c r="K65" s="46" t="str">
        <x:f>"LF-R"&amp;(MOD($G65-1+$D65+$F65+3,4)+1)</x:f>
        <x:v>LF-R3</x:v>
      </x:c>
      <x:c r="L65" s="46" t="str">
        <x:f>"HU-R"&amp;(MOD($G65-1+$D65+$F65+1,4)+1)</x:f>
        <x:v>HU-R1</x:v>
      </x:c>
      <x:c r="M65" s="46" t="str">
        <x:f>"RT-R"&amp;(MOD($G65-1+$D65+$F65+3,4)+1)</x:f>
        <x:v>RT-R3</x:v>
      </x:c>
      <x:c r="N65" s="46" t="n">
        <x:f>Controls!$C$20</x:f>
        <x:v>6</x:v>
      </x:c>
      <x:c r="O65" s="46" t="n">
        <x:f>Controls!$C$27</x:f>
        <x:v>15</x:v>
      </x:c>
      <x:c r="P65" s="46" t="str">
        <x:v>PLANNED</x:v>
      </x:c>
      <x:c r="Q65" s="63"/>
    </x:row>
    <x:row r="66">
      <x:c r="B66" s="46" t="str">
        <x:v>JM-061</x:v>
      </x:c>
      <x:c r="C66" s="46" t="str">
        <x:v>M3</x:v>
      </x:c>
      <x:c r="D66" s="46" t="n">
        <x:v>6</x:v>
      </x:c>
      <x:c r="E66" s="46" t="str">
        <x:v>SITE-1</x:v>
      </x:c>
      <x:c r="F66" s="46" t="n">
        <x:v>1</x:v>
      </x:c>
      <x:c r="G66" s="46" t="n">
        <x:v>1</x:v>
      </x:c>
      <x:c r="H66" s="46" t="str">
        <x:f>"ET-R"&amp;(MOD($G66-1+$D66+$F66+0,4)+1)</x:f>
        <x:v>ET-R4</x:v>
      </x:c>
      <x:c r="I66" s="46" t="str">
        <x:f>"CT-R"&amp;(MOD($G66-1+$D66+$F66+1,4)+1)</x:f>
        <x:v>CT-R1</x:v>
      </x:c>
      <x:c r="J66" s="46" t="str">
        <x:f>"HC-R"&amp;(MOD($G66-1+$D66+$F66+2,4)+1)</x:f>
        <x:v>HC-R2</x:v>
      </x:c>
      <x:c r="K66" s="46" t="str">
        <x:f>"LF-R"&amp;(MOD($G66-1+$D66+$F66+3,4)+1)</x:f>
        <x:v>LF-R3</x:v>
      </x:c>
      <x:c r="L66" s="46" t="str">
        <x:f>"HU-R"&amp;(MOD($G66-1+$D66+$F66+1,4)+1)</x:f>
        <x:v>HU-R1</x:v>
      </x:c>
      <x:c r="M66" s="46" t="str">
        <x:f>"RT-R"&amp;(MOD($G66-1+$D66+$F66+3,4)+1)</x:f>
        <x:v>RT-R3</x:v>
      </x:c>
      <x:c r="N66" s="46" t="n">
        <x:f>Controls!$C$20</x:f>
        <x:v>6</x:v>
      </x:c>
      <x:c r="O66" s="46" t="n">
        <x:f>Controls!$C$27</x:f>
        <x:v>15</x:v>
      </x:c>
      <x:c r="P66" s="46" t="str">
        <x:v>PLANNED</x:v>
      </x:c>
      <x:c r="Q66" s="63"/>
    </x:row>
    <x:row r="67">
      <x:c r="B67" s="46" t="str">
        <x:v>JM-062</x:v>
      </x:c>
      <x:c r="C67" s="46" t="str">
        <x:v>M3</x:v>
      </x:c>
      <x:c r="D67" s="46" t="n">
        <x:v>6</x:v>
      </x:c>
      <x:c r="E67" s="46" t="str">
        <x:v>SITE-1</x:v>
      </x:c>
      <x:c r="F67" s="46" t="n">
        <x:v>1</x:v>
      </x:c>
      <x:c r="G67" s="46" t="n">
        <x:v>2</x:v>
      </x:c>
      <x:c r="H67" s="46" t="str">
        <x:f>"ET-R"&amp;(MOD($G67-1+$D67+$F67+0,4)+1)</x:f>
        <x:v>ET-R1</x:v>
      </x:c>
      <x:c r="I67" s="46" t="str">
        <x:f>"CT-R"&amp;(MOD($G67-1+$D67+$F67+1,4)+1)</x:f>
        <x:v>CT-R2</x:v>
      </x:c>
      <x:c r="J67" s="46" t="str">
        <x:f>"HC-R"&amp;(MOD($G67-1+$D67+$F67+2,4)+1)</x:f>
        <x:v>HC-R3</x:v>
      </x:c>
      <x:c r="K67" s="46" t="str">
        <x:f>"LF-R"&amp;(MOD($G67-1+$D67+$F67+3,4)+1)</x:f>
        <x:v>LF-R4</x:v>
      </x:c>
      <x:c r="L67" s="46" t="str">
        <x:f>"HU-R"&amp;(MOD($G67-1+$D67+$F67+1,4)+1)</x:f>
        <x:v>HU-R2</x:v>
      </x:c>
      <x:c r="M67" s="46" t="str">
        <x:f>"RT-R"&amp;(MOD($G67-1+$D67+$F67+3,4)+1)</x:f>
        <x:v>RT-R4</x:v>
      </x:c>
      <x:c r="N67" s="46" t="n">
        <x:f>Controls!$C$20</x:f>
        <x:v>6</x:v>
      </x:c>
      <x:c r="O67" s="46" t="n">
        <x:f>Controls!$C$27</x:f>
        <x:v>15</x:v>
      </x:c>
      <x:c r="P67" s="46" t="str">
        <x:v>PLANNED</x:v>
      </x:c>
      <x:c r="Q67" s="63"/>
    </x:row>
    <x:row r="68">
      <x:c r="B68" s="46" t="str">
        <x:v>JM-063</x:v>
      </x:c>
      <x:c r="C68" s="46" t="str">
        <x:v>M3</x:v>
      </x:c>
      <x:c r="D68" s="46" t="n">
        <x:v>6</x:v>
      </x:c>
      <x:c r="E68" s="46" t="str">
        <x:v>SITE-1</x:v>
      </x:c>
      <x:c r="F68" s="46" t="n">
        <x:v>1</x:v>
      </x:c>
      <x:c r="G68" s="46" t="n">
        <x:v>3</x:v>
      </x:c>
      <x:c r="H68" s="46" t="str">
        <x:f>"ET-R"&amp;(MOD($G68-1+$D68+$F68+0,4)+1)</x:f>
        <x:v>ET-R2</x:v>
      </x:c>
      <x:c r="I68" s="46" t="str">
        <x:f>"CT-R"&amp;(MOD($G68-1+$D68+$F68+1,4)+1)</x:f>
        <x:v>CT-R3</x:v>
      </x:c>
      <x:c r="J68" s="46" t="str">
        <x:f>"HC-R"&amp;(MOD($G68-1+$D68+$F68+2,4)+1)</x:f>
        <x:v>HC-R4</x:v>
      </x:c>
      <x:c r="K68" s="46" t="str">
        <x:f>"LF-R"&amp;(MOD($G68-1+$D68+$F68+3,4)+1)</x:f>
        <x:v>LF-R1</x:v>
      </x:c>
      <x:c r="L68" s="46" t="str">
        <x:f>"HU-R"&amp;(MOD($G68-1+$D68+$F68+1,4)+1)</x:f>
        <x:v>HU-R3</x:v>
      </x:c>
      <x:c r="M68" s="46" t="str">
        <x:f>"RT-R"&amp;(MOD($G68-1+$D68+$F68+3,4)+1)</x:f>
        <x:v>RT-R1</x:v>
      </x:c>
      <x:c r="N68" s="46" t="n">
        <x:f>Controls!$C$20</x:f>
        <x:v>6</x:v>
      </x:c>
      <x:c r="O68" s="46" t="n">
        <x:f>Controls!$C$27</x:f>
        <x:v>15</x:v>
      </x:c>
      <x:c r="P68" s="46" t="str">
        <x:v>PLANNED</x:v>
      </x:c>
      <x:c r="Q68" s="63"/>
    </x:row>
    <x:row r="69">
      <x:c r="B69" s="46" t="str">
        <x:v>JM-064</x:v>
      </x:c>
      <x:c r="C69" s="46" t="str">
        <x:v>M3</x:v>
      </x:c>
      <x:c r="D69" s="46" t="n">
        <x:v>6</x:v>
      </x:c>
      <x:c r="E69" s="46" t="str">
        <x:v>SITE-1</x:v>
      </x:c>
      <x:c r="F69" s="46" t="n">
        <x:v>1</x:v>
      </x:c>
      <x:c r="G69" s="46" t="n">
        <x:v>4</x:v>
      </x:c>
      <x:c r="H69" s="46" t="str">
        <x:f>"ET-R"&amp;(MOD($G69-1+$D69+$F69+0,4)+1)</x:f>
        <x:v>ET-R3</x:v>
      </x:c>
      <x:c r="I69" s="46" t="str">
        <x:f>"CT-R"&amp;(MOD($G69-1+$D69+$F69+1,4)+1)</x:f>
        <x:v>CT-R4</x:v>
      </x:c>
      <x:c r="J69" s="46" t="str">
        <x:f>"HC-R"&amp;(MOD($G69-1+$D69+$F69+2,4)+1)</x:f>
        <x:v>HC-R1</x:v>
      </x:c>
      <x:c r="K69" s="46" t="str">
        <x:f>"LF-R"&amp;(MOD($G69-1+$D69+$F69+3,4)+1)</x:f>
        <x:v>LF-R2</x:v>
      </x:c>
      <x:c r="L69" s="46" t="str">
        <x:f>"HU-R"&amp;(MOD($G69-1+$D69+$F69+1,4)+1)</x:f>
        <x:v>HU-R4</x:v>
      </x:c>
      <x:c r="M69" s="46" t="str">
        <x:f>"RT-R"&amp;(MOD($G69-1+$D69+$F69+3,4)+1)</x:f>
        <x:v>RT-R2</x:v>
      </x:c>
      <x:c r="N69" s="46" t="n">
        <x:f>Controls!$C$20</x:f>
        <x:v>6</x:v>
      </x:c>
      <x:c r="O69" s="46" t="n">
        <x:f>Controls!$C$27</x:f>
        <x:v>15</x:v>
      </x:c>
      <x:c r="P69" s="46" t="str">
        <x:v>PLANNED</x:v>
      </x:c>
      <x:c r="Q69" s="63"/>
    </x:row>
    <x:row r="70">
      <x:c r="B70" s="46" t="str">
        <x:v>JM-065</x:v>
      </x:c>
      <x:c r="C70" s="46" t="str">
        <x:v>M3</x:v>
      </x:c>
      <x:c r="D70" s="46" t="n">
        <x:v>6</x:v>
      </x:c>
      <x:c r="E70" s="46" t="str">
        <x:v>SITE-2</x:v>
      </x:c>
      <x:c r="F70" s="46" t="n">
        <x:v>2</x:v>
      </x:c>
      <x:c r="G70" s="46" t="n">
        <x:v>1</x:v>
      </x:c>
      <x:c r="H70" s="46" t="str">
        <x:f>"ET-R"&amp;(MOD($G70-1+$D70+$F70+0,4)+1)</x:f>
        <x:v>ET-R1</x:v>
      </x:c>
      <x:c r="I70" s="46" t="str">
        <x:f>"CT-R"&amp;(MOD($G70-1+$D70+$F70+1,4)+1)</x:f>
        <x:v>CT-R2</x:v>
      </x:c>
      <x:c r="J70" s="46" t="str">
        <x:f>"HC-R"&amp;(MOD($G70-1+$D70+$F70+2,4)+1)</x:f>
        <x:v>HC-R3</x:v>
      </x:c>
      <x:c r="K70" s="46" t="str">
        <x:f>"LF-R"&amp;(MOD($G70-1+$D70+$F70+3,4)+1)</x:f>
        <x:v>LF-R4</x:v>
      </x:c>
      <x:c r="L70" s="46" t="str">
        <x:f>"HU-R"&amp;(MOD($G70-1+$D70+$F70+1,4)+1)</x:f>
        <x:v>HU-R2</x:v>
      </x:c>
      <x:c r="M70" s="46" t="str">
        <x:f>"RT-R"&amp;(MOD($G70-1+$D70+$F70+3,4)+1)</x:f>
        <x:v>RT-R4</x:v>
      </x:c>
      <x:c r="N70" s="46" t="n">
        <x:f>Controls!$C$20</x:f>
        <x:v>6</x:v>
      </x:c>
      <x:c r="O70" s="46" t="n">
        <x:f>Controls!$C$27</x:f>
        <x:v>15</x:v>
      </x:c>
      <x:c r="P70" s="46" t="str">
        <x:v>PLANNED</x:v>
      </x:c>
      <x:c r="Q70" s="63"/>
    </x:row>
    <x:row r="71">
      <x:c r="B71" s="46" t="str">
        <x:v>JM-066</x:v>
      </x:c>
      <x:c r="C71" s="46" t="str">
        <x:v>M3</x:v>
      </x:c>
      <x:c r="D71" s="46" t="n">
        <x:v>6</x:v>
      </x:c>
      <x:c r="E71" s="46" t="str">
        <x:v>SITE-2</x:v>
      </x:c>
      <x:c r="F71" s="46" t="n">
        <x:v>2</x:v>
      </x:c>
      <x:c r="G71" s="46" t="n">
        <x:v>2</x:v>
      </x:c>
      <x:c r="H71" s="46" t="str">
        <x:f>"ET-R"&amp;(MOD($G71-1+$D71+$F71+0,4)+1)</x:f>
        <x:v>ET-R2</x:v>
      </x:c>
      <x:c r="I71" s="46" t="str">
        <x:f>"CT-R"&amp;(MOD($G71-1+$D71+$F71+1,4)+1)</x:f>
        <x:v>CT-R3</x:v>
      </x:c>
      <x:c r="J71" s="46" t="str">
        <x:f>"HC-R"&amp;(MOD($G71-1+$D71+$F71+2,4)+1)</x:f>
        <x:v>HC-R4</x:v>
      </x:c>
      <x:c r="K71" s="46" t="str">
        <x:f>"LF-R"&amp;(MOD($G71-1+$D71+$F71+3,4)+1)</x:f>
        <x:v>LF-R1</x:v>
      </x:c>
      <x:c r="L71" s="46" t="str">
        <x:f>"HU-R"&amp;(MOD($G71-1+$D71+$F71+1,4)+1)</x:f>
        <x:v>HU-R3</x:v>
      </x:c>
      <x:c r="M71" s="46" t="str">
        <x:f>"RT-R"&amp;(MOD($G71-1+$D71+$F71+3,4)+1)</x:f>
        <x:v>RT-R1</x:v>
      </x:c>
      <x:c r="N71" s="46" t="n">
        <x:f>Controls!$C$20</x:f>
        <x:v>6</x:v>
      </x:c>
      <x:c r="O71" s="46" t="n">
        <x:f>Controls!$C$27</x:f>
        <x:v>15</x:v>
      </x:c>
      <x:c r="P71" s="46" t="str">
        <x:v>PLANNED</x:v>
      </x:c>
      <x:c r="Q71" s="63"/>
    </x:row>
    <x:row r="72">
      <x:c r="B72" s="46" t="str">
        <x:v>JM-067</x:v>
      </x:c>
      <x:c r="C72" s="46" t="str">
        <x:v>M3</x:v>
      </x:c>
      <x:c r="D72" s="46" t="n">
        <x:v>6</x:v>
      </x:c>
      <x:c r="E72" s="46" t="str">
        <x:v>SITE-2</x:v>
      </x:c>
      <x:c r="F72" s="46" t="n">
        <x:v>2</x:v>
      </x:c>
      <x:c r="G72" s="46" t="n">
        <x:v>3</x:v>
      </x:c>
      <x:c r="H72" s="46" t="str">
        <x:f>"ET-R"&amp;(MOD($G72-1+$D72+$F72+0,4)+1)</x:f>
        <x:v>ET-R3</x:v>
      </x:c>
      <x:c r="I72" s="46" t="str">
        <x:f>"CT-R"&amp;(MOD($G72-1+$D72+$F72+1,4)+1)</x:f>
        <x:v>CT-R4</x:v>
      </x:c>
      <x:c r="J72" s="46" t="str">
        <x:f>"HC-R"&amp;(MOD($G72-1+$D72+$F72+2,4)+1)</x:f>
        <x:v>HC-R1</x:v>
      </x:c>
      <x:c r="K72" s="46" t="str">
        <x:f>"LF-R"&amp;(MOD($G72-1+$D72+$F72+3,4)+1)</x:f>
        <x:v>LF-R2</x:v>
      </x:c>
      <x:c r="L72" s="46" t="str">
        <x:f>"HU-R"&amp;(MOD($G72-1+$D72+$F72+1,4)+1)</x:f>
        <x:v>HU-R4</x:v>
      </x:c>
      <x:c r="M72" s="46" t="str">
        <x:f>"RT-R"&amp;(MOD($G72-1+$D72+$F72+3,4)+1)</x:f>
        <x:v>RT-R2</x:v>
      </x:c>
      <x:c r="N72" s="46" t="n">
        <x:f>Controls!$C$20</x:f>
        <x:v>6</x:v>
      </x:c>
      <x:c r="O72" s="46" t="n">
        <x:f>Controls!$C$27</x:f>
        <x:v>15</x:v>
      </x:c>
      <x:c r="P72" s="46" t="str">
        <x:v>PLANNED</x:v>
      </x:c>
      <x:c r="Q72" s="63"/>
    </x:row>
    <x:row r="73">
      <x:c r="B73" s="46" t="str">
        <x:v>JM-068</x:v>
      </x:c>
      <x:c r="C73" s="46" t="str">
        <x:v>M3</x:v>
      </x:c>
      <x:c r="D73" s="46" t="n">
        <x:v>6</x:v>
      </x:c>
      <x:c r="E73" s="46" t="str">
        <x:v>SITE-2</x:v>
      </x:c>
      <x:c r="F73" s="46" t="n">
        <x:v>2</x:v>
      </x:c>
      <x:c r="G73" s="46" t="n">
        <x:v>4</x:v>
      </x:c>
      <x:c r="H73" s="46" t="str">
        <x:f>"ET-R"&amp;(MOD($G73-1+$D73+$F73+0,4)+1)</x:f>
        <x:v>ET-R4</x:v>
      </x:c>
      <x:c r="I73" s="46" t="str">
        <x:f>"CT-R"&amp;(MOD($G73-1+$D73+$F73+1,4)+1)</x:f>
        <x:v>CT-R1</x:v>
      </x:c>
      <x:c r="J73" s="46" t="str">
        <x:f>"HC-R"&amp;(MOD($G73-1+$D73+$F73+2,4)+1)</x:f>
        <x:v>HC-R2</x:v>
      </x:c>
      <x:c r="K73" s="46" t="str">
        <x:f>"LF-R"&amp;(MOD($G73-1+$D73+$F73+3,4)+1)</x:f>
        <x:v>LF-R3</x:v>
      </x:c>
      <x:c r="L73" s="46" t="str">
        <x:f>"HU-R"&amp;(MOD($G73-1+$D73+$F73+1,4)+1)</x:f>
        <x:v>HU-R1</x:v>
      </x:c>
      <x:c r="M73" s="46" t="str">
        <x:f>"RT-R"&amp;(MOD($G73-1+$D73+$F73+3,4)+1)</x:f>
        <x:v>RT-R3</x:v>
      </x:c>
      <x:c r="N73" s="46" t="n">
        <x:f>Controls!$C$20</x:f>
        <x:v>6</x:v>
      </x:c>
      <x:c r="O73" s="46" t="n">
        <x:f>Controls!$C$27</x:f>
        <x:v>15</x:v>
      </x:c>
      <x:c r="P73" s="46" t="str">
        <x:v>PLANNED</x:v>
      </x:c>
      <x:c r="Q73" s="63"/>
    </x:row>
    <x:row r="74">
      <x:c r="B74" s="46" t="str">
        <x:v>JM-069</x:v>
      </x:c>
      <x:c r="C74" s="46" t="str">
        <x:v>M3</x:v>
      </x:c>
      <x:c r="D74" s="46" t="n">
        <x:v>6</x:v>
      </x:c>
      <x:c r="E74" s="46" t="str">
        <x:v>SITE-3</x:v>
      </x:c>
      <x:c r="F74" s="46" t="n">
        <x:v>3</x:v>
      </x:c>
      <x:c r="G74" s="46" t="n">
        <x:v>1</x:v>
      </x:c>
      <x:c r="H74" s="46" t="str">
        <x:f>"ET-R"&amp;(MOD($G74-1+$D74+$F74+0,4)+1)</x:f>
        <x:v>ET-R2</x:v>
      </x:c>
      <x:c r="I74" s="46" t="str">
        <x:f>"CT-R"&amp;(MOD($G74-1+$D74+$F74+1,4)+1)</x:f>
        <x:v>CT-R3</x:v>
      </x:c>
      <x:c r="J74" s="46" t="str">
        <x:f>"HC-R"&amp;(MOD($G74-1+$D74+$F74+2,4)+1)</x:f>
        <x:v>HC-R4</x:v>
      </x:c>
      <x:c r="K74" s="46" t="str">
        <x:f>"LF-R"&amp;(MOD($G74-1+$D74+$F74+3,4)+1)</x:f>
        <x:v>LF-R1</x:v>
      </x:c>
      <x:c r="L74" s="46" t="str">
        <x:f>"HU-R"&amp;(MOD($G74-1+$D74+$F74+1,4)+1)</x:f>
        <x:v>HU-R3</x:v>
      </x:c>
      <x:c r="M74" s="46" t="str">
        <x:f>"RT-R"&amp;(MOD($G74-1+$D74+$F74+3,4)+1)</x:f>
        <x:v>RT-R1</x:v>
      </x:c>
      <x:c r="N74" s="46" t="n">
        <x:f>Controls!$C$20</x:f>
        <x:v>6</x:v>
      </x:c>
      <x:c r="O74" s="46" t="n">
        <x:f>Controls!$C$27</x:f>
        <x:v>15</x:v>
      </x:c>
      <x:c r="P74" s="46" t="str">
        <x:v>PLANNED</x:v>
      </x:c>
      <x:c r="Q74" s="63"/>
    </x:row>
    <x:row r="75">
      <x:c r="B75" s="46" t="str">
        <x:v>JM-070</x:v>
      </x:c>
      <x:c r="C75" s="46" t="str">
        <x:v>M3</x:v>
      </x:c>
      <x:c r="D75" s="46" t="n">
        <x:v>6</x:v>
      </x:c>
      <x:c r="E75" s="46" t="str">
        <x:v>SITE-3</x:v>
      </x:c>
      <x:c r="F75" s="46" t="n">
        <x:v>3</x:v>
      </x:c>
      <x:c r="G75" s="46" t="n">
        <x:v>2</x:v>
      </x:c>
      <x:c r="H75" s="46" t="str">
        <x:f>"ET-R"&amp;(MOD($G75-1+$D75+$F75+0,4)+1)</x:f>
        <x:v>ET-R3</x:v>
      </x:c>
      <x:c r="I75" s="46" t="str">
        <x:f>"CT-R"&amp;(MOD($G75-1+$D75+$F75+1,4)+1)</x:f>
        <x:v>CT-R4</x:v>
      </x:c>
      <x:c r="J75" s="46" t="str">
        <x:f>"HC-R"&amp;(MOD($G75-1+$D75+$F75+2,4)+1)</x:f>
        <x:v>HC-R1</x:v>
      </x:c>
      <x:c r="K75" s="46" t="str">
        <x:f>"LF-R"&amp;(MOD($G75-1+$D75+$F75+3,4)+1)</x:f>
        <x:v>LF-R2</x:v>
      </x:c>
      <x:c r="L75" s="46" t="str">
        <x:f>"HU-R"&amp;(MOD($G75-1+$D75+$F75+1,4)+1)</x:f>
        <x:v>HU-R4</x:v>
      </x:c>
      <x:c r="M75" s="46" t="str">
        <x:f>"RT-R"&amp;(MOD($G75-1+$D75+$F75+3,4)+1)</x:f>
        <x:v>RT-R2</x:v>
      </x:c>
      <x:c r="N75" s="46" t="n">
        <x:f>Controls!$C$20</x:f>
        <x:v>6</x:v>
      </x:c>
      <x:c r="O75" s="46" t="n">
        <x:f>Controls!$C$27</x:f>
        <x:v>15</x:v>
      </x:c>
      <x:c r="P75" s="46" t="str">
        <x:v>PLANNED</x:v>
      </x:c>
      <x:c r="Q75" s="63"/>
    </x:row>
    <x:row r="76">
      <x:c r="B76" s="46" t="str">
        <x:v>JM-071</x:v>
      </x:c>
      <x:c r="C76" s="46" t="str">
        <x:v>M3</x:v>
      </x:c>
      <x:c r="D76" s="46" t="n">
        <x:v>6</x:v>
      </x:c>
      <x:c r="E76" s="46" t="str">
        <x:v>SITE-3</x:v>
      </x:c>
      <x:c r="F76" s="46" t="n">
        <x:v>3</x:v>
      </x:c>
      <x:c r="G76" s="46" t="n">
        <x:v>3</x:v>
      </x:c>
      <x:c r="H76" s="46" t="str">
        <x:f>"ET-R"&amp;(MOD($G76-1+$D76+$F76+0,4)+1)</x:f>
        <x:v>ET-R4</x:v>
      </x:c>
      <x:c r="I76" s="46" t="str">
        <x:f>"CT-R"&amp;(MOD($G76-1+$D76+$F76+1,4)+1)</x:f>
        <x:v>CT-R1</x:v>
      </x:c>
      <x:c r="J76" s="46" t="str">
        <x:f>"HC-R"&amp;(MOD($G76-1+$D76+$F76+2,4)+1)</x:f>
        <x:v>HC-R2</x:v>
      </x:c>
      <x:c r="K76" s="46" t="str">
        <x:f>"LF-R"&amp;(MOD($G76-1+$D76+$F76+3,4)+1)</x:f>
        <x:v>LF-R3</x:v>
      </x:c>
      <x:c r="L76" s="46" t="str">
        <x:f>"HU-R"&amp;(MOD($G76-1+$D76+$F76+1,4)+1)</x:f>
        <x:v>HU-R1</x:v>
      </x:c>
      <x:c r="M76" s="46" t="str">
        <x:f>"RT-R"&amp;(MOD($G76-1+$D76+$F76+3,4)+1)</x:f>
        <x:v>RT-R3</x:v>
      </x:c>
      <x:c r="N76" s="46" t="n">
        <x:f>Controls!$C$20</x:f>
        <x:v>6</x:v>
      </x:c>
      <x:c r="O76" s="46" t="n">
        <x:f>Controls!$C$27</x:f>
        <x:v>15</x:v>
      </x:c>
      <x:c r="P76" s="46" t="str">
        <x:v>PLANNED</x:v>
      </x:c>
      <x:c r="Q76" s="63"/>
    </x:row>
    <x:row r="77">
      <x:c r="B77" s="46" t="str">
        <x:v>JM-072</x:v>
      </x:c>
      <x:c r="C77" s="46" t="str">
        <x:v>M3</x:v>
      </x:c>
      <x:c r="D77" s="46" t="n">
        <x:v>6</x:v>
      </x:c>
      <x:c r="E77" s="46" t="str">
        <x:v>SITE-3</x:v>
      </x:c>
      <x:c r="F77" s="46" t="n">
        <x:v>3</x:v>
      </x:c>
      <x:c r="G77" s="46" t="n">
        <x:v>4</x:v>
      </x:c>
      <x:c r="H77" s="46" t="str">
        <x:f>"ET-R"&amp;(MOD($G77-1+$D77+$F77+0,4)+1)</x:f>
        <x:v>ET-R1</x:v>
      </x:c>
      <x:c r="I77" s="46" t="str">
        <x:f>"CT-R"&amp;(MOD($G77-1+$D77+$F77+1,4)+1)</x:f>
        <x:v>CT-R2</x:v>
      </x:c>
      <x:c r="J77" s="46" t="str">
        <x:f>"HC-R"&amp;(MOD($G77-1+$D77+$F77+2,4)+1)</x:f>
        <x:v>HC-R3</x:v>
      </x:c>
      <x:c r="K77" s="46" t="str">
        <x:f>"LF-R"&amp;(MOD($G77-1+$D77+$F77+3,4)+1)</x:f>
        <x:v>LF-R4</x:v>
      </x:c>
      <x:c r="L77" s="46" t="str">
        <x:f>"HU-R"&amp;(MOD($G77-1+$D77+$F77+1,4)+1)</x:f>
        <x:v>HU-R2</x:v>
      </x:c>
      <x:c r="M77" s="46" t="str">
        <x:f>"RT-R"&amp;(MOD($G77-1+$D77+$F77+3,4)+1)</x:f>
        <x:v>RT-R4</x:v>
      </x:c>
      <x:c r="N77" s="46" t="n">
        <x:f>Controls!$C$20</x:f>
        <x:v>6</x:v>
      </x:c>
      <x:c r="O77" s="46" t="n">
        <x:f>Controls!$C$27</x:f>
        <x:v>15</x:v>
      </x:c>
      <x:c r="P77" s="46" t="str">
        <x:v>PLANNED</x:v>
      </x:c>
      <x:c r="Q77" s="63"/>
    </x:row>
    <x:row r="78">
      <x:c r="B78" s="46" t="str">
        <x:v>JM-073</x:v>
      </x:c>
      <x:c r="C78" s="46" t="str">
        <x:v>M4</x:v>
      </x:c>
      <x:c r="D78" s="46" t="n">
        <x:v>7</x:v>
      </x:c>
      <x:c r="E78" s="46" t="str">
        <x:v>SITE-1</x:v>
      </x:c>
      <x:c r="F78" s="46" t="n">
        <x:v>1</x:v>
      </x:c>
      <x:c r="G78" s="46" t="n">
        <x:v>1</x:v>
      </x:c>
      <x:c r="H78" s="46" t="str">
        <x:f>"ET-R"&amp;(MOD($G78-1+$D78+$F78+0,4)+1)</x:f>
        <x:v>ET-R1</x:v>
      </x:c>
      <x:c r="I78" s="46" t="str">
        <x:f>"CT-R"&amp;(MOD($G78-1+$D78+$F78+1,4)+1)</x:f>
        <x:v>CT-R2</x:v>
      </x:c>
      <x:c r="J78" s="46" t="str">
        <x:f>"HC-R"&amp;(MOD($G78-1+$D78+$F78+2,4)+1)</x:f>
        <x:v>HC-R3</x:v>
      </x:c>
      <x:c r="K78" s="46" t="str">
        <x:f>"LF-R"&amp;(MOD($G78-1+$D78+$F78+3,4)+1)</x:f>
        <x:v>LF-R4</x:v>
      </x:c>
      <x:c r="L78" s="46" t="str">
        <x:f>"HU-R"&amp;(MOD($G78-1+$D78+$F78+1,4)+1)</x:f>
        <x:v>HU-R2</x:v>
      </x:c>
      <x:c r="M78" s="46" t="str">
        <x:f>"RT-R"&amp;(MOD($G78-1+$D78+$F78+3,4)+1)</x:f>
        <x:v>RT-R4</x:v>
      </x:c>
      <x:c r="N78" s="46" t="n">
        <x:f>Controls!$C$20</x:f>
        <x:v>6</x:v>
      </x:c>
      <x:c r="O78" s="46" t="n">
        <x:f>Controls!$C$27</x:f>
        <x:v>15</x:v>
      </x:c>
      <x:c r="P78" s="46" t="str">
        <x:v>PLANNED</x:v>
      </x:c>
      <x:c r="Q78" s="63"/>
    </x:row>
    <x:row r="79">
      <x:c r="B79" s="46" t="str">
        <x:v>JM-074</x:v>
      </x:c>
      <x:c r="C79" s="46" t="str">
        <x:v>M4</x:v>
      </x:c>
      <x:c r="D79" s="46" t="n">
        <x:v>7</x:v>
      </x:c>
      <x:c r="E79" s="46" t="str">
        <x:v>SITE-1</x:v>
      </x:c>
      <x:c r="F79" s="46" t="n">
        <x:v>1</x:v>
      </x:c>
      <x:c r="G79" s="46" t="n">
        <x:v>2</x:v>
      </x:c>
      <x:c r="H79" s="46" t="str">
        <x:f>"ET-R"&amp;(MOD($G79-1+$D79+$F79+0,4)+1)</x:f>
        <x:v>ET-R2</x:v>
      </x:c>
      <x:c r="I79" s="46" t="str">
        <x:f>"CT-R"&amp;(MOD($G79-1+$D79+$F79+1,4)+1)</x:f>
        <x:v>CT-R3</x:v>
      </x:c>
      <x:c r="J79" s="46" t="str">
        <x:f>"HC-R"&amp;(MOD($G79-1+$D79+$F79+2,4)+1)</x:f>
        <x:v>HC-R4</x:v>
      </x:c>
      <x:c r="K79" s="46" t="str">
        <x:f>"LF-R"&amp;(MOD($G79-1+$D79+$F79+3,4)+1)</x:f>
        <x:v>LF-R1</x:v>
      </x:c>
      <x:c r="L79" s="46" t="str">
        <x:f>"HU-R"&amp;(MOD($G79-1+$D79+$F79+1,4)+1)</x:f>
        <x:v>HU-R3</x:v>
      </x:c>
      <x:c r="M79" s="46" t="str">
        <x:f>"RT-R"&amp;(MOD($G79-1+$D79+$F79+3,4)+1)</x:f>
        <x:v>RT-R1</x:v>
      </x:c>
      <x:c r="N79" s="46" t="n">
        <x:f>Controls!$C$20</x:f>
        <x:v>6</x:v>
      </x:c>
      <x:c r="O79" s="46" t="n">
        <x:f>Controls!$C$27</x:f>
        <x:v>15</x:v>
      </x:c>
      <x:c r="P79" s="46" t="str">
        <x:v>PLANNED</x:v>
      </x:c>
      <x:c r="Q79" s="63"/>
    </x:row>
    <x:row r="80">
      <x:c r="B80" s="46" t="str">
        <x:v>JM-075</x:v>
      </x:c>
      <x:c r="C80" s="46" t="str">
        <x:v>M4</x:v>
      </x:c>
      <x:c r="D80" s="46" t="n">
        <x:v>7</x:v>
      </x:c>
      <x:c r="E80" s="46" t="str">
        <x:v>SITE-1</x:v>
      </x:c>
      <x:c r="F80" s="46" t="n">
        <x:v>1</x:v>
      </x:c>
      <x:c r="G80" s="46" t="n">
        <x:v>3</x:v>
      </x:c>
      <x:c r="H80" s="46" t="str">
        <x:f>"ET-R"&amp;(MOD($G80-1+$D80+$F80+0,4)+1)</x:f>
        <x:v>ET-R3</x:v>
      </x:c>
      <x:c r="I80" s="46" t="str">
        <x:f>"CT-R"&amp;(MOD($G80-1+$D80+$F80+1,4)+1)</x:f>
        <x:v>CT-R4</x:v>
      </x:c>
      <x:c r="J80" s="46" t="str">
        <x:f>"HC-R"&amp;(MOD($G80-1+$D80+$F80+2,4)+1)</x:f>
        <x:v>HC-R1</x:v>
      </x:c>
      <x:c r="K80" s="46" t="str">
        <x:f>"LF-R"&amp;(MOD($G80-1+$D80+$F80+3,4)+1)</x:f>
        <x:v>LF-R2</x:v>
      </x:c>
      <x:c r="L80" s="46" t="str">
        <x:f>"HU-R"&amp;(MOD($G80-1+$D80+$F80+1,4)+1)</x:f>
        <x:v>HU-R4</x:v>
      </x:c>
      <x:c r="M80" s="46" t="str">
        <x:f>"RT-R"&amp;(MOD($G80-1+$D80+$F80+3,4)+1)</x:f>
        <x:v>RT-R2</x:v>
      </x:c>
      <x:c r="N80" s="46" t="n">
        <x:f>Controls!$C$20</x:f>
        <x:v>6</x:v>
      </x:c>
      <x:c r="O80" s="46" t="n">
        <x:f>Controls!$C$27</x:f>
        <x:v>15</x:v>
      </x:c>
      <x:c r="P80" s="46" t="str">
        <x:v>PLANNED</x:v>
      </x:c>
      <x:c r="Q80" s="63"/>
    </x:row>
    <x:row r="81">
      <x:c r="B81" s="46" t="str">
        <x:v>JM-076</x:v>
      </x:c>
      <x:c r="C81" s="46" t="str">
        <x:v>M4</x:v>
      </x:c>
      <x:c r="D81" s="46" t="n">
        <x:v>7</x:v>
      </x:c>
      <x:c r="E81" s="46" t="str">
        <x:v>SITE-1</x:v>
      </x:c>
      <x:c r="F81" s="46" t="n">
        <x:v>1</x:v>
      </x:c>
      <x:c r="G81" s="46" t="n">
        <x:v>4</x:v>
      </x:c>
      <x:c r="H81" s="46" t="str">
        <x:f>"ET-R"&amp;(MOD($G81-1+$D81+$F81+0,4)+1)</x:f>
        <x:v>ET-R4</x:v>
      </x:c>
      <x:c r="I81" s="46" t="str">
        <x:f>"CT-R"&amp;(MOD($G81-1+$D81+$F81+1,4)+1)</x:f>
        <x:v>CT-R1</x:v>
      </x:c>
      <x:c r="J81" s="46" t="str">
        <x:f>"HC-R"&amp;(MOD($G81-1+$D81+$F81+2,4)+1)</x:f>
        <x:v>HC-R2</x:v>
      </x:c>
      <x:c r="K81" s="46" t="str">
        <x:f>"LF-R"&amp;(MOD($G81-1+$D81+$F81+3,4)+1)</x:f>
        <x:v>LF-R3</x:v>
      </x:c>
      <x:c r="L81" s="46" t="str">
        <x:f>"HU-R"&amp;(MOD($G81-1+$D81+$F81+1,4)+1)</x:f>
        <x:v>HU-R1</x:v>
      </x:c>
      <x:c r="M81" s="46" t="str">
        <x:f>"RT-R"&amp;(MOD($G81-1+$D81+$F81+3,4)+1)</x:f>
        <x:v>RT-R3</x:v>
      </x:c>
      <x:c r="N81" s="46" t="n">
        <x:f>Controls!$C$20</x:f>
        <x:v>6</x:v>
      </x:c>
      <x:c r="O81" s="46" t="n">
        <x:f>Controls!$C$27</x:f>
        <x:v>15</x:v>
      </x:c>
      <x:c r="P81" s="46" t="str">
        <x:v>PLANNED</x:v>
      </x:c>
      <x:c r="Q81" s="63"/>
    </x:row>
    <x:row r="82">
      <x:c r="B82" s="46" t="str">
        <x:v>JM-077</x:v>
      </x:c>
      <x:c r="C82" s="46" t="str">
        <x:v>M4</x:v>
      </x:c>
      <x:c r="D82" s="46" t="n">
        <x:v>7</x:v>
      </x:c>
      <x:c r="E82" s="46" t="str">
        <x:v>SITE-2</x:v>
      </x:c>
      <x:c r="F82" s="46" t="n">
        <x:v>2</x:v>
      </x:c>
      <x:c r="G82" s="46" t="n">
        <x:v>1</x:v>
      </x:c>
      <x:c r="H82" s="46" t="str">
        <x:f>"ET-R"&amp;(MOD($G82-1+$D82+$F82+0,4)+1)</x:f>
        <x:v>ET-R2</x:v>
      </x:c>
      <x:c r="I82" s="46" t="str">
        <x:f>"CT-R"&amp;(MOD($G82-1+$D82+$F82+1,4)+1)</x:f>
        <x:v>CT-R3</x:v>
      </x:c>
      <x:c r="J82" s="46" t="str">
        <x:f>"HC-R"&amp;(MOD($G82-1+$D82+$F82+2,4)+1)</x:f>
        <x:v>HC-R4</x:v>
      </x:c>
      <x:c r="K82" s="46" t="str">
        <x:f>"LF-R"&amp;(MOD($G82-1+$D82+$F82+3,4)+1)</x:f>
        <x:v>LF-R1</x:v>
      </x:c>
      <x:c r="L82" s="46" t="str">
        <x:f>"HU-R"&amp;(MOD($G82-1+$D82+$F82+1,4)+1)</x:f>
        <x:v>HU-R3</x:v>
      </x:c>
      <x:c r="M82" s="46" t="str">
        <x:f>"RT-R"&amp;(MOD($G82-1+$D82+$F82+3,4)+1)</x:f>
        <x:v>RT-R1</x:v>
      </x:c>
      <x:c r="N82" s="46" t="n">
        <x:f>Controls!$C$20</x:f>
        <x:v>6</x:v>
      </x:c>
      <x:c r="O82" s="46" t="n">
        <x:f>Controls!$C$27</x:f>
        <x:v>15</x:v>
      </x:c>
      <x:c r="P82" s="46" t="str">
        <x:v>PLANNED</x:v>
      </x:c>
      <x:c r="Q82" s="63"/>
    </x:row>
    <x:row r="83">
      <x:c r="B83" s="46" t="str">
        <x:v>JM-078</x:v>
      </x:c>
      <x:c r="C83" s="46" t="str">
        <x:v>M4</x:v>
      </x:c>
      <x:c r="D83" s="46" t="n">
        <x:v>7</x:v>
      </x:c>
      <x:c r="E83" s="46" t="str">
        <x:v>SITE-2</x:v>
      </x:c>
      <x:c r="F83" s="46" t="n">
        <x:v>2</x:v>
      </x:c>
      <x:c r="G83" s="46" t="n">
        <x:v>2</x:v>
      </x:c>
      <x:c r="H83" s="46" t="str">
        <x:f>"ET-R"&amp;(MOD($G83-1+$D83+$F83+0,4)+1)</x:f>
        <x:v>ET-R3</x:v>
      </x:c>
      <x:c r="I83" s="46" t="str">
        <x:f>"CT-R"&amp;(MOD($G83-1+$D83+$F83+1,4)+1)</x:f>
        <x:v>CT-R4</x:v>
      </x:c>
      <x:c r="J83" s="46" t="str">
        <x:f>"HC-R"&amp;(MOD($G83-1+$D83+$F83+2,4)+1)</x:f>
        <x:v>HC-R1</x:v>
      </x:c>
      <x:c r="K83" s="46" t="str">
        <x:f>"LF-R"&amp;(MOD($G83-1+$D83+$F83+3,4)+1)</x:f>
        <x:v>LF-R2</x:v>
      </x:c>
      <x:c r="L83" s="46" t="str">
        <x:f>"HU-R"&amp;(MOD($G83-1+$D83+$F83+1,4)+1)</x:f>
        <x:v>HU-R4</x:v>
      </x:c>
      <x:c r="M83" s="46" t="str">
        <x:f>"RT-R"&amp;(MOD($G83-1+$D83+$F83+3,4)+1)</x:f>
        <x:v>RT-R2</x:v>
      </x:c>
      <x:c r="N83" s="46" t="n">
        <x:f>Controls!$C$20</x:f>
        <x:v>6</x:v>
      </x:c>
      <x:c r="O83" s="46" t="n">
        <x:f>Controls!$C$27</x:f>
        <x:v>15</x:v>
      </x:c>
      <x:c r="P83" s="46" t="str">
        <x:v>PLANNED</x:v>
      </x:c>
      <x:c r="Q83" s="63"/>
    </x:row>
    <x:row r="84">
      <x:c r="B84" s="46" t="str">
        <x:v>JM-079</x:v>
      </x:c>
      <x:c r="C84" s="46" t="str">
        <x:v>M4</x:v>
      </x:c>
      <x:c r="D84" s="46" t="n">
        <x:v>7</x:v>
      </x:c>
      <x:c r="E84" s="46" t="str">
        <x:v>SITE-2</x:v>
      </x:c>
      <x:c r="F84" s="46" t="n">
        <x:v>2</x:v>
      </x:c>
      <x:c r="G84" s="46" t="n">
        <x:v>3</x:v>
      </x:c>
      <x:c r="H84" s="46" t="str">
        <x:f>"ET-R"&amp;(MOD($G84-1+$D84+$F84+0,4)+1)</x:f>
        <x:v>ET-R4</x:v>
      </x:c>
      <x:c r="I84" s="46" t="str">
        <x:f>"CT-R"&amp;(MOD($G84-1+$D84+$F84+1,4)+1)</x:f>
        <x:v>CT-R1</x:v>
      </x:c>
      <x:c r="J84" s="46" t="str">
        <x:f>"HC-R"&amp;(MOD($G84-1+$D84+$F84+2,4)+1)</x:f>
        <x:v>HC-R2</x:v>
      </x:c>
      <x:c r="K84" s="46" t="str">
        <x:f>"LF-R"&amp;(MOD($G84-1+$D84+$F84+3,4)+1)</x:f>
        <x:v>LF-R3</x:v>
      </x:c>
      <x:c r="L84" s="46" t="str">
        <x:f>"HU-R"&amp;(MOD($G84-1+$D84+$F84+1,4)+1)</x:f>
        <x:v>HU-R1</x:v>
      </x:c>
      <x:c r="M84" s="46" t="str">
        <x:f>"RT-R"&amp;(MOD($G84-1+$D84+$F84+3,4)+1)</x:f>
        <x:v>RT-R3</x:v>
      </x:c>
      <x:c r="N84" s="46" t="n">
        <x:f>Controls!$C$20</x:f>
        <x:v>6</x:v>
      </x:c>
      <x:c r="O84" s="46" t="n">
        <x:f>Controls!$C$27</x:f>
        <x:v>15</x:v>
      </x:c>
      <x:c r="P84" s="46" t="str">
        <x:v>PLANNED</x:v>
      </x:c>
      <x:c r="Q84" s="63"/>
    </x:row>
    <x:row r="85">
      <x:c r="B85" s="46" t="str">
        <x:v>JM-080</x:v>
      </x:c>
      <x:c r="C85" s="46" t="str">
        <x:v>M4</x:v>
      </x:c>
      <x:c r="D85" s="46" t="n">
        <x:v>7</x:v>
      </x:c>
      <x:c r="E85" s="46" t="str">
        <x:v>SITE-2</x:v>
      </x:c>
      <x:c r="F85" s="46" t="n">
        <x:v>2</x:v>
      </x:c>
      <x:c r="G85" s="46" t="n">
        <x:v>4</x:v>
      </x:c>
      <x:c r="H85" s="46" t="str">
        <x:f>"ET-R"&amp;(MOD($G85-1+$D85+$F85+0,4)+1)</x:f>
        <x:v>ET-R1</x:v>
      </x:c>
      <x:c r="I85" s="46" t="str">
        <x:f>"CT-R"&amp;(MOD($G85-1+$D85+$F85+1,4)+1)</x:f>
        <x:v>CT-R2</x:v>
      </x:c>
      <x:c r="J85" s="46" t="str">
        <x:f>"HC-R"&amp;(MOD($G85-1+$D85+$F85+2,4)+1)</x:f>
        <x:v>HC-R3</x:v>
      </x:c>
      <x:c r="K85" s="46" t="str">
        <x:f>"LF-R"&amp;(MOD($G85-1+$D85+$F85+3,4)+1)</x:f>
        <x:v>LF-R4</x:v>
      </x:c>
      <x:c r="L85" s="46" t="str">
        <x:f>"HU-R"&amp;(MOD($G85-1+$D85+$F85+1,4)+1)</x:f>
        <x:v>HU-R2</x:v>
      </x:c>
      <x:c r="M85" s="46" t="str">
        <x:f>"RT-R"&amp;(MOD($G85-1+$D85+$F85+3,4)+1)</x:f>
        <x:v>RT-R4</x:v>
      </x:c>
      <x:c r="N85" s="46" t="n">
        <x:f>Controls!$C$20</x:f>
        <x:v>6</x:v>
      </x:c>
      <x:c r="O85" s="46" t="n">
        <x:f>Controls!$C$27</x:f>
        <x:v>15</x:v>
      </x:c>
      <x:c r="P85" s="46" t="str">
        <x:v>PLANNED</x:v>
      </x:c>
      <x:c r="Q85" s="63"/>
    </x:row>
    <x:row r="86">
      <x:c r="B86" s="46" t="str">
        <x:v>JM-081</x:v>
      </x:c>
      <x:c r="C86" s="46" t="str">
        <x:v>M4</x:v>
      </x:c>
      <x:c r="D86" s="46" t="n">
        <x:v>7</x:v>
      </x:c>
      <x:c r="E86" s="46" t="str">
        <x:v>SITE-3</x:v>
      </x:c>
      <x:c r="F86" s="46" t="n">
        <x:v>3</x:v>
      </x:c>
      <x:c r="G86" s="46" t="n">
        <x:v>1</x:v>
      </x:c>
      <x:c r="H86" s="46" t="str">
        <x:f>"ET-R"&amp;(MOD($G86-1+$D86+$F86+0,4)+1)</x:f>
        <x:v>ET-R3</x:v>
      </x:c>
      <x:c r="I86" s="46" t="str">
        <x:f>"CT-R"&amp;(MOD($G86-1+$D86+$F86+1,4)+1)</x:f>
        <x:v>CT-R4</x:v>
      </x:c>
      <x:c r="J86" s="46" t="str">
        <x:f>"HC-R"&amp;(MOD($G86-1+$D86+$F86+2,4)+1)</x:f>
        <x:v>HC-R1</x:v>
      </x:c>
      <x:c r="K86" s="46" t="str">
        <x:f>"LF-R"&amp;(MOD($G86-1+$D86+$F86+3,4)+1)</x:f>
        <x:v>LF-R2</x:v>
      </x:c>
      <x:c r="L86" s="46" t="str">
        <x:f>"HU-R"&amp;(MOD($G86-1+$D86+$F86+1,4)+1)</x:f>
        <x:v>HU-R4</x:v>
      </x:c>
      <x:c r="M86" s="46" t="str">
        <x:f>"RT-R"&amp;(MOD($G86-1+$D86+$F86+3,4)+1)</x:f>
        <x:v>RT-R2</x:v>
      </x:c>
      <x:c r="N86" s="46" t="n">
        <x:f>Controls!$C$20</x:f>
        <x:v>6</x:v>
      </x:c>
      <x:c r="O86" s="46" t="n">
        <x:f>Controls!$C$27</x:f>
        <x:v>15</x:v>
      </x:c>
      <x:c r="P86" s="46" t="str">
        <x:v>PLANNED</x:v>
      </x:c>
      <x:c r="Q86" s="63"/>
    </x:row>
    <x:row r="87">
      <x:c r="B87" s="46" t="str">
        <x:v>JM-082</x:v>
      </x:c>
      <x:c r="C87" s="46" t="str">
        <x:v>M4</x:v>
      </x:c>
      <x:c r="D87" s="46" t="n">
        <x:v>7</x:v>
      </x:c>
      <x:c r="E87" s="46" t="str">
        <x:v>SITE-3</x:v>
      </x:c>
      <x:c r="F87" s="46" t="n">
        <x:v>3</x:v>
      </x:c>
      <x:c r="G87" s="46" t="n">
        <x:v>2</x:v>
      </x:c>
      <x:c r="H87" s="46" t="str">
        <x:f>"ET-R"&amp;(MOD($G87-1+$D87+$F87+0,4)+1)</x:f>
        <x:v>ET-R4</x:v>
      </x:c>
      <x:c r="I87" s="46" t="str">
        <x:f>"CT-R"&amp;(MOD($G87-1+$D87+$F87+1,4)+1)</x:f>
        <x:v>CT-R1</x:v>
      </x:c>
      <x:c r="J87" s="46" t="str">
        <x:f>"HC-R"&amp;(MOD($G87-1+$D87+$F87+2,4)+1)</x:f>
        <x:v>HC-R2</x:v>
      </x:c>
      <x:c r="K87" s="46" t="str">
        <x:f>"LF-R"&amp;(MOD($G87-1+$D87+$F87+3,4)+1)</x:f>
        <x:v>LF-R3</x:v>
      </x:c>
      <x:c r="L87" s="46" t="str">
        <x:f>"HU-R"&amp;(MOD($G87-1+$D87+$F87+1,4)+1)</x:f>
        <x:v>HU-R1</x:v>
      </x:c>
      <x:c r="M87" s="46" t="str">
        <x:f>"RT-R"&amp;(MOD($G87-1+$D87+$F87+3,4)+1)</x:f>
        <x:v>RT-R3</x:v>
      </x:c>
      <x:c r="N87" s="46" t="n">
        <x:f>Controls!$C$20</x:f>
        <x:v>6</x:v>
      </x:c>
      <x:c r="O87" s="46" t="n">
        <x:f>Controls!$C$27</x:f>
        <x:v>15</x:v>
      </x:c>
      <x:c r="P87" s="46" t="str">
        <x:v>PLANNED</x:v>
      </x:c>
      <x:c r="Q87" s="63"/>
    </x:row>
    <x:row r="88">
      <x:c r="B88" s="46" t="str">
        <x:v>JM-083</x:v>
      </x:c>
      <x:c r="C88" s="46" t="str">
        <x:v>M4</x:v>
      </x:c>
      <x:c r="D88" s="46" t="n">
        <x:v>7</x:v>
      </x:c>
      <x:c r="E88" s="46" t="str">
        <x:v>SITE-3</x:v>
      </x:c>
      <x:c r="F88" s="46" t="n">
        <x:v>3</x:v>
      </x:c>
      <x:c r="G88" s="46" t="n">
        <x:v>3</x:v>
      </x:c>
      <x:c r="H88" s="46" t="str">
        <x:f>"ET-R"&amp;(MOD($G88-1+$D88+$F88+0,4)+1)</x:f>
        <x:v>ET-R1</x:v>
      </x:c>
      <x:c r="I88" s="46" t="str">
        <x:f>"CT-R"&amp;(MOD($G88-1+$D88+$F88+1,4)+1)</x:f>
        <x:v>CT-R2</x:v>
      </x:c>
      <x:c r="J88" s="46" t="str">
        <x:f>"HC-R"&amp;(MOD($G88-1+$D88+$F88+2,4)+1)</x:f>
        <x:v>HC-R3</x:v>
      </x:c>
      <x:c r="K88" s="46" t="str">
        <x:f>"LF-R"&amp;(MOD($G88-1+$D88+$F88+3,4)+1)</x:f>
        <x:v>LF-R4</x:v>
      </x:c>
      <x:c r="L88" s="46" t="str">
        <x:f>"HU-R"&amp;(MOD($G88-1+$D88+$F88+1,4)+1)</x:f>
        <x:v>HU-R2</x:v>
      </x:c>
      <x:c r="M88" s="46" t="str">
        <x:f>"RT-R"&amp;(MOD($G88-1+$D88+$F88+3,4)+1)</x:f>
        <x:v>RT-R4</x:v>
      </x:c>
      <x:c r="N88" s="46" t="n">
        <x:f>Controls!$C$20</x:f>
        <x:v>6</x:v>
      </x:c>
      <x:c r="O88" s="46" t="n">
        <x:f>Controls!$C$27</x:f>
        <x:v>15</x:v>
      </x:c>
      <x:c r="P88" s="46" t="str">
        <x:v>PLANNED</x:v>
      </x:c>
      <x:c r="Q88" s="63"/>
    </x:row>
    <x:row r="89">
      <x:c r="B89" s="46" t="str">
        <x:v>JM-084</x:v>
      </x:c>
      <x:c r="C89" s="46" t="str">
        <x:v>M4</x:v>
      </x:c>
      <x:c r="D89" s="46" t="n">
        <x:v>7</x:v>
      </x:c>
      <x:c r="E89" s="46" t="str">
        <x:v>SITE-3</x:v>
      </x:c>
      <x:c r="F89" s="46" t="n">
        <x:v>3</x:v>
      </x:c>
      <x:c r="G89" s="46" t="n">
        <x:v>4</x:v>
      </x:c>
      <x:c r="H89" s="46" t="str">
        <x:f>"ET-R"&amp;(MOD($G89-1+$D89+$F89+0,4)+1)</x:f>
        <x:v>ET-R2</x:v>
      </x:c>
      <x:c r="I89" s="46" t="str">
        <x:f>"CT-R"&amp;(MOD($G89-1+$D89+$F89+1,4)+1)</x:f>
        <x:v>CT-R3</x:v>
      </x:c>
      <x:c r="J89" s="46" t="str">
        <x:f>"HC-R"&amp;(MOD($G89-1+$D89+$F89+2,4)+1)</x:f>
        <x:v>HC-R4</x:v>
      </x:c>
      <x:c r="K89" s="46" t="str">
        <x:f>"LF-R"&amp;(MOD($G89-1+$D89+$F89+3,4)+1)</x:f>
        <x:v>LF-R1</x:v>
      </x:c>
      <x:c r="L89" s="46" t="str">
        <x:f>"HU-R"&amp;(MOD($G89-1+$D89+$F89+1,4)+1)</x:f>
        <x:v>HU-R3</x:v>
      </x:c>
      <x:c r="M89" s="46" t="str">
        <x:f>"RT-R"&amp;(MOD($G89-1+$D89+$F89+3,4)+1)</x:f>
        <x:v>RT-R1</x:v>
      </x:c>
      <x:c r="N89" s="46" t="n">
        <x:f>Controls!$C$20</x:f>
        <x:v>6</x:v>
      </x:c>
      <x:c r="O89" s="46" t="n">
        <x:f>Controls!$C$27</x:f>
        <x:v>15</x:v>
      </x:c>
      <x:c r="P89" s="46" t="str">
        <x:v>PLANNED</x:v>
      </x:c>
      <x:c r="Q89" s="63"/>
    </x:row>
    <x:row r="90">
      <x:c r="B90" s="46" t="str">
        <x:v>JM-085</x:v>
      </x:c>
      <x:c r="C90" s="46" t="str">
        <x:v>M5</x:v>
      </x:c>
      <x:c r="D90" s="46" t="n">
        <x:v>8</x:v>
      </x:c>
      <x:c r="E90" s="46" t="str">
        <x:v>SITE-1</x:v>
      </x:c>
      <x:c r="F90" s="46" t="n">
        <x:v>1</x:v>
      </x:c>
      <x:c r="G90" s="46" t="n">
        <x:v>1</x:v>
      </x:c>
      <x:c r="H90" s="46" t="str">
        <x:f>"ET-R"&amp;(MOD($G90-1+$D90+$F90+0,4)+1)</x:f>
        <x:v>ET-R2</x:v>
      </x:c>
      <x:c r="I90" s="46" t="str">
        <x:f>"CT-R"&amp;(MOD($G90-1+$D90+$F90+1,4)+1)</x:f>
        <x:v>CT-R3</x:v>
      </x:c>
      <x:c r="J90" s="46" t="str">
        <x:f>"HC-R"&amp;(MOD($G90-1+$D90+$F90+2,4)+1)</x:f>
        <x:v>HC-R4</x:v>
      </x:c>
      <x:c r="K90" s="46" t="str">
        <x:f>"LF-R"&amp;(MOD($G90-1+$D90+$F90+3,4)+1)</x:f>
        <x:v>LF-R1</x:v>
      </x:c>
      <x:c r="L90" s="46" t="str">
        <x:f>"HU-R"&amp;(MOD($G90-1+$D90+$F90+1,4)+1)</x:f>
        <x:v>HU-R3</x:v>
      </x:c>
      <x:c r="M90" s="46" t="str">
        <x:f>"RT-R"&amp;(MOD($G90-1+$D90+$F90+3,4)+1)</x:f>
        <x:v>RT-R1</x:v>
      </x:c>
      <x:c r="N90" s="46" t="n">
        <x:f>Controls!$C$20</x:f>
        <x:v>6</x:v>
      </x:c>
      <x:c r="O90" s="46" t="n">
        <x:f>Controls!$C$27</x:f>
        <x:v>15</x:v>
      </x:c>
      <x:c r="P90" s="46" t="str">
        <x:v>PLANNED</x:v>
      </x:c>
      <x:c r="Q90" s="63"/>
    </x:row>
    <x:row r="91">
      <x:c r="B91" s="46" t="str">
        <x:v>JM-086</x:v>
      </x:c>
      <x:c r="C91" s="46" t="str">
        <x:v>M5</x:v>
      </x:c>
      <x:c r="D91" s="46" t="n">
        <x:v>8</x:v>
      </x:c>
      <x:c r="E91" s="46" t="str">
        <x:v>SITE-1</x:v>
      </x:c>
      <x:c r="F91" s="46" t="n">
        <x:v>1</x:v>
      </x:c>
      <x:c r="G91" s="46" t="n">
        <x:v>2</x:v>
      </x:c>
      <x:c r="H91" s="46" t="str">
        <x:f>"ET-R"&amp;(MOD($G91-1+$D91+$F91+0,4)+1)</x:f>
        <x:v>ET-R3</x:v>
      </x:c>
      <x:c r="I91" s="46" t="str">
        <x:f>"CT-R"&amp;(MOD($G91-1+$D91+$F91+1,4)+1)</x:f>
        <x:v>CT-R4</x:v>
      </x:c>
      <x:c r="J91" s="46" t="str">
        <x:f>"HC-R"&amp;(MOD($G91-1+$D91+$F91+2,4)+1)</x:f>
        <x:v>HC-R1</x:v>
      </x:c>
      <x:c r="K91" s="46" t="str">
        <x:f>"LF-R"&amp;(MOD($G91-1+$D91+$F91+3,4)+1)</x:f>
        <x:v>LF-R2</x:v>
      </x:c>
      <x:c r="L91" s="46" t="str">
        <x:f>"HU-R"&amp;(MOD($G91-1+$D91+$F91+1,4)+1)</x:f>
        <x:v>HU-R4</x:v>
      </x:c>
      <x:c r="M91" s="46" t="str">
        <x:f>"RT-R"&amp;(MOD($G91-1+$D91+$F91+3,4)+1)</x:f>
        <x:v>RT-R2</x:v>
      </x:c>
      <x:c r="N91" s="46" t="n">
        <x:f>Controls!$C$20</x:f>
        <x:v>6</x:v>
      </x:c>
      <x:c r="O91" s="46" t="n">
        <x:f>Controls!$C$27</x:f>
        <x:v>15</x:v>
      </x:c>
      <x:c r="P91" s="46" t="str">
        <x:v>PLANNED</x:v>
      </x:c>
      <x:c r="Q91" s="63"/>
    </x:row>
    <x:row r="92">
      <x:c r="B92" s="46" t="str">
        <x:v>JM-087</x:v>
      </x:c>
      <x:c r="C92" s="46" t="str">
        <x:v>M5</x:v>
      </x:c>
      <x:c r="D92" s="46" t="n">
        <x:v>8</x:v>
      </x:c>
      <x:c r="E92" s="46" t="str">
        <x:v>SITE-1</x:v>
      </x:c>
      <x:c r="F92" s="46" t="n">
        <x:v>1</x:v>
      </x:c>
      <x:c r="G92" s="46" t="n">
        <x:v>3</x:v>
      </x:c>
      <x:c r="H92" s="46" t="str">
        <x:f>"ET-R"&amp;(MOD($G92-1+$D92+$F92+0,4)+1)</x:f>
        <x:v>ET-R4</x:v>
      </x:c>
      <x:c r="I92" s="46" t="str">
        <x:f>"CT-R"&amp;(MOD($G92-1+$D92+$F92+1,4)+1)</x:f>
        <x:v>CT-R1</x:v>
      </x:c>
      <x:c r="J92" s="46" t="str">
        <x:f>"HC-R"&amp;(MOD($G92-1+$D92+$F92+2,4)+1)</x:f>
        <x:v>HC-R2</x:v>
      </x:c>
      <x:c r="K92" s="46" t="str">
        <x:f>"LF-R"&amp;(MOD($G92-1+$D92+$F92+3,4)+1)</x:f>
        <x:v>LF-R3</x:v>
      </x:c>
      <x:c r="L92" s="46" t="str">
        <x:f>"HU-R"&amp;(MOD($G92-1+$D92+$F92+1,4)+1)</x:f>
        <x:v>HU-R1</x:v>
      </x:c>
      <x:c r="M92" s="46" t="str">
        <x:f>"RT-R"&amp;(MOD($G92-1+$D92+$F92+3,4)+1)</x:f>
        <x:v>RT-R3</x:v>
      </x:c>
      <x:c r="N92" s="46" t="n">
        <x:f>Controls!$C$20</x:f>
        <x:v>6</x:v>
      </x:c>
      <x:c r="O92" s="46" t="n">
        <x:f>Controls!$C$27</x:f>
        <x:v>15</x:v>
      </x:c>
      <x:c r="P92" s="46" t="str">
        <x:v>PLANNED</x:v>
      </x:c>
      <x:c r="Q92" s="63"/>
    </x:row>
    <x:row r="93">
      <x:c r="B93" s="46" t="str">
        <x:v>JM-088</x:v>
      </x:c>
      <x:c r="C93" s="46" t="str">
        <x:v>M5</x:v>
      </x:c>
      <x:c r="D93" s="46" t="n">
        <x:v>8</x:v>
      </x:c>
      <x:c r="E93" s="46" t="str">
        <x:v>SITE-1</x:v>
      </x:c>
      <x:c r="F93" s="46" t="n">
        <x:v>1</x:v>
      </x:c>
      <x:c r="G93" s="46" t="n">
        <x:v>4</x:v>
      </x:c>
      <x:c r="H93" s="46" t="str">
        <x:f>"ET-R"&amp;(MOD($G93-1+$D93+$F93+0,4)+1)</x:f>
        <x:v>ET-R1</x:v>
      </x:c>
      <x:c r="I93" s="46" t="str">
        <x:f>"CT-R"&amp;(MOD($G93-1+$D93+$F93+1,4)+1)</x:f>
        <x:v>CT-R2</x:v>
      </x:c>
      <x:c r="J93" s="46" t="str">
        <x:f>"HC-R"&amp;(MOD($G93-1+$D93+$F93+2,4)+1)</x:f>
        <x:v>HC-R3</x:v>
      </x:c>
      <x:c r="K93" s="46" t="str">
        <x:f>"LF-R"&amp;(MOD($G93-1+$D93+$F93+3,4)+1)</x:f>
        <x:v>LF-R4</x:v>
      </x:c>
      <x:c r="L93" s="46" t="str">
        <x:f>"HU-R"&amp;(MOD($G93-1+$D93+$F93+1,4)+1)</x:f>
        <x:v>HU-R2</x:v>
      </x:c>
      <x:c r="M93" s="46" t="str">
        <x:f>"RT-R"&amp;(MOD($G93-1+$D93+$F93+3,4)+1)</x:f>
        <x:v>RT-R4</x:v>
      </x:c>
      <x:c r="N93" s="46" t="n">
        <x:f>Controls!$C$20</x:f>
        <x:v>6</x:v>
      </x:c>
      <x:c r="O93" s="46" t="n">
        <x:f>Controls!$C$27</x:f>
        <x:v>15</x:v>
      </x:c>
      <x:c r="P93" s="46" t="str">
        <x:v>PLANNED</x:v>
      </x:c>
      <x:c r="Q93" s="63"/>
    </x:row>
    <x:row r="94">
      <x:c r="B94" s="46" t="str">
        <x:v>JM-089</x:v>
      </x:c>
      <x:c r="C94" s="46" t="str">
        <x:v>M5</x:v>
      </x:c>
      <x:c r="D94" s="46" t="n">
        <x:v>8</x:v>
      </x:c>
      <x:c r="E94" s="46" t="str">
        <x:v>SITE-2</x:v>
      </x:c>
      <x:c r="F94" s="46" t="n">
        <x:v>2</x:v>
      </x:c>
      <x:c r="G94" s="46" t="n">
        <x:v>1</x:v>
      </x:c>
      <x:c r="H94" s="46" t="str">
        <x:f>"ET-R"&amp;(MOD($G94-1+$D94+$F94+0,4)+1)</x:f>
        <x:v>ET-R3</x:v>
      </x:c>
      <x:c r="I94" s="46" t="str">
        <x:f>"CT-R"&amp;(MOD($G94-1+$D94+$F94+1,4)+1)</x:f>
        <x:v>CT-R4</x:v>
      </x:c>
      <x:c r="J94" s="46" t="str">
        <x:f>"HC-R"&amp;(MOD($G94-1+$D94+$F94+2,4)+1)</x:f>
        <x:v>HC-R1</x:v>
      </x:c>
      <x:c r="K94" s="46" t="str">
        <x:f>"LF-R"&amp;(MOD($G94-1+$D94+$F94+3,4)+1)</x:f>
        <x:v>LF-R2</x:v>
      </x:c>
      <x:c r="L94" s="46" t="str">
        <x:f>"HU-R"&amp;(MOD($G94-1+$D94+$F94+1,4)+1)</x:f>
        <x:v>HU-R4</x:v>
      </x:c>
      <x:c r="M94" s="46" t="str">
        <x:f>"RT-R"&amp;(MOD($G94-1+$D94+$F94+3,4)+1)</x:f>
        <x:v>RT-R2</x:v>
      </x:c>
      <x:c r="N94" s="46" t="n">
        <x:f>Controls!$C$20</x:f>
        <x:v>6</x:v>
      </x:c>
      <x:c r="O94" s="46" t="n">
        <x:f>Controls!$C$27</x:f>
        <x:v>15</x:v>
      </x:c>
      <x:c r="P94" s="46" t="str">
        <x:v>PLANNED</x:v>
      </x:c>
      <x:c r="Q94" s="63"/>
    </x:row>
    <x:row r="95">
      <x:c r="B95" s="46" t="str">
        <x:v>JM-090</x:v>
      </x:c>
      <x:c r="C95" s="46" t="str">
        <x:v>M5</x:v>
      </x:c>
      <x:c r="D95" s="46" t="n">
        <x:v>8</x:v>
      </x:c>
      <x:c r="E95" s="46" t="str">
        <x:v>SITE-2</x:v>
      </x:c>
      <x:c r="F95" s="46" t="n">
        <x:v>2</x:v>
      </x:c>
      <x:c r="G95" s="46" t="n">
        <x:v>2</x:v>
      </x:c>
      <x:c r="H95" s="46" t="str">
        <x:f>"ET-R"&amp;(MOD($G95-1+$D95+$F95+0,4)+1)</x:f>
        <x:v>ET-R4</x:v>
      </x:c>
      <x:c r="I95" s="46" t="str">
        <x:f>"CT-R"&amp;(MOD($G95-1+$D95+$F95+1,4)+1)</x:f>
        <x:v>CT-R1</x:v>
      </x:c>
      <x:c r="J95" s="46" t="str">
        <x:f>"HC-R"&amp;(MOD($G95-1+$D95+$F95+2,4)+1)</x:f>
        <x:v>HC-R2</x:v>
      </x:c>
      <x:c r="K95" s="46" t="str">
        <x:f>"LF-R"&amp;(MOD($G95-1+$D95+$F95+3,4)+1)</x:f>
        <x:v>LF-R3</x:v>
      </x:c>
      <x:c r="L95" s="46" t="str">
        <x:f>"HU-R"&amp;(MOD($G95-1+$D95+$F95+1,4)+1)</x:f>
        <x:v>HU-R1</x:v>
      </x:c>
      <x:c r="M95" s="46" t="str">
        <x:f>"RT-R"&amp;(MOD($G95-1+$D95+$F95+3,4)+1)</x:f>
        <x:v>RT-R3</x:v>
      </x:c>
      <x:c r="N95" s="46" t="n">
        <x:f>Controls!$C$20</x:f>
        <x:v>6</x:v>
      </x:c>
      <x:c r="O95" s="46" t="n">
        <x:f>Controls!$C$27</x:f>
        <x:v>15</x:v>
      </x:c>
      <x:c r="P95" s="46" t="str">
        <x:v>PLANNED</x:v>
      </x:c>
      <x:c r="Q95" s="63"/>
    </x:row>
    <x:row r="96">
      <x:c r="B96" s="46" t="str">
        <x:v>JM-091</x:v>
      </x:c>
      <x:c r="C96" s="46" t="str">
        <x:v>M5</x:v>
      </x:c>
      <x:c r="D96" s="46" t="n">
        <x:v>8</x:v>
      </x:c>
      <x:c r="E96" s="46" t="str">
        <x:v>SITE-2</x:v>
      </x:c>
      <x:c r="F96" s="46" t="n">
        <x:v>2</x:v>
      </x:c>
      <x:c r="G96" s="46" t="n">
        <x:v>3</x:v>
      </x:c>
      <x:c r="H96" s="46" t="str">
        <x:f>"ET-R"&amp;(MOD($G96-1+$D96+$F96+0,4)+1)</x:f>
        <x:v>ET-R1</x:v>
      </x:c>
      <x:c r="I96" s="46" t="str">
        <x:f>"CT-R"&amp;(MOD($G96-1+$D96+$F96+1,4)+1)</x:f>
        <x:v>CT-R2</x:v>
      </x:c>
      <x:c r="J96" s="46" t="str">
        <x:f>"HC-R"&amp;(MOD($G96-1+$D96+$F96+2,4)+1)</x:f>
        <x:v>HC-R3</x:v>
      </x:c>
      <x:c r="K96" s="46" t="str">
        <x:f>"LF-R"&amp;(MOD($G96-1+$D96+$F96+3,4)+1)</x:f>
        <x:v>LF-R4</x:v>
      </x:c>
      <x:c r="L96" s="46" t="str">
        <x:f>"HU-R"&amp;(MOD($G96-1+$D96+$F96+1,4)+1)</x:f>
        <x:v>HU-R2</x:v>
      </x:c>
      <x:c r="M96" s="46" t="str">
        <x:f>"RT-R"&amp;(MOD($G96-1+$D96+$F96+3,4)+1)</x:f>
        <x:v>RT-R4</x:v>
      </x:c>
      <x:c r="N96" s="46" t="n">
        <x:f>Controls!$C$20</x:f>
        <x:v>6</x:v>
      </x:c>
      <x:c r="O96" s="46" t="n">
        <x:f>Controls!$C$27</x:f>
        <x:v>15</x:v>
      </x:c>
      <x:c r="P96" s="46" t="str">
        <x:v>PLANNED</x:v>
      </x:c>
      <x:c r="Q96" s="63"/>
    </x:row>
    <x:row r="97">
      <x:c r="B97" s="46" t="str">
        <x:v>JM-092</x:v>
      </x:c>
      <x:c r="C97" s="46" t="str">
        <x:v>M5</x:v>
      </x:c>
      <x:c r="D97" s="46" t="n">
        <x:v>8</x:v>
      </x:c>
      <x:c r="E97" s="46" t="str">
        <x:v>SITE-2</x:v>
      </x:c>
      <x:c r="F97" s="46" t="n">
        <x:v>2</x:v>
      </x:c>
      <x:c r="G97" s="46" t="n">
        <x:v>4</x:v>
      </x:c>
      <x:c r="H97" s="46" t="str">
        <x:f>"ET-R"&amp;(MOD($G97-1+$D97+$F97+0,4)+1)</x:f>
        <x:v>ET-R2</x:v>
      </x:c>
      <x:c r="I97" s="46" t="str">
        <x:f>"CT-R"&amp;(MOD($G97-1+$D97+$F97+1,4)+1)</x:f>
        <x:v>CT-R3</x:v>
      </x:c>
      <x:c r="J97" s="46" t="str">
        <x:f>"HC-R"&amp;(MOD($G97-1+$D97+$F97+2,4)+1)</x:f>
        <x:v>HC-R4</x:v>
      </x:c>
      <x:c r="K97" s="46" t="str">
        <x:f>"LF-R"&amp;(MOD($G97-1+$D97+$F97+3,4)+1)</x:f>
        <x:v>LF-R1</x:v>
      </x:c>
      <x:c r="L97" s="46" t="str">
        <x:f>"HU-R"&amp;(MOD($G97-1+$D97+$F97+1,4)+1)</x:f>
        <x:v>HU-R3</x:v>
      </x:c>
      <x:c r="M97" s="46" t="str">
        <x:f>"RT-R"&amp;(MOD($G97-1+$D97+$F97+3,4)+1)</x:f>
        <x:v>RT-R1</x:v>
      </x:c>
      <x:c r="N97" s="46" t="n">
        <x:f>Controls!$C$20</x:f>
        <x:v>6</x:v>
      </x:c>
      <x:c r="O97" s="46" t="n">
        <x:f>Controls!$C$27</x:f>
        <x:v>15</x:v>
      </x:c>
      <x:c r="P97" s="46" t="str">
        <x:v>PLANNED</x:v>
      </x:c>
      <x:c r="Q97" s="63"/>
    </x:row>
    <x:row r="98">
      <x:c r="B98" s="46" t="str">
        <x:v>JM-093</x:v>
      </x:c>
      <x:c r="C98" s="46" t="str">
        <x:v>M5</x:v>
      </x:c>
      <x:c r="D98" s="46" t="n">
        <x:v>8</x:v>
      </x:c>
      <x:c r="E98" s="46" t="str">
        <x:v>SITE-3</x:v>
      </x:c>
      <x:c r="F98" s="46" t="n">
        <x:v>3</x:v>
      </x:c>
      <x:c r="G98" s="46" t="n">
        <x:v>1</x:v>
      </x:c>
      <x:c r="H98" s="46" t="str">
        <x:f>"ET-R"&amp;(MOD($G98-1+$D98+$F98+0,4)+1)</x:f>
        <x:v>ET-R4</x:v>
      </x:c>
      <x:c r="I98" s="46" t="str">
        <x:f>"CT-R"&amp;(MOD($G98-1+$D98+$F98+1,4)+1)</x:f>
        <x:v>CT-R1</x:v>
      </x:c>
      <x:c r="J98" s="46" t="str">
        <x:f>"HC-R"&amp;(MOD($G98-1+$D98+$F98+2,4)+1)</x:f>
        <x:v>HC-R2</x:v>
      </x:c>
      <x:c r="K98" s="46" t="str">
        <x:f>"LF-R"&amp;(MOD($G98-1+$D98+$F98+3,4)+1)</x:f>
        <x:v>LF-R3</x:v>
      </x:c>
      <x:c r="L98" s="46" t="str">
        <x:f>"HU-R"&amp;(MOD($G98-1+$D98+$F98+1,4)+1)</x:f>
        <x:v>HU-R1</x:v>
      </x:c>
      <x:c r="M98" s="46" t="str">
        <x:f>"RT-R"&amp;(MOD($G98-1+$D98+$F98+3,4)+1)</x:f>
        <x:v>RT-R3</x:v>
      </x:c>
      <x:c r="N98" s="46" t="n">
        <x:f>Controls!$C$20</x:f>
        <x:v>6</x:v>
      </x:c>
      <x:c r="O98" s="46" t="n">
        <x:f>Controls!$C$27</x:f>
        <x:v>15</x:v>
      </x:c>
      <x:c r="P98" s="46" t="str">
        <x:v>PLANNED</x:v>
      </x:c>
      <x:c r="Q98" s="63"/>
    </x:row>
    <x:row r="99">
      <x:c r="B99" s="46" t="str">
        <x:v>JM-094</x:v>
      </x:c>
      <x:c r="C99" s="46" t="str">
        <x:v>M5</x:v>
      </x:c>
      <x:c r="D99" s="46" t="n">
        <x:v>8</x:v>
      </x:c>
      <x:c r="E99" s="46" t="str">
        <x:v>SITE-3</x:v>
      </x:c>
      <x:c r="F99" s="46" t="n">
        <x:v>3</x:v>
      </x:c>
      <x:c r="G99" s="46" t="n">
        <x:v>2</x:v>
      </x:c>
      <x:c r="H99" s="46" t="str">
        <x:f>"ET-R"&amp;(MOD($G99-1+$D99+$F99+0,4)+1)</x:f>
        <x:v>ET-R1</x:v>
      </x:c>
      <x:c r="I99" s="46" t="str">
        <x:f>"CT-R"&amp;(MOD($G99-1+$D99+$F99+1,4)+1)</x:f>
        <x:v>CT-R2</x:v>
      </x:c>
      <x:c r="J99" s="46" t="str">
        <x:f>"HC-R"&amp;(MOD($G99-1+$D99+$F99+2,4)+1)</x:f>
        <x:v>HC-R3</x:v>
      </x:c>
      <x:c r="K99" s="46" t="str">
        <x:f>"LF-R"&amp;(MOD($G99-1+$D99+$F99+3,4)+1)</x:f>
        <x:v>LF-R4</x:v>
      </x:c>
      <x:c r="L99" s="46" t="str">
        <x:f>"HU-R"&amp;(MOD($G99-1+$D99+$F99+1,4)+1)</x:f>
        <x:v>HU-R2</x:v>
      </x:c>
      <x:c r="M99" s="46" t="str">
        <x:f>"RT-R"&amp;(MOD($G99-1+$D99+$F99+3,4)+1)</x:f>
        <x:v>RT-R4</x:v>
      </x:c>
      <x:c r="N99" s="46" t="n">
        <x:f>Controls!$C$20</x:f>
        <x:v>6</x:v>
      </x:c>
      <x:c r="O99" s="46" t="n">
        <x:f>Controls!$C$27</x:f>
        <x:v>15</x:v>
      </x:c>
      <x:c r="P99" s="46" t="str">
        <x:v>PLANNED</x:v>
      </x:c>
      <x:c r="Q99" s="63"/>
    </x:row>
    <x:row r="100">
      <x:c r="B100" s="46" t="str">
        <x:v>JM-095</x:v>
      </x:c>
      <x:c r="C100" s="46" t="str">
        <x:v>M5</x:v>
      </x:c>
      <x:c r="D100" s="46" t="n">
        <x:v>8</x:v>
      </x:c>
      <x:c r="E100" s="46" t="str">
        <x:v>SITE-3</x:v>
      </x:c>
      <x:c r="F100" s="46" t="n">
        <x:v>3</x:v>
      </x:c>
      <x:c r="G100" s="46" t="n">
        <x:v>3</x:v>
      </x:c>
      <x:c r="H100" s="46" t="str">
        <x:f>"ET-R"&amp;(MOD($G100-1+$D100+$F100+0,4)+1)</x:f>
        <x:v>ET-R2</x:v>
      </x:c>
      <x:c r="I100" s="46" t="str">
        <x:f>"CT-R"&amp;(MOD($G100-1+$D100+$F100+1,4)+1)</x:f>
        <x:v>CT-R3</x:v>
      </x:c>
      <x:c r="J100" s="46" t="str">
        <x:f>"HC-R"&amp;(MOD($G100-1+$D100+$F100+2,4)+1)</x:f>
        <x:v>HC-R4</x:v>
      </x:c>
      <x:c r="K100" s="46" t="str">
        <x:f>"LF-R"&amp;(MOD($G100-1+$D100+$F100+3,4)+1)</x:f>
        <x:v>LF-R1</x:v>
      </x:c>
      <x:c r="L100" s="46" t="str">
        <x:f>"HU-R"&amp;(MOD($G100-1+$D100+$F100+1,4)+1)</x:f>
        <x:v>HU-R3</x:v>
      </x:c>
      <x:c r="M100" s="46" t="str">
        <x:f>"RT-R"&amp;(MOD($G100-1+$D100+$F100+3,4)+1)</x:f>
        <x:v>RT-R1</x:v>
      </x:c>
      <x:c r="N100" s="46" t="n">
        <x:f>Controls!$C$20</x:f>
        <x:v>6</x:v>
      </x:c>
      <x:c r="O100" s="46" t="n">
        <x:f>Controls!$C$27</x:f>
        <x:v>15</x:v>
      </x:c>
      <x:c r="P100" s="46" t="str">
        <x:v>PLANNED</x:v>
      </x:c>
      <x:c r="Q100" s="63"/>
    </x:row>
    <x:row r="101">
      <x:c r="B101" s="46" t="str">
        <x:v>JM-096</x:v>
      </x:c>
      <x:c r="C101" s="46" t="str">
        <x:v>M5</x:v>
      </x:c>
      <x:c r="D101" s="46" t="n">
        <x:v>8</x:v>
      </x:c>
      <x:c r="E101" s="46" t="str">
        <x:v>SITE-3</x:v>
      </x:c>
      <x:c r="F101" s="46" t="n">
        <x:v>3</x:v>
      </x:c>
      <x:c r="G101" s="46" t="n">
        <x:v>4</x:v>
      </x:c>
      <x:c r="H101" s="46" t="str">
        <x:f>"ET-R"&amp;(MOD($G101-1+$D101+$F101+0,4)+1)</x:f>
        <x:v>ET-R3</x:v>
      </x:c>
      <x:c r="I101" s="46" t="str">
        <x:f>"CT-R"&amp;(MOD($G101-1+$D101+$F101+1,4)+1)</x:f>
        <x:v>CT-R4</x:v>
      </x:c>
      <x:c r="J101" s="46" t="str">
        <x:f>"HC-R"&amp;(MOD($G101-1+$D101+$F101+2,4)+1)</x:f>
        <x:v>HC-R1</x:v>
      </x:c>
      <x:c r="K101" s="46" t="str">
        <x:f>"LF-R"&amp;(MOD($G101-1+$D101+$F101+3,4)+1)</x:f>
        <x:v>LF-R2</x:v>
      </x:c>
      <x:c r="L101" s="46" t="str">
        <x:f>"HU-R"&amp;(MOD($G101-1+$D101+$F101+1,4)+1)</x:f>
        <x:v>HU-R4</x:v>
      </x:c>
      <x:c r="M101" s="46" t="str">
        <x:f>"RT-R"&amp;(MOD($G101-1+$D101+$F101+3,4)+1)</x:f>
        <x:v>RT-R2</x:v>
      </x:c>
      <x:c r="N101" s="46" t="n">
        <x:f>Controls!$C$20</x:f>
        <x:v>6</x:v>
      </x:c>
      <x:c r="O101" s="46" t="n">
        <x:f>Controls!$C$27</x:f>
        <x:v>15</x:v>
      </x:c>
      <x:c r="P101" s="46" t="str">
        <x:v>PLANNED</x:v>
      </x:c>
      <x:c r="Q101" s="63"/>
    </x:row>
    <x:row r="102">
      <x:c r="B102" s="46" t="str">
        <x:v>JM-097</x:v>
      </x:c>
      <x:c r="C102" s="46" t="str">
        <x:v>I1</x:v>
      </x:c>
      <x:c r="D102" s="46" t="n">
        <x:v>9</x:v>
      </x:c>
      <x:c r="E102" s="46" t="str">
        <x:v>SITE-1</x:v>
      </x:c>
      <x:c r="F102" s="46" t="n">
        <x:v>1</x:v>
      </x:c>
      <x:c r="G102" s="46" t="n">
        <x:v>1</x:v>
      </x:c>
      <x:c r="H102" s="46" t="str">
        <x:f>"ET-R"&amp;(MOD($G102-1+$D102+$F102+0,4)+1)</x:f>
        <x:v>ET-R3</x:v>
      </x:c>
      <x:c r="I102" s="46" t="str">
        <x:f>"CT-R"&amp;(MOD($G102-1+$D102+$F102+1,4)+1)</x:f>
        <x:v>CT-R4</x:v>
      </x:c>
      <x:c r="J102" s="46" t="str">
        <x:f>"HC-R"&amp;(MOD($G102-1+$D102+$F102+2,4)+1)</x:f>
        <x:v>HC-R1</x:v>
      </x:c>
      <x:c r="K102" s="46" t="str">
        <x:f>"LF-R"&amp;(MOD($G102-1+$D102+$F102+3,4)+1)</x:f>
        <x:v>LF-R2</x:v>
      </x:c>
      <x:c r="L102" s="46" t="str">
        <x:f>"HU-R"&amp;(MOD($G102-1+$D102+$F102+1,4)+1)</x:f>
        <x:v>HU-R4</x:v>
      </x:c>
      <x:c r="M102" s="46" t="str">
        <x:f>"RT-R"&amp;(MOD($G102-1+$D102+$F102+3,4)+1)</x:f>
        <x:v>RT-R2</x:v>
      </x:c>
      <x:c r="N102" s="46" t="n">
        <x:f>Controls!$C$20</x:f>
        <x:v>6</x:v>
      </x:c>
      <x:c r="O102" s="46" t="n">
        <x:f>Controls!$C$27</x:f>
        <x:v>15</x:v>
      </x:c>
      <x:c r="P102" s="46" t="str">
        <x:v>PLANNED</x:v>
      </x:c>
      <x:c r="Q102" s="63"/>
    </x:row>
    <x:row r="103">
      <x:c r="B103" s="46" t="str">
        <x:v>JM-098</x:v>
      </x:c>
      <x:c r="C103" s="46" t="str">
        <x:v>I1</x:v>
      </x:c>
      <x:c r="D103" s="46" t="n">
        <x:v>9</x:v>
      </x:c>
      <x:c r="E103" s="46" t="str">
        <x:v>SITE-1</x:v>
      </x:c>
      <x:c r="F103" s="46" t="n">
        <x:v>1</x:v>
      </x:c>
      <x:c r="G103" s="46" t="n">
        <x:v>2</x:v>
      </x:c>
      <x:c r="H103" s="46" t="str">
        <x:f>"ET-R"&amp;(MOD($G103-1+$D103+$F103+0,4)+1)</x:f>
        <x:v>ET-R4</x:v>
      </x:c>
      <x:c r="I103" s="46" t="str">
        <x:f>"CT-R"&amp;(MOD($G103-1+$D103+$F103+1,4)+1)</x:f>
        <x:v>CT-R1</x:v>
      </x:c>
      <x:c r="J103" s="46" t="str">
        <x:f>"HC-R"&amp;(MOD($G103-1+$D103+$F103+2,4)+1)</x:f>
        <x:v>HC-R2</x:v>
      </x:c>
      <x:c r="K103" s="46" t="str">
        <x:f>"LF-R"&amp;(MOD($G103-1+$D103+$F103+3,4)+1)</x:f>
        <x:v>LF-R3</x:v>
      </x:c>
      <x:c r="L103" s="46" t="str">
        <x:f>"HU-R"&amp;(MOD($G103-1+$D103+$F103+1,4)+1)</x:f>
        <x:v>HU-R1</x:v>
      </x:c>
      <x:c r="M103" s="46" t="str">
        <x:f>"RT-R"&amp;(MOD($G103-1+$D103+$F103+3,4)+1)</x:f>
        <x:v>RT-R3</x:v>
      </x:c>
      <x:c r="N103" s="46" t="n">
        <x:f>Controls!$C$20</x:f>
        <x:v>6</x:v>
      </x:c>
      <x:c r="O103" s="46" t="n">
        <x:f>Controls!$C$27</x:f>
        <x:v>15</x:v>
      </x:c>
      <x:c r="P103" s="46" t="str">
        <x:v>PLANNED</x:v>
      </x:c>
      <x:c r="Q103" s="63"/>
    </x:row>
    <x:row r="104">
      <x:c r="B104" s="46" t="str">
        <x:v>JM-099</x:v>
      </x:c>
      <x:c r="C104" s="46" t="str">
        <x:v>I1</x:v>
      </x:c>
      <x:c r="D104" s="46" t="n">
        <x:v>9</x:v>
      </x:c>
      <x:c r="E104" s="46" t="str">
        <x:v>SITE-1</x:v>
      </x:c>
      <x:c r="F104" s="46" t="n">
        <x:v>1</x:v>
      </x:c>
      <x:c r="G104" s="46" t="n">
        <x:v>3</x:v>
      </x:c>
      <x:c r="H104" s="46" t="str">
        <x:f>"ET-R"&amp;(MOD($G104-1+$D104+$F104+0,4)+1)</x:f>
        <x:v>ET-R1</x:v>
      </x:c>
      <x:c r="I104" s="46" t="str">
        <x:f>"CT-R"&amp;(MOD($G104-1+$D104+$F104+1,4)+1)</x:f>
        <x:v>CT-R2</x:v>
      </x:c>
      <x:c r="J104" s="46" t="str">
        <x:f>"HC-R"&amp;(MOD($G104-1+$D104+$F104+2,4)+1)</x:f>
        <x:v>HC-R3</x:v>
      </x:c>
      <x:c r="K104" s="46" t="str">
        <x:f>"LF-R"&amp;(MOD($G104-1+$D104+$F104+3,4)+1)</x:f>
        <x:v>LF-R4</x:v>
      </x:c>
      <x:c r="L104" s="46" t="str">
        <x:f>"HU-R"&amp;(MOD($G104-1+$D104+$F104+1,4)+1)</x:f>
        <x:v>HU-R2</x:v>
      </x:c>
      <x:c r="M104" s="46" t="str">
        <x:f>"RT-R"&amp;(MOD($G104-1+$D104+$F104+3,4)+1)</x:f>
        <x:v>RT-R4</x:v>
      </x:c>
      <x:c r="N104" s="46" t="n">
        <x:f>Controls!$C$20</x:f>
        <x:v>6</x:v>
      </x:c>
      <x:c r="O104" s="46" t="n">
        <x:f>Controls!$C$27</x:f>
        <x:v>15</x:v>
      </x:c>
      <x:c r="P104" s="46" t="str">
        <x:v>PLANNED</x:v>
      </x:c>
      <x:c r="Q104" s="63"/>
    </x:row>
    <x:row r="105">
      <x:c r="B105" s="46" t="str">
        <x:v>JM-100</x:v>
      </x:c>
      <x:c r="C105" s="46" t="str">
        <x:v>I1</x:v>
      </x:c>
      <x:c r="D105" s="46" t="n">
        <x:v>9</x:v>
      </x:c>
      <x:c r="E105" s="46" t="str">
        <x:v>SITE-1</x:v>
      </x:c>
      <x:c r="F105" s="46" t="n">
        <x:v>1</x:v>
      </x:c>
      <x:c r="G105" s="46" t="n">
        <x:v>4</x:v>
      </x:c>
      <x:c r="H105" s="46" t="str">
        <x:f>"ET-R"&amp;(MOD($G105-1+$D105+$F105+0,4)+1)</x:f>
        <x:v>ET-R2</x:v>
      </x:c>
      <x:c r="I105" s="46" t="str">
        <x:f>"CT-R"&amp;(MOD($G105-1+$D105+$F105+1,4)+1)</x:f>
        <x:v>CT-R3</x:v>
      </x:c>
      <x:c r="J105" s="46" t="str">
        <x:f>"HC-R"&amp;(MOD($G105-1+$D105+$F105+2,4)+1)</x:f>
        <x:v>HC-R4</x:v>
      </x:c>
      <x:c r="K105" s="46" t="str">
        <x:f>"LF-R"&amp;(MOD($G105-1+$D105+$F105+3,4)+1)</x:f>
        <x:v>LF-R1</x:v>
      </x:c>
      <x:c r="L105" s="46" t="str">
        <x:f>"HU-R"&amp;(MOD($G105-1+$D105+$F105+1,4)+1)</x:f>
        <x:v>HU-R3</x:v>
      </x:c>
      <x:c r="M105" s="46" t="str">
        <x:f>"RT-R"&amp;(MOD($G105-1+$D105+$F105+3,4)+1)</x:f>
        <x:v>RT-R1</x:v>
      </x:c>
      <x:c r="N105" s="46" t="n">
        <x:f>Controls!$C$20</x:f>
        <x:v>6</x:v>
      </x:c>
      <x:c r="O105" s="46" t="n">
        <x:f>Controls!$C$27</x:f>
        <x:v>15</x:v>
      </x:c>
      <x:c r="P105" s="46" t="str">
        <x:v>PLANNED</x:v>
      </x:c>
      <x:c r="Q105" s="63"/>
    </x:row>
    <x:row r="106">
      <x:c r="B106" s="46" t="str">
        <x:v>JM-101</x:v>
      </x:c>
      <x:c r="C106" s="46" t="str">
        <x:v>I1</x:v>
      </x:c>
      <x:c r="D106" s="46" t="n">
        <x:v>9</x:v>
      </x:c>
      <x:c r="E106" s="46" t="str">
        <x:v>SITE-2</x:v>
      </x:c>
      <x:c r="F106" s="46" t="n">
        <x:v>2</x:v>
      </x:c>
      <x:c r="G106" s="46" t="n">
        <x:v>1</x:v>
      </x:c>
      <x:c r="H106" s="46" t="str">
        <x:f>"ET-R"&amp;(MOD($G106-1+$D106+$F106+0,4)+1)</x:f>
        <x:v>ET-R4</x:v>
      </x:c>
      <x:c r="I106" s="46" t="str">
        <x:f>"CT-R"&amp;(MOD($G106-1+$D106+$F106+1,4)+1)</x:f>
        <x:v>CT-R1</x:v>
      </x:c>
      <x:c r="J106" s="46" t="str">
        <x:f>"HC-R"&amp;(MOD($G106-1+$D106+$F106+2,4)+1)</x:f>
        <x:v>HC-R2</x:v>
      </x:c>
      <x:c r="K106" s="46" t="str">
        <x:f>"LF-R"&amp;(MOD($G106-1+$D106+$F106+3,4)+1)</x:f>
        <x:v>LF-R3</x:v>
      </x:c>
      <x:c r="L106" s="46" t="str">
        <x:f>"HU-R"&amp;(MOD($G106-1+$D106+$F106+1,4)+1)</x:f>
        <x:v>HU-R1</x:v>
      </x:c>
      <x:c r="M106" s="46" t="str">
        <x:f>"RT-R"&amp;(MOD($G106-1+$D106+$F106+3,4)+1)</x:f>
        <x:v>RT-R3</x:v>
      </x:c>
      <x:c r="N106" s="46" t="n">
        <x:f>Controls!$C$20</x:f>
        <x:v>6</x:v>
      </x:c>
      <x:c r="O106" s="46" t="n">
        <x:f>Controls!$C$27</x:f>
        <x:v>15</x:v>
      </x:c>
      <x:c r="P106" s="46" t="str">
        <x:v>PLANNED</x:v>
      </x:c>
      <x:c r="Q106" s="63"/>
    </x:row>
    <x:row r="107">
      <x:c r="B107" s="46" t="str">
        <x:v>JM-102</x:v>
      </x:c>
      <x:c r="C107" s="46" t="str">
        <x:v>I1</x:v>
      </x:c>
      <x:c r="D107" s="46" t="n">
        <x:v>9</x:v>
      </x:c>
      <x:c r="E107" s="46" t="str">
        <x:v>SITE-2</x:v>
      </x:c>
      <x:c r="F107" s="46" t="n">
        <x:v>2</x:v>
      </x:c>
      <x:c r="G107" s="46" t="n">
        <x:v>2</x:v>
      </x:c>
      <x:c r="H107" s="46" t="str">
        <x:f>"ET-R"&amp;(MOD($G107-1+$D107+$F107+0,4)+1)</x:f>
        <x:v>ET-R1</x:v>
      </x:c>
      <x:c r="I107" s="46" t="str">
        <x:f>"CT-R"&amp;(MOD($G107-1+$D107+$F107+1,4)+1)</x:f>
        <x:v>CT-R2</x:v>
      </x:c>
      <x:c r="J107" s="46" t="str">
        <x:f>"HC-R"&amp;(MOD($G107-1+$D107+$F107+2,4)+1)</x:f>
        <x:v>HC-R3</x:v>
      </x:c>
      <x:c r="K107" s="46" t="str">
        <x:f>"LF-R"&amp;(MOD($G107-1+$D107+$F107+3,4)+1)</x:f>
        <x:v>LF-R4</x:v>
      </x:c>
      <x:c r="L107" s="46" t="str">
        <x:f>"HU-R"&amp;(MOD($G107-1+$D107+$F107+1,4)+1)</x:f>
        <x:v>HU-R2</x:v>
      </x:c>
      <x:c r="M107" s="46" t="str">
        <x:f>"RT-R"&amp;(MOD($G107-1+$D107+$F107+3,4)+1)</x:f>
        <x:v>RT-R4</x:v>
      </x:c>
      <x:c r="N107" s="46" t="n">
        <x:f>Controls!$C$20</x:f>
        <x:v>6</x:v>
      </x:c>
      <x:c r="O107" s="46" t="n">
        <x:f>Controls!$C$27</x:f>
        <x:v>15</x:v>
      </x:c>
      <x:c r="P107" s="46" t="str">
        <x:v>PLANNED</x:v>
      </x:c>
      <x:c r="Q107" s="63"/>
    </x:row>
    <x:row r="108">
      <x:c r="B108" s="46" t="str">
        <x:v>JM-103</x:v>
      </x:c>
      <x:c r="C108" s="46" t="str">
        <x:v>I1</x:v>
      </x:c>
      <x:c r="D108" s="46" t="n">
        <x:v>9</x:v>
      </x:c>
      <x:c r="E108" s="46" t="str">
        <x:v>SITE-2</x:v>
      </x:c>
      <x:c r="F108" s="46" t="n">
        <x:v>2</x:v>
      </x:c>
      <x:c r="G108" s="46" t="n">
        <x:v>3</x:v>
      </x:c>
      <x:c r="H108" s="46" t="str">
        <x:f>"ET-R"&amp;(MOD($G108-1+$D108+$F108+0,4)+1)</x:f>
        <x:v>ET-R2</x:v>
      </x:c>
      <x:c r="I108" s="46" t="str">
        <x:f>"CT-R"&amp;(MOD($G108-1+$D108+$F108+1,4)+1)</x:f>
        <x:v>CT-R3</x:v>
      </x:c>
      <x:c r="J108" s="46" t="str">
        <x:f>"HC-R"&amp;(MOD($G108-1+$D108+$F108+2,4)+1)</x:f>
        <x:v>HC-R4</x:v>
      </x:c>
      <x:c r="K108" s="46" t="str">
        <x:f>"LF-R"&amp;(MOD($G108-1+$D108+$F108+3,4)+1)</x:f>
        <x:v>LF-R1</x:v>
      </x:c>
      <x:c r="L108" s="46" t="str">
        <x:f>"HU-R"&amp;(MOD($G108-1+$D108+$F108+1,4)+1)</x:f>
        <x:v>HU-R3</x:v>
      </x:c>
      <x:c r="M108" s="46" t="str">
        <x:f>"RT-R"&amp;(MOD($G108-1+$D108+$F108+3,4)+1)</x:f>
        <x:v>RT-R1</x:v>
      </x:c>
      <x:c r="N108" s="46" t="n">
        <x:f>Controls!$C$20</x:f>
        <x:v>6</x:v>
      </x:c>
      <x:c r="O108" s="46" t="n">
        <x:f>Controls!$C$27</x:f>
        <x:v>15</x:v>
      </x:c>
      <x:c r="P108" s="46" t="str">
        <x:v>PLANNED</x:v>
      </x:c>
      <x:c r="Q108" s="63"/>
    </x:row>
    <x:row r="109">
      <x:c r="B109" s="46" t="str">
        <x:v>JM-104</x:v>
      </x:c>
      <x:c r="C109" s="46" t="str">
        <x:v>I1</x:v>
      </x:c>
      <x:c r="D109" s="46" t="n">
        <x:v>9</x:v>
      </x:c>
      <x:c r="E109" s="46" t="str">
        <x:v>SITE-2</x:v>
      </x:c>
      <x:c r="F109" s="46" t="n">
        <x:v>2</x:v>
      </x:c>
      <x:c r="G109" s="46" t="n">
        <x:v>4</x:v>
      </x:c>
      <x:c r="H109" s="46" t="str">
        <x:f>"ET-R"&amp;(MOD($G109-1+$D109+$F109+0,4)+1)</x:f>
        <x:v>ET-R3</x:v>
      </x:c>
      <x:c r="I109" s="46" t="str">
        <x:f>"CT-R"&amp;(MOD($G109-1+$D109+$F109+1,4)+1)</x:f>
        <x:v>CT-R4</x:v>
      </x:c>
      <x:c r="J109" s="46" t="str">
        <x:f>"HC-R"&amp;(MOD($G109-1+$D109+$F109+2,4)+1)</x:f>
        <x:v>HC-R1</x:v>
      </x:c>
      <x:c r="K109" s="46" t="str">
        <x:f>"LF-R"&amp;(MOD($G109-1+$D109+$F109+3,4)+1)</x:f>
        <x:v>LF-R2</x:v>
      </x:c>
      <x:c r="L109" s="46" t="str">
        <x:f>"HU-R"&amp;(MOD($G109-1+$D109+$F109+1,4)+1)</x:f>
        <x:v>HU-R4</x:v>
      </x:c>
      <x:c r="M109" s="46" t="str">
        <x:f>"RT-R"&amp;(MOD($G109-1+$D109+$F109+3,4)+1)</x:f>
        <x:v>RT-R2</x:v>
      </x:c>
      <x:c r="N109" s="46" t="n">
        <x:f>Controls!$C$20</x:f>
        <x:v>6</x:v>
      </x:c>
      <x:c r="O109" s="46" t="n">
        <x:f>Controls!$C$27</x:f>
        <x:v>15</x:v>
      </x:c>
      <x:c r="P109" s="46" t="str">
        <x:v>PLANNED</x:v>
      </x:c>
      <x:c r="Q109" s="63"/>
    </x:row>
    <x:row r="110">
      <x:c r="B110" s="46" t="str">
        <x:v>JM-105</x:v>
      </x:c>
      <x:c r="C110" s="46" t="str">
        <x:v>I1</x:v>
      </x:c>
      <x:c r="D110" s="46" t="n">
        <x:v>9</x:v>
      </x:c>
      <x:c r="E110" s="46" t="str">
        <x:v>SITE-3</x:v>
      </x:c>
      <x:c r="F110" s="46" t="n">
        <x:v>3</x:v>
      </x:c>
      <x:c r="G110" s="46" t="n">
        <x:v>1</x:v>
      </x:c>
      <x:c r="H110" s="46" t="str">
        <x:f>"ET-R"&amp;(MOD($G110-1+$D110+$F110+0,4)+1)</x:f>
        <x:v>ET-R1</x:v>
      </x:c>
      <x:c r="I110" s="46" t="str">
        <x:f>"CT-R"&amp;(MOD($G110-1+$D110+$F110+1,4)+1)</x:f>
        <x:v>CT-R2</x:v>
      </x:c>
      <x:c r="J110" s="46" t="str">
        <x:f>"HC-R"&amp;(MOD($G110-1+$D110+$F110+2,4)+1)</x:f>
        <x:v>HC-R3</x:v>
      </x:c>
      <x:c r="K110" s="46" t="str">
        <x:f>"LF-R"&amp;(MOD($G110-1+$D110+$F110+3,4)+1)</x:f>
        <x:v>LF-R4</x:v>
      </x:c>
      <x:c r="L110" s="46" t="str">
        <x:f>"HU-R"&amp;(MOD($G110-1+$D110+$F110+1,4)+1)</x:f>
        <x:v>HU-R2</x:v>
      </x:c>
      <x:c r="M110" s="46" t="str">
        <x:f>"RT-R"&amp;(MOD($G110-1+$D110+$F110+3,4)+1)</x:f>
        <x:v>RT-R4</x:v>
      </x:c>
      <x:c r="N110" s="46" t="n">
        <x:f>Controls!$C$20</x:f>
        <x:v>6</x:v>
      </x:c>
      <x:c r="O110" s="46" t="n">
        <x:f>Controls!$C$27</x:f>
        <x:v>15</x:v>
      </x:c>
      <x:c r="P110" s="46" t="str">
        <x:v>PLANNED</x:v>
      </x:c>
      <x:c r="Q110" s="63"/>
    </x:row>
    <x:row r="111">
      <x:c r="B111" s="46" t="str">
        <x:v>JM-106</x:v>
      </x:c>
      <x:c r="C111" s="46" t="str">
        <x:v>I1</x:v>
      </x:c>
      <x:c r="D111" s="46" t="n">
        <x:v>9</x:v>
      </x:c>
      <x:c r="E111" s="46" t="str">
        <x:v>SITE-3</x:v>
      </x:c>
      <x:c r="F111" s="46" t="n">
        <x:v>3</x:v>
      </x:c>
      <x:c r="G111" s="46" t="n">
        <x:v>2</x:v>
      </x:c>
      <x:c r="H111" s="46" t="str">
        <x:f>"ET-R"&amp;(MOD($G111-1+$D111+$F111+0,4)+1)</x:f>
        <x:v>ET-R2</x:v>
      </x:c>
      <x:c r="I111" s="46" t="str">
        <x:f>"CT-R"&amp;(MOD($G111-1+$D111+$F111+1,4)+1)</x:f>
        <x:v>CT-R3</x:v>
      </x:c>
      <x:c r="J111" s="46" t="str">
        <x:f>"HC-R"&amp;(MOD($G111-1+$D111+$F111+2,4)+1)</x:f>
        <x:v>HC-R4</x:v>
      </x:c>
      <x:c r="K111" s="46" t="str">
        <x:f>"LF-R"&amp;(MOD($G111-1+$D111+$F111+3,4)+1)</x:f>
        <x:v>LF-R1</x:v>
      </x:c>
      <x:c r="L111" s="46" t="str">
        <x:f>"HU-R"&amp;(MOD($G111-1+$D111+$F111+1,4)+1)</x:f>
        <x:v>HU-R3</x:v>
      </x:c>
      <x:c r="M111" s="46" t="str">
        <x:f>"RT-R"&amp;(MOD($G111-1+$D111+$F111+3,4)+1)</x:f>
        <x:v>RT-R1</x:v>
      </x:c>
      <x:c r="N111" s="46" t="n">
        <x:f>Controls!$C$20</x:f>
        <x:v>6</x:v>
      </x:c>
      <x:c r="O111" s="46" t="n">
        <x:f>Controls!$C$27</x:f>
        <x:v>15</x:v>
      </x:c>
      <x:c r="P111" s="46" t="str">
        <x:v>PLANNED</x:v>
      </x:c>
      <x:c r="Q111" s="63"/>
    </x:row>
    <x:row r="112">
      <x:c r="B112" s="46" t="str">
        <x:v>JM-107</x:v>
      </x:c>
      <x:c r="C112" s="46" t="str">
        <x:v>I1</x:v>
      </x:c>
      <x:c r="D112" s="46" t="n">
        <x:v>9</x:v>
      </x:c>
      <x:c r="E112" s="46" t="str">
        <x:v>SITE-3</x:v>
      </x:c>
      <x:c r="F112" s="46" t="n">
        <x:v>3</x:v>
      </x:c>
      <x:c r="G112" s="46" t="n">
        <x:v>3</x:v>
      </x:c>
      <x:c r="H112" s="46" t="str">
        <x:f>"ET-R"&amp;(MOD($G112-1+$D112+$F112+0,4)+1)</x:f>
        <x:v>ET-R3</x:v>
      </x:c>
      <x:c r="I112" s="46" t="str">
        <x:f>"CT-R"&amp;(MOD($G112-1+$D112+$F112+1,4)+1)</x:f>
        <x:v>CT-R4</x:v>
      </x:c>
      <x:c r="J112" s="46" t="str">
        <x:f>"HC-R"&amp;(MOD($G112-1+$D112+$F112+2,4)+1)</x:f>
        <x:v>HC-R1</x:v>
      </x:c>
      <x:c r="K112" s="46" t="str">
        <x:f>"LF-R"&amp;(MOD($G112-1+$D112+$F112+3,4)+1)</x:f>
        <x:v>LF-R2</x:v>
      </x:c>
      <x:c r="L112" s="46" t="str">
        <x:f>"HU-R"&amp;(MOD($G112-1+$D112+$F112+1,4)+1)</x:f>
        <x:v>HU-R4</x:v>
      </x:c>
      <x:c r="M112" s="46" t="str">
        <x:f>"RT-R"&amp;(MOD($G112-1+$D112+$F112+3,4)+1)</x:f>
        <x:v>RT-R2</x:v>
      </x:c>
      <x:c r="N112" s="46" t="n">
        <x:f>Controls!$C$20</x:f>
        <x:v>6</x:v>
      </x:c>
      <x:c r="O112" s="46" t="n">
        <x:f>Controls!$C$27</x:f>
        <x:v>15</x:v>
      </x:c>
      <x:c r="P112" s="46" t="str">
        <x:v>PLANNED</x:v>
      </x:c>
      <x:c r="Q112" s="63"/>
    </x:row>
    <x:row r="113">
      <x:c r="B113" s="46" t="str">
        <x:v>JM-108</x:v>
      </x:c>
      <x:c r="C113" s="46" t="str">
        <x:v>I1</x:v>
      </x:c>
      <x:c r="D113" s="46" t="n">
        <x:v>9</x:v>
      </x:c>
      <x:c r="E113" s="46" t="str">
        <x:v>SITE-3</x:v>
      </x:c>
      <x:c r="F113" s="46" t="n">
        <x:v>3</x:v>
      </x:c>
      <x:c r="G113" s="46" t="n">
        <x:v>4</x:v>
      </x:c>
      <x:c r="H113" s="46" t="str">
        <x:f>"ET-R"&amp;(MOD($G113-1+$D113+$F113+0,4)+1)</x:f>
        <x:v>ET-R4</x:v>
      </x:c>
      <x:c r="I113" s="46" t="str">
        <x:f>"CT-R"&amp;(MOD($G113-1+$D113+$F113+1,4)+1)</x:f>
        <x:v>CT-R1</x:v>
      </x:c>
      <x:c r="J113" s="46" t="str">
        <x:f>"HC-R"&amp;(MOD($G113-1+$D113+$F113+2,4)+1)</x:f>
        <x:v>HC-R2</x:v>
      </x:c>
      <x:c r="K113" s="46" t="str">
        <x:f>"LF-R"&amp;(MOD($G113-1+$D113+$F113+3,4)+1)</x:f>
        <x:v>LF-R3</x:v>
      </x:c>
      <x:c r="L113" s="46" t="str">
        <x:f>"HU-R"&amp;(MOD($G113-1+$D113+$F113+1,4)+1)</x:f>
        <x:v>HU-R1</x:v>
      </x:c>
      <x:c r="M113" s="46" t="str">
        <x:f>"RT-R"&amp;(MOD($G113-1+$D113+$F113+3,4)+1)</x:f>
        <x:v>RT-R3</x:v>
      </x:c>
      <x:c r="N113" s="46" t="n">
        <x:f>Controls!$C$20</x:f>
        <x:v>6</x:v>
      </x:c>
      <x:c r="O113" s="46" t="n">
        <x:f>Controls!$C$27</x:f>
        <x:v>15</x:v>
      </x:c>
      <x:c r="P113" s="46" t="str">
        <x:v>PLANNED</x:v>
      </x:c>
      <x:c r="Q113" s="63"/>
    </x:row>
    <x:row r="114">
      <x:c r="B114" s="46" t="str">
        <x:v>JM-109</x:v>
      </x:c>
      <x:c r="C114" s="46" t="str">
        <x:v>I2</x:v>
      </x:c>
      <x:c r="D114" s="46" t="n">
        <x:v>10</x:v>
      </x:c>
      <x:c r="E114" s="46" t="str">
        <x:v>SITE-1</x:v>
      </x:c>
      <x:c r="F114" s="46" t="n">
        <x:v>1</x:v>
      </x:c>
      <x:c r="G114" s="46" t="n">
        <x:v>1</x:v>
      </x:c>
      <x:c r="H114" s="46" t="str">
        <x:f>"ET-R"&amp;(MOD($G114-1+$D114+$F114+0,4)+1)</x:f>
        <x:v>ET-R4</x:v>
      </x:c>
      <x:c r="I114" s="46" t="str">
        <x:f>"CT-R"&amp;(MOD($G114-1+$D114+$F114+1,4)+1)</x:f>
        <x:v>CT-R1</x:v>
      </x:c>
      <x:c r="J114" s="46" t="str">
        <x:f>"HC-R"&amp;(MOD($G114-1+$D114+$F114+2,4)+1)</x:f>
        <x:v>HC-R2</x:v>
      </x:c>
      <x:c r="K114" s="46" t="str">
        <x:f>"LF-R"&amp;(MOD($G114-1+$D114+$F114+3,4)+1)</x:f>
        <x:v>LF-R3</x:v>
      </x:c>
      <x:c r="L114" s="46" t="str">
        <x:f>"HU-R"&amp;(MOD($G114-1+$D114+$F114+1,4)+1)</x:f>
        <x:v>HU-R1</x:v>
      </x:c>
      <x:c r="M114" s="46" t="str">
        <x:f>"RT-R"&amp;(MOD($G114-1+$D114+$F114+3,4)+1)</x:f>
        <x:v>RT-R3</x:v>
      </x:c>
      <x:c r="N114" s="46" t="n">
        <x:f>Controls!$C$20</x:f>
        <x:v>6</x:v>
      </x:c>
      <x:c r="O114" s="46" t="n">
        <x:f>Controls!$C$27</x:f>
        <x:v>15</x:v>
      </x:c>
      <x:c r="P114" s="46" t="str">
        <x:v>PLANNED</x:v>
      </x:c>
      <x:c r="Q114" s="63"/>
    </x:row>
    <x:row r="115">
      <x:c r="B115" s="46" t="str">
        <x:v>JM-110</x:v>
      </x:c>
      <x:c r="C115" s="46" t="str">
        <x:v>I2</x:v>
      </x:c>
      <x:c r="D115" s="46" t="n">
        <x:v>10</x:v>
      </x:c>
      <x:c r="E115" s="46" t="str">
        <x:v>SITE-1</x:v>
      </x:c>
      <x:c r="F115" s="46" t="n">
        <x:v>1</x:v>
      </x:c>
      <x:c r="G115" s="46" t="n">
        <x:v>2</x:v>
      </x:c>
      <x:c r="H115" s="46" t="str">
        <x:f>"ET-R"&amp;(MOD($G115-1+$D115+$F115+0,4)+1)</x:f>
        <x:v>ET-R1</x:v>
      </x:c>
      <x:c r="I115" s="46" t="str">
        <x:f>"CT-R"&amp;(MOD($G115-1+$D115+$F115+1,4)+1)</x:f>
        <x:v>CT-R2</x:v>
      </x:c>
      <x:c r="J115" s="46" t="str">
        <x:f>"HC-R"&amp;(MOD($G115-1+$D115+$F115+2,4)+1)</x:f>
        <x:v>HC-R3</x:v>
      </x:c>
      <x:c r="K115" s="46" t="str">
        <x:f>"LF-R"&amp;(MOD($G115-1+$D115+$F115+3,4)+1)</x:f>
        <x:v>LF-R4</x:v>
      </x:c>
      <x:c r="L115" s="46" t="str">
        <x:f>"HU-R"&amp;(MOD($G115-1+$D115+$F115+1,4)+1)</x:f>
        <x:v>HU-R2</x:v>
      </x:c>
      <x:c r="M115" s="46" t="str">
        <x:f>"RT-R"&amp;(MOD($G115-1+$D115+$F115+3,4)+1)</x:f>
        <x:v>RT-R4</x:v>
      </x:c>
      <x:c r="N115" s="46" t="n">
        <x:f>Controls!$C$20</x:f>
        <x:v>6</x:v>
      </x:c>
      <x:c r="O115" s="46" t="n">
        <x:f>Controls!$C$27</x:f>
        <x:v>15</x:v>
      </x:c>
      <x:c r="P115" s="46" t="str">
        <x:v>PLANNED</x:v>
      </x:c>
      <x:c r="Q115" s="63"/>
    </x:row>
    <x:row r="116">
      <x:c r="B116" s="46" t="str">
        <x:v>JM-111</x:v>
      </x:c>
      <x:c r="C116" s="46" t="str">
        <x:v>I2</x:v>
      </x:c>
      <x:c r="D116" s="46" t="n">
        <x:v>10</x:v>
      </x:c>
      <x:c r="E116" s="46" t="str">
        <x:v>SITE-1</x:v>
      </x:c>
      <x:c r="F116" s="46" t="n">
        <x:v>1</x:v>
      </x:c>
      <x:c r="G116" s="46" t="n">
        <x:v>3</x:v>
      </x:c>
      <x:c r="H116" s="46" t="str">
        <x:f>"ET-R"&amp;(MOD($G116-1+$D116+$F116+0,4)+1)</x:f>
        <x:v>ET-R2</x:v>
      </x:c>
      <x:c r="I116" s="46" t="str">
        <x:f>"CT-R"&amp;(MOD($G116-1+$D116+$F116+1,4)+1)</x:f>
        <x:v>CT-R3</x:v>
      </x:c>
      <x:c r="J116" s="46" t="str">
        <x:f>"HC-R"&amp;(MOD($G116-1+$D116+$F116+2,4)+1)</x:f>
        <x:v>HC-R4</x:v>
      </x:c>
      <x:c r="K116" s="46" t="str">
        <x:f>"LF-R"&amp;(MOD($G116-1+$D116+$F116+3,4)+1)</x:f>
        <x:v>LF-R1</x:v>
      </x:c>
      <x:c r="L116" s="46" t="str">
        <x:f>"HU-R"&amp;(MOD($G116-1+$D116+$F116+1,4)+1)</x:f>
        <x:v>HU-R3</x:v>
      </x:c>
      <x:c r="M116" s="46" t="str">
        <x:f>"RT-R"&amp;(MOD($G116-1+$D116+$F116+3,4)+1)</x:f>
        <x:v>RT-R1</x:v>
      </x:c>
      <x:c r="N116" s="46" t="n">
        <x:f>Controls!$C$20</x:f>
        <x:v>6</x:v>
      </x:c>
      <x:c r="O116" s="46" t="n">
        <x:f>Controls!$C$27</x:f>
        <x:v>15</x:v>
      </x:c>
      <x:c r="P116" s="46" t="str">
        <x:v>PLANNED</x:v>
      </x:c>
      <x:c r="Q116" s="63"/>
    </x:row>
    <x:row r="117">
      <x:c r="B117" s="46" t="str">
        <x:v>JM-112</x:v>
      </x:c>
      <x:c r="C117" s="46" t="str">
        <x:v>I2</x:v>
      </x:c>
      <x:c r="D117" s="46" t="n">
        <x:v>10</x:v>
      </x:c>
      <x:c r="E117" s="46" t="str">
        <x:v>SITE-1</x:v>
      </x:c>
      <x:c r="F117" s="46" t="n">
        <x:v>1</x:v>
      </x:c>
      <x:c r="G117" s="46" t="n">
        <x:v>4</x:v>
      </x:c>
      <x:c r="H117" s="46" t="str">
        <x:f>"ET-R"&amp;(MOD($G117-1+$D117+$F117+0,4)+1)</x:f>
        <x:v>ET-R3</x:v>
      </x:c>
      <x:c r="I117" s="46" t="str">
        <x:f>"CT-R"&amp;(MOD($G117-1+$D117+$F117+1,4)+1)</x:f>
        <x:v>CT-R4</x:v>
      </x:c>
      <x:c r="J117" s="46" t="str">
        <x:f>"HC-R"&amp;(MOD($G117-1+$D117+$F117+2,4)+1)</x:f>
        <x:v>HC-R1</x:v>
      </x:c>
      <x:c r="K117" s="46" t="str">
        <x:f>"LF-R"&amp;(MOD($G117-1+$D117+$F117+3,4)+1)</x:f>
        <x:v>LF-R2</x:v>
      </x:c>
      <x:c r="L117" s="46" t="str">
        <x:f>"HU-R"&amp;(MOD($G117-1+$D117+$F117+1,4)+1)</x:f>
        <x:v>HU-R4</x:v>
      </x:c>
      <x:c r="M117" s="46" t="str">
        <x:f>"RT-R"&amp;(MOD($G117-1+$D117+$F117+3,4)+1)</x:f>
        <x:v>RT-R2</x:v>
      </x:c>
      <x:c r="N117" s="46" t="n">
        <x:f>Controls!$C$20</x:f>
        <x:v>6</x:v>
      </x:c>
      <x:c r="O117" s="46" t="n">
        <x:f>Controls!$C$27</x:f>
        <x:v>15</x:v>
      </x:c>
      <x:c r="P117" s="46" t="str">
        <x:v>PLANNED</x:v>
      </x:c>
      <x:c r="Q117" s="63"/>
    </x:row>
    <x:row r="118">
      <x:c r="B118" s="46" t="str">
        <x:v>JM-113</x:v>
      </x:c>
      <x:c r="C118" s="46" t="str">
        <x:v>I2</x:v>
      </x:c>
      <x:c r="D118" s="46" t="n">
        <x:v>10</x:v>
      </x:c>
      <x:c r="E118" s="46" t="str">
        <x:v>SITE-2</x:v>
      </x:c>
      <x:c r="F118" s="46" t="n">
        <x:v>2</x:v>
      </x:c>
      <x:c r="G118" s="46" t="n">
        <x:v>1</x:v>
      </x:c>
      <x:c r="H118" s="46" t="str">
        <x:f>"ET-R"&amp;(MOD($G118-1+$D118+$F118+0,4)+1)</x:f>
        <x:v>ET-R1</x:v>
      </x:c>
      <x:c r="I118" s="46" t="str">
        <x:f>"CT-R"&amp;(MOD($G118-1+$D118+$F118+1,4)+1)</x:f>
        <x:v>CT-R2</x:v>
      </x:c>
      <x:c r="J118" s="46" t="str">
        <x:f>"HC-R"&amp;(MOD($G118-1+$D118+$F118+2,4)+1)</x:f>
        <x:v>HC-R3</x:v>
      </x:c>
      <x:c r="K118" s="46" t="str">
        <x:f>"LF-R"&amp;(MOD($G118-1+$D118+$F118+3,4)+1)</x:f>
        <x:v>LF-R4</x:v>
      </x:c>
      <x:c r="L118" s="46" t="str">
        <x:f>"HU-R"&amp;(MOD($G118-1+$D118+$F118+1,4)+1)</x:f>
        <x:v>HU-R2</x:v>
      </x:c>
      <x:c r="M118" s="46" t="str">
        <x:f>"RT-R"&amp;(MOD($G118-1+$D118+$F118+3,4)+1)</x:f>
        <x:v>RT-R4</x:v>
      </x:c>
      <x:c r="N118" s="46" t="n">
        <x:f>Controls!$C$20</x:f>
        <x:v>6</x:v>
      </x:c>
      <x:c r="O118" s="46" t="n">
        <x:f>Controls!$C$27</x:f>
        <x:v>15</x:v>
      </x:c>
      <x:c r="P118" s="46" t="str">
        <x:v>PLANNED</x:v>
      </x:c>
      <x:c r="Q118" s="63"/>
    </x:row>
    <x:row r="119">
      <x:c r="B119" s="46" t="str">
        <x:v>JM-114</x:v>
      </x:c>
      <x:c r="C119" s="46" t="str">
        <x:v>I2</x:v>
      </x:c>
      <x:c r="D119" s="46" t="n">
        <x:v>10</x:v>
      </x:c>
      <x:c r="E119" s="46" t="str">
        <x:v>SITE-2</x:v>
      </x:c>
      <x:c r="F119" s="46" t="n">
        <x:v>2</x:v>
      </x:c>
      <x:c r="G119" s="46" t="n">
        <x:v>2</x:v>
      </x:c>
      <x:c r="H119" s="46" t="str">
        <x:f>"ET-R"&amp;(MOD($G119-1+$D119+$F119+0,4)+1)</x:f>
        <x:v>ET-R2</x:v>
      </x:c>
      <x:c r="I119" s="46" t="str">
        <x:f>"CT-R"&amp;(MOD($G119-1+$D119+$F119+1,4)+1)</x:f>
        <x:v>CT-R3</x:v>
      </x:c>
      <x:c r="J119" s="46" t="str">
        <x:f>"HC-R"&amp;(MOD($G119-1+$D119+$F119+2,4)+1)</x:f>
        <x:v>HC-R4</x:v>
      </x:c>
      <x:c r="K119" s="46" t="str">
        <x:f>"LF-R"&amp;(MOD($G119-1+$D119+$F119+3,4)+1)</x:f>
        <x:v>LF-R1</x:v>
      </x:c>
      <x:c r="L119" s="46" t="str">
        <x:f>"HU-R"&amp;(MOD($G119-1+$D119+$F119+1,4)+1)</x:f>
        <x:v>HU-R3</x:v>
      </x:c>
      <x:c r="M119" s="46" t="str">
        <x:f>"RT-R"&amp;(MOD($G119-1+$D119+$F119+3,4)+1)</x:f>
        <x:v>RT-R1</x:v>
      </x:c>
      <x:c r="N119" s="46" t="n">
        <x:f>Controls!$C$20</x:f>
        <x:v>6</x:v>
      </x:c>
      <x:c r="O119" s="46" t="n">
        <x:f>Controls!$C$27</x:f>
        <x:v>15</x:v>
      </x:c>
      <x:c r="P119" s="46" t="str">
        <x:v>PLANNED</x:v>
      </x:c>
      <x:c r="Q119" s="63"/>
    </x:row>
    <x:row r="120">
      <x:c r="B120" s="46" t="str">
        <x:v>JM-115</x:v>
      </x:c>
      <x:c r="C120" s="46" t="str">
        <x:v>I2</x:v>
      </x:c>
      <x:c r="D120" s="46" t="n">
        <x:v>10</x:v>
      </x:c>
      <x:c r="E120" s="46" t="str">
        <x:v>SITE-2</x:v>
      </x:c>
      <x:c r="F120" s="46" t="n">
        <x:v>2</x:v>
      </x:c>
      <x:c r="G120" s="46" t="n">
        <x:v>3</x:v>
      </x:c>
      <x:c r="H120" s="46" t="str">
        <x:f>"ET-R"&amp;(MOD($G120-1+$D120+$F120+0,4)+1)</x:f>
        <x:v>ET-R3</x:v>
      </x:c>
      <x:c r="I120" s="46" t="str">
        <x:f>"CT-R"&amp;(MOD($G120-1+$D120+$F120+1,4)+1)</x:f>
        <x:v>CT-R4</x:v>
      </x:c>
      <x:c r="J120" s="46" t="str">
        <x:f>"HC-R"&amp;(MOD($G120-1+$D120+$F120+2,4)+1)</x:f>
        <x:v>HC-R1</x:v>
      </x:c>
      <x:c r="K120" s="46" t="str">
        <x:f>"LF-R"&amp;(MOD($G120-1+$D120+$F120+3,4)+1)</x:f>
        <x:v>LF-R2</x:v>
      </x:c>
      <x:c r="L120" s="46" t="str">
        <x:f>"HU-R"&amp;(MOD($G120-1+$D120+$F120+1,4)+1)</x:f>
        <x:v>HU-R4</x:v>
      </x:c>
      <x:c r="M120" s="46" t="str">
        <x:f>"RT-R"&amp;(MOD($G120-1+$D120+$F120+3,4)+1)</x:f>
        <x:v>RT-R2</x:v>
      </x:c>
      <x:c r="N120" s="46" t="n">
        <x:f>Controls!$C$20</x:f>
        <x:v>6</x:v>
      </x:c>
      <x:c r="O120" s="46" t="n">
        <x:f>Controls!$C$27</x:f>
        <x:v>15</x:v>
      </x:c>
      <x:c r="P120" s="46" t="str">
        <x:v>PLANNED</x:v>
      </x:c>
      <x:c r="Q120" s="63"/>
    </x:row>
    <x:row r="121">
      <x:c r="B121" s="46" t="str">
        <x:v>JM-116</x:v>
      </x:c>
      <x:c r="C121" s="46" t="str">
        <x:v>I2</x:v>
      </x:c>
      <x:c r="D121" s="46" t="n">
        <x:v>10</x:v>
      </x:c>
      <x:c r="E121" s="46" t="str">
        <x:v>SITE-2</x:v>
      </x:c>
      <x:c r="F121" s="46" t="n">
        <x:v>2</x:v>
      </x:c>
      <x:c r="G121" s="46" t="n">
        <x:v>4</x:v>
      </x:c>
      <x:c r="H121" s="46" t="str">
        <x:f>"ET-R"&amp;(MOD($G121-1+$D121+$F121+0,4)+1)</x:f>
        <x:v>ET-R4</x:v>
      </x:c>
      <x:c r="I121" s="46" t="str">
        <x:f>"CT-R"&amp;(MOD($G121-1+$D121+$F121+1,4)+1)</x:f>
        <x:v>CT-R1</x:v>
      </x:c>
      <x:c r="J121" s="46" t="str">
        <x:f>"HC-R"&amp;(MOD($G121-1+$D121+$F121+2,4)+1)</x:f>
        <x:v>HC-R2</x:v>
      </x:c>
      <x:c r="K121" s="46" t="str">
        <x:f>"LF-R"&amp;(MOD($G121-1+$D121+$F121+3,4)+1)</x:f>
        <x:v>LF-R3</x:v>
      </x:c>
      <x:c r="L121" s="46" t="str">
        <x:f>"HU-R"&amp;(MOD($G121-1+$D121+$F121+1,4)+1)</x:f>
        <x:v>HU-R1</x:v>
      </x:c>
      <x:c r="M121" s="46" t="str">
        <x:f>"RT-R"&amp;(MOD($G121-1+$D121+$F121+3,4)+1)</x:f>
        <x:v>RT-R3</x:v>
      </x:c>
      <x:c r="N121" s="46" t="n">
        <x:f>Controls!$C$20</x:f>
        <x:v>6</x:v>
      </x:c>
      <x:c r="O121" s="46" t="n">
        <x:f>Controls!$C$27</x:f>
        <x:v>15</x:v>
      </x:c>
      <x:c r="P121" s="46" t="str">
        <x:v>PLANNED</x:v>
      </x:c>
      <x:c r="Q121" s="63"/>
    </x:row>
    <x:row r="122">
      <x:c r="B122" s="46" t="str">
        <x:v>JM-117</x:v>
      </x:c>
      <x:c r="C122" s="46" t="str">
        <x:v>I2</x:v>
      </x:c>
      <x:c r="D122" s="46" t="n">
        <x:v>10</x:v>
      </x:c>
      <x:c r="E122" s="46" t="str">
        <x:v>SITE-3</x:v>
      </x:c>
      <x:c r="F122" s="46" t="n">
        <x:v>3</x:v>
      </x:c>
      <x:c r="G122" s="46" t="n">
        <x:v>1</x:v>
      </x:c>
      <x:c r="H122" s="46" t="str">
        <x:f>"ET-R"&amp;(MOD($G122-1+$D122+$F122+0,4)+1)</x:f>
        <x:v>ET-R2</x:v>
      </x:c>
      <x:c r="I122" s="46" t="str">
        <x:f>"CT-R"&amp;(MOD($G122-1+$D122+$F122+1,4)+1)</x:f>
        <x:v>CT-R3</x:v>
      </x:c>
      <x:c r="J122" s="46" t="str">
        <x:f>"HC-R"&amp;(MOD($G122-1+$D122+$F122+2,4)+1)</x:f>
        <x:v>HC-R4</x:v>
      </x:c>
      <x:c r="K122" s="46" t="str">
        <x:f>"LF-R"&amp;(MOD($G122-1+$D122+$F122+3,4)+1)</x:f>
        <x:v>LF-R1</x:v>
      </x:c>
      <x:c r="L122" s="46" t="str">
        <x:f>"HU-R"&amp;(MOD($G122-1+$D122+$F122+1,4)+1)</x:f>
        <x:v>HU-R3</x:v>
      </x:c>
      <x:c r="M122" s="46" t="str">
        <x:f>"RT-R"&amp;(MOD($G122-1+$D122+$F122+3,4)+1)</x:f>
        <x:v>RT-R1</x:v>
      </x:c>
      <x:c r="N122" s="46" t="n">
        <x:f>Controls!$C$20</x:f>
        <x:v>6</x:v>
      </x:c>
      <x:c r="O122" s="46" t="n">
        <x:f>Controls!$C$27</x:f>
        <x:v>15</x:v>
      </x:c>
      <x:c r="P122" s="46" t="str">
        <x:v>PLANNED</x:v>
      </x:c>
      <x:c r="Q122" s="63"/>
    </x:row>
    <x:row r="123">
      <x:c r="B123" s="46" t="str">
        <x:v>JM-118</x:v>
      </x:c>
      <x:c r="C123" s="46" t="str">
        <x:v>I2</x:v>
      </x:c>
      <x:c r="D123" s="46" t="n">
        <x:v>10</x:v>
      </x:c>
      <x:c r="E123" s="46" t="str">
        <x:v>SITE-3</x:v>
      </x:c>
      <x:c r="F123" s="46" t="n">
        <x:v>3</x:v>
      </x:c>
      <x:c r="G123" s="46" t="n">
        <x:v>2</x:v>
      </x:c>
      <x:c r="H123" s="46" t="str">
        <x:f>"ET-R"&amp;(MOD($G123-1+$D123+$F123+0,4)+1)</x:f>
        <x:v>ET-R3</x:v>
      </x:c>
      <x:c r="I123" s="46" t="str">
        <x:f>"CT-R"&amp;(MOD($G123-1+$D123+$F123+1,4)+1)</x:f>
        <x:v>CT-R4</x:v>
      </x:c>
      <x:c r="J123" s="46" t="str">
        <x:f>"HC-R"&amp;(MOD($G123-1+$D123+$F123+2,4)+1)</x:f>
        <x:v>HC-R1</x:v>
      </x:c>
      <x:c r="K123" s="46" t="str">
        <x:f>"LF-R"&amp;(MOD($G123-1+$D123+$F123+3,4)+1)</x:f>
        <x:v>LF-R2</x:v>
      </x:c>
      <x:c r="L123" s="46" t="str">
        <x:f>"HU-R"&amp;(MOD($G123-1+$D123+$F123+1,4)+1)</x:f>
        <x:v>HU-R4</x:v>
      </x:c>
      <x:c r="M123" s="46" t="str">
        <x:f>"RT-R"&amp;(MOD($G123-1+$D123+$F123+3,4)+1)</x:f>
        <x:v>RT-R2</x:v>
      </x:c>
      <x:c r="N123" s="46" t="n">
        <x:f>Controls!$C$20</x:f>
        <x:v>6</x:v>
      </x:c>
      <x:c r="O123" s="46" t="n">
        <x:f>Controls!$C$27</x:f>
        <x:v>15</x:v>
      </x:c>
      <x:c r="P123" s="46" t="str">
        <x:v>PLANNED</x:v>
      </x:c>
      <x:c r="Q123" s="63"/>
    </x:row>
    <x:row r="124">
      <x:c r="B124" s="46" t="str">
        <x:v>JM-119</x:v>
      </x:c>
      <x:c r="C124" s="46" t="str">
        <x:v>I2</x:v>
      </x:c>
      <x:c r="D124" s="46" t="n">
        <x:v>10</x:v>
      </x:c>
      <x:c r="E124" s="46" t="str">
        <x:v>SITE-3</x:v>
      </x:c>
      <x:c r="F124" s="46" t="n">
        <x:v>3</x:v>
      </x:c>
      <x:c r="G124" s="46" t="n">
        <x:v>3</x:v>
      </x:c>
      <x:c r="H124" s="46" t="str">
        <x:f>"ET-R"&amp;(MOD($G124-1+$D124+$F124+0,4)+1)</x:f>
        <x:v>ET-R4</x:v>
      </x:c>
      <x:c r="I124" s="46" t="str">
        <x:f>"CT-R"&amp;(MOD($G124-1+$D124+$F124+1,4)+1)</x:f>
        <x:v>CT-R1</x:v>
      </x:c>
      <x:c r="J124" s="46" t="str">
        <x:f>"HC-R"&amp;(MOD($G124-1+$D124+$F124+2,4)+1)</x:f>
        <x:v>HC-R2</x:v>
      </x:c>
      <x:c r="K124" s="46" t="str">
        <x:f>"LF-R"&amp;(MOD($G124-1+$D124+$F124+3,4)+1)</x:f>
        <x:v>LF-R3</x:v>
      </x:c>
      <x:c r="L124" s="46" t="str">
        <x:f>"HU-R"&amp;(MOD($G124-1+$D124+$F124+1,4)+1)</x:f>
        <x:v>HU-R1</x:v>
      </x:c>
      <x:c r="M124" s="46" t="str">
        <x:f>"RT-R"&amp;(MOD($G124-1+$D124+$F124+3,4)+1)</x:f>
        <x:v>RT-R3</x:v>
      </x:c>
      <x:c r="N124" s="46" t="n">
        <x:f>Controls!$C$20</x:f>
        <x:v>6</x:v>
      </x:c>
      <x:c r="O124" s="46" t="n">
        <x:f>Controls!$C$27</x:f>
        <x:v>15</x:v>
      </x:c>
      <x:c r="P124" s="46" t="str">
        <x:v>PLANNED</x:v>
      </x:c>
      <x:c r="Q124" s="63"/>
    </x:row>
    <x:row r="125">
      <x:c r="B125" s="47" t="str">
        <x:v>JM-120</x:v>
      </x:c>
      <x:c r="C125" s="47" t="str">
        <x:v>I2</x:v>
      </x:c>
      <x:c r="D125" s="47" t="n">
        <x:v>10</x:v>
      </x:c>
      <x:c r="E125" s="47" t="str">
        <x:v>SITE-3</x:v>
      </x:c>
      <x:c r="F125" s="47" t="n">
        <x:v>3</x:v>
      </x:c>
      <x:c r="G125" s="47" t="n">
        <x:v>4</x:v>
      </x:c>
      <x:c r="H125" s="47" t="str">
        <x:f>"ET-R"&amp;(MOD($G125-1+$D125+$F125+0,4)+1)</x:f>
        <x:v>ET-R1</x:v>
      </x:c>
      <x:c r="I125" s="47" t="str">
        <x:f>"CT-R"&amp;(MOD($G125-1+$D125+$F125+1,4)+1)</x:f>
        <x:v>CT-R2</x:v>
      </x:c>
      <x:c r="J125" s="47" t="str">
        <x:f>"HC-R"&amp;(MOD($G125-1+$D125+$F125+2,4)+1)</x:f>
        <x:v>HC-R3</x:v>
      </x:c>
      <x:c r="K125" s="47" t="str">
        <x:f>"LF-R"&amp;(MOD($G125-1+$D125+$F125+3,4)+1)</x:f>
        <x:v>LF-R4</x:v>
      </x:c>
      <x:c r="L125" s="47" t="str">
        <x:f>"HU-R"&amp;(MOD($G125-1+$D125+$F125+1,4)+1)</x:f>
        <x:v>HU-R2</x:v>
      </x:c>
      <x:c r="M125" s="47" t="str">
        <x:f>"RT-R"&amp;(MOD($G125-1+$D125+$F125+3,4)+1)</x:f>
        <x:v>RT-R4</x:v>
      </x:c>
      <x:c r="N125" s="47" t="n">
        <x:f>Controls!$C$20</x:f>
        <x:v>6</x:v>
      </x:c>
      <x:c r="O125" s="47" t="n">
        <x:f>Controls!$C$27</x:f>
        <x:v>15</x:v>
      </x:c>
      <x:c r="P125" s="47" t="str">
        <x:v>PLANNED</x:v>
      </x:c>
      <x:c r="Q125" s="6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0" hidden="0" customWidth="1"/>
    <x:col min="3" max="3" width="12" hidden="0" customWidth="1"/>
    <x:col min="4" max="4" width="12" hidden="0" customWidth="1"/>
    <x:col min="5" max="5" width="43" hidden="0" customWidth="1"/>
    <x:col min="6" max="6" width="43" hidden="0" customWidth="1"/>
    <x:col min="7" max="7" width="43" hidden="0" customWidth="1"/>
    <x:col min="8" max="8" width="11" hidden="0" customWidth="1"/>
  </x:cols>
  <x:sheetData>
    <x:row r="2">
      <x:c r="B2" s="62" t="str">
        <x:v>Fifteen joint mission-system interfaces</x:v>
      </x:c>
      <x:c r="C2" s="63"/>
      <x:c r="D2" s="63"/>
      <x:c r="E2" s="63"/>
      <x:c r="F2" s="63"/>
      <x:c r="G2" s="63"/>
      <x:c r="H2" s="63"/>
      <x:c r="I2" s="63"/>
    </x:row>
    <x:row r="3">
      <x:c r="B3" s="64" t="str">
        <x:v>Every complete mission observes every unordered pair; direction and custody are registered in the later exchange grammar.</x:v>
      </x:c>
      <x:c r="C3" s="64"/>
      <x:c r="D3" s="64"/>
      <x:c r="E3" s="64"/>
      <x:c r="F3" s="64"/>
      <x:c r="G3" s="64"/>
      <x:c r="H3" s="64"/>
      <x:c r="I3" s="64"/>
    </x:row>
    <x:row r="4">
      <x:c r="B4" s="65"/>
      <x:c r="C4" s="65"/>
      <x:c r="D4" s="65"/>
      <x:c r="E4" s="65"/>
      <x:c r="F4" s="65"/>
      <x:c r="G4" s="65"/>
      <x:c r="H4" s="65"/>
      <x:c r="I4" s="65"/>
    </x:row>
    <x:row r="5" ht="31" customHeight="1">
      <x:c r="B5" s="9" t="str">
        <x:v>Pair</x:v>
      </x:c>
      <x:c r="C5" s="10" t="str">
        <x:v>System A</x:v>
      </x:c>
      <x:c r="D5" s="10" t="str">
        <x:v>System B</x:v>
      </x:c>
      <x:c r="E5" s="10" t="str">
        <x:v>Exchanged service obligation</x:v>
      </x:c>
      <x:c r="F5" s="10" t="str">
        <x:v>Representative severance</x:v>
      </x:c>
      <x:c r="G5" s="10" t="str">
        <x:v>Acceptance owner</x:v>
      </x:c>
      <x:c r="H5" s="11" t="str">
        <x:v>State</x:v>
      </x:c>
      <x:c r="I5" s="63"/>
    </x:row>
    <x:row r="6" ht="48" customHeight="1">
      <x:c r="B6" s="13" t="str">
        <x:v>IF-01</x:v>
      </x:c>
      <x:c r="C6" s="13" t="str">
        <x:v>MS-ET</x:v>
      </x:c>
      <x:c r="D6" s="13" t="str">
        <x:v>MS-CT</x:v>
      </x:c>
      <x:c r="E6" s="26" t="str">
        <x:v>Dry staging, route release and lawful destination state</x:v>
      </x:c>
      <x:c r="F6" s="26" t="str">
        <x:v>Node opens but occupied neighborhood cannot be reached</x:v>
      </x:c>
      <x:c r="G6" s="26" t="str">
        <x:v>Both mission offices + civil effect ledger</x:v>
      </x:c>
      <x:c r="H6" s="13" t="str">
        <x:v>OPEN</x:v>
      </x:c>
      <x:c r="I6" s="63"/>
    </x:row>
    <x:row r="7" ht="48" customHeight="1">
      <x:c r="B7" s="13" t="str">
        <x:v>IF-02</x:v>
      </x:c>
      <x:c r="C7" s="13" t="str">
        <x:v>MS-ET</x:v>
      </x:c>
      <x:c r="D7" s="13" t="str">
        <x:v>MS-HC</x:v>
      </x:c>
      <x:c r="E7" s="26" t="str">
        <x:v>Hazard envelope, safe access window and intervention delivery</x:v>
      </x:c>
      <x:c r="F7" s="26" t="str">
        <x:v>Lift arrives inside an unsafe or unmeasured envelope</x:v>
      </x:c>
      <x:c r="G7" s="26" t="str">
        <x:v>Both mission offices + safety authority</x:v>
      </x:c>
      <x:c r="H7" s="13" t="str">
        <x:v>OPEN</x:v>
      </x:c>
      <x:c r="I7" s="63"/>
    </x:row>
    <x:row r="8" ht="48" customHeight="1">
      <x:c r="B8" s="13" t="str">
        <x:v>IF-03</x:v>
      </x:c>
      <x:c r="C8" s="13" t="str">
        <x:v>MS-ET</x:v>
      </x:c>
      <x:c r="D8" s="13" t="str">
        <x:v>MS-LF</x:v>
      </x:c>
      <x:c r="E8" s="26" t="str">
        <x:v>Carrier / node receipt, shore transfer and base utility burden</x:v>
      </x:c>
      <x:c r="F8" s="26" t="str">
        <x:v>Source reaches theater but cannot connect to a lawful receiver</x:v>
      </x:c>
      <x:c r="G8" s="26" t="str">
        <x:v>Both mission offices + infrastructure ledger</x:v>
      </x:c>
      <x:c r="H8" s="13" t="str">
        <x:v>OPEN</x:v>
      </x:c>
      <x:c r="I8" s="63"/>
    </x:row>
    <x:row r="9" ht="48" customHeight="1">
      <x:c r="B9" s="13" t="str">
        <x:v>IF-04</x:v>
      </x:c>
      <x:c r="C9" s="13" t="str">
        <x:v>MS-ET</x:v>
      </x:c>
      <x:c r="D9" s="13" t="str">
        <x:v>MS-HU</x:v>
      </x:c>
      <x:c r="E9" s="26" t="str">
        <x:v>Complete service formation and person-support modules</x:v>
      </x:c>
      <x:c r="F9" s="26" t="str">
        <x:v>Machinery arrives without the care / household service cell</x:v>
      </x:c>
      <x:c r="G9" s="26" t="str">
        <x:v>Both mission offices + human-continuity ledger</x:v>
      </x:c>
      <x:c r="H9" s="13" t="str">
        <x:v>OPEN</x:v>
      </x:c>
      <x:c r="I9" s="63"/>
    </x:row>
    <x:row r="10" ht="48" customHeight="1">
      <x:c r="B10" s="13" t="str">
        <x:v>IF-05</x:v>
      </x:c>
      <x:c r="C10" s="13" t="str">
        <x:v>MS-ET</x:v>
      </x:c>
      <x:c r="D10" s="13" t="str">
        <x:v>MS-RT</x:v>
      </x:c>
      <x:c r="E10" s="26" t="str">
        <x:v>Transport capacity, replacement flow and theater reset</x:v>
      </x:c>
      <x:c r="F10" s="26" t="str">
        <x:v>Entry consumes transport or maintenance needed to sustain itself</x:v>
      </x:c>
      <x:c r="G10" s="26" t="str">
        <x:v>Both mission offices + readiness authority</x:v>
      </x:c>
      <x:c r="H10" s="13" t="str">
        <x:v>OPEN</x:v>
      </x:c>
      <x:c r="I10" s="63"/>
    </x:row>
    <x:row r="11" ht="48" customHeight="1">
      <x:c r="B11" s="13" t="str">
        <x:v>IF-06</x:v>
      </x:c>
      <x:c r="C11" s="13" t="str">
        <x:v>MS-CT</x:v>
      </x:c>
      <x:c r="D11" s="13" t="str">
        <x:v>MS-HC</x:v>
      </x:c>
      <x:c r="E11" s="26" t="str">
        <x:v>Occupied-terrain hazard picture and protected corridor</x:v>
      </x:c>
      <x:c r="F11" s="26" t="str">
        <x:v>Public route exists but crosses an uncontrolled hazard</x:v>
      </x:c>
      <x:c r="G11" s="26" t="str">
        <x:v>Both mission offices + affected communities</x:v>
      </x:c>
      <x:c r="H11" s="13" t="str">
        <x:v>OPEN</x:v>
      </x:c>
      <x:c r="I11" s="63"/>
    </x:row>
    <x:row r="12" ht="48" customHeight="1">
      <x:c r="B12" s="13" t="str">
        <x:v>IF-07</x:v>
      </x:c>
      <x:c r="C12" s="13" t="str">
        <x:v>MS-CT</x:v>
      </x:c>
      <x:c r="D12" s="13" t="str">
        <x:v>MS-LF</x:v>
      </x:c>
      <x:c r="E12" s="26" t="str">
        <x:v>Last-mile utility path and public-service acceptance</x:v>
      </x:c>
      <x:c r="F12" s="26" t="str">
        <x:v>Bulk service exists but not at the point of use</x:v>
      </x:c>
      <x:c r="G12" s="26" t="str">
        <x:v>Both mission offices + effect ledger</x:v>
      </x:c>
      <x:c r="H12" s="13" t="str">
        <x:v>OPEN</x:v>
      </x:c>
      <x:c r="I12" s="63"/>
    </x:row>
    <x:row r="13" ht="48" customHeight="1">
      <x:c r="B13" s="13" t="str">
        <x:v>IF-08</x:v>
      </x:c>
      <x:c r="C13" s="13" t="str">
        <x:v>MS-CT</x:v>
      </x:c>
      <x:c r="D13" s="13" t="str">
        <x:v>MS-HU</x:v>
      </x:c>
      <x:c r="E13" s="26" t="str">
        <x:v>Person / household state, origin access and receiver admission</x:v>
      </x:c>
      <x:c r="F13" s="26" t="str">
        <x:v>A seat moves while identity, caregiver or destination breaks</x:v>
      </x:c>
      <x:c r="G13" s="26" t="str">
        <x:v>Both mission offices + rights authority</x:v>
      </x:c>
      <x:c r="H13" s="13" t="str">
        <x:v>OPEN</x:v>
      </x:c>
      <x:c r="I13" s="63"/>
    </x:row>
    <x:row r="14" ht="48" customHeight="1">
      <x:c r="B14" s="13" t="str">
        <x:v>IF-09</x:v>
      </x:c>
      <x:c r="C14" s="13" t="str">
        <x:v>MS-CT</x:v>
      </x:c>
      <x:c r="D14" s="13" t="str">
        <x:v>MS-RT</x:v>
      </x:c>
      <x:c r="E14" s="26" t="str">
        <x:v>Collection, return route and local restoration state</x:v>
      </x:c>
      <x:c r="F14" s="26" t="str">
        <x:v>Forward reach cannot be replenished or safely withdrawn</x:v>
      </x:c>
      <x:c r="G14" s="26" t="str">
        <x:v>Both mission offices + readiness authority</x:v>
      </x:c>
      <x:c r="H14" s="13" t="str">
        <x:v>OPEN</x:v>
      </x:c>
      <x:c r="I14" s="63"/>
    </x:row>
    <x:row r="15" ht="48" customHeight="1">
      <x:c r="B15" s="13" t="str">
        <x:v>IF-10</x:v>
      </x:c>
      <x:c r="C15" s="13" t="str">
        <x:v>MS-HC</x:v>
      </x:c>
      <x:c r="D15" s="13" t="str">
        <x:v>MS-LF</x:v>
      </x:c>
      <x:c r="E15" s="26" t="str">
        <x:v>Source protection, withdrawal / discharge and residual custody</x:v>
      </x:c>
      <x:c r="F15" s="26" t="str">
        <x:v>Hazard control contaminates or denies the lifeline source</x:v>
      </x:c>
      <x:c r="G15" s="26" t="str">
        <x:v>Both mission offices + environmental ledger</x:v>
      </x:c>
      <x:c r="H15" s="13" t="str">
        <x:v>OPEN</x:v>
      </x:c>
      <x:c r="I15" s="63"/>
    </x:row>
    <x:row r="16" ht="48" customHeight="1">
      <x:c r="B16" s="13" t="str">
        <x:v>IF-11</x:v>
      </x:c>
      <x:c r="C16" s="13" t="str">
        <x:v>MS-HC</x:v>
      </x:c>
      <x:c r="D16" s="13" t="str">
        <x:v>MS-HU</x:v>
      </x:c>
      <x:c r="E16" s="26" t="str">
        <x:v>Exposure state, safe occupancy and protective burden</x:v>
      </x:c>
      <x:c r="F16" s="26" t="str">
        <x:v>Hazard metric improves while people remain unsafe</x:v>
      </x:c>
      <x:c r="G16" s="26" t="str">
        <x:v>Both mission offices + health / safety ledger</x:v>
      </x:c>
      <x:c r="H16" s="13" t="str">
        <x:v>OPEN</x:v>
      </x:c>
      <x:c r="I16" s="63"/>
    </x:row>
    <x:row r="17" ht="48" customHeight="1">
      <x:c r="B17" s="13" t="str">
        <x:v>IF-12</x:v>
      </x:c>
      <x:c r="C17" s="13" t="str">
        <x:v>MS-HC</x:v>
      </x:c>
      <x:c r="D17" s="13" t="str">
        <x:v>MS-RT</x:v>
      </x:c>
      <x:c r="E17" s="26" t="str">
        <x:v>Contaminated residual, safeing and equipment recovery</x:v>
      </x:c>
      <x:c r="F17" s="26" t="str">
        <x:v>Intervention leaves unbounded material or unrecoverable plant</x:v>
      </x:c>
      <x:c r="G17" s="26" t="str">
        <x:v>Both mission offices + environmental ledger</x:v>
      </x:c>
      <x:c r="H17" s="13" t="str">
        <x:v>OPEN</x:v>
      </x:c>
      <x:c r="I17" s="63"/>
    </x:row>
    <x:row r="18" ht="48" customHeight="1">
      <x:c r="B18" s="13" t="str">
        <x:v>IF-13</x:v>
      </x:c>
      <x:c r="C18" s="13" t="str">
        <x:v>MS-LF</x:v>
      </x:c>
      <x:c r="D18" s="13" t="str">
        <x:v>MS-HU</x:v>
      </x:c>
      <x:c r="E18" s="26" t="str">
        <x:v>Water, energy, thermal and network service at point of use</x:v>
      </x:c>
      <x:c r="F18" s="26" t="str">
        <x:v>Nominal supply cannot support occupied continuity</x:v>
      </x:c>
      <x:c r="G18" s="26" t="str">
        <x:v>Both mission offices + human-continuity ledger</x:v>
      </x:c>
      <x:c r="H18" s="13" t="str">
        <x:v>OPEN</x:v>
      </x:c>
      <x:c r="I18" s="63"/>
    </x:row>
    <x:row r="19" ht="48" customHeight="1">
      <x:c r="B19" s="13" t="str">
        <x:v>IF-14</x:v>
      </x:c>
      <x:c r="C19" s="13" t="str">
        <x:v>MS-LF</x:v>
      </x:c>
      <x:c r="D19" s="13" t="str">
        <x:v>MS-RT</x:v>
      </x:c>
      <x:c r="E19" s="26" t="str">
        <x:v>Consumables, residual return, fuel and power for regeneration</x:v>
      </x:c>
      <x:c r="F19" s="26" t="str">
        <x:v>Lifeline output depends on a missing return or supply stream</x:v>
      </x:c>
      <x:c r="G19" s="26" t="str">
        <x:v>Both mission offices + infrastructure ledger</x:v>
      </x:c>
      <x:c r="H19" s="13" t="str">
        <x:v>OPEN</x:v>
      </x:c>
      <x:c r="I19" s="63"/>
    </x:row>
    <x:row r="20" ht="48" customHeight="1">
      <x:c r="B20" s="14" t="str">
        <x:v>IF-15</x:v>
      </x:c>
      <x:c r="C20" s="14" t="str">
        <x:v>MS-HU</x:v>
      </x:c>
      <x:c r="D20" s="14" t="str">
        <x:v>MS-RT</x:v>
      </x:c>
      <x:c r="E20" s="27" t="str">
        <x:v>Workforce / household replacement, handoff and return</x:v>
      </x:c>
      <x:c r="F20" s="27" t="str">
        <x:v>Service is sustained by exhausted staff or broken home systems</x:v>
      </x:c>
      <x:c r="G20" s="27" t="str">
        <x:v>Both mission offices + labor / rights authority</x:v>
      </x:c>
      <x:c r="H20" s="14" t="str">
        <x:v>OPEN</x:v>
      </x:c>
      <x:c r="I20" s="6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2" max="2" width="10" hidden="0" customWidth="1"/>
    <x:col min="3" max="3" width="10" hidden="0" customWidth="1"/>
    <x:col min="4" max="4" width="28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</x:cols>
  <x:sheetData>
    <x:row r="2">
      <x:c r="B2" s="62" t="str">
        <x:v>Twenty-four parent technology fields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</x:row>
    <x:row r="3">
      <x:c r="B3" s="64" t="str">
        <x:v>Mechanism-neutral competitions; MS-HU child campaigns refine four fields without adding budget.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</x:row>
    <x:row r="5" ht="31" customHeight="1">
      <x:c r="B5" s="9" t="str">
        <x:v>Program</x:v>
      </x:c>
      <x:c r="C5" s="10" t="str">
        <x:v>System</x:v>
      </x:c>
      <x:c r="D5" s="10" t="str">
        <x:v>Mission chain</x:v>
      </x:c>
      <x:c r="E5" s="10" t="str">
        <x:v>Problem field</x:v>
      </x:c>
      <x:c r="F5" s="10" t="str">
        <x:v>Binding coefficient</x:v>
      </x:c>
      <x:c r="G5" s="10" t="str">
        <x:v>Rival mechanisms</x:v>
      </x:c>
      <x:c r="H5" s="10" t="str">
        <x:v>Mission kill condition</x:v>
      </x:c>
      <x:c r="I5" s="10" t="str">
        <x:v>Allocation (USD B)</x:v>
      </x:c>
      <x:c r="J5" s="10" t="str">
        <x:v>W1 root floor</x:v>
      </x:c>
      <x:c r="K5" s="10" t="str">
        <x:v>W2 survivor floor</x:v>
      </x:c>
      <x:c r="L5" s="11" t="str">
        <x:v>State</x:v>
      </x:c>
      <x:c r="M5" s="63"/>
      <x:c r="N5" s="63"/>
    </x:row>
    <x:row r="6" ht="54" customHeight="1">
      <x:c r="B6" s="13" t="str">
        <x:v>ET-01</x:v>
      </x:c>
      <x:c r="C6" s="13" t="str">
        <x:v>MS-ET</x:v>
      </x:c>
      <x:c r="D6" s="26" t="str">
        <x:v>Enter a broken theater</x:v>
      </x:c>
      <x:c r="E6" s="26" t="str">
        <x:v>No-pier heavy transfer</x:v>
      </x:c>
      <x:c r="F6" s="26" t="str">
        <x:v>Accepted tonnes/hour from carrier to dry staging after port denial</x:v>
      </x:c>
      <x:c r="G6" s="26" t="str">
        <x:v>Ground-effect transfer; semisubmersible exchange; modular causeway; autonomous lighterage</x:v>
      </x:c>
      <x:c r="H6" s="26" t="str">
        <x:v>No rival closes sea state, receiver denial, safety and sustained throughput.</x:v>
      </x:c>
      <x:c r="I6" s="18" t="n">
        <x:v>22.25584902002111</x:v>
      </x:c>
      <x:c r="J6" s="49" t="n">
        <x:v>4</x:v>
      </x:c>
      <x:c r="K6" s="49" t="n">
        <x:v>2</x:v>
      </x:c>
      <x:c r="L6" s="13" t="str">
        <x:v>COMPETE</x:v>
      </x:c>
      <x:c r="M6" s="63"/>
      <x:c r="N6" s="63"/>
    </x:row>
    <x:row r="7" ht="54" customHeight="1">
      <x:c r="B7" s="13" t="str">
        <x:v>ET-02</x:v>
      </x:c>
      <x:c r="C7" s="13" t="str">
        <x:v>MS-ET</x:v>
      </x:c>
      <x:c r="D7" s="26" t="str">
        <x:v>Enter a broken theater</x:v>
      </x:c>
      <x:c r="E7" s="26" t="str">
        <x:v>Austere strategic lift</x:v>
      </x:c>
      <x:c r="F7" s="26" t="str">
        <x:v>Complete-formation tonnes delivered without a prepared runway</x:v>
      </x:c>
      <x:c r="G7" s="26" t="str">
        <x:v>Ground-coupled buoyant lift; distributed electric heavy lift; short-field lifting body</x:v>
      </x:c>
      <x:c r="H7" s="26" t="str">
        <x:v>Payload arrives without its complete service cell or cannot reset at an austere node.</x:v>
      </x:c>
      <x:c r="I7" s="18" t="n">
        <x:v>22.25584902002111</x:v>
      </x:c>
      <x:c r="J7" s="49" t="n">
        <x:v>4</x:v>
      </x:c>
      <x:c r="K7" s="49" t="n">
        <x:v>2</x:v>
      </x:c>
      <x:c r="L7" s="13" t="str">
        <x:v>COMPETE</x:v>
      </x:c>
      <x:c r="M7" s="63"/>
      <x:c r="N7" s="63"/>
    </x:row>
    <x:row r="8" ht="54" customHeight="1">
      <x:c r="B8" s="13" t="str">
        <x:v>ET-03</x:v>
      </x:c>
      <x:c r="C8" s="13" t="str">
        <x:v>MS-ET</x:v>
      </x:c>
      <x:c r="D8" s="26" t="str">
        <x:v>Enter a broken theater</x:v>
      </x:c>
      <x:c r="E8" s="26" t="str">
        <x:v>Autonomous node opening</x:v>
      </x:c>
      <x:c r="F8" s="26" t="str">
        <x:v>Hours to certified 1,000-tonne/day reception</x:v>
      </x:c>
      <x:c r="G8" s="26" t="str">
        <x:v>Robotic survey; self-leveling surfaces; modular quay and apron; autonomous cross-dock</x:v>
      </x:c>
      <x:c r="H8" s="26" t="str">
        <x:v>Opening rate depends on unavailable host plant, labor or utilities.</x:v>
      </x:c>
      <x:c r="I8" s="18" t="n">
        <x:v>22.25584902002111</x:v>
      </x:c>
      <x:c r="J8" s="49" t="n">
        <x:v>4</x:v>
      </x:c>
      <x:c r="K8" s="49" t="n">
        <x:v>2</x:v>
      </x:c>
      <x:c r="L8" s="13" t="str">
        <x:v>COMPETE</x:v>
      </x:c>
      <x:c r="M8" s="63"/>
      <x:c r="N8" s="63"/>
    </x:row>
    <x:row r="9" ht="54" customHeight="1">
      <x:c r="B9" s="13" t="str">
        <x:v>ET-04</x:v>
      </x:c>
      <x:c r="C9" s="13" t="str">
        <x:v>MS-ET</x:v>
      </x:c>
      <x:c r="D9" s="26" t="str">
        <x:v>Enter a broken theater</x:v>
      </x:c>
      <x:c r="E9" s="26" t="str">
        <x:v>Distributed operating bases</x:v>
      </x:c>
      <x:c r="F9" s="26" t="str">
        <x:v>Host-utility burden per formation-day</x:v>
      </x:c>
      <x:c r="G9" s="26" t="str">
        <x:v>Closed-loop mobile base; offshore base; rail base; cellular terrain base</x:v>
      </x:c>
      <x:c r="H9" s="26" t="str">
        <x:v>Base competes with the supported population for water, power, access or waste capacity.</x:v>
      </x:c>
      <x:c r="I9" s="18" t="n">
        <x:v>22.25584902002111</x:v>
      </x:c>
      <x:c r="J9" s="49" t="n">
        <x:v>4</x:v>
      </x:c>
      <x:c r="K9" s="49" t="n">
        <x:v>2</x:v>
      </x:c>
      <x:c r="L9" s="13" t="str">
        <x:v>COMPETE</x:v>
      </x:c>
      <x:c r="M9" s="63"/>
      <x:c r="N9" s="63"/>
    </x:row>
    <x:row r="10" ht="54" customHeight="1">
      <x:c r="B10" s="13" t="str">
        <x:v>CT-01</x:v>
      </x:c>
      <x:c r="C10" s="13" t="str">
        <x:v>MS-CT</x:v>
      </x:c>
      <x:c r="D10" s="26" t="str">
        <x:v>Reach occupied civil terrain</x:v>
      </x:c>
      <x:c r="E10" s="26" t="str">
        <x:v>Disconnected civil state</x:v>
      </x:c>
      <x:c r="F10" s="26" t="str">
        <x:v>Households located, authenticated and served without grid or cloud</x:v>
      </x:c>
      <x:c r="G10" s="26" t="str">
        <x:v>Local-first identity; delay-tolerant civil mesh; privacy-preserving edge records</x:v>
      </x:c>
      <x:c r="H10" s="26" t="str">
        <x:v>Coverage or rights fail for a protected cohort under disconnected operation.</x:v>
      </x:c>
      <x:c r="I10" s="18" t="n">
        <x:v>22.968199654645346</x:v>
      </x:c>
      <x:c r="J10" s="49" t="n">
        <x:v>4</x:v>
      </x:c>
      <x:c r="K10" s="49" t="n">
        <x:v>2</x:v>
      </x:c>
      <x:c r="L10" s="13" t="str">
        <x:v>COMPETE</x:v>
      </x:c>
      <x:c r="M10" s="63"/>
      <x:c r="N10" s="63"/>
    </x:row>
    <x:row r="11" ht="54" customHeight="1">
      <x:c r="B11" s="13" t="str">
        <x:v>CT-02</x:v>
      </x:c>
      <x:c r="C11" s="13" t="str">
        <x:v>MS-CT</x:v>
      </x:c>
      <x:c r="D11" s="26" t="str">
        <x:v>Reach occupied civil terrain</x:v>
      </x:c>
      <x:c r="E11" s="26" t="str">
        <x:v>Building and vertical access</x:v>
      </x:c>
      <x:c r="F11" s="26" t="str">
        <x:v>Occupied floors safely reached per team-hour</x:v>
      </x:c>
      <x:c r="G11" s="26" t="str">
        <x:v>Robotic entry; temporary vertical systems; exterior access; powered stair support</x:v>
      </x:c>
      <x:c r="H11" s="26" t="str">
        <x:v>Mechanism transfers risk or labor to residents and caregivers.</x:v>
      </x:c>
      <x:c r="I11" s="18" t="n">
        <x:v>22.968199654645346</x:v>
      </x:c>
      <x:c r="J11" s="49" t="n">
        <x:v>4</x:v>
      </x:c>
      <x:c r="K11" s="49" t="n">
        <x:v>2</x:v>
      </x:c>
      <x:c r="L11" s="13" t="str">
        <x:v>COMPETE</x:v>
      </x:c>
      <x:c r="M11" s="63"/>
      <x:c r="N11" s="63"/>
    </x:row>
    <x:row r="12" ht="54" customHeight="1">
      <x:c r="B12" s="13" t="str">
        <x:v>CT-03</x:v>
      </x:c>
      <x:c r="C12" s="13" t="str">
        <x:v>MS-CT</x:v>
      </x:c>
      <x:c r="D12" s="26" t="str">
        <x:v>Reach occupied civil terrain</x:v>
      </x:c>
      <x:c r="E12" s="26" t="str">
        <x:v>Accessible collection</x:v>
      </x:c>
      <x:c r="F12" s="26" t="str">
        <x:v>Complete person-transfers per crew-hour from true origin</x:v>
      </x:c>
      <x:c r="G12" s="26" t="str">
        <x:v>Common-cabin mobility; autonomous neighborhood carriers; modular care cabins</x:v>
      </x:c>
      <x:c r="H12" s="26" t="str">
        <x:v>Seat movement breaks caregiver, device, medication, identity or destination continuity.</x:v>
      </x:c>
      <x:c r="I12" s="18" t="n">
        <x:v>22.968199654645346</x:v>
      </x:c>
      <x:c r="J12" s="49" t="n">
        <x:v>4</x:v>
      </x:c>
      <x:c r="K12" s="49" t="n">
        <x:v>2</x:v>
      </x:c>
      <x:c r="L12" s="13" t="str">
        <x:v>COMPETE</x:v>
      </x:c>
      <x:c r="M12" s="63"/>
      <x:c r="N12" s="63"/>
    </x:row>
    <x:row r="13" ht="54" customHeight="1">
      <x:c r="B13" s="13" t="str">
        <x:v>CT-04</x:v>
      </x:c>
      <x:c r="C13" s="13" t="str">
        <x:v>MS-CT</x:v>
      </x:c>
      <x:c r="D13" s="26" t="str">
        <x:v>Reach occupied civil terrain</x:v>
      </x:c>
      <x:c r="E13" s="26" t="str">
        <x:v>Degraded public communications</x:v>
      </x:c>
      <x:c r="F13" s="26" t="str">
        <x:v>Authenticated public-service transactions per kilowatt-hour</x:v>
      </x:c>
      <x:c r="G13" s="26" t="str">
        <x:v>Air relay; terrestrial mesh; optical links; local compute and broadcast</x:v>
      </x:c>
      <x:c r="H13" s="26" t="str">
        <x:v>Common software, spectrum or power loss defeats public and responder access.</x:v>
      </x:c>
      <x:c r="I13" s="18" t="n">
        <x:v>22.968199654645346</x:v>
      </x:c>
      <x:c r="J13" s="49" t="n">
        <x:v>4</x:v>
      </x:c>
      <x:c r="K13" s="49" t="n">
        <x:v>2</x:v>
      </x:c>
      <x:c r="L13" s="13" t="str">
        <x:v>COMPETE</x:v>
      </x:c>
      <x:c r="M13" s="63"/>
      <x:c r="N13" s="63"/>
    </x:row>
    <x:row r="14" ht="54" customHeight="1">
      <x:c r="B14" s="13" t="str">
        <x:v>HC-01</x:v>
      </x:c>
      <x:c r="C14" s="13" t="str">
        <x:v>MS-HC</x:v>
      </x:c>
      <x:c r="D14" s="26" t="str">
        <x:v>Control an active hazard</x:v>
      </x:c>
      <x:c r="E14" s="26" t="str">
        <x:v>Persistent fire control</x:v>
      </x:c>
      <x:c r="F14" s="26" t="str">
        <x:v>Contained edge per safe air-and-ground operating cycle</x:v>
      </x:c>
      <x:c r="G14" s="26" t="str">
        <x:v>Purpose-built endurance aircraft; uncrewed suppressor lattice; ground-fluid corridor</x:v>
      </x:c>
      <x:c r="H14" s="26" t="str">
        <x:v>Sortie output does not produce measured containment or creates unacceptable exposure.</x:v>
      </x:c>
      <x:c r="I14" s="18" t="n">
        <x:v>13.661989043130758</x:v>
      </x:c>
      <x:c r="J14" s="49" t="n">
        <x:v>4</x:v>
      </x:c>
      <x:c r="K14" s="49" t="n">
        <x:v>2</x:v>
      </x:c>
      <x:c r="L14" s="13" t="str">
        <x:v>COMPETE</x:v>
      </x:c>
      <x:c r="M14" s="63"/>
      <x:c r="N14" s="63"/>
    </x:row>
    <x:row r="15" ht="54" customHeight="1">
      <x:c r="B15" s="13" t="str">
        <x:v>HC-02</x:v>
      </x:c>
      <x:c r="C15" s="13" t="str">
        <x:v>MS-HC</x:v>
      </x:c>
      <x:c r="D15" s="26" t="str">
        <x:v>Control an active hazard</x:v>
      </x:c>
      <x:c r="E15" s="26" t="str">
        <x:v>Megaflow hydraulic control</x:v>
      </x:c>
      <x:c r="F15" s="26" t="str">
        <x:v>Controlled m³/s per deployed tonne and MW</x:v>
      </x:c>
      <x:c r="G15" s="26" t="str">
        <x:v>Cellular pumping; breach-arrest fabrics; mobile diversion; autonomous barrier placement</x:v>
      </x:c>
      <x:c r="H15" s="26" t="str">
        <x:v>Water moves without closing intake, discharge, erosion, contamination and recovery.</x:v>
      </x:c>
      <x:c r="I15" s="18" t="n">
        <x:v>13.661989043130758</x:v>
      </x:c>
      <x:c r="J15" s="49" t="n">
        <x:v>4</x:v>
      </x:c>
      <x:c r="K15" s="49" t="n">
        <x:v>2</x:v>
      </x:c>
      <x:c r="L15" s="13" t="str">
        <x:v>COMPETE</x:v>
      </x:c>
      <x:c r="M15" s="63"/>
      <x:c r="N15" s="63"/>
    </x:row>
    <x:row r="16" ht="54" customHeight="1">
      <x:c r="B16" s="13" t="str">
        <x:v>HC-03</x:v>
      </x:c>
      <x:c r="C16" s="13" t="str">
        <x:v>MS-HC</x:v>
      </x:c>
      <x:c r="D16" s="26" t="str">
        <x:v>Control an active hazard</x:v>
      </x:c>
      <x:c r="E16" s="26" t="str">
        <x:v>Autonomous earth and debris work</x:v>
      </x:c>
      <x:c r="F16" s="26" t="str">
        <x:v>Hazardous m³ processed per exposed worker-hour</x:v>
      </x:c>
      <x:c r="G16" s="26" t="str">
        <x:v>Teleoperated fleets; cooperative autonomy; mobile sorting; adaptive heavy plant</x:v>
      </x:c>
      <x:c r="H16" s="26" t="str">
        <x:v>Productivity depends on unsafe exposure or leaves an unbounded residual stream.</x:v>
      </x:c>
      <x:c r="I16" s="18" t="n">
        <x:v>13.661989043130758</x:v>
      </x:c>
      <x:c r="J16" s="49" t="n">
        <x:v>4</x:v>
      </x:c>
      <x:c r="K16" s="49" t="n">
        <x:v>2</x:v>
      </x:c>
      <x:c r="L16" s="13" t="str">
        <x:v>COMPETE</x:v>
      </x:c>
      <x:c r="M16" s="63"/>
      <x:c r="N16" s="63"/>
    </x:row>
    <x:row r="17" ht="54" customHeight="1">
      <x:c r="B17" s="13" t="str">
        <x:v>HC-04</x:v>
      </x:c>
      <x:c r="C17" s="13" t="str">
        <x:v>MS-HC</x:v>
      </x:c>
      <x:c r="D17" s="26" t="str">
        <x:v>Control an active hazard</x:v>
      </x:c>
      <x:c r="E17" s="26" t="str">
        <x:v>Environmental consequence control</x:v>
      </x:c>
      <x:c r="F17" s="26" t="str">
        <x:v>Time to bounded source, pathway and safe-state decision</x:v>
      </x:c>
      <x:c r="G17" s="26" t="str">
        <x:v>Distributed sensing; aerial tomography; causal plume and watershed models</x:v>
      </x:c>
      <x:c r="H17" s="26" t="str">
        <x:v>Signal cannot support a lawful intervention or release decision.</x:v>
      </x:c>
      <x:c r="I17" s="18" t="n">
        <x:v>13.661989043130758</x:v>
      </x:c>
      <x:c r="J17" s="49" t="n">
        <x:v>4</x:v>
      </x:c>
      <x:c r="K17" s="49" t="n">
        <x:v>2</x:v>
      </x:c>
      <x:c r="L17" s="13" t="str">
        <x:v>COMPETE</x:v>
      </x:c>
      <x:c r="M17" s="63"/>
      <x:c r="N17" s="63"/>
    </x:row>
    <x:row r="18" ht="54" customHeight="1">
      <x:c r="B18" s="13" t="str">
        <x:v>LF-01</x:v>
      </x:c>
      <x:c r="C18" s="13" t="str">
        <x:v>MS-LF</x:v>
      </x:c>
      <x:c r="D18" s="26" t="str">
        <x:v>Produce and distribute lifelines</x:v>
      </x:c>
      <x:c r="E18" s="26" t="str">
        <x:v>Strategic water-energy carriers</x:v>
      </x:c>
      <x:c r="F18" s="26" t="str">
        <x:v>Safe m³ and firm MW ashore per occupied carrier-day</x:v>
      </x:c>
      <x:c r="G18" s="26" t="str">
        <x:v>Firm-source coastal carriers; inland production barges; modular energy islands</x:v>
      </x:c>
      <x:c r="H18" s="26" t="str">
        <x:v>Source cannot close heat, concentrate, pipeline, licensing, crew and shore transfer.</x:v>
      </x:c>
      <x:c r="I18" s="18" t="n">
        <x:v>17.988256386411273</x:v>
      </x:c>
      <x:c r="J18" s="49" t="n">
        <x:v>4</x:v>
      </x:c>
      <x:c r="K18" s="49" t="n">
        <x:v>2</x:v>
      </x:c>
      <x:c r="L18" s="13" t="str">
        <x:v>COMPETE</x:v>
      </x:c>
      <x:c r="M18" s="63"/>
      <x:c r="N18" s="63"/>
    </x:row>
    <x:row r="19" ht="54" customHeight="1">
      <x:c r="B19" s="13" t="str">
        <x:v>LF-02</x:v>
      </x:c>
      <x:c r="C19" s="13" t="str">
        <x:v>MS-LF</x:v>
      </x:c>
      <x:c r="D19" s="26" t="str">
        <x:v>Produce and distribute lifelines</x:v>
      </x:c>
      <x:c r="E19" s="26" t="str">
        <x:v>Self-deploying utility corridors</x:v>
      </x:c>
      <x:c r="F19" s="26" t="str">
        <x:v>Service-capacity kilometres established per day</x:v>
      </x:c>
      <x:c r="G19" s="26" t="str">
        <x:v>Drone-laid pipe; robotic conductor; self-forming supports; autonomous trench and splice</x:v>
      </x:c>
      <x:c r="H19" s="26" t="str">
        <x:v>Corridor cannot survive terrain, pressure, protection, repair and public-interface loads.</x:v>
      </x:c>
      <x:c r="I19" s="18" t="n">
        <x:v>17.988256386411273</x:v>
      </x:c>
      <x:c r="J19" s="49" t="n">
        <x:v>4</x:v>
      </x:c>
      <x:c r="K19" s="49" t="n">
        <x:v>2</x:v>
      </x:c>
      <x:c r="L19" s="13" t="str">
        <x:v>COMPETE</x:v>
      </x:c>
      <x:c r="M19" s="63"/>
      <x:c r="N19" s="63"/>
    </x:row>
    <x:row r="20" ht="54" customHeight="1">
      <x:c r="B20" s="13" t="str">
        <x:v>LF-03</x:v>
      </x:c>
      <x:c r="C20" s="13" t="str">
        <x:v>MS-LF</x:v>
      </x:c>
      <x:c r="D20" s="26" t="str">
        <x:v>Produce and distribute lifelines</x:v>
      </x:c>
      <x:c r="E20" s="26" t="str">
        <x:v>Advanced separation and residual control</x:v>
      </x:c>
      <x:c r="F20" s="26" t="str">
        <x:v>Compliant yield per energy and residual mass</x:v>
      </x:c>
      <x:c r="G20" s="26" t="str">
        <x:v>Adaptive membranes; electrochemical separation; crystallization; biological polishing</x:v>
      </x:c>
      <x:c r="H20" s="26" t="str">
        <x:v>Product water externalizes hazardous concentrate, consumables or maintenance.</x:v>
      </x:c>
      <x:c r="I20" s="18" t="n">
        <x:v>17.988256386411273</x:v>
      </x:c>
      <x:c r="J20" s="49" t="n">
        <x:v>4</x:v>
      </x:c>
      <x:c r="K20" s="49" t="n">
        <x:v>2</x:v>
      </x:c>
      <x:c r="L20" s="13" t="str">
        <x:v>COMPETE</x:v>
      </x:c>
      <x:c r="M20" s="63"/>
      <x:c r="N20" s="63"/>
    </x:row>
    <x:row r="21" ht="54" customHeight="1">
      <x:c r="B21" s="13" t="str">
        <x:v>LF-04</x:v>
      </x:c>
      <x:c r="C21" s="13" t="str">
        <x:v>MS-LF</x:v>
      </x:c>
      <x:c r="D21" s="26" t="str">
        <x:v>Produce and distribute lifelines</x:v>
      </x:c>
      <x:c r="E21" s="26" t="str">
        <x:v>Grid-forming power and thermal cells</x:v>
      </x:c>
      <x:c r="F21" s="26" t="str">
        <x:v>Critical-load and safe-thermal MW per deployed tonne</x:v>
      </x:c>
      <x:c r="G21" s="26" t="str">
        <x:v>Firm generation; long-duration storage; mobile thermal networks; adaptive protection</x:v>
      </x:c>
      <x:c r="H21" s="26" t="str">
        <x:v>Source cannot energize a complete load island after largest-source or route loss.</x:v>
      </x:c>
      <x:c r="I21" s="18" t="n">
        <x:v>17.988256386411273</x:v>
      </x:c>
      <x:c r="J21" s="49" t="n">
        <x:v>4</x:v>
      </x:c>
      <x:c r="K21" s="49" t="n">
        <x:v>2</x:v>
      </x:c>
      <x:c r="L21" s="13" t="str">
        <x:v>COMPETE</x:v>
      </x:c>
      <x:c r="M21" s="63"/>
      <x:c r="N21" s="63"/>
    </x:row>
    <x:row r="22" ht="54" customHeight="1">
      <x:c r="B22" s="13" t="str">
        <x:v>HU-01</x:v>
      </x:c>
      <x:c r="C22" s="13" t="str">
        <x:v>MS-HU</x:v>
      </x:c>
      <x:c r="D22" s="26" t="str">
        <x:v>Preserve care and human continuity</x:v>
      </x:c>
      <x:c r="E22" s="26" t="str">
        <x:v>Distributed definitive care</x:v>
      </x:c>
      <x:c r="F22" s="26" t="str">
        <x:v>Acuity-adjusted care-hours per tonne and scarce specialist</x:v>
      </x:c>
      <x:c r="G22" s="26" t="str">
        <x:v>Clinical islands; distributed surgery; robotic diagnostics; mobile sterile supply</x:v>
      </x:c>
      <x:c r="H22" s="26" t="str">
        <x:v>Beds lack staff, oxygen, utilities, waste, referral, discharge or replacement.</x:v>
      </x:c>
      <x:c r="I22" s="18" t="n">
        <x:v>38.27544037243503</x:v>
      </x:c>
      <x:c r="J22" s="49" t="n">
        <x:v>4</x:v>
      </x:c>
      <x:c r="K22" s="49" t="n">
        <x:v>2</x:v>
      </x:c>
      <x:c r="L22" s="13" t="str">
        <x:v>COMPETE</x:v>
      </x:c>
      <x:c r="M22" s="63"/>
      <x:c r="N22" s="63"/>
    </x:row>
    <x:row r="23" ht="54" customHeight="1">
      <x:c r="B23" s="13" t="str">
        <x:v>HU-02</x:v>
      </x:c>
      <x:c r="C23" s="13" t="str">
        <x:v>MS-HU</x:v>
      </x:c>
      <x:c r="D23" s="26" t="str">
        <x:v>Preserve care and human continuity</x:v>
      </x:c>
      <x:c r="E23" s="26" t="str">
        <x:v>Clinical workforce multiplication</x:v>
      </x:c>
      <x:c r="F23" s="26" t="str">
        <x:v>Safe licensed care-hours per scarce expert-hour</x:v>
      </x:c>
      <x:c r="G23" s="26" t="str">
        <x:v>Supervised robotics; remote specialty cells; biomanufacturing; modular training</x:v>
      </x:c>
      <x:c r="H23" s="26" t="str">
        <x:v>Productivity weakens clinical authority, quality or fatigue limits.</x:v>
      </x:c>
      <x:c r="I23" s="18" t="n">
        <x:v>38.27544037243503</x:v>
      </x:c>
      <x:c r="J23" s="49" t="n">
        <x:v>4</x:v>
      </x:c>
      <x:c r="K23" s="49" t="n">
        <x:v>2</x:v>
      </x:c>
      <x:c r="L23" s="13" t="str">
        <x:v>COMPETE</x:v>
      </x:c>
      <x:c r="M23" s="63"/>
      <x:c r="N23" s="63"/>
    </x:row>
    <x:row r="24" ht="54" customHeight="1">
      <x:c r="B24" s="13" t="str">
        <x:v>HU-03</x:v>
      </x:c>
      <x:c r="C24" s="13" t="str">
        <x:v>MS-HU</x:v>
      </x:c>
      <x:c r="D24" s="26" t="str">
        <x:v>Preserve care and human continuity</x:v>
      </x:c>
      <x:c r="E24" s="26" t="str">
        <x:v>Population-support campuses</x:v>
      </x:c>
      <x:c r="F24" s="26" t="str">
        <x:v>Safe person-days per tonne and worker-hour</x:v>
      </x:c>
      <x:c r="G24" s="26" t="str">
        <x:v>Cellular shelter metabolism; thermal skins; automated feeding and hygiene</x:v>
      </x:c>
      <x:c r="H24" s="26" t="str">
        <x:v>Capacity lacks accessibility, safeguarding, public health, waste or durable exit.</x:v>
      </x:c>
      <x:c r="I24" s="18" t="n">
        <x:v>38.27544037243503</x:v>
      </x:c>
      <x:c r="J24" s="49" t="n">
        <x:v>4</x:v>
      </x:c>
      <x:c r="K24" s="49" t="n">
        <x:v>2</x:v>
      </x:c>
      <x:c r="L24" s="13" t="str">
        <x:v>COMPETE</x:v>
      </x:c>
      <x:c r="M24" s="63"/>
      <x:c r="N24" s="63"/>
    </x:row>
    <x:row r="25" ht="54" customHeight="1">
      <x:c r="B25" s="13" t="str">
        <x:v>HU-04</x:v>
      </x:c>
      <x:c r="C25" s="13" t="str">
        <x:v>MS-HU</x:v>
      </x:c>
      <x:c r="D25" s="26" t="str">
        <x:v>Preserve care and human continuity</x:v>
      </x:c>
      <x:c r="E25" s="26" t="str">
        <x:v>Patient and household continuity</x:v>
      </x:c>
      <x:c r="F25" s="26" t="str">
        <x:v>Transfers completed with care, identity, devices, caregivers and destination</x:v>
      </x:c>
      <x:c r="G25" s="26" t="str">
        <x:v>Continuity cabins; governed transfer nodes; local-first state; receiver network</x:v>
      </x:c>
      <x:c r="H25" s="26" t="str">
        <x:v>Motion succeeds while a required relationship or viable destination is lost.</x:v>
      </x:c>
      <x:c r="I25" s="18" t="n">
        <x:v>38.27544037243503</x:v>
      </x:c>
      <x:c r="J25" s="49" t="n">
        <x:v>4</x:v>
      </x:c>
      <x:c r="K25" s="49" t="n">
        <x:v>2</x:v>
      </x:c>
      <x:c r="L25" s="13" t="str">
        <x:v>COMPETE</x:v>
      </x:c>
      <x:c r="M25" s="63"/>
      <x:c r="N25" s="63"/>
    </x:row>
    <x:row r="26" ht="54" customHeight="1">
      <x:c r="B26" s="13" t="str">
        <x:v>RT-01</x:v>
      </x:c>
      <x:c r="C26" s="13" t="str">
        <x:v>MS-RT</x:v>
      </x:c>
      <x:c r="D26" s="26" t="str">
        <x:v>Sustain, transfer and regenerate</x:v>
      </x:c>
      <x:c r="E26" s="26" t="str">
        <x:v>Campaign sustainment</x:v>
      </x:c>
      <x:c r="F26" s="26" t="str">
        <x:v>Complete formation-days per daily tonne and labor-hour</x:v>
      </x:c>
      <x:c r="G26" s="26" t="str">
        <x:v>Autonomous inventory; predictive replenishment; multi-mode exchange; cold chain</x:v>
      </x:c>
      <x:c r="H26" s="26" t="str">
        <x:v>Commodity subtotal hides a missing class, return flow or distribution path.</x:v>
      </x:c>
      <x:c r="I26" s="18" t="n">
        <x:v>22.350265523356487</x:v>
      </x:c>
      <x:c r="J26" s="49" t="n">
        <x:v>4</x:v>
      </x:c>
      <x:c r="K26" s="49" t="n">
        <x:v>2</x:v>
      </x:c>
      <x:c r="L26" s="13" t="str">
        <x:v>COMPETE</x:v>
      </x:c>
      <x:c r="M26" s="63"/>
      <x:c r="N26" s="63"/>
    </x:row>
    <x:row r="27" ht="54" customHeight="1">
      <x:c r="B27" s="13" t="str">
        <x:v>RT-02</x:v>
      </x:c>
      <x:c r="C27" s="13" t="str">
        <x:v>MS-RT</x:v>
      </x:c>
      <x:c r="D27" s="26" t="str">
        <x:v>Sustain, transfer and regenerate</x:v>
      </x:c>
      <x:c r="E27" s="26" t="str">
        <x:v>Field regeneration</x:v>
      </x:c>
      <x:c r="F27" s="26" t="str">
        <x:v>Hours from damaged return to independent recertification</x:v>
      </x:c>
      <x:c r="G27" s="26" t="str">
        <x:v>Robotic inspection; modular swap; additive repair; distributed calibration</x:v>
      </x:c>
      <x:c r="H27" s="26" t="str">
        <x:v>Repair returns article without crew, software, evidence, spares or safe configuration.</x:v>
      </x:c>
      <x:c r="I27" s="18" t="n">
        <x:v>22.350265523356487</x:v>
      </x:c>
      <x:c r="J27" s="49" t="n">
        <x:v>4</x:v>
      </x:c>
      <x:c r="K27" s="49" t="n">
        <x:v>2</x:v>
      </x:c>
      <x:c r="L27" s="13" t="str">
        <x:v>COMPETE</x:v>
      </x:c>
      <x:c r="M27" s="63"/>
      <x:c r="N27" s="63"/>
    </x:row>
    <x:row r="28" ht="54" customHeight="1">
      <x:c r="B28" s="13" t="str">
        <x:v>RT-03</x:v>
      </x:c>
      <x:c r="C28" s="13" t="str">
        <x:v>MS-RT</x:v>
      </x:c>
      <x:c r="D28" s="26" t="str">
        <x:v>Sustain, transfer and regenerate</x:v>
      </x:c>
      <x:c r="E28" s="26" t="str">
        <x:v>Circular residual recovery</x:v>
      </x:c>
      <x:c r="F28" s="26" t="str">
        <x:v>Mission residual safely reused, immobilized or returned</x:v>
      </x:c>
      <x:c r="G28" s="26" t="str">
        <x:v>Mineralization; thermal conversion; selective recovery; closed-loop sanitation</x:v>
      </x:c>
      <x:c r="H28" s="26" t="str">
        <x:v>Process shifts hazard, energy or waste burden to the damaged community.</x:v>
      </x:c>
      <x:c r="I28" s="18" t="n">
        <x:v>22.350265523356487</x:v>
      </x:c>
      <x:c r="J28" s="49" t="n">
        <x:v>4</x:v>
      </x:c>
      <x:c r="K28" s="49" t="n">
        <x:v>2</x:v>
      </x:c>
      <x:c r="L28" s="13" t="str">
        <x:v>COMPETE</x:v>
      </x:c>
      <x:c r="M28" s="63"/>
      <x:c r="N28" s="63"/>
    </x:row>
    <x:row r="29" ht="54" customHeight="1">
      <x:c r="B29" s="14" t="str">
        <x:v>RT-04</x:v>
      </x:c>
      <x:c r="C29" s="14" t="str">
        <x:v>MS-RT</x:v>
      </x:c>
      <x:c r="D29" s="27" t="str">
        <x:v>Sustain, transfer and regenerate</x:v>
      </x:c>
      <x:c r="E29" s="27" t="str">
        <x:v>Workforce regeneration</x:v>
      </x:c>
      <x:c r="F29" s="27" t="str">
        <x:v>Certified shift-hours restored per worker and day</x:v>
      </x:c>
      <x:c r="G29" s="27" t="str">
        <x:v>Replacement cohorts; portable credentials; fatigue sensing; family support</x:v>
      </x:c>
      <x:c r="H29" s="27" t="str">
        <x:v>Readiness depends on exhausted staff, hollowed local systems or untested replacements.</x:v>
      </x:c>
      <x:c r="I29" s="48" t="n">
        <x:v>22.350265523356487</x:v>
      </x:c>
      <x:c r="J29" s="50" t="n">
        <x:v>4</x:v>
      </x:c>
      <x:c r="K29" s="50" t="n">
        <x:v>2</x:v>
      </x:c>
      <x:c r="L29" s="14" t="str">
        <x:v>COMPETE</x:v>
      </x:c>
      <x:c r="M29" s="63"/>
      <x:c r="N29" s="6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31" hidden="0" customWidth="1"/>
    <x:col min="3" max="3" width="4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5" hidden="0" customWidth="1"/>
    <x:col min="11" max="11" width="15" hidden="0" customWidth="1"/>
    <x:col min="12" max="12" width="43" hidden="0" customWidth="1"/>
    <x:col min="13" max="13" width="43" hidden="0" customWidth="1"/>
  </x:cols>
  <x:sheetData>
    <x:row r="2">
      <x:c r="B2" s="62" t="str">
        <x:v>Common technology primitives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</x:row>
    <x:row r="3">
      <x:c r="B3" s="64" t="str">
        <x:v>Interfaces and measurement are shared; no primitive earns a mission effect by itself and no new money is added here.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</x:row>
    <x:row r="5" ht="31" customHeight="1">
      <x:c r="B5" s="9" t="str">
        <x:v>Primitive</x:v>
      </x:c>
      <x:c r="C5" s="10" t="str">
        <x:v>Development object</x:v>
      </x:c>
      <x:c r="D5" s="10" t="str">
        <x:v>ET</x:v>
      </x:c>
      <x:c r="E5" s="10" t="str">
        <x:v>CT</x:v>
      </x:c>
      <x:c r="F5" s="10" t="str">
        <x:v>HC</x:v>
      </x:c>
      <x:c r="G5" s="10" t="str">
        <x:v>LF</x:v>
      </x:c>
      <x:c r="H5" s="10" t="str">
        <x:v>HU</x:v>
      </x:c>
      <x:c r="I5" s="10" t="str">
        <x:v>RT</x:v>
      </x:c>
      <x:c r="J5" s="10" t="str">
        <x:v>System touches</x:v>
      </x:c>
      <x:c r="K5" s="10" t="str">
        <x:v>Earliest wave</x:v>
      </x:c>
      <x:c r="L5" s="10" t="str">
        <x:v>Mission-level kill condition</x:v>
      </x:c>
      <x:c r="M5" s="11" t="str">
        <x:v>Accounting</x:v>
      </x:c>
      <x:c r="N5" s="63"/>
    </x:row>
    <x:row r="6" ht="48" customHeight="1">
      <x:c r="B6" s="26" t="str">
        <x:v>Earth observation and truth fabric</x:v>
      </x:c>
      <x:c r="C6" s="26" t="str">
        <x:v>Multi-domain sensing, provenance and uncertainty</x:v>
      </x:c>
      <x:c r="D6" s="32" t="b">
        <x:v>1</x:v>
      </x:c>
      <x:c r="E6" s="32" t="b">
        <x:v>1</x:v>
      </x:c>
      <x:c r="F6" s="32" t="b">
        <x:v>1</x:v>
      </x:c>
      <x:c r="G6" s="32" t="b">
        <x:v>1</x:v>
      </x:c>
      <x:c r="H6" s="32" t="b">
        <x:v>1</x:v>
      </x:c>
      <x:c r="I6" s="32" t="b">
        <x:v>1</x:v>
      </x:c>
      <x:c r="J6" s="49" t="n">
        <x:f>COUNTIF(D6:I6,TRUE)</x:f>
        <x:v>0</x:v>
      </x:c>
      <x:c r="K6" s="13" t="str">
        <x:v>W1</x:v>
      </x:c>
      <x:c r="L6" s="26" t="str">
        <x:v>Cannot preserve decision-grade truth through denial</x:v>
      </x:c>
      <x:c r="M6" s="26" t="str">
        <x:v>Cross-classified inside existing accounts</x:v>
      </x:c>
      <x:c r="N6" s="63"/>
    </x:row>
    <x:row r="7" ht="48" customHeight="1">
      <x:c r="B7" s="26" t="str">
        <x:v>Causal incident digital twin</x:v>
      </x:c>
      <x:c r="C7" s="26" t="str">
        <x:v>Intervention-aware prediction with counterfactuals</x:v>
      </x:c>
      <x:c r="D7" s="32" t="b">
        <x:v>1</x:v>
      </x:c>
      <x:c r="E7" s="32" t="b">
        <x:v>1</x:v>
      </x:c>
      <x:c r="F7" s="32" t="b">
        <x:v>1</x:v>
      </x:c>
      <x:c r="G7" s="32" t="b">
        <x:v>1</x:v>
      </x:c>
      <x:c r="H7" s="32" t="b">
        <x:v>1</x:v>
      </x:c>
      <x:c r="I7" s="32" t="b">
        <x:v>1</x:v>
      </x:c>
      <x:c r="J7" s="49" t="n">
        <x:f>COUNTIF(D7:I7,TRUE)</x:f>
        <x:v>0</x:v>
      </x:c>
      <x:c r="K7" s="13" t="str">
        <x:v>W1</x:v>
      </x:c>
      <x:c r="L7" s="26" t="str">
        <x:v>Forecast accuracy does not improve lawful action</x:v>
      </x:c>
      <x:c r="M7" s="26" t="str">
        <x:v>Cross-classified inside existing accounts</x:v>
      </x:c>
      <x:c r="N7" s="63"/>
    </x:row>
    <x:row r="8" ht="48" customHeight="1">
      <x:c r="B8" s="26" t="str">
        <x:v>Autonomous heterogeneous work cells</x:v>
      </x:c>
      <x:c r="C8" s="26" t="str">
        <x:v>Human-governed air, ground, maritime and building work</x:v>
      </x:c>
      <x:c r="D8" s="32" t="b">
        <x:v>1</x:v>
      </x:c>
      <x:c r="E8" s="32" t="b">
        <x:v>1</x:v>
      </x:c>
      <x:c r="F8" s="32" t="b">
        <x:v>1</x:v>
      </x:c>
      <x:c r="G8" s="32" t="b">
        <x:v>1</x:v>
      </x:c>
      <x:c r="H8" s="32" t="b">
        <x:v>1</x:v>
      </x:c>
      <x:c r="I8" s="32" t="b">
        <x:v>1</x:v>
      </x:c>
      <x:c r="J8" s="49" t="n">
        <x:f>COUNTIF(D8:I8,TRUE)</x:f>
        <x:v>0</x:v>
      </x:c>
      <x:c r="K8" s="13" t="str">
        <x:v>W1</x:v>
      </x:c>
      <x:c r="L8" s="26" t="str">
        <x:v>Output depends on unsafe exposure or brittle connectivity</x:v>
      </x:c>
      <x:c r="M8" s="26" t="str">
        <x:v>Cross-classified inside existing accounts</x:v>
      </x:c>
      <x:c r="N8" s="63"/>
    </x:row>
    <x:row r="9" ht="48" customHeight="1">
      <x:c r="B9" s="26" t="str">
        <x:v>Mobile power and thermal bus</x:v>
      </x:c>
      <x:c r="C9" s="26" t="str">
        <x:v>Grid-forming electrical, heat and cooling interfaces</x:v>
      </x:c>
      <x:c r="D9" s="32" t="b">
        <x:v>1</x:v>
      </x:c>
      <x:c r="E9" s="32" t="b">
        <x:v>1</x:v>
      </x:c>
      <x:c r="F9" s="32" t="b">
        <x:v>1</x:v>
      </x:c>
      <x:c r="G9" s="32" t="b">
        <x:v>1</x:v>
      </x:c>
      <x:c r="H9" s="32" t="b">
        <x:v>1</x:v>
      </x:c>
      <x:c r="I9" s="32" t="b">
        <x:v>1</x:v>
      </x:c>
      <x:c r="J9" s="49" t="n">
        <x:f>COUNTIF(D9:I9,TRUE)</x:f>
        <x:v>0</x:v>
      </x:c>
      <x:c r="K9" s="13" t="str">
        <x:v>W1</x:v>
      </x:c>
      <x:c r="L9" s="26" t="str">
        <x:v>Cannot form a complete load island after largest loss</x:v>
      </x:c>
      <x:c r="M9" s="26" t="str">
        <x:v>Cross-classified inside existing accounts</x:v>
      </x:c>
      <x:c r="N9" s="63"/>
    </x:row>
    <x:row r="10" ht="48" customHeight="1">
      <x:c r="B10" s="26" t="str">
        <x:v>Advanced separations and residual control</x:v>
      </x:c>
      <x:c r="C10" s="26" t="str">
        <x:v>Water, chemical, biological and material separation</x:v>
      </x:c>
      <x:c r="D10" s="32" t="b">
        <x:v>0</x:v>
      </x:c>
      <x:c r="E10" s="32" t="b">
        <x:v>0</x:v>
      </x:c>
      <x:c r="F10" s="32" t="b">
        <x:v>1</x:v>
      </x:c>
      <x:c r="G10" s="32" t="b">
        <x:v>1</x:v>
      </x:c>
      <x:c r="H10" s="32" t="b">
        <x:v>1</x:v>
      </x:c>
      <x:c r="I10" s="32" t="b">
        <x:v>1</x:v>
      </x:c>
      <x:c r="J10" s="49" t="n">
        <x:f>COUNTIF(D10:I10,TRUE)</x:f>
        <x:v>0</x:v>
      </x:c>
      <x:c r="K10" s="13" t="str">
        <x:v>W1</x:v>
      </x:c>
      <x:c r="L10" s="26" t="str">
        <x:v>Product gain externalizes residual or consumable burden</x:v>
      </x:c>
      <x:c r="M10" s="26" t="str">
        <x:v>Cross-classified inside existing accounts</x:v>
      </x:c>
      <x:c r="N10" s="63"/>
    </x:row>
    <x:row r="11" ht="48" customHeight="1">
      <x:c r="B11" s="26" t="str">
        <x:v>Rapid infrastructure fabrication</x:v>
      </x:c>
      <x:c r="C11" s="26" t="str">
        <x:v>Robotic routes, structures, pipe, conductor and nodes</x:v>
      </x:c>
      <x:c r="D11" s="32" t="b">
        <x:v>1</x:v>
      </x:c>
      <x:c r="E11" s="32" t="b">
        <x:v>1</x:v>
      </x:c>
      <x:c r="F11" s="32" t="b">
        <x:v>1</x:v>
      </x:c>
      <x:c r="G11" s="32" t="b">
        <x:v>1</x:v>
      </x:c>
      <x:c r="H11" s="32" t="b">
        <x:v>1</x:v>
      </x:c>
      <x:c r="I11" s="32" t="b">
        <x:v>1</x:v>
      </x:c>
      <x:c r="J11" s="49" t="n">
        <x:f>COUNTIF(D11:I11,TRUE)</x:f>
        <x:v>0</x:v>
      </x:c>
      <x:c r="K11" s="13" t="str">
        <x:v>W1</x:v>
      </x:c>
      <x:c r="L11" s="26" t="str">
        <x:v>Build rate fails repair, safety or public-interface loads</x:v>
      </x:c>
      <x:c r="M11" s="26" t="str">
        <x:v>Cross-classified inside existing accounts</x:v>
      </x:c>
      <x:c r="N11" s="63"/>
    </x:row>
    <x:row r="12" ht="48" customHeight="1">
      <x:c r="B12" s="26" t="str">
        <x:v>Adaptive structures and materials</x:v>
      </x:c>
      <x:c r="C12" s="26" t="str">
        <x:v>Deployable, repairable and instrumented boundaries</x:v>
      </x:c>
      <x:c r="D12" s="32" t="b">
        <x:v>1</x:v>
      </x:c>
      <x:c r="E12" s="32" t="b">
        <x:v>1</x:v>
      </x:c>
      <x:c r="F12" s="32" t="b">
        <x:v>1</x:v>
      </x:c>
      <x:c r="G12" s="32" t="b">
        <x:v>1</x:v>
      </x:c>
      <x:c r="H12" s="32" t="b">
        <x:v>1</x:v>
      </x:c>
      <x:c r="I12" s="32" t="b">
        <x:v>1</x:v>
      </x:c>
      <x:c r="J12" s="49" t="n">
        <x:f>COUNTIF(D12:I12,TRUE)</x:f>
        <x:v>0</x:v>
      </x:c>
      <x:c r="K12" s="13" t="str">
        <x:v>W1</x:v>
      </x:c>
      <x:c r="L12" s="26" t="str">
        <x:v>Mass reduction creates unbounded failure or maintenance</x:v>
      </x:c>
      <x:c r="M12" s="26" t="str">
        <x:v>Cross-classified inside existing accounts</x:v>
      </x:c>
      <x:c r="N12" s="63"/>
    </x:row>
    <x:row r="13" ht="48" customHeight="1">
      <x:c r="B13" s="26" t="str">
        <x:v>Distributed biomanufacturing</x:v>
      </x:c>
      <x:c r="C13" s="26" t="str">
        <x:v>Local medicines, diagnostics, reagents and quality control</x:v>
      </x:c>
      <x:c r="D13" s="32" t="b">
        <x:v>0</x:v>
      </x:c>
      <x:c r="E13" s="32" t="b">
        <x:v>0</x:v>
      </x:c>
      <x:c r="F13" s="32" t="b">
        <x:v>0</x:v>
      </x:c>
      <x:c r="G13" s="32" t="b">
        <x:v>1</x:v>
      </x:c>
      <x:c r="H13" s="32" t="b">
        <x:v>1</x:v>
      </x:c>
      <x:c r="I13" s="32" t="b">
        <x:v>1</x:v>
      </x:c>
      <x:c r="J13" s="49" t="n">
        <x:f>COUNTIF(D13:I13,TRUE)</x:f>
        <x:v>0</x:v>
      </x:c>
      <x:c r="K13" s="13" t="str">
        <x:v>W1</x:v>
      </x:c>
      <x:c r="L13" s="26" t="str">
        <x:v>Output lacks independent quality release or stable feedstock</x:v>
      </x:c>
      <x:c r="M13" s="26" t="str">
        <x:v>Cross-classified inside existing accounts</x:v>
      </x:c>
      <x:c r="N13" s="63"/>
    </x:row>
    <x:row r="14" ht="48" customHeight="1">
      <x:c r="B14" s="26" t="str">
        <x:v>Industrial digital thread</x:v>
      </x:c>
      <x:c r="C14" s="26" t="str">
        <x:v>Serial configuration, rights, provenance and repair state</x:v>
      </x:c>
      <x:c r="D14" s="32" t="b">
        <x:v>1</x:v>
      </x:c>
      <x:c r="E14" s="32" t="b">
        <x:v>1</x:v>
      </x:c>
      <x:c r="F14" s="32" t="b">
        <x:v>1</x:v>
      </x:c>
      <x:c r="G14" s="32" t="b">
        <x:v>1</x:v>
      </x:c>
      <x:c r="H14" s="32" t="b">
        <x:v>1</x:v>
      </x:c>
      <x:c r="I14" s="32" t="b">
        <x:v>1</x:v>
      </x:c>
      <x:c r="J14" s="49" t="n">
        <x:f>COUNTIF(D14:I14,TRUE)</x:f>
        <x:v>0</x:v>
      </x:c>
      <x:c r="K14" s="13" t="str">
        <x:v>W1</x:v>
      </x:c>
      <x:c r="L14" s="26" t="str">
        <x:v>Configuration ancestry cannot be reconstructed</x:v>
      </x:c>
      <x:c r="M14" s="26" t="str">
        <x:v>Cross-classified inside existing accounts</x:v>
      </x:c>
      <x:c r="N14" s="63"/>
    </x:row>
    <x:row r="15" ht="48" customHeight="1">
      <x:c r="B15" s="27" t="str">
        <x:v>Resilient communications and edge compute</x:v>
      </x:c>
      <x:c r="C15" s="27" t="str">
        <x:v>Disconnected control, identity and public transaction</x:v>
      </x:c>
      <x:c r="D15" s="33" t="b">
        <x:v>1</x:v>
      </x:c>
      <x:c r="E15" s="33" t="b">
        <x:v>1</x:v>
      </x:c>
      <x:c r="F15" s="33" t="b">
        <x:v>1</x:v>
      </x:c>
      <x:c r="G15" s="33" t="b">
        <x:v>1</x:v>
      </x:c>
      <x:c r="H15" s="33" t="b">
        <x:v>1</x:v>
      </x:c>
      <x:c r="I15" s="33" t="b">
        <x:v>1</x:v>
      </x:c>
      <x:c r="J15" s="50" t="n">
        <x:f>COUNTIF(D15:I15,TRUE)</x:f>
        <x:v>0</x:v>
      </x:c>
      <x:c r="K15" s="14" t="str">
        <x:v>W1</x:v>
      </x:c>
      <x:c r="L15" s="27" t="str">
        <x:v>Common software, spectrum or power cut defeats service</x:v>
      </x:c>
      <x:c r="M15" s="27" t="str">
        <x:v>Cross-classified inside existing accounts</x:v>
      </x:c>
      <x:c r="N15" s="6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7" hidden="0" customWidth="1"/>
    <x:col min="4" max="4" width="17" hidden="0" customWidth="1"/>
    <x:col min="5" max="5" width="54" hidden="0" customWidth="1"/>
    <x:col min="8" max="8" width="34" hidden="0" customWidth="1"/>
    <x:col min="9" max="9" width="17" hidden="0" customWidth="1"/>
    <x:col min="10" max="10" width="17" hidden="0" customWidth="1"/>
    <x:col min="11" max="11" width="49" hidden="0" customWidth="1"/>
  </x:cols>
  <x:sheetData>
    <x:row r="2">
      <x:c r="B2" s="62" t="str">
        <x:v>Program economics and exposure boundaries</x:v>
      </x:c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3">
      <x:c r="B3" s="64" t="str">
        <x:v>Development-program dollars are not formation capital, operating cost, employment or procurement estimates.</x:v>
      </x:c>
      <x:c r="C3" s="64"/>
      <x:c r="D3" s="64"/>
      <x:c r="E3" s="64"/>
      <x:c r="F3" s="64"/>
      <x:c r="G3" s="64"/>
      <x:c r="H3" s="64"/>
      <x:c r="I3" s="64"/>
      <x:c r="J3" s="64"/>
      <x:c r="K3" s="64"/>
      <x:c r="L3" s="64"/>
    </x:row>
    <x:row r="4"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</x:row>
    <x:row r="5">
      <x:c r="B5" s="66" t="str">
        <x:v>Twenty-five-year account economy</x:v>
      </x:c>
      <x:c r="C5" s="66"/>
      <x:c r="D5" s="66"/>
      <x:c r="E5" s="66"/>
      <x:c r="F5" s="66"/>
      <x:c r="G5" s="63"/>
      <x:c r="H5" s="66" t="str">
        <x:v>Force exposure context — never added</x:v>
      </x:c>
      <x:c r="I5" s="66"/>
      <x:c r="J5" s="66"/>
      <x:c r="K5" s="66"/>
      <x:c r="L5" s="66"/>
    </x:row>
    <x:row r="6" ht="31" customHeight="1">
      <x:c r="B6" s="9" t="str">
        <x:v>Account</x:v>
      </x:c>
      <x:c r="C6" s="10" t="str">
        <x:v>USD B</x:v>
      </x:c>
      <x:c r="D6" s="10" t="str">
        <x:v>Share</x:v>
      </x:c>
      <x:c r="E6" s="11" t="str">
        <x:v>Economic function</x:v>
      </x:c>
      <x:c r="F6" s="63"/>
      <x:c r="G6" s="63"/>
      <x:c r="H6" s="9" t="str">
        <x:v>Measure</x:v>
      </x:c>
      <x:c r="I6" s="10" t="str">
        <x:v>Inherited value</x:v>
      </x:c>
      <x:c r="J6" s="10" t="str">
        <x:v>Unit</x:v>
      </x:c>
      <x:c r="K6" s="11" t="str">
        <x:v>Boundary</x:v>
      </x:c>
      <x:c r="L6" s="63"/>
    </x:row>
    <x:row r="7">
      <x:c r="B7" s="13" t="str">
        <x:v>Mission systems</x:v>
      </x:c>
      <x:c r="C7" s="18" t="n">
        <x:f>Controls!C7</x:f>
        <x:v>550</x:v>
      </x:c>
      <x:c r="D7" s="20" t="n">
        <x:f>C7/Controls!$C$6</x:f>
        <x:v>0.55</x:v>
      </x:c>
      <x:c r="E7" s="26" t="str">
        <x:v>Rival complete service systems and integration</x:v>
      </x:c>
      <x:c r="F7" s="63"/>
      <x:c r="G7" s="63"/>
      <x:c r="H7" s="13" t="str">
        <x:v>Formation capital</x:v>
      </x:c>
      <x:c r="I7" s="18" t="n">
        <x:v>9410.56</x:v>
      </x:c>
      <x:c r="J7" s="13" t="str">
        <x:v>USD B</x:v>
      </x:c>
      <x:c r="K7" s="26" t="str">
        <x:v>Pass 168 system exposure; not development spend</x:v>
      </x:c>
      <x:c r="L7" s="63"/>
    </x:row>
    <x:row r="8">
      <x:c r="B8" s="13" t="str">
        <x:v>Service technical bases</x:v>
      </x:c>
      <x:c r="C8" s="18" t="n">
        <x:f>Controls!C8</x:f>
        <x:v>150</x:v>
      </x:c>
      <x:c r="D8" s="20" t="n">
        <x:f>C8/Controls!$C$6</x:f>
        <x:v>0.15</x:v>
      </x:c>
      <x:c r="E8" s="26" t="str">
        <x:v>Professional standards, family engineering and lifecycle release</x:v>
      </x:c>
      <x:c r="F8" s="63"/>
      <x:c r="G8" s="63"/>
      <x:c r="H8" s="13" t="str">
        <x:v>25-year force capital</x:v>
      </x:c>
      <x:c r="I8" s="18" t="n">
        <x:v>17410.272</x:v>
      </x:c>
      <x:c r="J8" s="13" t="str">
        <x:v>USD B</x:v>
      </x:c>
      <x:c r="K8" s="26" t="str">
        <x:v>Pass 167 planning screen; not program spend</x:v>
      </x:c>
      <x:c r="L8" s="63"/>
    </x:row>
    <x:row r="9">
      <x:c r="B9" s="13" t="str">
        <x:v>Common capacity</x:v>
      </x:c>
      <x:c r="C9" s="18" t="n">
        <x:f>Controls!C9</x:f>
        <x:v>150</x:v>
      </x:c>
      <x:c r="D9" s="20" t="n">
        <x:f>C9/Controls!$C$6</x:f>
        <x:v>0.15</x:v>
      </x:c>
      <x:c r="E9" s="26" t="str">
        <x:v>Shared facilities and reservable enabling capacity</x:v>
      </x:c>
      <x:c r="F9" s="63"/>
      <x:c r="G9" s="63"/>
      <x:c r="H9" s="13" t="str">
        <x:v>Mature annual operations</x:v>
      </x:c>
      <x:c r="I9" s="18" t="n">
        <x:v>2113.874</x:v>
      </x:c>
      <x:c r="J9" s="13" t="str">
        <x:v>USD B/year</x:v>
      </x:c>
      <x:c r="K9" s="26" t="str">
        <x:v>Pass 167; not program spend</x:v>
      </x:c>
      <x:c r="L9" s="63"/>
    </x:row>
    <x:row r="10">
      <x:c r="B10" s="13" t="str">
        <x:v>Sovereign technical estate</x:v>
      </x:c>
      <x:c r="C10" s="18" t="n">
        <x:f>Controls!C10</x:f>
        <x:v>100</x:v>
      </x:c>
      <x:c r="D10" s="20" t="n">
        <x:f>C10/Controls!$C$6</x:f>
        <x:v>0.1</x:v>
      </x:c>
      <x:c r="E10" s="26" t="str">
        <x:v>Independent measurement, public proving and configuration truth</x:v>
      </x:c>
      <x:c r="F10" s="63"/>
      <x:c r="G10" s="63"/>
      <x:c r="H10" s="14" t="str">
        <x:v>Affiliated establishment</x:v>
      </x:c>
      <x:c r="I10" s="54" t="n">
        <x:v>13039236</x:v>
      </x:c>
      <x:c r="J10" s="14" t="str">
        <x:v>positions</x:v>
      </x:c>
      <x:c r="K10" s="27" t="str">
        <x:v>Pass 167; not jobs created by this program</x:v>
      </x:c>
      <x:c r="L10" s="63"/>
    </x:row>
    <x:row r="11">
      <x:c r="B11" s="14" t="str">
        <x:v>Failure reserve</x:v>
      </x:c>
      <x:c r="C11" s="48" t="n">
        <x:f>Controls!C11</x:f>
        <x:v>50</x:v>
      </x:c>
      <x:c r="D11" s="53" t="n">
        <x:f>C11/Controls!$C$6</x:f>
        <x:v>0.05</x:v>
      </x:c>
      <x:c r="E11" s="27" t="str">
        <x:v>Replacement roots, destructive proof and redirection</x:v>
      </x:c>
      <x:c r="F11" s="63"/>
      <x:c r="G11" s="63"/>
      <x:c r="H11" s="63"/>
      <x:c r="I11" s="63"/>
      <x:c r="J11" s="63"/>
      <x:c r="K11" s="63"/>
      <x:c r="L11" s="63"/>
    </x:row>
    <x:row r="12">
      <x:c r="B12" s="63"/>
      <x:c r="C12" s="63"/>
      <x:c r="D12" s="63"/>
      <x:c r="E12" s="69"/>
      <x:c r="F12" s="63"/>
      <x:c r="G12" s="63"/>
      <x:c r="H12" s="63"/>
      <x:c r="I12" s="63"/>
      <x:c r="J12" s="63"/>
      <x:c r="K12" s="63"/>
      <x:c r="L12" s="63"/>
    </x:row>
    <x:row r="13">
      <x:c r="B13" s="63"/>
      <x:c r="C13" s="63"/>
      <x:c r="D13" s="63"/>
      <x:c r="E13" s="69"/>
      <x:c r="F13" s="63"/>
      <x:c r="G13" s="63"/>
      <x:c r="H13" s="63"/>
      <x:c r="I13" s="63"/>
      <x:c r="J13" s="63"/>
      <x:c r="K13" s="63"/>
      <x:c r="L13" s="63"/>
    </x:row>
    <x:row r="14">
      <x:c r="B14" s="66" t="str">
        <x:v>Timing of contestability</x:v>
      </x:c>
      <x:c r="C14" s="66"/>
      <x:c r="D14" s="66"/>
      <x:c r="E14" s="70"/>
      <x:c r="F14" s="66"/>
      <x:c r="G14" s="63"/>
      <x:c r="H14" s="63"/>
      <x:c r="I14" s="63"/>
      <x:c r="J14" s="63"/>
      <x:c r="K14" s="63"/>
      <x:c r="L14" s="63"/>
    </x:row>
    <x:row r="15" ht="31" customHeight="1">
      <x:c r="B15" s="9" t="str">
        <x:v>Boundary</x:v>
      </x:c>
      <x:c r="C15" s="10" t="str">
        <x:v>Program USD B</x:v>
      </x:c>
      <x:c r="D15" s="10" t="str">
        <x:v>Mission USD B</x:v>
      </x:c>
      <x:c r="E15" s="11" t="str">
        <x:v>Interpretation</x:v>
      </x:c>
      <x:c r="F15" s="63"/>
      <x:c r="G15" s="63"/>
      <x:c r="H15" s="63"/>
      <x:c r="I15" s="63"/>
      <x:c r="J15" s="63"/>
      <x:c r="K15" s="63"/>
      <x:c r="L15" s="63"/>
    </x:row>
    <x:row r="16">
      <x:c r="B16" s="13" t="str">
        <x:v>Before G4 exit (W1–W2)</x:v>
      </x:c>
      <x:c r="C16" s="18" t="n">
        <x:f>SUM(Wavefront!E6:E7)</x:f>
        <x:v>500</x:v>
      </x:c>
      <x:c r="D16" s="18" t="n">
        <x:f>SUM(Wavefront!F6:F7)</x:f>
        <x:v>275</x:v>
      </x:c>
      <x:c r="E16" s="26" t="str">
        <x:v>Mechanisms and integrated roots may still fail</x:v>
      </x:c>
      <x:c r="F16" s="63"/>
      <x:c r="G16" s="63"/>
      <x:c r="H16" s="63"/>
      <x:c r="I16" s="63"/>
      <x:c r="J16" s="63"/>
      <x:c r="K16" s="63"/>
      <x:c r="L16" s="63"/>
    </x:row>
    <x:row r="17">
      <x:c r="B17" s="13" t="str">
        <x:v>Through G4 mission proof (W1–W3)</x:v>
      </x:c>
      <x:c r="C17" s="18" t="n">
        <x:f>SUM(Wavefront!E6:E8)</x:f>
        <x:v>750</x:v>
      </x:c>
      <x:c r="D17" s="18" t="n">
        <x:f>SUM(Wavefront!F6:F8)</x:f>
        <x:v>412.5</x:v>
      </x:c>
      <x:c r="E17" s="26" t="str">
        <x:v>No replicated field credit yet</x:v>
      </x:c>
      <x:c r="F17" s="63"/>
      <x:c r="G17" s="63"/>
      <x:c r="H17" s="63"/>
      <x:c r="I17" s="63"/>
      <x:c r="J17" s="63"/>
      <x:c r="K17" s="63"/>
      <x:c r="L17" s="63"/>
    </x:row>
    <x:row r="18">
      <x:c r="B18" s="13" t="str">
        <x:v>Production / field qualification (W4)</x:v>
      </x:c>
      <x:c r="C18" s="18" t="n">
        <x:f>Wavefront!E9</x:f>
        <x:v>150</x:v>
      </x:c>
      <x:c r="D18" s="18" t="n">
        <x:f>Wavefront!F9</x:f>
        <x:v>82.5</x:v>
      </x:c>
      <x:c r="E18" s="26" t="str">
        <x:v>Exact-root production and bounded force decision</x:v>
      </x:c>
      <x:c r="F18" s="63"/>
      <x:c r="G18" s="63"/>
      <x:c r="H18" s="63"/>
      <x:c r="I18" s="63"/>
      <x:c r="J18" s="63"/>
      <x:c r="K18" s="63"/>
      <x:c r="L18" s="63"/>
    </x:row>
    <x:row r="19">
      <x:c r="B19" s="14" t="str">
        <x:v>Renewal / retirement (W5)</x:v>
      </x:c>
      <x:c r="C19" s="48" t="n">
        <x:f>Wavefront!E10</x:f>
        <x:v>100</x:v>
      </x:c>
      <x:c r="D19" s="48" t="n">
        <x:f>Wavefront!F10</x:f>
        <x:v>55</x:v>
      </x:c>
      <x:c r="E19" s="27" t="str">
        <x:v>Incumbent challenged by unlike alternative</x:v>
      </x:c>
      <x:c r="F19" s="63"/>
      <x:c r="G19" s="63"/>
      <x:c r="H19" s="63"/>
      <x:c r="I19" s="63"/>
      <x:c r="J19" s="63"/>
      <x:c r="K19" s="63"/>
      <x:c r="L19" s="6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68A2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40" hidden="0" customWidth="1"/>
    <x:col min="3" max="3" width="17" hidden="0" customWidth="1"/>
    <x:col min="4" max="4" width="52" hidden="0" customWidth="1"/>
  </x:cols>
  <x:sheetData>
    <x:row r="2">
      <x:c r="B2" s="62" t="str">
        <x:v>Controls</x:v>
      </x:c>
      <x:c r="C2" s="63"/>
      <x:c r="D2" s="63"/>
      <x:c r="E2" s="63"/>
    </x:row>
    <x:row r="3">
      <x:c r="B3" s="64" t="str">
        <x:v>Yellow cells are inherited constitutional inputs; calculated rows are formula-driven.</x:v>
      </x:c>
      <x:c r="C3" s="64"/>
      <x:c r="D3" s="64"/>
      <x:c r="E3" s="64"/>
    </x:row>
    <x:row r="4">
      <x:c r="B4" s="65"/>
      <x:c r="C4" s="65"/>
      <x:c r="D4" s="65"/>
      <x:c r="E4" s="65"/>
    </x:row>
    <x:row r="5" ht="31" customHeight="1">
      <x:c r="B5" s="9" t="str">
        <x:v>Control</x:v>
      </x:c>
      <x:c r="C5" s="10" t="str">
        <x:v>Value</x:v>
      </x:c>
      <x:c r="D5" s="11" t="str">
        <x:v>Basis / boundary</x:v>
      </x:c>
      <x:c r="E5" s="63"/>
    </x:row>
    <x:row r="6">
      <x:c r="B6" s="24" t="str">
        <x:v>Total technology and proving program (USD B)</x:v>
      </x:c>
      <x:c r="C6" s="17" t="n">
        <x:v>1000</x:v>
      </x:c>
      <x:c r="D6" s="26" t="str">
        <x:v>Pass 166; constant 2026 USD; undiscounted</x:v>
      </x:c>
      <x:c r="E6" s="63"/>
    </x:row>
    <x:row r="7">
      <x:c r="B7" s="24" t="str">
        <x:v>Mission-system account (USD B)</x:v>
      </x:c>
      <x:c r="C7" s="17" t="n">
        <x:v>550</x:v>
      </x:c>
      <x:c r="D7" s="26" t="str">
        <x:v>Pass 166; reallocated by Pass 168</x:v>
      </x:c>
      <x:c r="E7" s="63"/>
    </x:row>
    <x:row r="8">
      <x:c r="B8" s="24" t="str">
        <x:v>Service technical bases (USD B)</x:v>
      </x:c>
      <x:c r="C8" s="17" t="n">
        <x:v>150</x:v>
      </x:c>
      <x:c r="D8" s="26" t="str">
        <x:v>Pass 166</x:v>
      </x:c>
      <x:c r="E8" s="63"/>
    </x:row>
    <x:row r="9">
      <x:c r="B9" s="24" t="str">
        <x:v>Common capacity (USD B)</x:v>
      </x:c>
      <x:c r="C9" s="17" t="n">
        <x:v>150</x:v>
      </x:c>
      <x:c r="D9" s="26" t="str">
        <x:v>Pass 166</x:v>
      </x:c>
      <x:c r="E9" s="63"/>
    </x:row>
    <x:row r="10">
      <x:c r="B10" s="24" t="str">
        <x:v>Sovereign technical estate (USD B)</x:v>
      </x:c>
      <x:c r="C10" s="17" t="n">
        <x:v>100</x:v>
      </x:c>
      <x:c r="D10" s="26" t="str">
        <x:v>Pass 166; independent evidence</x:v>
      </x:c>
      <x:c r="E10" s="63"/>
    </x:row>
    <x:row r="11">
      <x:c r="B11" s="24" t="str">
        <x:v>Protected failure reserve (USD B)</x:v>
      </x:c>
      <x:c r="C11" s="17" t="n">
        <x:v>50</x:v>
      </x:c>
      <x:c r="D11" s="26" t="str">
        <x:v>Pass 166</x:v>
      </x:c>
      <x:c r="E11" s="63"/>
    </x:row>
    <x:row r="12">
      <x:c r="B12" s="24" t="str">
        <x:v>Account reconstruction (USD B)</x:v>
      </x:c>
      <x:c r="C12" s="18" t="n">
        <x:f>SUM(C7:C11)</x:f>
        <x:v>1000</x:v>
      </x:c>
      <x:c r="D12" s="26" t="str">
        <x:v>Calculated; must equal total program</x:v>
      </x:c>
      <x:c r="E12" s="63"/>
    </x:row>
    <x:row r="13">
      <x:c r="B13" s="24" t="str">
        <x:v>Account residual (USD B)</x:v>
      </x:c>
      <x:c r="C13" s="18" t="n">
        <x:f>C12-C6</x:f>
        <x:v>0</x:v>
      </x:c>
      <x:c r="D13" s="26" t="str">
        <x:v>Calculated; must equal zero</x:v>
      </x:c>
      <x:c r="E13" s="63"/>
    </x:row>
    <x:row r="14">
      <x:c r="B14" s="24" t="str">
        <x:v>Wave 1 share</x:v>
      </x:c>
      <x:c r="C14" s="19" t="n">
        <x:v>0.2</x:v>
      </x:c>
      <x:c r="D14" s="26" t="str">
        <x:v>Years 1–5</x:v>
      </x:c>
      <x:c r="E14" s="63"/>
    </x:row>
    <x:row r="15">
      <x:c r="B15" s="24" t="str">
        <x:v>Wave 2 share</x:v>
      </x:c>
      <x:c r="C15" s="19" t="n">
        <x:v>0.3</x:v>
      </x:c>
      <x:c r="D15" s="26" t="str">
        <x:v>Years 6–10</x:v>
      </x:c>
      <x:c r="E15" s="63"/>
    </x:row>
    <x:row r="16">
      <x:c r="B16" s="24" t="str">
        <x:v>Wave 3 share</x:v>
      </x:c>
      <x:c r="C16" s="19" t="n">
        <x:v>0.25</x:v>
      </x:c>
      <x:c r="D16" s="26" t="str">
        <x:v>Years 11–15</x:v>
      </x:c>
      <x:c r="E16" s="63"/>
    </x:row>
    <x:row r="17">
      <x:c r="B17" s="24" t="str">
        <x:v>Wave 4 share</x:v>
      </x:c>
      <x:c r="C17" s="19" t="n">
        <x:v>0.15</x:v>
      </x:c>
      <x:c r="D17" s="26" t="str">
        <x:v>Years 16–20</x:v>
      </x:c>
      <x:c r="E17" s="63"/>
    </x:row>
    <x:row r="18">
      <x:c r="B18" s="24" t="str">
        <x:v>Wave 5 share</x:v>
      </x:c>
      <x:c r="C18" s="19" t="n">
        <x:v>0.1</x:v>
      </x:c>
      <x:c r="D18" s="26" t="str">
        <x:v>Years 21–25</x:v>
      </x:c>
      <x:c r="E18" s="63"/>
    </x:row>
    <x:row r="19">
      <x:c r="B19" s="24" t="str">
        <x:v>Wave-share reconstruction</x:v>
      </x:c>
      <x:c r="C19" s="20" t="n">
        <x:f>SUM(C14:C18)</x:f>
        <x:v>1</x:v>
      </x:c>
      <x:c r="D19" s="26" t="str">
        <x:v>Calculated; must equal 100%</x:v>
      </x:c>
      <x:c r="E19" s="63"/>
    </x:row>
    <x:row r="20">
      <x:c r="B20" s="24" t="str">
        <x:v>Mission systems</x:v>
      </x:c>
      <x:c r="C20" s="21" t="n">
        <x:v>6</x:v>
      </x:c>
      <x:c r="D20" s="26" t="str">
        <x:v>Pass 168</x:v>
      </x:c>
      <x:c r="E20" s="63"/>
    </x:row>
    <x:row r="21">
      <x:c r="B21" s="24" t="str">
        <x:v>Parent technology fields</x:v>
      </x:c>
      <x:c r="C21" s="21" t="n">
        <x:v>24</x:v>
      </x:c>
      <x:c r="D21" s="26" t="str">
        <x:v>Four per system at Pass 168 resolution</x:v>
      </x:c>
      <x:c r="E21" s="63"/>
    </x:row>
    <x:row r="22">
      <x:c r="B22" s="24" t="str">
        <x:v>Initial unlike mechanisms per field</x:v>
      </x:c>
      <x:c r="C22" s="21" t="n">
        <x:v>4</x:v>
      </x:c>
      <x:c r="D22" s="26" t="str">
        <x:v>Wavefront floor; hypotheses, not accepted roots</x:v>
      </x:c>
      <x:c r="E22" s="63"/>
    </x:row>
    <x:row r="23">
      <x:c r="B23" s="24" t="str">
        <x:v>Wave 2 surviving mechanisms per field</x:v>
      </x:c>
      <x:c r="C23" s="21" t="n">
        <x:v>2</x:v>
      </x:c>
      <x:c r="D23" s="26" t="str">
        <x:v>Independent reproduction floor</x:v>
      </x:c>
      <x:c r="E23" s="63"/>
    </x:row>
    <x:row r="24">
      <x:c r="B24" s="24" t="str">
        <x:v>Complete roots per mission system</x:v>
      </x:c>
      <x:c r="C24" s="21" t="n">
        <x:v>4</x:v>
      </x:c>
      <x:c r="D24" s="26" t="str">
        <x:v>Wave 2 joint-stack entry floor</x:v>
      </x:c>
      <x:c r="E24" s="63"/>
    </x:row>
    <x:row r="25">
      <x:c r="B25" s="24" t="str">
        <x:v>Campaign archetypes</x:v>
      </x:c>
      <x:c r="C25" s="21" t="n">
        <x:v>10</x:v>
      </x:c>
      <x:c r="D25" s="26" t="str">
        <x:v>Pass 167/168</x:v>
      </x:c>
      <x:c r="E25" s="63"/>
    </x:row>
    <x:row r="26">
      <x:c r="B26" s="24" t="str">
        <x:v>Independent proving sites</x:v>
      </x:c>
      <x:c r="C26" s="21" t="n">
        <x:v>3</x:v>
      </x:c>
      <x:c r="D26" s="26" t="str">
        <x:v>Public evidence floor</x:v>
      </x:c>
      <x:c r="E26" s="63"/>
    </x:row>
    <x:row r="27">
      <x:c r="B27" s="24" t="str">
        <x:v>Pair interfaces</x:v>
      </x:c>
      <x:c r="C27" s="22" t="n">
        <x:f>C20*(C20-1)/2</x:f>
        <x:v>15</x:v>
      </x:c>
      <x:c r="D27" s="26" t="str">
        <x:v>Calculated: n(n−1)/2</x:v>
      </x:c>
      <x:c r="E27" s="63"/>
    </x:row>
    <x:row r="28">
      <x:c r="B28" s="24" t="str">
        <x:v>Initial mechanism opportunities</x:v>
      </x:c>
      <x:c r="C28" s="22" t="n">
        <x:f>C21*C22</x:f>
        <x:v>96</x:v>
      </x:c>
      <x:c r="D28" s="26" t="str">
        <x:v>Calculated</x:v>
      </x:c>
      <x:c r="E28" s="63"/>
    </x:row>
    <x:row r="29">
      <x:c r="B29" s="24" t="str">
        <x:v>Wave 2 surviving mechanisms</x:v>
      </x:c>
      <x:c r="C29" s="22" t="n">
        <x:f>C21*C23</x:f>
        <x:v>48</x:v>
      </x:c>
      <x:c r="D29" s="26" t="str">
        <x:v>Calculated floor</x:v>
      </x:c>
      <x:c r="E29" s="63"/>
    </x:row>
    <x:row r="30">
      <x:c r="B30" s="24" t="str">
        <x:v>Complete system roots</x:v>
      </x:c>
      <x:c r="C30" s="22" t="n">
        <x:f>C20*C24</x:f>
        <x:v>24</x:v>
      </x:c>
      <x:c r="D30" s="26" t="str">
        <x:v>Calculated</x:v>
      </x:c>
      <x:c r="E30" s="63"/>
    </x:row>
    <x:row r="31">
      <x:c r="B31" s="24" t="str">
        <x:v>Complete joint missions</x:v>
      </x:c>
      <x:c r="C31" s="22" t="n">
        <x:f>C24*C25*C26</x:f>
        <x:v>120</x:v>
      </x:c>
      <x:c r="D31" s="26" t="str">
        <x:v>Calculated</x:v>
      </x:c>
      <x:c r="E31" s="63"/>
    </x:row>
    <x:row r="32">
      <x:c r="B32" s="24" t="str">
        <x:v>Focal system judgments</x:v>
      </x:c>
      <x:c r="C32" s="22" t="n">
        <x:f>C31*C20</x:f>
        <x:v>720</x:v>
      </x:c>
      <x:c r="D32" s="26" t="str">
        <x:v>Calculated</x:v>
      </x:c>
      <x:c r="E32" s="63"/>
    </x:row>
    <x:row r="33">
      <x:c r="B33" s="24" t="str">
        <x:v>Pair-interface observations</x:v>
      </x:c>
      <x:c r="C33" s="22" t="n">
        <x:f>C31*C27</x:f>
        <x:v>1800</x:v>
      </x:c>
      <x:c r="D33" s="26" t="str">
        <x:v>Calculated</x:v>
      </x:c>
      <x:c r="E33" s="63"/>
    </x:row>
    <x:row r="34">
      <x:c r="B34" s="24" t="str">
        <x:v>Program years</x:v>
      </x:c>
      <x:c r="C34" s="21" t="n">
        <x:v>25</x:v>
      </x:c>
      <x:c r="D34" s="26" t="str">
        <x:v>Inherited policy horizon</x:v>
      </x:c>
      <x:c r="E34" s="63"/>
    </x:row>
    <x:row r="35">
      <x:c r="B35" s="24" t="str">
        <x:v>Running parent-level open items</x:v>
      </x:c>
      <x:c r="C35" s="21" t="n">
        <x:v>0</x:v>
      </x:c>
      <x:c r="D35" s="26" t="str">
        <x:v>After MSDW-1 closure</x:v>
      </x:c>
      <x:c r="E35" s="63"/>
    </x:row>
    <x:row r="36">
      <x:c r="B36" s="25" t="str">
        <x:v>Exterior rendering authority</x:v>
      </x:c>
      <x:c r="C36" s="23" t="n">
        <x:v>0</x:v>
      </x:c>
      <x:c r="D36" s="27" t="str">
        <x:v>Blocked</x:v>
      </x:c>
      <x:c r="E36" s="6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3D7B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36" hidden="0" customWidth="1"/>
    <x:col min="3" max="3" width="18" hidden="0" customWidth="1"/>
    <x:col min="4" max="4" width="18" hidden="0" customWidth="1"/>
    <x:col min="5" max="5" width="12" hidden="0" customWidth="1"/>
  </x:cols>
  <x:sheetData>
    <x:row r="2">
      <x:c r="B2" s="62" t="str">
        <x:v>Terminal audits</x:v>
      </x:c>
      <x:c r="C2" s="63"/>
      <x:c r="D2" s="63"/>
      <x:c r="E2" s="63"/>
      <x:c r="F2" s="63"/>
    </x:row>
    <x:row r="3">
      <x:c r="B3" s="64" t="str">
        <x:v>Every audit is formula-driven; PASS is required for release.</x:v>
      </x:c>
      <x:c r="C3" s="64"/>
      <x:c r="D3" s="64"/>
      <x:c r="E3" s="64"/>
      <x:c r="F3" s="64"/>
    </x:row>
    <x:row r="4">
      <x:c r="B4" s="65"/>
      <x:c r="C4" s="65"/>
      <x:c r="D4" s="65"/>
      <x:c r="E4" s="65"/>
      <x:c r="F4" s="65"/>
    </x:row>
    <x:row r="5" ht="31" customHeight="1">
      <x:c r="B5" s="9" t="str">
        <x:v>Audit</x:v>
      </x:c>
      <x:c r="C5" s="10" t="str">
        <x:v>Observed</x:v>
      </x:c>
      <x:c r="D5" s="10" t="str">
        <x:v>Expected</x:v>
      </x:c>
      <x:c r="E5" s="11" t="str">
        <x:v>Result</x:v>
      </x:c>
      <x:c r="F5" s="63"/>
    </x:row>
    <x:row r="6">
      <x:c r="B6" s="24" t="str">
        <x:v>A01 Account reconstruction</x:v>
      </x:c>
      <x:c r="C6" s="60" t="n">
        <x:f>Controls!C12</x:f>
        <x:v>1000</x:v>
      </x:c>
      <x:c r="D6" s="60" t="n">
        <x:v>1000</x:v>
      </x:c>
      <x:c r="E6" s="13" t="str">
        <x:f>IF(ABS(C6-D6)&lt;0.000001,"PASS","FAIL")</x:f>
        <x:v>PASS</x:v>
      </x:c>
      <x:c r="F6" s="63"/>
    </x:row>
    <x:row r="7">
      <x:c r="B7" s="24" t="str">
        <x:v>A02 Account residual</x:v>
      </x:c>
      <x:c r="C7" s="60" t="n">
        <x:f>Controls!C13</x:f>
        <x:v>0</x:v>
      </x:c>
      <x:c r="D7" s="60" t="n">
        <x:v>0</x:v>
      </x:c>
      <x:c r="E7" s="13" t="str">
        <x:f>IF(ABS(C7-D7)&lt;0.000001,"PASS","FAIL")</x:f>
        <x:v>PASS</x:v>
      </x:c>
      <x:c r="F7" s="63"/>
    </x:row>
    <x:row r="8">
      <x:c r="B8" s="24" t="str">
        <x:v>A03 Wave shares</x:v>
      </x:c>
      <x:c r="C8" s="60" t="n">
        <x:f>Controls!C19</x:f>
        <x:v>1</x:v>
      </x:c>
      <x:c r="D8" s="60" t="n">
        <x:v>1</x:v>
      </x:c>
      <x:c r="E8" s="13" t="str">
        <x:f>IF(ABS(C8-D8)&lt;0.000001,"PASS","FAIL")</x:f>
        <x:v>PASS</x:v>
      </x:c>
      <x:c r="F8" s="63"/>
    </x:row>
    <x:row r="9">
      <x:c r="B9" s="24" t="str">
        <x:v>A04 Annual shares</x:v>
      </x:c>
      <x:c r="C9" s="60" t="n">
        <x:f>'Annual Program'!D31</x:f>
        <x:v>1.0000000000000004</x:v>
      </x:c>
      <x:c r="D9" s="60" t="n">
        <x:v>1</x:v>
      </x:c>
      <x:c r="E9" s="13" t="str">
        <x:f>IF(ABS(C9-D9)&lt;0.000001,"PASS","FAIL")</x:f>
        <x:v>PASS</x:v>
      </x:c>
      <x:c r="F9" s="63"/>
    </x:row>
    <x:row r="10">
      <x:c r="B10" s="24" t="str">
        <x:v>A05 Annual total</x:v>
      </x:c>
      <x:c r="C10" s="60" t="n">
        <x:f>'Annual Program'!J31</x:f>
        <x:v>1000</x:v>
      </x:c>
      <x:c r="D10" s="60" t="n">
        <x:v>1000</x:v>
      </x:c>
      <x:c r="E10" s="13" t="str">
        <x:f>IF(ABS(C10-D10)&lt;0.000001,"PASS","FAIL")</x:f>
        <x:v>PASS</x:v>
      </x:c>
      <x:c r="F10" s="63"/>
    </x:row>
    <x:row r="11">
      <x:c r="B11" s="24" t="str">
        <x:v>A06 Annual cumulative</x:v>
      </x:c>
      <x:c r="C11" s="60" t="n">
        <x:f>'Annual Program'!K31</x:f>
        <x:v>1000</x:v>
      </x:c>
      <x:c r="D11" s="60" t="n">
        <x:v>1000</x:v>
      </x:c>
      <x:c r="E11" s="13" t="str">
        <x:f>IF(ABS(C11-D11)&lt;0.000001,"PASS","FAIL")</x:f>
        <x:v>PASS</x:v>
      </x:c>
      <x:c r="F11" s="63"/>
    </x:row>
    <x:row r="12">
      <x:c r="B12" s="24" t="str">
        <x:v>A07 Mission annual total</x:v>
      </x:c>
      <x:c r="C12" s="60" t="n">
        <x:f>'Annual Program'!E31</x:f>
        <x:v>550</x:v>
      </x:c>
      <x:c r="D12" s="60" t="n">
        <x:v>550</x:v>
      </x:c>
      <x:c r="E12" s="13" t="str">
        <x:f>IF(ABS(C12-D12)&lt;0.000001,"PASS","FAIL")</x:f>
        <x:v>PASS</x:v>
      </x:c>
      <x:c r="F12" s="63"/>
    </x:row>
    <x:row r="13">
      <x:c r="B13" s="24" t="str">
        <x:v>A08 Service annual total</x:v>
      </x:c>
      <x:c r="C13" s="60" t="n">
        <x:f>'Annual Program'!F31</x:f>
        <x:v>150</x:v>
      </x:c>
      <x:c r="D13" s="60" t="n">
        <x:v>150</x:v>
      </x:c>
      <x:c r="E13" s="13" t="str">
        <x:f>IF(ABS(C13-D13)&lt;0.000001,"PASS","FAIL")</x:f>
        <x:v>PASS</x:v>
      </x:c>
      <x:c r="F13" s="63"/>
    </x:row>
    <x:row r="14">
      <x:c r="B14" s="24" t="str">
        <x:v>A09 Common annual total</x:v>
      </x:c>
      <x:c r="C14" s="60" t="n">
        <x:f>'Annual Program'!G31</x:f>
        <x:v>150</x:v>
      </x:c>
      <x:c r="D14" s="60" t="n">
        <x:v>150</x:v>
      </x:c>
      <x:c r="E14" s="13" t="str">
        <x:f>IF(ABS(C14-D14)&lt;0.000001,"PASS","FAIL")</x:f>
        <x:v>PASS</x:v>
      </x:c>
      <x:c r="F14" s="63"/>
    </x:row>
    <x:row r="15">
      <x:c r="B15" s="24" t="str">
        <x:v>A10 Sovereign annual total</x:v>
      </x:c>
      <x:c r="C15" s="60" t="n">
        <x:f>'Annual Program'!H31</x:f>
        <x:v>100</x:v>
      </x:c>
      <x:c r="D15" s="60" t="n">
        <x:v>100</x:v>
      </x:c>
      <x:c r="E15" s="13" t="str">
        <x:f>IF(ABS(C15-D15)&lt;0.000001,"PASS","FAIL")</x:f>
        <x:v>PASS</x:v>
      </x:c>
      <x:c r="F15" s="63"/>
    </x:row>
    <x:row r="16">
      <x:c r="B16" s="24" t="str">
        <x:v>A11 Reserve annual total</x:v>
      </x:c>
      <x:c r="C16" s="60" t="n">
        <x:f>'Annual Program'!I31</x:f>
        <x:v>50</x:v>
      </x:c>
      <x:c r="D16" s="60" t="n">
        <x:v>50</x:v>
      </x:c>
      <x:c r="E16" s="13" t="str">
        <x:f>IF(ABS(C16-D16)&lt;0.000001,"PASS","FAIL")</x:f>
        <x:v>PASS</x:v>
      </x:c>
      <x:c r="F16" s="63"/>
    </x:row>
    <x:row r="17">
      <x:c r="B17" s="24" t="str">
        <x:v>A12 System allocations</x:v>
      </x:c>
      <x:c r="C17" s="60" t="n">
        <x:f>'System Budgets'!J12</x:f>
        <x:v>550</x:v>
      </x:c>
      <x:c r="D17" s="60" t="n">
        <x:v>550</x:v>
      </x:c>
      <x:c r="E17" s="13" t="str">
        <x:f>IF(ABS(C17-D17)&lt;0.000001,"PASS","FAIL")</x:f>
        <x:v>PASS</x:v>
      </x:c>
      <x:c r="F17" s="63"/>
    </x:row>
    <x:row r="18">
      <x:c r="B18" s="24" t="str">
        <x:v>A13 System phase reconciliation</x:v>
      </x:c>
      <x:c r="C18" s="60" t="n">
        <x:f>COUNTIF('System Budgets'!Q6:Q11,"PASS")</x:f>
        <x:v>6</x:v>
      </x:c>
      <x:c r="D18" s="60" t="n">
        <x:v>6</x:v>
      </x:c>
      <x:c r="E18" s="13" t="str">
        <x:f>IF(ABS(C18-D18)&lt;0.000001,"PASS","FAIL")</x:f>
        <x:v>PASS</x:v>
      </x:c>
      <x:c r="F18" s="63"/>
    </x:row>
    <x:row r="19">
      <x:c r="B19" s="24" t="str">
        <x:v>A14 Candidate PASS count</x:v>
      </x:c>
      <x:c r="C19" s="60" t="n">
        <x:f>COUNTIF(Candidates!L6:L10,"PASS")</x:f>
        <x:v>1</x:v>
      </x:c>
      <x:c r="D19" s="60" t="n">
        <x:v>1</x:v>
      </x:c>
      <x:c r="E19" s="13" t="str">
        <x:f>IF(ABS(C19-D19)&lt;0.000001,"PASS","FAIL")</x:f>
        <x:v>PASS</x:v>
      </x:c>
      <x:c r="F19" s="63"/>
    </x:row>
    <x:row r="20">
      <x:c r="B20" s="24" t="str">
        <x:v>A15 Selected candidate</x:v>
      </x:c>
      <x:c r="C20" s="60" t="n">
        <x:f>IF(Candidates!L10="PASS",1,0)</x:f>
        <x:v>1</x:v>
      </x:c>
      <x:c r="D20" s="60" t="n">
        <x:v>1</x:v>
      </x:c>
      <x:c r="E20" s="13" t="str">
        <x:f>IF(ABS(C20-D20)&lt;0.000001,"PASS","FAIL")</x:f>
        <x:v>PASS</x:v>
      </x:c>
      <x:c r="F20" s="63"/>
    </x:row>
    <x:row r="21">
      <x:c r="B21" s="24" t="str">
        <x:v>A16 Systems</x:v>
      </x:c>
      <x:c r="C21" s="60" t="n">
        <x:f>Controls!C20</x:f>
        <x:v>6</x:v>
      </x:c>
      <x:c r="D21" s="60" t="n">
        <x:v>6</x:v>
      </x:c>
      <x:c r="E21" s="13" t="str">
        <x:f>IF(ABS(C21-D21)&lt;0.000001,"PASS","FAIL")</x:f>
        <x:v>PASS</x:v>
      </x:c>
      <x:c r="F21" s="63"/>
    </x:row>
    <x:row r="22">
      <x:c r="B22" s="24" t="str">
        <x:v>A17 Parent fields</x:v>
      </x:c>
      <x:c r="C22" s="60" t="n">
        <x:f>COUNTA('Parent Fields'!B6:B29)</x:f>
        <x:v>24</x:v>
      </x:c>
      <x:c r="D22" s="60" t="n">
        <x:v>24</x:v>
      </x:c>
      <x:c r="E22" s="13" t="str">
        <x:f>IF(ABS(C22-D22)&lt;0.000001,"PASS","FAIL")</x:f>
        <x:v>PASS</x:v>
      </x:c>
      <x:c r="F22" s="63"/>
    </x:row>
    <x:row r="23">
      <x:c r="B23" s="24" t="str">
        <x:v>A18 Parent field allocation</x:v>
      </x:c>
      <x:c r="C23" s="60" t="n">
        <x:f>SUM('Parent Fields'!I6:I29)</x:f>
        <x:v>549.9999999999999</x:v>
      </x:c>
      <x:c r="D23" s="60" t="n">
        <x:v>550</x:v>
      </x:c>
      <x:c r="E23" s="13" t="str">
        <x:f>IF(ABS(C23-D23)&lt;0.000001,"PASS","FAIL")</x:f>
        <x:v>PASS</x:v>
      </x:c>
      <x:c r="F23" s="63"/>
    </x:row>
    <x:row r="24">
      <x:c r="B24" s="24" t="str">
        <x:v>A19 Initial mechanisms</x:v>
      </x:c>
      <x:c r="C24" s="60" t="n">
        <x:f>Controls!C28</x:f>
        <x:v>96</x:v>
      </x:c>
      <x:c r="D24" s="60" t="n">
        <x:v>96</x:v>
      </x:c>
      <x:c r="E24" s="13" t="str">
        <x:f>IF(ABS(C24-D24)&lt;0.000001,"PASS","FAIL")</x:f>
        <x:v>PASS</x:v>
      </x:c>
      <x:c r="F24" s="63"/>
    </x:row>
    <x:row r="25">
      <x:c r="B25" s="24" t="str">
        <x:v>A20 Surviving mechanisms</x:v>
      </x:c>
      <x:c r="C25" s="60" t="n">
        <x:f>Controls!C29</x:f>
        <x:v>48</x:v>
      </x:c>
      <x:c r="D25" s="60" t="n">
        <x:v>48</x:v>
      </x:c>
      <x:c r="E25" s="13" t="str">
        <x:f>IF(ABS(C25-D25)&lt;0.000001,"PASS","FAIL")</x:f>
        <x:v>PASS</x:v>
      </x:c>
      <x:c r="F25" s="63"/>
    </x:row>
    <x:row r="26">
      <x:c r="B26" s="24" t="str">
        <x:v>A21 Complete roots</x:v>
      </x:c>
      <x:c r="C26" s="60" t="n">
        <x:f>Controls!C30</x:f>
        <x:v>24</x:v>
      </x:c>
      <x:c r="D26" s="60" t="n">
        <x:v>24</x:v>
      </x:c>
      <x:c r="E26" s="13" t="str">
        <x:f>IF(ABS(C26-D26)&lt;0.000001,"PASS","FAIL")</x:f>
        <x:v>PASS</x:v>
      </x:c>
      <x:c r="F26" s="63"/>
    </x:row>
    <x:row r="27">
      <x:c r="B27" s="24" t="str">
        <x:v>A22 Joint missions</x:v>
      </x:c>
      <x:c r="C27" s="60" t="n">
        <x:f>COUNTA('Joint Campaign'!B6:B125)</x:f>
        <x:v>120</x:v>
      </x:c>
      <x:c r="D27" s="60" t="n">
        <x:v>120</x:v>
      </x:c>
      <x:c r="E27" s="13" t="str">
        <x:f>IF(ABS(C27-D27)&lt;0.000001,"PASS","FAIL")</x:f>
        <x:v>PASS</x:v>
      </x:c>
      <x:c r="F27" s="63"/>
    </x:row>
    <x:row r="28">
      <x:c r="B28" s="24" t="str">
        <x:v>A23 System judgments</x:v>
      </x:c>
      <x:c r="C28" s="60" t="n">
        <x:f>SUM('Joint Campaign'!N6:N125)</x:f>
        <x:v>720</x:v>
      </x:c>
      <x:c r="D28" s="60" t="n">
        <x:v>720</x:v>
      </x:c>
      <x:c r="E28" s="13" t="str">
        <x:f>IF(ABS(C28-D28)&lt;0.000001,"PASS","FAIL")</x:f>
        <x:v>PASS</x:v>
      </x:c>
      <x:c r="F28" s="63"/>
    </x:row>
    <x:row r="29">
      <x:c r="B29" s="24" t="str">
        <x:v>A24 Interface observations</x:v>
      </x:c>
      <x:c r="C29" s="60" t="n">
        <x:f>SUM('Joint Campaign'!O6:O125)</x:f>
        <x:v>1800</x:v>
      </x:c>
      <x:c r="D29" s="60" t="n">
        <x:v>1800</x:v>
      </x:c>
      <x:c r="E29" s="13" t="str">
        <x:f>IF(ABS(C29-D29)&lt;0.000001,"PASS","FAIL")</x:f>
        <x:v>PASS</x:v>
      </x:c>
      <x:c r="F29" s="63"/>
    </x:row>
    <x:row r="30">
      <x:c r="B30" s="24" t="str">
        <x:v>A25 Pair register</x:v>
      </x:c>
      <x:c r="C30" s="60" t="n">
        <x:f>COUNTA('Interface Matrix'!B6:B20)</x:f>
        <x:v>15</x:v>
      </x:c>
      <x:c r="D30" s="60" t="n">
        <x:v>15</x:v>
      </x:c>
      <x:c r="E30" s="13" t="str">
        <x:f>IF(ABS(C30-D30)&lt;0.000001,"PASS","FAIL")</x:f>
        <x:v>PASS</x:v>
      </x:c>
      <x:c r="F30" s="63"/>
    </x:row>
    <x:row r="31">
      <x:c r="B31" s="24" t="str">
        <x:v>A26 Campaign archetypes</x:v>
      </x:c>
      <x:c r="C31" s="60" t="n">
        <x:f>MAX('Joint Campaign'!D6:D125)</x:f>
        <x:v>10</x:v>
      </x:c>
      <x:c r="D31" s="60" t="n">
        <x:v>10</x:v>
      </x:c>
      <x:c r="E31" s="13" t="str">
        <x:f>IF(ABS(C31-D31)&lt;0.000001,"PASS","FAIL")</x:f>
        <x:v>PASS</x:v>
      </x:c>
      <x:c r="F31" s="63"/>
    </x:row>
    <x:row r="32">
      <x:c r="B32" s="24" t="str">
        <x:v>A27 Sites</x:v>
      </x:c>
      <x:c r="C32" s="60" t="n">
        <x:f>MAX('Joint Campaign'!F6:F125)</x:f>
        <x:v>3</x:v>
      </x:c>
      <x:c r="D32" s="60" t="n">
        <x:v>3</x:v>
      </x:c>
      <x:c r="E32" s="13" t="str">
        <x:f>IF(ABS(C32-D32)&lt;0.000001,"PASS","FAIL")</x:f>
        <x:v>PASS</x:v>
      </x:c>
      <x:c r="F32" s="63"/>
    </x:row>
    <x:row r="33">
      <x:c r="B33" s="24" t="str">
        <x:v>A28 Stacks</x:v>
      </x:c>
      <x:c r="C33" s="60" t="n">
        <x:f>MAX('Joint Campaign'!G6:G125)</x:f>
        <x:v>4</x:v>
      </x:c>
      <x:c r="D33" s="60" t="n">
        <x:v>4</x:v>
      </x:c>
      <x:c r="E33" s="13" t="str">
        <x:f>IF(ABS(C33-D33)&lt;0.000001,"PASS","FAIL")</x:f>
        <x:v>PASS</x:v>
      </x:c>
      <x:c r="F33" s="63"/>
    </x:row>
    <x:row r="34">
      <x:c r="B34" s="24" t="str">
        <x:v>A29 ET root 1 frequency</x:v>
      </x:c>
      <x:c r="C34" s="60" t="n">
        <x:f>COUNTIF('Joint Campaign'!H6:H125,"ET-R1")</x:f>
        <x:v>30</x:v>
      </x:c>
      <x:c r="D34" s="60" t="n">
        <x:v>30</x:v>
      </x:c>
      <x:c r="E34" s="13" t="str">
        <x:f>IF(ABS(C34-D34)&lt;0.000001,"PASS","FAIL")</x:f>
        <x:v>PASS</x:v>
      </x:c>
      <x:c r="F34" s="63"/>
    </x:row>
    <x:row r="35">
      <x:c r="B35" s="24" t="str">
        <x:v>A30 CT root 1 frequency</x:v>
      </x:c>
      <x:c r="C35" s="60" t="n">
        <x:f>COUNTIF('Joint Campaign'!I6:I125,"CT-R1")</x:f>
        <x:v>30</x:v>
      </x:c>
      <x:c r="D35" s="60" t="n">
        <x:v>30</x:v>
      </x:c>
      <x:c r="E35" s="13" t="str">
        <x:f>IF(ABS(C35-D35)&lt;0.000001,"PASS","FAIL")</x:f>
        <x:v>PASS</x:v>
      </x:c>
      <x:c r="F35" s="63"/>
    </x:row>
    <x:row r="36">
      <x:c r="B36" s="24" t="str">
        <x:v>A31 HC root 1 frequency</x:v>
      </x:c>
      <x:c r="C36" s="60" t="n">
        <x:f>COUNTIF('Joint Campaign'!J6:J125,"HC-R1")</x:f>
        <x:v>30</x:v>
      </x:c>
      <x:c r="D36" s="60" t="n">
        <x:v>30</x:v>
      </x:c>
      <x:c r="E36" s="13" t="str">
        <x:f>IF(ABS(C36-D36)&lt;0.000001,"PASS","FAIL")</x:f>
        <x:v>PASS</x:v>
      </x:c>
      <x:c r="F36" s="63"/>
    </x:row>
    <x:row r="37">
      <x:c r="B37" s="24" t="str">
        <x:v>A32 LF root 1 frequency</x:v>
      </x:c>
      <x:c r="C37" s="60" t="n">
        <x:f>COUNTIF('Joint Campaign'!K6:K125,"LF-R1")</x:f>
        <x:v>30</x:v>
      </x:c>
      <x:c r="D37" s="60" t="n">
        <x:v>30</x:v>
      </x:c>
      <x:c r="E37" s="13" t="str">
        <x:f>IF(ABS(C37-D37)&lt;0.000001,"PASS","FAIL")</x:f>
        <x:v>PASS</x:v>
      </x:c>
      <x:c r="F37" s="63"/>
    </x:row>
    <x:row r="38">
      <x:c r="B38" s="24" t="str">
        <x:v>A33 HU root 1 frequency</x:v>
      </x:c>
      <x:c r="C38" s="60" t="n">
        <x:f>COUNTIF('Joint Campaign'!L6:L125,"HU-R1")</x:f>
        <x:v>30</x:v>
      </x:c>
      <x:c r="D38" s="60" t="n">
        <x:v>30</x:v>
      </x:c>
      <x:c r="E38" s="13" t="str">
        <x:f>IF(ABS(C38-D38)&lt;0.000001,"PASS","FAIL")</x:f>
        <x:v>PASS</x:v>
      </x:c>
      <x:c r="F38" s="63"/>
    </x:row>
    <x:row r="39">
      <x:c r="B39" s="24" t="str">
        <x:v>A34 RT root 1 frequency</x:v>
      </x:c>
      <x:c r="C39" s="60" t="n">
        <x:f>COUNTIF('Joint Campaign'!M6:M125,"RT-R1")</x:f>
        <x:v>30</x:v>
      </x:c>
      <x:c r="D39" s="60" t="n">
        <x:v>30</x:v>
      </x:c>
      <x:c r="E39" s="13" t="str">
        <x:f>IF(ABS(C39-D39)&lt;0.000001,"PASS","FAIL")</x:f>
        <x:v>PASS</x:v>
      </x:c>
      <x:c r="F39" s="63"/>
    </x:row>
    <x:row r="40">
      <x:c r="B40" s="24" t="str">
        <x:v>A35 Pre-G4 program spend</x:v>
      </x:c>
      <x:c r="C40" s="60" t="n">
        <x:f>Economics!C16</x:f>
        <x:v>500</x:v>
      </x:c>
      <x:c r="D40" s="60" t="n">
        <x:v>500</x:v>
      </x:c>
      <x:c r="E40" s="13" t="str">
        <x:f>IF(ABS(C40-D40)&lt;0.000001,"PASS","FAIL")</x:f>
        <x:v>PASS</x:v>
      </x:c>
      <x:c r="F40" s="63"/>
    </x:row>
    <x:row r="41">
      <x:c r="B41" s="24" t="str">
        <x:v>A36 Through-G4 program spend</x:v>
      </x:c>
      <x:c r="C41" s="60" t="n">
        <x:f>Economics!C17</x:f>
        <x:v>750</x:v>
      </x:c>
      <x:c r="D41" s="60" t="n">
        <x:v>750</x:v>
      </x:c>
      <x:c r="E41" s="13" t="str">
        <x:f>IF(ABS(C41-D41)&lt;0.000001,"PASS","FAIL")</x:f>
        <x:v>PASS</x:v>
      </x:c>
      <x:c r="F41" s="63"/>
    </x:row>
    <x:row r="42">
      <x:c r="B42" s="24" t="str">
        <x:v>A37 Through-G4 mission spend</x:v>
      </x:c>
      <x:c r="C42" s="60" t="n">
        <x:f>Economics!D17</x:f>
        <x:v>412.5</x:v>
      </x:c>
      <x:c r="D42" s="60" t="n">
        <x:v>412.5</x:v>
      </x:c>
      <x:c r="E42" s="13" t="str">
        <x:f>IF(ABS(C42-D42)&lt;0.000001,"PASS","FAIL")</x:f>
        <x:v>PASS</x:v>
      </x:c>
      <x:c r="F42" s="63"/>
    </x:row>
    <x:row r="43">
      <x:c r="B43" s="24" t="str">
        <x:v>A38 Open total</x:v>
      </x:c>
      <x:c r="C43" s="60" t="n">
        <x:f>Controls!C35</x:f>
        <x:v>0</x:v>
      </x:c>
      <x:c r="D43" s="60" t="n">
        <x:v>0</x:v>
      </x:c>
      <x:c r="E43" s="13" t="str">
        <x:f>IF(ABS(C43-D43)&lt;0.000001,"PASS","FAIL")</x:f>
        <x:v>PASS</x:v>
      </x:c>
      <x:c r="F43" s="63"/>
    </x:row>
    <x:row r="44">
      <x:c r="B44" s="25" t="str">
        <x:v>A39 Rendering authority</x:v>
      </x:c>
      <x:c r="C44" s="61" t="n">
        <x:f>Controls!C36</x:f>
        <x:v>0</x:v>
      </x:c>
      <x:c r="D44" s="61" t="n">
        <x:v>0</x:v>
      </x:c>
      <x:c r="E44" s="14" t="str">
        <x:f>IF(ABS(C44-D44)&lt;0.000001,"PASS","FAIL")</x:f>
        <x:v>PASS</x:v>
      </x:c>
      <x:c r="F44" s="63"/>
    </x:row>
  </x:sheetData>
  <x:conditionalFormatting sqref="E6:E44">
    <x:cfRule type="containsText" dxfId="12" priority="1" operator="containsText" text="FAIL"/>
    <x:cfRule type="containsText" dxfId="13" priority="2" operator="containsText" text="PASS"/>
    <x:cfRule type="containsText" dxfId="14" priority="3" operator="containsText" text="BLOCK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8" hidden="0" customWidth="1"/>
    <x:col min="3" max="3" width="72" hidden="0" customWidth="1"/>
    <x:col min="4" max="4" width="14" hidden="0" customWidth="1"/>
    <x:col min="5" max="5" width="43" hidden="0" customWidth="1"/>
    <x:col min="6" max="6" width="43" hidden="0" customWidth="1"/>
    <x:col min="7" max="7" width="24" hidden="0" customWidth="1"/>
  </x:cols>
  <x:sheetData>
    <x:row r="2">
      <x:c r="B2" s="62" t="str">
        <x:v>Internal source lineage</x:v>
      </x:c>
      <x:c r="C2" s="63"/>
      <x:c r="D2" s="63"/>
      <x:c r="E2" s="63"/>
      <x:c r="F2" s="63"/>
      <x:c r="G2" s="63"/>
      <x:c r="H2" s="63"/>
    </x:row>
    <x:row r="3">
      <x:c r="B3" s="64" t="str">
        <x:v>No external website, vendor, product or current-program research is introduced in Pass 171.</x:v>
      </x:c>
      <x:c r="C3" s="64"/>
      <x:c r="D3" s="64"/>
      <x:c r="E3" s="64"/>
      <x:c r="F3" s="64"/>
      <x:c r="G3" s="64"/>
      <x:c r="H3" s="64"/>
    </x:row>
    <x:row r="4">
      <x:c r="B4" s="65"/>
      <x:c r="C4" s="65"/>
      <x:c r="D4" s="65"/>
      <x:c r="E4" s="65"/>
      <x:c r="F4" s="65"/>
      <x:c r="G4" s="65"/>
      <x:c r="H4" s="65"/>
    </x:row>
    <x:row r="5" ht="31" customHeight="1">
      <x:c r="B5" s="9" t="str">
        <x:v>Source</x:v>
      </x:c>
      <x:c r="C5" s="10" t="str">
        <x:v>Repository artifact</x:v>
      </x:c>
      <x:c r="D5" s="10" t="str">
        <x:v>State date</x:v>
      </x:c>
      <x:c r="E5" s="10" t="str">
        <x:v>Claims used</x:v>
      </x:c>
      <x:c r="F5" s="10" t="str">
        <x:v>Limit</x:v>
      </x:c>
      <x:c r="G5" s="11" t="str">
        <x:v>Claim class</x:v>
      </x:c>
      <x:c r="H5" s="63"/>
    </x:row>
    <x:row r="6" ht="56" customHeight="1">
      <x:c r="B6" s="43" t="str">
        <x:v>Pass 166 JMSA-1</x:v>
      </x:c>
      <x:c r="C6" s="26" t="str">
        <x:v>research/force/generation/department-of-resilience-joint-mission-system-appropriation-reservation-and-accountability-constitution.md</x:v>
      </x:c>
      <x:c r="D6" s="26" t="str">
        <x:v>2026-09-10</x:v>
      </x:c>
      <x:c r="E6" s="26" t="str">
        <x:v>USD 1.00T envelope; five exclusive accounts; annual schedule</x:v>
      </x:c>
      <x:c r="F6" s="26" t="str">
        <x:v>Policy-scale research boundary</x:v>
      </x:c>
      <x:c r="G6" s="26" t="str">
        <x:v>Inherited constitution</x:v>
      </x:c>
      <x:c r="H6" s="63"/>
    </x:row>
    <x:row r="7" ht="56" customHeight="1">
      <x:c r="B7" s="43" t="str">
        <x:v>Pass 167 NIFS-1</x:v>
      </x:c>
      <x:c r="C7" s="26" t="str">
        <x:v>research/force/generation/department-of-resilience-national-and-invited-international-concurrency-geography-and-force-sizing-constitution.md</x:v>
      </x:c>
      <x:c r="D7" s="26" t="str">
        <x:v>2026-09-10</x:v>
      </x:c>
      <x:c r="E7" s="26" t="str">
        <x:v>Ten campaigns; N−1 inventory and force exposure</x:v>
      </x:c>
      <x:c r="F7" s="26" t="str">
        <x:v>Planning screen; no physical acceptance</x:v>
      </x:c>
      <x:c r="G7" s="26" t="str">
        <x:v>Inherited constitution</x:v>
      </x:c>
      <x:c r="H7" s="63"/>
    </x:row>
    <x:row r="8" ht="56" customHeight="1">
      <x:c r="B8" s="43" t="str">
        <x:v>Pass 168 MSPT-1</x:v>
      </x:c>
      <x:c r="C8" s="26" t="str">
        <x:v>research/force/generation/department-of-resilience-six-mission-system-portfolio-topology-and-technology-competition-constitution.md</x:v>
      </x:c>
      <x:c r="D8" s="26" t="str">
        <x:v>2026-09-10</x:v>
      </x:c>
      <x:c r="E8" s="26" t="str">
        <x:v>Six systems; 24 parent fields; USD 550B allocations</x:v>
      </x:c>
      <x:c r="F8" s="26" t="str">
        <x:v>Mechanism-neutral; zero force credit</x:v>
      </x:c>
      <x:c r="G8" s="26" t="str">
        <x:v>Inherited constitution</x:v>
      </x:c>
      <x:c r="H8" s="63"/>
    </x:row>
    <x:row r="9" ht="56" customHeight="1">
      <x:c r="B9" s="43" t="str">
        <x:v>Pass 169 HCC-1</x:v>
      </x:c>
      <x:c r="C9" s="26" t="str">
        <x:v>research/force/generation/department-of-resilience-human-continuity-service-contract-and-first-technology-campaign-constitution.md</x:v>
      </x:c>
      <x:c r="D9" s="26" t="str">
        <x:v>2026-09-10</x:v>
      </x:c>
      <x:c r="E9" s="26" t="str">
        <x:v>MS-HU service grammar; twelve child competitions</x:v>
      </x:c>
      <x:c r="F9" s="26" t="str">
        <x:v>One system only</x:v>
      </x:c>
      <x:c r="G9" s="26" t="str">
        <x:v>Inherited refinement</x:v>
      </x:c>
      <x:c r="H9" s="63"/>
    </x:row>
    <x:row r="10" ht="56" customHeight="1">
      <x:c r="B10" s="43" t="str">
        <x:v>Pass 170 PHCS-1</x:v>
      </x:c>
      <x:c r="C10" s="26" t="str">
        <x:v>research/force/generation/department-of-resilience-first-physical-human-continuity-system-and-representative-campaign-constitution.md</x:v>
      </x:c>
      <x:c r="D10" s="26" t="str">
        <x:v>2026-09-10</x:v>
      </x:c>
      <x:c r="E10" s="26" t="str">
        <x:v>HCDN-50 and four physical root families</x:v>
      </x:c>
      <x:c r="F10" s="26" t="str">
        <x:v>Research target; no admitted root</x:v>
      </x:c>
      <x:c r="G10" s="26" t="str">
        <x:v>Inherited refinement</x:v>
      </x:c>
      <x:c r="H10" s="63"/>
    </x:row>
    <x:row r="11" ht="56" customHeight="1">
      <x:c r="B11" s="43" t="str">
        <x:v>Resilience technology frontier</x:v>
      </x:c>
      <x:c r="C11" s="26" t="str">
        <x:v>research/proving/test-enterprise/resilience-technology-frontier.md</x:v>
      </x:c>
      <x:c r="D11" s="26" t="str">
        <x:v>2026-09-04</x:v>
      </x:c>
      <x:c r="E11" s="26" t="str">
        <x:v>G0–G7 evidence doctrine; common primitives; rival-root logic</x:v>
      </x:c>
      <x:c r="F11" s="26" t="str">
        <x:v>Broader technology enterprise; funding is not added here</x:v>
      </x:c>
      <x:c r="G11" s="26" t="str">
        <x:v>Internal research framework</x:v>
      </x:c>
      <x:c r="H11" s="63"/>
    </x:row>
    <x:row r="12" ht="56" customHeight="1">
      <x:c r="B12" s="34" t="str">
        <x:v>Pass 171 author constitution</x:v>
      </x:c>
      <x:c r="C12" s="27" t="str">
        <x:v>This report and workbook</x:v>
      </x:c>
      <x:c r="D12" s="27" t="str">
        <x:v>2026-09-10</x:v>
      </x:c>
      <x:c r="E12" s="27" t="str">
        <x:v>Sequencing candidates, wavefront interlock and demonstrator design</x:v>
      </x:c>
      <x:c r="F12" s="27" t="str">
        <x:v>R1 design hypothesis; zero procurement / readiness</x:v>
      </x:c>
      <x:c r="G12" s="27" t="str">
        <x:v>New design judgment</x:v>
      </x:c>
      <x:c r="H12" s="63"/>
    </x:row>
    <x:row r="13">
      <x:c r="B13" s="63"/>
      <x:c r="C13" s="63"/>
      <x:c r="D13" s="63"/>
      <x:c r="E13" s="63"/>
      <x:c r="F13" s="63"/>
      <x:c r="G13" s="63"/>
      <x:c r="H13" s="63"/>
    </x:row>
    <x:row r="14">
      <x:c r="B14" s="63"/>
      <x:c r="C14" s="63"/>
      <x:c r="D14" s="63"/>
      <x:c r="E14" s="63"/>
      <x:c r="F14" s="63"/>
      <x:c r="G14" s="63"/>
      <x:c r="H14" s="63"/>
    </x:row>
    <x:row r="15">
      <x:c r="B15" s="66" t="str">
        <x:v>Accounting boundary</x:v>
      </x:c>
      <x:c r="C15" s="66"/>
      <x:c r="D15" s="66"/>
      <x:c r="E15" s="66"/>
      <x:c r="F15" s="66"/>
      <x:c r="G15" s="66"/>
      <x:c r="H15" s="63"/>
    </x:row>
    <x:row r="16">
      <x:c r="B16" s="43" t="str">
        <x:v>Financial basis</x:v>
      </x:c>
      <x:c r="C16" s="13" t="str">
        <x:v>Constant 2026 USD; undiscounted</x:v>
      </x:c>
      <x:c r="D16" s="63"/>
      <x:c r="E16" s="63"/>
      <x:c r="F16" s="63"/>
      <x:c r="G16" s="63"/>
      <x:c r="H16" s="63"/>
    </x:row>
    <x:row r="17">
      <x:c r="B17" s="43" t="str">
        <x:v>Program basis</x:v>
      </x:c>
      <x:c r="C17" s="13" t="str">
        <x:v>USD 1.00T technology-and-proving constitution</x:v>
      </x:c>
      <x:c r="D17" s="63"/>
      <x:c r="E17" s="63"/>
      <x:c r="F17" s="63"/>
      <x:c r="G17" s="63"/>
      <x:c r="H17" s="63"/>
    </x:row>
    <x:row r="18">
      <x:c r="B18" s="43" t="str">
        <x:v>Non-addition rule</x:v>
      </x:c>
      <x:c r="C18" s="13" t="str">
        <x:v>Mission, service, common, technical and reserve are exhaustive account views</x:v>
      </x:c>
      <x:c r="D18" s="63"/>
      <x:c r="E18" s="63"/>
      <x:c r="F18" s="63"/>
      <x:c r="G18" s="63"/>
      <x:c r="H18" s="63"/>
    </x:row>
    <x:row r="19">
      <x:c r="B19" s="43" t="str">
        <x:v>Force boundary</x:v>
      </x:c>
      <x:c r="C19" s="13" t="str">
        <x:v>USD 17.4T capital and USD 2.11T mature operations are contextual, never added</x:v>
      </x:c>
      <x:c r="D19" s="63"/>
      <x:c r="E19" s="63"/>
      <x:c r="F19" s="63"/>
      <x:c r="G19" s="63"/>
      <x:c r="H19" s="63"/>
    </x:row>
    <x:row r="20">
      <x:c r="B20" s="43" t="str">
        <x:v>Evidence state</x:v>
      </x:c>
      <x:c r="C20" s="13" t="str">
        <x:v>Every mission, root and interface count is planned; none has been executed</x:v>
      </x:c>
      <x:c r="D20" s="63"/>
      <x:c r="E20" s="63"/>
      <x:c r="F20" s="63"/>
      <x:c r="G20" s="63"/>
      <x:c r="H20" s="63"/>
    </x:row>
    <x:row r="21">
      <x:c r="B21" s="43" t="str">
        <x:v>Rendering</x:v>
      </x:c>
      <x:c r="C21" s="13" t="str">
        <x:v>Blocked; sequencing does not authorize exterior form</x:v>
      </x:c>
      <x:c r="D21" s="63"/>
      <x:c r="E21" s="63"/>
      <x:c r="F21" s="63"/>
      <x:c r="G21" s="63"/>
      <x:c r="H21" s="63"/>
    </x:row>
  </x:sheetData>
  <x:pageMargins left="0.7" right="0.7" top="0.75" bottom="0.75" header="0.3" footer="0.3"/>
</x:worksheet>
</file>