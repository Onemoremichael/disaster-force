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0b5957063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2bf10654c5481c"/>
    <x:sheet xmlns:r="http://schemas.openxmlformats.org/officeDocument/2006/relationships" name="Controls" sheetId="2" r:id="R116ae928911b4bdc"/>
    <x:sheet xmlns:r="http://schemas.openxmlformats.org/officeDocument/2006/relationships" name="Decision Logic" sheetId="3" r:id="Ra68b37da229542ac"/>
    <x:sheet xmlns:r="http://schemas.openxmlformats.org/officeDocument/2006/relationships" name="Lineages" sheetId="4" r:id="R0d04f69292af4e07"/>
    <x:sheet xmlns:r="http://schemas.openxmlformats.org/officeDocument/2006/relationships" name="Article Matrix" sheetId="5" r:id="R7de52a60a9f14fbe"/>
    <x:sheet xmlns:r="http://schemas.openxmlformats.org/officeDocument/2006/relationships" name="Coordinate System" sheetId="6" r:id="R2f811583ef2749f0"/>
    <x:sheet xmlns:r="http://schemas.openxmlformats.org/officeDocument/2006/relationships" name="Deploy States" sheetId="7" r:id="R918da1220dc249a2"/>
    <x:sheet xmlns:r="http://schemas.openxmlformats.org/officeDocument/2006/relationships" name="Segment Geometry" sheetId="8" r:id="R380989af8dc44222"/>
    <x:sheet xmlns:r="http://schemas.openxmlformats.org/officeDocument/2006/relationships" name="Drawing Register" sheetId="9" r:id="Re0549417900341b5"/>
    <x:sheet xmlns:r="http://schemas.openxmlformats.org/officeDocument/2006/relationships" name="Part Families" sheetId="10" r:id="R897d38a50ff14e0a"/>
    <x:sheet xmlns:r="http://schemas.openxmlformats.org/officeDocument/2006/relationships" name="Mass Ledger" sheetId="11" r:id="R49f5ebcfc0e94215"/>
    <x:sheet xmlns:r="http://schemas.openxmlformats.org/officeDocument/2006/relationships" name="CG Build" sheetId="12" r:id="Rf11a3c1c37ea45a4"/>
    <x:sheet xmlns:r="http://schemas.openxmlformats.org/officeDocument/2006/relationships" name="Material Lots" sheetId="13" r:id="R7224d47b551341f7"/>
    <x:sheet xmlns:r="http://schemas.openxmlformats.org/officeDocument/2006/relationships" name="Process Routes" sheetId="14" r:id="Re3f6cc06195b4400"/>
    <x:sheet xmlns:r="http://schemas.openxmlformats.org/officeDocument/2006/relationships" name="Build Travelers" sheetId="15" r:id="Rb5fb214d32c6492b"/>
    <x:sheet xmlns:r="http://schemas.openxmlformats.org/officeDocument/2006/relationships" name="Joint Definitions" sheetId="16" r:id="R923e4920c58b468c"/>
    <x:sheet xmlns:r="http://schemas.openxmlformats.org/officeDocument/2006/relationships" name="Surface State" sheetId="17" r:id="Ra710ac54459d4e12"/>
    <x:sheet xmlns:r="http://schemas.openxmlformats.org/officeDocument/2006/relationships" name="Hydraulic Screen" sheetId="18" r:id="R4d17fc03cc844df3"/>
    <x:sheet xmlns:r="http://schemas.openxmlformats.org/officeDocument/2006/relationships" name="Pressure Boundary" sheetId="19" r:id="Rd31f3b1895d64f90"/>
    <x:sheet xmlns:r="http://schemas.openxmlformats.org/officeDocument/2006/relationships" name="Thermal Growth" sheetId="20" r:id="Rd02885aa4c3b4b68"/>
    <x:sheet xmlns:r="http://schemas.openxmlformats.org/officeDocument/2006/relationships" name="Safeing Elements" sheetId="21" r:id="R8b86e421f530489a"/>
    <x:sheet xmlns:r="http://schemas.openxmlformats.org/officeDocument/2006/relationships" name="Safeing Work" sheetId="22" r:id="R9582fb88704b498a"/>
    <x:sheet xmlns:r="http://schemas.openxmlformats.org/officeDocument/2006/relationships" name="Safety Energy" sheetId="23" r:id="R1a26126348634134"/>
    <x:sheet xmlns:r="http://schemas.openxmlformats.org/officeDocument/2006/relationships" name="Instrument Interfaces" sheetId="24" r:id="Rbed1d1f531c04d58"/>
    <x:sheet xmlns:r="http://schemas.openxmlformats.org/officeDocument/2006/relationships" name="Wetted Ports" sheetId="25" r:id="R4cf08f50d0d64388"/>
    <x:sheet xmlns:r="http://schemas.openxmlformats.org/officeDocument/2006/relationships" name="Tolerance Stacks" sheetId="26" r:id="Rc485c70f9a8248f2"/>
    <x:sheet xmlns:r="http://schemas.openxmlformats.org/officeDocument/2006/relationships" name="Tolerance Contributors" sheetId="27" r:id="R04cdf2bf03c943c8"/>
    <x:sheet xmlns:r="http://schemas.openxmlformats.org/officeDocument/2006/relationships" name="Evidence Plan" sheetId="28" r:id="Rcfac25f57ecb4558"/>
    <x:sheet xmlns:r="http://schemas.openxmlformats.org/officeDocument/2006/relationships" name="Nonconformance Logic" sheetId="29" r:id="Ra36b56149f004801"/>
    <x:sheet xmlns:r="http://schemas.openxmlformats.org/officeDocument/2006/relationships" name="Build Gates" sheetId="30" r:id="R41d4253dfddd4a99"/>
    <x:sheet xmlns:r="http://schemas.openxmlformats.org/officeDocument/2006/relationships" name="Article Release" sheetId="31" r:id="Ref4213840b994272"/>
    <x:sheet xmlns:r="http://schemas.openxmlformats.org/officeDocument/2006/relationships" name="Capacity" sheetId="32" r:id="R065f3e43a94d4bc9"/>
    <x:sheet xmlns:r="http://schemas.openxmlformats.org/officeDocument/2006/relationships" name="Workforce" sheetId="33" r:id="Ra53e5d015cad4d22"/>
    <x:sheet xmlns:r="http://schemas.openxmlformats.org/officeDocument/2006/relationships" name="Capital" sheetId="34" r:id="Rd5f3b2425387494a"/>
    <x:sheet xmlns:r="http://schemas.openxmlformats.org/officeDocument/2006/relationships" name="Annual Support" sheetId="35" r:id="R9034f9692f91486b"/>
    <x:sheet xmlns:r="http://schemas.openxmlformats.org/officeDocument/2006/relationships" name="Portfolio Boundary" sheetId="36" r:id="Rd829b4f2fc774ebd"/>
    <x:sheet xmlns:r="http://schemas.openxmlformats.org/officeDocument/2006/relationships" name="Technology Programs" sheetId="37" r:id="Rab79d25d62784978"/>
    <x:sheet xmlns:r="http://schemas.openxmlformats.org/officeDocument/2006/relationships" name="Schedule" sheetId="38" r:id="R4e3446b142cf43e6"/>
    <x:sheet xmlns:r="http://schemas.openxmlformats.org/officeDocument/2006/relationships" name="Release Gates" sheetId="39" r:id="R64f83603296d4e7f"/>
    <x:sheet xmlns:r="http://schemas.openxmlformats.org/officeDocument/2006/relationships" name="Audit" sheetId="40" r:id="Re765150a2efe4d70"/>
    <x:sheet xmlns:r="http://schemas.openxmlformats.org/officeDocument/2006/relationships" name="Sources" sheetId="41" r:id="Rd093fd936f594c0c"/>
    <x:sheet xmlns:r="http://schemas.openxmlformats.org/officeDocument/2006/relationships" name="ReadMe" sheetId="42" r:id="R70b153a11bc0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"/>
    <x:numFmt numFmtId="202" formatCode="0.000000"/>
    <x:numFmt numFmtId="203" formatCode="0.0"/>
  </x:numFmts>
  <x:fonts count="9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  <x:font>
      <x:b/>
      <x:sz val="10"/>
      <x:color rgb="FF222222"/>
      <x:name val="Arial"/>
    </x:font>
    <x:font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1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201" fontId="0" fillId="0" borderId="0" xfId="0" applyNumberFormat="1" applyFont="1" applyFill="1" applyBorder="1"/>
    <x:xf numFmtId="201" fontId="6" fillId="4" borderId="2" xfId="0" applyNumberFormat="1" applyFont="1" applyFill="1" applyBorder="1"/>
    <x:xf numFmtId="201" fontId="6" fillId="4" borderId="5" xfId="0" applyNumberFormat="1" applyFont="1" applyFill="1" applyBorder="1"/>
    <x:xf numFmtId="202" fontId="4" fillId="0" borderId="0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201" fontId="6" fillId="4" borderId="3" xfId="0" applyNumberFormat="1" applyFont="1" applyFill="1" applyBorder="1"/>
    <x:xf numFmtId="201" fontId="6" fillId="4" borderId="0" xfId="0" applyNumberFormat="1" applyFont="1" applyFill="1" applyBorder="1"/>
    <x:xf numFmtId="201" fontId="6" fillId="4" borderId="8" xfId="0" applyNumberFormat="1" applyFont="1" applyFill="1" applyBorder="1"/>
    <x:xf numFmtId="201" fontId="6" fillId="4" borderId="6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0" fillId="0" borderId="0" xfId="0" applyNumberFormat="1" applyFont="1" applyFill="1" applyBorder="1"/>
    <x:xf numFmtId="200" fontId="6" fillId="4" borderId="10" xfId="0" applyNumberFormat="1" applyFont="1" applyFill="1" applyBorder="1"/>
    <x:xf numFmtId="203" fontId="4" fillId="0" borderId="0" xfId="0" applyNumberFormat="1" applyFont="1" applyFill="1" applyBorder="1"/>
    <x:xf numFmtId="203" fontId="0" fillId="0" borderId="0" xfId="0" applyNumberFormat="1" applyFont="1" applyFill="1" applyBorder="1"/>
    <x:xf numFmtId="203" fontId="6" fillId="4" borderId="10" xfId="0" applyNumberFormat="1" applyFont="1" applyFill="1" applyBorder="1"/>
    <x:xf numFmtId="203" fontId="6" fillId="4" borderId="2" xfId="0" applyNumberFormat="1" applyFont="1" applyFill="1" applyBorder="1"/>
    <x:xf numFmtId="203" fontId="6" fillId="4" borderId="5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6" fillId="4" borderId="2" xfId="0" applyNumberFormat="1" applyFont="1" applyFill="1" applyBorder="1" applyAlignment="1">
      <x:alignment vertical="center"/>
    </x:xf>
    <x:xf numFmtId="201" fontId="6" fillId="4" borderId="5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6" fillId="4" borderId="3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6" fillId="4" borderId="8" xfId="0" applyNumberFormat="1" applyFont="1" applyFill="1" applyBorder="1" applyAlignment="1">
      <x:alignment vertical="center"/>
    </x:xf>
    <x:xf numFmtId="201" fontId="6" fillId="4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6" fillId="4" borderId="10" xfId="0" applyNumberFormat="1" applyFont="1" applyFill="1" applyBorder="1" applyAlignment="1">
      <x:alignment vertical="center"/>
    </x:xf>
    <x:xf numFmtId="203" fontId="6" fillId="4" borderId="2" xfId="0" applyNumberFormat="1" applyFont="1" applyFill="1" applyBorder="1" applyAlignment="1">
      <x:alignment vertical="center"/>
    </x:xf>
    <x:xf numFmtId="203" fontId="6" fillId="4" borderId="5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7" fillId="4" borderId="10" xfId="0" applyNumberFormat="1" applyFont="1" applyFill="1" applyBorder="1" applyAlignment="1">
      <x:alignment vertical="center"/>
    </x:xf>
    <x:xf numFmtId="203" fontId="7" fillId="4" borderId="2" xfId="0" applyNumberFormat="1" applyFont="1" applyFill="1" applyBorder="1" applyAlignment="1">
      <x:alignment vertical="center"/>
    </x:xf>
    <x:xf numFmtId="203" fontId="7" fillId="4" borderId="5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2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d60fd28e0409a" /><Relationship Type="http://schemas.openxmlformats.org/officeDocument/2006/relationships/theme" Target="/xl/theme/theme1.xml" Id="Rad397e7c56fe44b5" /><Relationship Type="http://schemas.openxmlformats.org/officeDocument/2006/relationships/sharedStrings" Target="/xl/sharedStrings.xml" Id="Rc3a64fe70c9c46ec" /><Relationship Type="http://schemas.openxmlformats.org/officeDocument/2006/relationships/worksheet" Target="/xl/worksheets/sheet1.xml" Id="Re72bf10654c5481c" /><Relationship Type="http://schemas.openxmlformats.org/officeDocument/2006/relationships/worksheet" Target="/xl/worksheets/sheet2.xml" Id="R116ae928911b4bdc" /><Relationship Type="http://schemas.openxmlformats.org/officeDocument/2006/relationships/worksheet" Target="/xl/worksheets/sheet3.xml" Id="Ra68b37da229542ac" /><Relationship Type="http://schemas.openxmlformats.org/officeDocument/2006/relationships/worksheet" Target="/xl/worksheets/sheet4.xml" Id="R0d04f69292af4e07" /><Relationship Type="http://schemas.openxmlformats.org/officeDocument/2006/relationships/worksheet" Target="/xl/worksheets/sheet5.xml" Id="R7de52a60a9f14fbe" /><Relationship Type="http://schemas.openxmlformats.org/officeDocument/2006/relationships/worksheet" Target="/xl/worksheets/sheet6.xml" Id="R2f811583ef2749f0" /><Relationship Type="http://schemas.openxmlformats.org/officeDocument/2006/relationships/worksheet" Target="/xl/worksheets/sheet7.xml" Id="R918da1220dc249a2" /><Relationship Type="http://schemas.openxmlformats.org/officeDocument/2006/relationships/worksheet" Target="/xl/worksheets/sheet8.xml" Id="R380989af8dc44222" /><Relationship Type="http://schemas.openxmlformats.org/officeDocument/2006/relationships/worksheet" Target="/xl/worksheets/sheet9.xml" Id="Re0549417900341b5" /><Relationship Type="http://schemas.openxmlformats.org/officeDocument/2006/relationships/worksheet" Target="/xl/worksheets/sheet10.xml" Id="R897d38a50ff14e0a" /><Relationship Type="http://schemas.openxmlformats.org/officeDocument/2006/relationships/worksheet" Target="/xl/worksheets/sheet11.xml" Id="R49f5ebcfc0e94215" /><Relationship Type="http://schemas.openxmlformats.org/officeDocument/2006/relationships/worksheet" Target="/xl/worksheets/sheet12.xml" Id="Rf11a3c1c37ea45a4" /><Relationship Type="http://schemas.openxmlformats.org/officeDocument/2006/relationships/worksheet" Target="/xl/worksheets/sheet13.xml" Id="R7224d47b551341f7" /><Relationship Type="http://schemas.openxmlformats.org/officeDocument/2006/relationships/worksheet" Target="/xl/worksheets/sheet14.xml" Id="Re3f6cc06195b4400" /><Relationship Type="http://schemas.openxmlformats.org/officeDocument/2006/relationships/worksheet" Target="/xl/worksheets/sheet15.xml" Id="Rb5fb214d32c6492b" /><Relationship Type="http://schemas.openxmlformats.org/officeDocument/2006/relationships/worksheet" Target="/xl/worksheets/sheet16.xml" Id="R923e4920c58b468c" /><Relationship Type="http://schemas.openxmlformats.org/officeDocument/2006/relationships/worksheet" Target="/xl/worksheets/sheet17.xml" Id="Ra710ac54459d4e12" /><Relationship Type="http://schemas.openxmlformats.org/officeDocument/2006/relationships/worksheet" Target="/xl/worksheets/sheet18.xml" Id="R4d17fc03cc844df3" /><Relationship Type="http://schemas.openxmlformats.org/officeDocument/2006/relationships/worksheet" Target="/xl/worksheets/sheet19.xml" Id="Rd31f3b1895d64f90" /><Relationship Type="http://schemas.openxmlformats.org/officeDocument/2006/relationships/worksheet" Target="/xl/worksheets/sheet20.xml" Id="Rd02885aa4c3b4b68" /><Relationship Type="http://schemas.openxmlformats.org/officeDocument/2006/relationships/worksheet" Target="/xl/worksheets/sheet21.xml" Id="R8b86e421f530489a" /><Relationship Type="http://schemas.openxmlformats.org/officeDocument/2006/relationships/worksheet" Target="/xl/worksheets/sheet22.xml" Id="R9582fb88704b498a" /><Relationship Type="http://schemas.openxmlformats.org/officeDocument/2006/relationships/worksheet" Target="/xl/worksheets/sheet23.xml" Id="R1a26126348634134" /><Relationship Type="http://schemas.openxmlformats.org/officeDocument/2006/relationships/worksheet" Target="/xl/worksheets/sheet24.xml" Id="Rbed1d1f531c04d58" /><Relationship Type="http://schemas.openxmlformats.org/officeDocument/2006/relationships/worksheet" Target="/xl/worksheets/sheet25.xml" Id="R4cf08f50d0d64388" /><Relationship Type="http://schemas.openxmlformats.org/officeDocument/2006/relationships/worksheet" Target="/xl/worksheets/sheet26.xml" Id="Rc485c70f9a8248f2" /><Relationship Type="http://schemas.openxmlformats.org/officeDocument/2006/relationships/worksheet" Target="/xl/worksheets/sheet27.xml" Id="R04cdf2bf03c943c8" /><Relationship Type="http://schemas.openxmlformats.org/officeDocument/2006/relationships/worksheet" Target="/xl/worksheets/sheet28.xml" Id="Rcfac25f57ecb4558" /><Relationship Type="http://schemas.openxmlformats.org/officeDocument/2006/relationships/worksheet" Target="/xl/worksheets/sheet29.xml" Id="Ra36b56149f004801" /><Relationship Type="http://schemas.openxmlformats.org/officeDocument/2006/relationships/worksheet" Target="/xl/worksheets/sheet30.xml" Id="R41d4253dfddd4a99" /><Relationship Type="http://schemas.openxmlformats.org/officeDocument/2006/relationships/worksheet" Target="/xl/worksheets/sheet31.xml" Id="Ref4213840b994272" /><Relationship Type="http://schemas.openxmlformats.org/officeDocument/2006/relationships/worksheet" Target="/xl/worksheets/sheet32.xml" Id="R065f3e43a94d4bc9" /><Relationship Type="http://schemas.openxmlformats.org/officeDocument/2006/relationships/worksheet" Target="/xl/worksheets/sheet33.xml" Id="Ra53e5d015cad4d22" /><Relationship Type="http://schemas.openxmlformats.org/officeDocument/2006/relationships/worksheet" Target="/xl/worksheets/sheet34.xml" Id="Rd5f3b2425387494a" /><Relationship Type="http://schemas.openxmlformats.org/officeDocument/2006/relationships/worksheet" Target="/xl/worksheets/sheet35.xml" Id="R9034f9692f91486b" /><Relationship Type="http://schemas.openxmlformats.org/officeDocument/2006/relationships/worksheet" Target="/xl/worksheets/sheet36.xml" Id="Rd829b4f2fc774ebd" /><Relationship Type="http://schemas.openxmlformats.org/officeDocument/2006/relationships/worksheet" Target="/xl/worksheets/sheet37.xml" Id="Rab79d25d62784978" /><Relationship Type="http://schemas.openxmlformats.org/officeDocument/2006/relationships/worksheet" Target="/xl/worksheets/sheet38.xml" Id="R4e3446b142cf43e6" /><Relationship Type="http://schemas.openxmlformats.org/officeDocument/2006/relationships/worksheet" Target="/xl/worksheets/sheet39.xml" Id="R64f83603296d4e7f" /><Relationship Type="http://schemas.openxmlformats.org/officeDocument/2006/relationships/worksheet" Target="/xl/worksheets/sheet40.xml" Id="Re765150a2efe4d70" /><Relationship Type="http://schemas.openxmlformats.org/officeDocument/2006/relationships/worksheet" Target="/xl/worksheets/sheet41.xml" Id="Rd093fd936f594c0c" /><Relationship Type="http://schemas.openxmlformats.org/officeDocument/2006/relationships/worksheet" Target="/xl/worksheets/sheet42.xml" Id="R70b153a11bc04e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16" hidden="0" customWidth="1"/>
    <x:col min="5" max="5" width="24" hidden="0" customWidth="1"/>
    <x:col min="6" max="6" width="18" hidden="0" customWidth="1"/>
    <x:col min="7" max="7" width="24" hidden="0" customWidth="1"/>
    <x:col min="8" max="8" width="18" hidden="0" customWidth="1"/>
  </x:cols>
  <x:sheetData>
    <x:row r="2">
      <x:c r="B2" s="41" t="str">
        <x:v>RAC-1 reference-article construction constitution</x:v>
      </x:c>
      <x:c r="C2" s="42"/>
      <x:c r="D2" s="42"/>
      <x:c r="E2" s="42"/>
      <x:c r="F2" s="42"/>
      <x:c r="G2" s="42"/>
      <x:c r="H2" s="42"/>
    </x:row>
    <x:row r="3">
      <x:c r="B3" s="43" t="str">
        <x:v>First-principles physical definition for two unlike public build lineages.</x:v>
      </x:c>
      <x:c r="C3" s="42"/>
      <x:c r="D3" s="42"/>
      <x:c r="E3" s="42"/>
      <x:c r="F3" s="42"/>
      <x:c r="G3" s="42"/>
      <x:c r="H3" s="42"/>
    </x:row>
    <x:row r="4">
      <x:c r="B4" s="42"/>
      <x:c r="C4" s="42"/>
      <x:c r="D4" s="42"/>
      <x:c r="E4" s="42"/>
      <x:c r="F4" s="42"/>
      <x:c r="G4" s="42"/>
      <x:c r="H4" s="42"/>
    </x:row>
    <x:row r="5">
      <x:c r="B5" s="42"/>
      <x:c r="C5" s="42"/>
      <x:c r="D5" s="42"/>
      <x:c r="E5" s="42"/>
      <x:c r="F5" s="42"/>
      <x:c r="G5" s="42"/>
      <x:c r="H5" s="42"/>
    </x:row>
    <x:row r="6" ht="25" customHeight="1">
      <x:c r="B6" s="6" t="str">
        <x:v>Decision field</x:v>
      </x:c>
      <x:c r="C6" s="6" t="str">
        <x:v>RAC-1 position</x:v>
      </x:c>
      <x:c r="D6" s="42"/>
      <x:c r="E6" s="6" t="str">
        <x:v>NUMERIC ANCHORS</x:v>
      </x:c>
      <x:c r="F6" s="6"/>
      <x:c r="G6" s="6"/>
      <x:c r="H6" s="6"/>
    </x:row>
    <x:row r="7" ht="44" customHeight="1">
      <x:c r="B7" s="44" t="str">
        <x:v>Object</x:v>
      </x:c>
      <x:c r="C7" s="45" t="str">
        <x:v>RAC-1 reference-article construction and build-release constitution</x:v>
      </x:c>
      <x:c r="D7" s="42"/>
      <x:c r="E7" s="46" t="str">
        <x:v>Drawings</x:v>
      </x:c>
      <x:c r="F7" s="47" t="n">
        <x:f>COUNTA('Drawing Register'!B7:B102)</x:f>
        <x:v>96</x:v>
      </x:c>
      <x:c r="G7" s="47" t="str">
        <x:v>Tolerance stacks</x:v>
      </x:c>
      <x:c r="H7" s="48" t="n">
        <x:f>COUNTA('Tolerance Stacks'!B7:B54)</x:f>
        <x:v>48</x:v>
      </x:c>
    </x:row>
    <x:row r="8" ht="44" customHeight="1">
      <x:c r="B8" s="44" t="str">
        <x:v>Decision</x:v>
      </x:c>
      <x:c r="C8" s="45" t="str">
        <x:v>Define both lineage build packages without issuing fabrication</x:v>
      </x:c>
      <x:c r="D8" s="42"/>
      <x:c r="E8" s="49" t="str">
        <x:v>Part families</x:v>
      </x:c>
      <x:c r="F8" s="50" t="n">
        <x:f>COUNTA('Part Families'!B7:B78)</x:f>
        <x:v>72</x:v>
      </x:c>
      <x:c r="G8" s="50" t="str">
        <x:v>Contributors</x:v>
      </x:c>
      <x:c r="H8" s="51" t="n">
        <x:f>COUNTA('Tolerance Contributors'!B7:B198)</x:f>
        <x:v>192</x:v>
      </x:c>
    </x:row>
    <x:row r="9" ht="44" customHeight="1">
      <x:c r="B9" s="44" t="str">
        <x:v>Physical topology</x:v>
      </x:c>
      <x:c r="C9" s="45" t="str">
        <x:v>Six two-metre modules stow inside a 2.4 m transport frame and deploy as one straight 12 m line</x:v>
      </x:c>
      <x:c r="D9" s="42"/>
      <x:c r="E9" s="49" t="str">
        <x:v>Travelers</x:v>
      </x:c>
      <x:c r="F9" s="50" t="n">
        <x:f>COUNTA('Build Travelers'!B7:B366)</x:f>
        <x:v>360</x:v>
      </x:c>
      <x:c r="G9" s="50" t="str">
        <x:v>Build gates</x:v>
      </x:c>
      <x:c r="H9" s="51" t="n">
        <x:f>COUNTA('Build Gates'!B7:B294)</x:f>
        <x:v>288</x:v>
      </x:c>
    </x:row>
    <x:row r="10" ht="44" customHeight="1">
      <x:c r="B10" s="44" t="str">
        <x:v>Lineage X</x:v>
      </x:c>
      <x:c r="C10" s="45" t="str">
        <x:v>40 mm bore, 2 mm wall, five permanent orbital welds</x:v>
      </x:c>
      <x:c r="D10" s="42"/>
      <x:c r="E10" s="49" t="str">
        <x:v>BL-X mass kg</x:v>
      </x:c>
      <x:c r="F10" s="50" t="n">
        <x:f>'CG Build'!C7</x:f>
        <x:v>1959</x:v>
      </x:c>
      <x:c r="G10" s="50" t="str">
        <x:v>BL-Y mass kg</x:v>
      </x:c>
      <x:c r="H10" s="51" t="n">
        <x:f>'CG Build'!C8</x:f>
        <x:v>2008</x:v>
      </x:c>
    </x:row>
    <x:row r="11" ht="44" customHeight="1">
      <x:c r="B11" s="44" t="str">
        <x:v>Lineage Y</x:v>
      </x:c>
      <x:c r="C11" s="45" t="str">
        <x:v>40 mm bore, 2.5 mm wall, five monitored double-barrier clamp joints</x:v>
      </x:c>
      <x:c r="D11" s="42"/>
      <x:c r="E11" s="49" t="str">
        <x:v>Capital USD M</x:v>
      </x:c>
      <x:c r="F11" s="50" t="n">
        <x:f>'Capital'!C18</x:f>
        <x:v>64</x:v>
      </x:c>
      <x:c r="G11" s="50" t="str">
        <x:v>Annual USD M</x:v>
      </x:c>
      <x:c r="H11" s="51" t="n">
        <x:f>'Annual Support'!C17</x:f>
        <x:v>38</x:v>
      </x:c>
    </x:row>
    <x:row r="12" ht="44" customHeight="1">
      <x:c r="B12" s="44" t="str">
        <x:v>Pressure basis</x:v>
      </x:c>
      <x:c r="C12" s="45" t="str">
        <x:v>0.1 MPa normal control, 0.25 MPa relief, 2 MPa design and 3 MPa liquid proof</x:v>
      </x:c>
      <x:c r="D12" s="42"/>
      <x:c r="E12" s="52" t="str">
        <x:v>18-month USD M</x:v>
      </x:c>
      <x:c r="F12" s="53" t="n">
        <x:f>'Annual Support'!C18</x:f>
        <x:v>121</x:v>
      </x:c>
      <x:c r="G12" s="53" t="str">
        <x:v>Technology USD M</x:v>
      </x:c>
      <x:c r="H12" s="54" t="n">
        <x:f>'Technology Programs'!D18</x:f>
        <x:v>125</x:v>
      </x:c>
    </x:row>
    <x:row r="13" ht="44" customHeight="1">
      <x:c r="B13" s="44" t="str">
        <x:v>Thermal basis</x:v>
      </x:c>
      <x:c r="C13" s="45" t="str">
        <x:v>Midpoint datum and sliding saddles absorb 13.44 mm BL-X and 10.92 mm BL-Y extreme span change</x:v>
      </x:c>
      <x:c r="D13" s="42"/>
      <x:c r="E13" s="42"/>
      <x:c r="F13" s="42"/>
      <x:c r="G13" s="42"/>
      <x:c r="H13" s="42"/>
    </x:row>
    <x:row r="14" ht="44" customHeight="1">
      <x:c r="B14" s="44" t="str">
        <x:v>Recovery basis</x:v>
      </x:c>
      <x:c r="C14" s="45" t="str">
        <x:v>0.121 kg at a 0.1 mm uniform film; 0.116 L planned wetted deadleg volume</x:v>
      </x:c>
      <x:c r="D14" s="42"/>
      <x:c r="E14" s="42"/>
      <x:c r="F14" s="42"/>
      <x:c r="G14" s="42"/>
      <x:c r="H14" s="42"/>
    </x:row>
    <x:row r="15" ht="44" customHeight="1">
      <x:c r="B15" s="44" t="str">
        <x:v>Safeing basis</x:v>
      </x:c>
      <x:c r="C15" s="45" t="str">
        <x:v>Twelve spring-driven final elements retain positive work margin at 60 percent stored energy</x:v>
      </x:c>
      <x:c r="D15" s="42"/>
      <x:c r="E15" s="42"/>
      <x:c r="F15" s="42"/>
      <x:c r="G15" s="42"/>
      <x:c r="H15" s="42"/>
    </x:row>
    <x:row r="16" ht="44" customHeight="1">
      <x:c r="B16" s="44" t="str">
        <x:v>Technical definition</x:v>
      </x:c>
      <x:c r="C16" s="45" t="str">
        <x:v>96 controlled drawings, 72 part families, 72 lot splits and 32 process routes</x:v>
      </x:c>
      <x:c r="D16" s="42"/>
      <x:c r="E16" s="42"/>
      <x:c r="F16" s="42"/>
      <x:c r="G16" s="42"/>
      <x:c r="H16" s="42"/>
    </x:row>
    <x:row r="17" ht="44" customHeight="1">
      <x:c r="B17" s="44" t="str">
        <x:v>Tolerance control</x:v>
      </x:c>
      <x:c r="C17" s="45" t="str">
        <x:v>48 worst-case stacks and 192 signed contributors</x:v>
      </x:c>
      <x:c r="D17" s="42"/>
      <x:c r="E17" s="42"/>
      <x:c r="F17" s="42"/>
      <x:c r="G17" s="42"/>
      <x:c r="H17" s="42"/>
    </x:row>
    <x:row r="18" ht="44" customHeight="1">
      <x:c r="B18" s="44" t="str">
        <x:v>Build control</x:v>
      </x:c>
      <x:c r="C18" s="45" t="str">
        <x:v>360 section travelers and 288 article build gates</x:v>
      </x:c>
      <x:c r="D18" s="42"/>
      <x:c r="E18" s="42"/>
      <x:c r="F18" s="42"/>
      <x:c r="G18" s="42"/>
      <x:c r="H18" s="42"/>
    </x:row>
    <x:row r="19" ht="44" customHeight="1">
      <x:c r="B19" s="44" t="str">
        <x:v>Physical state</x:v>
      </x:c>
      <x:c r="C19" s="45" t="str">
        <x:v>All drawings, lots, processes, travelers, joints, surfaces and releases begin OPEN</x:v>
      </x:c>
      <x:c r="D19" s="42"/>
      <x:c r="E19" s="42"/>
      <x:c r="F19" s="42"/>
      <x:c r="G19" s="42"/>
      <x:c r="H19" s="42"/>
    </x:row>
    <x:row r="20" ht="44" customHeight="1">
      <x:c r="B20" s="44" t="str">
        <x:v>Organization</x:v>
      </x:c>
      <x:c r="C20" s="45" t="str">
        <x:v>180 positions over an 18-month definition and qualification program</x:v>
      </x:c>
      <x:c r="D20" s="42"/>
      <x:c r="E20" s="42"/>
      <x:c r="F20" s="42"/>
      <x:c r="G20" s="42"/>
      <x:c r="H20" s="42"/>
    </x:row>
    <x:row r="21" ht="44" customHeight="1">
      <x:c r="B21" s="44" t="str">
        <x:v>Financial frame</x:v>
      </x:c>
      <x:c r="C21" s="45" t="str">
        <x:v>USD 64M capital, USD 38M/year and USD 121M over 18 months, fully nested in RAP-1</x:v>
      </x:c>
      <x:c r="D21" s="42"/>
      <x:c r="E21" s="42"/>
      <x:c r="F21" s="42"/>
      <x:c r="G21" s="42"/>
      <x:c r="H21" s="42"/>
    </x:row>
    <x:row r="22" ht="44" customHeight="1">
      <x:c r="B22" s="44" t="str">
        <x:v>Technology</x:v>
      </x:c>
      <x:c r="C22" s="45" t="str">
        <x:v>Ten construction campaigns with USD 125M cross-classified allocation</x:v>
      </x:c>
      <x:c r="D22" s="42"/>
      <x:c r="E22" s="42"/>
      <x:c r="F22" s="42"/>
      <x:c r="G22" s="42"/>
      <x:c r="H22" s="42"/>
    </x:row>
    <x:row r="23" ht="44" customHeight="1">
      <x:c r="B23" s="44" t="str">
        <x:v>Authority ceiling</x:v>
      </x:c>
      <x:c r="C23" s="45" t="str">
        <x:v>No drawing issue, fabrication, article acceptance, source entry, production or exterior form</x:v>
      </x:c>
      <x:c r="D23" s="42"/>
      <x:c r="E23" s="42"/>
      <x:c r="F23" s="42"/>
      <x:c r="G23" s="42"/>
      <x:c r="H23" s="42"/>
    </x:row>
    <x:row r="24" ht="44" customHeight="1">
      <x:c r="B24" s="44" t="str">
        <x:v>Next pass</x:v>
      </x:c>
      <x:c r="C24" s="45" t="str">
        <x:v>RAB-1 development articles, fixture commissioning and destructive build qualification</x:v>
      </x:c>
      <x:c r="D24" s="42"/>
      <x:c r="E24" s="42"/>
      <x:c r="F24" s="42"/>
      <x:c r="G24" s="42"/>
      <x:c r="H24" s="42"/>
    </x:row>
  </x:sheetData>
  <x:mergeCells>
    <x:mergeCell ref="E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9" hidden="0" customWidth="1"/>
    <x:col min="4" max="4" width="18" hidden="0" customWidth="1"/>
    <x:col min="5" max="5" width="20" hidden="0" customWidth="1"/>
    <x:col min="6" max="6" width="18" hidden="0" customWidth="1"/>
    <x:col min="7" max="7" width="25" hidden="0" customWidth="1"/>
  </x:cols>
  <x:sheetData>
    <x:row r="2">
      <x:c r="B2" s="41" t="str">
        <x:v>RAC-1 controls</x:v>
      </x:c>
      <x:c r="C2" s="42"/>
      <x:c r="D2" s="42"/>
      <x:c r="E2" s="42"/>
      <x:c r="F2" s="42"/>
      <x:c r="G2" s="42"/>
    </x:row>
    <x:row r="3">
      <x:c r="B3" s="43" t="str">
        <x:v>Amber values are inherited controls or declared design hypotheses. Physical and downstream authorities remain zero.</x:v>
      </x:c>
      <x:c r="C3" s="42"/>
      <x:c r="D3" s="42"/>
      <x:c r="E3" s="42"/>
      <x:c r="F3" s="42"/>
      <x:c r="G3" s="42"/>
    </x:row>
    <x:row r="4">
      <x:c r="B4" s="42"/>
      <x:c r="C4" s="42"/>
      <x:c r="D4" s="42"/>
      <x:c r="E4" s="42"/>
      <x:c r="F4" s="42"/>
      <x:c r="G4" s="42"/>
    </x:row>
    <x:row r="5">
      <x:c r="B5" s="42"/>
      <x:c r="C5" s="42"/>
      <x:c r="D5" s="42"/>
      <x:c r="E5" s="42"/>
      <x:c r="F5" s="42"/>
      <x:c r="G5" s="42"/>
    </x:row>
    <x:row r="6" ht="25" customHeight="1">
      <x:c r="B6" s="6" t="str">
        <x:v>ID</x:v>
      </x:c>
      <x:c r="C6" s="6" t="str">
        <x:v>Control</x:v>
      </x:c>
      <x:c r="D6" s="6" t="str">
        <x:v>Value</x:v>
      </x:c>
      <x:c r="E6" s="6" t="str">
        <x:v>Unit</x:v>
      </x:c>
      <x:c r="F6" s="6" t="str">
        <x:v>Class</x:v>
      </x:c>
      <x:c r="G6" s="6" t="str">
        <x:v>Authority</x:v>
      </x:c>
    </x:row>
    <x:row r="7">
      <x:c r="B7" s="44" t="str">
        <x:v>C01</x:v>
      </x:c>
      <x:c r="C7" s="44" t="str">
        <x:v>article units</x:v>
      </x:c>
      <x:c r="D7" s="55" t="n">
        <x:v>18</x:v>
      </x:c>
      <x:c r="E7" s="44" t="str">
        <x:v>articles</x:v>
      </x:c>
      <x:c r="F7" s="44" t="str">
        <x:v>inherited</x:v>
      </x:c>
      <x:c r="G7" s="44" t="str">
        <x:v>RAP-1</x:v>
      </x:c>
    </x:row>
    <x:row r="8">
      <x:c r="B8" s="44" t="str">
        <x:v>C02</x:v>
      </x:c>
      <x:c r="C8" s="44" t="str">
        <x:v>operational articles</x:v>
      </x:c>
      <x:c r="D8" s="55" t="n">
        <x:v>6</x:v>
      </x:c>
      <x:c r="E8" s="44" t="str">
        <x:v>articles</x:v>
      </x:c>
      <x:c r="F8" s="44" t="str">
        <x:v>inherited</x:v>
      </x:c>
      <x:c r="G8" s="44" t="str">
        <x:v>RAP-1</x:v>
      </x:c>
    </x:row>
    <x:row r="9">
      <x:c r="B9" s="44" t="str">
        <x:v>C03</x:v>
      </x:c>
      <x:c r="C9" s="44" t="str">
        <x:v>functional twins</x:v>
      </x:c>
      <x:c r="D9" s="55" t="n">
        <x:v>6</x:v>
      </x:c>
      <x:c r="E9" s="44" t="str">
        <x:v>articles</x:v>
      </x:c>
      <x:c r="F9" s="44" t="str">
        <x:v>inherited</x:v>
      </x:c>
      <x:c r="G9" s="44" t="str">
        <x:v>RAP-1</x:v>
      </x:c>
    </x:row>
    <x:row r="10">
      <x:c r="B10" s="44" t="str">
        <x:v>C04</x:v>
      </x:c>
      <x:c r="C10" s="44" t="str">
        <x:v>calibration skeletons</x:v>
      </x:c>
      <x:c r="D10" s="55" t="n">
        <x:v>3</x:v>
      </x:c>
      <x:c r="E10" s="44" t="str">
        <x:v>articles</x:v>
      </x:c>
      <x:c r="F10" s="44" t="str">
        <x:v>inherited</x:v>
      </x:c>
      <x:c r="G10" s="44" t="str">
        <x:v>RAP-1</x:v>
      </x:c>
    </x:row>
    <x:row r="11">
      <x:c r="B11" s="44" t="str">
        <x:v>C05</x:v>
      </x:c>
      <x:c r="C11" s="44" t="str">
        <x:v>destructive witnesses</x:v>
      </x:c>
      <x:c r="D11" s="55" t="n">
        <x:v>3</x:v>
      </x:c>
      <x:c r="E11" s="44" t="str">
        <x:v>articles</x:v>
      </x:c>
      <x:c r="F11" s="44" t="str">
        <x:v>inherited</x:v>
      </x:c>
      <x:c r="G11" s="44" t="str">
        <x:v>RAP-1</x:v>
      </x:c>
    </x:row>
    <x:row r="12">
      <x:c r="B12" s="44" t="str">
        <x:v>C06</x:v>
      </x:c>
      <x:c r="C12" s="44" t="str">
        <x:v>segments per article</x:v>
      </x:c>
      <x:c r="D12" s="55" t="n">
        <x:v>6</x:v>
      </x:c>
      <x:c r="E12" s="44" t="str">
        <x:v>segments</x:v>
      </x:c>
      <x:c r="F12" s="44" t="str">
        <x:v>design</x:v>
      </x:c>
      <x:c r="G12" s="44" t="str">
        <x:v>RAC-1</x:v>
      </x:c>
    </x:row>
    <x:row r="13">
      <x:c r="B13" s="44" t="str">
        <x:v>C07</x:v>
      </x:c>
      <x:c r="C13" s="44" t="str">
        <x:v>segment reference length</x:v>
      </x:c>
      <x:c r="D13" s="55" t="n">
        <x:v>2</x:v>
      </x:c>
      <x:c r="E13" s="44" t="str">
        <x:v>m</x:v>
      </x:c>
      <x:c r="F13" s="44" t="str">
        <x:v>design</x:v>
      </x:c>
      <x:c r="G13" s="44" t="str">
        <x:v>RAC-1</x:v>
      </x:c>
    </x:row>
    <x:row r="14">
      <x:c r="B14" s="44" t="str">
        <x:v>C08</x:v>
      </x:c>
      <x:c r="C14" s="44" t="str">
        <x:v>deployed reference length</x:v>
      </x:c>
      <x:c r="D14" s="55" t="n">
        <x:v>12</x:v>
      </x:c>
      <x:c r="E14" s="44" t="str">
        <x:v>m</x:v>
      </x:c>
      <x:c r="F14" s="44" t="str">
        <x:v>inherited</x:v>
      </x:c>
      <x:c r="G14" s="44" t="str">
        <x:v>RAP-1</x:v>
      </x:c>
    </x:row>
    <x:row r="15">
      <x:c r="B15" s="44" t="str">
        <x:v>C09</x:v>
      </x:c>
      <x:c r="C15" s="44" t="str">
        <x:v>stowed length</x:v>
      </x:c>
      <x:c r="D15" s="55" t="n">
        <x:v>2.4</x:v>
      </x:c>
      <x:c r="E15" s="44" t="str">
        <x:v>m</x:v>
      </x:c>
      <x:c r="F15" s="44" t="str">
        <x:v>inherited</x:v>
      </x:c>
      <x:c r="G15" s="44" t="str">
        <x:v>RAP-1</x:v>
      </x:c>
    </x:row>
    <x:row r="16">
      <x:c r="B16" s="44" t="str">
        <x:v>C10</x:v>
      </x:c>
      <x:c r="C16" s="44" t="str">
        <x:v>stowed width</x:v>
      </x:c>
      <x:c r="D16" s="55" t="n">
        <x:v>1.6</x:v>
      </x:c>
      <x:c r="E16" s="44" t="str">
        <x:v>m</x:v>
      </x:c>
      <x:c r="F16" s="44" t="str">
        <x:v>inherited</x:v>
      </x:c>
      <x:c r="G16" s="44" t="str">
        <x:v>RAP-1</x:v>
      </x:c>
    </x:row>
    <x:row r="17">
      <x:c r="B17" s="44" t="str">
        <x:v>C11</x:v>
      </x:c>
      <x:c r="C17" s="44" t="str">
        <x:v>stowed height</x:v>
      </x:c>
      <x:c r="D17" s="55" t="n">
        <x:v>0.6</x:v>
      </x:c>
      <x:c r="E17" s="44" t="str">
        <x:v>m</x:v>
      </x:c>
      <x:c r="F17" s="44" t="str">
        <x:v>inherited</x:v>
      </x:c>
      <x:c r="G17" s="44" t="str">
        <x:v>RAP-1</x:v>
      </x:c>
    </x:row>
    <x:row r="18">
      <x:c r="B18" s="44" t="str">
        <x:v>C12</x:v>
      </x:c>
      <x:c r="C18" s="44" t="str">
        <x:v>wetted bore</x:v>
      </x:c>
      <x:c r="D18" s="55" t="n">
        <x:v>0.04</x:v>
      </x:c>
      <x:c r="E18" s="44" t="str">
        <x:v>m</x:v>
      </x:c>
      <x:c r="F18" s="44" t="str">
        <x:v>inherited</x:v>
      </x:c>
      <x:c r="G18" s="44" t="str">
        <x:v>RAP-1</x:v>
      </x:c>
    </x:row>
    <x:row r="19">
      <x:c r="B19" s="44" t="str">
        <x:v>C13</x:v>
      </x:c>
      <x:c r="C19" s="44" t="str">
        <x:v>BL-X wall</x:v>
      </x:c>
      <x:c r="D19" s="55" t="n">
        <x:v>0.002</x:v>
      </x:c>
      <x:c r="E19" s="44" t="str">
        <x:v>m</x:v>
      </x:c>
      <x:c r="F19" s="44" t="str">
        <x:v>design</x:v>
      </x:c>
      <x:c r="G19" s="44" t="str">
        <x:v>RAC-1</x:v>
      </x:c>
    </x:row>
    <x:row r="20">
      <x:c r="B20" s="44" t="str">
        <x:v>C14</x:v>
      </x:c>
      <x:c r="C20" s="44" t="str">
        <x:v>BL-Y wall</x:v>
      </x:c>
      <x:c r="D20" s="55" t="n">
        <x:v>0.0025</x:v>
      </x:c>
      <x:c r="E20" s="44" t="str">
        <x:v>m</x:v>
      </x:c>
      <x:c r="F20" s="44" t="str">
        <x:v>design</x:v>
      </x:c>
      <x:c r="G20" s="44" t="str">
        <x:v>RAC-1</x:v>
      </x:c>
    </x:row>
    <x:row r="21">
      <x:c r="B21" s="44" t="str">
        <x:v>C15</x:v>
      </x:c>
      <x:c r="C21" s="44" t="str">
        <x:v>BL-X metal density</x:v>
      </x:c>
      <x:c r="D21" s="55" t="n">
        <x:v>8000</x:v>
      </x:c>
      <x:c r="E21" s="44" t="str">
        <x:v>kg/m3</x:v>
      </x:c>
      <x:c r="F21" s="44" t="str">
        <x:v>design</x:v>
      </x:c>
      <x:c r="G21" s="44" t="str">
        <x:v>RAC-1</x:v>
      </x:c>
    </x:row>
    <x:row r="22">
      <x:c r="B22" s="44" t="str">
        <x:v>C16</x:v>
      </x:c>
      <x:c r="C22" s="44" t="str">
        <x:v>BL-Y metal density</x:v>
      </x:c>
      <x:c r="D22" s="55" t="n">
        <x:v>7800</x:v>
      </x:c>
      <x:c r="E22" s="44" t="str">
        <x:v>kg/m3</x:v>
      </x:c>
      <x:c r="F22" s="44" t="str">
        <x:v>design</x:v>
      </x:c>
      <x:c r="G22" s="44" t="str">
        <x:v>RAC-1</x:v>
      </x:c>
    </x:row>
    <x:row r="23">
      <x:c r="B23" s="44" t="str">
        <x:v>C17</x:v>
      </x:c>
      <x:c r="C23" s="44" t="str">
        <x:v>reference temperature</x:v>
      </x:c>
      <x:c r="D23" s="55" t="n">
        <x:v>20</x:v>
      </x:c>
      <x:c r="E23" s="44" t="str">
        <x:v>deg C</x:v>
      </x:c>
      <x:c r="F23" s="44" t="str">
        <x:v>design</x:v>
      </x:c>
      <x:c r="G23" s="44" t="str">
        <x:v>RAC-1</x:v>
      </x:c>
    </x:row>
    <x:row r="24">
      <x:c r="B24" s="44" t="str">
        <x:v>C18</x:v>
      </x:c>
      <x:c r="C24" s="44" t="str">
        <x:v>cold boundary</x:v>
      </x:c>
      <x:c r="D24" s="55" t="n">
        <x:v>-20</x:v>
      </x:c>
      <x:c r="E24" s="44" t="str">
        <x:v>deg C</x:v>
      </x:c>
      <x:c r="F24" s="44" t="str">
        <x:v>inherited</x:v>
      </x:c>
      <x:c r="G24" s="44" t="str">
        <x:v>RAP-1</x:v>
      </x:c>
    </x:row>
    <x:row r="25">
      <x:c r="B25" s="44" t="str">
        <x:v>C19</x:v>
      </x:c>
      <x:c r="C25" s="44" t="str">
        <x:v>hot boundary</x:v>
      </x:c>
      <x:c r="D25" s="55" t="n">
        <x:v>50</x:v>
      </x:c>
      <x:c r="E25" s="44" t="str">
        <x:v>deg C</x:v>
      </x:c>
      <x:c r="F25" s="44" t="str">
        <x:v>inherited</x:v>
      </x:c>
      <x:c r="G25" s="44" t="str">
        <x:v>RAP-1</x:v>
      </x:c>
    </x:row>
    <x:row r="26">
      <x:c r="B26" s="44" t="str">
        <x:v>C20</x:v>
      </x:c>
      <x:c r="C26" s="44" t="str">
        <x:v>BL-X thermal expansion</x:v>
      </x:c>
      <x:c r="D26" s="55" t="n">
        <x:v>0.000016</x:v>
      </x:c>
      <x:c r="E26" s="44" t="str">
        <x:v>1/K</x:v>
      </x:c>
      <x:c r="F26" s="44" t="str">
        <x:v>design</x:v>
      </x:c>
      <x:c r="G26" s="44" t="str">
        <x:v>RAC-1</x:v>
      </x:c>
    </x:row>
    <x:row r="27">
      <x:c r="B27" s="44" t="str">
        <x:v>C21</x:v>
      </x:c>
      <x:c r="C27" s="44" t="str">
        <x:v>BL-Y thermal expansion</x:v>
      </x:c>
      <x:c r="D27" s="55" t="n">
        <x:v>0.000013</x:v>
      </x:c>
      <x:c r="E27" s="44" t="str">
        <x:v>1/K</x:v>
      </x:c>
      <x:c r="F27" s="44" t="str">
        <x:v>design</x:v>
      </x:c>
      <x:c r="G27" s="44" t="str">
        <x:v>RAC-1</x:v>
      </x:c>
    </x:row>
    <x:row r="28">
      <x:c r="B28" s="44" t="str">
        <x:v>C22</x:v>
      </x:c>
      <x:c r="C28" s="44" t="str">
        <x:v>nominal mass rate</x:v>
      </x:c>
      <x:c r="D28" s="55" t="n">
        <x:v>0.8333333333333334</x:v>
      </x:c>
      <x:c r="E28" s="44" t="str">
        <x:v>kg/s</x:v>
      </x:c>
      <x:c r="F28" s="44" t="str">
        <x:v>derived</x:v>
      </x:c>
      <x:c r="G28" s="44" t="str">
        <x:v>100 kg / 120 s</x:v>
      </x:c>
    </x:row>
    <x:row r="29">
      <x:c r="B29" s="44" t="str">
        <x:v>C23</x:v>
      </x:c>
      <x:c r="C29" s="44" t="str">
        <x:v>high mass rate</x:v>
      </x:c>
      <x:c r="D29" s="55" t="n">
        <x:v>1.6666666666666667</x:v>
      </x:c>
      <x:c r="E29" s="44" t="str">
        <x:v>kg/s</x:v>
      </x:c>
      <x:c r="F29" s="44" t="str">
        <x:v>derived</x:v>
      </x:c>
      <x:c r="G29" s="44" t="str">
        <x:v>100 kg / 60 s</x:v>
      </x:c>
    </x:row>
    <x:row r="30">
      <x:c r="B30" s="44" t="str">
        <x:v>C24</x:v>
      </x:c>
      <x:c r="C30" s="44" t="str">
        <x:v>low mass rate</x:v>
      </x:c>
      <x:c r="D30" s="55" t="n">
        <x:v>0.4166666666666667</x:v>
      </x:c>
      <x:c r="E30" s="44" t="str">
        <x:v>kg/s</x:v>
      </x:c>
      <x:c r="F30" s="44" t="str">
        <x:v>derived</x:v>
      </x:c>
      <x:c r="G30" s="44" t="str">
        <x:v>100 kg / 240 s</x:v>
      </x:c>
    </x:row>
    <x:row r="31">
      <x:c r="B31" s="44" t="str">
        <x:v>C25</x:v>
      </x:c>
      <x:c r="C31" s="44" t="str">
        <x:v>surrogate density</x:v>
      </x:c>
      <x:c r="D31" s="55" t="n">
        <x:v>800</x:v>
      </x:c>
      <x:c r="E31" s="44" t="str">
        <x:v>kg/m3</x:v>
      </x:c>
      <x:c r="F31" s="44" t="str">
        <x:v>inherited</x:v>
      </x:c>
      <x:c r="G31" s="44" t="str">
        <x:v>RAP-1</x:v>
      </x:c>
    </x:row>
    <x:row r="32">
      <x:c r="B32" s="44" t="str">
        <x:v>C26</x:v>
      </x:c>
      <x:c r="C32" s="44" t="str">
        <x:v>surrogate viscosity</x:v>
      </x:c>
      <x:c r="D32" s="55" t="n">
        <x:v>0.004</x:v>
      </x:c>
      <x:c r="E32" s="44" t="str">
        <x:v>Pa s</x:v>
      </x:c>
      <x:c r="F32" s="44" t="str">
        <x:v>inherited</x:v>
      </x:c>
      <x:c r="G32" s="44" t="str">
        <x:v>RAP-1</x:v>
      </x:c>
    </x:row>
    <x:row r="33">
      <x:c r="B33" s="44" t="str">
        <x:v>C27</x:v>
      </x:c>
      <x:c r="C33" s="44" t="str">
        <x:v>gravity</x:v>
      </x:c>
      <x:c r="D33" s="55" t="n">
        <x:v>9.80665</x:v>
      </x:c>
      <x:c r="E33" s="44" t="str">
        <x:v>m/s2</x:v>
      </x:c>
      <x:c r="F33" s="44" t="str">
        <x:v>physical constant</x:v>
      </x:c>
      <x:c r="G33" s="44" t="str">
        <x:v>RAC-1</x:v>
      </x:c>
    </x:row>
    <x:row r="34">
      <x:c r="B34" s="44" t="str">
        <x:v>C28</x:v>
      </x:c>
      <x:c r="C34" s="44" t="str">
        <x:v>slope challenge</x:v>
      </x:c>
      <x:c r="D34" s="55" t="n">
        <x:v>2</x:v>
      </x:c>
      <x:c r="E34" s="44" t="str">
        <x:v>degrees</x:v>
      </x:c>
      <x:c r="F34" s="44" t="str">
        <x:v>inherited</x:v>
      </x:c>
      <x:c r="G34" s="44" t="str">
        <x:v>RAP-1</x:v>
      </x:c>
    </x:row>
    <x:row r="35">
      <x:c r="B35" s="44" t="str">
        <x:v>C29</x:v>
      </x:c>
      <x:c r="C35" s="44" t="str">
        <x:v>nominal Darcy factor</x:v>
      </x:c>
      <x:c r="D35" s="55" t="n">
        <x:v>0.035</x:v>
      </x:c>
      <x:c r="E35" s="44" t="str">
        <x:v>ratio</x:v>
      </x:c>
      <x:c r="F35" s="44" t="str">
        <x:v>screening</x:v>
      </x:c>
      <x:c r="G35" s="44" t="str">
        <x:v>RAC-1</x:v>
      </x:c>
    </x:row>
    <x:row r="36">
      <x:c r="B36" s="44" t="str">
        <x:v>C30</x:v>
      </x:c>
      <x:c r="C36" s="44" t="str">
        <x:v>high-rate Darcy factor</x:v>
      </x:c>
      <x:c r="D36" s="55" t="n">
        <x:v>0.03</x:v>
      </x:c>
      <x:c r="E36" s="44" t="str">
        <x:v>ratio</x:v>
      </x:c>
      <x:c r="F36" s="44" t="str">
        <x:v>screening</x:v>
      </x:c>
      <x:c r="G36" s="44" t="str">
        <x:v>RAC-1</x:v>
      </x:c>
    </x:row>
    <x:row r="37">
      <x:c r="B37" s="44" t="str">
        <x:v>C31</x:v>
      </x:c>
      <x:c r="C37" s="44" t="str">
        <x:v>low-rate Darcy factor</x:v>
      </x:c>
      <x:c r="D37" s="55" t="n">
        <x:v>0.045</x:v>
      </x:c>
      <x:c r="E37" s="44" t="str">
        <x:v>ratio</x:v>
      </x:c>
      <x:c r="F37" s="44" t="str">
        <x:v>screening</x:v>
      </x:c>
      <x:c r="G37" s="44" t="str">
        <x:v>RAC-1</x:v>
      </x:c>
    </x:row>
    <x:row r="38">
      <x:c r="B38" s="44" t="str">
        <x:v>C32</x:v>
      </x:c>
      <x:c r="C38" s="44" t="str">
        <x:v>instantaneous wave-speed bound</x:v>
      </x:c>
      <x:c r="D38" s="55" t="n">
        <x:v>1000</x:v>
      </x:c>
      <x:c r="E38" s="44" t="str">
        <x:v>m/s</x:v>
      </x:c>
      <x:c r="F38" s="44" t="str">
        <x:v>screening</x:v>
      </x:c>
      <x:c r="G38" s="44" t="str">
        <x:v>RAC-1</x:v>
      </x:c>
    </x:row>
    <x:row r="39">
      <x:c r="B39" s="44" t="str">
        <x:v>C33</x:v>
      </x:c>
      <x:c r="C39" s="44" t="str">
        <x:v>normal control pressure</x:v>
      </x:c>
      <x:c r="D39" s="55" t="n">
        <x:v>0.1</x:v>
      </x:c>
      <x:c r="E39" s="44" t="str">
        <x:v>MPa</x:v>
      </x:c>
      <x:c r="F39" s="44" t="str">
        <x:v>design</x:v>
      </x:c>
      <x:c r="G39" s="44" t="str">
        <x:v>RAC-1</x:v>
      </x:c>
    </x:row>
    <x:row r="40">
      <x:c r="B40" s="44" t="str">
        <x:v>C34</x:v>
      </x:c>
      <x:c r="C40" s="44" t="str">
        <x:v>relief set pressure</x:v>
      </x:c>
      <x:c r="D40" s="55" t="n">
        <x:v>0.25</x:v>
      </x:c>
      <x:c r="E40" s="44" t="str">
        <x:v>MPa</x:v>
      </x:c>
      <x:c r="F40" s="44" t="str">
        <x:v>design</x:v>
      </x:c>
      <x:c r="G40" s="44" t="str">
        <x:v>RAC-1</x:v>
      </x:c>
    </x:row>
    <x:row r="41">
      <x:c r="B41" s="44" t="str">
        <x:v>C35</x:v>
      </x:c>
      <x:c r="C41" s="44" t="str">
        <x:v>pressure design boundary</x:v>
      </x:c>
      <x:c r="D41" s="55" t="n">
        <x:v>2</x:v>
      </x:c>
      <x:c r="E41" s="44" t="str">
        <x:v>MPa</x:v>
      </x:c>
      <x:c r="F41" s="44" t="str">
        <x:v>design</x:v>
      </x:c>
      <x:c r="G41" s="44" t="str">
        <x:v>RAC-1</x:v>
      </x:c>
    </x:row>
    <x:row r="42">
      <x:c r="B42" s="44" t="str">
        <x:v>C36</x:v>
      </x:c>
      <x:c r="C42" s="44" t="str">
        <x:v>hydrostatic proof pressure</x:v>
      </x:c>
      <x:c r="D42" s="55" t="n">
        <x:v>3</x:v>
      </x:c>
      <x:c r="E42" s="44" t="str">
        <x:v>MPa</x:v>
      </x:c>
      <x:c r="F42" s="44" t="str">
        <x:v>design</x:v>
      </x:c>
      <x:c r="G42" s="44" t="str">
        <x:v>RAC-1</x:v>
      </x:c>
    </x:row>
    <x:row r="43">
      <x:c r="B43" s="44" t="str">
        <x:v>C37</x:v>
      </x:c>
      <x:c r="C43" s="44" t="str">
        <x:v>minimum joint retention</x:v>
      </x:c>
      <x:c r="D43" s="55" t="n">
        <x:v>15</x:v>
      </x:c>
      <x:c r="E43" s="44" t="str">
        <x:v>kN</x:v>
      </x:c>
      <x:c r="F43" s="44" t="str">
        <x:v>design</x:v>
      </x:c>
      <x:c r="G43" s="44" t="str">
        <x:v>RAC-1</x:v>
      </x:c>
    </x:row>
    <x:row r="44">
      <x:c r="B44" s="44" t="str">
        <x:v>C38</x:v>
      </x:c>
      <x:c r="C44" s="44" t="str">
        <x:v>dry mass ceiling</x:v>
      </x:c>
      <x:c r="D44" s="55" t="n">
        <x:v>2500</x:v>
      </x:c>
      <x:c r="E44" s="44" t="str">
        <x:v>kg</x:v>
      </x:c>
      <x:c r="F44" s="44" t="str">
        <x:v>inherited</x:v>
      </x:c>
      <x:c r="G44" s="44" t="str">
        <x:v>RAP-1</x:v>
      </x:c>
    </x:row>
    <x:row r="45">
      <x:c r="B45" s="44" t="str">
        <x:v>C39</x:v>
      </x:c>
      <x:c r="C45" s="44" t="str">
        <x:v>stowed CG x minimum</x:v>
      </x:c>
      <x:c r="D45" s="55" t="n">
        <x:v>0.9</x:v>
      </x:c>
      <x:c r="E45" s="44" t="str">
        <x:v>m</x:v>
      </x:c>
      <x:c r="F45" s="44" t="str">
        <x:v>design</x:v>
      </x:c>
      <x:c r="G45" s="44" t="str">
        <x:v>RAC-1</x:v>
      </x:c>
    </x:row>
    <x:row r="46">
      <x:c r="B46" s="44" t="str">
        <x:v>C40</x:v>
      </x:c>
      <x:c r="C46" s="44" t="str">
        <x:v>stowed CG x maximum</x:v>
      </x:c>
      <x:c r="D46" s="55" t="n">
        <x:v>1.5</x:v>
      </x:c>
      <x:c r="E46" s="44" t="str">
        <x:v>m</x:v>
      </x:c>
      <x:c r="F46" s="44" t="str">
        <x:v>design</x:v>
      </x:c>
      <x:c r="G46" s="44" t="str">
        <x:v>RAC-1</x:v>
      </x:c>
    </x:row>
    <x:row r="47">
      <x:c r="B47" s="44" t="str">
        <x:v>C41</x:v>
      </x:c>
      <x:c r="C47" s="44" t="str">
        <x:v>stowed CG y minimum</x:v>
      </x:c>
      <x:c r="D47" s="55" t="n">
        <x:v>0.55</x:v>
      </x:c>
      <x:c r="E47" s="44" t="str">
        <x:v>m</x:v>
      </x:c>
      <x:c r="F47" s="44" t="str">
        <x:v>design</x:v>
      </x:c>
      <x:c r="G47" s="44" t="str">
        <x:v>RAC-1</x:v>
      </x:c>
    </x:row>
    <x:row r="48">
      <x:c r="B48" s="44" t="str">
        <x:v>C42</x:v>
      </x:c>
      <x:c r="C48" s="44" t="str">
        <x:v>stowed CG y maximum</x:v>
      </x:c>
      <x:c r="D48" s="55" t="n">
        <x:v>1.05</x:v>
      </x:c>
      <x:c r="E48" s="44" t="str">
        <x:v>m</x:v>
      </x:c>
      <x:c r="F48" s="44" t="str">
        <x:v>design</x:v>
      </x:c>
      <x:c r="G48" s="44" t="str">
        <x:v>RAC-1</x:v>
      </x:c>
    </x:row>
    <x:row r="49">
      <x:c r="B49" s="44" t="str">
        <x:v>C43</x:v>
      </x:c>
      <x:c r="C49" s="44" t="str">
        <x:v>stowed CG z maximum</x:v>
      </x:c>
      <x:c r="D49" s="55" t="n">
        <x:v>0.38</x:v>
      </x:c>
      <x:c r="E49" s="44" t="str">
        <x:v>m</x:v>
      </x:c>
      <x:c r="F49" s="44" t="str">
        <x:v>design</x:v>
      </x:c>
      <x:c r="G49" s="44" t="str">
        <x:v>RAC-1</x:v>
      </x:c>
    </x:row>
    <x:row r="50">
      <x:c r="B50" s="44" t="str">
        <x:v>C44</x:v>
      </x:c>
      <x:c r="C50" s="44" t="str">
        <x:v>bore diameter tolerance</x:v>
      </x:c>
      <x:c r="D50" s="55" t="n">
        <x:v>0.00005</x:v>
      </x:c>
      <x:c r="E50" s="44" t="str">
        <x:v>m</x:v>
      </x:c>
      <x:c r="F50" s="44" t="str">
        <x:v>inherited</x:v>
      </x:c>
      <x:c r="G50" s="44" t="str">
        <x:v>RAP-1</x:v>
      </x:c>
    </x:row>
    <x:row r="51">
      <x:c r="B51" s="44" t="str">
        <x:v>C45</x:v>
      </x:c>
      <x:c r="C51" s="44" t="str">
        <x:v>deployed length tolerance</x:v>
      </x:c>
      <x:c r="D51" s="55" t="n">
        <x:v>0.002</x:v>
      </x:c>
      <x:c r="E51" s="44" t="str">
        <x:v>m</x:v>
      </x:c>
      <x:c r="F51" s="44" t="str">
        <x:v>inherited</x:v>
      </x:c>
      <x:c r="G51" s="44" t="str">
        <x:v>RAP-1</x:v>
      </x:c>
    </x:row>
    <x:row r="52">
      <x:c r="B52" s="44" t="str">
        <x:v>C46</x:v>
      </x:c>
      <x:c r="C52" s="44" t="str">
        <x:v>maximum internal joint step</x:v>
      </x:c>
      <x:c r="D52" s="55" t="n">
        <x:v>0.0001</x:v>
      </x:c>
      <x:c r="E52" s="44" t="str">
        <x:v>m</x:v>
      </x:c>
      <x:c r="F52" s="44" t="str">
        <x:v>design</x:v>
      </x:c>
      <x:c r="G52" s="44" t="str">
        <x:v>RAC-1</x:v>
      </x:c>
    </x:row>
    <x:row r="53">
      <x:c r="B53" s="44" t="str">
        <x:v>C47</x:v>
      </x:c>
      <x:c r="C53" s="44" t="str">
        <x:v>surface Ra ceiling</x:v>
      </x:c>
      <x:c r="D53" s="55" t="n">
        <x:v>0.8</x:v>
      </x:c>
      <x:c r="E53" s="44" t="str">
        <x:v>micrometre</x:v>
      </x:c>
      <x:c r="F53" s="44" t="str">
        <x:v>design</x:v>
      </x:c>
      <x:c r="G53" s="44" t="str">
        <x:v>RAC-1</x:v>
      </x:c>
    </x:row>
    <x:row r="54">
      <x:c r="B54" s="44" t="str">
        <x:v>C48</x:v>
      </x:c>
      <x:c r="C54" s="44" t="str">
        <x:v>reference retained film</x:v>
      </x:c>
      <x:c r="D54" s="55" t="n">
        <x:v>0.0001</x:v>
      </x:c>
      <x:c r="E54" s="44" t="str">
        <x:v>m</x:v>
      </x:c>
      <x:c r="F54" s="44" t="str">
        <x:v>derived</x:v>
      </x:c>
      <x:c r="G54" s="44" t="str">
        <x:v>RAP-1</x:v>
      </x:c>
    </x:row>
    <x:row r="55">
      <x:c r="B55" s="44" t="str">
        <x:v>C49</x:v>
      </x:c>
      <x:c r="C55" s="44" t="str">
        <x:v>drained residual ceiling</x:v>
      </x:c>
      <x:c r="D55" s="55" t="n">
        <x:v>0.2</x:v>
      </x:c>
      <x:c r="E55" s="44" t="str">
        <x:v>kg</x:v>
      </x:c>
      <x:c r="F55" s="44" t="str">
        <x:v>design</x:v>
      </x:c>
      <x:c r="G55" s="44" t="str">
        <x:v>RAC-1</x:v>
      </x:c>
    </x:row>
    <x:row r="56">
      <x:c r="B56" s="44" t="str">
        <x:v>C50</x:v>
      </x:c>
      <x:c r="C56" s="44" t="str">
        <x:v>wetted deadleg ceiling</x:v>
      </x:c>
      <x:c r="D56" s="55" t="n">
        <x:v>0.00025</x:v>
      </x:c>
      <x:c r="E56" s="44" t="str">
        <x:v>m3</x:v>
      </x:c>
      <x:c r="F56" s="44" t="str">
        <x:v>design</x:v>
      </x:c>
      <x:c r="G56" s="44" t="str">
        <x:v>RAC-1</x:v>
      </x:c>
    </x:row>
    <x:row r="57">
      <x:c r="B57" s="44" t="str">
        <x:v>C51</x:v>
      </x:c>
      <x:c r="C57" s="44" t="str">
        <x:v>mechanical energy reserve factor</x:v>
      </x:c>
      <x:c r="D57" s="55" t="n">
        <x:v>2</x:v>
      </x:c>
      <x:c r="E57" s="44" t="str">
        <x:v>ratio</x:v>
      </x:c>
      <x:c r="F57" s="44" t="str">
        <x:v>design</x:v>
      </x:c>
      <x:c r="G57" s="44" t="str">
        <x:v>RAC-1</x:v>
      </x:c>
    </x:row>
    <x:row r="58">
      <x:c r="B58" s="44" t="str">
        <x:v>C52</x:v>
      </x:c>
      <x:c r="C58" s="44" t="str">
        <x:v>low stored-energy fraction</x:v>
      </x:c>
      <x:c r="D58" s="55" t="n">
        <x:v>0.6</x:v>
      </x:c>
      <x:c r="E58" s="44" t="str">
        <x:v>ratio</x:v>
      </x:c>
      <x:c r="F58" s="44" t="str">
        <x:v>inherited</x:v>
      </x:c>
      <x:c r="G58" s="44" t="str">
        <x:v>RAP-1</x:v>
      </x:c>
    </x:row>
    <x:row r="59">
      <x:c r="B59" s="44" t="str">
        <x:v>C53</x:v>
      </x:c>
      <x:c r="C59" s="44" t="str">
        <x:v>critical local load</x:v>
      </x:c>
      <x:c r="D59" s="55" t="n">
        <x:v>250</x:v>
      </x:c>
      <x:c r="E59" s="44" t="str">
        <x:v>W</x:v>
      </x:c>
      <x:c r="F59" s="44" t="str">
        <x:v>design</x:v>
      </x:c>
      <x:c r="G59" s="44" t="str">
        <x:v>RAC-1</x:v>
      </x:c>
    </x:row>
    <x:row r="60">
      <x:c r="B60" s="44" t="str">
        <x:v>C54</x:v>
      </x:c>
      <x:c r="C60" s="44" t="str">
        <x:v>critical survival interval</x:v>
      </x:c>
      <x:c r="D60" s="55" t="n">
        <x:v>900</x:v>
      </x:c>
      <x:c r="E60" s="44" t="str">
        <x:v>s</x:v>
      </x:c>
      <x:c r="F60" s="44" t="str">
        <x:v>design</x:v>
      </x:c>
      <x:c r="G60" s="44" t="str">
        <x:v>RAC-1</x:v>
      </x:c>
    </x:row>
    <x:row r="61">
      <x:c r="B61" s="44" t="str">
        <x:v>C55</x:v>
      </x:c>
      <x:c r="C61" s="44" t="str">
        <x:v>electrical reserve factor</x:v>
      </x:c>
      <x:c r="D61" s="55" t="n">
        <x:v>1.3</x:v>
      </x:c>
      <x:c r="E61" s="44" t="str">
        <x:v>ratio</x:v>
      </x:c>
      <x:c r="F61" s="44" t="str">
        <x:v>design</x:v>
      </x:c>
      <x:c r="G61" s="44" t="str">
        <x:v>RAC-1</x:v>
      </x:c>
    </x:row>
    <x:row r="62">
      <x:c r="B62" s="44" t="str">
        <x:v>C56</x:v>
      </x:c>
      <x:c r="C62" s="44" t="str">
        <x:v>independent battery</x:v>
      </x:c>
      <x:c r="D62" s="55" t="n">
        <x:v>400</x:v>
      </x:c>
      <x:c r="E62" s="44" t="str">
        <x:v>Wh</x:v>
      </x:c>
      <x:c r="F62" s="44" t="str">
        <x:v>design</x:v>
      </x:c>
      <x:c r="G62" s="44" t="str">
        <x:v>RAC-1</x:v>
      </x:c>
    </x:row>
    <x:row r="63">
      <x:c r="B63" s="44" t="str">
        <x:v>C57</x:v>
      </x:c>
      <x:c r="C63" s="44" t="str">
        <x:v>controlled drawing sheets</x:v>
      </x:c>
      <x:c r="D63" s="55" t="n">
        <x:v>96</x:v>
      </x:c>
      <x:c r="E63" s="44" t="str">
        <x:v>drawings</x:v>
      </x:c>
      <x:c r="F63" s="44" t="str">
        <x:v>design</x:v>
      </x:c>
      <x:c r="G63" s="44" t="str">
        <x:v>RAC-1</x:v>
      </x:c>
    </x:row>
    <x:row r="64">
      <x:c r="B64" s="44" t="str">
        <x:v>C58</x:v>
      </x:c>
      <x:c r="C64" s="44" t="str">
        <x:v>part families</x:v>
      </x:c>
      <x:c r="D64" s="55" t="n">
        <x:v>72</x:v>
      </x:c>
      <x:c r="E64" s="44" t="str">
        <x:v>families</x:v>
      </x:c>
      <x:c r="F64" s="44" t="str">
        <x:v>design</x:v>
      </x:c>
      <x:c r="G64" s="44" t="str">
        <x:v>RAC-1</x:v>
      </x:c>
    </x:row>
    <x:row r="65">
      <x:c r="B65" s="44" t="str">
        <x:v>C59</x:v>
      </x:c>
      <x:c r="C65" s="44" t="str">
        <x:v>tolerance stacks</x:v>
      </x:c>
      <x:c r="D65" s="55" t="n">
        <x:v>48</x:v>
      </x:c>
      <x:c r="E65" s="44" t="str">
        <x:v>stacks</x:v>
      </x:c>
      <x:c r="F65" s="44" t="str">
        <x:v>design</x:v>
      </x:c>
      <x:c r="G65" s="44" t="str">
        <x:v>RAC-1</x:v>
      </x:c>
    </x:row>
    <x:row r="66">
      <x:c r="B66" s="44" t="str">
        <x:v>C60</x:v>
      </x:c>
      <x:c r="C66" s="44" t="str">
        <x:v>contributors per stack</x:v>
      </x:c>
      <x:c r="D66" s="55" t="n">
        <x:v>4</x:v>
      </x:c>
      <x:c r="E66" s="44" t="str">
        <x:v>contributors</x:v>
      </x:c>
      <x:c r="F66" s="44" t="str">
        <x:v>design</x:v>
      </x:c>
      <x:c r="G66" s="44" t="str">
        <x:v>RAC-1</x:v>
      </x:c>
    </x:row>
    <x:row r="67">
      <x:c r="B67" s="44" t="str">
        <x:v>C61</x:v>
      </x:c>
      <x:c r="C67" s="44" t="str">
        <x:v>build gates per article</x:v>
      </x:c>
      <x:c r="D67" s="55" t="n">
        <x:v>16</x:v>
      </x:c>
      <x:c r="E67" s="44" t="str">
        <x:v>gates</x:v>
      </x:c>
      <x:c r="F67" s="44" t="str">
        <x:v>design</x:v>
      </x:c>
      <x:c r="G67" s="44" t="str">
        <x:v>RAC-1</x:v>
      </x:c>
    </x:row>
    <x:row r="68">
      <x:c r="B68" s="44" t="str">
        <x:v>C62</x:v>
      </x:c>
      <x:c r="C68" s="44" t="str">
        <x:v>program months</x:v>
      </x:c>
      <x:c r="D68" s="55" t="n">
        <x:v>18</x:v>
      </x:c>
      <x:c r="E68" s="44" t="str">
        <x:v>months</x:v>
      </x:c>
      <x:c r="F68" s="44" t="str">
        <x:v>design</x:v>
      </x:c>
      <x:c r="G68" s="44" t="str">
        <x:v>RAC-1</x:v>
      </x:c>
    </x:row>
    <x:row r="69">
      <x:c r="B69" s="44" t="str">
        <x:v>C63</x:v>
      </x:c>
      <x:c r="C69" s="44" t="str">
        <x:v>workforce</x:v>
      </x:c>
      <x:c r="D69" s="55" t="n">
        <x:v>180</x:v>
      </x:c>
      <x:c r="E69" s="44" t="str">
        <x:v>positions</x:v>
      </x:c>
      <x:c r="F69" s="44" t="str">
        <x:v>design</x:v>
      </x:c>
      <x:c r="G69" s="44" t="str">
        <x:v>RAC-1</x:v>
      </x:c>
    </x:row>
    <x:row r="70">
      <x:c r="B70" s="44" t="str">
        <x:v>C64</x:v>
      </x:c>
      <x:c r="C70" s="44" t="str">
        <x:v>gross capital</x:v>
      </x:c>
      <x:c r="D70" s="55" t="n">
        <x:v>64</x:v>
      </x:c>
      <x:c r="E70" s="44" t="str">
        <x:v>USD M</x:v>
      </x:c>
      <x:c r="F70" s="44" t="str">
        <x:v>design</x:v>
      </x:c>
      <x:c r="G70" s="44" t="str">
        <x:v>RAC-1</x:v>
      </x:c>
    </x:row>
    <x:row r="71">
      <x:c r="B71" s="44" t="str">
        <x:v>C65</x:v>
      </x:c>
      <x:c r="C71" s="44" t="str">
        <x:v>gross annual support</x:v>
      </x:c>
      <x:c r="D71" s="55" t="n">
        <x:v>38</x:v>
      </x:c>
      <x:c r="E71" s="44" t="str">
        <x:v>USD M/year</x:v>
      </x:c>
      <x:c r="F71" s="44" t="str">
        <x:v>design</x:v>
      </x:c>
      <x:c r="G71" s="44" t="str">
        <x:v>RAC-1</x:v>
      </x:c>
    </x:row>
    <x:row r="72">
      <x:c r="B72" s="44" t="str">
        <x:v>C66</x:v>
      </x:c>
      <x:c r="C72" s="44" t="str">
        <x:v>RAP-1 capital boundary</x:v>
      </x:c>
      <x:c r="D72" s="55" t="n">
        <x:v>248</x:v>
      </x:c>
      <x:c r="E72" s="44" t="str">
        <x:v>USD M</x:v>
      </x:c>
      <x:c r="F72" s="44" t="str">
        <x:v>inherited</x:v>
      </x:c>
      <x:c r="G72" s="44" t="str">
        <x:v>RAP-1</x:v>
      </x:c>
    </x:row>
    <x:row r="73">
      <x:c r="B73" s="44" t="str">
        <x:v>C67</x:v>
      </x:c>
      <x:c r="C73" s="44" t="str">
        <x:v>RAP-1 annual boundary</x:v>
      </x:c>
      <x:c r="D73" s="55" t="n">
        <x:v>112</x:v>
      </x:c>
      <x:c r="E73" s="44" t="str">
        <x:v>USD M/year</x:v>
      </x:c>
      <x:c r="F73" s="44" t="str">
        <x:v>inherited</x:v>
      </x:c>
      <x:c r="G73" s="44" t="str">
        <x:v>RAP-1</x:v>
      </x:c>
    </x:row>
    <x:row r="74">
      <x:c r="B74" s="44" t="str">
        <x:v>C68</x:v>
      </x:c>
      <x:c r="C74" s="44" t="str">
        <x:v>technology allocation</x:v>
      </x:c>
      <x:c r="D74" s="55" t="n">
        <x:v>125</x:v>
      </x:c>
      <x:c r="E74" s="44" t="str">
        <x:v>USD M</x:v>
      </x:c>
      <x:c r="F74" s="44" t="str">
        <x:v>cross-classified</x:v>
      </x:c>
      <x:c r="G74" s="44" t="str">
        <x:v>RAC-1</x:v>
      </x:c>
    </x:row>
    <x:row r="75">
      <x:c r="B75" s="44" t="str">
        <x:v>C69</x:v>
      </x:c>
      <x:c r="C75" s="44" t="str">
        <x:v>drawing issue authority</x:v>
      </x:c>
      <x:c r="D75" s="55" t="n">
        <x:v>0</x:v>
      </x:c>
      <x:c r="E75" s="44" t="str">
        <x:v>binary</x:v>
      </x:c>
      <x:c r="F75" s="44" t="str">
        <x:v>authority</x:v>
      </x:c>
      <x:c r="G75" s="44" t="str">
        <x:v>physical evidence absent</x:v>
      </x:c>
    </x:row>
    <x:row r="76">
      <x:c r="B76" s="44" t="str">
        <x:v>C70</x:v>
      </x:c>
      <x:c r="C76" s="44" t="str">
        <x:v>article build-release authority</x:v>
      </x:c>
      <x:c r="D76" s="55" t="n">
        <x:v>0</x:v>
      </x:c>
      <x:c r="E76" s="44" t="str">
        <x:v>binary</x:v>
      </x:c>
      <x:c r="F76" s="44" t="str">
        <x:v>authority</x:v>
      </x:c>
      <x:c r="G76" s="44" t="str">
        <x:v>physical evidence absent</x:v>
      </x:c>
    </x:row>
    <x:row r="77">
      <x:c r="B77" s="44" t="str">
        <x:v>C71</x:v>
      </x:c>
      <x:c r="C77" s="44" t="str">
        <x:v>article acceptance authority</x:v>
      </x:c>
      <x:c r="D77" s="55" t="n">
        <x:v>0</x:v>
      </x:c>
      <x:c r="E77" s="44" t="str">
        <x:v>binary</x:v>
      </x:c>
      <x:c r="F77" s="44" t="str">
        <x:v>authority</x:v>
      </x:c>
      <x:c r="G77" s="44" t="str">
        <x:v>RAP-1</x:v>
      </x:c>
    </x:row>
    <x:row r="78">
      <x:c r="B78" s="44" t="str">
        <x:v>C72</x:v>
      </x:c>
      <x:c r="C78" s="44" t="str">
        <x:v>source-event authority</x:v>
      </x:c>
      <x:c r="D78" s="55" t="n">
        <x:v>0</x:v>
      </x:c>
      <x:c r="E78" s="44" t="str">
        <x:v>binary</x:v>
      </x:c>
      <x:c r="F78" s="44" t="str">
        <x:v>authority</x:v>
      </x:c>
      <x:c r="G78" s="44" t="str">
        <x:v>RAE-1</x:v>
      </x:c>
    </x:row>
    <x:row r="79">
      <x:c r="B79" s="44" t="str">
        <x:v>C73</x:v>
      </x:c>
      <x:c r="C79" s="44" t="str">
        <x:v>exterior-rendering authority</x:v>
      </x:c>
      <x:c r="D79" s="55" t="n">
        <x:v>0</x:v>
      </x:c>
      <x:c r="E79" s="44" t="str">
        <x:v>binary</x:v>
      </x:c>
      <x:c r="F79" s="44" t="str">
        <x:v>authority</x:v>
      </x:c>
      <x:c r="G79" s="44" t="str">
        <x:v>candidate research absent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7" hidden="0" customWidth="1"/>
    <x:col min="4" max="4" width="76" hidden="0" customWidth="1"/>
    <x:col min="5" max="5" width="72" hidden="0" customWidth="1"/>
  </x:cols>
  <x:sheetData>
    <x:row r="2">
      <x:c r="B2" s="41" t="str">
        <x:v>Twelve construction decisions</x:v>
      </x:c>
      <x:c r="C2" s="42"/>
      <x:c r="D2" s="42"/>
      <x:c r="E2" s="42"/>
    </x:row>
    <x:row r="3">
      <x:c r="B3" s="43" t="str">
        <x:v>RAC-1 converts the proof campaign into an auditable physical definition without claiming that hardware exists.</x:v>
      </x:c>
      <x:c r="C3" s="42"/>
      <x:c r="D3" s="42"/>
      <x:c r="E3" s="42"/>
    </x:row>
    <x:row r="4">
      <x:c r="B4" s="42"/>
      <x:c r="C4" s="42"/>
      <x:c r="D4" s="42"/>
      <x:c r="E4" s="42"/>
    </x:row>
    <x:row r="5">
      <x:c r="B5" s="42"/>
      <x:c r="C5" s="42"/>
      <x:c r="D5" s="42"/>
      <x:c r="E5" s="42"/>
    </x:row>
    <x:row r="6" ht="25" customHeight="1">
      <x:c r="B6" s="6" t="str">
        <x:v>Decision</x:v>
      </x:c>
      <x:c r="C6" s="6" t="str">
        <x:v>Question</x:v>
      </x:c>
      <x:c r="D6" s="6" t="str">
        <x:v>RAC-1 position</x:v>
      </x:c>
      <x:c r="E6" s="6" t="str">
        <x:v>Explicit limit</x:v>
      </x:c>
    </x:row>
    <x:row r="7" ht="44" customHeight="1">
      <x:c r="B7" s="44" t="str">
        <x:v>DL-01</x:v>
      </x:c>
      <x:c r="C7" s="44" t="str">
        <x:v>physical topology</x:v>
      </x:c>
      <x:c r="D7" s="45" t="str">
        <x:v>six transportable two-metre modules deploy into one straight twelve-metre path</x:v>
      </x:c>
      <x:c r="E7" s="45" t="str">
        <x:v>stowed envelope is not deployed envelope</x:v>
      </x:c>
    </x:row>
    <x:row r="8" ht="44" customHeight="1">
      <x:c r="B8" s="44" t="str">
        <x:v>DL-02</x:v>
      </x:c>
      <x:c r="C8" s="44" t="str">
        <x:v>lineage distinction</x:v>
      </x:c>
      <x:c r="D8" s="45" t="str">
        <x:v>BL-X receives five permanent orbital-welded joints; BL-Y receives five monitored double-barrier mechanical joints</x:v>
      </x:c>
      <x:c r="E8" s="45" t="str">
        <x:v>joint mechanism remains an analysis variable</x:v>
      </x:c>
    </x:row>
    <x:row r="9" ht="44" customHeight="1">
      <x:c r="B9" s="44" t="str">
        <x:v>DL-03</x:v>
      </x:c>
      <x:c r="C9" s="44" t="str">
        <x:v>hydraulic claim</x:v>
      </x:c>
      <x:c r="D9" s="45" t="str">
        <x:v>common bore, length, port stations and surface bands</x:v>
      </x:c>
      <x:c r="E9" s="45" t="str">
        <x:v>no equivalence to the 150 mm route</x:v>
      </x:c>
    </x:row>
    <x:row r="10" ht="44" customHeight="1">
      <x:c r="B10" s="44" t="str">
        <x:v>DL-04</x:v>
      </x:c>
      <x:c r="C10" s="44" t="str">
        <x:v>pressure basis</x:v>
      </x:c>
      <x:c r="D10" s="45" t="str">
        <x:v>100 kPa normal control, 250 kPa relief, 2 MPa design and 3 MPa liquid proof</x:v>
      </x:c>
      <x:c r="E10" s="45" t="str">
        <x:v>no pneumatic proof</x:v>
      </x:c>
    </x:row>
    <x:row r="11" ht="44" customHeight="1">
      <x:c r="B11" s="44" t="str">
        <x:v>DL-05</x:v>
      </x:c>
      <x:c r="C11" s="44" t="str">
        <x:v>thermal basis</x:v>
      </x:c>
      <x:c r="D11" s="45" t="str">
        <x:v>dimensions close at 20 deg C; one midpoint datum and sliding end supports absorb extreme-state growth</x:v>
      </x:c>
      <x:c r="E11" s="45" t="str">
        <x:v>the build-length tolerance is not an operating thermal limit</x:v>
      </x:c>
    </x:row>
    <x:row r="12" ht="44" customHeight="1">
      <x:c r="B12" s="44" t="str">
        <x:v>DL-06</x:v>
      </x:c>
      <x:c r="C12" s="44" t="str">
        <x:v>safeing mechanism</x:v>
      </x:c>
      <x:c r="D12" s="45" t="str">
        <x:v>safe state is spring-driven release with unlike command and state witnesses</x:v>
      </x:c>
      <x:c r="E12" s="45" t="str">
        <x:v>normal power is not credited for final action</x:v>
      </x:c>
    </x:row>
    <x:row r="13" ht="44" customHeight="1">
      <x:c r="B13" s="44" t="str">
        <x:v>DL-07</x:v>
      </x:c>
      <x:c r="C13" s="44" t="str">
        <x:v>surface basis</x:v>
      </x:c>
      <x:c r="D13" s="45" t="str">
        <x:v>roughness, contact angle, joint step, deadleg and drained residual are separate observables</x:v>
      </x:c>
      <x:c r="E13" s="45" t="str">
        <x:v>surface finish alone cannot predict recovery</x:v>
      </x:c>
    </x:row>
    <x:row r="14" ht="44" customHeight="1">
      <x:c r="B14" s="44" t="str">
        <x:v>DL-08</x:v>
      </x:c>
      <x:c r="C14" s="44" t="str">
        <x:v>drawing authority</x:v>
      </x:c>
      <x:c r="D14" s="45" t="str">
        <x:v>ninety-six controlled sheets define common interfaces and lineage-specific mechanisms</x:v>
      </x:c>
      <x:c r="E14" s="45" t="str">
        <x:v>a register entry is not an issued drawing</x:v>
      </x:c>
    </x:row>
    <x:row r="15" ht="44" customHeight="1">
      <x:c r="B15" s="44" t="str">
        <x:v>DL-09</x:v>
      </x:c>
      <x:c r="C15" s="44" t="str">
        <x:v>lot conservation</x:v>
      </x:c>
      <x:c r="D15" s="45" t="str">
        <x:v>each material lot is split among article material, adjacent-process evidence and retained archive</x:v>
      </x:c>
      <x:c r="E15" s="45" t="str">
        <x:v>laboratory-only coupons earn no build credit</x:v>
      </x:c>
    </x:row>
    <x:row r="16" ht="44" customHeight="1">
      <x:c r="B16" s="44" t="str">
        <x:v>DL-10</x:v>
      </x:c>
      <x:c r="C16" s="44" t="str">
        <x:v>build release</x:v>
      </x:c>
      <x:c r="D16" s="45" t="str">
        <x:v>sixteen accepted gates must close for each serialized article</x:v>
      </x:c>
      <x:c r="E16" s="45" t="str">
        <x:v>a timestamp beside missing evidence fails</x:v>
      </x:c>
    </x:row>
    <x:row r="17" ht="44" customHeight="1">
      <x:c r="B17" s="44" t="str">
        <x:v>DL-11</x:v>
      </x:c>
      <x:c r="C17" s="44" t="str">
        <x:v>configuration law</x:v>
      </x:c>
      <x:c r="D17" s="45" t="str">
        <x:v>nonconformance creates a new branch and effect assessment</x:v>
      </x:c>
      <x:c r="E17" s="45" t="str">
        <x:v>use-as-is cannot be a note</x:v>
      </x:c>
    </x:row>
    <x:row r="18" ht="44" customHeight="1">
      <x:c r="B18" s="44" t="str">
        <x:v>DL-12</x:v>
      </x:c>
      <x:c r="C18" s="44" t="str">
        <x:v>authority ceiling</x:v>
      </x:c>
      <x:c r="D18" s="45" t="str">
        <x:v>RAC-1 may define the build package but cannot issue fabrication, accept an article, authorize source entry or determine exterior form</x:v>
      </x:c>
      <x:c r="E18" s="45" t="str">
        <x:v>all such releases remain blocked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9" hidden="0" customWidth="1"/>
    <x:col min="4" max="4" width="76" hidden="0" customWidth="1"/>
    <x:col min="5" max="5" width="68" hidden="0" customWidth="1"/>
    <x:col min="6" max="6" width="18" hidden="0" customWidth="1"/>
    <x:col min="7" max="7" width="14" hidden="0" customWidth="1"/>
  </x:cols>
  <x:sheetData>
    <x:row r="2">
      <x:c r="B2" s="41" t="str">
        <x:v>Two unlike construction lineages</x:v>
      </x:c>
      <x:c r="C2" s="42"/>
      <x:c r="D2" s="42"/>
      <x:c r="E2" s="42"/>
      <x:c r="F2" s="42"/>
      <x:c r="G2" s="42"/>
    </x:row>
    <x:row r="3">
      <x:c r="B3" s="43" t="str">
        <x:v>Both lineages meet one public fluid and measurement envelope while retaining different joint mechanisms.</x:v>
      </x:c>
      <x:c r="C3" s="42"/>
      <x:c r="D3" s="42"/>
      <x:c r="E3" s="42"/>
      <x:c r="F3" s="42"/>
      <x:c r="G3" s="42"/>
    </x:row>
    <x:row r="4">
      <x:c r="B4" s="42"/>
      <x:c r="C4" s="42"/>
      <x:c r="D4" s="42"/>
      <x:c r="E4" s="42"/>
      <x:c r="F4" s="42"/>
      <x:c r="G4" s="42"/>
    </x:row>
    <x:row r="5">
      <x:c r="B5" s="42"/>
      <x:c r="C5" s="42"/>
      <x:c r="D5" s="42"/>
      <x:c r="E5" s="42"/>
      <x:c r="F5" s="42"/>
      <x:c r="G5" s="42"/>
    </x:row>
    <x:row r="6" ht="25" customHeight="1">
      <x:c r="B6" s="6" t="str">
        <x:v>Lineage</x:v>
      </x:c>
      <x:c r="C6" s="6" t="str">
        <x:v>Architecture</x:v>
      </x:c>
      <x:c r="D6" s="6" t="str">
        <x:v>Construction</x:v>
      </x:c>
      <x:c r="E6" s="6" t="str">
        <x:v>Governing variables</x:v>
      </x:c>
      <x:c r="F6" s="6" t="str">
        <x:v>Interface class</x:v>
      </x:c>
      <x:c r="G6" s="6" t="str">
        <x:v>State</x:v>
      </x:c>
    </x:row>
    <x:row r="7" ht="52" customHeight="1">
      <x:c r="B7" s="44" t="str">
        <x:v>BL-X</x:v>
      </x:c>
      <x:c r="C7" s="44" t="str">
        <x:v>fused metallic reference</x:v>
      </x:c>
      <x:c r="D7" s="45" t="str">
        <x:v>six electropolished austenitic stainless modules; five orbital girth welds; welded instrument bosses</x:v>
      </x:c>
      <x:c r="E7" s="45" t="str">
        <x:v>permanent joint geometry, heat history, root intrusion and post-weld surface recovery</x:v>
      </x:c>
      <x:c r="F7" s="44" t="str">
        <x:v>COMMON-40</x:v>
      </x:c>
      <x:c r="G7" s="44" t="str">
        <x:v>OPEN</x:v>
      </x:c>
    </x:row>
    <x:row r="8" ht="52" customHeight="1">
      <x:c r="B8" s="44" t="str">
        <x:v>BL-Y</x:v>
      </x:c>
      <x:c r="C8" s="44" t="str">
        <x:v>serviceable cartridge reference</x:v>
      </x:c>
      <x:c r="D8" s="45" t="str">
        <x:v>six super-duplex cartridges; five keyed double-barrier clamps; monitored interspaces</x:v>
      </x:c>
      <x:c r="E8" s="45" t="str">
        <x:v>preload retention, seal compression, radial step, crevice volume and repeated assembly</x:v>
      </x:c>
      <x:c r="F8" s="44" t="str">
        <x:v>COMMON-40</x:v>
      </x:c>
      <x:c r="G8" s="44" t="str">
        <x:v>OPEN</x:v>
      </x:c>
    </x:row>
  </x:sheetData>
  <x:conditionalFormatting sqref="G7:G8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OPEN"/>
    <x:cfRule type="containsText" dxfId="3" priority="4" operator="containsText" text="PASS"/>
    <x:cfRule type="containsText" dxfId="4" priority="5" operator="containsText" text="PLANN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21" hidden="0" customWidth="1"/>
    <x:col min="4" max="4" width="17" hidden="0" customWidth="1"/>
    <x:col min="5" max="5" width="14" hidden="0" customWidth="1"/>
    <x:col min="6" max="6" width="13" hidden="0" customWidth="1"/>
    <x:col min="7" max="7" width="43" hidden="0" customWidth="1"/>
  </x:cols>
  <x:sheetData>
    <x:row r="2">
      <x:c r="B2" s="41" t="str">
        <x:v>Eighteen inherited article assignments</x:v>
      </x:c>
      <x:c r="C2" s="42"/>
      <x:c r="D2" s="42"/>
      <x:c r="E2" s="42"/>
      <x:c r="F2" s="42"/>
      <x:c r="G2" s="42"/>
    </x:row>
    <x:row r="3">
      <x:c r="B3" s="43" t="str">
        <x:v>Role and lineage are fixed before build evidence exists.</x:v>
      </x:c>
      <x:c r="C3" s="42"/>
      <x:c r="D3" s="42"/>
      <x:c r="E3" s="42"/>
      <x:c r="F3" s="42"/>
      <x:c r="G3" s="42"/>
    </x:row>
    <x:row r="4">
      <x:c r="B4" s="42"/>
      <x:c r="C4" s="42"/>
      <x:c r="D4" s="42"/>
      <x:c r="E4" s="42"/>
      <x:c r="F4" s="42"/>
      <x:c r="G4" s="42"/>
    </x:row>
    <x:row r="5">
      <x:c r="B5" s="42"/>
      <x:c r="C5" s="42"/>
      <x:c r="D5" s="42"/>
      <x:c r="E5" s="42"/>
      <x:c r="F5" s="42"/>
      <x:c r="G5" s="42"/>
    </x:row>
    <x:row r="6" ht="25" customHeight="1">
      <x:c r="B6" s="6" t="str">
        <x:v>Article</x:v>
      </x:c>
      <x:c r="C6" s="6" t="str">
        <x:v>Role</x:v>
      </x:c>
      <x:c r="D6" s="6" t="str">
        <x:v>Position</x:v>
      </x:c>
      <x:c r="E6" s="6" t="str">
        <x:v>Campus</x:v>
      </x:c>
      <x:c r="F6" s="6" t="str">
        <x:v>Lineage</x:v>
      </x:c>
      <x:c r="G6" s="6" t="str">
        <x:v>Construction purpose</x:v>
      </x:c>
    </x:row>
    <x:row r="7" ht="34" customHeight="1">
      <x:c r="B7" s="44" t="str">
        <x:v>REA-O-A1</x:v>
      </x:c>
      <x:c r="C7" s="44" t="str">
        <x:v>OPERATIONAL</x:v>
      </x:c>
      <x:c r="D7" s="44" t="str">
        <x:v>RFP-A1</x:v>
      </x:c>
      <x:c r="E7" s="44" t="str">
        <x:v>PTC-A</x:v>
      </x:c>
      <x:c r="F7" s="44" t="str">
        <x:v>BL-X</x:v>
      </x:c>
      <x:c r="G7" s="45" t="str">
        <x:v>future rig reference</x:v>
      </x:c>
    </x:row>
    <x:row r="8" ht="34" customHeight="1">
      <x:c r="B8" s="44" t="str">
        <x:v>REA-O-A2</x:v>
      </x:c>
      <x:c r="C8" s="44" t="str">
        <x:v>OPERATIONAL</x:v>
      </x:c>
      <x:c r="D8" s="44" t="str">
        <x:v>RFP-A2</x:v>
      </x:c>
      <x:c r="E8" s="44" t="str">
        <x:v>PTC-A</x:v>
      </x:c>
      <x:c r="F8" s="44" t="str">
        <x:v>BL-Y</x:v>
      </x:c>
      <x:c r="G8" s="45" t="str">
        <x:v>future rig reference</x:v>
      </x:c>
    </x:row>
    <x:row r="9" ht="34" customHeight="1">
      <x:c r="B9" s="44" t="str">
        <x:v>REA-O-B1</x:v>
      </x:c>
      <x:c r="C9" s="44" t="str">
        <x:v>OPERATIONAL</x:v>
      </x:c>
      <x:c r="D9" s="44" t="str">
        <x:v>RFP-B1</x:v>
      </x:c>
      <x:c r="E9" s="44" t="str">
        <x:v>PTC-B</x:v>
      </x:c>
      <x:c r="F9" s="44" t="str">
        <x:v>BL-X</x:v>
      </x:c>
      <x:c r="G9" s="45" t="str">
        <x:v>future rig reference</x:v>
      </x:c>
    </x:row>
    <x:row r="10" ht="34" customHeight="1">
      <x:c r="B10" s="44" t="str">
        <x:v>REA-O-B2</x:v>
      </x:c>
      <x:c r="C10" s="44" t="str">
        <x:v>OPERATIONAL</x:v>
      </x:c>
      <x:c r="D10" s="44" t="str">
        <x:v>RFP-B2</x:v>
      </x:c>
      <x:c r="E10" s="44" t="str">
        <x:v>PTC-B</x:v>
      </x:c>
      <x:c r="F10" s="44" t="str">
        <x:v>BL-Y</x:v>
      </x:c>
      <x:c r="G10" s="45" t="str">
        <x:v>future rig reference</x:v>
      </x:c>
    </x:row>
    <x:row r="11" ht="34" customHeight="1">
      <x:c r="B11" s="44" t="str">
        <x:v>REA-O-C1</x:v>
      </x:c>
      <x:c r="C11" s="44" t="str">
        <x:v>OPERATIONAL</x:v>
      </x:c>
      <x:c r="D11" s="44" t="str">
        <x:v>RFP-C1</x:v>
      </x:c>
      <x:c r="E11" s="44" t="str">
        <x:v>PTC-C</x:v>
      </x:c>
      <x:c r="F11" s="44" t="str">
        <x:v>BL-X</x:v>
      </x:c>
      <x:c r="G11" s="45" t="str">
        <x:v>future rig reference</x:v>
      </x:c>
    </x:row>
    <x:row r="12" ht="34" customHeight="1">
      <x:c r="B12" s="44" t="str">
        <x:v>REA-O-C2</x:v>
      </x:c>
      <x:c r="C12" s="44" t="str">
        <x:v>OPERATIONAL</x:v>
      </x:c>
      <x:c r="D12" s="44" t="str">
        <x:v>RFP-C2</x:v>
      </x:c>
      <x:c r="E12" s="44" t="str">
        <x:v>PTC-C</x:v>
      </x:c>
      <x:c r="F12" s="44" t="str">
        <x:v>BL-Y</x:v>
      </x:c>
      <x:c r="G12" s="45" t="str">
        <x:v>future rig reference</x:v>
      </x:c>
    </x:row>
    <x:row r="13" ht="34" customHeight="1">
      <x:c r="B13" s="44" t="str">
        <x:v>REA-T-A1</x:v>
      </x:c>
      <x:c r="C13" s="44" t="str">
        <x:v>FUNCTIONAL TWIN</x:v>
      </x:c>
      <x:c r="D13" s="44" t="str">
        <x:v>RFP-A1</x:v>
      </x:c>
      <x:c r="E13" s="44" t="str">
        <x:v>PTC-A</x:v>
      </x:c>
      <x:c r="F13" s="44" t="str">
        <x:v>BL-X</x:v>
      </x:c>
      <x:c r="G13" s="45" t="str">
        <x:v>blinded defect and overload</x:v>
      </x:c>
    </x:row>
    <x:row r="14" ht="34" customHeight="1">
      <x:c r="B14" s="44" t="str">
        <x:v>REA-T-A2</x:v>
      </x:c>
      <x:c r="C14" s="44" t="str">
        <x:v>FUNCTIONAL TWIN</x:v>
      </x:c>
      <x:c r="D14" s="44" t="str">
        <x:v>RFP-A2</x:v>
      </x:c>
      <x:c r="E14" s="44" t="str">
        <x:v>PTC-A</x:v>
      </x:c>
      <x:c r="F14" s="44" t="str">
        <x:v>BL-Y</x:v>
      </x:c>
      <x:c r="G14" s="45" t="str">
        <x:v>blinded defect and overload</x:v>
      </x:c>
    </x:row>
    <x:row r="15" ht="34" customHeight="1">
      <x:c r="B15" s="44" t="str">
        <x:v>REA-T-B1</x:v>
      </x:c>
      <x:c r="C15" s="44" t="str">
        <x:v>FUNCTIONAL TWIN</x:v>
      </x:c>
      <x:c r="D15" s="44" t="str">
        <x:v>RFP-B1</x:v>
      </x:c>
      <x:c r="E15" s="44" t="str">
        <x:v>PTC-B</x:v>
      </x:c>
      <x:c r="F15" s="44" t="str">
        <x:v>BL-X</x:v>
      </x:c>
      <x:c r="G15" s="45" t="str">
        <x:v>blinded defect and overload</x:v>
      </x:c>
    </x:row>
    <x:row r="16" ht="34" customHeight="1">
      <x:c r="B16" s="44" t="str">
        <x:v>REA-T-B2</x:v>
      </x:c>
      <x:c r="C16" s="44" t="str">
        <x:v>FUNCTIONAL TWIN</x:v>
      </x:c>
      <x:c r="D16" s="44" t="str">
        <x:v>RFP-B2</x:v>
      </x:c>
      <x:c r="E16" s="44" t="str">
        <x:v>PTC-B</x:v>
      </x:c>
      <x:c r="F16" s="44" t="str">
        <x:v>BL-Y</x:v>
      </x:c>
      <x:c r="G16" s="45" t="str">
        <x:v>blinded defect and overload</x:v>
      </x:c>
    </x:row>
    <x:row r="17" ht="34" customHeight="1">
      <x:c r="B17" s="44" t="str">
        <x:v>REA-T-C1</x:v>
      </x:c>
      <x:c r="C17" s="44" t="str">
        <x:v>FUNCTIONAL TWIN</x:v>
      </x:c>
      <x:c r="D17" s="44" t="str">
        <x:v>RFP-C1</x:v>
      </x:c>
      <x:c r="E17" s="44" t="str">
        <x:v>PTC-C</x:v>
      </x:c>
      <x:c r="F17" s="44" t="str">
        <x:v>BL-X</x:v>
      </x:c>
      <x:c r="G17" s="45" t="str">
        <x:v>blinded defect and overload</x:v>
      </x:c>
    </x:row>
    <x:row r="18" ht="34" customHeight="1">
      <x:c r="B18" s="44" t="str">
        <x:v>REA-T-C2</x:v>
      </x:c>
      <x:c r="C18" s="44" t="str">
        <x:v>FUNCTIONAL TWIN</x:v>
      </x:c>
      <x:c r="D18" s="44" t="str">
        <x:v>RFP-C2</x:v>
      </x:c>
      <x:c r="E18" s="44" t="str">
        <x:v>PTC-C</x:v>
      </x:c>
      <x:c r="F18" s="44" t="str">
        <x:v>BL-Y</x:v>
      </x:c>
      <x:c r="G18" s="45" t="str">
        <x:v>blinded defect and overload</x:v>
      </x:c>
    </x:row>
    <x:row r="19" ht="34" customHeight="1">
      <x:c r="B19" s="44" t="str">
        <x:v>REA-M-A</x:v>
      </x:c>
      <x:c r="C19" s="44" t="str">
        <x:v>CALIBRATION</x:v>
      </x:c>
      <x:c r="D19" s="44" t="str">
        <x:v>PTC-A-LAB</x:v>
      </x:c>
      <x:c r="E19" s="44" t="str">
        <x:v>PTC-A</x:v>
      </x:c>
      <x:c r="F19" s="44" t="str">
        <x:v>BL-X</x:v>
      </x:c>
      <x:c r="G19" s="45" t="str">
        <x:v>known state and timing</x:v>
      </x:c>
    </x:row>
    <x:row r="20" ht="34" customHeight="1">
      <x:c r="B20" s="44" t="str">
        <x:v>REA-M-B</x:v>
      </x:c>
      <x:c r="C20" s="44" t="str">
        <x:v>CALIBRATION</x:v>
      </x:c>
      <x:c r="D20" s="44" t="str">
        <x:v>PTC-B-LAB</x:v>
      </x:c>
      <x:c r="E20" s="44" t="str">
        <x:v>PTC-B</x:v>
      </x:c>
      <x:c r="F20" s="44" t="str">
        <x:v>BL-Y</x:v>
      </x:c>
      <x:c r="G20" s="45" t="str">
        <x:v>known state and timing</x:v>
      </x:c>
    </x:row>
    <x:row r="21" ht="34" customHeight="1">
      <x:c r="B21" s="44" t="str">
        <x:v>REA-M-C</x:v>
      </x:c>
      <x:c r="C21" s="44" t="str">
        <x:v>CALIBRATION</x:v>
      </x:c>
      <x:c r="D21" s="44" t="str">
        <x:v>PTC-C-LAB</x:v>
      </x:c>
      <x:c r="E21" s="44" t="str">
        <x:v>PTC-C</x:v>
      </x:c>
      <x:c r="F21" s="44" t="str">
        <x:v>BL-X</x:v>
      </x:c>
      <x:c r="G21" s="45" t="str">
        <x:v>known state and timing</x:v>
      </x:c>
    </x:row>
    <x:row r="22" ht="34" customHeight="1">
      <x:c r="B22" s="44" t="str">
        <x:v>REA-D-A</x:v>
      </x:c>
      <x:c r="C22" s="44" t="str">
        <x:v>DESTRUCTIVE</x:v>
      </x:c>
      <x:c r="D22" s="44" t="str">
        <x:v>PTC-A-CELL</x:v>
      </x:c>
      <x:c r="E22" s="44" t="str">
        <x:v>PTC-A</x:v>
      </x:c>
      <x:c r="F22" s="44" t="str">
        <x:v>BL-Y</x:v>
      </x:c>
      <x:c r="G22" s="45" t="str">
        <x:v>terminal sectioning</x:v>
      </x:c>
    </x:row>
    <x:row r="23" ht="34" customHeight="1">
      <x:c r="B23" s="44" t="str">
        <x:v>REA-D-B</x:v>
      </x:c>
      <x:c r="C23" s="44" t="str">
        <x:v>DESTRUCTIVE</x:v>
      </x:c>
      <x:c r="D23" s="44" t="str">
        <x:v>PTC-B-CELL</x:v>
      </x:c>
      <x:c r="E23" s="44" t="str">
        <x:v>PTC-B</x:v>
      </x:c>
      <x:c r="F23" s="44" t="str">
        <x:v>BL-X</x:v>
      </x:c>
      <x:c r="G23" s="45" t="str">
        <x:v>terminal sectioning</x:v>
      </x:c>
    </x:row>
    <x:row r="24" ht="34" customHeight="1">
      <x:c r="B24" s="44" t="str">
        <x:v>REA-D-C</x:v>
      </x:c>
      <x:c r="C24" s="44" t="str">
        <x:v>DESTRUCTIVE</x:v>
      </x:c>
      <x:c r="D24" s="44" t="str">
        <x:v>PTC-C-CELL</x:v>
      </x:c>
      <x:c r="E24" s="44" t="str">
        <x:v>PTC-C</x:v>
      </x:c>
      <x:c r="F24" s="44" t="str">
        <x:v>BL-Y</x:v>
      </x:c>
      <x:c r="G24" s="45" t="str">
        <x:v>terminal sectioning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31" hidden="0" customWidth="1"/>
    <x:col min="4" max="4" width="15" hidden="0" customWidth="1"/>
    <x:col min="5" max="5" width="47" hidden="0" customWidth="1"/>
    <x:col min="6" max="6" width="14" hidden="0" customWidth="1"/>
    <x:col min="7" max="7" width="14" hidden="0" customWidth="1"/>
    <x:col min="8" max="8" width="14" hidden="0" customWidth="1"/>
    <x:col min="9" max="9" width="48" hidden="0" customWidth="1"/>
  </x:cols>
  <x:sheetData>
    <x:row r="2">
      <x:c r="B2" s="41" t="str">
        <x:v>Public coordinate and datum system</x:v>
      </x:c>
      <x:c r="C2" s="42"/>
      <x:c r="D2" s="42"/>
      <x:c r="E2" s="42"/>
      <x:c r="F2" s="42"/>
      <x:c r="G2" s="42"/>
      <x:c r="H2" s="42"/>
      <x:c r="I2" s="42"/>
    </x:row>
    <x:row r="3">
      <x:c r="B3" s="43" t="str">
        <x:v>Stowed and handling uses D00-D02. Deployed fluid geometry uses D03-D05 with D04 as the fixed thermal datum.</x:v>
      </x:c>
      <x:c r="C3" s="42"/>
      <x:c r="D3" s="42"/>
      <x:c r="E3" s="42"/>
      <x:c r="F3" s="42"/>
      <x:c r="G3" s="42"/>
      <x:c r="H3" s="42"/>
      <x:c r="I3" s="42"/>
    </x:row>
    <x:row r="4">
      <x:c r="B4" s="42"/>
      <x:c r="C4" s="42"/>
      <x:c r="D4" s="42"/>
      <x:c r="E4" s="42"/>
      <x:c r="F4" s="42"/>
      <x:c r="G4" s="42"/>
      <x:c r="H4" s="42"/>
      <x:c r="I4" s="42"/>
    </x:row>
    <x:row r="5">
      <x:c r="B5" s="42"/>
      <x:c r="C5" s="42"/>
      <x:c r="D5" s="42"/>
      <x:c r="E5" s="42"/>
      <x:c r="F5" s="42"/>
      <x:c r="G5" s="42"/>
      <x:c r="H5" s="42"/>
      <x:c r="I5" s="42"/>
    </x:row>
    <x:row r="6" ht="25" customHeight="1">
      <x:c r="B6" s="6" t="str">
        <x:v>Datum</x:v>
      </x:c>
      <x:c r="C6" s="6" t="str">
        <x:v>Name</x:v>
      </x:c>
      <x:c r="D6" s="6" t="str">
        <x:v>State</x:v>
      </x:c>
      <x:c r="E6" s="6" t="str">
        <x:v>Physical realization</x:v>
      </x:c>
      <x:c r="F6" s="6" t="str">
        <x:v>X m</x:v>
      </x:c>
      <x:c r="G6" s="6" t="str">
        <x:v>Y m</x:v>
      </x:c>
      <x:c r="H6" s="6" t="str">
        <x:v>Z m</x:v>
      </x:c>
      <x:c r="I6" s="6" t="str">
        <x:v>Controls</x:v>
      </x:c>
    </x:row>
    <x:row r="7" ht="38" customHeight="1">
      <x:c r="B7" s="44" t="str">
        <x:v>D00</x:v>
      </x:c>
      <x:c r="C7" s="44" t="str">
        <x:v>transport base plane</x:v>
      </x:c>
      <x:c r="D7" s="44" t="str">
        <x:v>stowed</x:v>
      </x:c>
      <x:c r="E7" s="45" t="str">
        <x:v>lower transport-pad plane</x:v>
      </x:c>
      <x:c r="F7" s="44" t="n">
        <x:v>0</x:v>
      </x:c>
      <x:c r="G7" s="44" t="n">
        <x:v>0</x:v>
      </x:c>
      <x:c r="H7" s="44" t="n">
        <x:v>0</x:v>
      </x:c>
      <x:c r="I7" s="45" t="str">
        <x:v>all stowed dimensions and lift coordinates</x:v>
      </x:c>
    </x:row>
    <x:row r="8" ht="38" customHeight="1">
      <x:c r="B8" s="44" t="str">
        <x:v>D01</x:v>
      </x:c>
      <x:c r="C8" s="44" t="str">
        <x:v>transport longitudinal datum</x:v>
      </x:c>
      <x:c r="D8" s="44" t="str">
        <x:v>stowed</x:v>
      </x:c>
      <x:c r="E8" s="45" t="str">
        <x:v>forward restraint face</x:v>
      </x:c>
      <x:c r="F8" s="44" t="n">
        <x:v>0</x:v>
      </x:c>
      <x:c r="G8" s="44" t="n">
        <x:v>0</x:v>
      </x:c>
      <x:c r="H8" s="44" t="n">
        <x:v>0</x:v>
      </x:c>
      <x:c r="I8" s="45" t="str">
        <x:v>stowed X and CG</x:v>
      </x:c>
    </x:row>
    <x:row r="9" ht="38" customHeight="1">
      <x:c r="B9" s="44" t="str">
        <x:v>D02</x:v>
      </x:c>
      <x:c r="C9" s="44" t="str">
        <x:v>transport lateral datum</x:v>
      </x:c>
      <x:c r="D9" s="44" t="str">
        <x:v>stowed</x:v>
      </x:c>
      <x:c r="E9" s="45" t="str">
        <x:v>left restraint face</x:v>
      </x:c>
      <x:c r="F9" s="44" t="n">
        <x:v>0</x:v>
      </x:c>
      <x:c r="G9" s="44" t="n">
        <x:v>0</x:v>
      </x:c>
      <x:c r="H9" s="44" t="n">
        <x:v>0</x:v>
      </x:c>
      <x:c r="I9" s="45" t="str">
        <x:v>stowed Y and CG</x:v>
      </x:c>
    </x:row>
    <x:row r="10" ht="38" customHeight="1">
      <x:c r="B10" s="44" t="str">
        <x:v>D03</x:v>
      </x:c>
      <x:c r="C10" s="44" t="str">
        <x:v>deployed bore origin</x:v>
      </x:c>
      <x:c r="D10" s="44" t="str">
        <x:v>deployed</x:v>
      </x:c>
      <x:c r="E10" s="45" t="str">
        <x:v>upstream seal face on path centerline</x:v>
      </x:c>
      <x:c r="F10" s="44" t="n">
        <x:v>0</x:v>
      </x:c>
      <x:c r="G10" s="44" t="n">
        <x:v>0.8</x:v>
      </x:c>
      <x:c r="H10" s="44" t="n">
        <x:v>0.3</x:v>
      </x:c>
      <x:c r="I10" s="45" t="str">
        <x:v>all deployed X stations</x:v>
      </x:c>
    </x:row>
    <x:row r="11" ht="38" customHeight="1">
      <x:c r="B11" s="44" t="str">
        <x:v>D04</x:v>
      </x:c>
      <x:c r="C11" s="44" t="str">
        <x:v>deployed midpoint</x:v>
      </x:c>
      <x:c r="D11" s="44" t="str">
        <x:v>deployed</x:v>
      </x:c>
      <x:c r="E11" s="45" t="str">
        <x:v>fixed saddle and thermal anchor</x:v>
      </x:c>
      <x:c r="F11" s="44" t="n">
        <x:v>6</x:v>
      </x:c>
      <x:c r="G11" s="44" t="n">
        <x:v>0.8</x:v>
      </x:c>
      <x:c r="H11" s="44" t="n">
        <x:v>0.3</x:v>
      </x:c>
      <x:c r="I11" s="45" t="str">
        <x:v>thermal expansion divides toward both ends</x:v>
      </x:c>
    </x:row>
    <x:row r="12" ht="38" customHeight="1">
      <x:c r="B12" s="44" t="str">
        <x:v>D05</x:v>
      </x:c>
      <x:c r="C12" s="44" t="str">
        <x:v>deployed terminus</x:v>
      </x:c>
      <x:c r="D12" s="44" t="str">
        <x:v>deployed</x:v>
      </x:c>
      <x:c r="E12" s="45" t="str">
        <x:v>downstream seal face</x:v>
      </x:c>
      <x:c r="F12" s="44" t="n">
        <x:v>12</x:v>
      </x:c>
      <x:c r="G12" s="44" t="n">
        <x:v>0.8</x:v>
      </x:c>
      <x:c r="H12" s="44" t="n">
        <x:v>0.3</x:v>
      </x:c>
      <x:c r="I12" s="45" t="str">
        <x:v>total path length</x:v>
      </x:c>
    </x:row>
    <x:row r="13" ht="38" customHeight="1">
      <x:c r="B13" s="44" t="str">
        <x:v>D06</x:v>
      </x:c>
      <x:c r="C13" s="44" t="str">
        <x:v>pan low point</x:v>
      </x:c>
      <x:c r="D13" s="44" t="str">
        <x:v>deployed</x:v>
      </x:c>
      <x:c r="E13" s="45" t="str">
        <x:v>lowest accepted drain surface</x:v>
      </x:c>
      <x:c r="F13" s="44" t="n">
        <x:v>6</x:v>
      </x:c>
      <x:c r="G13" s="44" t="n">
        <x:v>0.25</x:v>
      </x:c>
      <x:c r="H13" s="44" t="n">
        <x:v>0</x:v>
      </x:c>
      <x:c r="I13" s="45" t="str">
        <x:v>residual and drain grade</x:v>
      </x:c>
    </x:row>
    <x:row r="14" ht="38" customHeight="1">
      <x:c r="B14" s="44" t="str">
        <x:v>D07</x:v>
      </x:c>
      <x:c r="C14" s="44" t="str">
        <x:v>receiver datum</x:v>
      </x:c>
      <x:c r="D14" s="44" t="str">
        <x:v>deployed</x:v>
      </x:c>
      <x:c r="E14" s="45" t="str">
        <x:v>normal receiver load reference</x:v>
      </x:c>
      <x:c r="F14" s="44" t="n">
        <x:v>12.6</x:v>
      </x:c>
      <x:c r="G14" s="44" t="n">
        <x:v>0.8</x:v>
      </x:c>
      <x:c r="H14" s="44" t="n">
        <x:v>0.15</x:v>
      </x:c>
      <x:c r="I14" s="45" t="str">
        <x:v>mass custody</x:v>
      </x:c>
    </x:row>
    <x:row r="15" ht="38" customHeight="1">
      <x:c r="B15" s="44" t="str">
        <x:v>D08</x:v>
      </x:c>
      <x:c r="C15" s="44" t="str">
        <x:v>casualty receiver datum</x:v>
      </x:c>
      <x:c r="D15" s="44" t="str">
        <x:v>deployed</x:v>
      </x:c>
      <x:c r="E15" s="45" t="str">
        <x:v>diversion receiver load reference</x:v>
      </x:c>
      <x:c r="F15" s="44" t="n">
        <x:v>12.6</x:v>
      </x:c>
      <x:c r="G15" s="44" t="n">
        <x:v>1.3</x:v>
      </x:c>
      <x:c r="H15" s="44" t="n">
        <x:v>0.15</x:v>
      </x:c>
      <x:c r="I15" s="45" t="str">
        <x:v>casualty custody</x:v>
      </x:c>
    </x:row>
    <x:row r="16" ht="38" customHeight="1">
      <x:c r="B16" s="44" t="str">
        <x:v>D09</x:v>
      </x:c>
      <x:c r="C16" s="44" t="str">
        <x:v>source-vessel datum</x:v>
      </x:c>
      <x:c r="D16" s="44" t="str">
        <x:v>deployed</x:v>
      </x:c>
      <x:c r="E16" s="45" t="str">
        <x:v>source-surrogate mass reference</x:v>
      </x:c>
      <x:c r="F16" s="44" t="n">
        <x:v>-0.8</x:v>
      </x:c>
      <x:c r="G16" s="44" t="n">
        <x:v>0.8</x:v>
      </x:c>
      <x:c r="H16" s="44" t="n">
        <x:v>0.35</x:v>
      </x:c>
      <x:c r="I16" s="45" t="str">
        <x:v>admission inventory</x:v>
      </x:c>
    </x:row>
    <x:row r="17" ht="38" customHeight="1">
      <x:c r="B17" s="44" t="str">
        <x:v>D10</x:v>
      </x:c>
      <x:c r="C17" s="44" t="str">
        <x:v>evidence datum</x:v>
      </x:c>
      <x:c r="D17" s="44" t="str">
        <x:v>stowed</x:v>
      </x:c>
      <x:c r="E17" s="45" t="str">
        <x:v>local vault mounting plane</x:v>
      </x:c>
      <x:c r="F17" s="44" t="n">
        <x:v>1.2</x:v>
      </x:c>
      <x:c r="G17" s="44" t="n">
        <x:v>1.35</x:v>
      </x:c>
      <x:c r="H17" s="44" t="n">
        <x:v>0.25</x:v>
      </x:c>
      <x:c r="I17" s="45" t="str">
        <x:v>time, power and data separation</x:v>
      </x:c>
    </x:row>
    <x:row r="18" ht="38" customHeight="1">
      <x:c r="B18" s="44" t="str">
        <x:v>D11</x:v>
      </x:c>
      <x:c r="C18" s="44" t="str">
        <x:v>manual-access datum</x:v>
      </x:c>
      <x:c r="D18" s="44" t="str">
        <x:v>deployed</x:v>
      </x:c>
      <x:c r="E18" s="45" t="str">
        <x:v>operator approach plane</x:v>
      </x:c>
      <x:c r="F18" s="44" t="n">
        <x:v>6</x:v>
      </x:c>
      <x:c r="G18" s="44" t="n">
        <x:v>-0.6</x:v>
      </x:c>
      <x:c r="H18" s="44" t="n">
        <x:v>0</x:v>
      </x:c>
      <x:c r="I18" s="45" t="str">
        <x:v>manual path clearance</x:v>
      </x:c>
    </x:row>
    <x:row r="19" ht="38" customHeight="1">
      <x:c r="B19" s="44" t="str">
        <x:v>D12</x:v>
      </x:c>
      <x:c r="C19" s="44" t="str">
        <x:v>lift datum forward</x:v>
      </x:c>
      <x:c r="D19" s="44" t="str">
        <x:v>stowed</x:v>
      </x:c>
      <x:c r="E19" s="45" t="str">
        <x:v>forward lift pair</x:v>
      </x:c>
      <x:c r="F19" s="44" t="n">
        <x:v>0.4</x:v>
      </x:c>
      <x:c r="G19" s="44" t="n">
        <x:v>0.8</x:v>
      </x:c>
      <x:c r="H19" s="44" t="n">
        <x:v>0.45</x:v>
      </x:c>
      <x:c r="I19" s="45" t="str">
        <x:v>handling</x:v>
      </x:c>
    </x:row>
    <x:row r="20" ht="38" customHeight="1">
      <x:c r="B20" s="44" t="str">
        <x:v>D13</x:v>
      </x:c>
      <x:c r="C20" s="44" t="str">
        <x:v>lift datum aft</x:v>
      </x:c>
      <x:c r="D20" s="44" t="str">
        <x:v>stowed</x:v>
      </x:c>
      <x:c r="E20" s="45" t="str">
        <x:v>aft lift pair</x:v>
      </x:c>
      <x:c r="F20" s="44" t="n">
        <x:v>2</x:v>
      </x:c>
      <x:c r="G20" s="44" t="n">
        <x:v>0.8</x:v>
      </x:c>
      <x:c r="H20" s="44" t="n">
        <x:v>0.45</x:v>
      </x:c>
      <x:c r="I20" s="45" t="str">
        <x:v>handling</x:v>
      </x:c>
    </x:row>
    <x:row r="21" ht="38" customHeight="1">
      <x:c r="B21" s="44" t="str">
        <x:v>D14</x:v>
      </x:c>
      <x:c r="C21" s="44" t="str">
        <x:v>slope reference</x:v>
      </x:c>
      <x:c r="D21" s="44" t="str">
        <x:v>deployed</x:v>
      </x:c>
      <x:c r="E21" s="45" t="str">
        <x:v>independent optical baseline</x:v>
      </x:c>
      <x:c r="F21" s="44" t="n">
        <x:v>6</x:v>
      </x:c>
      <x:c r="G21" s="44" t="n">
        <x:v>-0.3</x:v>
      </x:c>
      <x:c r="H21" s="44" t="n">
        <x:v>0.3</x:v>
      </x:c>
      <x:c r="I21" s="45" t="str">
        <x:v>signed grade</x:v>
      </x:c>
    </x:row>
    <x:row r="22" ht="38" customHeight="1">
      <x:c r="B22" s="44" t="str">
        <x:v>D15</x:v>
      </x:c>
      <x:c r="C22" s="44" t="str">
        <x:v>survey reserve</x:v>
      </x:c>
      <x:c r="D22" s="44" t="str">
        <x:v>deployed</x:v>
      </x:c>
      <x:c r="E22" s="45" t="str">
        <x:v>protected external monument</x:v>
      </x:c>
      <x:c r="F22" s="44" t="n">
        <x:v>6</x:v>
      </x:c>
      <x:c r="G22" s="44" t="n">
        <x:v>2</x:v>
      </x:c>
      <x:c r="H22" s="44" t="n">
        <x:v>0.1</x:v>
      </x:c>
      <x:c r="I22" s="45" t="str">
        <x:v>outside-origin reconstruction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4" hidden="0" customWidth="1"/>
    <x:col min="4" max="4" width="24" hidden="0" customWidth="1"/>
    <x:col min="5" max="5" width="16" hidden="0" customWidth="1"/>
    <x:col min="6" max="6" width="14" hidden="0" customWidth="1"/>
    <x:col min="7" max="7" width="14" hidden="0" customWidth="1"/>
    <x:col min="8" max="8" width="19" hidden="0" customWidth="1"/>
    <x:col min="9" max="9" width="74" hidden="0" customWidth="1"/>
    <x:col min="10" max="10" width="17" hidden="0" customWidth="1"/>
  </x:cols>
  <x:sheetData>
    <x:row r="2">
      <x:c r="B2" s="41" t="str">
        <x:v>Stowed and deployed geometry</x:v>
      </x:c>
      <x:c r="C2" s="42"/>
      <x:c r="D2" s="42"/>
      <x:c r="E2" s="42"/>
      <x:c r="F2" s="42"/>
      <x:c r="G2" s="42"/>
      <x:c r="H2" s="42"/>
      <x:c r="I2" s="42"/>
      <x:c r="J2" s="42"/>
    </x:row>
    <x:row r="3">
      <x:c r="B3" s="43" t="str">
        <x:v>The 2.4 m envelope is a transport state. The accepted experiment is a straight 12 m line assembled on six surveyed saddles.</x:v>
      </x:c>
      <x:c r="C3" s="42"/>
      <x:c r="D3" s="42"/>
      <x:c r="E3" s="42"/>
      <x:c r="F3" s="42"/>
      <x:c r="G3" s="42"/>
      <x:c r="H3" s="42"/>
      <x:c r="I3" s="42"/>
      <x:c r="J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</x:row>
    <x:row r="6" ht="25" customHeight="1">
      <x:c r="B6" s="6" t="str">
        <x:v>State</x:v>
      </x:c>
      <x:c r="C6" s="6" t="str">
        <x:v>Lineage</x:v>
      </x:c>
      <x:c r="D6" s="6" t="str">
        <x:v>Configuration</x:v>
      </x:c>
      <x:c r="E6" s="6" t="str">
        <x:v>Length m</x:v>
      </x:c>
      <x:c r="F6" s="6" t="str">
        <x:v>Width m</x:v>
      </x:c>
      <x:c r="G6" s="6" t="str">
        <x:v>Height m</x:v>
      </x:c>
      <x:c r="H6" s="6" t="str">
        <x:v>Temperature C</x:v>
      </x:c>
      <x:c r="I6" s="6" t="str">
        <x:v>Definition</x:v>
      </x:c>
      <x:c r="J6" s="6" t="str">
        <x:v>Class</x:v>
      </x:c>
    </x:row>
    <x:row r="7" ht="40" customHeight="1">
      <x:c r="B7" s="44" t="str">
        <x:v>ST-01</x:v>
      </x:c>
      <x:c r="C7" s="44" t="str">
        <x:v>BL-X</x:v>
      </x:c>
      <x:c r="D7" s="44" t="str">
        <x:v>stowed</x:v>
      </x:c>
      <x:c r="E7" s="56" t="n">
        <x:v>2.4</x:v>
      </x:c>
      <x:c r="F7" s="56" t="n">
        <x:v>1.6</x:v>
      </x:c>
      <x:c r="G7" s="56" t="n">
        <x:v>0.6</x:v>
      </x:c>
      <x:c r="H7" s="44" t="n">
        <x:v>20</x:v>
      </x:c>
      <x:c r="I7" s="45" t="str">
        <x:v>six protected modules, valves and support rail inside one restraint frame</x:v>
      </x:c>
      <x:c r="J7" s="44" t="str">
        <x:v>TRANSPORT</x:v>
      </x:c>
    </x:row>
    <x:row r="8" ht="40" customHeight="1">
      <x:c r="B8" s="44" t="str">
        <x:v>ST-02</x:v>
      </x:c>
      <x:c r="C8" s="44" t="str">
        <x:v>BL-Y</x:v>
      </x:c>
      <x:c r="D8" s="44" t="str">
        <x:v>stowed</x:v>
      </x:c>
      <x:c r="E8" s="56" t="n">
        <x:v>2.4</x:v>
      </x:c>
      <x:c r="F8" s="56" t="n">
        <x:v>1.6</x:v>
      </x:c>
      <x:c r="G8" s="56" t="n">
        <x:v>0.6</x:v>
      </x:c>
      <x:c r="H8" s="44" t="n">
        <x:v>20</x:v>
      </x:c>
      <x:c r="I8" s="45" t="str">
        <x:v>six protected cartridges, clamp kits and support rail inside one restraint frame</x:v>
      </x:c>
      <x:c r="J8" s="44" t="str">
        <x:v>TRANSPORT</x:v>
      </x:c>
    </x:row>
    <x:row r="9" ht="40" customHeight="1">
      <x:c r="B9" s="44" t="str">
        <x:v>ST-03</x:v>
      </x:c>
      <x:c r="C9" s="44" t="str">
        <x:v>BL-X</x:v>
      </x:c>
      <x:c r="D9" s="44" t="str">
        <x:v>deployed reference</x:v>
      </x:c>
      <x:c r="E9" s="56" t="n">
        <x:v>12</x:v>
      </x:c>
      <x:c r="F9" s="56" t="n">
        <x:v>1.6</x:v>
      </x:c>
      <x:c r="G9" s="56" t="n">
        <x:v>0.6</x:v>
      </x:c>
      <x:c r="H9" s="44" t="n">
        <x:v>20</x:v>
      </x:c>
      <x:c r="I9" s="45" t="str">
        <x:v>five permanent girth joints; midpoint saddle fixed; other saddles slide</x:v>
      </x:c>
      <x:c r="J9" s="44" t="str">
        <x:v>DEFINED</x:v>
      </x:c>
    </x:row>
    <x:row r="10" ht="40" customHeight="1">
      <x:c r="B10" s="44" t="str">
        <x:v>ST-04</x:v>
      </x:c>
      <x:c r="C10" s="44" t="str">
        <x:v>BL-Y</x:v>
      </x:c>
      <x:c r="D10" s="44" t="str">
        <x:v>deployed reference</x:v>
      </x:c>
      <x:c r="E10" s="56" t="n">
        <x:v>12</x:v>
      </x:c>
      <x:c r="F10" s="56" t="n">
        <x:v>1.6</x:v>
      </x:c>
      <x:c r="G10" s="56" t="n">
        <x:v>0.6</x:v>
      </x:c>
      <x:c r="H10" s="44" t="n">
        <x:v>20</x:v>
      </x:c>
      <x:c r="I10" s="45" t="str">
        <x:v>five reusable double-barrier joints; midpoint saddle fixed; other saddles slide</x:v>
      </x:c>
      <x:c r="J10" s="44" t="str">
        <x:v>DEFINED</x:v>
      </x:c>
    </x:row>
    <x:row r="11" ht="40" customHeight="1">
      <x:c r="B11" s="44" t="str">
        <x:v>ST-05</x:v>
      </x:c>
      <x:c r="C11" s="44" t="str">
        <x:v>BL-X</x:v>
      </x:c>
      <x:c r="D11" s="44" t="str">
        <x:v>deployed cold</x:v>
      </x:c>
      <x:c r="E11" s="56" t="n">
        <x:f>'Controls'!$D$14*(1+'Controls'!$D$26*(H11-'Controls'!$D$23))</x:f>
        <x:v>11.99232</x:v>
      </x:c>
      <x:c r="F11" s="56" t="n">
        <x:v>1.6</x:v>
      </x:c>
      <x:c r="G11" s="56" t="n">
        <x:v>0.6</x:v>
      </x:c>
      <x:c r="H11" s="44" t="n">
        <x:v>-20</x:v>
      </x:c>
      <x:c r="I11" s="45" t="str">
        <x:v>calculated free length before restraint</x:v>
      </x:c>
      <x:c r="J11" s="44" t="str">
        <x:v>CALCULATED</x:v>
      </x:c>
    </x:row>
    <x:row r="12" ht="40" customHeight="1">
      <x:c r="B12" s="44" t="str">
        <x:v>ST-06</x:v>
      </x:c>
      <x:c r="C12" s="44" t="str">
        <x:v>BL-X</x:v>
      </x:c>
      <x:c r="D12" s="44" t="str">
        <x:v>deployed hot</x:v>
      </x:c>
      <x:c r="E12" s="56" t="n">
        <x:f>'Controls'!$D$14*(1+'Controls'!$D$26*(H12-'Controls'!$D$23))</x:f>
        <x:v>12.00576</x:v>
      </x:c>
      <x:c r="F12" s="56" t="n">
        <x:v>1.6</x:v>
      </x:c>
      <x:c r="G12" s="56" t="n">
        <x:v>0.6</x:v>
      </x:c>
      <x:c r="H12" s="44" t="n">
        <x:v>50</x:v>
      </x:c>
      <x:c r="I12" s="45" t="str">
        <x:v>calculated free length before restraint</x:v>
      </x:c>
      <x:c r="J12" s="44" t="str">
        <x:v>CALCULATED</x:v>
      </x:c>
    </x:row>
    <x:row r="13" ht="40" customHeight="1">
      <x:c r="B13" s="44" t="str">
        <x:v>ST-07</x:v>
      </x:c>
      <x:c r="C13" s="44" t="str">
        <x:v>BL-Y</x:v>
      </x:c>
      <x:c r="D13" s="44" t="str">
        <x:v>deployed cold</x:v>
      </x:c>
      <x:c r="E13" s="56" t="n">
        <x:f>'Controls'!$D$14*(1+'Controls'!$D$27*(H13-'Controls'!$D$23))</x:f>
        <x:v>11.99376</x:v>
      </x:c>
      <x:c r="F13" s="56" t="n">
        <x:v>1.6</x:v>
      </x:c>
      <x:c r="G13" s="56" t="n">
        <x:v>0.6</x:v>
      </x:c>
      <x:c r="H13" s="44" t="n">
        <x:v>-20</x:v>
      </x:c>
      <x:c r="I13" s="45" t="str">
        <x:v>calculated free length before restraint</x:v>
      </x:c>
      <x:c r="J13" s="44" t="str">
        <x:v>CALCULATED</x:v>
      </x:c>
    </x:row>
    <x:row r="14" ht="40" customHeight="1">
      <x:c r="B14" s="44" t="str">
        <x:v>ST-08</x:v>
      </x:c>
      <x:c r="C14" s="44" t="str">
        <x:v>BL-Y</x:v>
      </x:c>
      <x:c r="D14" s="44" t="str">
        <x:v>deployed hot</x:v>
      </x:c>
      <x:c r="E14" s="56" t="n">
        <x:f>'Controls'!$D$14*(1+'Controls'!$D$27*(H14-'Controls'!$D$23))</x:f>
        <x:v>12.004679999999999</x:v>
      </x:c>
      <x:c r="F14" s="56" t="n">
        <x:v>1.6</x:v>
      </x:c>
      <x:c r="G14" s="56" t="n">
        <x:v>0.6</x:v>
      </x:c>
      <x:c r="H14" s="44" t="n">
        <x:v>50</x:v>
      </x:c>
      <x:c r="I14" s="45" t="str">
        <x:v>calculated free length before restraint</x:v>
      </x:c>
      <x:c r="J14" s="44" t="str">
        <x:v>CALCULATED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20" hidden="0" customWidth="1"/>
    <x:col min="8" max="8" width="15" hidden="0" customWidth="1"/>
    <x:col min="9" max="9" width="15" hidden="0" customWidth="1"/>
    <x:col min="10" max="10" width="31" hidden="0" customWidth="1"/>
    <x:col min="11" max="11" width="27" hidden="0" customWidth="1"/>
    <x:col min="12" max="12" width="14" hidden="0" customWidth="1"/>
  </x:cols>
  <x:sheetData>
    <x:row r="2">
      <x:c r="B2" s="41" t="str">
        <x:v>Twelve lineage-specific path modules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B3" s="43" t="str">
        <x:v>Six modules share a 40 mm bore and public stations. Joint and support mechanisms remain lineage-specific.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</x:row>
    <x:row r="6" ht="25" customHeight="1">
      <x:c r="B6" s="6" t="str">
        <x:v>Segment</x:v>
      </x:c>
      <x:c r="C6" s="6" t="str">
        <x:v>Lineage</x:v>
      </x:c>
      <x:c r="D6" s="6" t="str">
        <x:v>Sequence</x:v>
      </x:c>
      <x:c r="E6" s="6" t="str">
        <x:v>Start X m</x:v>
      </x:c>
      <x:c r="F6" s="6" t="str">
        <x:v>End X m</x:v>
      </x:c>
      <x:c r="G6" s="6" t="str">
        <x:v>Reference length m</x:v>
      </x:c>
      <x:c r="H6" s="6" t="str">
        <x:v>Bore m</x:v>
      </x:c>
      <x:c r="I6" s="6" t="str">
        <x:v>Wall m</x:v>
      </x:c>
      <x:c r="J6" s="6" t="str">
        <x:v>End preparation</x:v>
      </x:c>
      <x:c r="K6" s="6" t="str">
        <x:v>Support condition</x:v>
      </x:c>
      <x:c r="L6" s="6" t="str">
        <x:v>State</x:v>
      </x:c>
    </x:row>
    <x:row r="7" ht="36" customHeight="1">
      <x:c r="B7" s="44" t="str">
        <x:v>BL-X-SEG-1</x:v>
      </x:c>
      <x:c r="C7" s="44" t="str">
        <x:v>BL-X</x:v>
      </x:c>
      <x:c r="D7" s="44" t="n">
        <x:v>1</x:v>
      </x:c>
      <x:c r="E7" s="56" t="n">
        <x:v>0</x:v>
      </x:c>
      <x:c r="F7" s="56" t="n">
        <x:v>2</x:v>
      </x:c>
      <x:c r="G7" s="56" t="n">
        <x:v>2</x:v>
      </x:c>
      <x:c r="H7" s="56" t="n">
        <x:v>0.04</x:v>
      </x:c>
      <x:c r="I7" s="56" t="n">
        <x:v>0.002</x:v>
      </x:c>
      <x:c r="J7" s="45" t="str">
        <x:v>orbital-welded ends</x:v>
      </x:c>
      <x:c r="K7" s="45" t="str">
        <x:v>sliding saddle</x:v>
      </x:c>
      <x:c r="L7" s="44" t="str">
        <x:v>OPEN</x:v>
      </x:c>
    </x:row>
    <x:row r="8" ht="36" customHeight="1">
      <x:c r="B8" s="44" t="str">
        <x:v>BL-X-SEG-2</x:v>
      </x:c>
      <x:c r="C8" s="44" t="str">
        <x:v>BL-X</x:v>
      </x:c>
      <x:c r="D8" s="44" t="n">
        <x:v>2</x:v>
      </x:c>
      <x:c r="E8" s="56" t="n">
        <x:v>2</x:v>
      </x:c>
      <x:c r="F8" s="56" t="n">
        <x:v>4</x:v>
      </x:c>
      <x:c r="G8" s="56" t="n">
        <x:v>2</x:v>
      </x:c>
      <x:c r="H8" s="56" t="n">
        <x:v>0.04</x:v>
      </x:c>
      <x:c r="I8" s="56" t="n">
        <x:v>0.002</x:v>
      </x:c>
      <x:c r="J8" s="45" t="str">
        <x:v>orbital-welded ends</x:v>
      </x:c>
      <x:c r="K8" s="45" t="str">
        <x:v>sliding saddle</x:v>
      </x:c>
      <x:c r="L8" s="44" t="str">
        <x:v>OPEN</x:v>
      </x:c>
    </x:row>
    <x:row r="9" ht="36" customHeight="1">
      <x:c r="B9" s="44" t="str">
        <x:v>BL-X-SEG-3</x:v>
      </x:c>
      <x:c r="C9" s="44" t="str">
        <x:v>BL-X</x:v>
      </x:c>
      <x:c r="D9" s="44" t="n">
        <x:v>3</x:v>
      </x:c>
      <x:c r="E9" s="56" t="n">
        <x:v>4</x:v>
      </x:c>
      <x:c r="F9" s="56" t="n">
        <x:v>6</x:v>
      </x:c>
      <x:c r="G9" s="56" t="n">
        <x:v>2</x:v>
      </x:c>
      <x:c r="H9" s="56" t="n">
        <x:v>0.04</x:v>
      </x:c>
      <x:c r="I9" s="56" t="n">
        <x:v>0.002</x:v>
      </x:c>
      <x:c r="J9" s="45" t="str">
        <x:v>orbital-welded ends</x:v>
      </x:c>
      <x:c r="K9" s="45" t="str">
        <x:v>fixed midpoint saddle</x:v>
      </x:c>
      <x:c r="L9" s="44" t="str">
        <x:v>OPEN</x:v>
      </x:c>
    </x:row>
    <x:row r="10" ht="36" customHeight="1">
      <x:c r="B10" s="44" t="str">
        <x:v>BL-X-SEG-4</x:v>
      </x:c>
      <x:c r="C10" s="44" t="str">
        <x:v>BL-X</x:v>
      </x:c>
      <x:c r="D10" s="44" t="n">
        <x:v>4</x:v>
      </x:c>
      <x:c r="E10" s="56" t="n">
        <x:v>6</x:v>
      </x:c>
      <x:c r="F10" s="56" t="n">
        <x:v>8</x:v>
      </x:c>
      <x:c r="G10" s="56" t="n">
        <x:v>2</x:v>
      </x:c>
      <x:c r="H10" s="56" t="n">
        <x:v>0.04</x:v>
      </x:c>
      <x:c r="I10" s="56" t="n">
        <x:v>0.002</x:v>
      </x:c>
      <x:c r="J10" s="45" t="str">
        <x:v>orbital-welded ends</x:v>
      </x:c>
      <x:c r="K10" s="45" t="str">
        <x:v>sliding saddle</x:v>
      </x:c>
      <x:c r="L10" s="44" t="str">
        <x:v>OPEN</x:v>
      </x:c>
    </x:row>
    <x:row r="11" ht="36" customHeight="1">
      <x:c r="B11" s="44" t="str">
        <x:v>BL-X-SEG-5</x:v>
      </x:c>
      <x:c r="C11" s="44" t="str">
        <x:v>BL-X</x:v>
      </x:c>
      <x:c r="D11" s="44" t="n">
        <x:v>5</x:v>
      </x:c>
      <x:c r="E11" s="56" t="n">
        <x:v>8</x:v>
      </x:c>
      <x:c r="F11" s="56" t="n">
        <x:v>10</x:v>
      </x:c>
      <x:c r="G11" s="56" t="n">
        <x:v>2</x:v>
      </x:c>
      <x:c r="H11" s="56" t="n">
        <x:v>0.04</x:v>
      </x:c>
      <x:c r="I11" s="56" t="n">
        <x:v>0.002</x:v>
      </x:c>
      <x:c r="J11" s="45" t="str">
        <x:v>orbital-welded ends</x:v>
      </x:c>
      <x:c r="K11" s="45" t="str">
        <x:v>sliding saddle</x:v>
      </x:c>
      <x:c r="L11" s="44" t="str">
        <x:v>OPEN</x:v>
      </x:c>
    </x:row>
    <x:row r="12" ht="36" customHeight="1">
      <x:c r="B12" s="44" t="str">
        <x:v>BL-X-SEG-6</x:v>
      </x:c>
      <x:c r="C12" s="44" t="str">
        <x:v>BL-X</x:v>
      </x:c>
      <x:c r="D12" s="44" t="n">
        <x:v>6</x:v>
      </x:c>
      <x:c r="E12" s="56" t="n">
        <x:v>10</x:v>
      </x:c>
      <x:c r="F12" s="56" t="n">
        <x:v>12</x:v>
      </x:c>
      <x:c r="G12" s="56" t="n">
        <x:v>2</x:v>
      </x:c>
      <x:c r="H12" s="56" t="n">
        <x:v>0.04</x:v>
      </x:c>
      <x:c r="I12" s="56" t="n">
        <x:v>0.002</x:v>
      </x:c>
      <x:c r="J12" s="45" t="str">
        <x:v>orbital-welded ends</x:v>
      </x:c>
      <x:c r="K12" s="45" t="str">
        <x:v>sliding saddle</x:v>
      </x:c>
      <x:c r="L12" s="44" t="str">
        <x:v>OPEN</x:v>
      </x:c>
    </x:row>
    <x:row r="13" ht="36" customHeight="1">
      <x:c r="B13" s="44" t="str">
        <x:v>BL-Y-SEG-1</x:v>
      </x:c>
      <x:c r="C13" s="44" t="str">
        <x:v>BL-Y</x:v>
      </x:c>
      <x:c r="D13" s="44" t="n">
        <x:v>1</x:v>
      </x:c>
      <x:c r="E13" s="56" t="n">
        <x:v>0</x:v>
      </x:c>
      <x:c r="F13" s="56" t="n">
        <x:v>2</x:v>
      </x:c>
      <x:c r="G13" s="56" t="n">
        <x:v>2</x:v>
      </x:c>
      <x:c r="H13" s="56" t="n">
        <x:v>0.04</x:v>
      </x:c>
      <x:c r="I13" s="56" t="n">
        <x:v>0.0025</x:v>
      </x:c>
      <x:c r="J13" s="45" t="str">
        <x:v>keyed clamp ends</x:v>
      </x:c>
      <x:c r="K13" s="45" t="str">
        <x:v>sliding saddle</x:v>
      </x:c>
      <x:c r="L13" s="44" t="str">
        <x:v>OPEN</x:v>
      </x:c>
    </x:row>
    <x:row r="14" ht="36" customHeight="1">
      <x:c r="B14" s="44" t="str">
        <x:v>BL-Y-SEG-2</x:v>
      </x:c>
      <x:c r="C14" s="44" t="str">
        <x:v>BL-Y</x:v>
      </x:c>
      <x:c r="D14" s="44" t="n">
        <x:v>2</x:v>
      </x:c>
      <x:c r="E14" s="56" t="n">
        <x:v>2</x:v>
      </x:c>
      <x:c r="F14" s="56" t="n">
        <x:v>4</x:v>
      </x:c>
      <x:c r="G14" s="56" t="n">
        <x:v>2</x:v>
      </x:c>
      <x:c r="H14" s="56" t="n">
        <x:v>0.04</x:v>
      </x:c>
      <x:c r="I14" s="56" t="n">
        <x:v>0.0025</x:v>
      </x:c>
      <x:c r="J14" s="45" t="str">
        <x:v>keyed clamp ends</x:v>
      </x:c>
      <x:c r="K14" s="45" t="str">
        <x:v>sliding saddle</x:v>
      </x:c>
      <x:c r="L14" s="44" t="str">
        <x:v>OPEN</x:v>
      </x:c>
    </x:row>
    <x:row r="15" ht="36" customHeight="1">
      <x:c r="B15" s="44" t="str">
        <x:v>BL-Y-SEG-3</x:v>
      </x:c>
      <x:c r="C15" s="44" t="str">
        <x:v>BL-Y</x:v>
      </x:c>
      <x:c r="D15" s="44" t="n">
        <x:v>3</x:v>
      </x:c>
      <x:c r="E15" s="56" t="n">
        <x:v>4</x:v>
      </x:c>
      <x:c r="F15" s="56" t="n">
        <x:v>6</x:v>
      </x:c>
      <x:c r="G15" s="56" t="n">
        <x:v>2</x:v>
      </x:c>
      <x:c r="H15" s="56" t="n">
        <x:v>0.04</x:v>
      </x:c>
      <x:c r="I15" s="56" t="n">
        <x:v>0.0025</x:v>
      </x:c>
      <x:c r="J15" s="45" t="str">
        <x:v>keyed clamp ends</x:v>
      </x:c>
      <x:c r="K15" s="45" t="str">
        <x:v>fixed midpoint saddle</x:v>
      </x:c>
      <x:c r="L15" s="44" t="str">
        <x:v>OPEN</x:v>
      </x:c>
    </x:row>
    <x:row r="16" ht="36" customHeight="1">
      <x:c r="B16" s="44" t="str">
        <x:v>BL-Y-SEG-4</x:v>
      </x:c>
      <x:c r="C16" s="44" t="str">
        <x:v>BL-Y</x:v>
      </x:c>
      <x:c r="D16" s="44" t="n">
        <x:v>4</x:v>
      </x:c>
      <x:c r="E16" s="56" t="n">
        <x:v>6</x:v>
      </x:c>
      <x:c r="F16" s="56" t="n">
        <x:v>8</x:v>
      </x:c>
      <x:c r="G16" s="56" t="n">
        <x:v>2</x:v>
      </x:c>
      <x:c r="H16" s="56" t="n">
        <x:v>0.04</x:v>
      </x:c>
      <x:c r="I16" s="56" t="n">
        <x:v>0.0025</x:v>
      </x:c>
      <x:c r="J16" s="45" t="str">
        <x:v>keyed clamp ends</x:v>
      </x:c>
      <x:c r="K16" s="45" t="str">
        <x:v>sliding saddle</x:v>
      </x:c>
      <x:c r="L16" s="44" t="str">
        <x:v>OPEN</x:v>
      </x:c>
    </x:row>
    <x:row r="17" ht="36" customHeight="1">
      <x:c r="B17" s="44" t="str">
        <x:v>BL-Y-SEG-5</x:v>
      </x:c>
      <x:c r="C17" s="44" t="str">
        <x:v>BL-Y</x:v>
      </x:c>
      <x:c r="D17" s="44" t="n">
        <x:v>5</x:v>
      </x:c>
      <x:c r="E17" s="56" t="n">
        <x:v>8</x:v>
      </x:c>
      <x:c r="F17" s="56" t="n">
        <x:v>10</x:v>
      </x:c>
      <x:c r="G17" s="56" t="n">
        <x:v>2</x:v>
      </x:c>
      <x:c r="H17" s="56" t="n">
        <x:v>0.04</x:v>
      </x:c>
      <x:c r="I17" s="56" t="n">
        <x:v>0.0025</x:v>
      </x:c>
      <x:c r="J17" s="45" t="str">
        <x:v>keyed clamp ends</x:v>
      </x:c>
      <x:c r="K17" s="45" t="str">
        <x:v>sliding saddle</x:v>
      </x:c>
      <x:c r="L17" s="44" t="str">
        <x:v>OPEN</x:v>
      </x:c>
    </x:row>
    <x:row r="18" ht="36" customHeight="1">
      <x:c r="B18" s="44" t="str">
        <x:v>BL-Y-SEG-6</x:v>
      </x:c>
      <x:c r="C18" s="44" t="str">
        <x:v>BL-Y</x:v>
      </x:c>
      <x:c r="D18" s="44" t="n">
        <x:v>6</x:v>
      </x:c>
      <x:c r="E18" s="56" t="n">
        <x:v>10</x:v>
      </x:c>
      <x:c r="F18" s="56" t="n">
        <x:v>12</x:v>
      </x:c>
      <x:c r="G18" s="56" t="n">
        <x:v>2</x:v>
      </x:c>
      <x:c r="H18" s="56" t="n">
        <x:v>0.04</x:v>
      </x:c>
      <x:c r="I18" s="56" t="n">
        <x:v>0.0025</x:v>
      </x:c>
      <x:c r="J18" s="45" t="str">
        <x:v>keyed clamp ends</x:v>
      </x:c>
      <x:c r="K18" s="45" t="str">
        <x:v>sliding saddle</x:v>
      </x:c>
      <x:c r="L18" s="44" t="str">
        <x:v>OPEN</x:v>
      </x:c>
    </x:row>
  </x:sheetData>
  <x:conditionalFormatting sqref="L7:L18">
    <x:cfRule type="containsText" dxfId="5" priority="1" operator="containsText" text="FAIL"/>
    <x:cfRule type="containsText" dxfId="6" priority="2" operator="containsText" text="BLOCKED"/>
    <x:cfRule type="containsText" dxfId="7" priority="3" operator="containsText" text="OPEN"/>
    <x:cfRule type="containsText" dxfId="8" priority="4" operator="containsText" text="PASS"/>
    <x:cfRule type="containsText" dxfId="9" priority="5" operator="containsText" text="PLANN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7" hidden="0" customWidth="1"/>
    <x:col min="3" max="3" width="12" hidden="0" customWidth="1"/>
    <x:col min="4" max="4" width="61" hidden="0" customWidth="1"/>
    <x:col min="5" max="5" width="14" hidden="0" customWidth="1"/>
    <x:col min="6" max="6" width="12" hidden="0" customWidth="1"/>
    <x:col min="7" max="7" width="25" hidden="0" customWidth="1"/>
    <x:col min="8" max="8" width="53" hidden="0" customWidth="1"/>
    <x:col min="9" max="9" width="25" hidden="0" customWidth="1"/>
    <x:col min="10" max="10" width="20" hidden="0" customWidth="1"/>
    <x:col min="11" max="11" width="14" hidden="0" customWidth="1"/>
  </x:cols>
  <x:sheetData>
    <x:row r="2">
      <x:c r="B2" s="41" t="str">
        <x:v>Ninety-six controlled drawing sheets</x:v>
      </x:c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B3" s="43" t="str">
        <x:v>Each sheet carries one revision identity and an effect class. Registration alone does not issue it for fabrication.</x:v>
      </x:c>
      <x:c r="C3" s="42"/>
      <x:c r="D3" s="42"/>
      <x:c r="E3" s="42"/>
      <x:c r="F3" s="42"/>
      <x:c r="G3" s="42"/>
      <x:c r="H3" s="42"/>
      <x:c r="I3" s="42"/>
      <x:c r="J3" s="42"/>
      <x:c r="K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</x:row>
    <x:row r="6" ht="25" customHeight="1">
      <x:c r="B6" s="6" t="str">
        <x:v>Drawing</x:v>
      </x:c>
      <x:c r="C6" s="6" t="str">
        <x:v>Set</x:v>
      </x:c>
      <x:c r="D6" s="6" t="str">
        <x:v>Title</x:v>
      </x:c>
      <x:c r="E6" s="6" t="str">
        <x:v>Lineage</x:v>
      </x:c>
      <x:c r="F6" s="6" t="str">
        <x:v>Sheet</x:v>
      </x:c>
      <x:c r="G6" s="6" t="str">
        <x:v>Change law</x:v>
      </x:c>
      <x:c r="H6" s="6" t="str">
        <x:v>Critical content</x:v>
      </x:c>
      <x:c r="I6" s="6" t="str">
        <x:v>Owner</x:v>
      </x:c>
      <x:c r="J6" s="6" t="str">
        <x:v>Accepted UTC</x:v>
      </x:c>
      <x:c r="K6" s="6" t="str">
        <x:v>State</x:v>
      </x:c>
    </x:row>
    <x:row r="7" ht="38" customHeight="1">
      <x:c r="B7" s="44" t="str">
        <x:v>RAC-S0-01</x:v>
      </x:c>
      <x:c r="C7" s="44" t="str">
        <x:v>S0</x:v>
      </x:c>
      <x:c r="D7" s="45" t="str">
        <x:v>authority matrix</x:v>
      </x:c>
      <x:c r="E7" s="44" t="str">
        <x:v>COMMON</x:v>
      </x:c>
      <x:c r="F7" s="44" t="n">
        <x:v>1</x:v>
      </x:c>
      <x:c r="G7" s="45" t="str">
        <x:v>major/minor by effect</x:v>
      </x:c>
      <x:c r="H7" s="45" t="str">
        <x:v>geometry, interface, material, process or witness</x:v>
      </x:c>
      <x:c r="I7" s="44" t="str">
        <x:v>configuration authority</x:v>
      </x:c>
      <x:c r="J7" s="44" t="str"/>
      <x:c r="K7" s="44" t="str">
        <x:f>IF(J7="","OPEN","PASS")</x:f>
        <x:v>OPEN</x:v>
      </x:c>
    </x:row>
    <x:row r="8" ht="38" customHeight="1">
      <x:c r="B8" s="44" t="str">
        <x:v>RAC-S0-02</x:v>
      </x:c>
      <x:c r="C8" s="44" t="str">
        <x:v>S0</x:v>
      </x:c>
      <x:c r="D8" s="45" t="str">
        <x:v>configuration index</x:v>
      </x:c>
      <x:c r="E8" s="44" t="str">
        <x:v>COMMON</x:v>
      </x:c>
      <x:c r="F8" s="44" t="n">
        <x:v>2</x:v>
      </x:c>
      <x:c r="G8" s="45" t="str">
        <x:v>major/minor by effect</x:v>
      </x:c>
      <x:c r="H8" s="45" t="str">
        <x:v>geometry, interface, material, process or witness</x:v>
      </x:c>
      <x:c r="I8" s="44" t="str">
        <x:v>configuration authority</x:v>
      </x:c>
      <x:c r="J8" s="44" t="str"/>
      <x:c r="K8" s="44" t="str">
        <x:f>IF(J8="","OPEN","PASS")</x:f>
        <x:v>OPEN</x:v>
      </x:c>
    </x:row>
    <x:row r="9" ht="38" customHeight="1">
      <x:c r="B9" s="44" t="str">
        <x:v>RAC-S0-03</x:v>
      </x:c>
      <x:c r="C9" s="44" t="str">
        <x:v>S0</x:v>
      </x:c>
      <x:c r="D9" s="45" t="str">
        <x:v>public interface control</x:v>
      </x:c>
      <x:c r="E9" s="44" t="str">
        <x:v>COMMON</x:v>
      </x:c>
      <x:c r="F9" s="44" t="n">
        <x:v>3</x:v>
      </x:c>
      <x:c r="G9" s="45" t="str">
        <x:v>major/minor by effect</x:v>
      </x:c>
      <x:c r="H9" s="45" t="str">
        <x:v>geometry, interface, material, process or witness</x:v>
      </x:c>
      <x:c r="I9" s="44" t="str">
        <x:v>configuration authority</x:v>
      </x:c>
      <x:c r="J9" s="44" t="str"/>
      <x:c r="K9" s="44" t="str">
        <x:f>IF(J9="","OPEN","PASS")</x:f>
        <x:v>OPEN</x:v>
      </x:c>
    </x:row>
    <x:row r="10" ht="38" customHeight="1">
      <x:c r="B10" s="44" t="str">
        <x:v>RAC-S0-04</x:v>
      </x:c>
      <x:c r="C10" s="44" t="str">
        <x:v>S0</x:v>
      </x:c>
      <x:c r="D10" s="45" t="str">
        <x:v>physical-state map</x:v>
      </x:c>
      <x:c r="E10" s="44" t="str">
        <x:v>COMMON</x:v>
      </x:c>
      <x:c r="F10" s="44" t="n">
        <x:v>4</x:v>
      </x:c>
      <x:c r="G10" s="45" t="str">
        <x:v>major/minor by effect</x:v>
      </x:c>
      <x:c r="H10" s="45" t="str">
        <x:v>geometry, interface, material, process or witness</x:v>
      </x:c>
      <x:c r="I10" s="44" t="str">
        <x:v>configuration authority</x:v>
      </x:c>
      <x:c r="J10" s="44" t="str"/>
      <x:c r="K10" s="44" t="str">
        <x:f>IF(J10="","OPEN","PASS")</x:f>
        <x:v>OPEN</x:v>
      </x:c>
    </x:row>
    <x:row r="11" ht="38" customHeight="1">
      <x:c r="B11" s="44" t="str">
        <x:v>RAC-S0-05</x:v>
      </x:c>
      <x:c r="C11" s="44" t="str">
        <x:v>S0</x:v>
      </x:c>
      <x:c r="D11" s="45" t="str">
        <x:v>revision-effect law</x:v>
      </x:c>
      <x:c r="E11" s="44" t="str">
        <x:v>COMMON</x:v>
      </x:c>
      <x:c r="F11" s="44" t="n">
        <x:v>5</x:v>
      </x:c>
      <x:c r="G11" s="45" t="str">
        <x:v>major/minor by effect</x:v>
      </x:c>
      <x:c r="H11" s="45" t="str">
        <x:v>geometry, interface, material, process or witness</x:v>
      </x:c>
      <x:c r="I11" s="44" t="str">
        <x:v>configuration authority</x:v>
      </x:c>
      <x:c r="J11" s="44" t="str"/>
      <x:c r="K11" s="44" t="str">
        <x:f>IF(J11="","OPEN","PASS")</x:f>
        <x:v>OPEN</x:v>
      </x:c>
    </x:row>
    <x:row r="12" ht="38" customHeight="1">
      <x:c r="B12" s="44" t="str">
        <x:v>RAC-S0-06</x:v>
      </x:c>
      <x:c r="C12" s="44" t="str">
        <x:v>S0</x:v>
      </x:c>
      <x:c r="D12" s="45" t="str">
        <x:v>source and assumption register</x:v>
      </x:c>
      <x:c r="E12" s="44" t="str">
        <x:v>COMMON</x:v>
      </x:c>
      <x:c r="F12" s="44" t="n">
        <x:v>6</x:v>
      </x:c>
      <x:c r="G12" s="45" t="str">
        <x:v>major/minor by effect</x:v>
      </x:c>
      <x:c r="H12" s="45" t="str">
        <x:v>geometry, interface, material, process or witness</x:v>
      </x:c>
      <x:c r="I12" s="44" t="str">
        <x:v>configuration authority</x:v>
      </x:c>
      <x:c r="J12" s="44" t="str"/>
      <x:c r="K12" s="44" t="str">
        <x:f>IF(J12="","OPEN","PASS")</x:f>
        <x:v>OPEN</x:v>
      </x:c>
    </x:row>
    <x:row r="13" ht="38" customHeight="1">
      <x:c r="B13" s="44" t="str">
        <x:v>RAC-S0-07</x:v>
      </x:c>
      <x:c r="C13" s="44" t="str">
        <x:v>S0</x:v>
      </x:c>
      <x:c r="D13" s="45" t="str">
        <x:v>verification cross-reference</x:v>
      </x:c>
      <x:c r="E13" s="44" t="str">
        <x:v>COMMON</x:v>
      </x:c>
      <x:c r="F13" s="44" t="n">
        <x:v>7</x:v>
      </x:c>
      <x:c r="G13" s="45" t="str">
        <x:v>major/minor by effect</x:v>
      </x:c>
      <x:c r="H13" s="45" t="str">
        <x:v>geometry, interface, material, process or witness</x:v>
      </x:c>
      <x:c r="I13" s="44" t="str">
        <x:v>configuration authority</x:v>
      </x:c>
      <x:c r="J13" s="44" t="str"/>
      <x:c r="K13" s="44" t="str">
        <x:f>IF(J13="","OPEN","PASS")</x:f>
        <x:v>OPEN</x:v>
      </x:c>
    </x:row>
    <x:row r="14" ht="38" customHeight="1">
      <x:c r="B14" s="44" t="str">
        <x:v>RAC-S0-08</x:v>
      </x:c>
      <x:c r="C14" s="44" t="str">
        <x:v>S0</x:v>
      </x:c>
      <x:c r="D14" s="45" t="str">
        <x:v>release certificate</x:v>
      </x:c>
      <x:c r="E14" s="44" t="str">
        <x:v>COMMON</x:v>
      </x:c>
      <x:c r="F14" s="44" t="n">
        <x:v>8</x:v>
      </x:c>
      <x:c r="G14" s="45" t="str">
        <x:v>major/minor by effect</x:v>
      </x:c>
      <x:c r="H14" s="45" t="str">
        <x:v>geometry, interface, material, process or witness</x:v>
      </x:c>
      <x:c r="I14" s="44" t="str">
        <x:v>configuration authority</x:v>
      </x:c>
      <x:c r="J14" s="44" t="str"/>
      <x:c r="K14" s="44" t="str">
        <x:f>IF(J14="","OPEN","PASS")</x:f>
        <x:v>OPEN</x:v>
      </x:c>
    </x:row>
    <x:row r="15" ht="38" customHeight="1">
      <x:c r="B15" s="44" t="str">
        <x:v>RAC-S1-01</x:v>
      </x:c>
      <x:c r="C15" s="44" t="str">
        <x:v>S1</x:v>
      </x:c>
      <x:c r="D15" s="45" t="str">
        <x:v>stowed general arrangement</x:v>
      </x:c>
      <x:c r="E15" s="44" t="str">
        <x:v>COMMON</x:v>
      </x:c>
      <x:c r="F15" s="44" t="n">
        <x:v>1</x:v>
      </x:c>
      <x:c r="G15" s="45" t="str">
        <x:v>major/minor by effect</x:v>
      </x:c>
      <x:c r="H15" s="45" t="str">
        <x:v>geometry, interface, material, process or witness</x:v>
      </x:c>
      <x:c r="I15" s="44" t="str">
        <x:v>configuration authority</x:v>
      </x:c>
      <x:c r="J15" s="44" t="str"/>
      <x:c r="K15" s="44" t="str">
        <x:f>IF(J15="","OPEN","PASS")</x:f>
        <x:v>OPEN</x:v>
      </x:c>
    </x:row>
    <x:row r="16" ht="38" customHeight="1">
      <x:c r="B16" s="44" t="str">
        <x:v>RAC-S1-02</x:v>
      </x:c>
      <x:c r="C16" s="44" t="str">
        <x:v>S1</x:v>
      </x:c>
      <x:c r="D16" s="45" t="str">
        <x:v>deployed general arrangement</x:v>
      </x:c>
      <x:c r="E16" s="44" t="str">
        <x:v>COMMON</x:v>
      </x:c>
      <x:c r="F16" s="44" t="n">
        <x:v>2</x:v>
      </x:c>
      <x:c r="G16" s="45" t="str">
        <x:v>major/minor by effect</x:v>
      </x:c>
      <x:c r="H16" s="45" t="str">
        <x:v>geometry, interface, material, process or witness</x:v>
      </x:c>
      <x:c r="I16" s="44" t="str">
        <x:v>configuration authority</x:v>
      </x:c>
      <x:c r="J16" s="44" t="str"/>
      <x:c r="K16" s="44" t="str">
        <x:f>IF(J16="","OPEN","PASS")</x:f>
        <x:v>OPEN</x:v>
      </x:c>
    </x:row>
    <x:row r="17" ht="38" customHeight="1">
      <x:c r="B17" s="44" t="str">
        <x:v>RAC-S1-03</x:v>
      </x:c>
      <x:c r="C17" s="44" t="str">
        <x:v>S1</x:v>
      </x:c>
      <x:c r="D17" s="45" t="str">
        <x:v>coordinate and datum definition</x:v>
      </x:c>
      <x:c r="E17" s="44" t="str">
        <x:v>COMMON</x:v>
      </x:c>
      <x:c r="F17" s="44" t="n">
        <x:v>3</x:v>
      </x:c>
      <x:c r="G17" s="45" t="str">
        <x:v>major/minor by effect</x:v>
      </x:c>
      <x:c r="H17" s="45" t="str">
        <x:v>geometry, interface, material, process or witness</x:v>
      </x:c>
      <x:c r="I17" s="44" t="str">
        <x:v>configuration authority</x:v>
      </x:c>
      <x:c r="J17" s="44" t="str"/>
      <x:c r="K17" s="44" t="str">
        <x:f>IF(J17="","OPEN","PASS")</x:f>
        <x:v>OPEN</x:v>
      </x:c>
    </x:row>
    <x:row r="18" ht="38" customHeight="1">
      <x:c r="B18" s="44" t="str">
        <x:v>RAC-S1-04</x:v>
      </x:c>
      <x:c r="C18" s="44" t="str">
        <x:v>S1</x:v>
      </x:c>
      <x:c r="D18" s="45" t="str">
        <x:v>module packing and extraction</x:v>
      </x:c>
      <x:c r="E18" s="44" t="str">
        <x:v>COMMON</x:v>
      </x:c>
      <x:c r="F18" s="44" t="n">
        <x:v>4</x:v>
      </x:c>
      <x:c r="G18" s="45" t="str">
        <x:v>major/minor by effect</x:v>
      </x:c>
      <x:c r="H18" s="45" t="str">
        <x:v>geometry, interface, material, process or witness</x:v>
      </x:c>
      <x:c r="I18" s="44" t="str">
        <x:v>configuration authority</x:v>
      </x:c>
      <x:c r="J18" s="44" t="str"/>
      <x:c r="K18" s="44" t="str">
        <x:f>IF(J18="","OPEN","PASS")</x:f>
        <x:v>OPEN</x:v>
      </x:c>
    </x:row>
    <x:row r="19" ht="38" customHeight="1">
      <x:c r="B19" s="44" t="str">
        <x:v>RAC-S1-05</x:v>
      </x:c>
      <x:c r="C19" s="44" t="str">
        <x:v>S1</x:v>
      </x:c>
      <x:c r="D19" s="45" t="str">
        <x:v>six-saddle station layout</x:v>
      </x:c>
      <x:c r="E19" s="44" t="str">
        <x:v>COMMON</x:v>
      </x:c>
      <x:c r="F19" s="44" t="n">
        <x:v>5</x:v>
      </x:c>
      <x:c r="G19" s="45" t="str">
        <x:v>major/minor by effect</x:v>
      </x:c>
      <x:c r="H19" s="45" t="str">
        <x:v>geometry, interface, material, process or witness</x:v>
      </x:c>
      <x:c r="I19" s="44" t="str">
        <x:v>configuration authority</x:v>
      </x:c>
      <x:c r="J19" s="44" t="str"/>
      <x:c r="K19" s="44" t="str">
        <x:f>IF(J19="","OPEN","PASS")</x:f>
        <x:v>OPEN</x:v>
      </x:c>
    </x:row>
    <x:row r="20" ht="38" customHeight="1">
      <x:c r="B20" s="44" t="str">
        <x:v>RAC-S1-06</x:v>
      </x:c>
      <x:c r="C20" s="44" t="str">
        <x:v>S1</x:v>
      </x:c>
      <x:c r="D20" s="45" t="str">
        <x:v>fixed and sliding support detail</x:v>
      </x:c>
      <x:c r="E20" s="44" t="str">
        <x:v>COMMON</x:v>
      </x:c>
      <x:c r="F20" s="44" t="n">
        <x:v>6</x:v>
      </x:c>
      <x:c r="G20" s="45" t="str">
        <x:v>major/minor by effect</x:v>
      </x:c>
      <x:c r="H20" s="45" t="str">
        <x:v>geometry, interface, material, process or witness</x:v>
      </x:c>
      <x:c r="I20" s="44" t="str">
        <x:v>configuration authority</x:v>
      </x:c>
      <x:c r="J20" s="44" t="str"/>
      <x:c r="K20" s="44" t="str">
        <x:f>IF(J20="","OPEN","PASS")</x:f>
        <x:v>OPEN</x:v>
      </x:c>
    </x:row>
    <x:row r="21" ht="38" customHeight="1">
      <x:c r="B21" s="44" t="str">
        <x:v>RAC-S1-07</x:v>
      </x:c>
      <x:c r="C21" s="44" t="str">
        <x:v>S1</x:v>
      </x:c>
      <x:c r="D21" s="45" t="str">
        <x:v>lift and restraint coordinates</x:v>
      </x:c>
      <x:c r="E21" s="44" t="str">
        <x:v>COMMON</x:v>
      </x:c>
      <x:c r="F21" s="44" t="n">
        <x:v>7</x:v>
      </x:c>
      <x:c r="G21" s="45" t="str">
        <x:v>major/minor by effect</x:v>
      </x:c>
      <x:c r="H21" s="45" t="str">
        <x:v>geometry, interface, material, process or witness</x:v>
      </x:c>
      <x:c r="I21" s="44" t="str">
        <x:v>configuration authority</x:v>
      </x:c>
      <x:c r="J21" s="44" t="str"/>
      <x:c r="K21" s="44" t="str">
        <x:f>IF(J21="","OPEN","PASS")</x:f>
        <x:v>OPEN</x:v>
      </x:c>
    </x:row>
    <x:row r="22" ht="38" customHeight="1">
      <x:c r="B22" s="44" t="str">
        <x:v>RAC-S1-08</x:v>
      </x:c>
      <x:c r="C22" s="44" t="str">
        <x:v>S1</x:v>
      </x:c>
      <x:c r="D22" s="45" t="str">
        <x:v>service and cable envelopes</x:v>
      </x:c>
      <x:c r="E22" s="44" t="str">
        <x:v>COMMON</x:v>
      </x:c>
      <x:c r="F22" s="44" t="n">
        <x:v>8</x:v>
      </x:c>
      <x:c r="G22" s="45" t="str">
        <x:v>major/minor by effect</x:v>
      </x:c>
      <x:c r="H22" s="45" t="str">
        <x:v>geometry, interface, material, process or witness</x:v>
      </x:c>
      <x:c r="I22" s="44" t="str">
        <x:v>configuration authority</x:v>
      </x:c>
      <x:c r="J22" s="44" t="str"/>
      <x:c r="K22" s="44" t="str">
        <x:f>IF(J22="","OPEN","PASS")</x:f>
        <x:v>OPEN</x:v>
      </x:c>
    </x:row>
    <x:row r="23" ht="38" customHeight="1">
      <x:c r="B23" s="44" t="str">
        <x:v>RAC-S1-09</x:v>
      </x:c>
      <x:c r="C23" s="44" t="str">
        <x:v>S1</x:v>
      </x:c>
      <x:c r="D23" s="45" t="str">
        <x:v>manual and rescue access volumes</x:v>
      </x:c>
      <x:c r="E23" s="44" t="str">
        <x:v>COMMON</x:v>
      </x:c>
      <x:c r="F23" s="44" t="n">
        <x:v>9</x:v>
      </x:c>
      <x:c r="G23" s="45" t="str">
        <x:v>major/minor by effect</x:v>
      </x:c>
      <x:c r="H23" s="45" t="str">
        <x:v>geometry, interface, material, process or witness</x:v>
      </x:c>
      <x:c r="I23" s="44" t="str">
        <x:v>configuration authority</x:v>
      </x:c>
      <x:c r="J23" s="44" t="str"/>
      <x:c r="K23" s="44" t="str">
        <x:f>IF(J23="","OPEN","PASS")</x:f>
        <x:v>OPEN</x:v>
      </x:c>
    </x:row>
    <x:row r="24" ht="38" customHeight="1">
      <x:c r="B24" s="44" t="str">
        <x:v>RAC-S1-10</x:v>
      </x:c>
      <x:c r="C24" s="44" t="str">
        <x:v>S1</x:v>
      </x:c>
      <x:c r="D24" s="45" t="str">
        <x:v>survey targets and monuments</x:v>
      </x:c>
      <x:c r="E24" s="44" t="str">
        <x:v>COMMON</x:v>
      </x:c>
      <x:c r="F24" s="44" t="n">
        <x:v>10</x:v>
      </x:c>
      <x:c r="G24" s="45" t="str">
        <x:v>major/minor by effect</x:v>
      </x:c>
      <x:c r="H24" s="45" t="str">
        <x:v>geometry, interface, material, process or witness</x:v>
      </x:c>
      <x:c r="I24" s="44" t="str">
        <x:v>configuration authority</x:v>
      </x:c>
      <x:c r="J24" s="44" t="str"/>
      <x:c r="K24" s="44" t="str">
        <x:f>IF(J24="","OPEN","PASS")</x:f>
        <x:v>OPEN</x:v>
      </x:c>
    </x:row>
    <x:row r="25" ht="38" customHeight="1">
      <x:c r="B25" s="44" t="str">
        <x:v>RAC-S1-11</x:v>
      </x:c>
      <x:c r="C25" s="44" t="str">
        <x:v>S1</x:v>
      </x:c>
      <x:c r="D25" s="45" t="str">
        <x:v>thermal extreme states</x:v>
      </x:c>
      <x:c r="E25" s="44" t="str">
        <x:v>COMMON</x:v>
      </x:c>
      <x:c r="F25" s="44" t="n">
        <x:v>11</x:v>
      </x:c>
      <x:c r="G25" s="45" t="str">
        <x:v>major/minor by effect</x:v>
      </x:c>
      <x:c r="H25" s="45" t="str">
        <x:v>geometry, interface, material, process or witness</x:v>
      </x:c>
      <x:c r="I25" s="44" t="str">
        <x:v>configuration authority</x:v>
      </x:c>
      <x:c r="J25" s="44" t="str"/>
      <x:c r="K25" s="44" t="str">
        <x:f>IF(J25="","OPEN","PASS")</x:f>
        <x:v>OPEN</x:v>
      </x:c>
    </x:row>
    <x:row r="26" ht="38" customHeight="1">
      <x:c r="B26" s="44" t="str">
        <x:v>RAC-S1-12</x:v>
      </x:c>
      <x:c r="C26" s="44" t="str">
        <x:v>S1</x:v>
      </x:c>
      <x:c r="D26" s="45" t="str">
        <x:v>dimension and characteristic index</x:v>
      </x:c>
      <x:c r="E26" s="44" t="str">
        <x:v>COMMON</x:v>
      </x:c>
      <x:c r="F26" s="44" t="n">
        <x:v>12</x:v>
      </x:c>
      <x:c r="G26" s="45" t="str">
        <x:v>major/minor by effect</x:v>
      </x:c>
      <x:c r="H26" s="45" t="str">
        <x:v>geometry, interface, material, process or witness</x:v>
      </x:c>
      <x:c r="I26" s="44" t="str">
        <x:v>configuration authority</x:v>
      </x:c>
      <x:c r="J26" s="44" t="str"/>
      <x:c r="K26" s="44" t="str">
        <x:f>IF(J26="","OPEN","PASS")</x:f>
        <x:v>OPEN</x:v>
      </x:c>
    </x:row>
    <x:row r="27" ht="38" customHeight="1">
      <x:c r="B27" s="44" t="str">
        <x:v>RAC-S2-01</x:v>
      </x:c>
      <x:c r="C27" s="44" t="str">
        <x:v>S2</x:v>
      </x:c>
      <x:c r="D27" s="45" t="str">
        <x:v>BL-X segment tube</x:v>
      </x:c>
      <x:c r="E27" s="44" t="str">
        <x:v>BL-X</x:v>
      </x:c>
      <x:c r="F27" s="44" t="n">
        <x:v>1</x:v>
      </x:c>
      <x:c r="G27" s="45" t="str">
        <x:v>major/minor by effect</x:v>
      </x:c>
      <x:c r="H27" s="45" t="str">
        <x:v>geometry, interface, material, process or witness</x:v>
      </x:c>
      <x:c r="I27" s="44" t="str">
        <x:v>configuration authority</x:v>
      </x:c>
      <x:c r="J27" s="44" t="str"/>
      <x:c r="K27" s="44" t="str">
        <x:f>IF(J27="","OPEN","PASS")</x:f>
        <x:v>OPEN</x:v>
      </x:c>
    </x:row>
    <x:row r="28" ht="38" customHeight="1">
      <x:c r="B28" s="44" t="str">
        <x:v>RAC-S2-02</x:v>
      </x:c>
      <x:c r="C28" s="44" t="str">
        <x:v>S2</x:v>
      </x:c>
      <x:c r="D28" s="45" t="str">
        <x:v>BL-X orbital joint section</x:v>
      </x:c>
      <x:c r="E28" s="44" t="str">
        <x:v>BL-X</x:v>
      </x:c>
      <x:c r="F28" s="44" t="n">
        <x:v>2</x:v>
      </x:c>
      <x:c r="G28" s="45" t="str">
        <x:v>major/minor by effect</x:v>
      </x:c>
      <x:c r="H28" s="45" t="str">
        <x:v>geometry, interface, material, process or witness</x:v>
      </x:c>
      <x:c r="I28" s="44" t="str">
        <x:v>configuration authority</x:v>
      </x:c>
      <x:c r="J28" s="44" t="str"/>
      <x:c r="K28" s="44" t="str">
        <x:f>IF(J28="","OPEN","PASS")</x:f>
        <x:v>OPEN</x:v>
      </x:c>
    </x:row>
    <x:row r="29" ht="38" customHeight="1">
      <x:c r="B29" s="44" t="str">
        <x:v>RAC-S2-03</x:v>
      </x:c>
      <x:c r="C29" s="44" t="str">
        <x:v>S2</x:v>
      </x:c>
      <x:c r="D29" s="45" t="str">
        <x:v>BL-X weld end preparation</x:v>
      </x:c>
      <x:c r="E29" s="44" t="str">
        <x:v>BL-X</x:v>
      </x:c>
      <x:c r="F29" s="44" t="n">
        <x:v>3</x:v>
      </x:c>
      <x:c r="G29" s="45" t="str">
        <x:v>major/minor by effect</x:v>
      </x:c>
      <x:c r="H29" s="45" t="str">
        <x:v>geometry, interface, material, process or witness</x:v>
      </x:c>
      <x:c r="I29" s="44" t="str">
        <x:v>configuration authority</x:v>
      </x:c>
      <x:c r="J29" s="44" t="str"/>
      <x:c r="K29" s="44" t="str">
        <x:f>IF(J29="","OPEN","PASS")</x:f>
        <x:v>OPEN</x:v>
      </x:c>
    </x:row>
    <x:row r="30" ht="38" customHeight="1">
      <x:c r="B30" s="44" t="str">
        <x:v>RAC-S2-04</x:v>
      </x:c>
      <x:c r="C30" s="44" t="str">
        <x:v>S2</x:v>
      </x:c>
      <x:c r="D30" s="45" t="str">
        <x:v>BL-X instrument-boss weld</x:v>
      </x:c>
      <x:c r="E30" s="44" t="str">
        <x:v>BL-X</x:v>
      </x:c>
      <x:c r="F30" s="44" t="n">
        <x:v>4</x:v>
      </x:c>
      <x:c r="G30" s="45" t="str">
        <x:v>major/minor by effect</x:v>
      </x:c>
      <x:c r="H30" s="45" t="str">
        <x:v>geometry, interface, material, process or witness</x:v>
      </x:c>
      <x:c r="I30" s="44" t="str">
        <x:v>configuration authority</x:v>
      </x:c>
      <x:c r="J30" s="44" t="str"/>
      <x:c r="K30" s="44" t="str">
        <x:f>IF(J30="","OPEN","PASS")</x:f>
        <x:v>OPEN</x:v>
      </x:c>
    </x:row>
    <x:row r="31" ht="38" customHeight="1">
      <x:c r="B31" s="44" t="str">
        <x:v>RAC-S2-05</x:v>
      </x:c>
      <x:c r="C31" s="44" t="str">
        <x:v>S2</x:v>
      </x:c>
      <x:c r="D31" s="45" t="str">
        <x:v>BL-X internal transition limits</x:v>
      </x:c>
      <x:c r="E31" s="44" t="str">
        <x:v>BL-X</x:v>
      </x:c>
      <x:c r="F31" s="44" t="n">
        <x:v>5</x:v>
      </x:c>
      <x:c r="G31" s="45" t="str">
        <x:v>major/minor by effect</x:v>
      </x:c>
      <x:c r="H31" s="45" t="str">
        <x:v>geometry, interface, material, process or witness</x:v>
      </x:c>
      <x:c r="I31" s="44" t="str">
        <x:v>configuration authority</x:v>
      </x:c>
      <x:c r="J31" s="44" t="str"/>
      <x:c r="K31" s="44" t="str">
        <x:f>IF(J31="","OPEN","PASS")</x:f>
        <x:v>OPEN</x:v>
      </x:c>
    </x:row>
    <x:row r="32" ht="38" customHeight="1">
      <x:c r="B32" s="44" t="str">
        <x:v>RAC-S2-06</x:v>
      </x:c>
      <x:c r="C32" s="44" t="str">
        <x:v>S2</x:v>
      </x:c>
      <x:c r="D32" s="45" t="str">
        <x:v>BL-X inspection-robot path</x:v>
      </x:c>
      <x:c r="E32" s="44" t="str">
        <x:v>BL-X</x:v>
      </x:c>
      <x:c r="F32" s="44" t="n">
        <x:v>6</x:v>
      </x:c>
      <x:c r="G32" s="45" t="str">
        <x:v>major/minor by effect</x:v>
      </x:c>
      <x:c r="H32" s="45" t="str">
        <x:v>geometry, interface, material, process or witness</x:v>
      </x:c>
      <x:c r="I32" s="44" t="str">
        <x:v>configuration authority</x:v>
      </x:c>
      <x:c r="J32" s="44" t="str"/>
      <x:c r="K32" s="44" t="str">
        <x:f>IF(J32="","OPEN","PASS")</x:f>
        <x:v>OPEN</x:v>
      </x:c>
    </x:row>
    <x:row r="33" ht="38" customHeight="1">
      <x:c r="B33" s="44" t="str">
        <x:v>RAC-S2-07</x:v>
      </x:c>
      <x:c r="C33" s="44" t="str">
        <x:v>S2</x:v>
      </x:c>
      <x:c r="D33" s="45" t="str">
        <x:v>BL-X post-weld surface recovery</x:v>
      </x:c>
      <x:c r="E33" s="44" t="str">
        <x:v>BL-X</x:v>
      </x:c>
      <x:c r="F33" s="44" t="n">
        <x:v>7</x:v>
      </x:c>
      <x:c r="G33" s="45" t="str">
        <x:v>major/minor by effect</x:v>
      </x:c>
      <x:c r="H33" s="45" t="str">
        <x:v>geometry, interface, material, process or witness</x:v>
      </x:c>
      <x:c r="I33" s="44" t="str">
        <x:v>configuration authority</x:v>
      </x:c>
      <x:c r="J33" s="44" t="str"/>
      <x:c r="K33" s="44" t="str">
        <x:f>IF(J33="","OPEN","PASS")</x:f>
        <x:v>OPEN</x:v>
      </x:c>
    </x:row>
    <x:row r="34" ht="38" customHeight="1">
      <x:c r="B34" s="44" t="str">
        <x:v>RAC-S2-08</x:v>
      </x:c>
      <x:c r="C34" s="44" t="str">
        <x:v>S2</x:v>
      </x:c>
      <x:c r="D34" s="45" t="str">
        <x:v>BL-X six-module assembly</x:v>
      </x:c>
      <x:c r="E34" s="44" t="str">
        <x:v>BL-X</x:v>
      </x:c>
      <x:c r="F34" s="44" t="n">
        <x:v>8</x:v>
      </x:c>
      <x:c r="G34" s="45" t="str">
        <x:v>major/minor by effect</x:v>
      </x:c>
      <x:c r="H34" s="45" t="str">
        <x:v>geometry, interface, material, process or witness</x:v>
      </x:c>
      <x:c r="I34" s="44" t="str">
        <x:v>configuration authority</x:v>
      </x:c>
      <x:c r="J34" s="44" t="str"/>
      <x:c r="K34" s="44" t="str">
        <x:f>IF(J34="","OPEN","PASS")</x:f>
        <x:v>OPEN</x:v>
      </x:c>
    </x:row>
    <x:row r="35" ht="38" customHeight="1">
      <x:c r="B35" s="44" t="str">
        <x:v>RAC-S2-09</x:v>
      </x:c>
      <x:c r="C35" s="44" t="str">
        <x:v>S2</x:v>
      </x:c>
      <x:c r="D35" s="45" t="str">
        <x:v>BL-Y cartridge tube</x:v>
      </x:c>
      <x:c r="E35" s="44" t="str">
        <x:v>BL-Y</x:v>
      </x:c>
      <x:c r="F35" s="44" t="n">
        <x:v>9</x:v>
      </x:c>
      <x:c r="G35" s="45" t="str">
        <x:v>major/minor by effect</x:v>
      </x:c>
      <x:c r="H35" s="45" t="str">
        <x:v>geometry, interface, material, process or witness</x:v>
      </x:c>
      <x:c r="I35" s="44" t="str">
        <x:v>configuration authority</x:v>
      </x:c>
      <x:c r="J35" s="44" t="str"/>
      <x:c r="K35" s="44" t="str">
        <x:f>IF(J35="","OPEN","PASS")</x:f>
        <x:v>OPEN</x:v>
      </x:c>
    </x:row>
    <x:row r="36" ht="38" customHeight="1">
      <x:c r="B36" s="44" t="str">
        <x:v>RAC-S2-10</x:v>
      </x:c>
      <x:c r="C36" s="44" t="str">
        <x:v>S2</x:v>
      </x:c>
      <x:c r="D36" s="45" t="str">
        <x:v>BL-Y double-barrier clamp section</x:v>
      </x:c>
      <x:c r="E36" s="44" t="str">
        <x:v>BL-Y</x:v>
      </x:c>
      <x:c r="F36" s="44" t="n">
        <x:v>10</x:v>
      </x:c>
      <x:c r="G36" s="45" t="str">
        <x:v>major/minor by effect</x:v>
      </x:c>
      <x:c r="H36" s="45" t="str">
        <x:v>geometry, interface, material, process or witness</x:v>
      </x:c>
      <x:c r="I36" s="44" t="str">
        <x:v>configuration authority</x:v>
      </x:c>
      <x:c r="J36" s="44" t="str"/>
      <x:c r="K36" s="44" t="str">
        <x:f>IF(J36="","OPEN","PASS")</x:f>
        <x:v>OPEN</x:v>
      </x:c>
    </x:row>
    <x:row r="37" ht="38" customHeight="1">
      <x:c r="B37" s="44" t="str">
        <x:v>RAC-S2-11</x:v>
      </x:c>
      <x:c r="C37" s="44" t="str">
        <x:v>S2</x:v>
      </x:c>
      <x:c r="D37" s="45" t="str">
        <x:v>BL-Y seal groove and compression</x:v>
      </x:c>
      <x:c r="E37" s="44" t="str">
        <x:v>BL-Y</x:v>
      </x:c>
      <x:c r="F37" s="44" t="n">
        <x:v>11</x:v>
      </x:c>
      <x:c r="G37" s="45" t="str">
        <x:v>major/minor by effect</x:v>
      </x:c>
      <x:c r="H37" s="45" t="str">
        <x:v>geometry, interface, material, process or witness</x:v>
      </x:c>
      <x:c r="I37" s="44" t="str">
        <x:v>configuration authority</x:v>
      </x:c>
      <x:c r="J37" s="44" t="str"/>
      <x:c r="K37" s="44" t="str">
        <x:f>IF(J37="","OPEN","PASS")</x:f>
        <x:v>OPEN</x:v>
      </x:c>
    </x:row>
    <x:row r="38" ht="38" customHeight="1">
      <x:c r="B38" s="44" t="str">
        <x:v>RAC-S2-12</x:v>
      </x:c>
      <x:c r="C38" s="44" t="str">
        <x:v>S2</x:v>
      </x:c>
      <x:c r="D38" s="45" t="str">
        <x:v>BL-Y preload and fastener map</x:v>
      </x:c>
      <x:c r="E38" s="44" t="str">
        <x:v>BL-Y</x:v>
      </x:c>
      <x:c r="F38" s="44" t="n">
        <x:v>12</x:v>
      </x:c>
      <x:c r="G38" s="45" t="str">
        <x:v>major/minor by effect</x:v>
      </x:c>
      <x:c r="H38" s="45" t="str">
        <x:v>geometry, interface, material, process or witness</x:v>
      </x:c>
      <x:c r="I38" s="44" t="str">
        <x:v>configuration authority</x:v>
      </x:c>
      <x:c r="J38" s="44" t="str"/>
      <x:c r="K38" s="44" t="str">
        <x:f>IF(J38="","OPEN","PASS")</x:f>
        <x:v>OPEN</x:v>
      </x:c>
    </x:row>
    <x:row r="39" ht="38" customHeight="1">
      <x:c r="B39" s="44" t="str">
        <x:v>RAC-S2-13</x:v>
      </x:c>
      <x:c r="C39" s="44" t="str">
        <x:v>S2</x:v>
      </x:c>
      <x:c r="D39" s="45" t="str">
        <x:v>BL-Y monitored interspace port</x:v>
      </x:c>
      <x:c r="E39" s="44" t="str">
        <x:v>BL-Y</x:v>
      </x:c>
      <x:c r="F39" s="44" t="n">
        <x:v>13</x:v>
      </x:c>
      <x:c r="G39" s="45" t="str">
        <x:v>major/minor by effect</x:v>
      </x:c>
      <x:c r="H39" s="45" t="str">
        <x:v>geometry, interface, material, process or witness</x:v>
      </x:c>
      <x:c r="I39" s="44" t="str">
        <x:v>configuration authority</x:v>
      </x:c>
      <x:c r="J39" s="44" t="str"/>
      <x:c r="K39" s="44" t="str">
        <x:f>IF(J39="","OPEN","PASS")</x:f>
        <x:v>OPEN</x:v>
      </x:c>
    </x:row>
    <x:row r="40" ht="38" customHeight="1">
      <x:c r="B40" s="44" t="str">
        <x:v>RAC-S2-14</x:v>
      </x:c>
      <x:c r="C40" s="44" t="str">
        <x:v>S2</x:v>
      </x:c>
      <x:c r="D40" s="45" t="str">
        <x:v>BL-Y keyed radial alignment</x:v>
      </x:c>
      <x:c r="E40" s="44" t="str">
        <x:v>BL-Y</x:v>
      </x:c>
      <x:c r="F40" s="44" t="n">
        <x:v>14</x:v>
      </x:c>
      <x:c r="G40" s="45" t="str">
        <x:v>major/minor by effect</x:v>
      </x:c>
      <x:c r="H40" s="45" t="str">
        <x:v>geometry, interface, material, process or witness</x:v>
      </x:c>
      <x:c r="I40" s="44" t="str">
        <x:v>configuration authority</x:v>
      </x:c>
      <x:c r="J40" s="44" t="str"/>
      <x:c r="K40" s="44" t="str">
        <x:f>IF(J40="","OPEN","PASS")</x:f>
        <x:v>OPEN</x:v>
      </x:c>
    </x:row>
    <x:row r="41" ht="38" customHeight="1">
      <x:c r="B41" s="44" t="str">
        <x:v>RAC-S2-15</x:v>
      </x:c>
      <x:c r="C41" s="44" t="str">
        <x:v>S2</x:v>
      </x:c>
      <x:c r="D41" s="45" t="str">
        <x:v>BL-Y clean assembly sequence</x:v>
      </x:c>
      <x:c r="E41" s="44" t="str">
        <x:v>BL-Y</x:v>
      </x:c>
      <x:c r="F41" s="44" t="n">
        <x:v>15</x:v>
      </x:c>
      <x:c r="G41" s="45" t="str">
        <x:v>major/minor by effect</x:v>
      </x:c>
      <x:c r="H41" s="45" t="str">
        <x:v>geometry, interface, material, process or witness</x:v>
      </x:c>
      <x:c r="I41" s="44" t="str">
        <x:v>configuration authority</x:v>
      </x:c>
      <x:c r="J41" s="44" t="str"/>
      <x:c r="K41" s="44" t="str">
        <x:f>IF(J41="","OPEN","PASS")</x:f>
        <x:v>OPEN</x:v>
      </x:c>
    </x:row>
    <x:row r="42" ht="38" customHeight="1">
      <x:c r="B42" s="44" t="str">
        <x:v>RAC-S2-16</x:v>
      </x:c>
      <x:c r="C42" s="44" t="str">
        <x:v>S2</x:v>
      </x:c>
      <x:c r="D42" s="45" t="str">
        <x:v>BL-Y six-cartridge assembly</x:v>
      </x:c>
      <x:c r="E42" s="44" t="str">
        <x:v>BL-Y</x:v>
      </x:c>
      <x:c r="F42" s="44" t="n">
        <x:v>16</x:v>
      </x:c>
      <x:c r="G42" s="45" t="str">
        <x:v>major/minor by effect</x:v>
      </x:c>
      <x:c r="H42" s="45" t="str">
        <x:v>geometry, interface, material, process or witness</x:v>
      </x:c>
      <x:c r="I42" s="44" t="str">
        <x:v>configuration authority</x:v>
      </x:c>
      <x:c r="J42" s="44" t="str"/>
      <x:c r="K42" s="44" t="str">
        <x:f>IF(J42="","OPEN","PASS")</x:f>
        <x:v>OPEN</x:v>
      </x:c>
    </x:row>
    <x:row r="43" ht="38" customHeight="1">
      <x:c r="B43" s="44" t="str">
        <x:v>RAC-S3-01</x:v>
      </x:c>
      <x:c r="C43" s="44" t="str">
        <x:v>S3</x:v>
      </x:c>
      <x:c r="D43" s="45" t="str">
        <x:v>BL-X source-vessel interface</x:v>
      </x:c>
      <x:c r="E43" s="44" t="str">
        <x:v>BL-X</x:v>
      </x:c>
      <x:c r="F43" s="44" t="n">
        <x:v>1</x:v>
      </x:c>
      <x:c r="G43" s="45" t="str">
        <x:v>major/minor by effect</x:v>
      </x:c>
      <x:c r="H43" s="45" t="str">
        <x:v>geometry, interface, material, process or witness</x:v>
      </x:c>
      <x:c r="I43" s="44" t="str">
        <x:v>configuration authority</x:v>
      </x:c>
      <x:c r="J43" s="44" t="str"/>
      <x:c r="K43" s="44" t="str">
        <x:f>IF(J43="","OPEN","PASS")</x:f>
        <x:v>OPEN</x:v>
      </x:c>
    </x:row>
    <x:row r="44" ht="38" customHeight="1">
      <x:c r="B44" s="44" t="str">
        <x:v>RAC-S3-02</x:v>
      </x:c>
      <x:c r="C44" s="44" t="str">
        <x:v>S3</x:v>
      </x:c>
      <x:c r="D44" s="45" t="str">
        <x:v>BL-X dispenser interface</x:v>
      </x:c>
      <x:c r="E44" s="44" t="str">
        <x:v>BL-X</x:v>
      </x:c>
      <x:c r="F44" s="44" t="n">
        <x:v>2</x:v>
      </x:c>
      <x:c r="G44" s="45" t="str">
        <x:v>major/minor by effect</x:v>
      </x:c>
      <x:c r="H44" s="45" t="str">
        <x:v>geometry, interface, material, process or witness</x:v>
      </x:c>
      <x:c r="I44" s="44" t="str">
        <x:v>configuration authority</x:v>
      </x:c>
      <x:c r="J44" s="44" t="str"/>
      <x:c r="K44" s="44" t="str">
        <x:f>IF(J44="","OPEN","PASS")</x:f>
        <x:v>OPEN</x:v>
      </x:c>
    </x:row>
    <x:row r="45" ht="38" customHeight="1">
      <x:c r="B45" s="44" t="str">
        <x:v>RAC-S3-03</x:v>
      </x:c>
      <x:c r="C45" s="44" t="str">
        <x:v>S3</x:v>
      </x:c>
      <x:c r="D45" s="45" t="str">
        <x:v>BL-X normal route interface</x:v>
      </x:c>
      <x:c r="E45" s="44" t="str">
        <x:v>BL-X</x:v>
      </x:c>
      <x:c r="F45" s="44" t="n">
        <x:v>3</x:v>
      </x:c>
      <x:c r="G45" s="45" t="str">
        <x:v>major/minor by effect</x:v>
      </x:c>
      <x:c r="H45" s="45" t="str">
        <x:v>geometry, interface, material, process or witness</x:v>
      </x:c>
      <x:c r="I45" s="44" t="str">
        <x:v>configuration authority</x:v>
      </x:c>
      <x:c r="J45" s="44" t="str"/>
      <x:c r="K45" s="44" t="str">
        <x:f>IF(J45="","OPEN","PASS")</x:f>
        <x:v>OPEN</x:v>
      </x:c>
    </x:row>
    <x:row r="46" ht="38" customHeight="1">
      <x:c r="B46" s="44" t="str">
        <x:v>RAC-S3-04</x:v>
      </x:c>
      <x:c r="C46" s="44" t="str">
        <x:v>S3</x:v>
      </x:c>
      <x:c r="D46" s="45" t="str">
        <x:v>BL-X casualty route interface</x:v>
      </x:c>
      <x:c r="E46" s="44" t="str">
        <x:v>BL-X</x:v>
      </x:c>
      <x:c r="F46" s="44" t="n">
        <x:v>4</x:v>
      </x:c>
      <x:c r="G46" s="45" t="str">
        <x:v>major/minor by effect</x:v>
      </x:c>
      <x:c r="H46" s="45" t="str">
        <x:v>geometry, interface, material, process or witness</x:v>
      </x:c>
      <x:c r="I46" s="44" t="str">
        <x:v>configuration authority</x:v>
      </x:c>
      <x:c r="J46" s="44" t="str"/>
      <x:c r="K46" s="44" t="str">
        <x:f>IF(J46="","OPEN","PASS")</x:f>
        <x:v>OPEN</x:v>
      </x:c>
    </x:row>
    <x:row r="47" ht="38" customHeight="1">
      <x:c r="B47" s="44" t="str">
        <x:v>RAC-S3-05</x:v>
      </x:c>
      <x:c r="C47" s="44" t="str">
        <x:v>S3</x:v>
      </x:c>
      <x:c r="D47" s="45" t="str">
        <x:v>BL-X public-water boundary</x:v>
      </x:c>
      <x:c r="E47" s="44" t="str">
        <x:v>BL-X</x:v>
      </x:c>
      <x:c r="F47" s="44" t="n">
        <x:v>5</x:v>
      </x:c>
      <x:c r="G47" s="45" t="str">
        <x:v>major/minor by effect</x:v>
      </x:c>
      <x:c r="H47" s="45" t="str">
        <x:v>geometry, interface, material, process or witness</x:v>
      </x:c>
      <x:c r="I47" s="44" t="str">
        <x:v>configuration authority</x:v>
      </x:c>
      <x:c r="J47" s="44" t="str"/>
      <x:c r="K47" s="44" t="str">
        <x:f>IF(J47="","OPEN","PASS")</x:f>
        <x:v>OPEN</x:v>
      </x:c>
    </x:row>
    <x:row r="48" ht="38" customHeight="1">
      <x:c r="B48" s="44" t="str">
        <x:v>RAC-S3-06</x:v>
      </x:c>
      <x:c r="C48" s="44" t="str">
        <x:v>S3</x:v>
      </x:c>
      <x:c r="D48" s="45" t="str">
        <x:v>BL-X receiver adapter</x:v>
      </x:c>
      <x:c r="E48" s="44" t="str">
        <x:v>BL-X</x:v>
      </x:c>
      <x:c r="F48" s="44" t="n">
        <x:v>6</x:v>
      </x:c>
      <x:c r="G48" s="45" t="str">
        <x:v>major/minor by effect</x:v>
      </x:c>
      <x:c r="H48" s="45" t="str">
        <x:v>geometry, interface, material, process or witness</x:v>
      </x:c>
      <x:c r="I48" s="44" t="str">
        <x:v>configuration authority</x:v>
      </x:c>
      <x:c r="J48" s="44" t="str"/>
      <x:c r="K48" s="44" t="str">
        <x:f>IF(J48="","OPEN","PASS")</x:f>
        <x:v>OPEN</x:v>
      </x:c>
    </x:row>
    <x:row r="49" ht="38" customHeight="1">
      <x:c r="B49" s="44" t="str">
        <x:v>RAC-S3-07</x:v>
      </x:c>
      <x:c r="C49" s="44" t="str">
        <x:v>S3</x:v>
      </x:c>
      <x:c r="D49" s="45" t="str">
        <x:v>BL-Y source-vessel interface</x:v>
      </x:c>
      <x:c r="E49" s="44" t="str">
        <x:v>BL-Y</x:v>
      </x:c>
      <x:c r="F49" s="44" t="n">
        <x:v>7</x:v>
      </x:c>
      <x:c r="G49" s="45" t="str">
        <x:v>major/minor by effect</x:v>
      </x:c>
      <x:c r="H49" s="45" t="str">
        <x:v>geometry, interface, material, process or witness</x:v>
      </x:c>
      <x:c r="I49" s="44" t="str">
        <x:v>configuration authority</x:v>
      </x:c>
      <x:c r="J49" s="44" t="str"/>
      <x:c r="K49" s="44" t="str">
        <x:f>IF(J49="","OPEN","PASS")</x:f>
        <x:v>OPEN</x:v>
      </x:c>
    </x:row>
    <x:row r="50" ht="38" customHeight="1">
      <x:c r="B50" s="44" t="str">
        <x:v>RAC-S3-08</x:v>
      </x:c>
      <x:c r="C50" s="44" t="str">
        <x:v>S3</x:v>
      </x:c>
      <x:c r="D50" s="45" t="str">
        <x:v>BL-Y dispenser interface</x:v>
      </x:c>
      <x:c r="E50" s="44" t="str">
        <x:v>BL-Y</x:v>
      </x:c>
      <x:c r="F50" s="44" t="n">
        <x:v>8</x:v>
      </x:c>
      <x:c r="G50" s="45" t="str">
        <x:v>major/minor by effect</x:v>
      </x:c>
      <x:c r="H50" s="45" t="str">
        <x:v>geometry, interface, material, process or witness</x:v>
      </x:c>
      <x:c r="I50" s="44" t="str">
        <x:v>configuration authority</x:v>
      </x:c>
      <x:c r="J50" s="44" t="str"/>
      <x:c r="K50" s="44" t="str">
        <x:f>IF(J50="","OPEN","PASS")</x:f>
        <x:v>OPEN</x:v>
      </x:c>
    </x:row>
    <x:row r="51" ht="38" customHeight="1">
      <x:c r="B51" s="44" t="str">
        <x:v>RAC-S3-09</x:v>
      </x:c>
      <x:c r="C51" s="44" t="str">
        <x:v>S3</x:v>
      </x:c>
      <x:c r="D51" s="45" t="str">
        <x:v>BL-Y normal route interface</x:v>
      </x:c>
      <x:c r="E51" s="44" t="str">
        <x:v>BL-Y</x:v>
      </x:c>
      <x:c r="F51" s="44" t="n">
        <x:v>9</x:v>
      </x:c>
      <x:c r="G51" s="45" t="str">
        <x:v>major/minor by effect</x:v>
      </x:c>
      <x:c r="H51" s="45" t="str">
        <x:v>geometry, interface, material, process or witness</x:v>
      </x:c>
      <x:c r="I51" s="44" t="str">
        <x:v>configuration authority</x:v>
      </x:c>
      <x:c r="J51" s="44" t="str"/>
      <x:c r="K51" s="44" t="str">
        <x:f>IF(J51="","OPEN","PASS")</x:f>
        <x:v>OPEN</x:v>
      </x:c>
    </x:row>
    <x:row r="52" ht="38" customHeight="1">
      <x:c r="B52" s="44" t="str">
        <x:v>RAC-S3-10</x:v>
      </x:c>
      <x:c r="C52" s="44" t="str">
        <x:v>S3</x:v>
      </x:c>
      <x:c r="D52" s="45" t="str">
        <x:v>BL-Y casualty route interface</x:v>
      </x:c>
      <x:c r="E52" s="44" t="str">
        <x:v>BL-Y</x:v>
      </x:c>
      <x:c r="F52" s="44" t="n">
        <x:v>10</x:v>
      </x:c>
      <x:c r="G52" s="45" t="str">
        <x:v>major/minor by effect</x:v>
      </x:c>
      <x:c r="H52" s="45" t="str">
        <x:v>geometry, interface, material, process or witness</x:v>
      </x:c>
      <x:c r="I52" s="44" t="str">
        <x:v>configuration authority</x:v>
      </x:c>
      <x:c r="J52" s="44" t="str"/>
      <x:c r="K52" s="44" t="str">
        <x:f>IF(J52="","OPEN","PASS")</x:f>
        <x:v>OPEN</x:v>
      </x:c>
    </x:row>
    <x:row r="53" ht="38" customHeight="1">
      <x:c r="B53" s="44" t="str">
        <x:v>RAC-S3-11</x:v>
      </x:c>
      <x:c r="C53" s="44" t="str">
        <x:v>S3</x:v>
      </x:c>
      <x:c r="D53" s="45" t="str">
        <x:v>BL-Y public-water boundary</x:v>
      </x:c>
      <x:c r="E53" s="44" t="str">
        <x:v>BL-Y</x:v>
      </x:c>
      <x:c r="F53" s="44" t="n">
        <x:v>11</x:v>
      </x:c>
      <x:c r="G53" s="45" t="str">
        <x:v>major/minor by effect</x:v>
      </x:c>
      <x:c r="H53" s="45" t="str">
        <x:v>geometry, interface, material, process or witness</x:v>
      </x:c>
      <x:c r="I53" s="44" t="str">
        <x:v>configuration authority</x:v>
      </x:c>
      <x:c r="J53" s="44" t="str"/>
      <x:c r="K53" s="44" t="str">
        <x:f>IF(J53="","OPEN","PASS")</x:f>
        <x:v>OPEN</x:v>
      </x:c>
    </x:row>
    <x:row r="54" ht="38" customHeight="1">
      <x:c r="B54" s="44" t="str">
        <x:v>RAC-S3-12</x:v>
      </x:c>
      <x:c r="C54" s="44" t="str">
        <x:v>S3</x:v>
      </x:c>
      <x:c r="D54" s="45" t="str">
        <x:v>BL-Y receiver adapter</x:v>
      </x:c>
      <x:c r="E54" s="44" t="str">
        <x:v>BL-Y</x:v>
      </x:c>
      <x:c r="F54" s="44" t="n">
        <x:v>12</x:v>
      </x:c>
      <x:c r="G54" s="45" t="str">
        <x:v>major/minor by effect</x:v>
      </x:c>
      <x:c r="H54" s="45" t="str">
        <x:v>geometry, interface, material, process or witness</x:v>
      </x:c>
      <x:c r="I54" s="44" t="str">
        <x:v>configuration authority</x:v>
      </x:c>
      <x:c r="J54" s="44" t="str"/>
      <x:c r="K54" s="44" t="str">
        <x:f>IF(J54="","OPEN","PASS")</x:f>
        <x:v>OPEN</x:v>
      </x:c>
    </x:row>
    <x:row r="55" ht="38" customHeight="1">
      <x:c r="B55" s="44" t="str">
        <x:v>RAC-S4-01</x:v>
      </x:c>
      <x:c r="C55" s="44" t="str">
        <x:v>S4</x:v>
      </x:c>
      <x:c r="D55" s="45" t="str">
        <x:v>source-inlet final assembly</x:v>
      </x:c>
      <x:c r="E55" s="44" t="str">
        <x:v>COMMON</x:v>
      </x:c>
      <x:c r="F55" s="44" t="n">
        <x:v>1</x:v>
      </x:c>
      <x:c r="G55" s="45" t="str">
        <x:v>major/minor by effect</x:v>
      </x:c>
      <x:c r="H55" s="45" t="str">
        <x:v>geometry, interface, material, process or witness</x:v>
      </x:c>
      <x:c r="I55" s="44" t="str">
        <x:v>configuration authority</x:v>
      </x:c>
      <x:c r="J55" s="44" t="str"/>
      <x:c r="K55" s="44" t="str">
        <x:f>IF(J55="","OPEN","PASS")</x:f>
        <x:v>OPEN</x:v>
      </x:c>
    </x:row>
    <x:row r="56" ht="38" customHeight="1">
      <x:c r="B56" s="44" t="str">
        <x:v>RAC-S4-02</x:v>
      </x:c>
      <x:c r="C56" s="44" t="str">
        <x:v>S4</x:v>
      </x:c>
      <x:c r="D56" s="45" t="str">
        <x:v>dispenser final assembly</x:v>
      </x:c>
      <x:c r="E56" s="44" t="str">
        <x:v>COMMON</x:v>
      </x:c>
      <x:c r="F56" s="44" t="n">
        <x:v>2</x:v>
      </x:c>
      <x:c r="G56" s="45" t="str">
        <x:v>major/minor by effect</x:v>
      </x:c>
      <x:c r="H56" s="45" t="str">
        <x:v>geometry, interface, material, process or witness</x:v>
      </x:c>
      <x:c r="I56" s="44" t="str">
        <x:v>configuration authority</x:v>
      </x:c>
      <x:c r="J56" s="44" t="str"/>
      <x:c r="K56" s="44" t="str">
        <x:f>IF(J56="","OPEN","PASS")</x:f>
        <x:v>OPEN</x:v>
      </x:c>
    </x:row>
    <x:row r="57" ht="38" customHeight="1">
      <x:c r="B57" s="44" t="str">
        <x:v>RAC-S4-03</x:v>
      </x:c>
      <x:c r="C57" s="44" t="str">
        <x:v>S4</x:v>
      </x:c>
      <x:c r="D57" s="45" t="str">
        <x:v>gravity-diversion assembly</x:v>
      </x:c>
      <x:c r="E57" s="44" t="str">
        <x:v>COMMON</x:v>
      </x:c>
      <x:c r="F57" s="44" t="n">
        <x:v>3</x:v>
      </x:c>
      <x:c r="G57" s="45" t="str">
        <x:v>major/minor by effect</x:v>
      </x:c>
      <x:c r="H57" s="45" t="str">
        <x:v>geometry, interface, material, process or witness</x:v>
      </x:c>
      <x:c r="I57" s="44" t="str">
        <x:v>configuration authority</x:v>
      </x:c>
      <x:c r="J57" s="44" t="str"/>
      <x:c r="K57" s="44" t="str">
        <x:f>IF(J57="","OPEN","PASS")</x:f>
        <x:v>OPEN</x:v>
      </x:c>
    </x:row>
    <x:row r="58" ht="38" customHeight="1">
      <x:c r="B58" s="44" t="str">
        <x:v>RAC-S4-04</x:v>
      </x:c>
      <x:c r="C58" s="44" t="str">
        <x:v>S4</x:v>
      </x:c>
      <x:c r="D58" s="45" t="str">
        <x:v>normal-receiver isolation</x:v>
      </x:c>
      <x:c r="E58" s="44" t="str">
        <x:v>COMMON</x:v>
      </x:c>
      <x:c r="F58" s="44" t="n">
        <x:v>4</x:v>
      </x:c>
      <x:c r="G58" s="45" t="str">
        <x:v>major/minor by effect</x:v>
      </x:c>
      <x:c r="H58" s="45" t="str">
        <x:v>geometry, interface, material, process or witness</x:v>
      </x:c>
      <x:c r="I58" s="44" t="str">
        <x:v>configuration authority</x:v>
      </x:c>
      <x:c r="J58" s="44" t="str"/>
      <x:c r="K58" s="44" t="str">
        <x:f>IF(J58="","OPEN","PASS")</x:f>
        <x:v>OPEN</x:v>
      </x:c>
    </x:row>
    <x:row r="59" ht="38" customHeight="1">
      <x:c r="B59" s="44" t="str">
        <x:v>RAC-S4-05</x:v>
      </x:c>
      <x:c r="C59" s="44" t="str">
        <x:v>S4</x:v>
      </x:c>
      <x:c r="D59" s="45" t="str">
        <x:v>casualty-diversion assembly</x:v>
      </x:c>
      <x:c r="E59" s="44" t="str">
        <x:v>COMMON</x:v>
      </x:c>
      <x:c r="F59" s="44" t="n">
        <x:v>5</x:v>
      </x:c>
      <x:c r="G59" s="45" t="str">
        <x:v>major/minor by effect</x:v>
      </x:c>
      <x:c r="H59" s="45" t="str">
        <x:v>geometry, interface, material, process or witness</x:v>
      </x:c>
      <x:c r="I59" s="44" t="str">
        <x:v>configuration authority</x:v>
      </x:c>
      <x:c r="J59" s="44" t="str"/>
      <x:c r="K59" s="44" t="str">
        <x:f>IF(J59="","OPEN","PASS")</x:f>
        <x:v>OPEN</x:v>
      </x:c>
    </x:row>
    <x:row r="60" ht="38" customHeight="1">
      <x:c r="B60" s="44" t="str">
        <x:v>RAC-S4-06</x:v>
      </x:c>
      <x:c r="C60" s="44" t="str">
        <x:v>S4</x:v>
      </x:c>
      <x:c r="D60" s="45" t="str">
        <x:v>ignition-energy isolation</x:v>
      </x:c>
      <x:c r="E60" s="44" t="str">
        <x:v>COMMON</x:v>
      </x:c>
      <x:c r="F60" s="44" t="n">
        <x:v>6</x:v>
      </x:c>
      <x:c r="G60" s="45" t="str">
        <x:v>major/minor by effect</x:v>
      </x:c>
      <x:c r="H60" s="45" t="str">
        <x:v>geometry, interface, material, process or witness</x:v>
      </x:c>
      <x:c r="I60" s="44" t="str">
        <x:v>configuration authority</x:v>
      </x:c>
      <x:c r="J60" s="44" t="str"/>
      <x:c r="K60" s="44" t="str">
        <x:f>IF(J60="","OPEN","PASS")</x:f>
        <x:v>OPEN</x:v>
      </x:c>
    </x:row>
    <x:row r="61" ht="38" customHeight="1">
      <x:c r="B61" s="44" t="str">
        <x:v>RAC-S4-07</x:v>
      </x:c>
      <x:c r="C61" s="44" t="str">
        <x:v>S4</x:v>
      </x:c>
      <x:c r="D61" s="45" t="str">
        <x:v>public-water isolation</x:v>
      </x:c>
      <x:c r="E61" s="44" t="str">
        <x:v>COMMON</x:v>
      </x:c>
      <x:c r="F61" s="44" t="n">
        <x:v>7</x:v>
      </x:c>
      <x:c r="G61" s="45" t="str">
        <x:v>major/minor by effect</x:v>
      </x:c>
      <x:c r="H61" s="45" t="str">
        <x:v>geometry, interface, material, process or witness</x:v>
      </x:c>
      <x:c r="I61" s="44" t="str">
        <x:v>configuration authority</x:v>
      </x:c>
      <x:c r="J61" s="44" t="str"/>
      <x:c r="K61" s="44" t="str">
        <x:f>IF(J61="","OPEN","PASS")</x:f>
        <x:v>OPEN</x:v>
      </x:c>
    </x:row>
    <x:row r="62" ht="38" customHeight="1">
      <x:c r="B62" s="44" t="str">
        <x:v>RAC-S4-08</x:v>
      </x:c>
      <x:c r="C62" s="44" t="str">
        <x:v>S4</x:v>
      </x:c>
      <x:c r="D62" s="45" t="str">
        <x:v>casualty-water diversion</x:v>
      </x:c>
      <x:c r="E62" s="44" t="str">
        <x:v>COMMON</x:v>
      </x:c>
      <x:c r="F62" s="44" t="n">
        <x:v>8</x:v>
      </x:c>
      <x:c r="G62" s="45" t="str">
        <x:v>major/minor by effect</x:v>
      </x:c>
      <x:c r="H62" s="45" t="str">
        <x:v>geometry, interface, material, process or witness</x:v>
      </x:c>
      <x:c r="I62" s="44" t="str">
        <x:v>configuration authority</x:v>
      </x:c>
      <x:c r="J62" s="44" t="str"/>
      <x:c r="K62" s="44" t="str">
        <x:f>IF(J62="","OPEN","PASS")</x:f>
        <x:v>OPEN</x:v>
      </x:c>
    </x:row>
    <x:row r="63" ht="38" customHeight="1">
      <x:c r="B63" s="44" t="str">
        <x:v>RAC-S4-09</x:v>
      </x:c>
      <x:c r="C63" s="44" t="str">
        <x:v>S4</x:v>
      </x:c>
      <x:c r="D63" s="45" t="str">
        <x:v>normal-electrical isolation</x:v>
      </x:c>
      <x:c r="E63" s="44" t="str">
        <x:v>COMMON</x:v>
      </x:c>
      <x:c r="F63" s="44" t="n">
        <x:v>9</x:v>
      </x:c>
      <x:c r="G63" s="45" t="str">
        <x:v>major/minor by effect</x:v>
      </x:c>
      <x:c r="H63" s="45" t="str">
        <x:v>geometry, interface, material, process or witness</x:v>
      </x:c>
      <x:c r="I63" s="44" t="str">
        <x:v>configuration authority</x:v>
      </x:c>
      <x:c r="J63" s="44" t="str"/>
      <x:c r="K63" s="44" t="str">
        <x:f>IF(J63="","OPEN","PASS")</x:f>
        <x:v>OPEN</x:v>
      </x:c>
    </x:row>
    <x:row r="64" ht="38" customHeight="1">
      <x:c r="B64" s="44" t="str">
        <x:v>RAC-S4-10</x:v>
      </x:c>
      <x:c r="C64" s="44" t="str">
        <x:v>S4</x:v>
      </x:c>
      <x:c r="D64" s="45" t="str">
        <x:v>independent-safety-energy isolation</x:v>
      </x:c>
      <x:c r="E64" s="44" t="str">
        <x:v>COMMON</x:v>
      </x:c>
      <x:c r="F64" s="44" t="n">
        <x:v>10</x:v>
      </x:c>
      <x:c r="G64" s="45" t="str">
        <x:v>major/minor by effect</x:v>
      </x:c>
      <x:c r="H64" s="45" t="str">
        <x:v>geometry, interface, material, process or witness</x:v>
      </x:c>
      <x:c r="I64" s="44" t="str">
        <x:v>configuration authority</x:v>
      </x:c>
      <x:c r="J64" s="44" t="str"/>
      <x:c r="K64" s="44" t="str">
        <x:f>IF(J64="","OPEN","PASS")</x:f>
        <x:v>OPEN</x:v>
      </x:c>
    </x:row>
    <x:row r="65" ht="38" customHeight="1">
      <x:c r="B65" s="44" t="str">
        <x:v>RAC-S4-11</x:v>
      </x:c>
      <x:c r="C65" s="44" t="str">
        <x:v>S4</x:v>
      </x:c>
      <x:c r="D65" s="45" t="str">
        <x:v>environment-boundary vent</x:v>
      </x:c>
      <x:c r="E65" s="44" t="str">
        <x:v>COMMON</x:v>
      </x:c>
      <x:c r="F65" s="44" t="n">
        <x:v>11</x:v>
      </x:c>
      <x:c r="G65" s="45" t="str">
        <x:v>major/minor by effect</x:v>
      </x:c>
      <x:c r="H65" s="45" t="str">
        <x:v>geometry, interface, material, process or witness</x:v>
      </x:c>
      <x:c r="I65" s="44" t="str">
        <x:v>configuration authority</x:v>
      </x:c>
      <x:c r="J65" s="44" t="str"/>
      <x:c r="K65" s="44" t="str">
        <x:f>IF(J65="","OPEN","PASS")</x:f>
        <x:v>OPEN</x:v>
      </x:c>
    </x:row>
    <x:row r="66" ht="38" customHeight="1">
      <x:c r="B66" s="44" t="str">
        <x:v>RAC-S4-12</x:v>
      </x:c>
      <x:c r="C66" s="44" t="str">
        <x:v>S4</x:v>
      </x:c>
      <x:c r="D66" s="45" t="str">
        <x:v>evidence safe-state latch</x:v>
      </x:c>
      <x:c r="E66" s="44" t="str">
        <x:v>COMMON</x:v>
      </x:c>
      <x:c r="F66" s="44" t="n">
        <x:v>12</x:v>
      </x:c>
      <x:c r="G66" s="45" t="str">
        <x:v>major/minor by effect</x:v>
      </x:c>
      <x:c r="H66" s="45" t="str">
        <x:v>geometry, interface, material, process or witness</x:v>
      </x:c>
      <x:c r="I66" s="44" t="str">
        <x:v>configuration authority</x:v>
      </x:c>
      <x:c r="J66" s="44" t="str"/>
      <x:c r="K66" s="44" t="str">
        <x:f>IF(J66="","OPEN","PASS")</x:f>
        <x:v>OPEN</x:v>
      </x:c>
    </x:row>
    <x:row r="67" ht="38" customHeight="1">
      <x:c r="B67" s="44" t="str">
        <x:v>RAC-S4-13</x:v>
      </x:c>
      <x:c r="C67" s="44" t="str">
        <x:v>S4</x:v>
      </x:c>
      <x:c r="D67" s="45" t="str">
        <x:v>BL-X actuator mount</x:v>
      </x:c>
      <x:c r="E67" s="44" t="str">
        <x:v>BL-X</x:v>
      </x:c>
      <x:c r="F67" s="44" t="n">
        <x:v>13</x:v>
      </x:c>
      <x:c r="G67" s="45" t="str">
        <x:v>major/minor by effect</x:v>
      </x:c>
      <x:c r="H67" s="45" t="str">
        <x:v>geometry, interface, material, process or witness</x:v>
      </x:c>
      <x:c r="I67" s="44" t="str">
        <x:v>configuration authority</x:v>
      </x:c>
      <x:c r="J67" s="44" t="str"/>
      <x:c r="K67" s="44" t="str">
        <x:f>IF(J67="","OPEN","PASS")</x:f>
        <x:v>OPEN</x:v>
      </x:c>
    </x:row>
    <x:row r="68" ht="38" customHeight="1">
      <x:c r="B68" s="44" t="str">
        <x:v>RAC-S4-14</x:v>
      </x:c>
      <x:c r="C68" s="44" t="str">
        <x:v>S4</x:v>
      </x:c>
      <x:c r="D68" s="45" t="str">
        <x:v>BL-X direct-state witness mount</x:v>
      </x:c>
      <x:c r="E68" s="44" t="str">
        <x:v>BL-X</x:v>
      </x:c>
      <x:c r="F68" s="44" t="n">
        <x:v>14</x:v>
      </x:c>
      <x:c r="G68" s="45" t="str">
        <x:v>major/minor by effect</x:v>
      </x:c>
      <x:c r="H68" s="45" t="str">
        <x:v>geometry, interface, material, process or witness</x:v>
      </x:c>
      <x:c r="I68" s="44" t="str">
        <x:v>configuration authority</x:v>
      </x:c>
      <x:c r="J68" s="44" t="str"/>
      <x:c r="K68" s="44" t="str">
        <x:f>IF(J68="","OPEN","PASS")</x:f>
        <x:v>OPEN</x:v>
      </x:c>
    </x:row>
    <x:row r="69" ht="38" customHeight="1">
      <x:c r="B69" s="44" t="str">
        <x:v>RAC-S4-15</x:v>
      </x:c>
      <x:c r="C69" s="44" t="str">
        <x:v>S4</x:v>
      </x:c>
      <x:c r="D69" s="45" t="str">
        <x:v>BL-X spring-service interface</x:v>
      </x:c>
      <x:c r="E69" s="44" t="str">
        <x:v>BL-X</x:v>
      </x:c>
      <x:c r="F69" s="44" t="n">
        <x:v>15</x:v>
      </x:c>
      <x:c r="G69" s="45" t="str">
        <x:v>major/minor by effect</x:v>
      </x:c>
      <x:c r="H69" s="45" t="str">
        <x:v>geometry, interface, material, process or witness</x:v>
      </x:c>
      <x:c r="I69" s="44" t="str">
        <x:v>configuration authority</x:v>
      </x:c>
      <x:c r="J69" s="44" t="str"/>
      <x:c r="K69" s="44" t="str">
        <x:f>IF(J69="","OPEN","PASS")</x:f>
        <x:v>OPEN</x:v>
      </x:c>
    </x:row>
    <x:row r="70" ht="38" customHeight="1">
      <x:c r="B70" s="44" t="str">
        <x:v>RAC-S4-16</x:v>
      </x:c>
      <x:c r="C70" s="44" t="str">
        <x:v>S4</x:v>
      </x:c>
      <x:c r="D70" s="45" t="str">
        <x:v>BL-Y actuator mount</x:v>
      </x:c>
      <x:c r="E70" s="44" t="str">
        <x:v>BL-Y</x:v>
      </x:c>
      <x:c r="F70" s="44" t="n">
        <x:v>16</x:v>
      </x:c>
      <x:c r="G70" s="45" t="str">
        <x:v>major/minor by effect</x:v>
      </x:c>
      <x:c r="H70" s="45" t="str">
        <x:v>geometry, interface, material, process or witness</x:v>
      </x:c>
      <x:c r="I70" s="44" t="str">
        <x:v>configuration authority</x:v>
      </x:c>
      <x:c r="J70" s="44" t="str"/>
      <x:c r="K70" s="44" t="str">
        <x:f>IF(J70="","OPEN","PASS")</x:f>
        <x:v>OPEN</x:v>
      </x:c>
    </x:row>
    <x:row r="71" ht="38" customHeight="1">
      <x:c r="B71" s="44" t="str">
        <x:v>RAC-S4-17</x:v>
      </x:c>
      <x:c r="C71" s="44" t="str">
        <x:v>S4</x:v>
      </x:c>
      <x:c r="D71" s="45" t="str">
        <x:v>BL-Y direct-state witness mount</x:v>
      </x:c>
      <x:c r="E71" s="44" t="str">
        <x:v>BL-Y</x:v>
      </x:c>
      <x:c r="F71" s="44" t="n">
        <x:v>17</x:v>
      </x:c>
      <x:c r="G71" s="45" t="str">
        <x:v>major/minor by effect</x:v>
      </x:c>
      <x:c r="H71" s="45" t="str">
        <x:v>geometry, interface, material, process or witness</x:v>
      </x:c>
      <x:c r="I71" s="44" t="str">
        <x:v>configuration authority</x:v>
      </x:c>
      <x:c r="J71" s="44" t="str"/>
      <x:c r="K71" s="44" t="str">
        <x:f>IF(J71="","OPEN","PASS")</x:f>
        <x:v>OPEN</x:v>
      </x:c>
    </x:row>
    <x:row r="72" ht="38" customHeight="1">
      <x:c r="B72" s="44" t="str">
        <x:v>RAC-S4-18</x:v>
      </x:c>
      <x:c r="C72" s="44" t="str">
        <x:v>S4</x:v>
      </x:c>
      <x:c r="D72" s="45" t="str">
        <x:v>BL-Y spring-service interface</x:v>
      </x:c>
      <x:c r="E72" s="44" t="str">
        <x:v>BL-Y</x:v>
      </x:c>
      <x:c r="F72" s="44" t="n">
        <x:v>18</x:v>
      </x:c>
      <x:c r="G72" s="45" t="str">
        <x:v>major/minor by effect</x:v>
      </x:c>
      <x:c r="H72" s="45" t="str">
        <x:v>geometry, interface, material, process or witness</x:v>
      </x:c>
      <x:c r="I72" s="44" t="str">
        <x:v>configuration authority</x:v>
      </x:c>
      <x:c r="J72" s="44" t="str"/>
      <x:c r="K72" s="44" t="str">
        <x:f>IF(J72="","OPEN","PASS")</x:f>
        <x:v>OPEN</x:v>
      </x:c>
    </x:row>
    <x:row r="73" ht="38" customHeight="1">
      <x:c r="B73" s="44" t="str">
        <x:v>RAC-S5-01</x:v>
      </x:c>
      <x:c r="C73" s="44" t="str">
        <x:v>S5</x:v>
      </x:c>
      <x:c r="D73" s="45" t="str">
        <x:v>inner-pan plan and section</x:v>
      </x:c>
      <x:c r="E73" s="44" t="str">
        <x:v>COMMON</x:v>
      </x:c>
      <x:c r="F73" s="44" t="n">
        <x:v>1</x:v>
      </x:c>
      <x:c r="G73" s="45" t="str">
        <x:v>major/minor by effect</x:v>
      </x:c>
      <x:c r="H73" s="45" t="str">
        <x:v>geometry, interface, material, process or witness</x:v>
      </x:c>
      <x:c r="I73" s="44" t="str">
        <x:v>configuration authority</x:v>
      </x:c>
      <x:c r="J73" s="44" t="str"/>
      <x:c r="K73" s="44" t="str">
        <x:f>IF(J73="","OPEN","PASS")</x:f>
        <x:v>OPEN</x:v>
      </x:c>
    </x:row>
    <x:row r="74" ht="38" customHeight="1">
      <x:c r="B74" s="44" t="str">
        <x:v>RAC-S5-02</x:v>
      </x:c>
      <x:c r="C74" s="44" t="str">
        <x:v>S5</x:v>
      </x:c>
      <x:c r="D74" s="45" t="str">
        <x:v>graded drain and low point</x:v>
      </x:c>
      <x:c r="E74" s="44" t="str">
        <x:v>COMMON</x:v>
      </x:c>
      <x:c r="F74" s="44" t="n">
        <x:v>2</x:v>
      </x:c>
      <x:c r="G74" s="45" t="str">
        <x:v>major/minor by effect</x:v>
      </x:c>
      <x:c r="H74" s="45" t="str">
        <x:v>geometry, interface, material, process or witness</x:v>
      </x:c>
      <x:c r="I74" s="44" t="str">
        <x:v>configuration authority</x:v>
      </x:c>
      <x:c r="J74" s="44" t="str"/>
      <x:c r="K74" s="44" t="str">
        <x:f>IF(J74="","OPEN","PASS")</x:f>
        <x:v>OPEN</x:v>
      </x:c>
    </x:row>
    <x:row r="75" ht="38" customHeight="1">
      <x:c r="B75" s="44" t="str">
        <x:v>RAC-S5-03</x:v>
      </x:c>
      <x:c r="C75" s="44" t="str">
        <x:v>S5</x:v>
      </x:c>
      <x:c r="D75" s="45" t="str">
        <x:v>normal receiver</x:v>
      </x:c>
      <x:c r="E75" s="44" t="str">
        <x:v>COMMON</x:v>
      </x:c>
      <x:c r="F75" s="44" t="n">
        <x:v>3</x:v>
      </x:c>
      <x:c r="G75" s="45" t="str">
        <x:v>major/minor by effect</x:v>
      </x:c>
      <x:c r="H75" s="45" t="str">
        <x:v>geometry, interface, material, process or witness</x:v>
      </x:c>
      <x:c r="I75" s="44" t="str">
        <x:v>configuration authority</x:v>
      </x:c>
      <x:c r="J75" s="44" t="str"/>
      <x:c r="K75" s="44" t="str">
        <x:f>IF(J75="","OPEN","PASS")</x:f>
        <x:v>OPEN</x:v>
      </x:c>
    </x:row>
    <x:row r="76" ht="38" customHeight="1">
      <x:c r="B76" s="44" t="str">
        <x:v>RAC-S5-04</x:v>
      </x:c>
      <x:c r="C76" s="44" t="str">
        <x:v>S5</x:v>
      </x:c>
      <x:c r="D76" s="45" t="str">
        <x:v>casualty receiver</x:v>
      </x:c>
      <x:c r="E76" s="44" t="str">
        <x:v>COMMON</x:v>
      </x:c>
      <x:c r="F76" s="44" t="n">
        <x:v>4</x:v>
      </x:c>
      <x:c r="G76" s="45" t="str">
        <x:v>major/minor by effect</x:v>
      </x:c>
      <x:c r="H76" s="45" t="str">
        <x:v>geometry, interface, material, process or witness</x:v>
      </x:c>
      <x:c r="I76" s="44" t="str">
        <x:v>configuration authority</x:v>
      </x:c>
      <x:c r="J76" s="44" t="str"/>
      <x:c r="K76" s="44" t="str">
        <x:f>IF(J76="","OPEN","PASS")</x:f>
        <x:v>OPEN</x:v>
      </x:c>
    </x:row>
    <x:row r="77" ht="38" customHeight="1">
      <x:c r="B77" s="44" t="str">
        <x:v>RAC-S5-05</x:v>
      </x:c>
      <x:c r="C77" s="44" t="str">
        <x:v>S5</x:v>
      </x:c>
      <x:c r="D77" s="45" t="str">
        <x:v>spill and occupied-area boundary</x:v>
      </x:c>
      <x:c r="E77" s="44" t="str">
        <x:v>COMMON</x:v>
      </x:c>
      <x:c r="F77" s="44" t="n">
        <x:v>5</x:v>
      </x:c>
      <x:c r="G77" s="45" t="str">
        <x:v>major/minor by effect</x:v>
      </x:c>
      <x:c r="H77" s="45" t="str">
        <x:v>geometry, interface, material, process or witness</x:v>
      </x:c>
      <x:c r="I77" s="44" t="str">
        <x:v>configuration authority</x:v>
      </x:c>
      <x:c r="J77" s="44" t="str"/>
      <x:c r="K77" s="44" t="str">
        <x:f>IF(J77="","OPEN","PASS")</x:f>
        <x:v>OPEN</x:v>
      </x:c>
    </x:row>
    <x:row r="78" ht="38" customHeight="1">
      <x:c r="B78" s="44" t="str">
        <x:v>RAC-S5-06</x:v>
      </x:c>
      <x:c r="C78" s="44" t="str">
        <x:v>S5</x:v>
      </x:c>
      <x:c r="D78" s="45" t="str">
        <x:v>cleanout and recovery manifold</x:v>
      </x:c>
      <x:c r="E78" s="44" t="str">
        <x:v>COMMON</x:v>
      </x:c>
      <x:c r="F78" s="44" t="n">
        <x:v>6</x:v>
      </x:c>
      <x:c r="G78" s="45" t="str">
        <x:v>major/minor by effect</x:v>
      </x:c>
      <x:c r="H78" s="45" t="str">
        <x:v>geometry, interface, material, process or witness</x:v>
      </x:c>
      <x:c r="I78" s="44" t="str">
        <x:v>configuration authority</x:v>
      </x:c>
      <x:c r="J78" s="44" t="str"/>
      <x:c r="K78" s="44" t="str">
        <x:f>IF(J78="","OPEN","PASS")</x:f>
        <x:v>OPEN</x:v>
      </x:c>
    </x:row>
    <x:row r="79" ht="38" customHeight="1">
      <x:c r="B79" s="44" t="str">
        <x:v>RAC-S5-07</x:v>
      </x:c>
      <x:c r="C79" s="44" t="str">
        <x:v>S5</x:v>
      </x:c>
      <x:c r="D79" s="45" t="str">
        <x:v>recovery pump interface</x:v>
      </x:c>
      <x:c r="E79" s="44" t="str">
        <x:v>COMMON</x:v>
      </x:c>
      <x:c r="F79" s="44" t="n">
        <x:v>7</x:v>
      </x:c>
      <x:c r="G79" s="45" t="str">
        <x:v>major/minor by effect</x:v>
      </x:c>
      <x:c r="H79" s="45" t="str">
        <x:v>geometry, interface, material, process or witness</x:v>
      </x:c>
      <x:c r="I79" s="44" t="str">
        <x:v>configuration authority</x:v>
      </x:c>
      <x:c r="J79" s="44" t="str"/>
      <x:c r="K79" s="44" t="str">
        <x:f>IF(J79="","OPEN","PASS")</x:f>
        <x:v>OPEN</x:v>
      </x:c>
    </x:row>
    <x:row r="80" ht="38" customHeight="1">
      <x:c r="B80" s="44" t="str">
        <x:v>RAC-S5-08</x:v>
      </x:c>
      <x:c r="C80" s="44" t="str">
        <x:v>S5</x:v>
      </x:c>
      <x:c r="D80" s="45" t="str">
        <x:v>sample custody points</x:v>
      </x:c>
      <x:c r="E80" s="44" t="str">
        <x:v>COMMON</x:v>
      </x:c>
      <x:c r="F80" s="44" t="n">
        <x:v>8</x:v>
      </x:c>
      <x:c r="G80" s="45" t="str">
        <x:v>major/minor by effect</x:v>
      </x:c>
      <x:c r="H80" s="45" t="str">
        <x:v>geometry, interface, material, process or witness</x:v>
      </x:c>
      <x:c r="I80" s="44" t="str">
        <x:v>configuration authority</x:v>
      </x:c>
      <x:c r="J80" s="44" t="str"/>
      <x:c r="K80" s="44" t="str">
        <x:f>IF(J80="","OPEN","PASS")</x:f>
        <x:v>OPEN</x:v>
      </x:c>
    </x:row>
    <x:row r="81" ht="38" customHeight="1">
      <x:c r="B81" s="44" t="str">
        <x:v>RAC-S5-09</x:v>
      </x:c>
      <x:c r="C81" s="44" t="str">
        <x:v>S5</x:v>
      </x:c>
      <x:c r="D81" s="45" t="str">
        <x:v>waste and disposition interface</x:v>
      </x:c>
      <x:c r="E81" s="44" t="str">
        <x:v>COMMON</x:v>
      </x:c>
      <x:c r="F81" s="44" t="n">
        <x:v>9</x:v>
      </x:c>
      <x:c r="G81" s="45" t="str">
        <x:v>major/minor by effect</x:v>
      </x:c>
      <x:c r="H81" s="45" t="str">
        <x:v>geometry, interface, material, process or witness</x:v>
      </x:c>
      <x:c r="I81" s="44" t="str">
        <x:v>configuration authority</x:v>
      </x:c>
      <x:c r="J81" s="44" t="str"/>
      <x:c r="K81" s="44" t="str">
        <x:f>IF(J81="","OPEN","PASS")</x:f>
        <x:v>OPEN</x:v>
      </x:c>
    </x:row>
    <x:row r="82" ht="38" customHeight="1">
      <x:c r="B82" s="44" t="str">
        <x:v>RAC-S5-10</x:v>
      </x:c>
      <x:c r="C82" s="44" t="str">
        <x:v>S5</x:v>
      </x:c>
      <x:c r="D82" s="45" t="str">
        <x:v>liquid-proof fixture</x:v>
      </x:c>
      <x:c r="E82" s="44" t="str">
        <x:v>COMMON</x:v>
      </x:c>
      <x:c r="F82" s="44" t="n">
        <x:v>10</x:v>
      </x:c>
      <x:c r="G82" s="45" t="str">
        <x:v>major/minor by effect</x:v>
      </x:c>
      <x:c r="H82" s="45" t="str">
        <x:v>geometry, interface, material, process or witness</x:v>
      </x:c>
      <x:c r="I82" s="44" t="str">
        <x:v>configuration authority</x:v>
      </x:c>
      <x:c r="J82" s="44" t="str"/>
      <x:c r="K82" s="44" t="str">
        <x:f>IF(J82="","OPEN","PASS")</x:f>
        <x:v>OPEN</x:v>
      </x:c>
    </x:row>
    <x:row r="83" ht="38" customHeight="1">
      <x:c r="B83" s="44" t="str">
        <x:v>RAC-S6-01</x:v>
      </x:c>
      <x:c r="C83" s="44" t="str">
        <x:v>S6</x:v>
      </x:c>
      <x:c r="D83" s="45" t="str">
        <x:v>channel-family index</x:v>
      </x:c>
      <x:c r="E83" s="44" t="str">
        <x:v>COMMON</x:v>
      </x:c>
      <x:c r="F83" s="44" t="n">
        <x:v>1</x:v>
      </x:c>
      <x:c r="G83" s="45" t="str">
        <x:v>major/minor by effect</x:v>
      </x:c>
      <x:c r="H83" s="45" t="str">
        <x:v>geometry, interface, material, process or witness</x:v>
      </x:c>
      <x:c r="I83" s="44" t="str">
        <x:v>configuration authority</x:v>
      </x:c>
      <x:c r="J83" s="44" t="str"/>
      <x:c r="K83" s="44" t="str">
        <x:f>IF(J83="","OPEN","PASS")</x:f>
        <x:v>OPEN</x:v>
      </x:c>
    </x:row>
    <x:row r="84" ht="38" customHeight="1">
      <x:c r="B84" s="44" t="str">
        <x:v>RAC-S6-02</x:v>
      </x:c>
      <x:c r="C84" s="44" t="str">
        <x:v>S6</x:v>
      </x:c>
      <x:c r="D84" s="45" t="str">
        <x:v>instrument mounting key</x:v>
      </x:c>
      <x:c r="E84" s="44" t="str">
        <x:v>COMMON</x:v>
      </x:c>
      <x:c r="F84" s="44" t="n">
        <x:v>2</x:v>
      </x:c>
      <x:c r="G84" s="45" t="str">
        <x:v>major/minor by effect</x:v>
      </x:c>
      <x:c r="H84" s="45" t="str">
        <x:v>geometry, interface, material, process or witness</x:v>
      </x:c>
      <x:c r="I84" s="44" t="str">
        <x:v>configuration authority</x:v>
      </x:c>
      <x:c r="J84" s="44" t="str"/>
      <x:c r="K84" s="44" t="str">
        <x:f>IF(J84="","OPEN","PASS")</x:f>
        <x:v>OPEN</x:v>
      </x:c>
    </x:row>
    <x:row r="85" ht="38" customHeight="1">
      <x:c r="B85" s="44" t="str">
        <x:v>RAC-S6-03</x:v>
      </x:c>
      <x:c r="C85" s="44" t="str">
        <x:v>S6</x:v>
      </x:c>
      <x:c r="D85" s="45" t="str">
        <x:v>signal and power separation</x:v>
      </x:c>
      <x:c r="E85" s="44" t="str">
        <x:v>COMMON</x:v>
      </x:c>
      <x:c r="F85" s="44" t="n">
        <x:v>3</x:v>
      </x:c>
      <x:c r="G85" s="45" t="str">
        <x:v>major/minor by effect</x:v>
      </x:c>
      <x:c r="H85" s="45" t="str">
        <x:v>geometry, interface, material, process or witness</x:v>
      </x:c>
      <x:c r="I85" s="44" t="str">
        <x:v>configuration authority</x:v>
      </x:c>
      <x:c r="J85" s="44" t="str"/>
      <x:c r="K85" s="44" t="str">
        <x:f>IF(J85="","OPEN","PASS")</x:f>
        <x:v>OPEN</x:v>
      </x:c>
    </x:row>
    <x:row r="86" ht="38" customHeight="1">
      <x:c r="B86" s="44" t="str">
        <x:v>RAC-S6-04</x:v>
      </x:c>
      <x:c r="C86" s="44" t="str">
        <x:v>S6</x:v>
      </x:c>
      <x:c r="D86" s="45" t="str">
        <x:v>normal instrument power</x:v>
      </x:c>
      <x:c r="E86" s="44" t="str">
        <x:v>COMMON</x:v>
      </x:c>
      <x:c r="F86" s="44" t="n">
        <x:v>4</x:v>
      </x:c>
      <x:c r="G86" s="45" t="str">
        <x:v>major/minor by effect</x:v>
      </x:c>
      <x:c r="H86" s="45" t="str">
        <x:v>geometry, interface, material, process or witness</x:v>
      </x:c>
      <x:c r="I86" s="44" t="str">
        <x:v>configuration authority</x:v>
      </x:c>
      <x:c r="J86" s="44" t="str"/>
      <x:c r="K86" s="44" t="str">
        <x:f>IF(J86="","OPEN","PASS")</x:f>
        <x:v>OPEN</x:v>
      </x:c>
    </x:row>
    <x:row r="87" ht="38" customHeight="1">
      <x:c r="B87" s="44" t="str">
        <x:v>RAC-S6-05</x:v>
      </x:c>
      <x:c r="C87" s="44" t="str">
        <x:v>S6</x:v>
      </x:c>
      <x:c r="D87" s="45" t="str">
        <x:v>independent instrument power</x:v>
      </x:c>
      <x:c r="E87" s="44" t="str">
        <x:v>COMMON</x:v>
      </x:c>
      <x:c r="F87" s="44" t="n">
        <x:v>5</x:v>
      </x:c>
      <x:c r="G87" s="45" t="str">
        <x:v>major/minor by effect</x:v>
      </x:c>
      <x:c r="H87" s="45" t="str">
        <x:v>geometry, interface, material, process or witness</x:v>
      </x:c>
      <x:c r="I87" s="44" t="str">
        <x:v>configuration authority</x:v>
      </x:c>
      <x:c r="J87" s="44" t="str"/>
      <x:c r="K87" s="44" t="str">
        <x:f>IF(J87="","OPEN","PASS")</x:f>
        <x:v>OPEN</x:v>
      </x:c>
    </x:row>
    <x:row r="88" ht="38" customHeight="1">
      <x:c r="B88" s="44" t="str">
        <x:v>RAC-S6-06</x:v>
      </x:c>
      <x:c r="C88" s="44" t="str">
        <x:v>S6</x:v>
      </x:c>
      <x:c r="D88" s="45" t="str">
        <x:v>causal-time root</x:v>
      </x:c>
      <x:c r="E88" s="44" t="str">
        <x:v>COMMON</x:v>
      </x:c>
      <x:c r="F88" s="44" t="n">
        <x:v>6</x:v>
      </x:c>
      <x:c r="G88" s="45" t="str">
        <x:v>major/minor by effect</x:v>
      </x:c>
      <x:c r="H88" s="45" t="str">
        <x:v>geometry, interface, material, process or witness</x:v>
      </x:c>
      <x:c r="I88" s="44" t="str">
        <x:v>configuration authority</x:v>
      </x:c>
      <x:c r="J88" s="44" t="str"/>
      <x:c r="K88" s="44" t="str">
        <x:f>IF(J88="","OPEN","PASS")</x:f>
        <x:v>OPEN</x:v>
      </x:c>
    </x:row>
    <x:row r="89" ht="38" customHeight="1">
      <x:c r="B89" s="44" t="str">
        <x:v>RAC-S6-07</x:v>
      </x:c>
      <x:c r="C89" s="44" t="str">
        <x:v>S6</x:v>
      </x:c>
      <x:c r="D89" s="45" t="str">
        <x:v>local evidence recorder</x:v>
      </x:c>
      <x:c r="E89" s="44" t="str">
        <x:v>COMMON</x:v>
      </x:c>
      <x:c r="F89" s="44" t="n">
        <x:v>7</x:v>
      </x:c>
      <x:c r="G89" s="45" t="str">
        <x:v>major/minor by effect</x:v>
      </x:c>
      <x:c r="H89" s="45" t="str">
        <x:v>geometry, interface, material, process or witness</x:v>
      </x:c>
      <x:c r="I89" s="44" t="str">
        <x:v>configuration authority</x:v>
      </x:c>
      <x:c r="J89" s="44" t="str"/>
      <x:c r="K89" s="44" t="str">
        <x:f>IF(J89="","OPEN","PASS")</x:f>
        <x:v>OPEN</x:v>
      </x:c>
    </x:row>
    <x:row r="90" ht="38" customHeight="1">
      <x:c r="B90" s="44" t="str">
        <x:v>RAC-S6-08</x:v>
      </x:c>
      <x:c r="C90" s="44" t="str">
        <x:v>S6</x:v>
      </x:c>
      <x:c r="D90" s="45" t="str">
        <x:v>two-original storage topology</x:v>
      </x:c>
      <x:c r="E90" s="44" t="str">
        <x:v>COMMON</x:v>
      </x:c>
      <x:c r="F90" s="44" t="n">
        <x:v>8</x:v>
      </x:c>
      <x:c r="G90" s="45" t="str">
        <x:v>major/minor by effect</x:v>
      </x:c>
      <x:c r="H90" s="45" t="str">
        <x:v>geometry, interface, material, process or witness</x:v>
      </x:c>
      <x:c r="I90" s="44" t="str">
        <x:v>configuration authority</x:v>
      </x:c>
      <x:c r="J90" s="44" t="str"/>
      <x:c r="K90" s="44" t="str">
        <x:f>IF(J90="","OPEN","PASS")</x:f>
        <x:v>OPEN</x:v>
      </x:c>
    </x:row>
    <x:row r="91" ht="38" customHeight="1">
      <x:c r="B91" s="44" t="str">
        <x:v>RAC-S6-09</x:v>
      </x:c>
      <x:c r="C91" s="44" t="str">
        <x:v>S6</x:v>
      </x:c>
      <x:c r="D91" s="45" t="str">
        <x:v>physical-state hash interfaces</x:v>
      </x:c>
      <x:c r="E91" s="44" t="str">
        <x:v>COMMON</x:v>
      </x:c>
      <x:c r="F91" s="44" t="n">
        <x:v>9</x:v>
      </x:c>
      <x:c r="G91" s="45" t="str">
        <x:v>major/minor by effect</x:v>
      </x:c>
      <x:c r="H91" s="45" t="str">
        <x:v>geometry, interface, material, process or witness</x:v>
      </x:c>
      <x:c r="I91" s="44" t="str">
        <x:v>configuration authority</x:v>
      </x:c>
      <x:c r="J91" s="44" t="str"/>
      <x:c r="K91" s="44" t="str">
        <x:f>IF(J91="","OPEN","PASS")</x:f>
        <x:v>OPEN</x:v>
      </x:c>
    </x:row>
    <x:row r="92" ht="38" customHeight="1">
      <x:c r="B92" s="44" t="str">
        <x:v>RAC-S6-10</x:v>
      </x:c>
      <x:c r="C92" s="44" t="str">
        <x:v>S6</x:v>
      </x:c>
      <x:c r="D92" s="45" t="str">
        <x:v>calibration access and standards</x:v>
      </x:c>
      <x:c r="E92" s="44" t="str">
        <x:v>COMMON</x:v>
      </x:c>
      <x:c r="F92" s="44" t="n">
        <x:v>10</x:v>
      </x:c>
      <x:c r="G92" s="45" t="str">
        <x:v>major/minor by effect</x:v>
      </x:c>
      <x:c r="H92" s="45" t="str">
        <x:v>geometry, interface, material, process or witness</x:v>
      </x:c>
      <x:c r="I92" s="44" t="str">
        <x:v>configuration authority</x:v>
      </x:c>
      <x:c r="J92" s="44" t="str"/>
      <x:c r="K92" s="44" t="str">
        <x:f>IF(J92="","OPEN","PASS")</x:f>
        <x:v>OPEN</x:v>
      </x:c>
    </x:row>
    <x:row r="93" ht="38" customHeight="1">
      <x:c r="B93" s="44" t="str">
        <x:v>RAC-S6-11</x:v>
      </x:c>
      <x:c r="C93" s="44" t="str">
        <x:v>S6</x:v>
      </x:c>
      <x:c r="D93" s="45" t="str">
        <x:v>non-origin replay package</x:v>
      </x:c>
      <x:c r="E93" s="44" t="str">
        <x:v>COMMON</x:v>
      </x:c>
      <x:c r="F93" s="44" t="n">
        <x:v>11</x:v>
      </x:c>
      <x:c r="G93" s="45" t="str">
        <x:v>major/minor by effect</x:v>
      </x:c>
      <x:c r="H93" s="45" t="str">
        <x:v>geometry, interface, material, process or witness</x:v>
      </x:c>
      <x:c r="I93" s="44" t="str">
        <x:v>configuration authority</x:v>
      </x:c>
      <x:c r="J93" s="44" t="str"/>
      <x:c r="K93" s="44" t="str">
        <x:f>IF(J93="","OPEN","PASS")</x:f>
        <x:v>OPEN</x:v>
      </x:c>
    </x:row>
    <x:row r="94" ht="38" customHeight="1">
      <x:c r="B94" s="44" t="str">
        <x:v>RAC-S6-12</x:v>
      </x:c>
      <x:c r="C94" s="44" t="str">
        <x:v>S6</x:v>
      </x:c>
      <x:c r="D94" s="45" t="str">
        <x:v>evidence-health monitoring</x:v>
      </x:c>
      <x:c r="E94" s="44" t="str">
        <x:v>COMMON</x:v>
      </x:c>
      <x:c r="F94" s="44" t="n">
        <x:v>12</x:v>
      </x:c>
      <x:c r="G94" s="45" t="str">
        <x:v>major/minor by effect</x:v>
      </x:c>
      <x:c r="H94" s="45" t="str">
        <x:v>geometry, interface, material, process or witness</x:v>
      </x:c>
      <x:c r="I94" s="44" t="str">
        <x:v>configuration authority</x:v>
      </x:c>
      <x:c r="J94" s="44" t="str"/>
      <x:c r="K94" s="44" t="str">
        <x:f>IF(J94="","OPEN","PASS")</x:f>
        <x:v>OPEN</x:v>
      </x:c>
    </x:row>
    <x:row r="95" ht="38" customHeight="1">
      <x:c r="B95" s="44" t="str">
        <x:v>RAC-S7-01</x:v>
      </x:c>
      <x:c r="C95" s="44" t="str">
        <x:v>S7</x:v>
      </x:c>
      <x:c r="D95" s="45" t="str">
        <x:v>stowed lift plan</x:v>
      </x:c>
      <x:c r="E95" s="44" t="str">
        <x:v>COMMON</x:v>
      </x:c>
      <x:c r="F95" s="44" t="n">
        <x:v>1</x:v>
      </x:c>
      <x:c r="G95" s="45" t="str">
        <x:v>major/minor by effect</x:v>
      </x:c>
      <x:c r="H95" s="45" t="str">
        <x:v>geometry, interface, material, process or witness</x:v>
      </x:c>
      <x:c r="I95" s="44" t="str">
        <x:v>configuration authority</x:v>
      </x:c>
      <x:c r="J95" s="44" t="str"/>
      <x:c r="K95" s="44" t="str">
        <x:f>IF(J95="","OPEN","PASS")</x:f>
        <x:v>OPEN</x:v>
      </x:c>
    </x:row>
    <x:row r="96" ht="38" customHeight="1">
      <x:c r="B96" s="44" t="str">
        <x:v>RAC-S7-02</x:v>
      </x:c>
      <x:c r="C96" s="44" t="str">
        <x:v>S7</x:v>
      </x:c>
      <x:c r="D96" s="45" t="str">
        <x:v>transport restraints</x:v>
      </x:c>
      <x:c r="E96" s="44" t="str">
        <x:v>COMMON</x:v>
      </x:c>
      <x:c r="F96" s="44" t="n">
        <x:v>2</x:v>
      </x:c>
      <x:c r="G96" s="45" t="str">
        <x:v>major/minor by effect</x:v>
      </x:c>
      <x:c r="H96" s="45" t="str">
        <x:v>geometry, interface, material, process or witness</x:v>
      </x:c>
      <x:c r="I96" s="44" t="str">
        <x:v>configuration authority</x:v>
      </x:c>
      <x:c r="J96" s="44" t="str"/>
      <x:c r="K96" s="44" t="str">
        <x:f>IF(J96="","OPEN","PASS")</x:f>
        <x:v>OPEN</x:v>
      </x:c>
    </x:row>
    <x:row r="97" ht="38" customHeight="1">
      <x:c r="B97" s="44" t="str">
        <x:v>RAC-S7-03</x:v>
      </x:c>
      <x:c r="C97" s="44" t="str">
        <x:v>S7</x:v>
      </x:c>
      <x:c r="D97" s="45" t="str">
        <x:v>manual-action access</x:v>
      </x:c>
      <x:c r="E97" s="44" t="str">
        <x:v>COMMON</x:v>
      </x:c>
      <x:c r="F97" s="44" t="n">
        <x:v>3</x:v>
      </x:c>
      <x:c r="G97" s="45" t="str">
        <x:v>major/minor by effect</x:v>
      </x:c>
      <x:c r="H97" s="45" t="str">
        <x:v>geometry, interface, material, process or witness</x:v>
      </x:c>
      <x:c r="I97" s="44" t="str">
        <x:v>configuration authority</x:v>
      </x:c>
      <x:c r="J97" s="44" t="str"/>
      <x:c r="K97" s="44" t="str">
        <x:f>IF(J97="","OPEN","PASS")</x:f>
        <x:v>OPEN</x:v>
      </x:c>
    </x:row>
    <x:row r="98" ht="38" customHeight="1">
      <x:c r="B98" s="44" t="str">
        <x:v>RAC-S7-04</x:v>
      </x:c>
      <x:c r="C98" s="44" t="str">
        <x:v>S7</x:v>
      </x:c>
      <x:c r="D98" s="45" t="str">
        <x:v>remote isolation access</x:v>
      </x:c>
      <x:c r="E98" s="44" t="str">
        <x:v>COMMON</x:v>
      </x:c>
      <x:c r="F98" s="44" t="n">
        <x:v>4</x:v>
      </x:c>
      <x:c r="G98" s="45" t="str">
        <x:v>major/minor by effect</x:v>
      </x:c>
      <x:c r="H98" s="45" t="str">
        <x:v>geometry, interface, material, process or witness</x:v>
      </x:c>
      <x:c r="I98" s="44" t="str">
        <x:v>configuration authority</x:v>
      </x:c>
      <x:c r="J98" s="44" t="str"/>
      <x:c r="K98" s="44" t="str">
        <x:f>IF(J98="","OPEN","PASS")</x:f>
        <x:v>OPEN</x:v>
      </x:c>
    </x:row>
    <x:row r="99" ht="38" customHeight="1">
      <x:c r="B99" s="44" t="str">
        <x:v>RAC-S7-05</x:v>
      </x:c>
      <x:c r="C99" s="44" t="str">
        <x:v>S7</x:v>
      </x:c>
      <x:c r="D99" s="45" t="str">
        <x:v>rescue extraction path</x:v>
      </x:c>
      <x:c r="E99" s="44" t="str">
        <x:v>COMMON</x:v>
      </x:c>
      <x:c r="F99" s="44" t="n">
        <x:v>5</x:v>
      </x:c>
      <x:c r="G99" s="45" t="str">
        <x:v>major/minor by effect</x:v>
      </x:c>
      <x:c r="H99" s="45" t="str">
        <x:v>geometry, interface, material, process or witness</x:v>
      </x:c>
      <x:c r="I99" s="44" t="str">
        <x:v>configuration authority</x:v>
      </x:c>
      <x:c r="J99" s="44" t="str"/>
      <x:c r="K99" s="44" t="str">
        <x:f>IF(J99="","OPEN","PASS")</x:f>
        <x:v>OPEN</x:v>
      </x:c>
    </x:row>
    <x:row r="100" ht="38" customHeight="1">
      <x:c r="B100" s="44" t="str">
        <x:v>RAC-S7-06</x:v>
      </x:c>
      <x:c r="C100" s="44" t="str">
        <x:v>S7</x:v>
      </x:c>
      <x:c r="D100" s="45" t="str">
        <x:v>personnel exclusion geometry</x:v>
      </x:c>
      <x:c r="E100" s="44" t="str">
        <x:v>COMMON</x:v>
      </x:c>
      <x:c r="F100" s="44" t="n">
        <x:v>6</x:v>
      </x:c>
      <x:c r="G100" s="45" t="str">
        <x:v>major/minor by effect</x:v>
      </x:c>
      <x:c r="H100" s="45" t="str">
        <x:v>geometry, interface, material, process or witness</x:v>
      </x:c>
      <x:c r="I100" s="44" t="str">
        <x:v>configuration authority</x:v>
      </x:c>
      <x:c r="J100" s="44" t="str"/>
      <x:c r="K100" s="44" t="str">
        <x:f>IF(J100="","OPEN","PASS")</x:f>
        <x:v>OPEN</x:v>
      </x:c>
    </x:row>
    <x:row r="101" ht="38" customHeight="1">
      <x:c r="B101" s="44" t="str">
        <x:v>RAC-S7-07</x:v>
      </x:c>
      <x:c r="C101" s="44" t="str">
        <x:v>S7</x:v>
      </x:c>
      <x:c r="D101" s="45" t="str">
        <x:v>weather and washdown protection</x:v>
      </x:c>
      <x:c r="E101" s="44" t="str">
        <x:v>COMMON</x:v>
      </x:c>
      <x:c r="F101" s="44" t="n">
        <x:v>7</x:v>
      </x:c>
      <x:c r="G101" s="45" t="str">
        <x:v>major/minor by effect</x:v>
      </x:c>
      <x:c r="H101" s="45" t="str">
        <x:v>geometry, interface, material, process or witness</x:v>
      </x:c>
      <x:c r="I101" s="44" t="str">
        <x:v>configuration authority</x:v>
      </x:c>
      <x:c r="J101" s="44" t="str"/>
      <x:c r="K101" s="44" t="str">
        <x:f>IF(J101="","OPEN","PASS")</x:f>
        <x:v>OPEN</x:v>
      </x:c>
    </x:row>
    <x:row r="102" ht="38" customHeight="1">
      <x:c r="B102" s="44" t="str">
        <x:v>RAC-S7-08</x:v>
      </x:c>
      <x:c r="C102" s="44" t="str">
        <x:v>S7</x:v>
      </x:c>
      <x:c r="D102" s="45" t="str">
        <x:v>field service and module removal</x:v>
      </x:c>
      <x:c r="E102" s="44" t="str">
        <x:v>COMMON</x:v>
      </x:c>
      <x:c r="F102" s="44" t="n">
        <x:v>8</x:v>
      </x:c>
      <x:c r="G102" s="45" t="str">
        <x:v>major/minor by effect</x:v>
      </x:c>
      <x:c r="H102" s="45" t="str">
        <x:v>geometry, interface, material, process or witness</x:v>
      </x:c>
      <x:c r="I102" s="44" t="str">
        <x:v>configuration authority</x:v>
      </x:c>
      <x:c r="J102" s="44" t="str"/>
      <x:c r="K102" s="44" t="str">
        <x:f>IF(J102="","OPEN","PASS")</x:f>
        <x:v>OPEN</x:v>
      </x:c>
    </x:row>
  </x:sheetData>
  <x:conditionalFormatting sqref="K7:K102">
    <x:cfRule type="containsText" dxfId="10" priority="1" operator="containsText" text="FAIL"/>
    <x:cfRule type="containsText" dxfId="11" priority="2" operator="containsText" text="BLOCKED"/>
    <x:cfRule type="containsText" dxfId="12" priority="3" operator="containsText" text="OPEN"/>
    <x:cfRule type="containsText" dxfId="13" priority="4" operator="containsText" text="PASS"/>
    <x:cfRule type="containsText" dxfId="14" priority="5" operator="containsText" text="PLANN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3" hidden="0" customWidth="1"/>
    <x:col min="3" max="3" width="15" hidden="0" customWidth="1"/>
    <x:col min="4" max="4" width="34" hidden="0" customWidth="1"/>
    <x:col min="5" max="5" width="23" hidden="0" customWidth="1"/>
    <x:col min="6" max="6" width="21" hidden="0" customWidth="1"/>
    <x:col min="7" max="7" width="23" hidden="0" customWidth="1"/>
    <x:col min="8" max="8" width="16" hidden="0" customWidth="1"/>
    <x:col min="9" max="9" width="20" hidden="0" customWidth="1"/>
    <x:col min="10" max="10" width="14" hidden="0" customWidth="1"/>
  </x:cols>
  <x:sheetData>
    <x:row r="2">
      <x:c r="B2" s="41" t="str">
        <x:v>Seventy-two controlled part families</x:v>
      </x:c>
      <x:c r="C2" s="42"/>
      <x:c r="D2" s="42"/>
      <x:c r="E2" s="42"/>
      <x:c r="F2" s="42"/>
      <x:c r="G2" s="42"/>
      <x:c r="H2" s="42"/>
      <x:c r="I2" s="42"/>
      <x:c r="J2" s="42"/>
    </x:row>
    <x:row r="3">
      <x:c r="B3" s="43" t="str">
        <x:v>Twenty-four common families and twenty-four families per lineage keep public interfaces separate from construction mechanism.</x:v>
      </x:c>
      <x:c r="C3" s="42"/>
      <x:c r="D3" s="42"/>
      <x:c r="E3" s="42"/>
      <x:c r="F3" s="42"/>
      <x:c r="G3" s="42"/>
      <x:c r="H3" s="42"/>
      <x:c r="I3" s="42"/>
      <x:c r="J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</x:row>
    <x:row r="6" ht="25" customHeight="1">
      <x:c r="B6" s="6" t="str">
        <x:v>Part family</x:v>
      </x:c>
      <x:c r="C6" s="6" t="str">
        <x:v>Scope</x:v>
      </x:c>
      <x:c r="D6" s="6" t="str">
        <x:v>Description</x:v>
      </x:c>
      <x:c r="E6" s="6" t="str">
        <x:v>Configuration class</x:v>
      </x:c>
      <x:c r="F6" s="6" t="str">
        <x:v>Supply route</x:v>
      </x:c>
      <x:c r="G6" s="6" t="str">
        <x:v>Identity law</x:v>
      </x:c>
      <x:c r="H6" s="6" t="str">
        <x:v>Drawing set</x:v>
      </x:c>
      <x:c r="I6" s="6" t="str">
        <x:v>Accepted UTC</x:v>
      </x:c>
      <x:c r="J6" s="6" t="str">
        <x:v>State</x:v>
      </x:c>
    </x:row>
    <x:row r="7" ht="34" customHeight="1">
      <x:c r="B7" s="44" t="str">
        <x:v>RAC-PF-C-01</x:v>
      </x:c>
      <x:c r="C7" s="44" t="str">
        <x:v>COMMON</x:v>
      </x:c>
      <x:c r="D7" s="45" t="str">
        <x:v>transport datum frame</x:v>
      </x:c>
      <x:c r="E7" s="44" t="str">
        <x:v>CC-01</x:v>
      </x:c>
      <x:c r="F7" s="44" t="str">
        <x:v>public build</x:v>
      </x:c>
      <x:c r="G7" s="44" t="str">
        <x:v>serialized family</x:v>
      </x:c>
      <x:c r="H7" s="44" t="str">
        <x:v>S2</x:v>
      </x:c>
      <x:c r="I7" s="44" t="str"/>
      <x:c r="J7" s="44" t="str">
        <x:f>IF(I7="","OPEN","PASS")</x:f>
        <x:v>OPEN</x:v>
      </x:c>
    </x:row>
    <x:row r="8" ht="34" customHeight="1">
      <x:c r="B8" s="44" t="str">
        <x:v>RAC-PF-C-02</x:v>
      </x:c>
      <x:c r="C8" s="44" t="str">
        <x:v>COMMON</x:v>
      </x:c>
      <x:c r="D8" s="45" t="str">
        <x:v>support saddle family</x:v>
      </x:c>
      <x:c r="E8" s="44" t="str">
        <x:v>CC-02</x:v>
      </x:c>
      <x:c r="F8" s="44" t="str">
        <x:v>qualified supplier</x:v>
      </x:c>
      <x:c r="G8" s="44" t="str">
        <x:v>serialized family</x:v>
      </x:c>
      <x:c r="H8" s="44" t="str">
        <x:v>S2</x:v>
      </x:c>
      <x:c r="I8" s="44" t="str"/>
      <x:c r="J8" s="44" t="str">
        <x:f>IF(I8="","OPEN","PASS")</x:f>
        <x:v>OPEN</x:v>
      </x:c>
    </x:row>
    <x:row r="9" ht="34" customHeight="1">
      <x:c r="B9" s="44" t="str">
        <x:v>RAC-PF-C-03</x:v>
      </x:c>
      <x:c r="C9" s="44" t="str">
        <x:v>COMMON</x:v>
      </x:c>
      <x:c r="D9" s="45" t="str">
        <x:v>wetted segment</x:v>
      </x:c>
      <x:c r="E9" s="44" t="str">
        <x:v>CC-03</x:v>
      </x:c>
      <x:c r="F9" s="44" t="str">
        <x:v>dual route</x:v>
      </x:c>
      <x:c r="G9" s="44" t="str">
        <x:v>serialized family</x:v>
      </x:c>
      <x:c r="H9" s="44" t="str">
        <x:v>S2</x:v>
      </x:c>
      <x:c r="I9" s="44" t="str"/>
      <x:c r="J9" s="44" t="str">
        <x:f>IF(I9="","OPEN","PASS")</x:f>
        <x:v>OPEN</x:v>
      </x:c>
    </x:row>
    <x:row r="10" ht="34" customHeight="1">
      <x:c r="B10" s="44" t="str">
        <x:v>RAC-PF-C-04</x:v>
      </x:c>
      <x:c r="C10" s="44" t="str">
        <x:v>COMMON</x:v>
      </x:c>
      <x:c r="D10" s="45" t="str">
        <x:v>end collar</x:v>
      </x:c>
      <x:c r="E10" s="44" t="str">
        <x:v>CC-04</x:v>
      </x:c>
      <x:c r="F10" s="44" t="str">
        <x:v>public build</x:v>
      </x:c>
      <x:c r="G10" s="44" t="str">
        <x:v>serialized family</x:v>
      </x:c>
      <x:c r="H10" s="44" t="str">
        <x:v>S2</x:v>
      </x:c>
      <x:c r="I10" s="44" t="str"/>
      <x:c r="J10" s="44" t="str">
        <x:f>IF(I10="","OPEN","PASS")</x:f>
        <x:v>OPEN</x:v>
      </x:c>
    </x:row>
    <x:row r="11" ht="34" customHeight="1">
      <x:c r="B11" s="44" t="str">
        <x:v>RAC-PF-C-05</x:v>
      </x:c>
      <x:c r="C11" s="44" t="str">
        <x:v>COMMON</x:v>
      </x:c>
      <x:c r="D11" s="45" t="str">
        <x:v>fill manifold</x:v>
      </x:c>
      <x:c r="E11" s="44" t="str">
        <x:v>CC-05</x:v>
      </x:c>
      <x:c r="F11" s="44" t="str">
        <x:v>qualified supplier</x:v>
      </x:c>
      <x:c r="G11" s="44" t="str">
        <x:v>serialized family</x:v>
      </x:c>
      <x:c r="H11" s="44" t="str">
        <x:v>S2</x:v>
      </x:c>
      <x:c r="I11" s="44" t="str"/>
      <x:c r="J11" s="44" t="str">
        <x:f>IF(I11="","OPEN","PASS")</x:f>
        <x:v>OPEN</x:v>
      </x:c>
    </x:row>
    <x:row r="12" ht="34" customHeight="1">
      <x:c r="B12" s="44" t="str">
        <x:v>RAC-PF-C-06</x:v>
      </x:c>
      <x:c r="C12" s="44" t="str">
        <x:v>COMMON</x:v>
      </x:c>
      <x:c r="D12" s="45" t="str">
        <x:v>drain manifold</x:v>
      </x:c>
      <x:c r="E12" s="44" t="str">
        <x:v>CC-06</x:v>
      </x:c>
      <x:c r="F12" s="44" t="str">
        <x:v>dual route</x:v>
      </x:c>
      <x:c r="G12" s="44" t="str">
        <x:v>serialized family</x:v>
      </x:c>
      <x:c r="H12" s="44" t="str">
        <x:v>S2</x:v>
      </x:c>
      <x:c r="I12" s="44" t="str"/>
      <x:c r="J12" s="44" t="str">
        <x:f>IF(I12="","OPEN","PASS")</x:f>
        <x:v>OPEN</x:v>
      </x:c>
    </x:row>
    <x:row r="13" ht="34" customHeight="1">
      <x:c r="B13" s="44" t="str">
        <x:v>RAC-PF-C-07</x:v>
      </x:c>
      <x:c r="C13" s="44" t="str">
        <x:v>COMMON</x:v>
      </x:c>
      <x:c r="D13" s="45" t="str">
        <x:v>source-surrogate vessel</x:v>
      </x:c>
      <x:c r="E13" s="44" t="str">
        <x:v>CC-07</x:v>
      </x:c>
      <x:c r="F13" s="44" t="str">
        <x:v>public build</x:v>
      </x:c>
      <x:c r="G13" s="44" t="str">
        <x:v>serialized family</x:v>
      </x:c>
      <x:c r="H13" s="44" t="str">
        <x:v>S2</x:v>
      </x:c>
      <x:c r="I13" s="44" t="str"/>
      <x:c r="J13" s="44" t="str">
        <x:f>IF(I13="","OPEN","PASS")</x:f>
        <x:v>OPEN</x:v>
      </x:c>
    </x:row>
    <x:row r="14" ht="34" customHeight="1">
      <x:c r="B14" s="44" t="str">
        <x:v>RAC-PF-C-08</x:v>
      </x:c>
      <x:c r="C14" s="44" t="str">
        <x:v>COMMON</x:v>
      </x:c>
      <x:c r="D14" s="45" t="str">
        <x:v>dispenser</x:v>
      </x:c>
      <x:c r="E14" s="44" t="str">
        <x:v>CC-08</x:v>
      </x:c>
      <x:c r="F14" s="44" t="str">
        <x:v>qualified supplier</x:v>
      </x:c>
      <x:c r="G14" s="44" t="str">
        <x:v>serialized family</x:v>
      </x:c>
      <x:c r="H14" s="44" t="str">
        <x:v>S2</x:v>
      </x:c>
      <x:c r="I14" s="44" t="str"/>
      <x:c r="J14" s="44" t="str">
        <x:f>IF(I14="","OPEN","PASS")</x:f>
        <x:v>OPEN</x:v>
      </x:c>
    </x:row>
    <x:row r="15" ht="34" customHeight="1">
      <x:c r="B15" s="44" t="str">
        <x:v>RAC-PF-C-09</x:v>
      </x:c>
      <x:c r="C15" s="44" t="str">
        <x:v>COMMON</x:v>
      </x:c>
      <x:c r="D15" s="45" t="str">
        <x:v>normal receiver</x:v>
      </x:c>
      <x:c r="E15" s="44" t="str">
        <x:v>CC-09</x:v>
      </x:c>
      <x:c r="F15" s="44" t="str">
        <x:v>dual route</x:v>
      </x:c>
      <x:c r="G15" s="44" t="str">
        <x:v>serialized family</x:v>
      </x:c>
      <x:c r="H15" s="44" t="str">
        <x:v>S4</x:v>
      </x:c>
      <x:c r="I15" s="44" t="str"/>
      <x:c r="J15" s="44" t="str">
        <x:f>IF(I15="","OPEN","PASS")</x:f>
        <x:v>OPEN</x:v>
      </x:c>
    </x:row>
    <x:row r="16" ht="34" customHeight="1">
      <x:c r="B16" s="44" t="str">
        <x:v>RAC-PF-C-10</x:v>
      </x:c>
      <x:c r="C16" s="44" t="str">
        <x:v>COMMON</x:v>
      </x:c>
      <x:c r="D16" s="45" t="str">
        <x:v>casualty receiver</x:v>
      </x:c>
      <x:c r="E16" s="44" t="str">
        <x:v>CC-10</x:v>
      </x:c>
      <x:c r="F16" s="44" t="str">
        <x:v>public build</x:v>
      </x:c>
      <x:c r="G16" s="44" t="str">
        <x:v>serialized family</x:v>
      </x:c>
      <x:c r="H16" s="44" t="str">
        <x:v>S4</x:v>
      </x:c>
      <x:c r="I16" s="44" t="str"/>
      <x:c r="J16" s="44" t="str">
        <x:f>IF(I16="","OPEN","PASS")</x:f>
        <x:v>OPEN</x:v>
      </x:c>
    </x:row>
    <x:row r="17" ht="34" customHeight="1">
      <x:c r="B17" s="44" t="str">
        <x:v>RAC-PF-C-11</x:v>
      </x:c>
      <x:c r="C17" s="44" t="str">
        <x:v>COMMON</x:v>
      </x:c>
      <x:c r="D17" s="45" t="str">
        <x:v>inner pan</x:v>
      </x:c>
      <x:c r="E17" s="44" t="str">
        <x:v>CC-11</x:v>
      </x:c>
      <x:c r="F17" s="44" t="str">
        <x:v>qualified supplier</x:v>
      </x:c>
      <x:c r="G17" s="44" t="str">
        <x:v>serialized family</x:v>
      </x:c>
      <x:c r="H17" s="44" t="str">
        <x:v>S4</x:v>
      </x:c>
      <x:c r="I17" s="44" t="str"/>
      <x:c r="J17" s="44" t="str">
        <x:f>IF(I17="","OPEN","PASS")</x:f>
        <x:v>OPEN</x:v>
      </x:c>
    </x:row>
    <x:row r="18" ht="34" customHeight="1">
      <x:c r="B18" s="44" t="str">
        <x:v>RAC-PF-C-12</x:v>
      </x:c>
      <x:c r="C18" s="44" t="str">
        <x:v>COMMON</x:v>
      </x:c>
      <x:c r="D18" s="45" t="str">
        <x:v>source inlet boundary</x:v>
      </x:c>
      <x:c r="E18" s="44" t="str">
        <x:v>CC-12</x:v>
      </x:c>
      <x:c r="F18" s="44" t="str">
        <x:v>dual route</x:v>
      </x:c>
      <x:c r="G18" s="44" t="str">
        <x:v>serialized family</x:v>
      </x:c>
      <x:c r="H18" s="44" t="str">
        <x:v>S4</x:v>
      </x:c>
      <x:c r="I18" s="44" t="str"/>
      <x:c r="J18" s="44" t="str">
        <x:f>IF(I18="","OPEN","PASS")</x:f>
        <x:v>OPEN</x:v>
      </x:c>
    </x:row>
    <x:row r="19" ht="34" customHeight="1">
      <x:c r="B19" s="44" t="str">
        <x:v>RAC-PF-C-13</x:v>
      </x:c>
      <x:c r="C19" s="44" t="str">
        <x:v>COMMON</x:v>
      </x:c>
      <x:c r="D19" s="45" t="str">
        <x:v>dispenser boundary</x:v>
      </x:c>
      <x:c r="E19" s="44" t="str">
        <x:v>CC-13</x:v>
      </x:c>
      <x:c r="F19" s="44" t="str">
        <x:v>public build</x:v>
      </x:c>
      <x:c r="G19" s="44" t="str">
        <x:v>serialized family</x:v>
      </x:c>
      <x:c r="H19" s="44" t="str">
        <x:v>S4</x:v>
      </x:c>
      <x:c r="I19" s="44" t="str"/>
      <x:c r="J19" s="44" t="str">
        <x:f>IF(I19="","OPEN","PASS")</x:f>
        <x:v>OPEN</x:v>
      </x:c>
    </x:row>
    <x:row r="20" ht="34" customHeight="1">
      <x:c r="B20" s="44" t="str">
        <x:v>RAC-PF-C-14</x:v>
      </x:c>
      <x:c r="C20" s="44" t="str">
        <x:v>COMMON</x:v>
      </x:c>
      <x:c r="D20" s="45" t="str">
        <x:v>gravity diverter</x:v>
      </x:c>
      <x:c r="E20" s="44" t="str">
        <x:v>CC-14</x:v>
      </x:c>
      <x:c r="F20" s="44" t="str">
        <x:v>qualified supplier</x:v>
      </x:c>
      <x:c r="G20" s="44" t="str">
        <x:v>serialized family</x:v>
      </x:c>
      <x:c r="H20" s="44" t="str">
        <x:v>S4</x:v>
      </x:c>
      <x:c r="I20" s="44" t="str"/>
      <x:c r="J20" s="44" t="str">
        <x:f>IF(I20="","OPEN","PASS")</x:f>
        <x:v>OPEN</x:v>
      </x:c>
    </x:row>
    <x:row r="21" ht="34" customHeight="1">
      <x:c r="B21" s="44" t="str">
        <x:v>RAC-PF-C-15</x:v>
      </x:c>
      <x:c r="C21" s="44" t="str">
        <x:v>COMMON</x:v>
      </x:c>
      <x:c r="D21" s="45" t="str">
        <x:v>normal receiver boundary</x:v>
      </x:c>
      <x:c r="E21" s="44" t="str">
        <x:v>CC-15</x:v>
      </x:c>
      <x:c r="F21" s="44" t="str">
        <x:v>dual route</x:v>
      </x:c>
      <x:c r="G21" s="44" t="str">
        <x:v>serialized family</x:v>
      </x:c>
      <x:c r="H21" s="44" t="str">
        <x:v>S4</x:v>
      </x:c>
      <x:c r="I21" s="44" t="str"/>
      <x:c r="J21" s="44" t="str">
        <x:f>IF(I21="","OPEN","PASS")</x:f>
        <x:v>OPEN</x:v>
      </x:c>
    </x:row>
    <x:row r="22" ht="34" customHeight="1">
      <x:c r="B22" s="44" t="str">
        <x:v>RAC-PF-C-16</x:v>
      </x:c>
      <x:c r="C22" s="44" t="str">
        <x:v>COMMON</x:v>
      </x:c>
      <x:c r="D22" s="45" t="str">
        <x:v>casualty diverter</x:v>
      </x:c>
      <x:c r="E22" s="44" t="str">
        <x:v>CC-16</x:v>
      </x:c>
      <x:c r="F22" s="44" t="str">
        <x:v>public build</x:v>
      </x:c>
      <x:c r="G22" s="44" t="str">
        <x:v>serialized family</x:v>
      </x:c>
      <x:c r="H22" s="44" t="str">
        <x:v>S4</x:v>
      </x:c>
      <x:c r="I22" s="44" t="str"/>
      <x:c r="J22" s="44" t="str">
        <x:f>IF(I22="","OPEN","PASS")</x:f>
        <x:v>OPEN</x:v>
      </x:c>
    </x:row>
    <x:row r="23" ht="34" customHeight="1">
      <x:c r="B23" s="44" t="str">
        <x:v>RAC-PF-C-17</x:v>
      </x:c>
      <x:c r="C23" s="44" t="str">
        <x:v>COMMON</x:v>
      </x:c>
      <x:c r="D23" s="45" t="str">
        <x:v>water isolation</x:v>
      </x:c>
      <x:c r="E23" s="44" t="str">
        <x:v>CC-17</x:v>
      </x:c>
      <x:c r="F23" s="44" t="str">
        <x:v>qualified supplier</x:v>
      </x:c>
      <x:c r="G23" s="44" t="str">
        <x:v>serialized family</x:v>
      </x:c>
      <x:c r="H23" s="44" t="str">
        <x:v>S4</x:v>
      </x:c>
      <x:c r="I23" s="44" t="str"/>
      <x:c r="J23" s="44" t="str">
        <x:f>IF(I23="","OPEN","PASS")</x:f>
        <x:v>OPEN</x:v>
      </x:c>
    </x:row>
    <x:row r="24" ht="34" customHeight="1">
      <x:c r="B24" s="44" t="str">
        <x:v>RAC-PF-C-18</x:v>
      </x:c>
      <x:c r="C24" s="44" t="str">
        <x:v>COMMON</x:v>
      </x:c>
      <x:c r="D24" s="45" t="str">
        <x:v>electrical isolation</x:v>
      </x:c>
      <x:c r="E24" s="44" t="str">
        <x:v>CC-18</x:v>
      </x:c>
      <x:c r="F24" s="44" t="str">
        <x:v>dual route</x:v>
      </x:c>
      <x:c r="G24" s="44" t="str">
        <x:v>serialized family</x:v>
      </x:c>
      <x:c r="H24" s="44" t="str">
        <x:v>S4</x:v>
      </x:c>
      <x:c r="I24" s="44" t="str"/>
      <x:c r="J24" s="44" t="str">
        <x:f>IF(I24="","OPEN","PASS")</x:f>
        <x:v>OPEN</x:v>
      </x:c>
    </x:row>
    <x:row r="25" ht="34" customHeight="1">
      <x:c r="B25" s="44" t="str">
        <x:v>RAC-PF-C-19</x:v>
      </x:c>
      <x:c r="C25" s="44" t="str">
        <x:v>COMMON</x:v>
      </x:c>
      <x:c r="D25" s="45" t="str">
        <x:v>environment vent</x:v>
      </x:c>
      <x:c r="E25" s="44" t="str">
        <x:v>CC-19</x:v>
      </x:c>
      <x:c r="F25" s="44" t="str">
        <x:v>public build</x:v>
      </x:c>
      <x:c r="G25" s="44" t="str">
        <x:v>serialized family</x:v>
      </x:c>
      <x:c r="H25" s="44" t="str">
        <x:v>S4</x:v>
      </x:c>
      <x:c r="I25" s="44" t="str"/>
      <x:c r="J25" s="44" t="str">
        <x:f>IF(I25="","OPEN","PASS")</x:f>
        <x:v>OPEN</x:v>
      </x:c>
    </x:row>
    <x:row r="26" ht="34" customHeight="1">
      <x:c r="B26" s="44" t="str">
        <x:v>RAC-PF-C-20</x:v>
      </x:c>
      <x:c r="C26" s="44" t="str">
        <x:v>COMMON</x:v>
      </x:c>
      <x:c r="D26" s="45" t="str">
        <x:v>evidence latch</x:v>
      </x:c>
      <x:c r="E26" s="44" t="str">
        <x:v>CC-20</x:v>
      </x:c>
      <x:c r="F26" s="44" t="str">
        <x:v>qualified supplier</x:v>
      </x:c>
      <x:c r="G26" s="44" t="str">
        <x:v>serialized family</x:v>
      </x:c>
      <x:c r="H26" s="44" t="str">
        <x:v>S4</x:v>
      </x:c>
      <x:c r="I26" s="44" t="str"/>
      <x:c r="J26" s="44" t="str">
        <x:f>IF(I26="","OPEN","PASS")</x:f>
        <x:v>OPEN</x:v>
      </x:c>
    </x:row>
    <x:row r="27" ht="34" customHeight="1">
      <x:c r="B27" s="44" t="str">
        <x:v>RAC-PF-C-21</x:v>
      </x:c>
      <x:c r="C27" s="44" t="str">
        <x:v>COMMON</x:v>
      </x:c>
      <x:c r="D27" s="45" t="str">
        <x:v>safety-energy cassette</x:v>
      </x:c>
      <x:c r="E27" s="44" t="str">
        <x:v>CC-21</x:v>
      </x:c>
      <x:c r="F27" s="44" t="str">
        <x:v>dual route</x:v>
      </x:c>
      <x:c r="G27" s="44" t="str">
        <x:v>serialized family</x:v>
      </x:c>
      <x:c r="H27" s="44" t="str">
        <x:v>S6</x:v>
      </x:c>
      <x:c r="I27" s="44" t="str"/>
      <x:c r="J27" s="44" t="str">
        <x:f>IF(I27="","OPEN","PASS")</x:f>
        <x:v>OPEN</x:v>
      </x:c>
    </x:row>
    <x:row r="28" ht="34" customHeight="1">
      <x:c r="B28" s="44" t="str">
        <x:v>RAC-PF-C-22</x:v>
      </x:c>
      <x:c r="C28" s="44" t="str">
        <x:v>COMMON</x:v>
      </x:c>
      <x:c r="D28" s="45" t="str">
        <x:v>measurement spine</x:v>
      </x:c>
      <x:c r="E28" s="44" t="str">
        <x:v>CC-22</x:v>
      </x:c>
      <x:c r="F28" s="44" t="str">
        <x:v>public build</x:v>
      </x:c>
      <x:c r="G28" s="44" t="str">
        <x:v>serialized family</x:v>
      </x:c>
      <x:c r="H28" s="44" t="str">
        <x:v>S6</x:v>
      </x:c>
      <x:c r="I28" s="44" t="str"/>
      <x:c r="J28" s="44" t="str">
        <x:f>IF(I28="","OPEN","PASS")</x:f>
        <x:v>OPEN</x:v>
      </x:c>
    </x:row>
    <x:row r="29" ht="34" customHeight="1">
      <x:c r="B29" s="44" t="str">
        <x:v>RAC-PF-C-23</x:v>
      </x:c>
      <x:c r="C29" s="44" t="str">
        <x:v>COMMON</x:v>
      </x:c>
      <x:c r="D29" s="45" t="str">
        <x:v>local evidence vault</x:v>
      </x:c>
      <x:c r="E29" s="44" t="str">
        <x:v>CC-23</x:v>
      </x:c>
      <x:c r="F29" s="44" t="str">
        <x:v>qualified supplier</x:v>
      </x:c>
      <x:c r="G29" s="44" t="str">
        <x:v>serialized family</x:v>
      </x:c>
      <x:c r="H29" s="44" t="str">
        <x:v>S6</x:v>
      </x:c>
      <x:c r="I29" s="44" t="str"/>
      <x:c r="J29" s="44" t="str">
        <x:f>IF(I29="","OPEN","PASS")</x:f>
        <x:v>OPEN</x:v>
      </x:c>
    </x:row>
    <x:row r="30" ht="34" customHeight="1">
      <x:c r="B30" s="44" t="str">
        <x:v>RAC-PF-C-24</x:v>
      </x:c>
      <x:c r="C30" s="44" t="str">
        <x:v>COMMON</x:v>
      </x:c>
      <x:c r="D30" s="45" t="str">
        <x:v>rescue disconnect</x:v>
      </x:c>
      <x:c r="E30" s="44" t="str">
        <x:v>CC-24</x:v>
      </x:c>
      <x:c r="F30" s="44" t="str">
        <x:v>dual route</x:v>
      </x:c>
      <x:c r="G30" s="44" t="str">
        <x:v>serialized family</x:v>
      </x:c>
      <x:c r="H30" s="44" t="str">
        <x:v>S6</x:v>
      </x:c>
      <x:c r="I30" s="44" t="str"/>
      <x:c r="J30" s="44" t="str">
        <x:f>IF(I30="","OPEN","PASS")</x:f>
        <x:v>OPEN</x:v>
      </x:c>
    </x:row>
    <x:row r="31" ht="34" customHeight="1">
      <x:c r="B31" s="44" t="str">
        <x:v>RAC-PF-X-01</x:v>
      </x:c>
      <x:c r="C31" s="44" t="str">
        <x:v>BL-X</x:v>
      </x:c>
      <x:c r="D31" s="45" t="str">
        <x:v>transport datum frame</x:v>
      </x:c>
      <x:c r="E31" s="44" t="str">
        <x:v>CC-01</x:v>
      </x:c>
      <x:c r="F31" s="44" t="str">
        <x:v>public build</x:v>
      </x:c>
      <x:c r="G31" s="44" t="str">
        <x:v>serialized family</x:v>
      </x:c>
      <x:c r="H31" s="44" t="str">
        <x:v>S2</x:v>
      </x:c>
      <x:c r="I31" s="44" t="str"/>
      <x:c r="J31" s="44" t="str">
        <x:f>IF(I31="","OPEN","PASS")</x:f>
        <x:v>OPEN</x:v>
      </x:c>
    </x:row>
    <x:row r="32" ht="34" customHeight="1">
      <x:c r="B32" s="44" t="str">
        <x:v>RAC-PF-X-02</x:v>
      </x:c>
      <x:c r="C32" s="44" t="str">
        <x:v>BL-X</x:v>
      </x:c>
      <x:c r="D32" s="45" t="str">
        <x:v>support saddle family</x:v>
      </x:c>
      <x:c r="E32" s="44" t="str">
        <x:v>CC-02</x:v>
      </x:c>
      <x:c r="F32" s="44" t="str">
        <x:v>qualified supplier</x:v>
      </x:c>
      <x:c r="G32" s="44" t="str">
        <x:v>serialized family</x:v>
      </x:c>
      <x:c r="H32" s="44" t="str">
        <x:v>S2</x:v>
      </x:c>
      <x:c r="I32" s="44" t="str"/>
      <x:c r="J32" s="44" t="str">
        <x:f>IF(I32="","OPEN","PASS")</x:f>
        <x:v>OPEN</x:v>
      </x:c>
    </x:row>
    <x:row r="33" ht="34" customHeight="1">
      <x:c r="B33" s="44" t="str">
        <x:v>RAC-PF-X-03</x:v>
      </x:c>
      <x:c r="C33" s="44" t="str">
        <x:v>BL-X</x:v>
      </x:c>
      <x:c r="D33" s="45" t="str">
        <x:v>wetted segment</x:v>
      </x:c>
      <x:c r="E33" s="44" t="str">
        <x:v>CC-03</x:v>
      </x:c>
      <x:c r="F33" s="44" t="str">
        <x:v>dual route</x:v>
      </x:c>
      <x:c r="G33" s="44" t="str">
        <x:v>serialized family</x:v>
      </x:c>
      <x:c r="H33" s="44" t="str">
        <x:v>S2</x:v>
      </x:c>
      <x:c r="I33" s="44" t="str"/>
      <x:c r="J33" s="44" t="str">
        <x:f>IF(I33="","OPEN","PASS")</x:f>
        <x:v>OPEN</x:v>
      </x:c>
    </x:row>
    <x:row r="34" ht="34" customHeight="1">
      <x:c r="B34" s="44" t="str">
        <x:v>RAC-PF-X-04</x:v>
      </x:c>
      <x:c r="C34" s="44" t="str">
        <x:v>BL-X</x:v>
      </x:c>
      <x:c r="D34" s="45" t="str">
        <x:v>end collar</x:v>
      </x:c>
      <x:c r="E34" s="44" t="str">
        <x:v>CC-04</x:v>
      </x:c>
      <x:c r="F34" s="44" t="str">
        <x:v>public build</x:v>
      </x:c>
      <x:c r="G34" s="44" t="str">
        <x:v>serialized family</x:v>
      </x:c>
      <x:c r="H34" s="44" t="str">
        <x:v>S2</x:v>
      </x:c>
      <x:c r="I34" s="44" t="str"/>
      <x:c r="J34" s="44" t="str">
        <x:f>IF(I34="","OPEN","PASS")</x:f>
        <x:v>OPEN</x:v>
      </x:c>
    </x:row>
    <x:row r="35" ht="34" customHeight="1">
      <x:c r="B35" s="44" t="str">
        <x:v>RAC-PF-X-05</x:v>
      </x:c>
      <x:c r="C35" s="44" t="str">
        <x:v>BL-X</x:v>
      </x:c>
      <x:c r="D35" s="45" t="str">
        <x:v>fill manifold</x:v>
      </x:c>
      <x:c r="E35" s="44" t="str">
        <x:v>CC-05</x:v>
      </x:c>
      <x:c r="F35" s="44" t="str">
        <x:v>qualified supplier</x:v>
      </x:c>
      <x:c r="G35" s="44" t="str">
        <x:v>serialized family</x:v>
      </x:c>
      <x:c r="H35" s="44" t="str">
        <x:v>S2</x:v>
      </x:c>
      <x:c r="I35" s="44" t="str"/>
      <x:c r="J35" s="44" t="str">
        <x:f>IF(I35="","OPEN","PASS")</x:f>
        <x:v>OPEN</x:v>
      </x:c>
    </x:row>
    <x:row r="36" ht="34" customHeight="1">
      <x:c r="B36" s="44" t="str">
        <x:v>RAC-PF-X-06</x:v>
      </x:c>
      <x:c r="C36" s="44" t="str">
        <x:v>BL-X</x:v>
      </x:c>
      <x:c r="D36" s="45" t="str">
        <x:v>drain manifold</x:v>
      </x:c>
      <x:c r="E36" s="44" t="str">
        <x:v>CC-06</x:v>
      </x:c>
      <x:c r="F36" s="44" t="str">
        <x:v>dual route</x:v>
      </x:c>
      <x:c r="G36" s="44" t="str">
        <x:v>serialized family</x:v>
      </x:c>
      <x:c r="H36" s="44" t="str">
        <x:v>S2</x:v>
      </x:c>
      <x:c r="I36" s="44" t="str"/>
      <x:c r="J36" s="44" t="str">
        <x:f>IF(I36="","OPEN","PASS")</x:f>
        <x:v>OPEN</x:v>
      </x:c>
    </x:row>
    <x:row r="37" ht="34" customHeight="1">
      <x:c r="B37" s="44" t="str">
        <x:v>RAC-PF-X-07</x:v>
      </x:c>
      <x:c r="C37" s="44" t="str">
        <x:v>BL-X</x:v>
      </x:c>
      <x:c r="D37" s="45" t="str">
        <x:v>source-surrogate vessel</x:v>
      </x:c>
      <x:c r="E37" s="44" t="str">
        <x:v>CC-07</x:v>
      </x:c>
      <x:c r="F37" s="44" t="str">
        <x:v>public build</x:v>
      </x:c>
      <x:c r="G37" s="44" t="str">
        <x:v>serialized family</x:v>
      </x:c>
      <x:c r="H37" s="44" t="str">
        <x:v>S2</x:v>
      </x:c>
      <x:c r="I37" s="44" t="str"/>
      <x:c r="J37" s="44" t="str">
        <x:f>IF(I37="","OPEN","PASS")</x:f>
        <x:v>OPEN</x:v>
      </x:c>
    </x:row>
    <x:row r="38" ht="34" customHeight="1">
      <x:c r="B38" s="44" t="str">
        <x:v>RAC-PF-X-08</x:v>
      </x:c>
      <x:c r="C38" s="44" t="str">
        <x:v>BL-X</x:v>
      </x:c>
      <x:c r="D38" s="45" t="str">
        <x:v>dispenser</x:v>
      </x:c>
      <x:c r="E38" s="44" t="str">
        <x:v>CC-08</x:v>
      </x:c>
      <x:c r="F38" s="44" t="str">
        <x:v>qualified supplier</x:v>
      </x:c>
      <x:c r="G38" s="44" t="str">
        <x:v>serialized family</x:v>
      </x:c>
      <x:c r="H38" s="44" t="str">
        <x:v>S2</x:v>
      </x:c>
      <x:c r="I38" s="44" t="str"/>
      <x:c r="J38" s="44" t="str">
        <x:f>IF(I38="","OPEN","PASS")</x:f>
        <x:v>OPEN</x:v>
      </x:c>
    </x:row>
    <x:row r="39" ht="34" customHeight="1">
      <x:c r="B39" s="44" t="str">
        <x:v>RAC-PF-X-09</x:v>
      </x:c>
      <x:c r="C39" s="44" t="str">
        <x:v>BL-X</x:v>
      </x:c>
      <x:c r="D39" s="45" t="str">
        <x:v>normal receiver</x:v>
      </x:c>
      <x:c r="E39" s="44" t="str">
        <x:v>CC-09</x:v>
      </x:c>
      <x:c r="F39" s="44" t="str">
        <x:v>dual route</x:v>
      </x:c>
      <x:c r="G39" s="44" t="str">
        <x:v>serialized family</x:v>
      </x:c>
      <x:c r="H39" s="44" t="str">
        <x:v>S4</x:v>
      </x:c>
      <x:c r="I39" s="44" t="str"/>
      <x:c r="J39" s="44" t="str">
        <x:f>IF(I39="","OPEN","PASS")</x:f>
        <x:v>OPEN</x:v>
      </x:c>
    </x:row>
    <x:row r="40" ht="34" customHeight="1">
      <x:c r="B40" s="44" t="str">
        <x:v>RAC-PF-X-10</x:v>
      </x:c>
      <x:c r="C40" s="44" t="str">
        <x:v>BL-X</x:v>
      </x:c>
      <x:c r="D40" s="45" t="str">
        <x:v>casualty receiver</x:v>
      </x:c>
      <x:c r="E40" s="44" t="str">
        <x:v>CC-10</x:v>
      </x:c>
      <x:c r="F40" s="44" t="str">
        <x:v>public build</x:v>
      </x:c>
      <x:c r="G40" s="44" t="str">
        <x:v>serialized family</x:v>
      </x:c>
      <x:c r="H40" s="44" t="str">
        <x:v>S4</x:v>
      </x:c>
      <x:c r="I40" s="44" t="str"/>
      <x:c r="J40" s="44" t="str">
        <x:f>IF(I40="","OPEN","PASS")</x:f>
        <x:v>OPEN</x:v>
      </x:c>
    </x:row>
    <x:row r="41" ht="34" customHeight="1">
      <x:c r="B41" s="44" t="str">
        <x:v>RAC-PF-X-11</x:v>
      </x:c>
      <x:c r="C41" s="44" t="str">
        <x:v>BL-X</x:v>
      </x:c>
      <x:c r="D41" s="45" t="str">
        <x:v>inner pan</x:v>
      </x:c>
      <x:c r="E41" s="44" t="str">
        <x:v>CC-11</x:v>
      </x:c>
      <x:c r="F41" s="44" t="str">
        <x:v>qualified supplier</x:v>
      </x:c>
      <x:c r="G41" s="44" t="str">
        <x:v>serialized family</x:v>
      </x:c>
      <x:c r="H41" s="44" t="str">
        <x:v>S4</x:v>
      </x:c>
      <x:c r="I41" s="44" t="str"/>
      <x:c r="J41" s="44" t="str">
        <x:f>IF(I41="","OPEN","PASS")</x:f>
        <x:v>OPEN</x:v>
      </x:c>
    </x:row>
    <x:row r="42" ht="34" customHeight="1">
      <x:c r="B42" s="44" t="str">
        <x:v>RAC-PF-X-12</x:v>
      </x:c>
      <x:c r="C42" s="44" t="str">
        <x:v>BL-X</x:v>
      </x:c>
      <x:c r="D42" s="45" t="str">
        <x:v>source inlet boundary</x:v>
      </x:c>
      <x:c r="E42" s="44" t="str">
        <x:v>CC-12</x:v>
      </x:c>
      <x:c r="F42" s="44" t="str">
        <x:v>dual route</x:v>
      </x:c>
      <x:c r="G42" s="44" t="str">
        <x:v>serialized family</x:v>
      </x:c>
      <x:c r="H42" s="44" t="str">
        <x:v>S4</x:v>
      </x:c>
      <x:c r="I42" s="44" t="str"/>
      <x:c r="J42" s="44" t="str">
        <x:f>IF(I42="","OPEN","PASS")</x:f>
        <x:v>OPEN</x:v>
      </x:c>
    </x:row>
    <x:row r="43" ht="34" customHeight="1">
      <x:c r="B43" s="44" t="str">
        <x:v>RAC-PF-X-13</x:v>
      </x:c>
      <x:c r="C43" s="44" t="str">
        <x:v>BL-X</x:v>
      </x:c>
      <x:c r="D43" s="45" t="str">
        <x:v>dispenser boundary</x:v>
      </x:c>
      <x:c r="E43" s="44" t="str">
        <x:v>CC-13</x:v>
      </x:c>
      <x:c r="F43" s="44" t="str">
        <x:v>public build</x:v>
      </x:c>
      <x:c r="G43" s="44" t="str">
        <x:v>serialized family</x:v>
      </x:c>
      <x:c r="H43" s="44" t="str">
        <x:v>S4</x:v>
      </x:c>
      <x:c r="I43" s="44" t="str"/>
      <x:c r="J43" s="44" t="str">
        <x:f>IF(I43="","OPEN","PASS")</x:f>
        <x:v>OPEN</x:v>
      </x:c>
    </x:row>
    <x:row r="44" ht="34" customHeight="1">
      <x:c r="B44" s="44" t="str">
        <x:v>RAC-PF-X-14</x:v>
      </x:c>
      <x:c r="C44" s="44" t="str">
        <x:v>BL-X</x:v>
      </x:c>
      <x:c r="D44" s="45" t="str">
        <x:v>gravity diverter</x:v>
      </x:c>
      <x:c r="E44" s="44" t="str">
        <x:v>CC-14</x:v>
      </x:c>
      <x:c r="F44" s="44" t="str">
        <x:v>qualified supplier</x:v>
      </x:c>
      <x:c r="G44" s="44" t="str">
        <x:v>serialized family</x:v>
      </x:c>
      <x:c r="H44" s="44" t="str">
        <x:v>S4</x:v>
      </x:c>
      <x:c r="I44" s="44" t="str"/>
      <x:c r="J44" s="44" t="str">
        <x:f>IF(I44="","OPEN","PASS")</x:f>
        <x:v>OPEN</x:v>
      </x:c>
    </x:row>
    <x:row r="45" ht="34" customHeight="1">
      <x:c r="B45" s="44" t="str">
        <x:v>RAC-PF-X-15</x:v>
      </x:c>
      <x:c r="C45" s="44" t="str">
        <x:v>BL-X</x:v>
      </x:c>
      <x:c r="D45" s="45" t="str">
        <x:v>normal receiver boundary</x:v>
      </x:c>
      <x:c r="E45" s="44" t="str">
        <x:v>CC-15</x:v>
      </x:c>
      <x:c r="F45" s="44" t="str">
        <x:v>dual route</x:v>
      </x:c>
      <x:c r="G45" s="44" t="str">
        <x:v>serialized family</x:v>
      </x:c>
      <x:c r="H45" s="44" t="str">
        <x:v>S4</x:v>
      </x:c>
      <x:c r="I45" s="44" t="str"/>
      <x:c r="J45" s="44" t="str">
        <x:f>IF(I45="","OPEN","PASS")</x:f>
        <x:v>OPEN</x:v>
      </x:c>
    </x:row>
    <x:row r="46" ht="34" customHeight="1">
      <x:c r="B46" s="44" t="str">
        <x:v>RAC-PF-X-16</x:v>
      </x:c>
      <x:c r="C46" s="44" t="str">
        <x:v>BL-X</x:v>
      </x:c>
      <x:c r="D46" s="45" t="str">
        <x:v>casualty diverter</x:v>
      </x:c>
      <x:c r="E46" s="44" t="str">
        <x:v>CC-16</x:v>
      </x:c>
      <x:c r="F46" s="44" t="str">
        <x:v>public build</x:v>
      </x:c>
      <x:c r="G46" s="44" t="str">
        <x:v>serialized family</x:v>
      </x:c>
      <x:c r="H46" s="44" t="str">
        <x:v>S4</x:v>
      </x:c>
      <x:c r="I46" s="44" t="str"/>
      <x:c r="J46" s="44" t="str">
        <x:f>IF(I46="","OPEN","PASS")</x:f>
        <x:v>OPEN</x:v>
      </x:c>
    </x:row>
    <x:row r="47" ht="34" customHeight="1">
      <x:c r="B47" s="44" t="str">
        <x:v>RAC-PF-X-17</x:v>
      </x:c>
      <x:c r="C47" s="44" t="str">
        <x:v>BL-X</x:v>
      </x:c>
      <x:c r="D47" s="45" t="str">
        <x:v>water isolation</x:v>
      </x:c>
      <x:c r="E47" s="44" t="str">
        <x:v>CC-17</x:v>
      </x:c>
      <x:c r="F47" s="44" t="str">
        <x:v>qualified supplier</x:v>
      </x:c>
      <x:c r="G47" s="44" t="str">
        <x:v>serialized family</x:v>
      </x:c>
      <x:c r="H47" s="44" t="str">
        <x:v>S4</x:v>
      </x:c>
      <x:c r="I47" s="44" t="str"/>
      <x:c r="J47" s="44" t="str">
        <x:f>IF(I47="","OPEN","PASS")</x:f>
        <x:v>OPEN</x:v>
      </x:c>
    </x:row>
    <x:row r="48" ht="34" customHeight="1">
      <x:c r="B48" s="44" t="str">
        <x:v>RAC-PF-X-18</x:v>
      </x:c>
      <x:c r="C48" s="44" t="str">
        <x:v>BL-X</x:v>
      </x:c>
      <x:c r="D48" s="45" t="str">
        <x:v>electrical isolation</x:v>
      </x:c>
      <x:c r="E48" s="44" t="str">
        <x:v>CC-18</x:v>
      </x:c>
      <x:c r="F48" s="44" t="str">
        <x:v>dual route</x:v>
      </x:c>
      <x:c r="G48" s="44" t="str">
        <x:v>serialized family</x:v>
      </x:c>
      <x:c r="H48" s="44" t="str">
        <x:v>S4</x:v>
      </x:c>
      <x:c r="I48" s="44" t="str"/>
      <x:c r="J48" s="44" t="str">
        <x:f>IF(I48="","OPEN","PASS")</x:f>
        <x:v>OPEN</x:v>
      </x:c>
    </x:row>
    <x:row r="49" ht="34" customHeight="1">
      <x:c r="B49" s="44" t="str">
        <x:v>RAC-PF-X-19</x:v>
      </x:c>
      <x:c r="C49" s="44" t="str">
        <x:v>BL-X</x:v>
      </x:c>
      <x:c r="D49" s="45" t="str">
        <x:v>environment vent</x:v>
      </x:c>
      <x:c r="E49" s="44" t="str">
        <x:v>CC-19</x:v>
      </x:c>
      <x:c r="F49" s="44" t="str">
        <x:v>public build</x:v>
      </x:c>
      <x:c r="G49" s="44" t="str">
        <x:v>serialized family</x:v>
      </x:c>
      <x:c r="H49" s="44" t="str">
        <x:v>S4</x:v>
      </x:c>
      <x:c r="I49" s="44" t="str"/>
      <x:c r="J49" s="44" t="str">
        <x:f>IF(I49="","OPEN","PASS")</x:f>
        <x:v>OPEN</x:v>
      </x:c>
    </x:row>
    <x:row r="50" ht="34" customHeight="1">
      <x:c r="B50" s="44" t="str">
        <x:v>RAC-PF-X-20</x:v>
      </x:c>
      <x:c r="C50" s="44" t="str">
        <x:v>BL-X</x:v>
      </x:c>
      <x:c r="D50" s="45" t="str">
        <x:v>evidence latch</x:v>
      </x:c>
      <x:c r="E50" s="44" t="str">
        <x:v>CC-20</x:v>
      </x:c>
      <x:c r="F50" s="44" t="str">
        <x:v>qualified supplier</x:v>
      </x:c>
      <x:c r="G50" s="44" t="str">
        <x:v>serialized family</x:v>
      </x:c>
      <x:c r="H50" s="44" t="str">
        <x:v>S4</x:v>
      </x:c>
      <x:c r="I50" s="44" t="str"/>
      <x:c r="J50" s="44" t="str">
        <x:f>IF(I50="","OPEN","PASS")</x:f>
        <x:v>OPEN</x:v>
      </x:c>
    </x:row>
    <x:row r="51" ht="34" customHeight="1">
      <x:c r="B51" s="44" t="str">
        <x:v>RAC-PF-X-21</x:v>
      </x:c>
      <x:c r="C51" s="44" t="str">
        <x:v>BL-X</x:v>
      </x:c>
      <x:c r="D51" s="45" t="str">
        <x:v>safety-energy cassette</x:v>
      </x:c>
      <x:c r="E51" s="44" t="str">
        <x:v>CC-21</x:v>
      </x:c>
      <x:c r="F51" s="44" t="str">
        <x:v>dual route</x:v>
      </x:c>
      <x:c r="G51" s="44" t="str">
        <x:v>serialized family</x:v>
      </x:c>
      <x:c r="H51" s="44" t="str">
        <x:v>S6</x:v>
      </x:c>
      <x:c r="I51" s="44" t="str"/>
      <x:c r="J51" s="44" t="str">
        <x:f>IF(I51="","OPEN","PASS")</x:f>
        <x:v>OPEN</x:v>
      </x:c>
    </x:row>
    <x:row r="52" ht="34" customHeight="1">
      <x:c r="B52" s="44" t="str">
        <x:v>RAC-PF-X-22</x:v>
      </x:c>
      <x:c r="C52" s="44" t="str">
        <x:v>BL-X</x:v>
      </x:c>
      <x:c r="D52" s="45" t="str">
        <x:v>measurement spine</x:v>
      </x:c>
      <x:c r="E52" s="44" t="str">
        <x:v>CC-22</x:v>
      </x:c>
      <x:c r="F52" s="44" t="str">
        <x:v>public build</x:v>
      </x:c>
      <x:c r="G52" s="44" t="str">
        <x:v>serialized family</x:v>
      </x:c>
      <x:c r="H52" s="44" t="str">
        <x:v>S6</x:v>
      </x:c>
      <x:c r="I52" s="44" t="str"/>
      <x:c r="J52" s="44" t="str">
        <x:f>IF(I52="","OPEN","PASS")</x:f>
        <x:v>OPEN</x:v>
      </x:c>
    </x:row>
    <x:row r="53" ht="34" customHeight="1">
      <x:c r="B53" s="44" t="str">
        <x:v>RAC-PF-X-23</x:v>
      </x:c>
      <x:c r="C53" s="44" t="str">
        <x:v>BL-X</x:v>
      </x:c>
      <x:c r="D53" s="45" t="str">
        <x:v>local evidence vault</x:v>
      </x:c>
      <x:c r="E53" s="44" t="str">
        <x:v>CC-23</x:v>
      </x:c>
      <x:c r="F53" s="44" t="str">
        <x:v>qualified supplier</x:v>
      </x:c>
      <x:c r="G53" s="44" t="str">
        <x:v>serialized family</x:v>
      </x:c>
      <x:c r="H53" s="44" t="str">
        <x:v>S6</x:v>
      </x:c>
      <x:c r="I53" s="44" t="str"/>
      <x:c r="J53" s="44" t="str">
        <x:f>IF(I53="","OPEN","PASS")</x:f>
        <x:v>OPEN</x:v>
      </x:c>
    </x:row>
    <x:row r="54" ht="34" customHeight="1">
      <x:c r="B54" s="44" t="str">
        <x:v>RAC-PF-X-24</x:v>
      </x:c>
      <x:c r="C54" s="44" t="str">
        <x:v>BL-X</x:v>
      </x:c>
      <x:c r="D54" s="45" t="str">
        <x:v>rescue disconnect</x:v>
      </x:c>
      <x:c r="E54" s="44" t="str">
        <x:v>CC-24</x:v>
      </x:c>
      <x:c r="F54" s="44" t="str">
        <x:v>dual route</x:v>
      </x:c>
      <x:c r="G54" s="44" t="str">
        <x:v>serialized family</x:v>
      </x:c>
      <x:c r="H54" s="44" t="str">
        <x:v>S6</x:v>
      </x:c>
      <x:c r="I54" s="44" t="str"/>
      <x:c r="J54" s="44" t="str">
        <x:f>IF(I54="","OPEN","PASS")</x:f>
        <x:v>OPEN</x:v>
      </x:c>
    </x:row>
    <x:row r="55" ht="34" customHeight="1">
      <x:c r="B55" s="44" t="str">
        <x:v>RAC-PF-Y-01</x:v>
      </x:c>
      <x:c r="C55" s="44" t="str">
        <x:v>BL-Y</x:v>
      </x:c>
      <x:c r="D55" s="45" t="str">
        <x:v>transport datum frame</x:v>
      </x:c>
      <x:c r="E55" s="44" t="str">
        <x:v>CC-01</x:v>
      </x:c>
      <x:c r="F55" s="44" t="str">
        <x:v>public build</x:v>
      </x:c>
      <x:c r="G55" s="44" t="str">
        <x:v>serialized family</x:v>
      </x:c>
      <x:c r="H55" s="44" t="str">
        <x:v>S2</x:v>
      </x:c>
      <x:c r="I55" s="44" t="str"/>
      <x:c r="J55" s="44" t="str">
        <x:f>IF(I55="","OPEN","PASS")</x:f>
        <x:v>OPEN</x:v>
      </x:c>
    </x:row>
    <x:row r="56" ht="34" customHeight="1">
      <x:c r="B56" s="44" t="str">
        <x:v>RAC-PF-Y-02</x:v>
      </x:c>
      <x:c r="C56" s="44" t="str">
        <x:v>BL-Y</x:v>
      </x:c>
      <x:c r="D56" s="45" t="str">
        <x:v>support saddle family</x:v>
      </x:c>
      <x:c r="E56" s="44" t="str">
        <x:v>CC-02</x:v>
      </x:c>
      <x:c r="F56" s="44" t="str">
        <x:v>qualified supplier</x:v>
      </x:c>
      <x:c r="G56" s="44" t="str">
        <x:v>serialized family</x:v>
      </x:c>
      <x:c r="H56" s="44" t="str">
        <x:v>S2</x:v>
      </x:c>
      <x:c r="I56" s="44" t="str"/>
      <x:c r="J56" s="44" t="str">
        <x:f>IF(I56="","OPEN","PASS")</x:f>
        <x:v>OPEN</x:v>
      </x:c>
    </x:row>
    <x:row r="57" ht="34" customHeight="1">
      <x:c r="B57" s="44" t="str">
        <x:v>RAC-PF-Y-03</x:v>
      </x:c>
      <x:c r="C57" s="44" t="str">
        <x:v>BL-Y</x:v>
      </x:c>
      <x:c r="D57" s="45" t="str">
        <x:v>wetted segment</x:v>
      </x:c>
      <x:c r="E57" s="44" t="str">
        <x:v>CC-03</x:v>
      </x:c>
      <x:c r="F57" s="44" t="str">
        <x:v>dual route</x:v>
      </x:c>
      <x:c r="G57" s="44" t="str">
        <x:v>serialized family</x:v>
      </x:c>
      <x:c r="H57" s="44" t="str">
        <x:v>S2</x:v>
      </x:c>
      <x:c r="I57" s="44" t="str"/>
      <x:c r="J57" s="44" t="str">
        <x:f>IF(I57="","OPEN","PASS")</x:f>
        <x:v>OPEN</x:v>
      </x:c>
    </x:row>
    <x:row r="58" ht="34" customHeight="1">
      <x:c r="B58" s="44" t="str">
        <x:v>RAC-PF-Y-04</x:v>
      </x:c>
      <x:c r="C58" s="44" t="str">
        <x:v>BL-Y</x:v>
      </x:c>
      <x:c r="D58" s="45" t="str">
        <x:v>end collar</x:v>
      </x:c>
      <x:c r="E58" s="44" t="str">
        <x:v>CC-04</x:v>
      </x:c>
      <x:c r="F58" s="44" t="str">
        <x:v>public build</x:v>
      </x:c>
      <x:c r="G58" s="44" t="str">
        <x:v>serialized family</x:v>
      </x:c>
      <x:c r="H58" s="44" t="str">
        <x:v>S2</x:v>
      </x:c>
      <x:c r="I58" s="44" t="str"/>
      <x:c r="J58" s="44" t="str">
        <x:f>IF(I58="","OPEN","PASS")</x:f>
        <x:v>OPEN</x:v>
      </x:c>
    </x:row>
    <x:row r="59" ht="34" customHeight="1">
      <x:c r="B59" s="44" t="str">
        <x:v>RAC-PF-Y-05</x:v>
      </x:c>
      <x:c r="C59" s="44" t="str">
        <x:v>BL-Y</x:v>
      </x:c>
      <x:c r="D59" s="45" t="str">
        <x:v>fill manifold</x:v>
      </x:c>
      <x:c r="E59" s="44" t="str">
        <x:v>CC-05</x:v>
      </x:c>
      <x:c r="F59" s="44" t="str">
        <x:v>qualified supplier</x:v>
      </x:c>
      <x:c r="G59" s="44" t="str">
        <x:v>serialized family</x:v>
      </x:c>
      <x:c r="H59" s="44" t="str">
        <x:v>S2</x:v>
      </x:c>
      <x:c r="I59" s="44" t="str"/>
      <x:c r="J59" s="44" t="str">
        <x:f>IF(I59="","OPEN","PASS")</x:f>
        <x:v>OPEN</x:v>
      </x:c>
    </x:row>
    <x:row r="60" ht="34" customHeight="1">
      <x:c r="B60" s="44" t="str">
        <x:v>RAC-PF-Y-06</x:v>
      </x:c>
      <x:c r="C60" s="44" t="str">
        <x:v>BL-Y</x:v>
      </x:c>
      <x:c r="D60" s="45" t="str">
        <x:v>drain manifold</x:v>
      </x:c>
      <x:c r="E60" s="44" t="str">
        <x:v>CC-06</x:v>
      </x:c>
      <x:c r="F60" s="44" t="str">
        <x:v>dual route</x:v>
      </x:c>
      <x:c r="G60" s="44" t="str">
        <x:v>serialized family</x:v>
      </x:c>
      <x:c r="H60" s="44" t="str">
        <x:v>S2</x:v>
      </x:c>
      <x:c r="I60" s="44" t="str"/>
      <x:c r="J60" s="44" t="str">
        <x:f>IF(I60="","OPEN","PASS")</x:f>
        <x:v>OPEN</x:v>
      </x:c>
    </x:row>
    <x:row r="61" ht="34" customHeight="1">
      <x:c r="B61" s="44" t="str">
        <x:v>RAC-PF-Y-07</x:v>
      </x:c>
      <x:c r="C61" s="44" t="str">
        <x:v>BL-Y</x:v>
      </x:c>
      <x:c r="D61" s="45" t="str">
        <x:v>source-surrogate vessel</x:v>
      </x:c>
      <x:c r="E61" s="44" t="str">
        <x:v>CC-07</x:v>
      </x:c>
      <x:c r="F61" s="44" t="str">
        <x:v>public build</x:v>
      </x:c>
      <x:c r="G61" s="44" t="str">
        <x:v>serialized family</x:v>
      </x:c>
      <x:c r="H61" s="44" t="str">
        <x:v>S2</x:v>
      </x:c>
      <x:c r="I61" s="44" t="str"/>
      <x:c r="J61" s="44" t="str">
        <x:f>IF(I61="","OPEN","PASS")</x:f>
        <x:v>OPEN</x:v>
      </x:c>
    </x:row>
    <x:row r="62" ht="34" customHeight="1">
      <x:c r="B62" s="44" t="str">
        <x:v>RAC-PF-Y-08</x:v>
      </x:c>
      <x:c r="C62" s="44" t="str">
        <x:v>BL-Y</x:v>
      </x:c>
      <x:c r="D62" s="45" t="str">
        <x:v>dispenser</x:v>
      </x:c>
      <x:c r="E62" s="44" t="str">
        <x:v>CC-08</x:v>
      </x:c>
      <x:c r="F62" s="44" t="str">
        <x:v>qualified supplier</x:v>
      </x:c>
      <x:c r="G62" s="44" t="str">
        <x:v>serialized family</x:v>
      </x:c>
      <x:c r="H62" s="44" t="str">
        <x:v>S2</x:v>
      </x:c>
      <x:c r="I62" s="44" t="str"/>
      <x:c r="J62" s="44" t="str">
        <x:f>IF(I62="","OPEN","PASS")</x:f>
        <x:v>OPEN</x:v>
      </x:c>
    </x:row>
    <x:row r="63" ht="34" customHeight="1">
      <x:c r="B63" s="44" t="str">
        <x:v>RAC-PF-Y-09</x:v>
      </x:c>
      <x:c r="C63" s="44" t="str">
        <x:v>BL-Y</x:v>
      </x:c>
      <x:c r="D63" s="45" t="str">
        <x:v>normal receiver</x:v>
      </x:c>
      <x:c r="E63" s="44" t="str">
        <x:v>CC-09</x:v>
      </x:c>
      <x:c r="F63" s="44" t="str">
        <x:v>dual route</x:v>
      </x:c>
      <x:c r="G63" s="44" t="str">
        <x:v>serialized family</x:v>
      </x:c>
      <x:c r="H63" s="44" t="str">
        <x:v>S4</x:v>
      </x:c>
      <x:c r="I63" s="44" t="str"/>
      <x:c r="J63" s="44" t="str">
        <x:f>IF(I63="","OPEN","PASS")</x:f>
        <x:v>OPEN</x:v>
      </x:c>
    </x:row>
    <x:row r="64" ht="34" customHeight="1">
      <x:c r="B64" s="44" t="str">
        <x:v>RAC-PF-Y-10</x:v>
      </x:c>
      <x:c r="C64" s="44" t="str">
        <x:v>BL-Y</x:v>
      </x:c>
      <x:c r="D64" s="45" t="str">
        <x:v>casualty receiver</x:v>
      </x:c>
      <x:c r="E64" s="44" t="str">
        <x:v>CC-10</x:v>
      </x:c>
      <x:c r="F64" s="44" t="str">
        <x:v>public build</x:v>
      </x:c>
      <x:c r="G64" s="44" t="str">
        <x:v>serialized family</x:v>
      </x:c>
      <x:c r="H64" s="44" t="str">
        <x:v>S4</x:v>
      </x:c>
      <x:c r="I64" s="44" t="str"/>
      <x:c r="J64" s="44" t="str">
        <x:f>IF(I64="","OPEN","PASS")</x:f>
        <x:v>OPEN</x:v>
      </x:c>
    </x:row>
    <x:row r="65" ht="34" customHeight="1">
      <x:c r="B65" s="44" t="str">
        <x:v>RAC-PF-Y-11</x:v>
      </x:c>
      <x:c r="C65" s="44" t="str">
        <x:v>BL-Y</x:v>
      </x:c>
      <x:c r="D65" s="45" t="str">
        <x:v>inner pan</x:v>
      </x:c>
      <x:c r="E65" s="44" t="str">
        <x:v>CC-11</x:v>
      </x:c>
      <x:c r="F65" s="44" t="str">
        <x:v>qualified supplier</x:v>
      </x:c>
      <x:c r="G65" s="44" t="str">
        <x:v>serialized family</x:v>
      </x:c>
      <x:c r="H65" s="44" t="str">
        <x:v>S4</x:v>
      </x:c>
      <x:c r="I65" s="44" t="str"/>
      <x:c r="J65" s="44" t="str">
        <x:f>IF(I65="","OPEN","PASS")</x:f>
        <x:v>OPEN</x:v>
      </x:c>
    </x:row>
    <x:row r="66" ht="34" customHeight="1">
      <x:c r="B66" s="44" t="str">
        <x:v>RAC-PF-Y-12</x:v>
      </x:c>
      <x:c r="C66" s="44" t="str">
        <x:v>BL-Y</x:v>
      </x:c>
      <x:c r="D66" s="45" t="str">
        <x:v>source inlet boundary</x:v>
      </x:c>
      <x:c r="E66" s="44" t="str">
        <x:v>CC-12</x:v>
      </x:c>
      <x:c r="F66" s="44" t="str">
        <x:v>dual route</x:v>
      </x:c>
      <x:c r="G66" s="44" t="str">
        <x:v>serialized family</x:v>
      </x:c>
      <x:c r="H66" s="44" t="str">
        <x:v>S4</x:v>
      </x:c>
      <x:c r="I66" s="44" t="str"/>
      <x:c r="J66" s="44" t="str">
        <x:f>IF(I66="","OPEN","PASS")</x:f>
        <x:v>OPEN</x:v>
      </x:c>
    </x:row>
    <x:row r="67" ht="34" customHeight="1">
      <x:c r="B67" s="44" t="str">
        <x:v>RAC-PF-Y-13</x:v>
      </x:c>
      <x:c r="C67" s="44" t="str">
        <x:v>BL-Y</x:v>
      </x:c>
      <x:c r="D67" s="45" t="str">
        <x:v>dispenser boundary</x:v>
      </x:c>
      <x:c r="E67" s="44" t="str">
        <x:v>CC-13</x:v>
      </x:c>
      <x:c r="F67" s="44" t="str">
        <x:v>public build</x:v>
      </x:c>
      <x:c r="G67" s="44" t="str">
        <x:v>serialized family</x:v>
      </x:c>
      <x:c r="H67" s="44" t="str">
        <x:v>S4</x:v>
      </x:c>
      <x:c r="I67" s="44" t="str"/>
      <x:c r="J67" s="44" t="str">
        <x:f>IF(I67="","OPEN","PASS")</x:f>
        <x:v>OPEN</x:v>
      </x:c>
    </x:row>
    <x:row r="68" ht="34" customHeight="1">
      <x:c r="B68" s="44" t="str">
        <x:v>RAC-PF-Y-14</x:v>
      </x:c>
      <x:c r="C68" s="44" t="str">
        <x:v>BL-Y</x:v>
      </x:c>
      <x:c r="D68" s="45" t="str">
        <x:v>gravity diverter</x:v>
      </x:c>
      <x:c r="E68" s="44" t="str">
        <x:v>CC-14</x:v>
      </x:c>
      <x:c r="F68" s="44" t="str">
        <x:v>qualified supplier</x:v>
      </x:c>
      <x:c r="G68" s="44" t="str">
        <x:v>serialized family</x:v>
      </x:c>
      <x:c r="H68" s="44" t="str">
        <x:v>S4</x:v>
      </x:c>
      <x:c r="I68" s="44" t="str"/>
      <x:c r="J68" s="44" t="str">
        <x:f>IF(I68="","OPEN","PASS")</x:f>
        <x:v>OPEN</x:v>
      </x:c>
    </x:row>
    <x:row r="69" ht="34" customHeight="1">
      <x:c r="B69" s="44" t="str">
        <x:v>RAC-PF-Y-15</x:v>
      </x:c>
      <x:c r="C69" s="44" t="str">
        <x:v>BL-Y</x:v>
      </x:c>
      <x:c r="D69" s="45" t="str">
        <x:v>normal receiver boundary</x:v>
      </x:c>
      <x:c r="E69" s="44" t="str">
        <x:v>CC-15</x:v>
      </x:c>
      <x:c r="F69" s="44" t="str">
        <x:v>dual route</x:v>
      </x:c>
      <x:c r="G69" s="44" t="str">
        <x:v>serialized family</x:v>
      </x:c>
      <x:c r="H69" s="44" t="str">
        <x:v>S4</x:v>
      </x:c>
      <x:c r="I69" s="44" t="str"/>
      <x:c r="J69" s="44" t="str">
        <x:f>IF(I69="","OPEN","PASS")</x:f>
        <x:v>OPEN</x:v>
      </x:c>
    </x:row>
    <x:row r="70" ht="34" customHeight="1">
      <x:c r="B70" s="44" t="str">
        <x:v>RAC-PF-Y-16</x:v>
      </x:c>
      <x:c r="C70" s="44" t="str">
        <x:v>BL-Y</x:v>
      </x:c>
      <x:c r="D70" s="45" t="str">
        <x:v>casualty diverter</x:v>
      </x:c>
      <x:c r="E70" s="44" t="str">
        <x:v>CC-16</x:v>
      </x:c>
      <x:c r="F70" s="44" t="str">
        <x:v>public build</x:v>
      </x:c>
      <x:c r="G70" s="44" t="str">
        <x:v>serialized family</x:v>
      </x:c>
      <x:c r="H70" s="44" t="str">
        <x:v>S4</x:v>
      </x:c>
      <x:c r="I70" s="44" t="str"/>
      <x:c r="J70" s="44" t="str">
        <x:f>IF(I70="","OPEN","PASS")</x:f>
        <x:v>OPEN</x:v>
      </x:c>
    </x:row>
    <x:row r="71" ht="34" customHeight="1">
      <x:c r="B71" s="44" t="str">
        <x:v>RAC-PF-Y-17</x:v>
      </x:c>
      <x:c r="C71" s="44" t="str">
        <x:v>BL-Y</x:v>
      </x:c>
      <x:c r="D71" s="45" t="str">
        <x:v>water isolation</x:v>
      </x:c>
      <x:c r="E71" s="44" t="str">
        <x:v>CC-17</x:v>
      </x:c>
      <x:c r="F71" s="44" t="str">
        <x:v>qualified supplier</x:v>
      </x:c>
      <x:c r="G71" s="44" t="str">
        <x:v>serialized family</x:v>
      </x:c>
      <x:c r="H71" s="44" t="str">
        <x:v>S4</x:v>
      </x:c>
      <x:c r="I71" s="44" t="str"/>
      <x:c r="J71" s="44" t="str">
        <x:f>IF(I71="","OPEN","PASS")</x:f>
        <x:v>OPEN</x:v>
      </x:c>
    </x:row>
    <x:row r="72" ht="34" customHeight="1">
      <x:c r="B72" s="44" t="str">
        <x:v>RAC-PF-Y-18</x:v>
      </x:c>
      <x:c r="C72" s="44" t="str">
        <x:v>BL-Y</x:v>
      </x:c>
      <x:c r="D72" s="45" t="str">
        <x:v>electrical isolation</x:v>
      </x:c>
      <x:c r="E72" s="44" t="str">
        <x:v>CC-18</x:v>
      </x:c>
      <x:c r="F72" s="44" t="str">
        <x:v>dual route</x:v>
      </x:c>
      <x:c r="G72" s="44" t="str">
        <x:v>serialized family</x:v>
      </x:c>
      <x:c r="H72" s="44" t="str">
        <x:v>S4</x:v>
      </x:c>
      <x:c r="I72" s="44" t="str"/>
      <x:c r="J72" s="44" t="str">
        <x:f>IF(I72="","OPEN","PASS")</x:f>
        <x:v>OPEN</x:v>
      </x:c>
    </x:row>
    <x:row r="73" ht="34" customHeight="1">
      <x:c r="B73" s="44" t="str">
        <x:v>RAC-PF-Y-19</x:v>
      </x:c>
      <x:c r="C73" s="44" t="str">
        <x:v>BL-Y</x:v>
      </x:c>
      <x:c r="D73" s="45" t="str">
        <x:v>environment vent</x:v>
      </x:c>
      <x:c r="E73" s="44" t="str">
        <x:v>CC-19</x:v>
      </x:c>
      <x:c r="F73" s="44" t="str">
        <x:v>public build</x:v>
      </x:c>
      <x:c r="G73" s="44" t="str">
        <x:v>serialized family</x:v>
      </x:c>
      <x:c r="H73" s="44" t="str">
        <x:v>S4</x:v>
      </x:c>
      <x:c r="I73" s="44" t="str"/>
      <x:c r="J73" s="44" t="str">
        <x:f>IF(I73="","OPEN","PASS")</x:f>
        <x:v>OPEN</x:v>
      </x:c>
    </x:row>
    <x:row r="74" ht="34" customHeight="1">
      <x:c r="B74" s="44" t="str">
        <x:v>RAC-PF-Y-20</x:v>
      </x:c>
      <x:c r="C74" s="44" t="str">
        <x:v>BL-Y</x:v>
      </x:c>
      <x:c r="D74" s="45" t="str">
        <x:v>evidence latch</x:v>
      </x:c>
      <x:c r="E74" s="44" t="str">
        <x:v>CC-20</x:v>
      </x:c>
      <x:c r="F74" s="44" t="str">
        <x:v>qualified supplier</x:v>
      </x:c>
      <x:c r="G74" s="44" t="str">
        <x:v>serialized family</x:v>
      </x:c>
      <x:c r="H74" s="44" t="str">
        <x:v>S4</x:v>
      </x:c>
      <x:c r="I74" s="44" t="str"/>
      <x:c r="J74" s="44" t="str">
        <x:f>IF(I74="","OPEN","PASS")</x:f>
        <x:v>OPEN</x:v>
      </x:c>
    </x:row>
    <x:row r="75" ht="34" customHeight="1">
      <x:c r="B75" s="44" t="str">
        <x:v>RAC-PF-Y-21</x:v>
      </x:c>
      <x:c r="C75" s="44" t="str">
        <x:v>BL-Y</x:v>
      </x:c>
      <x:c r="D75" s="45" t="str">
        <x:v>safety-energy cassette</x:v>
      </x:c>
      <x:c r="E75" s="44" t="str">
        <x:v>CC-21</x:v>
      </x:c>
      <x:c r="F75" s="44" t="str">
        <x:v>dual route</x:v>
      </x:c>
      <x:c r="G75" s="44" t="str">
        <x:v>serialized family</x:v>
      </x:c>
      <x:c r="H75" s="44" t="str">
        <x:v>S6</x:v>
      </x:c>
      <x:c r="I75" s="44" t="str"/>
      <x:c r="J75" s="44" t="str">
        <x:f>IF(I75="","OPEN","PASS")</x:f>
        <x:v>OPEN</x:v>
      </x:c>
    </x:row>
    <x:row r="76" ht="34" customHeight="1">
      <x:c r="B76" s="44" t="str">
        <x:v>RAC-PF-Y-22</x:v>
      </x:c>
      <x:c r="C76" s="44" t="str">
        <x:v>BL-Y</x:v>
      </x:c>
      <x:c r="D76" s="45" t="str">
        <x:v>measurement spine</x:v>
      </x:c>
      <x:c r="E76" s="44" t="str">
        <x:v>CC-22</x:v>
      </x:c>
      <x:c r="F76" s="44" t="str">
        <x:v>public build</x:v>
      </x:c>
      <x:c r="G76" s="44" t="str">
        <x:v>serialized family</x:v>
      </x:c>
      <x:c r="H76" s="44" t="str">
        <x:v>S6</x:v>
      </x:c>
      <x:c r="I76" s="44" t="str"/>
      <x:c r="J76" s="44" t="str">
        <x:f>IF(I76="","OPEN","PASS")</x:f>
        <x:v>OPEN</x:v>
      </x:c>
    </x:row>
    <x:row r="77" ht="34" customHeight="1">
      <x:c r="B77" s="44" t="str">
        <x:v>RAC-PF-Y-23</x:v>
      </x:c>
      <x:c r="C77" s="44" t="str">
        <x:v>BL-Y</x:v>
      </x:c>
      <x:c r="D77" s="45" t="str">
        <x:v>local evidence vault</x:v>
      </x:c>
      <x:c r="E77" s="44" t="str">
        <x:v>CC-23</x:v>
      </x:c>
      <x:c r="F77" s="44" t="str">
        <x:v>qualified supplier</x:v>
      </x:c>
      <x:c r="G77" s="44" t="str">
        <x:v>serialized family</x:v>
      </x:c>
      <x:c r="H77" s="44" t="str">
        <x:v>S6</x:v>
      </x:c>
      <x:c r="I77" s="44" t="str"/>
      <x:c r="J77" s="44" t="str">
        <x:f>IF(I77="","OPEN","PASS")</x:f>
        <x:v>OPEN</x:v>
      </x:c>
    </x:row>
    <x:row r="78" ht="34" customHeight="1">
      <x:c r="B78" s="44" t="str">
        <x:v>RAC-PF-Y-24</x:v>
      </x:c>
      <x:c r="C78" s="44" t="str">
        <x:v>BL-Y</x:v>
      </x:c>
      <x:c r="D78" s="45" t="str">
        <x:v>rescue disconnect</x:v>
      </x:c>
      <x:c r="E78" s="44" t="str">
        <x:v>CC-24</x:v>
      </x:c>
      <x:c r="F78" s="44" t="str">
        <x:v>dual route</x:v>
      </x:c>
      <x:c r="G78" s="44" t="str">
        <x:v>serialized family</x:v>
      </x:c>
      <x:c r="H78" s="44" t="str">
        <x:v>S6</x:v>
      </x:c>
      <x:c r="I78" s="44" t="str"/>
      <x:c r="J78" s="44" t="str">
        <x:f>IF(I78="","OPEN","PASS")</x:f>
        <x:v>OPEN</x:v>
      </x:c>
    </x:row>
  </x:sheetData>
  <x:conditionalFormatting sqref="J7:J78">
    <x:cfRule type="containsText" dxfId="15" priority="1" operator="containsText" text="FAIL"/>
    <x:cfRule type="containsText" dxfId="16" priority="2" operator="containsText" text="BLOCKED"/>
    <x:cfRule type="containsText" dxfId="17" priority="3" operator="containsText" text="OPEN"/>
    <x:cfRule type="containsText" dxfId="18" priority="4" operator="containsText" text="PASS"/>
    <x:cfRule type="containsText" dxfId="19" priority="5" operator="containsText" text="PLANN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16" hidden="0" customWidth="1"/>
    <x:col min="5" max="5" width="21" hidden="0" customWidth="1"/>
    <x:col min="6" max="6" width="19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</x:cols>
  <x:sheetData>
    <x:row r="2">
      <x:c r="B2" s="41" t="str">
        <x:v>Stowed mass and coordinate ledger</x:v>
      </x:c>
      <x:c r="C2" s="42"/>
      <x:c r="D2" s="42"/>
      <x:c r="E2" s="42"/>
      <x:c r="F2" s="42"/>
      <x:c r="G2" s="42"/>
      <x:c r="H2" s="42"/>
      <x:c r="I2" s="42"/>
      <x:c r="J2" s="42"/>
    </x:row>
    <x:row r="3">
      <x:c r="B3" s="43" t="str">
        <x:v>The calculated value is a component upper bound, not a fictitious installed reserve. CG uses the same bounded component masses.</x:v>
      </x:c>
      <x:c r="C3" s="42"/>
      <x:c r="D3" s="42"/>
      <x:c r="E3" s="42"/>
      <x:c r="F3" s="42"/>
      <x:c r="G3" s="42"/>
      <x:c r="H3" s="42"/>
      <x:c r="I3" s="42"/>
      <x:c r="J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</x:row>
    <x:row r="6" ht="25" customHeight="1">
      <x:c r="B6" s="6" t="str">
        <x:v>Lineage</x:v>
      </x:c>
      <x:c r="C6" s="6" t="str">
        <x:v>Subsystem</x:v>
      </x:c>
      <x:c r="D6" s="6" t="str">
        <x:v>Base kg</x:v>
      </x:c>
      <x:c r="E6" s="6" t="str">
        <x:v>Local allowance kg</x:v>
      </x:c>
      <x:c r="F6" s="6" t="str">
        <x:v>Planned upper kg</x:v>
      </x:c>
      <x:c r="G6" s="6" t="str">
        <x:v>X m</x:v>
      </x:c>
      <x:c r="H6" s="6" t="str">
        <x:v>Y m</x:v>
      </x:c>
      <x:c r="I6" s="6" t="str">
        <x:v>Z m</x:v>
      </x:c>
      <x:c r="J6" s="6" t="str">
        <x:v>Class</x:v>
      </x:c>
    </x:row>
    <x:row r="7">
      <x:c r="B7" s="44" t="str">
        <x:v>BL-X</x:v>
      </x:c>
      <x:c r="C7" s="44" t="str">
        <x:v>transport datum frame</x:v>
      </x:c>
      <x:c r="D7" s="57" t="n">
        <x:v>360</x:v>
      </x:c>
      <x:c r="E7" s="57" t="n">
        <x:v>45</x:v>
      </x:c>
      <x:c r="F7" s="57" t="n">
        <x:f>D7+E7</x:f>
        <x:v>405</x:v>
      </x:c>
      <x:c r="G7" s="57" t="n">
        <x:v>1.2</x:v>
      </x:c>
      <x:c r="H7" s="57" t="n">
        <x:v>0.8</x:v>
      </x:c>
      <x:c r="I7" s="57" t="n">
        <x:v>0.18</x:v>
      </x:c>
      <x:c r="J7" s="44" t="str">
        <x:v>planning upper bound</x:v>
      </x:c>
    </x:row>
    <x:row r="8">
      <x:c r="B8" s="44" t="str">
        <x:v>BL-X</x:v>
      </x:c>
      <x:c r="C8" s="44" t="str">
        <x:v>module restraints</x:v>
      </x:c>
      <x:c r="D8" s="57" t="n">
        <x:v>120</x:v>
      </x:c>
      <x:c r="E8" s="57" t="n">
        <x:v>18</x:v>
      </x:c>
      <x:c r="F8" s="57" t="n">
        <x:f>D8+E8</x:f>
        <x:v>138</x:v>
      </x:c>
      <x:c r="G8" s="57" t="n">
        <x:v>1.2</x:v>
      </x:c>
      <x:c r="H8" s="57" t="n">
        <x:v>0.8</x:v>
      </x:c>
      <x:c r="I8" s="57" t="n">
        <x:v>0.35</x:v>
      </x:c>
      <x:c r="J8" s="44" t="str">
        <x:v>planning upper bound</x:v>
      </x:c>
    </x:row>
    <x:row r="9">
      <x:c r="B9" s="44" t="str">
        <x:v>BL-X</x:v>
      </x:c>
      <x:c r="C9" s="44" t="str">
        <x:v>wetted path</x:v>
      </x:c>
      <x:c r="D9" s="57" t="n">
        <x:v>32</x:v>
      </x:c>
      <x:c r="E9" s="57" t="n">
        <x:v>8</x:v>
      </x:c>
      <x:c r="F9" s="57" t="n">
        <x:f>D9+E9</x:f>
        <x:v>40</x:v>
      </x:c>
      <x:c r="G9" s="57" t="n">
        <x:v>1.2</x:v>
      </x:c>
      <x:c r="H9" s="57" t="n">
        <x:v>0.8</x:v>
      </x:c>
      <x:c r="I9" s="57" t="n">
        <x:v>0.28</x:v>
      </x:c>
      <x:c r="J9" s="44" t="str">
        <x:v>planning upper bound</x:v>
      </x:c>
    </x:row>
    <x:row r="10">
      <x:c r="B10" s="44" t="str">
        <x:v>BL-X</x:v>
      </x:c>
      <x:c r="C10" s="44" t="str">
        <x:v>valves and manifolds</x:v>
      </x:c>
      <x:c r="D10" s="57" t="n">
        <x:v>180</x:v>
      </x:c>
      <x:c r="E10" s="57" t="n">
        <x:v>28</x:v>
      </x:c>
      <x:c r="F10" s="57" t="n">
        <x:f>D10+E10</x:f>
        <x:v>208</x:v>
      </x:c>
      <x:c r="G10" s="57" t="n">
        <x:v>1.15</x:v>
      </x:c>
      <x:c r="H10" s="57" t="n">
        <x:v>0.75</x:v>
      </x:c>
      <x:c r="I10" s="57" t="n">
        <x:v>0.3</x:v>
      </x:c>
      <x:c r="J10" s="44" t="str">
        <x:v>planning upper bound</x:v>
      </x:c>
    </x:row>
    <x:row r="11">
      <x:c r="B11" s="44" t="str">
        <x:v>BL-X</x:v>
      </x:c>
      <x:c r="C11" s="44" t="str">
        <x:v>source vessel</x:v>
      </x:c>
      <x:c r="D11" s="57" t="n">
        <x:v>130</x:v>
      </x:c>
      <x:c r="E11" s="57" t="n">
        <x:v>18</x:v>
      </x:c>
      <x:c r="F11" s="57" t="n">
        <x:f>D11+E11</x:f>
        <x:v>148</x:v>
      </x:c>
      <x:c r="G11" s="57" t="n">
        <x:v>0.35</x:v>
      </x:c>
      <x:c r="H11" s="57" t="n">
        <x:v>0.8</x:v>
      </x:c>
      <x:c r="I11" s="57" t="n">
        <x:v>0.3</x:v>
      </x:c>
      <x:c r="J11" s="44" t="str">
        <x:v>planning upper bound</x:v>
      </x:c>
    </x:row>
    <x:row r="12">
      <x:c r="B12" s="44" t="str">
        <x:v>BL-X</x:v>
      </x:c>
      <x:c r="C12" s="44" t="str">
        <x:v>containment and receivers</x:v>
      </x:c>
      <x:c r="D12" s="57" t="n">
        <x:v>220</x:v>
      </x:c>
      <x:c r="E12" s="57" t="n">
        <x:v>32</x:v>
      </x:c>
      <x:c r="F12" s="57" t="n">
        <x:f>D12+E12</x:f>
        <x:v>252</x:v>
      </x:c>
      <x:c r="G12" s="57" t="n">
        <x:v>1.85</x:v>
      </x:c>
      <x:c r="H12" s="57" t="n">
        <x:v>0.8</x:v>
      </x:c>
      <x:c r="I12" s="57" t="n">
        <x:v>0.24</x:v>
      </x:c>
      <x:c r="J12" s="44" t="str">
        <x:v>planning upper bound</x:v>
      </x:c>
    </x:row>
    <x:row r="13">
      <x:c r="B13" s="44" t="str">
        <x:v>BL-X</x:v>
      </x:c>
      <x:c r="C13" s="44" t="str">
        <x:v>safeing actuation</x:v>
      </x:c>
      <x:c r="D13" s="57" t="n">
        <x:v>110</x:v>
      </x:c>
      <x:c r="E13" s="57" t="n">
        <x:v>18</x:v>
      </x:c>
      <x:c r="F13" s="57" t="n">
        <x:f>D13+E13</x:f>
        <x:v>128</x:v>
      </x:c>
      <x:c r="G13" s="57" t="n">
        <x:v>1.1</x:v>
      </x:c>
      <x:c r="H13" s="57" t="n">
        <x:v>0.65</x:v>
      </x:c>
      <x:c r="I13" s="57" t="n">
        <x:v>0.32</x:v>
      </x:c>
      <x:c r="J13" s="44" t="str">
        <x:v>planning upper bound</x:v>
      </x:c>
    </x:row>
    <x:row r="14">
      <x:c r="B14" s="44" t="str">
        <x:v>BL-X</x:v>
      </x:c>
      <x:c r="C14" s="44" t="str">
        <x:v>independent energy</x:v>
      </x:c>
      <x:c r="D14" s="57" t="n">
        <x:v>70</x:v>
      </x:c>
      <x:c r="E14" s="57" t="n">
        <x:v>12</x:v>
      </x:c>
      <x:c r="F14" s="57" t="n">
        <x:f>D14+E14</x:f>
        <x:v>82</x:v>
      </x:c>
      <x:c r="G14" s="57" t="n">
        <x:v>1.7</x:v>
      </x:c>
      <x:c r="H14" s="57" t="n">
        <x:v>1.25</x:v>
      </x:c>
      <x:c r="I14" s="57" t="n">
        <x:v>0.28</x:v>
      </x:c>
      <x:c r="J14" s="44" t="str">
        <x:v>planning upper bound</x:v>
      </x:c>
    </x:row>
    <x:row r="15">
      <x:c r="B15" s="44" t="str">
        <x:v>BL-X</x:v>
      </x:c>
      <x:c r="C15" s="44" t="str">
        <x:v>instrumentation</x:v>
      </x:c>
      <x:c r="D15" s="57" t="n">
        <x:v>100</x:v>
      </x:c>
      <x:c r="E15" s="57" t="n">
        <x:v>16</x:v>
      </x:c>
      <x:c r="F15" s="57" t="n">
        <x:f>D15+E15</x:f>
        <x:v>116</x:v>
      </x:c>
      <x:c r="G15" s="57" t="n">
        <x:v>1.25</x:v>
      </x:c>
      <x:c r="H15" s="57" t="n">
        <x:v>0.9</x:v>
      </x:c>
      <x:c r="I15" s="57" t="n">
        <x:v>0.34</x:v>
      </x:c>
      <x:c r="J15" s="44" t="str">
        <x:v>planning upper bound</x:v>
      </x:c>
    </x:row>
    <x:row r="16">
      <x:c r="B16" s="44" t="str">
        <x:v>BL-X</x:v>
      </x:c>
      <x:c r="C16" s="44" t="str">
        <x:v>evidence and time</x:v>
      </x:c>
      <x:c r="D16" s="57" t="n">
        <x:v>60</x:v>
      </x:c>
      <x:c r="E16" s="57" t="n">
        <x:v>10</x:v>
      </x:c>
      <x:c r="F16" s="57" t="n">
        <x:f>D16+E16</x:f>
        <x:v>70</x:v>
      </x:c>
      <x:c r="G16" s="57" t="n">
        <x:v>1.2</x:v>
      </x:c>
      <x:c r="H16" s="57" t="n">
        <x:v>1.35</x:v>
      </x:c>
      <x:c r="I16" s="57" t="n">
        <x:v>0.24</x:v>
      </x:c>
      <x:c r="J16" s="44" t="str">
        <x:v>planning upper bound</x:v>
      </x:c>
    </x:row>
    <x:row r="17">
      <x:c r="B17" s="44" t="str">
        <x:v>BL-X</x:v>
      </x:c>
      <x:c r="C17" s="44" t="str">
        <x:v>power and grounding</x:v>
      </x:c>
      <x:c r="D17" s="57" t="n">
        <x:v>65</x:v>
      </x:c>
      <x:c r="E17" s="57" t="n">
        <x:v>10</x:v>
      </x:c>
      <x:c r="F17" s="57" t="n">
        <x:f>D17+E17</x:f>
        <x:v>75</x:v>
      </x:c>
      <x:c r="G17" s="57" t="n">
        <x:v>0.9</x:v>
      </x:c>
      <x:c r="H17" s="57" t="n">
        <x:v>1.1</x:v>
      </x:c>
      <x:c r="I17" s="57" t="n">
        <x:v>0.2</x:v>
      </x:c>
      <x:c r="J17" s="44" t="str">
        <x:v>planning upper bound</x:v>
      </x:c>
    </x:row>
    <x:row r="18">
      <x:c r="B18" s="44" t="str">
        <x:v>BL-X</x:v>
      </x:c>
      <x:c r="C18" s="44" t="str">
        <x:v>guards and rescue</x:v>
      </x:c>
      <x:c r="D18" s="57" t="n">
        <x:v>80</x:v>
      </x:c>
      <x:c r="E18" s="57" t="n">
        <x:v>12</x:v>
      </x:c>
      <x:c r="F18" s="57" t="n">
        <x:f>D18+E18</x:f>
        <x:v>92</x:v>
      </x:c>
      <x:c r="G18" s="57" t="n">
        <x:v>1.3</x:v>
      </x:c>
      <x:c r="H18" s="57" t="n">
        <x:v>0.25</x:v>
      </x:c>
      <x:c r="I18" s="57" t="n">
        <x:v>0.32</x:v>
      </x:c>
      <x:c r="J18" s="44" t="str">
        <x:v>planning upper bound</x:v>
      </x:c>
    </x:row>
    <x:row r="19">
      <x:c r="B19" s="44" t="str">
        <x:v>BL-X</x:v>
      </x:c>
      <x:c r="C19" s="44" t="str">
        <x:v>drain and recovery</x:v>
      </x:c>
      <x:c r="D19" s="57" t="n">
        <x:v>60</x:v>
      </x:c>
      <x:c r="E19" s="57" t="n">
        <x:v>10</x:v>
      </x:c>
      <x:c r="F19" s="57" t="n">
        <x:f>D19+E19</x:f>
        <x:v>70</x:v>
      </x:c>
      <x:c r="G19" s="57" t="n">
        <x:v>1.75</x:v>
      </x:c>
      <x:c r="H19" s="57" t="n">
        <x:v>0.45</x:v>
      </x:c>
      <x:c r="I19" s="57" t="n">
        <x:v>0.18</x:v>
      </x:c>
      <x:c r="J19" s="44" t="str">
        <x:v>planning upper bound</x:v>
      </x:c>
    </x:row>
    <x:row r="20">
      <x:c r="B20" s="44" t="str">
        <x:v>BL-X</x:v>
      </x:c>
      <x:c r="C20" s="44" t="str">
        <x:v>cabling and tubing</x:v>
      </x:c>
      <x:c r="D20" s="57" t="n">
        <x:v>45</x:v>
      </x:c>
      <x:c r="E20" s="57" t="n">
        <x:v>8</x:v>
      </x:c>
      <x:c r="F20" s="57" t="n">
        <x:f>D20+E20</x:f>
        <x:v>53</x:v>
      </x:c>
      <x:c r="G20" s="57" t="n">
        <x:v>1.15</x:v>
      </x:c>
      <x:c r="H20" s="57" t="n">
        <x:v>1.15</x:v>
      </x:c>
      <x:c r="I20" s="57" t="n">
        <x:v>0.26</x:v>
      </x:c>
      <x:c r="J20" s="44" t="str">
        <x:v>planning upper bound</x:v>
      </x:c>
    </x:row>
    <x:row r="21">
      <x:c r="B21" s="44" t="str">
        <x:v>BL-X</x:v>
      </x:c>
      <x:c r="C21" s="44" t="str">
        <x:v>fixture adapters</x:v>
      </x:c>
      <x:c r="D21" s="57" t="n">
        <x:v>70</x:v>
      </x:c>
      <x:c r="E21" s="57" t="n">
        <x:v>12</x:v>
      </x:c>
      <x:c r="F21" s="57" t="n">
        <x:f>D21+E21</x:f>
        <x:v>82</x:v>
      </x:c>
      <x:c r="G21" s="57" t="n">
        <x:v>0.55</x:v>
      </x:c>
      <x:c r="H21" s="57" t="n">
        <x:v>0.8</x:v>
      </x:c>
      <x:c r="I21" s="57" t="n">
        <x:v>0.22</x:v>
      </x:c>
      <x:c r="J21" s="44" t="str">
        <x:v>planning upper bound</x:v>
      </x:c>
    </x:row>
    <x:row r="22">
      <x:c r="B22" s="44" t="str">
        <x:v>BL-Y</x:v>
      </x:c>
      <x:c r="C22" s="44" t="str">
        <x:v>transport datum frame</x:v>
      </x:c>
      <x:c r="D22" s="57" t="n">
        <x:v>330</x:v>
      </x:c>
      <x:c r="E22" s="57" t="n">
        <x:v>42</x:v>
      </x:c>
      <x:c r="F22" s="57" t="n">
        <x:f>D22+E22</x:f>
        <x:v>372</x:v>
      </x:c>
      <x:c r="G22" s="57" t="n">
        <x:v>1.2</x:v>
      </x:c>
      <x:c r="H22" s="57" t="n">
        <x:v>0.8</x:v>
      </x:c>
      <x:c r="I22" s="57" t="n">
        <x:v>0.18</x:v>
      </x:c>
      <x:c r="J22" s="44" t="str">
        <x:v>planning upper bound</x:v>
      </x:c>
    </x:row>
    <x:row r="23">
      <x:c r="B23" s="44" t="str">
        <x:v>BL-Y</x:v>
      </x:c>
      <x:c r="C23" s="44" t="str">
        <x:v>module restraints</x:v>
      </x:c>
      <x:c r="D23" s="57" t="n">
        <x:v>135</x:v>
      </x:c>
      <x:c r="E23" s="57" t="n">
        <x:v>20</x:v>
      </x:c>
      <x:c r="F23" s="57" t="n">
        <x:f>D23+E23</x:f>
        <x:v>155</x:v>
      </x:c>
      <x:c r="G23" s="57" t="n">
        <x:v>1.2</x:v>
      </x:c>
      <x:c r="H23" s="57" t="n">
        <x:v>0.8</x:v>
      </x:c>
      <x:c r="I23" s="57" t="n">
        <x:v>0.35</x:v>
      </x:c>
      <x:c r="J23" s="44" t="str">
        <x:v>planning upper bound</x:v>
      </x:c>
    </x:row>
    <x:row r="24">
      <x:c r="B24" s="44" t="str">
        <x:v>BL-Y</x:v>
      </x:c>
      <x:c r="C24" s="44" t="str">
        <x:v>wetted path</x:v>
      </x:c>
      <x:c r="D24" s="57" t="n">
        <x:v>42</x:v>
      </x:c>
      <x:c r="E24" s="57" t="n">
        <x:v>10</x:v>
      </x:c>
      <x:c r="F24" s="57" t="n">
        <x:f>D24+E24</x:f>
        <x:v>52</x:v>
      </x:c>
      <x:c r="G24" s="57" t="n">
        <x:v>1.2</x:v>
      </x:c>
      <x:c r="H24" s="57" t="n">
        <x:v>0.8</x:v>
      </x:c>
      <x:c r="I24" s="57" t="n">
        <x:v>0.28</x:v>
      </x:c>
      <x:c r="J24" s="44" t="str">
        <x:v>planning upper bound</x:v>
      </x:c>
    </x:row>
    <x:row r="25">
      <x:c r="B25" s="44" t="str">
        <x:v>BL-Y</x:v>
      </x:c>
      <x:c r="C25" s="44" t="str">
        <x:v>valves and manifolds</x:v>
      </x:c>
      <x:c r="D25" s="57" t="n">
        <x:v>190</x:v>
      </x:c>
      <x:c r="E25" s="57" t="n">
        <x:v>30</x:v>
      </x:c>
      <x:c r="F25" s="57" t="n">
        <x:f>D25+E25</x:f>
        <x:v>220</x:v>
      </x:c>
      <x:c r="G25" s="57" t="n">
        <x:v>1.15</x:v>
      </x:c>
      <x:c r="H25" s="57" t="n">
        <x:v>0.75</x:v>
      </x:c>
      <x:c r="I25" s="57" t="n">
        <x:v>0.3</x:v>
      </x:c>
      <x:c r="J25" s="44" t="str">
        <x:v>planning upper bound</x:v>
      </x:c>
    </x:row>
    <x:row r="26">
      <x:c r="B26" s="44" t="str">
        <x:v>BL-Y</x:v>
      </x:c>
      <x:c r="C26" s="44" t="str">
        <x:v>source vessel</x:v>
      </x:c>
      <x:c r="D26" s="57" t="n">
        <x:v>130</x:v>
      </x:c>
      <x:c r="E26" s="57" t="n">
        <x:v>18</x:v>
      </x:c>
      <x:c r="F26" s="57" t="n">
        <x:f>D26+E26</x:f>
        <x:v>148</x:v>
      </x:c>
      <x:c r="G26" s="57" t="n">
        <x:v>0.35</x:v>
      </x:c>
      <x:c r="H26" s="57" t="n">
        <x:v>0.8</x:v>
      </x:c>
      <x:c r="I26" s="57" t="n">
        <x:v>0.3</x:v>
      </x:c>
      <x:c r="J26" s="44" t="str">
        <x:v>planning upper bound</x:v>
      </x:c>
    </x:row>
    <x:row r="27">
      <x:c r="B27" s="44" t="str">
        <x:v>BL-Y</x:v>
      </x:c>
      <x:c r="C27" s="44" t="str">
        <x:v>containment and receivers</x:v>
      </x:c>
      <x:c r="D27" s="57" t="n">
        <x:v>210</x:v>
      </x:c>
      <x:c r="E27" s="57" t="n">
        <x:v>30</x:v>
      </x:c>
      <x:c r="F27" s="57" t="n">
        <x:f>D27+E27</x:f>
        <x:v>240</x:v>
      </x:c>
      <x:c r="G27" s="57" t="n">
        <x:v>1.85</x:v>
      </x:c>
      <x:c r="H27" s="57" t="n">
        <x:v>0.8</x:v>
      </x:c>
      <x:c r="I27" s="57" t="n">
        <x:v>0.24</x:v>
      </x:c>
      <x:c r="J27" s="44" t="str">
        <x:v>planning upper bound</x:v>
      </x:c>
    </x:row>
    <x:row r="28">
      <x:c r="B28" s="44" t="str">
        <x:v>BL-Y</x:v>
      </x:c>
      <x:c r="C28" s="44" t="str">
        <x:v>safeing actuation</x:v>
      </x:c>
      <x:c r="D28" s="57" t="n">
        <x:v>120</x:v>
      </x:c>
      <x:c r="E28" s="57" t="n">
        <x:v>20</x:v>
      </x:c>
      <x:c r="F28" s="57" t="n">
        <x:f>D28+E28</x:f>
        <x:v>140</x:v>
      </x:c>
      <x:c r="G28" s="57" t="n">
        <x:v>1.1</x:v>
      </x:c>
      <x:c r="H28" s="57" t="n">
        <x:v>0.65</x:v>
      </x:c>
      <x:c r="I28" s="57" t="n">
        <x:v>0.32</x:v>
      </x:c>
      <x:c r="J28" s="44" t="str">
        <x:v>planning upper bound</x:v>
      </x:c>
    </x:row>
    <x:row r="29">
      <x:c r="B29" s="44" t="str">
        <x:v>BL-Y</x:v>
      </x:c>
      <x:c r="C29" s="44" t="str">
        <x:v>independent energy</x:v>
      </x:c>
      <x:c r="D29" s="57" t="n">
        <x:v>75</x:v>
      </x:c>
      <x:c r="E29" s="57" t="n">
        <x:v>12</x:v>
      </x:c>
      <x:c r="F29" s="57" t="n">
        <x:f>D29+E29</x:f>
        <x:v>87</x:v>
      </x:c>
      <x:c r="G29" s="57" t="n">
        <x:v>1.7</x:v>
      </x:c>
      <x:c r="H29" s="57" t="n">
        <x:v>1.25</x:v>
      </x:c>
      <x:c r="I29" s="57" t="n">
        <x:v>0.28</x:v>
      </x:c>
      <x:c r="J29" s="44" t="str">
        <x:v>planning upper bound</x:v>
      </x:c>
    </x:row>
    <x:row r="30">
      <x:c r="B30" s="44" t="str">
        <x:v>BL-Y</x:v>
      </x:c>
      <x:c r="C30" s="44" t="str">
        <x:v>instrumentation</x:v>
      </x:c>
      <x:c r="D30" s="57" t="n">
        <x:v>105</x:v>
      </x:c>
      <x:c r="E30" s="57" t="n">
        <x:v>17</x:v>
      </x:c>
      <x:c r="F30" s="57" t="n">
        <x:f>D30+E30</x:f>
        <x:v>122</x:v>
      </x:c>
      <x:c r="G30" s="57" t="n">
        <x:v>1.25</x:v>
      </x:c>
      <x:c r="H30" s="57" t="n">
        <x:v>0.9</x:v>
      </x:c>
      <x:c r="I30" s="57" t="n">
        <x:v>0.34</x:v>
      </x:c>
      <x:c r="J30" s="44" t="str">
        <x:v>planning upper bound</x:v>
      </x:c>
    </x:row>
    <x:row r="31">
      <x:c r="B31" s="44" t="str">
        <x:v>BL-Y</x:v>
      </x:c>
      <x:c r="C31" s="44" t="str">
        <x:v>evidence and time</x:v>
      </x:c>
      <x:c r="D31" s="57" t="n">
        <x:v>60</x:v>
      </x:c>
      <x:c r="E31" s="57" t="n">
        <x:v>10</x:v>
      </x:c>
      <x:c r="F31" s="57" t="n">
        <x:f>D31+E31</x:f>
        <x:v>70</x:v>
      </x:c>
      <x:c r="G31" s="57" t="n">
        <x:v>1.2</x:v>
      </x:c>
      <x:c r="H31" s="57" t="n">
        <x:v>1.35</x:v>
      </x:c>
      <x:c r="I31" s="57" t="n">
        <x:v>0.24</x:v>
      </x:c>
      <x:c r="J31" s="44" t="str">
        <x:v>planning upper bound</x:v>
      </x:c>
    </x:row>
    <x:row r="32">
      <x:c r="B32" s="44" t="str">
        <x:v>BL-Y</x:v>
      </x:c>
      <x:c r="C32" s="44" t="str">
        <x:v>power and grounding</x:v>
      </x:c>
      <x:c r="D32" s="57" t="n">
        <x:v>70</x:v>
      </x:c>
      <x:c r="E32" s="57" t="n">
        <x:v>11</x:v>
      </x:c>
      <x:c r="F32" s="57" t="n">
        <x:f>D32+E32</x:f>
        <x:v>81</x:v>
      </x:c>
      <x:c r="G32" s="57" t="n">
        <x:v>0.9</x:v>
      </x:c>
      <x:c r="H32" s="57" t="n">
        <x:v>1.1</x:v>
      </x:c>
      <x:c r="I32" s="57" t="n">
        <x:v>0.2</x:v>
      </x:c>
      <x:c r="J32" s="44" t="str">
        <x:v>planning upper bound</x:v>
      </x:c>
    </x:row>
    <x:row r="33">
      <x:c r="B33" s="44" t="str">
        <x:v>BL-Y</x:v>
      </x:c>
      <x:c r="C33" s="44" t="str">
        <x:v>guards and rescue</x:v>
      </x:c>
      <x:c r="D33" s="57" t="n">
        <x:v>85</x:v>
      </x:c>
      <x:c r="E33" s="57" t="n">
        <x:v>13</x:v>
      </x:c>
      <x:c r="F33" s="57" t="n">
        <x:f>D33+E33</x:f>
        <x:v>98</x:v>
      </x:c>
      <x:c r="G33" s="57" t="n">
        <x:v>1.3</x:v>
      </x:c>
      <x:c r="H33" s="57" t="n">
        <x:v>0.25</x:v>
      </x:c>
      <x:c r="I33" s="57" t="n">
        <x:v>0.32</x:v>
      </x:c>
      <x:c r="J33" s="44" t="str">
        <x:v>planning upper bound</x:v>
      </x:c>
    </x:row>
    <x:row r="34">
      <x:c r="B34" s="44" t="str">
        <x:v>BL-Y</x:v>
      </x:c>
      <x:c r="C34" s="44" t="str">
        <x:v>drain and recovery</x:v>
      </x:c>
      <x:c r="D34" s="57" t="n">
        <x:v>65</x:v>
      </x:c>
      <x:c r="E34" s="57" t="n">
        <x:v>11</x:v>
      </x:c>
      <x:c r="F34" s="57" t="n">
        <x:f>D34+E34</x:f>
        <x:v>76</x:v>
      </x:c>
      <x:c r="G34" s="57" t="n">
        <x:v>1.75</x:v>
      </x:c>
      <x:c r="H34" s="57" t="n">
        <x:v>0.45</x:v>
      </x:c>
      <x:c r="I34" s="57" t="n">
        <x:v>0.18</x:v>
      </x:c>
      <x:c r="J34" s="44" t="str">
        <x:v>planning upper bound</x:v>
      </x:c>
    </x:row>
    <x:row r="35">
      <x:c r="B35" s="44" t="str">
        <x:v>BL-Y</x:v>
      </x:c>
      <x:c r="C35" s="44" t="str">
        <x:v>cabling and tubing</x:v>
      </x:c>
      <x:c r="D35" s="57" t="n">
        <x:v>50</x:v>
      </x:c>
      <x:c r="E35" s="57" t="n">
        <x:v>9</x:v>
      </x:c>
      <x:c r="F35" s="57" t="n">
        <x:f>D35+E35</x:f>
        <x:v>59</x:v>
      </x:c>
      <x:c r="G35" s="57" t="n">
        <x:v>1.15</x:v>
      </x:c>
      <x:c r="H35" s="57" t="n">
        <x:v>1.15</x:v>
      </x:c>
      <x:c r="I35" s="57" t="n">
        <x:v>0.26</x:v>
      </x:c>
      <x:c r="J35" s="44" t="str">
        <x:v>planning upper bound</x:v>
      </x:c>
    </x:row>
    <x:row r="36">
      <x:c r="B36" s="44" t="str">
        <x:v>BL-Y</x:v>
      </x:c>
      <x:c r="C36" s="44" t="str">
        <x:v>fixture adapters</x:v>
      </x:c>
      <x:c r="D36" s="57" t="n">
        <x:v>75</x:v>
      </x:c>
      <x:c r="E36" s="57" t="n">
        <x:v>13</x:v>
      </x:c>
      <x:c r="F36" s="57" t="n">
        <x:f>D36+E36</x:f>
        <x:v>88</x:v>
      </x:c>
      <x:c r="G36" s="57" t="n">
        <x:v>0.55</x:v>
      </x:c>
      <x:c r="H36" s="57" t="n">
        <x:v>0.8</x:v>
      </x:c>
      <x:c r="I36" s="57" t="n">
        <x:v>0.22</x:v>
      </x:c>
      <x:c r="J36" s="44" t="str">
        <x:v>planning upper bound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1" hidden="0" customWidth="1"/>
    <x:col min="4" max="4" width="17" hidden="0" customWidth="1"/>
    <x:col min="5" max="5" width="19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</x:cols>
  <x:sheetData>
    <x:row r="2">
      <x:c r="B2" s="41" t="str">
        <x:v>Mass and stowed center-of-gravity closure</x:v>
      </x:c>
      <x:c r="C2" s="42"/>
      <x:c r="D2" s="42"/>
      <x:c r="E2" s="42"/>
      <x:c r="F2" s="42"/>
      <x:c r="G2" s="42"/>
      <x:c r="H2" s="42"/>
      <x:c r="I2" s="42"/>
    </x:row>
    <x:row r="3">
      <x:c r="B3" s="43" t="str">
        <x:v>Each lineage must remain inside the same transport and lift window.</x:v>
      </x:c>
      <x:c r="C3" s="42"/>
      <x:c r="D3" s="42"/>
      <x:c r="E3" s="42"/>
      <x:c r="F3" s="42"/>
      <x:c r="G3" s="42"/>
      <x:c r="H3" s="42"/>
      <x:c r="I3" s="42"/>
    </x:row>
    <x:row r="4">
      <x:c r="B4" s="42"/>
      <x:c r="C4" s="42"/>
      <x:c r="D4" s="42"/>
      <x:c r="E4" s="42"/>
      <x:c r="F4" s="42"/>
      <x:c r="G4" s="42"/>
      <x:c r="H4" s="42"/>
      <x:c r="I4" s="42"/>
    </x:row>
    <x:row r="5">
      <x:c r="B5" s="42"/>
      <x:c r="C5" s="42"/>
      <x:c r="D5" s="42"/>
      <x:c r="E5" s="42"/>
      <x:c r="F5" s="42"/>
      <x:c r="G5" s="42"/>
      <x:c r="H5" s="42"/>
      <x:c r="I5" s="42"/>
    </x:row>
    <x:row r="6" ht="25" customHeight="1">
      <x:c r="B6" s="6" t="str">
        <x:v>Lineage</x:v>
      </x:c>
      <x:c r="C6" s="6" t="str">
        <x:v>Planned upper kg</x:v>
      </x:c>
      <x:c r="D6" s="6" t="str">
        <x:v>Ceiling kg</x:v>
      </x:c>
      <x:c r="E6" s="6" t="str">
        <x:v>Mass margin kg</x:v>
      </x:c>
      <x:c r="F6" s="6" t="str">
        <x:v>CG X m</x:v>
      </x:c>
      <x:c r="G6" s="6" t="str">
        <x:v>CG Y m</x:v>
      </x:c>
      <x:c r="H6" s="6" t="str">
        <x:v>CG Z m</x:v>
      </x:c>
      <x:c r="I6" s="6" t="str">
        <x:v>State</x:v>
      </x:c>
    </x:row>
    <x:row r="7">
      <x:c r="B7" s="44" t="str">
        <x:v>BL-X</x:v>
      </x:c>
      <x:c r="C7" s="57" t="n">
        <x:f>SUMIF('Mass Ledger'!$B$7:$B$36,B7,'Mass Ledger'!$F$7:$F$36)</x:f>
        <x:v>1959</x:v>
      </x:c>
      <x:c r="D7" s="57" t="n">
        <x:f>'Controls'!$D$44</x:f>
        <x:v>2500</x:v>
      </x:c>
      <x:c r="E7" s="57" t="n">
        <x:f>D7-C7</x:f>
        <x:v>541</x:v>
      </x:c>
      <x:c r="F7" s="57" t="n">
        <x:f>SUMPRODUCT(('Mass Ledger'!$B$7:$B$36=B7)*'Mass Ledger'!$F$7:$F$36*'Mass Ledger'!$G$7:$G$36)/C7</x:f>
        <x:v>1.2157478305257783</x:v>
      </x:c>
      <x:c r="G7" s="57" t="n">
        <x:f>SUMPRODUCT(('Mass Ledger'!$B$7:$B$36=B7)*'Mass Ledger'!$F$7:$F$36*'Mass Ledger'!$H$7:$H$36)/C7</x:f>
        <x:v>0.8119193466054109</x:v>
      </x:c>
      <x:c r="H7" s="57" t="n">
        <x:f>SUMPRODUCT(('Mass Ledger'!$B$7:$B$36=B7)*'Mass Ledger'!$F$7:$F$36*'Mass Ledger'!$I$7:$I$36)/C7</x:f>
        <x:v>0.25967330270546196</x:v>
      </x:c>
      <x:c r="I7" s="44" t="str">
        <x:f>IF(AND(E7&gt;=0,F7&gt;='Controls'!$D$45,F7&lt;='Controls'!$D$46,G7&gt;='Controls'!$D$47,G7&lt;='Controls'!$D$48,H7&lt;='Controls'!$D$49),"PASS","FAIL")</x:f>
        <x:v>PASS</x:v>
      </x:c>
    </x:row>
    <x:row r="8">
      <x:c r="B8" s="44" t="str">
        <x:v>BL-Y</x:v>
      </x:c>
      <x:c r="C8" s="57" t="n">
        <x:f>SUMIF('Mass Ledger'!$B$7:$B$36,B8,'Mass Ledger'!$F$7:$F$36)</x:f>
        <x:v>2008</x:v>
      </x:c>
      <x:c r="D8" s="57" t="n">
        <x:f>'Controls'!$D$44</x:f>
        <x:v>2500</x:v>
      </x:c>
      <x:c r="E8" s="57" t="n">
        <x:f>D8-C8</x:f>
        <x:v>492</x:v>
      </x:c>
      <x:c r="F8" s="57" t="n">
        <x:f>SUMPRODUCT(('Mass Ledger'!$B$7:$B$36=B8)*'Mass Ledger'!$F$7:$F$36*'Mass Ledger'!$G$7:$G$36)/C8</x:f>
        <x:v>1.2109312749003984</x:v>
      </x:c>
      <x:c r="G8" s="57" t="n">
        <x:f>SUMPRODUCT(('Mass Ledger'!$B$7:$B$36=B8)*'Mass Ledger'!$F$7:$F$36*'Mass Ledger'!$H$7:$H$36)/C8</x:f>
        <x:v>0.811105577689243</x:v>
      </x:c>
      <x:c r="H8" s="57" t="n">
        <x:f>SUMPRODUCT(('Mass Ledger'!$B$7:$B$36=B8)*'Mass Ledger'!$F$7:$F$36*'Mass Ledger'!$I$7:$I$36)/C8</x:f>
        <x:v>0.26252490039840637</x:v>
      </x:c>
      <x:c r="I8" s="44" t="str">
        <x:f>IF(AND(E8&gt;=0,F8&gt;='Controls'!$D$45,F8&lt;='Controls'!$D$46,G8&gt;='Controls'!$D$47,G8&lt;='Controls'!$D$48,H8&lt;='Controls'!$D$49),"PASS","FAIL")</x:f>
        <x:v>PASS</x:v>
      </x:c>
    </x:row>
  </x:sheetData>
  <x:conditionalFormatting sqref="I7:I8">
    <x:cfRule type="containsText" dxfId="20" priority="1" operator="containsText" text="FAIL"/>
    <x:cfRule type="containsText" dxfId="21" priority="2" operator="containsText" text="BLOCKED"/>
    <x:cfRule type="containsText" dxfId="22" priority="3" operator="containsText" text="OPEN"/>
    <x:cfRule type="containsText" dxfId="23" priority="4" operator="containsText" text="PASS"/>
    <x:cfRule type="containsText" dxfId="24" priority="5" operator="containsText" text="PLANN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29" hidden="0" customWidth="1"/>
    <x:col min="5" max="5" width="22" hidden="0" customWidth="1"/>
    <x:col min="6" max="6" width="15" hidden="0" customWidth="1"/>
    <x:col min="7" max="7" width="20" hidden="0" customWidth="1"/>
    <x:col min="8" max="8" width="22" hidden="0" customWidth="1"/>
    <x:col min="9" max="9" width="64" hidden="0" customWidth="1"/>
    <x:col min="10" max="10" width="20" hidden="0" customWidth="1"/>
    <x:col min="11" max="11" width="14" hidden="0" customWidth="1"/>
  </x:cols>
  <x:sheetData>
    <x:row r="2">
      <x:c r="B2" s="41" t="str">
        <x:v>Seventy-two conserved lot splits</x:v>
      </x:c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B3" s="43" t="str">
        <x:v>Article material, adjacent-process evidence and archive pieces retain one parent identity before any state-changing operation.</x:v>
      </x:c>
      <x:c r="C3" s="42"/>
      <x:c r="D3" s="42"/>
      <x:c r="E3" s="42"/>
      <x:c r="F3" s="42"/>
      <x:c r="G3" s="42"/>
      <x:c r="H3" s="42"/>
      <x:c r="I3" s="42"/>
      <x:c r="J3" s="42"/>
      <x:c r="K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</x:row>
    <x:row r="6" ht="25" customHeight="1">
      <x:c r="B6" s="6" t="str">
        <x:v>Lot token</x:v>
      </x:c>
      <x:c r="C6" s="6" t="str">
        <x:v>Lineage</x:v>
      </x:c>
      <x:c r="D6" s="6" t="str">
        <x:v>Material or process family</x:v>
      </x:c>
      <x:c r="E6" s="6" t="str">
        <x:v>Split</x:v>
      </x:c>
      <x:c r="F6" s="6" t="str">
        <x:v>Quantity</x:v>
      </x:c>
      <x:c r="G6" s="6" t="str">
        <x:v>Unit</x:v>
      </x:c>
      <x:c r="H6" s="6" t="str">
        <x:v>Supply root</x:v>
      </x:c>
      <x:c r="I6" s="6" t="str">
        <x:v>Required record</x:v>
      </x:c>
      <x:c r="J6" s="6" t="str">
        <x:v>Accepted UTC</x:v>
      </x:c>
      <x:c r="K6" s="6" t="str">
        <x:v>State</x:v>
      </x:c>
    </x:row>
    <x:row r="7" ht="38" customHeight="1">
      <x:c r="B7" s="44" t="str">
        <x:v>RAC-LOT-001</x:v>
      </x:c>
      <x:c r="C7" s="44" t="str">
        <x:v>BL-X</x:v>
      </x:c>
      <x:c r="D7" s="44" t="str">
        <x:v>wetted tube</x:v>
      </x:c>
      <x:c r="E7" s="44" t="str">
        <x:v>ARTICLE</x:v>
      </x:c>
      <x:c r="F7" s="44" t="n">
        <x:v>9</x:v>
      </x:c>
      <x:c r="G7" s="44" t="str">
        <x:v>controlled unit</x:v>
      </x:c>
      <x:c r="H7" s="44" t="str">
        <x:v>supplier root X</x:v>
      </x:c>
      <x:c r="I7" s="45" t="str">
        <x:v>chemistry, process state and split balance for wetted tube</x:v>
      </x:c>
      <x:c r="J7" s="44" t="str"/>
      <x:c r="K7" s="44" t="str">
        <x:f>IF(J7="","OPEN","PASS")</x:f>
        <x:v>OPEN</x:v>
      </x:c>
    </x:row>
    <x:row r="8" ht="38" customHeight="1">
      <x:c r="B8" s="44" t="str">
        <x:v>RAC-LOT-002</x:v>
      </x:c>
      <x:c r="C8" s="44" t="str">
        <x:v>BL-X</x:v>
      </x:c>
      <x:c r="D8" s="44" t="str">
        <x:v>wetted tube</x:v>
      </x:c>
      <x:c r="E8" s="44" t="str">
        <x:v>ADJACENT EVIDENCE</x:v>
      </x:c>
      <x:c r="F8" s="44" t="n">
        <x:v>8</x:v>
      </x:c>
      <x:c r="G8" s="44" t="str">
        <x:v>controlled unit</x:v>
      </x:c>
      <x:c r="H8" s="44" t="str">
        <x:v>supplier root X</x:v>
      </x:c>
      <x:c r="I8" s="45" t="str">
        <x:v>chemistry, process state and split balance for wetted tube</x:v>
      </x:c>
      <x:c r="J8" s="44" t="str"/>
      <x:c r="K8" s="44" t="str">
        <x:f>IF(J8="","OPEN","PASS")</x:f>
        <x:v>OPEN</x:v>
      </x:c>
    </x:row>
    <x:row r="9" ht="38" customHeight="1">
      <x:c r="B9" s="44" t="str">
        <x:v>RAC-LOT-003</x:v>
      </x:c>
      <x:c r="C9" s="44" t="str">
        <x:v>BL-X</x:v>
      </x:c>
      <x:c r="D9" s="44" t="str">
        <x:v>wetted tube</x:v>
      </x:c>
      <x:c r="E9" s="44" t="str">
        <x:v>ARCHIVE</x:v>
      </x:c>
      <x:c r="F9" s="44" t="n">
        <x:v>2</x:v>
      </x:c>
      <x:c r="G9" s="44" t="str">
        <x:v>controlled unit</x:v>
      </x:c>
      <x:c r="H9" s="44" t="str">
        <x:v>supplier root X</x:v>
      </x:c>
      <x:c r="I9" s="45" t="str">
        <x:v>chemistry, process state and split balance for wetted tube</x:v>
      </x:c>
      <x:c r="J9" s="44" t="str"/>
      <x:c r="K9" s="44" t="str">
        <x:f>IF(J9="","OPEN","PASS")</x:f>
        <x:v>OPEN</x:v>
      </x:c>
    </x:row>
    <x:row r="10" ht="38" customHeight="1">
      <x:c r="B10" s="44" t="str">
        <x:v>RAC-LOT-004</x:v>
      </x:c>
      <x:c r="C10" s="44" t="str">
        <x:v>BL-X</x:v>
      </x:c>
      <x:c r="D10" s="44" t="str">
        <x:v>joint medium</x:v>
      </x:c>
      <x:c r="E10" s="44" t="str">
        <x:v>ARTICLE</x:v>
      </x:c>
      <x:c r="F10" s="44" t="n">
        <x:v>9</x:v>
      </x:c>
      <x:c r="G10" s="44" t="str">
        <x:v>controlled unit</x:v>
      </x:c>
      <x:c r="H10" s="44" t="str">
        <x:v>supplier root X</x:v>
      </x:c>
      <x:c r="I10" s="45" t="str">
        <x:v>chemistry, process state and split balance for joint medium</x:v>
      </x:c>
      <x:c r="J10" s="44" t="str"/>
      <x:c r="K10" s="44" t="str">
        <x:f>IF(J10="","OPEN","PASS")</x:f>
        <x:v>OPEN</x:v>
      </x:c>
    </x:row>
    <x:row r="11" ht="38" customHeight="1">
      <x:c r="B11" s="44" t="str">
        <x:v>RAC-LOT-005</x:v>
      </x:c>
      <x:c r="C11" s="44" t="str">
        <x:v>BL-X</x:v>
      </x:c>
      <x:c r="D11" s="44" t="str">
        <x:v>joint medium</x:v>
      </x:c>
      <x:c r="E11" s="44" t="str">
        <x:v>ADJACENT EVIDENCE</x:v>
      </x:c>
      <x:c r="F11" s="44" t="n">
        <x:v>8</x:v>
      </x:c>
      <x:c r="G11" s="44" t="str">
        <x:v>controlled unit</x:v>
      </x:c>
      <x:c r="H11" s="44" t="str">
        <x:v>supplier root X</x:v>
      </x:c>
      <x:c r="I11" s="45" t="str">
        <x:v>chemistry, process state and split balance for joint medium</x:v>
      </x:c>
      <x:c r="J11" s="44" t="str"/>
      <x:c r="K11" s="44" t="str">
        <x:f>IF(J11="","OPEN","PASS")</x:f>
        <x:v>OPEN</x:v>
      </x:c>
    </x:row>
    <x:row r="12" ht="38" customHeight="1">
      <x:c r="B12" s="44" t="str">
        <x:v>RAC-LOT-006</x:v>
      </x:c>
      <x:c r="C12" s="44" t="str">
        <x:v>BL-X</x:v>
      </x:c>
      <x:c r="D12" s="44" t="str">
        <x:v>joint medium</x:v>
      </x:c>
      <x:c r="E12" s="44" t="str">
        <x:v>ARCHIVE</x:v>
      </x:c>
      <x:c r="F12" s="44" t="n">
        <x:v>2</x:v>
      </x:c>
      <x:c r="G12" s="44" t="str">
        <x:v>controlled unit</x:v>
      </x:c>
      <x:c r="H12" s="44" t="str">
        <x:v>supplier root X</x:v>
      </x:c>
      <x:c r="I12" s="45" t="str">
        <x:v>chemistry, process state and split balance for joint medium</x:v>
      </x:c>
      <x:c r="J12" s="44" t="str"/>
      <x:c r="K12" s="44" t="str">
        <x:f>IF(J12="","OPEN","PASS")</x:f>
        <x:v>OPEN</x:v>
      </x:c>
    </x:row>
    <x:row r="13" ht="38" customHeight="1">
      <x:c r="B13" s="44" t="str">
        <x:v>RAC-LOT-007</x:v>
      </x:c>
      <x:c r="C13" s="44" t="str">
        <x:v>BL-X</x:v>
      </x:c>
      <x:c r="D13" s="44" t="str">
        <x:v>seal set</x:v>
      </x:c>
      <x:c r="E13" s="44" t="str">
        <x:v>ARTICLE</x:v>
      </x:c>
      <x:c r="F13" s="44" t="n">
        <x:v>9</x:v>
      </x:c>
      <x:c r="G13" s="44" t="str">
        <x:v>controlled unit</x:v>
      </x:c>
      <x:c r="H13" s="44" t="str">
        <x:v>supplier root X</x:v>
      </x:c>
      <x:c r="I13" s="45" t="str">
        <x:v>chemistry, process state and split balance for seal set</x:v>
      </x:c>
      <x:c r="J13" s="44" t="str"/>
      <x:c r="K13" s="44" t="str">
        <x:f>IF(J13="","OPEN","PASS")</x:f>
        <x:v>OPEN</x:v>
      </x:c>
    </x:row>
    <x:row r="14" ht="38" customHeight="1">
      <x:c r="B14" s="44" t="str">
        <x:v>RAC-LOT-008</x:v>
      </x:c>
      <x:c r="C14" s="44" t="str">
        <x:v>BL-X</x:v>
      </x:c>
      <x:c r="D14" s="44" t="str">
        <x:v>seal set</x:v>
      </x:c>
      <x:c r="E14" s="44" t="str">
        <x:v>ADJACENT EVIDENCE</x:v>
      </x:c>
      <x:c r="F14" s="44" t="n">
        <x:v>8</x:v>
      </x:c>
      <x:c r="G14" s="44" t="str">
        <x:v>controlled unit</x:v>
      </x:c>
      <x:c r="H14" s="44" t="str">
        <x:v>supplier root X</x:v>
      </x:c>
      <x:c r="I14" s="45" t="str">
        <x:v>chemistry, process state and split balance for seal set</x:v>
      </x:c>
      <x:c r="J14" s="44" t="str"/>
      <x:c r="K14" s="44" t="str">
        <x:f>IF(J14="","OPEN","PASS")</x:f>
        <x:v>OPEN</x:v>
      </x:c>
    </x:row>
    <x:row r="15" ht="38" customHeight="1">
      <x:c r="B15" s="44" t="str">
        <x:v>RAC-LOT-009</x:v>
      </x:c>
      <x:c r="C15" s="44" t="str">
        <x:v>BL-X</x:v>
      </x:c>
      <x:c r="D15" s="44" t="str">
        <x:v>seal set</x:v>
      </x:c>
      <x:c r="E15" s="44" t="str">
        <x:v>ARCHIVE</x:v>
      </x:c>
      <x:c r="F15" s="44" t="n">
        <x:v>2</x:v>
      </x:c>
      <x:c r="G15" s="44" t="str">
        <x:v>controlled unit</x:v>
      </x:c>
      <x:c r="H15" s="44" t="str">
        <x:v>supplier root X</x:v>
      </x:c>
      <x:c r="I15" s="45" t="str">
        <x:v>chemistry, process state and split balance for seal set</x:v>
      </x:c>
      <x:c r="J15" s="44" t="str"/>
      <x:c r="K15" s="44" t="str">
        <x:f>IF(J15="","OPEN","PASS")</x:f>
        <x:v>OPEN</x:v>
      </x:c>
    </x:row>
    <x:row r="16" ht="38" customHeight="1">
      <x:c r="B16" s="44" t="str">
        <x:v>RAC-LOT-010</x:v>
      </x:c>
      <x:c r="C16" s="44" t="str">
        <x:v>BL-X</x:v>
      </x:c>
      <x:c r="D16" s="44" t="str">
        <x:v>datum frame</x:v>
      </x:c>
      <x:c r="E16" s="44" t="str">
        <x:v>ARTICLE</x:v>
      </x:c>
      <x:c r="F16" s="44" t="n">
        <x:v>9</x:v>
      </x:c>
      <x:c r="G16" s="44" t="str">
        <x:v>controlled unit</x:v>
      </x:c>
      <x:c r="H16" s="44" t="str">
        <x:v>supplier root X</x:v>
      </x:c>
      <x:c r="I16" s="45" t="str">
        <x:v>chemistry, process state and split balance for datum frame</x:v>
      </x:c>
      <x:c r="J16" s="44" t="str"/>
      <x:c r="K16" s="44" t="str">
        <x:f>IF(J16="","OPEN","PASS")</x:f>
        <x:v>OPEN</x:v>
      </x:c>
    </x:row>
    <x:row r="17" ht="38" customHeight="1">
      <x:c r="B17" s="44" t="str">
        <x:v>RAC-LOT-011</x:v>
      </x:c>
      <x:c r="C17" s="44" t="str">
        <x:v>BL-X</x:v>
      </x:c>
      <x:c r="D17" s="44" t="str">
        <x:v>datum frame</x:v>
      </x:c>
      <x:c r="E17" s="44" t="str">
        <x:v>ADJACENT EVIDENCE</x:v>
      </x:c>
      <x:c r="F17" s="44" t="n">
        <x:v>8</x:v>
      </x:c>
      <x:c r="G17" s="44" t="str">
        <x:v>controlled unit</x:v>
      </x:c>
      <x:c r="H17" s="44" t="str">
        <x:v>supplier root X</x:v>
      </x:c>
      <x:c r="I17" s="45" t="str">
        <x:v>chemistry, process state and split balance for datum frame</x:v>
      </x:c>
      <x:c r="J17" s="44" t="str"/>
      <x:c r="K17" s="44" t="str">
        <x:f>IF(J17="","OPEN","PASS")</x:f>
        <x:v>OPEN</x:v>
      </x:c>
    </x:row>
    <x:row r="18" ht="38" customHeight="1">
      <x:c r="B18" s="44" t="str">
        <x:v>RAC-LOT-012</x:v>
      </x:c>
      <x:c r="C18" s="44" t="str">
        <x:v>BL-X</x:v>
      </x:c>
      <x:c r="D18" s="44" t="str">
        <x:v>datum frame</x:v>
      </x:c>
      <x:c r="E18" s="44" t="str">
        <x:v>ARCHIVE</x:v>
      </x:c>
      <x:c r="F18" s="44" t="n">
        <x:v>2</x:v>
      </x:c>
      <x:c r="G18" s="44" t="str">
        <x:v>controlled unit</x:v>
      </x:c>
      <x:c r="H18" s="44" t="str">
        <x:v>supplier root X</x:v>
      </x:c>
      <x:c r="I18" s="45" t="str">
        <x:v>chemistry, process state and split balance for datum frame</x:v>
      </x:c>
      <x:c r="J18" s="44" t="str"/>
      <x:c r="K18" s="44" t="str">
        <x:f>IF(J18="","OPEN","PASS")</x:f>
        <x:v>OPEN</x:v>
      </x:c>
    </x:row>
    <x:row r="19" ht="38" customHeight="1">
      <x:c r="B19" s="44" t="str">
        <x:v>RAC-LOT-013</x:v>
      </x:c>
      <x:c r="C19" s="44" t="str">
        <x:v>BL-X</x:v>
      </x:c>
      <x:c r="D19" s="44" t="str">
        <x:v>inner pan</x:v>
      </x:c>
      <x:c r="E19" s="44" t="str">
        <x:v>ARTICLE</x:v>
      </x:c>
      <x:c r="F19" s="44" t="n">
        <x:v>9</x:v>
      </x:c>
      <x:c r="G19" s="44" t="str">
        <x:v>controlled unit</x:v>
      </x:c>
      <x:c r="H19" s="44" t="str">
        <x:v>supplier root X</x:v>
      </x:c>
      <x:c r="I19" s="45" t="str">
        <x:v>chemistry, process state and split balance for inner pan</x:v>
      </x:c>
      <x:c r="J19" s="44" t="str"/>
      <x:c r="K19" s="44" t="str">
        <x:f>IF(J19="","OPEN","PASS")</x:f>
        <x:v>OPEN</x:v>
      </x:c>
    </x:row>
    <x:row r="20" ht="38" customHeight="1">
      <x:c r="B20" s="44" t="str">
        <x:v>RAC-LOT-014</x:v>
      </x:c>
      <x:c r="C20" s="44" t="str">
        <x:v>BL-X</x:v>
      </x:c>
      <x:c r="D20" s="44" t="str">
        <x:v>inner pan</x:v>
      </x:c>
      <x:c r="E20" s="44" t="str">
        <x:v>ADJACENT EVIDENCE</x:v>
      </x:c>
      <x:c r="F20" s="44" t="n">
        <x:v>8</x:v>
      </x:c>
      <x:c r="G20" s="44" t="str">
        <x:v>controlled unit</x:v>
      </x:c>
      <x:c r="H20" s="44" t="str">
        <x:v>supplier root X</x:v>
      </x:c>
      <x:c r="I20" s="45" t="str">
        <x:v>chemistry, process state and split balance for inner pan</x:v>
      </x:c>
      <x:c r="J20" s="44" t="str"/>
      <x:c r="K20" s="44" t="str">
        <x:f>IF(J20="","OPEN","PASS")</x:f>
        <x:v>OPEN</x:v>
      </x:c>
    </x:row>
    <x:row r="21" ht="38" customHeight="1">
      <x:c r="B21" s="44" t="str">
        <x:v>RAC-LOT-015</x:v>
      </x:c>
      <x:c r="C21" s="44" t="str">
        <x:v>BL-X</x:v>
      </x:c>
      <x:c r="D21" s="44" t="str">
        <x:v>inner pan</x:v>
      </x:c>
      <x:c r="E21" s="44" t="str">
        <x:v>ARCHIVE</x:v>
      </x:c>
      <x:c r="F21" s="44" t="n">
        <x:v>2</x:v>
      </x:c>
      <x:c r="G21" s="44" t="str">
        <x:v>controlled unit</x:v>
      </x:c>
      <x:c r="H21" s="44" t="str">
        <x:v>supplier root X</x:v>
      </x:c>
      <x:c r="I21" s="45" t="str">
        <x:v>chemistry, process state and split balance for inner pan</x:v>
      </x:c>
      <x:c r="J21" s="44" t="str"/>
      <x:c r="K21" s="44" t="str">
        <x:f>IF(J21="","OPEN","PASS")</x:f>
        <x:v>OPEN</x:v>
      </x:c>
    </x:row>
    <x:row r="22" ht="38" customHeight="1">
      <x:c r="B22" s="44" t="str">
        <x:v>RAC-LOT-016</x:v>
      </x:c>
      <x:c r="C22" s="44" t="str">
        <x:v>BL-X</x:v>
      </x:c>
      <x:c r="D22" s="44" t="str">
        <x:v>receiver shell</x:v>
      </x:c>
      <x:c r="E22" s="44" t="str">
        <x:v>ARTICLE</x:v>
      </x:c>
      <x:c r="F22" s="44" t="n">
        <x:v>9</x:v>
      </x:c>
      <x:c r="G22" s="44" t="str">
        <x:v>controlled unit</x:v>
      </x:c>
      <x:c r="H22" s="44" t="str">
        <x:v>supplier root X</x:v>
      </x:c>
      <x:c r="I22" s="45" t="str">
        <x:v>chemistry, process state and split balance for receiver shell</x:v>
      </x:c>
      <x:c r="J22" s="44" t="str"/>
      <x:c r="K22" s="44" t="str">
        <x:f>IF(J22="","OPEN","PASS")</x:f>
        <x:v>OPEN</x:v>
      </x:c>
    </x:row>
    <x:row r="23" ht="38" customHeight="1">
      <x:c r="B23" s="44" t="str">
        <x:v>RAC-LOT-017</x:v>
      </x:c>
      <x:c r="C23" s="44" t="str">
        <x:v>BL-X</x:v>
      </x:c>
      <x:c r="D23" s="44" t="str">
        <x:v>receiver shell</x:v>
      </x:c>
      <x:c r="E23" s="44" t="str">
        <x:v>ADJACENT EVIDENCE</x:v>
      </x:c>
      <x:c r="F23" s="44" t="n">
        <x:v>8</x:v>
      </x:c>
      <x:c r="G23" s="44" t="str">
        <x:v>controlled unit</x:v>
      </x:c>
      <x:c r="H23" s="44" t="str">
        <x:v>supplier root X</x:v>
      </x:c>
      <x:c r="I23" s="45" t="str">
        <x:v>chemistry, process state and split balance for receiver shell</x:v>
      </x:c>
      <x:c r="J23" s="44" t="str"/>
      <x:c r="K23" s="44" t="str">
        <x:f>IF(J23="","OPEN","PASS")</x:f>
        <x:v>OPEN</x:v>
      </x:c>
    </x:row>
    <x:row r="24" ht="38" customHeight="1">
      <x:c r="B24" s="44" t="str">
        <x:v>RAC-LOT-018</x:v>
      </x:c>
      <x:c r="C24" s="44" t="str">
        <x:v>BL-X</x:v>
      </x:c>
      <x:c r="D24" s="44" t="str">
        <x:v>receiver shell</x:v>
      </x:c>
      <x:c r="E24" s="44" t="str">
        <x:v>ARCHIVE</x:v>
      </x:c>
      <x:c r="F24" s="44" t="n">
        <x:v>2</x:v>
      </x:c>
      <x:c r="G24" s="44" t="str">
        <x:v>controlled unit</x:v>
      </x:c>
      <x:c r="H24" s="44" t="str">
        <x:v>supplier root X</x:v>
      </x:c>
      <x:c r="I24" s="45" t="str">
        <x:v>chemistry, process state and split balance for receiver shell</x:v>
      </x:c>
      <x:c r="J24" s="44" t="str"/>
      <x:c r="K24" s="44" t="str">
        <x:f>IF(J24="","OPEN","PASS")</x:f>
        <x:v>OPEN</x:v>
      </x:c>
    </x:row>
    <x:row r="25" ht="38" customHeight="1">
      <x:c r="B25" s="44" t="str">
        <x:v>RAC-LOT-019</x:v>
      </x:c>
      <x:c r="C25" s="44" t="str">
        <x:v>BL-X</x:v>
      </x:c>
      <x:c r="D25" s="44" t="str">
        <x:v>valve body</x:v>
      </x:c>
      <x:c r="E25" s="44" t="str">
        <x:v>ARTICLE</x:v>
      </x:c>
      <x:c r="F25" s="44" t="n">
        <x:v>9</x:v>
      </x:c>
      <x:c r="G25" s="44" t="str">
        <x:v>controlled unit</x:v>
      </x:c>
      <x:c r="H25" s="44" t="str">
        <x:v>supplier root X</x:v>
      </x:c>
      <x:c r="I25" s="45" t="str">
        <x:v>chemistry, process state and split balance for valve body</x:v>
      </x:c>
      <x:c r="J25" s="44" t="str"/>
      <x:c r="K25" s="44" t="str">
        <x:f>IF(J25="","OPEN","PASS")</x:f>
        <x:v>OPEN</x:v>
      </x:c>
    </x:row>
    <x:row r="26" ht="38" customHeight="1">
      <x:c r="B26" s="44" t="str">
        <x:v>RAC-LOT-020</x:v>
      </x:c>
      <x:c r="C26" s="44" t="str">
        <x:v>BL-X</x:v>
      </x:c>
      <x:c r="D26" s="44" t="str">
        <x:v>valve body</x:v>
      </x:c>
      <x:c r="E26" s="44" t="str">
        <x:v>ADJACENT EVIDENCE</x:v>
      </x:c>
      <x:c r="F26" s="44" t="n">
        <x:v>8</x:v>
      </x:c>
      <x:c r="G26" s="44" t="str">
        <x:v>controlled unit</x:v>
      </x:c>
      <x:c r="H26" s="44" t="str">
        <x:v>supplier root X</x:v>
      </x:c>
      <x:c r="I26" s="45" t="str">
        <x:v>chemistry, process state and split balance for valve body</x:v>
      </x:c>
      <x:c r="J26" s="44" t="str"/>
      <x:c r="K26" s="44" t="str">
        <x:f>IF(J26="","OPEN","PASS")</x:f>
        <x:v>OPEN</x:v>
      </x:c>
    </x:row>
    <x:row r="27" ht="38" customHeight="1">
      <x:c r="B27" s="44" t="str">
        <x:v>RAC-LOT-021</x:v>
      </x:c>
      <x:c r="C27" s="44" t="str">
        <x:v>BL-X</x:v>
      </x:c>
      <x:c r="D27" s="44" t="str">
        <x:v>valve body</x:v>
      </x:c>
      <x:c r="E27" s="44" t="str">
        <x:v>ARCHIVE</x:v>
      </x:c>
      <x:c r="F27" s="44" t="n">
        <x:v>2</x:v>
      </x:c>
      <x:c r="G27" s="44" t="str">
        <x:v>controlled unit</x:v>
      </x:c>
      <x:c r="H27" s="44" t="str">
        <x:v>supplier root X</x:v>
      </x:c>
      <x:c r="I27" s="45" t="str">
        <x:v>chemistry, process state and split balance for valve body</x:v>
      </x:c>
      <x:c r="J27" s="44" t="str"/>
      <x:c r="K27" s="44" t="str">
        <x:f>IF(J27="","OPEN","PASS")</x:f>
        <x:v>OPEN</x:v>
      </x:c>
    </x:row>
    <x:row r="28" ht="38" customHeight="1">
      <x:c r="B28" s="44" t="str">
        <x:v>RAC-LOT-022</x:v>
      </x:c>
      <x:c r="C28" s="44" t="str">
        <x:v>BL-X</x:v>
      </x:c>
      <x:c r="D28" s="44" t="str">
        <x:v>actuator spring</x:v>
      </x:c>
      <x:c r="E28" s="44" t="str">
        <x:v>ARTICLE</x:v>
      </x:c>
      <x:c r="F28" s="44" t="n">
        <x:v>9</x:v>
      </x:c>
      <x:c r="G28" s="44" t="str">
        <x:v>controlled unit</x:v>
      </x:c>
      <x:c r="H28" s="44" t="str">
        <x:v>supplier root X</x:v>
      </x:c>
      <x:c r="I28" s="45" t="str">
        <x:v>chemistry, process state and split balance for actuator spring</x:v>
      </x:c>
      <x:c r="J28" s="44" t="str"/>
      <x:c r="K28" s="44" t="str">
        <x:f>IF(J28="","OPEN","PASS")</x:f>
        <x:v>OPEN</x:v>
      </x:c>
    </x:row>
    <x:row r="29" ht="38" customHeight="1">
      <x:c r="B29" s="44" t="str">
        <x:v>RAC-LOT-023</x:v>
      </x:c>
      <x:c r="C29" s="44" t="str">
        <x:v>BL-X</x:v>
      </x:c>
      <x:c r="D29" s="44" t="str">
        <x:v>actuator spring</x:v>
      </x:c>
      <x:c r="E29" s="44" t="str">
        <x:v>ADJACENT EVIDENCE</x:v>
      </x:c>
      <x:c r="F29" s="44" t="n">
        <x:v>8</x:v>
      </x:c>
      <x:c r="G29" s="44" t="str">
        <x:v>controlled unit</x:v>
      </x:c>
      <x:c r="H29" s="44" t="str">
        <x:v>supplier root X</x:v>
      </x:c>
      <x:c r="I29" s="45" t="str">
        <x:v>chemistry, process state and split balance for actuator spring</x:v>
      </x:c>
      <x:c r="J29" s="44" t="str"/>
      <x:c r="K29" s="44" t="str">
        <x:f>IF(J29="","OPEN","PASS")</x:f>
        <x:v>OPEN</x:v>
      </x:c>
    </x:row>
    <x:row r="30" ht="38" customHeight="1">
      <x:c r="B30" s="44" t="str">
        <x:v>RAC-LOT-024</x:v>
      </x:c>
      <x:c r="C30" s="44" t="str">
        <x:v>BL-X</x:v>
      </x:c>
      <x:c r="D30" s="44" t="str">
        <x:v>actuator spring</x:v>
      </x:c>
      <x:c r="E30" s="44" t="str">
        <x:v>ARCHIVE</x:v>
      </x:c>
      <x:c r="F30" s="44" t="n">
        <x:v>2</x:v>
      </x:c>
      <x:c r="G30" s="44" t="str">
        <x:v>controlled unit</x:v>
      </x:c>
      <x:c r="H30" s="44" t="str">
        <x:v>supplier root X</x:v>
      </x:c>
      <x:c r="I30" s="45" t="str">
        <x:v>chemistry, process state and split balance for actuator spring</x:v>
      </x:c>
      <x:c r="J30" s="44" t="str"/>
      <x:c r="K30" s="44" t="str">
        <x:f>IF(J30="","OPEN","PASS")</x:f>
        <x:v>OPEN</x:v>
      </x:c>
    </x:row>
    <x:row r="31" ht="38" customHeight="1">
      <x:c r="B31" s="44" t="str">
        <x:v>RAC-LOT-025</x:v>
      </x:c>
      <x:c r="C31" s="44" t="str">
        <x:v>BL-X</x:v>
      </x:c>
      <x:c r="D31" s="44" t="str">
        <x:v>instrument mount</x:v>
      </x:c>
      <x:c r="E31" s="44" t="str">
        <x:v>ARTICLE</x:v>
      </x:c>
      <x:c r="F31" s="44" t="n">
        <x:v>9</x:v>
      </x:c>
      <x:c r="G31" s="44" t="str">
        <x:v>controlled unit</x:v>
      </x:c>
      <x:c r="H31" s="44" t="str">
        <x:v>supplier root X</x:v>
      </x:c>
      <x:c r="I31" s="45" t="str">
        <x:v>chemistry, process state and split balance for instrument mount</x:v>
      </x:c>
      <x:c r="J31" s="44" t="str"/>
      <x:c r="K31" s="44" t="str">
        <x:f>IF(J31="","OPEN","PASS")</x:f>
        <x:v>OPEN</x:v>
      </x:c>
    </x:row>
    <x:row r="32" ht="38" customHeight="1">
      <x:c r="B32" s="44" t="str">
        <x:v>RAC-LOT-026</x:v>
      </x:c>
      <x:c r="C32" s="44" t="str">
        <x:v>BL-X</x:v>
      </x:c>
      <x:c r="D32" s="44" t="str">
        <x:v>instrument mount</x:v>
      </x:c>
      <x:c r="E32" s="44" t="str">
        <x:v>ADJACENT EVIDENCE</x:v>
      </x:c>
      <x:c r="F32" s="44" t="n">
        <x:v>8</x:v>
      </x:c>
      <x:c r="G32" s="44" t="str">
        <x:v>controlled unit</x:v>
      </x:c>
      <x:c r="H32" s="44" t="str">
        <x:v>supplier root X</x:v>
      </x:c>
      <x:c r="I32" s="45" t="str">
        <x:v>chemistry, process state and split balance for instrument mount</x:v>
      </x:c>
      <x:c r="J32" s="44" t="str"/>
      <x:c r="K32" s="44" t="str">
        <x:f>IF(J32="","OPEN","PASS")</x:f>
        <x:v>OPEN</x:v>
      </x:c>
    </x:row>
    <x:row r="33" ht="38" customHeight="1">
      <x:c r="B33" s="44" t="str">
        <x:v>RAC-LOT-027</x:v>
      </x:c>
      <x:c r="C33" s="44" t="str">
        <x:v>BL-X</x:v>
      </x:c>
      <x:c r="D33" s="44" t="str">
        <x:v>instrument mount</x:v>
      </x:c>
      <x:c r="E33" s="44" t="str">
        <x:v>ARCHIVE</x:v>
      </x:c>
      <x:c r="F33" s="44" t="n">
        <x:v>2</x:v>
      </x:c>
      <x:c r="G33" s="44" t="str">
        <x:v>controlled unit</x:v>
      </x:c>
      <x:c r="H33" s="44" t="str">
        <x:v>supplier root X</x:v>
      </x:c>
      <x:c r="I33" s="45" t="str">
        <x:v>chemistry, process state and split balance for instrument mount</x:v>
      </x:c>
      <x:c r="J33" s="44" t="str"/>
      <x:c r="K33" s="44" t="str">
        <x:f>IF(J33="","OPEN","PASS")</x:f>
        <x:v>OPEN</x:v>
      </x:c>
    </x:row>
    <x:row r="34" ht="38" customHeight="1">
      <x:c r="B34" s="44" t="str">
        <x:v>RAC-LOT-028</x:v>
      </x:c>
      <x:c r="C34" s="44" t="str">
        <x:v>BL-X</x:v>
      </x:c>
      <x:c r="D34" s="44" t="str">
        <x:v>signal and power cable</x:v>
      </x:c>
      <x:c r="E34" s="44" t="str">
        <x:v>ARTICLE</x:v>
      </x:c>
      <x:c r="F34" s="44" t="n">
        <x:v>9</x:v>
      </x:c>
      <x:c r="G34" s="44" t="str">
        <x:v>controlled unit</x:v>
      </x:c>
      <x:c r="H34" s="44" t="str">
        <x:v>supplier root X</x:v>
      </x:c>
      <x:c r="I34" s="45" t="str">
        <x:v>chemistry, process state and split balance for signal and power cable</x:v>
      </x:c>
      <x:c r="J34" s="44" t="str"/>
      <x:c r="K34" s="44" t="str">
        <x:f>IF(J34="","OPEN","PASS")</x:f>
        <x:v>OPEN</x:v>
      </x:c>
    </x:row>
    <x:row r="35" ht="38" customHeight="1">
      <x:c r="B35" s="44" t="str">
        <x:v>RAC-LOT-029</x:v>
      </x:c>
      <x:c r="C35" s="44" t="str">
        <x:v>BL-X</x:v>
      </x:c>
      <x:c r="D35" s="44" t="str">
        <x:v>signal and power cable</x:v>
      </x:c>
      <x:c r="E35" s="44" t="str">
        <x:v>ADJACENT EVIDENCE</x:v>
      </x:c>
      <x:c r="F35" s="44" t="n">
        <x:v>8</x:v>
      </x:c>
      <x:c r="G35" s="44" t="str">
        <x:v>controlled unit</x:v>
      </x:c>
      <x:c r="H35" s="44" t="str">
        <x:v>supplier root X</x:v>
      </x:c>
      <x:c r="I35" s="45" t="str">
        <x:v>chemistry, process state and split balance for signal and power cable</x:v>
      </x:c>
      <x:c r="J35" s="44" t="str"/>
      <x:c r="K35" s="44" t="str">
        <x:f>IF(J35="","OPEN","PASS")</x:f>
        <x:v>OPEN</x:v>
      </x:c>
    </x:row>
    <x:row r="36" ht="38" customHeight="1">
      <x:c r="B36" s="44" t="str">
        <x:v>RAC-LOT-030</x:v>
      </x:c>
      <x:c r="C36" s="44" t="str">
        <x:v>BL-X</x:v>
      </x:c>
      <x:c r="D36" s="44" t="str">
        <x:v>signal and power cable</x:v>
      </x:c>
      <x:c r="E36" s="44" t="str">
        <x:v>ARCHIVE</x:v>
      </x:c>
      <x:c r="F36" s="44" t="n">
        <x:v>2</x:v>
      </x:c>
      <x:c r="G36" s="44" t="str">
        <x:v>controlled unit</x:v>
      </x:c>
      <x:c r="H36" s="44" t="str">
        <x:v>supplier root X</x:v>
      </x:c>
      <x:c r="I36" s="45" t="str">
        <x:v>chemistry, process state and split balance for signal and power cable</x:v>
      </x:c>
      <x:c r="J36" s="44" t="str"/>
      <x:c r="K36" s="44" t="str">
        <x:f>IF(J36="","OPEN","PASS")</x:f>
        <x:v>OPEN</x:v>
      </x:c>
    </x:row>
    <x:row r="37" ht="38" customHeight="1">
      <x:c r="B37" s="44" t="str">
        <x:v>RAC-LOT-031</x:v>
      </x:c>
      <x:c r="C37" s="44" t="str">
        <x:v>BL-X</x:v>
      </x:c>
      <x:c r="D37" s="44" t="str">
        <x:v>evidence enclosure</x:v>
      </x:c>
      <x:c r="E37" s="44" t="str">
        <x:v>ARTICLE</x:v>
      </x:c>
      <x:c r="F37" s="44" t="n">
        <x:v>9</x:v>
      </x:c>
      <x:c r="G37" s="44" t="str">
        <x:v>controlled unit</x:v>
      </x:c>
      <x:c r="H37" s="44" t="str">
        <x:v>supplier root X</x:v>
      </x:c>
      <x:c r="I37" s="45" t="str">
        <x:v>chemistry, process state and split balance for evidence enclosure</x:v>
      </x:c>
      <x:c r="J37" s="44" t="str"/>
      <x:c r="K37" s="44" t="str">
        <x:f>IF(J37="","OPEN","PASS")</x:f>
        <x:v>OPEN</x:v>
      </x:c>
    </x:row>
    <x:row r="38" ht="38" customHeight="1">
      <x:c r="B38" s="44" t="str">
        <x:v>RAC-LOT-032</x:v>
      </x:c>
      <x:c r="C38" s="44" t="str">
        <x:v>BL-X</x:v>
      </x:c>
      <x:c r="D38" s="44" t="str">
        <x:v>evidence enclosure</x:v>
      </x:c>
      <x:c r="E38" s="44" t="str">
        <x:v>ADJACENT EVIDENCE</x:v>
      </x:c>
      <x:c r="F38" s="44" t="n">
        <x:v>8</x:v>
      </x:c>
      <x:c r="G38" s="44" t="str">
        <x:v>controlled unit</x:v>
      </x:c>
      <x:c r="H38" s="44" t="str">
        <x:v>supplier root X</x:v>
      </x:c>
      <x:c r="I38" s="45" t="str">
        <x:v>chemistry, process state and split balance for evidence enclosure</x:v>
      </x:c>
      <x:c r="J38" s="44" t="str"/>
      <x:c r="K38" s="44" t="str">
        <x:f>IF(J38="","OPEN","PASS")</x:f>
        <x:v>OPEN</x:v>
      </x:c>
    </x:row>
    <x:row r="39" ht="38" customHeight="1">
      <x:c r="B39" s="44" t="str">
        <x:v>RAC-LOT-033</x:v>
      </x:c>
      <x:c r="C39" s="44" t="str">
        <x:v>BL-X</x:v>
      </x:c>
      <x:c r="D39" s="44" t="str">
        <x:v>evidence enclosure</x:v>
      </x:c>
      <x:c r="E39" s="44" t="str">
        <x:v>ARCHIVE</x:v>
      </x:c>
      <x:c r="F39" s="44" t="n">
        <x:v>2</x:v>
      </x:c>
      <x:c r="G39" s="44" t="str">
        <x:v>controlled unit</x:v>
      </x:c>
      <x:c r="H39" s="44" t="str">
        <x:v>supplier root X</x:v>
      </x:c>
      <x:c r="I39" s="45" t="str">
        <x:v>chemistry, process state and split balance for evidence enclosure</x:v>
      </x:c>
      <x:c r="J39" s="44" t="str"/>
      <x:c r="K39" s="44" t="str">
        <x:f>IF(J39="","OPEN","PASS")</x:f>
        <x:v>OPEN</x:v>
      </x:c>
    </x:row>
    <x:row r="40" ht="38" customHeight="1">
      <x:c r="B40" s="44" t="str">
        <x:v>RAC-LOT-034</x:v>
      </x:c>
      <x:c r="C40" s="44" t="str">
        <x:v>BL-X</x:v>
      </x:c>
      <x:c r="D40" s="44" t="str">
        <x:v>surface treatment witness</x:v>
      </x:c>
      <x:c r="E40" s="44" t="str">
        <x:v>ARTICLE</x:v>
      </x:c>
      <x:c r="F40" s="44" t="n">
        <x:v>9</x:v>
      </x:c>
      <x:c r="G40" s="44" t="str">
        <x:v>controlled unit</x:v>
      </x:c>
      <x:c r="H40" s="44" t="str">
        <x:v>supplier root X</x:v>
      </x:c>
      <x:c r="I40" s="45" t="str">
        <x:v>chemistry, process state and split balance for surface treatment witness</x:v>
      </x:c>
      <x:c r="J40" s="44" t="str"/>
      <x:c r="K40" s="44" t="str">
        <x:f>IF(J40="","OPEN","PASS")</x:f>
        <x:v>OPEN</x:v>
      </x:c>
    </x:row>
    <x:row r="41" ht="38" customHeight="1">
      <x:c r="B41" s="44" t="str">
        <x:v>RAC-LOT-035</x:v>
      </x:c>
      <x:c r="C41" s="44" t="str">
        <x:v>BL-X</x:v>
      </x:c>
      <x:c r="D41" s="44" t="str">
        <x:v>surface treatment witness</x:v>
      </x:c>
      <x:c r="E41" s="44" t="str">
        <x:v>ADJACENT EVIDENCE</x:v>
      </x:c>
      <x:c r="F41" s="44" t="n">
        <x:v>8</x:v>
      </x:c>
      <x:c r="G41" s="44" t="str">
        <x:v>controlled unit</x:v>
      </x:c>
      <x:c r="H41" s="44" t="str">
        <x:v>supplier root X</x:v>
      </x:c>
      <x:c r="I41" s="45" t="str">
        <x:v>chemistry, process state and split balance for surface treatment witness</x:v>
      </x:c>
      <x:c r="J41" s="44" t="str"/>
      <x:c r="K41" s="44" t="str">
        <x:f>IF(J41="","OPEN","PASS")</x:f>
        <x:v>OPEN</x:v>
      </x:c>
    </x:row>
    <x:row r="42" ht="38" customHeight="1">
      <x:c r="B42" s="44" t="str">
        <x:v>RAC-LOT-036</x:v>
      </x:c>
      <x:c r="C42" s="44" t="str">
        <x:v>BL-X</x:v>
      </x:c>
      <x:c r="D42" s="44" t="str">
        <x:v>surface treatment witness</x:v>
      </x:c>
      <x:c r="E42" s="44" t="str">
        <x:v>ARCHIVE</x:v>
      </x:c>
      <x:c r="F42" s="44" t="n">
        <x:v>2</x:v>
      </x:c>
      <x:c r="G42" s="44" t="str">
        <x:v>controlled unit</x:v>
      </x:c>
      <x:c r="H42" s="44" t="str">
        <x:v>supplier root X</x:v>
      </x:c>
      <x:c r="I42" s="45" t="str">
        <x:v>chemistry, process state and split balance for surface treatment witness</x:v>
      </x:c>
      <x:c r="J42" s="44" t="str"/>
      <x:c r="K42" s="44" t="str">
        <x:f>IF(J42="","OPEN","PASS")</x:f>
        <x:v>OPEN</x:v>
      </x:c>
    </x:row>
    <x:row r="43" ht="38" customHeight="1">
      <x:c r="B43" s="44" t="str">
        <x:v>RAC-LOT-037</x:v>
      </x:c>
      <x:c r="C43" s="44" t="str">
        <x:v>BL-Y</x:v>
      </x:c>
      <x:c r="D43" s="44" t="str">
        <x:v>wetted tube</x:v>
      </x:c>
      <x:c r="E43" s="44" t="str">
        <x:v>ARTICLE</x:v>
      </x:c>
      <x:c r="F43" s="44" t="n">
        <x:v>9</x:v>
      </x:c>
      <x:c r="G43" s="44" t="str">
        <x:v>controlled unit</x:v>
      </x:c>
      <x:c r="H43" s="44" t="str">
        <x:v>supplier root Y</x:v>
      </x:c>
      <x:c r="I43" s="45" t="str">
        <x:v>chemistry, process state and split balance for wetted tube</x:v>
      </x:c>
      <x:c r="J43" s="44" t="str"/>
      <x:c r="K43" s="44" t="str">
        <x:f>IF(J43="","OPEN","PASS")</x:f>
        <x:v>OPEN</x:v>
      </x:c>
    </x:row>
    <x:row r="44" ht="38" customHeight="1">
      <x:c r="B44" s="44" t="str">
        <x:v>RAC-LOT-038</x:v>
      </x:c>
      <x:c r="C44" s="44" t="str">
        <x:v>BL-Y</x:v>
      </x:c>
      <x:c r="D44" s="44" t="str">
        <x:v>wetted tube</x:v>
      </x:c>
      <x:c r="E44" s="44" t="str">
        <x:v>ADJACENT EVIDENCE</x:v>
      </x:c>
      <x:c r="F44" s="44" t="n">
        <x:v>8</x:v>
      </x:c>
      <x:c r="G44" s="44" t="str">
        <x:v>controlled unit</x:v>
      </x:c>
      <x:c r="H44" s="44" t="str">
        <x:v>supplier root Y</x:v>
      </x:c>
      <x:c r="I44" s="45" t="str">
        <x:v>chemistry, process state and split balance for wetted tube</x:v>
      </x:c>
      <x:c r="J44" s="44" t="str"/>
      <x:c r="K44" s="44" t="str">
        <x:f>IF(J44="","OPEN","PASS")</x:f>
        <x:v>OPEN</x:v>
      </x:c>
    </x:row>
    <x:row r="45" ht="38" customHeight="1">
      <x:c r="B45" s="44" t="str">
        <x:v>RAC-LOT-039</x:v>
      </x:c>
      <x:c r="C45" s="44" t="str">
        <x:v>BL-Y</x:v>
      </x:c>
      <x:c r="D45" s="44" t="str">
        <x:v>wetted tube</x:v>
      </x:c>
      <x:c r="E45" s="44" t="str">
        <x:v>ARCHIVE</x:v>
      </x:c>
      <x:c r="F45" s="44" t="n">
        <x:v>2</x:v>
      </x:c>
      <x:c r="G45" s="44" t="str">
        <x:v>controlled unit</x:v>
      </x:c>
      <x:c r="H45" s="44" t="str">
        <x:v>supplier root Y</x:v>
      </x:c>
      <x:c r="I45" s="45" t="str">
        <x:v>chemistry, process state and split balance for wetted tube</x:v>
      </x:c>
      <x:c r="J45" s="44" t="str"/>
      <x:c r="K45" s="44" t="str">
        <x:f>IF(J45="","OPEN","PASS")</x:f>
        <x:v>OPEN</x:v>
      </x:c>
    </x:row>
    <x:row r="46" ht="38" customHeight="1">
      <x:c r="B46" s="44" t="str">
        <x:v>RAC-LOT-040</x:v>
      </x:c>
      <x:c r="C46" s="44" t="str">
        <x:v>BL-Y</x:v>
      </x:c>
      <x:c r="D46" s="44" t="str">
        <x:v>joint medium</x:v>
      </x:c>
      <x:c r="E46" s="44" t="str">
        <x:v>ARTICLE</x:v>
      </x:c>
      <x:c r="F46" s="44" t="n">
        <x:v>9</x:v>
      </x:c>
      <x:c r="G46" s="44" t="str">
        <x:v>controlled unit</x:v>
      </x:c>
      <x:c r="H46" s="44" t="str">
        <x:v>supplier root Y</x:v>
      </x:c>
      <x:c r="I46" s="45" t="str">
        <x:v>chemistry, process state and split balance for joint medium</x:v>
      </x:c>
      <x:c r="J46" s="44" t="str"/>
      <x:c r="K46" s="44" t="str">
        <x:f>IF(J46="","OPEN","PASS")</x:f>
        <x:v>OPEN</x:v>
      </x:c>
    </x:row>
    <x:row r="47" ht="38" customHeight="1">
      <x:c r="B47" s="44" t="str">
        <x:v>RAC-LOT-041</x:v>
      </x:c>
      <x:c r="C47" s="44" t="str">
        <x:v>BL-Y</x:v>
      </x:c>
      <x:c r="D47" s="44" t="str">
        <x:v>joint medium</x:v>
      </x:c>
      <x:c r="E47" s="44" t="str">
        <x:v>ADJACENT EVIDENCE</x:v>
      </x:c>
      <x:c r="F47" s="44" t="n">
        <x:v>8</x:v>
      </x:c>
      <x:c r="G47" s="44" t="str">
        <x:v>controlled unit</x:v>
      </x:c>
      <x:c r="H47" s="44" t="str">
        <x:v>supplier root Y</x:v>
      </x:c>
      <x:c r="I47" s="45" t="str">
        <x:v>chemistry, process state and split balance for joint medium</x:v>
      </x:c>
      <x:c r="J47" s="44" t="str"/>
      <x:c r="K47" s="44" t="str">
        <x:f>IF(J47="","OPEN","PASS")</x:f>
        <x:v>OPEN</x:v>
      </x:c>
    </x:row>
    <x:row r="48" ht="38" customHeight="1">
      <x:c r="B48" s="44" t="str">
        <x:v>RAC-LOT-042</x:v>
      </x:c>
      <x:c r="C48" s="44" t="str">
        <x:v>BL-Y</x:v>
      </x:c>
      <x:c r="D48" s="44" t="str">
        <x:v>joint medium</x:v>
      </x:c>
      <x:c r="E48" s="44" t="str">
        <x:v>ARCHIVE</x:v>
      </x:c>
      <x:c r="F48" s="44" t="n">
        <x:v>2</x:v>
      </x:c>
      <x:c r="G48" s="44" t="str">
        <x:v>controlled unit</x:v>
      </x:c>
      <x:c r="H48" s="44" t="str">
        <x:v>supplier root Y</x:v>
      </x:c>
      <x:c r="I48" s="45" t="str">
        <x:v>chemistry, process state and split balance for joint medium</x:v>
      </x:c>
      <x:c r="J48" s="44" t="str"/>
      <x:c r="K48" s="44" t="str">
        <x:f>IF(J48="","OPEN","PASS")</x:f>
        <x:v>OPEN</x:v>
      </x:c>
    </x:row>
    <x:row r="49" ht="38" customHeight="1">
      <x:c r="B49" s="44" t="str">
        <x:v>RAC-LOT-043</x:v>
      </x:c>
      <x:c r="C49" s="44" t="str">
        <x:v>BL-Y</x:v>
      </x:c>
      <x:c r="D49" s="44" t="str">
        <x:v>seal set</x:v>
      </x:c>
      <x:c r="E49" s="44" t="str">
        <x:v>ARTICLE</x:v>
      </x:c>
      <x:c r="F49" s="44" t="n">
        <x:v>9</x:v>
      </x:c>
      <x:c r="G49" s="44" t="str">
        <x:v>controlled unit</x:v>
      </x:c>
      <x:c r="H49" s="44" t="str">
        <x:v>supplier root Y</x:v>
      </x:c>
      <x:c r="I49" s="45" t="str">
        <x:v>chemistry, process state and split balance for seal set</x:v>
      </x:c>
      <x:c r="J49" s="44" t="str"/>
      <x:c r="K49" s="44" t="str">
        <x:f>IF(J49="","OPEN","PASS")</x:f>
        <x:v>OPEN</x:v>
      </x:c>
    </x:row>
    <x:row r="50" ht="38" customHeight="1">
      <x:c r="B50" s="44" t="str">
        <x:v>RAC-LOT-044</x:v>
      </x:c>
      <x:c r="C50" s="44" t="str">
        <x:v>BL-Y</x:v>
      </x:c>
      <x:c r="D50" s="44" t="str">
        <x:v>seal set</x:v>
      </x:c>
      <x:c r="E50" s="44" t="str">
        <x:v>ADJACENT EVIDENCE</x:v>
      </x:c>
      <x:c r="F50" s="44" t="n">
        <x:v>8</x:v>
      </x:c>
      <x:c r="G50" s="44" t="str">
        <x:v>controlled unit</x:v>
      </x:c>
      <x:c r="H50" s="44" t="str">
        <x:v>supplier root Y</x:v>
      </x:c>
      <x:c r="I50" s="45" t="str">
        <x:v>chemistry, process state and split balance for seal set</x:v>
      </x:c>
      <x:c r="J50" s="44" t="str"/>
      <x:c r="K50" s="44" t="str">
        <x:f>IF(J50="","OPEN","PASS")</x:f>
        <x:v>OPEN</x:v>
      </x:c>
    </x:row>
    <x:row r="51" ht="38" customHeight="1">
      <x:c r="B51" s="44" t="str">
        <x:v>RAC-LOT-045</x:v>
      </x:c>
      <x:c r="C51" s="44" t="str">
        <x:v>BL-Y</x:v>
      </x:c>
      <x:c r="D51" s="44" t="str">
        <x:v>seal set</x:v>
      </x:c>
      <x:c r="E51" s="44" t="str">
        <x:v>ARCHIVE</x:v>
      </x:c>
      <x:c r="F51" s="44" t="n">
        <x:v>2</x:v>
      </x:c>
      <x:c r="G51" s="44" t="str">
        <x:v>controlled unit</x:v>
      </x:c>
      <x:c r="H51" s="44" t="str">
        <x:v>supplier root Y</x:v>
      </x:c>
      <x:c r="I51" s="45" t="str">
        <x:v>chemistry, process state and split balance for seal set</x:v>
      </x:c>
      <x:c r="J51" s="44" t="str"/>
      <x:c r="K51" s="44" t="str">
        <x:f>IF(J51="","OPEN","PASS")</x:f>
        <x:v>OPEN</x:v>
      </x:c>
    </x:row>
    <x:row r="52" ht="38" customHeight="1">
      <x:c r="B52" s="44" t="str">
        <x:v>RAC-LOT-046</x:v>
      </x:c>
      <x:c r="C52" s="44" t="str">
        <x:v>BL-Y</x:v>
      </x:c>
      <x:c r="D52" s="44" t="str">
        <x:v>datum frame</x:v>
      </x:c>
      <x:c r="E52" s="44" t="str">
        <x:v>ARTICLE</x:v>
      </x:c>
      <x:c r="F52" s="44" t="n">
        <x:v>9</x:v>
      </x:c>
      <x:c r="G52" s="44" t="str">
        <x:v>controlled unit</x:v>
      </x:c>
      <x:c r="H52" s="44" t="str">
        <x:v>supplier root Y</x:v>
      </x:c>
      <x:c r="I52" s="45" t="str">
        <x:v>chemistry, process state and split balance for datum frame</x:v>
      </x:c>
      <x:c r="J52" s="44" t="str"/>
      <x:c r="K52" s="44" t="str">
        <x:f>IF(J52="","OPEN","PASS")</x:f>
        <x:v>OPEN</x:v>
      </x:c>
    </x:row>
    <x:row r="53" ht="38" customHeight="1">
      <x:c r="B53" s="44" t="str">
        <x:v>RAC-LOT-047</x:v>
      </x:c>
      <x:c r="C53" s="44" t="str">
        <x:v>BL-Y</x:v>
      </x:c>
      <x:c r="D53" s="44" t="str">
        <x:v>datum frame</x:v>
      </x:c>
      <x:c r="E53" s="44" t="str">
        <x:v>ADJACENT EVIDENCE</x:v>
      </x:c>
      <x:c r="F53" s="44" t="n">
        <x:v>8</x:v>
      </x:c>
      <x:c r="G53" s="44" t="str">
        <x:v>controlled unit</x:v>
      </x:c>
      <x:c r="H53" s="44" t="str">
        <x:v>supplier root Y</x:v>
      </x:c>
      <x:c r="I53" s="45" t="str">
        <x:v>chemistry, process state and split balance for datum frame</x:v>
      </x:c>
      <x:c r="J53" s="44" t="str"/>
      <x:c r="K53" s="44" t="str">
        <x:f>IF(J53="","OPEN","PASS")</x:f>
        <x:v>OPEN</x:v>
      </x:c>
    </x:row>
    <x:row r="54" ht="38" customHeight="1">
      <x:c r="B54" s="44" t="str">
        <x:v>RAC-LOT-048</x:v>
      </x:c>
      <x:c r="C54" s="44" t="str">
        <x:v>BL-Y</x:v>
      </x:c>
      <x:c r="D54" s="44" t="str">
        <x:v>datum frame</x:v>
      </x:c>
      <x:c r="E54" s="44" t="str">
        <x:v>ARCHIVE</x:v>
      </x:c>
      <x:c r="F54" s="44" t="n">
        <x:v>2</x:v>
      </x:c>
      <x:c r="G54" s="44" t="str">
        <x:v>controlled unit</x:v>
      </x:c>
      <x:c r="H54" s="44" t="str">
        <x:v>supplier root Y</x:v>
      </x:c>
      <x:c r="I54" s="45" t="str">
        <x:v>chemistry, process state and split balance for datum frame</x:v>
      </x:c>
      <x:c r="J54" s="44" t="str"/>
      <x:c r="K54" s="44" t="str">
        <x:f>IF(J54="","OPEN","PASS")</x:f>
        <x:v>OPEN</x:v>
      </x:c>
    </x:row>
    <x:row r="55" ht="38" customHeight="1">
      <x:c r="B55" s="44" t="str">
        <x:v>RAC-LOT-049</x:v>
      </x:c>
      <x:c r="C55" s="44" t="str">
        <x:v>BL-Y</x:v>
      </x:c>
      <x:c r="D55" s="44" t="str">
        <x:v>inner pan</x:v>
      </x:c>
      <x:c r="E55" s="44" t="str">
        <x:v>ARTICLE</x:v>
      </x:c>
      <x:c r="F55" s="44" t="n">
        <x:v>9</x:v>
      </x:c>
      <x:c r="G55" s="44" t="str">
        <x:v>controlled unit</x:v>
      </x:c>
      <x:c r="H55" s="44" t="str">
        <x:v>supplier root Y</x:v>
      </x:c>
      <x:c r="I55" s="45" t="str">
        <x:v>chemistry, process state and split balance for inner pan</x:v>
      </x:c>
      <x:c r="J55" s="44" t="str"/>
      <x:c r="K55" s="44" t="str">
        <x:f>IF(J55="","OPEN","PASS")</x:f>
        <x:v>OPEN</x:v>
      </x:c>
    </x:row>
    <x:row r="56" ht="38" customHeight="1">
      <x:c r="B56" s="44" t="str">
        <x:v>RAC-LOT-050</x:v>
      </x:c>
      <x:c r="C56" s="44" t="str">
        <x:v>BL-Y</x:v>
      </x:c>
      <x:c r="D56" s="44" t="str">
        <x:v>inner pan</x:v>
      </x:c>
      <x:c r="E56" s="44" t="str">
        <x:v>ADJACENT EVIDENCE</x:v>
      </x:c>
      <x:c r="F56" s="44" t="n">
        <x:v>8</x:v>
      </x:c>
      <x:c r="G56" s="44" t="str">
        <x:v>controlled unit</x:v>
      </x:c>
      <x:c r="H56" s="44" t="str">
        <x:v>supplier root Y</x:v>
      </x:c>
      <x:c r="I56" s="45" t="str">
        <x:v>chemistry, process state and split balance for inner pan</x:v>
      </x:c>
      <x:c r="J56" s="44" t="str"/>
      <x:c r="K56" s="44" t="str">
        <x:f>IF(J56="","OPEN","PASS")</x:f>
        <x:v>OPEN</x:v>
      </x:c>
    </x:row>
    <x:row r="57" ht="38" customHeight="1">
      <x:c r="B57" s="44" t="str">
        <x:v>RAC-LOT-051</x:v>
      </x:c>
      <x:c r="C57" s="44" t="str">
        <x:v>BL-Y</x:v>
      </x:c>
      <x:c r="D57" s="44" t="str">
        <x:v>inner pan</x:v>
      </x:c>
      <x:c r="E57" s="44" t="str">
        <x:v>ARCHIVE</x:v>
      </x:c>
      <x:c r="F57" s="44" t="n">
        <x:v>2</x:v>
      </x:c>
      <x:c r="G57" s="44" t="str">
        <x:v>controlled unit</x:v>
      </x:c>
      <x:c r="H57" s="44" t="str">
        <x:v>supplier root Y</x:v>
      </x:c>
      <x:c r="I57" s="45" t="str">
        <x:v>chemistry, process state and split balance for inner pan</x:v>
      </x:c>
      <x:c r="J57" s="44" t="str"/>
      <x:c r="K57" s="44" t="str">
        <x:f>IF(J57="","OPEN","PASS")</x:f>
        <x:v>OPEN</x:v>
      </x:c>
    </x:row>
    <x:row r="58" ht="38" customHeight="1">
      <x:c r="B58" s="44" t="str">
        <x:v>RAC-LOT-052</x:v>
      </x:c>
      <x:c r="C58" s="44" t="str">
        <x:v>BL-Y</x:v>
      </x:c>
      <x:c r="D58" s="44" t="str">
        <x:v>receiver shell</x:v>
      </x:c>
      <x:c r="E58" s="44" t="str">
        <x:v>ARTICLE</x:v>
      </x:c>
      <x:c r="F58" s="44" t="n">
        <x:v>9</x:v>
      </x:c>
      <x:c r="G58" s="44" t="str">
        <x:v>controlled unit</x:v>
      </x:c>
      <x:c r="H58" s="44" t="str">
        <x:v>supplier root Y</x:v>
      </x:c>
      <x:c r="I58" s="45" t="str">
        <x:v>chemistry, process state and split balance for receiver shell</x:v>
      </x:c>
      <x:c r="J58" s="44" t="str"/>
      <x:c r="K58" s="44" t="str">
        <x:f>IF(J58="","OPEN","PASS")</x:f>
        <x:v>OPEN</x:v>
      </x:c>
    </x:row>
    <x:row r="59" ht="38" customHeight="1">
      <x:c r="B59" s="44" t="str">
        <x:v>RAC-LOT-053</x:v>
      </x:c>
      <x:c r="C59" s="44" t="str">
        <x:v>BL-Y</x:v>
      </x:c>
      <x:c r="D59" s="44" t="str">
        <x:v>receiver shell</x:v>
      </x:c>
      <x:c r="E59" s="44" t="str">
        <x:v>ADJACENT EVIDENCE</x:v>
      </x:c>
      <x:c r="F59" s="44" t="n">
        <x:v>8</x:v>
      </x:c>
      <x:c r="G59" s="44" t="str">
        <x:v>controlled unit</x:v>
      </x:c>
      <x:c r="H59" s="44" t="str">
        <x:v>supplier root Y</x:v>
      </x:c>
      <x:c r="I59" s="45" t="str">
        <x:v>chemistry, process state and split balance for receiver shell</x:v>
      </x:c>
      <x:c r="J59" s="44" t="str"/>
      <x:c r="K59" s="44" t="str">
        <x:f>IF(J59="","OPEN","PASS")</x:f>
        <x:v>OPEN</x:v>
      </x:c>
    </x:row>
    <x:row r="60" ht="38" customHeight="1">
      <x:c r="B60" s="44" t="str">
        <x:v>RAC-LOT-054</x:v>
      </x:c>
      <x:c r="C60" s="44" t="str">
        <x:v>BL-Y</x:v>
      </x:c>
      <x:c r="D60" s="44" t="str">
        <x:v>receiver shell</x:v>
      </x:c>
      <x:c r="E60" s="44" t="str">
        <x:v>ARCHIVE</x:v>
      </x:c>
      <x:c r="F60" s="44" t="n">
        <x:v>2</x:v>
      </x:c>
      <x:c r="G60" s="44" t="str">
        <x:v>controlled unit</x:v>
      </x:c>
      <x:c r="H60" s="44" t="str">
        <x:v>supplier root Y</x:v>
      </x:c>
      <x:c r="I60" s="45" t="str">
        <x:v>chemistry, process state and split balance for receiver shell</x:v>
      </x:c>
      <x:c r="J60" s="44" t="str"/>
      <x:c r="K60" s="44" t="str">
        <x:f>IF(J60="","OPEN","PASS")</x:f>
        <x:v>OPEN</x:v>
      </x:c>
    </x:row>
    <x:row r="61" ht="38" customHeight="1">
      <x:c r="B61" s="44" t="str">
        <x:v>RAC-LOT-055</x:v>
      </x:c>
      <x:c r="C61" s="44" t="str">
        <x:v>BL-Y</x:v>
      </x:c>
      <x:c r="D61" s="44" t="str">
        <x:v>valve body</x:v>
      </x:c>
      <x:c r="E61" s="44" t="str">
        <x:v>ARTICLE</x:v>
      </x:c>
      <x:c r="F61" s="44" t="n">
        <x:v>9</x:v>
      </x:c>
      <x:c r="G61" s="44" t="str">
        <x:v>controlled unit</x:v>
      </x:c>
      <x:c r="H61" s="44" t="str">
        <x:v>supplier root Y</x:v>
      </x:c>
      <x:c r="I61" s="45" t="str">
        <x:v>chemistry, process state and split balance for valve body</x:v>
      </x:c>
      <x:c r="J61" s="44" t="str"/>
      <x:c r="K61" s="44" t="str">
        <x:f>IF(J61="","OPEN","PASS")</x:f>
        <x:v>OPEN</x:v>
      </x:c>
    </x:row>
    <x:row r="62" ht="38" customHeight="1">
      <x:c r="B62" s="44" t="str">
        <x:v>RAC-LOT-056</x:v>
      </x:c>
      <x:c r="C62" s="44" t="str">
        <x:v>BL-Y</x:v>
      </x:c>
      <x:c r="D62" s="44" t="str">
        <x:v>valve body</x:v>
      </x:c>
      <x:c r="E62" s="44" t="str">
        <x:v>ADJACENT EVIDENCE</x:v>
      </x:c>
      <x:c r="F62" s="44" t="n">
        <x:v>8</x:v>
      </x:c>
      <x:c r="G62" s="44" t="str">
        <x:v>controlled unit</x:v>
      </x:c>
      <x:c r="H62" s="44" t="str">
        <x:v>supplier root Y</x:v>
      </x:c>
      <x:c r="I62" s="45" t="str">
        <x:v>chemistry, process state and split balance for valve body</x:v>
      </x:c>
      <x:c r="J62" s="44" t="str"/>
      <x:c r="K62" s="44" t="str">
        <x:f>IF(J62="","OPEN","PASS")</x:f>
        <x:v>OPEN</x:v>
      </x:c>
    </x:row>
    <x:row r="63" ht="38" customHeight="1">
      <x:c r="B63" s="44" t="str">
        <x:v>RAC-LOT-057</x:v>
      </x:c>
      <x:c r="C63" s="44" t="str">
        <x:v>BL-Y</x:v>
      </x:c>
      <x:c r="D63" s="44" t="str">
        <x:v>valve body</x:v>
      </x:c>
      <x:c r="E63" s="44" t="str">
        <x:v>ARCHIVE</x:v>
      </x:c>
      <x:c r="F63" s="44" t="n">
        <x:v>2</x:v>
      </x:c>
      <x:c r="G63" s="44" t="str">
        <x:v>controlled unit</x:v>
      </x:c>
      <x:c r="H63" s="44" t="str">
        <x:v>supplier root Y</x:v>
      </x:c>
      <x:c r="I63" s="45" t="str">
        <x:v>chemistry, process state and split balance for valve body</x:v>
      </x:c>
      <x:c r="J63" s="44" t="str"/>
      <x:c r="K63" s="44" t="str">
        <x:f>IF(J63="","OPEN","PASS")</x:f>
        <x:v>OPEN</x:v>
      </x:c>
    </x:row>
    <x:row r="64" ht="38" customHeight="1">
      <x:c r="B64" s="44" t="str">
        <x:v>RAC-LOT-058</x:v>
      </x:c>
      <x:c r="C64" s="44" t="str">
        <x:v>BL-Y</x:v>
      </x:c>
      <x:c r="D64" s="44" t="str">
        <x:v>actuator spring</x:v>
      </x:c>
      <x:c r="E64" s="44" t="str">
        <x:v>ARTICLE</x:v>
      </x:c>
      <x:c r="F64" s="44" t="n">
        <x:v>9</x:v>
      </x:c>
      <x:c r="G64" s="44" t="str">
        <x:v>controlled unit</x:v>
      </x:c>
      <x:c r="H64" s="44" t="str">
        <x:v>supplier root Y</x:v>
      </x:c>
      <x:c r="I64" s="45" t="str">
        <x:v>chemistry, process state and split balance for actuator spring</x:v>
      </x:c>
      <x:c r="J64" s="44" t="str"/>
      <x:c r="K64" s="44" t="str">
        <x:f>IF(J64="","OPEN","PASS")</x:f>
        <x:v>OPEN</x:v>
      </x:c>
    </x:row>
    <x:row r="65" ht="38" customHeight="1">
      <x:c r="B65" s="44" t="str">
        <x:v>RAC-LOT-059</x:v>
      </x:c>
      <x:c r="C65" s="44" t="str">
        <x:v>BL-Y</x:v>
      </x:c>
      <x:c r="D65" s="44" t="str">
        <x:v>actuator spring</x:v>
      </x:c>
      <x:c r="E65" s="44" t="str">
        <x:v>ADJACENT EVIDENCE</x:v>
      </x:c>
      <x:c r="F65" s="44" t="n">
        <x:v>8</x:v>
      </x:c>
      <x:c r="G65" s="44" t="str">
        <x:v>controlled unit</x:v>
      </x:c>
      <x:c r="H65" s="44" t="str">
        <x:v>supplier root Y</x:v>
      </x:c>
      <x:c r="I65" s="45" t="str">
        <x:v>chemistry, process state and split balance for actuator spring</x:v>
      </x:c>
      <x:c r="J65" s="44" t="str"/>
      <x:c r="K65" s="44" t="str">
        <x:f>IF(J65="","OPEN","PASS")</x:f>
        <x:v>OPEN</x:v>
      </x:c>
    </x:row>
    <x:row r="66" ht="38" customHeight="1">
      <x:c r="B66" s="44" t="str">
        <x:v>RAC-LOT-060</x:v>
      </x:c>
      <x:c r="C66" s="44" t="str">
        <x:v>BL-Y</x:v>
      </x:c>
      <x:c r="D66" s="44" t="str">
        <x:v>actuator spring</x:v>
      </x:c>
      <x:c r="E66" s="44" t="str">
        <x:v>ARCHIVE</x:v>
      </x:c>
      <x:c r="F66" s="44" t="n">
        <x:v>2</x:v>
      </x:c>
      <x:c r="G66" s="44" t="str">
        <x:v>controlled unit</x:v>
      </x:c>
      <x:c r="H66" s="44" t="str">
        <x:v>supplier root Y</x:v>
      </x:c>
      <x:c r="I66" s="45" t="str">
        <x:v>chemistry, process state and split balance for actuator spring</x:v>
      </x:c>
      <x:c r="J66" s="44" t="str"/>
      <x:c r="K66" s="44" t="str">
        <x:f>IF(J66="","OPEN","PASS")</x:f>
        <x:v>OPEN</x:v>
      </x:c>
    </x:row>
    <x:row r="67" ht="38" customHeight="1">
      <x:c r="B67" s="44" t="str">
        <x:v>RAC-LOT-061</x:v>
      </x:c>
      <x:c r="C67" s="44" t="str">
        <x:v>BL-Y</x:v>
      </x:c>
      <x:c r="D67" s="44" t="str">
        <x:v>instrument mount</x:v>
      </x:c>
      <x:c r="E67" s="44" t="str">
        <x:v>ARTICLE</x:v>
      </x:c>
      <x:c r="F67" s="44" t="n">
        <x:v>9</x:v>
      </x:c>
      <x:c r="G67" s="44" t="str">
        <x:v>controlled unit</x:v>
      </x:c>
      <x:c r="H67" s="44" t="str">
        <x:v>supplier root Y</x:v>
      </x:c>
      <x:c r="I67" s="45" t="str">
        <x:v>chemistry, process state and split balance for instrument mount</x:v>
      </x:c>
      <x:c r="J67" s="44" t="str"/>
      <x:c r="K67" s="44" t="str">
        <x:f>IF(J67="","OPEN","PASS")</x:f>
        <x:v>OPEN</x:v>
      </x:c>
    </x:row>
    <x:row r="68" ht="38" customHeight="1">
      <x:c r="B68" s="44" t="str">
        <x:v>RAC-LOT-062</x:v>
      </x:c>
      <x:c r="C68" s="44" t="str">
        <x:v>BL-Y</x:v>
      </x:c>
      <x:c r="D68" s="44" t="str">
        <x:v>instrument mount</x:v>
      </x:c>
      <x:c r="E68" s="44" t="str">
        <x:v>ADJACENT EVIDENCE</x:v>
      </x:c>
      <x:c r="F68" s="44" t="n">
        <x:v>8</x:v>
      </x:c>
      <x:c r="G68" s="44" t="str">
        <x:v>controlled unit</x:v>
      </x:c>
      <x:c r="H68" s="44" t="str">
        <x:v>supplier root Y</x:v>
      </x:c>
      <x:c r="I68" s="45" t="str">
        <x:v>chemistry, process state and split balance for instrument mount</x:v>
      </x:c>
      <x:c r="J68" s="44" t="str"/>
      <x:c r="K68" s="44" t="str">
        <x:f>IF(J68="","OPEN","PASS")</x:f>
        <x:v>OPEN</x:v>
      </x:c>
    </x:row>
    <x:row r="69" ht="38" customHeight="1">
      <x:c r="B69" s="44" t="str">
        <x:v>RAC-LOT-063</x:v>
      </x:c>
      <x:c r="C69" s="44" t="str">
        <x:v>BL-Y</x:v>
      </x:c>
      <x:c r="D69" s="44" t="str">
        <x:v>instrument mount</x:v>
      </x:c>
      <x:c r="E69" s="44" t="str">
        <x:v>ARCHIVE</x:v>
      </x:c>
      <x:c r="F69" s="44" t="n">
        <x:v>2</x:v>
      </x:c>
      <x:c r="G69" s="44" t="str">
        <x:v>controlled unit</x:v>
      </x:c>
      <x:c r="H69" s="44" t="str">
        <x:v>supplier root Y</x:v>
      </x:c>
      <x:c r="I69" s="45" t="str">
        <x:v>chemistry, process state and split balance for instrument mount</x:v>
      </x:c>
      <x:c r="J69" s="44" t="str"/>
      <x:c r="K69" s="44" t="str">
        <x:f>IF(J69="","OPEN","PASS")</x:f>
        <x:v>OPEN</x:v>
      </x:c>
    </x:row>
    <x:row r="70" ht="38" customHeight="1">
      <x:c r="B70" s="44" t="str">
        <x:v>RAC-LOT-064</x:v>
      </x:c>
      <x:c r="C70" s="44" t="str">
        <x:v>BL-Y</x:v>
      </x:c>
      <x:c r="D70" s="44" t="str">
        <x:v>signal and power cable</x:v>
      </x:c>
      <x:c r="E70" s="44" t="str">
        <x:v>ARTICLE</x:v>
      </x:c>
      <x:c r="F70" s="44" t="n">
        <x:v>9</x:v>
      </x:c>
      <x:c r="G70" s="44" t="str">
        <x:v>controlled unit</x:v>
      </x:c>
      <x:c r="H70" s="44" t="str">
        <x:v>supplier root Y</x:v>
      </x:c>
      <x:c r="I70" s="45" t="str">
        <x:v>chemistry, process state and split balance for signal and power cable</x:v>
      </x:c>
      <x:c r="J70" s="44" t="str"/>
      <x:c r="K70" s="44" t="str">
        <x:f>IF(J70="","OPEN","PASS")</x:f>
        <x:v>OPEN</x:v>
      </x:c>
    </x:row>
    <x:row r="71" ht="38" customHeight="1">
      <x:c r="B71" s="44" t="str">
        <x:v>RAC-LOT-065</x:v>
      </x:c>
      <x:c r="C71" s="44" t="str">
        <x:v>BL-Y</x:v>
      </x:c>
      <x:c r="D71" s="44" t="str">
        <x:v>signal and power cable</x:v>
      </x:c>
      <x:c r="E71" s="44" t="str">
        <x:v>ADJACENT EVIDENCE</x:v>
      </x:c>
      <x:c r="F71" s="44" t="n">
        <x:v>8</x:v>
      </x:c>
      <x:c r="G71" s="44" t="str">
        <x:v>controlled unit</x:v>
      </x:c>
      <x:c r="H71" s="44" t="str">
        <x:v>supplier root Y</x:v>
      </x:c>
      <x:c r="I71" s="45" t="str">
        <x:v>chemistry, process state and split balance for signal and power cable</x:v>
      </x:c>
      <x:c r="J71" s="44" t="str"/>
      <x:c r="K71" s="44" t="str">
        <x:f>IF(J71="","OPEN","PASS")</x:f>
        <x:v>OPEN</x:v>
      </x:c>
    </x:row>
    <x:row r="72" ht="38" customHeight="1">
      <x:c r="B72" s="44" t="str">
        <x:v>RAC-LOT-066</x:v>
      </x:c>
      <x:c r="C72" s="44" t="str">
        <x:v>BL-Y</x:v>
      </x:c>
      <x:c r="D72" s="44" t="str">
        <x:v>signal and power cable</x:v>
      </x:c>
      <x:c r="E72" s="44" t="str">
        <x:v>ARCHIVE</x:v>
      </x:c>
      <x:c r="F72" s="44" t="n">
        <x:v>2</x:v>
      </x:c>
      <x:c r="G72" s="44" t="str">
        <x:v>controlled unit</x:v>
      </x:c>
      <x:c r="H72" s="44" t="str">
        <x:v>supplier root Y</x:v>
      </x:c>
      <x:c r="I72" s="45" t="str">
        <x:v>chemistry, process state and split balance for signal and power cable</x:v>
      </x:c>
      <x:c r="J72" s="44" t="str"/>
      <x:c r="K72" s="44" t="str">
        <x:f>IF(J72="","OPEN","PASS")</x:f>
        <x:v>OPEN</x:v>
      </x:c>
    </x:row>
    <x:row r="73" ht="38" customHeight="1">
      <x:c r="B73" s="44" t="str">
        <x:v>RAC-LOT-067</x:v>
      </x:c>
      <x:c r="C73" s="44" t="str">
        <x:v>BL-Y</x:v>
      </x:c>
      <x:c r="D73" s="44" t="str">
        <x:v>evidence enclosure</x:v>
      </x:c>
      <x:c r="E73" s="44" t="str">
        <x:v>ARTICLE</x:v>
      </x:c>
      <x:c r="F73" s="44" t="n">
        <x:v>9</x:v>
      </x:c>
      <x:c r="G73" s="44" t="str">
        <x:v>controlled unit</x:v>
      </x:c>
      <x:c r="H73" s="44" t="str">
        <x:v>supplier root Y</x:v>
      </x:c>
      <x:c r="I73" s="45" t="str">
        <x:v>chemistry, process state and split balance for evidence enclosure</x:v>
      </x:c>
      <x:c r="J73" s="44" t="str"/>
      <x:c r="K73" s="44" t="str">
        <x:f>IF(J73="","OPEN","PASS")</x:f>
        <x:v>OPEN</x:v>
      </x:c>
    </x:row>
    <x:row r="74" ht="38" customHeight="1">
      <x:c r="B74" s="44" t="str">
        <x:v>RAC-LOT-068</x:v>
      </x:c>
      <x:c r="C74" s="44" t="str">
        <x:v>BL-Y</x:v>
      </x:c>
      <x:c r="D74" s="44" t="str">
        <x:v>evidence enclosure</x:v>
      </x:c>
      <x:c r="E74" s="44" t="str">
        <x:v>ADJACENT EVIDENCE</x:v>
      </x:c>
      <x:c r="F74" s="44" t="n">
        <x:v>8</x:v>
      </x:c>
      <x:c r="G74" s="44" t="str">
        <x:v>controlled unit</x:v>
      </x:c>
      <x:c r="H74" s="44" t="str">
        <x:v>supplier root Y</x:v>
      </x:c>
      <x:c r="I74" s="45" t="str">
        <x:v>chemistry, process state and split balance for evidence enclosure</x:v>
      </x:c>
      <x:c r="J74" s="44" t="str"/>
      <x:c r="K74" s="44" t="str">
        <x:f>IF(J74="","OPEN","PASS")</x:f>
        <x:v>OPEN</x:v>
      </x:c>
    </x:row>
    <x:row r="75" ht="38" customHeight="1">
      <x:c r="B75" s="44" t="str">
        <x:v>RAC-LOT-069</x:v>
      </x:c>
      <x:c r="C75" s="44" t="str">
        <x:v>BL-Y</x:v>
      </x:c>
      <x:c r="D75" s="44" t="str">
        <x:v>evidence enclosure</x:v>
      </x:c>
      <x:c r="E75" s="44" t="str">
        <x:v>ARCHIVE</x:v>
      </x:c>
      <x:c r="F75" s="44" t="n">
        <x:v>2</x:v>
      </x:c>
      <x:c r="G75" s="44" t="str">
        <x:v>controlled unit</x:v>
      </x:c>
      <x:c r="H75" s="44" t="str">
        <x:v>supplier root Y</x:v>
      </x:c>
      <x:c r="I75" s="45" t="str">
        <x:v>chemistry, process state and split balance for evidence enclosure</x:v>
      </x:c>
      <x:c r="J75" s="44" t="str"/>
      <x:c r="K75" s="44" t="str">
        <x:f>IF(J75="","OPEN","PASS")</x:f>
        <x:v>OPEN</x:v>
      </x:c>
    </x:row>
    <x:row r="76" ht="38" customHeight="1">
      <x:c r="B76" s="44" t="str">
        <x:v>RAC-LOT-070</x:v>
      </x:c>
      <x:c r="C76" s="44" t="str">
        <x:v>BL-Y</x:v>
      </x:c>
      <x:c r="D76" s="44" t="str">
        <x:v>surface treatment witness</x:v>
      </x:c>
      <x:c r="E76" s="44" t="str">
        <x:v>ARTICLE</x:v>
      </x:c>
      <x:c r="F76" s="44" t="n">
        <x:v>9</x:v>
      </x:c>
      <x:c r="G76" s="44" t="str">
        <x:v>controlled unit</x:v>
      </x:c>
      <x:c r="H76" s="44" t="str">
        <x:v>supplier root Y</x:v>
      </x:c>
      <x:c r="I76" s="45" t="str">
        <x:v>chemistry, process state and split balance for surface treatment witness</x:v>
      </x:c>
      <x:c r="J76" s="44" t="str"/>
      <x:c r="K76" s="44" t="str">
        <x:f>IF(J76="","OPEN","PASS")</x:f>
        <x:v>OPEN</x:v>
      </x:c>
    </x:row>
    <x:row r="77" ht="38" customHeight="1">
      <x:c r="B77" s="44" t="str">
        <x:v>RAC-LOT-071</x:v>
      </x:c>
      <x:c r="C77" s="44" t="str">
        <x:v>BL-Y</x:v>
      </x:c>
      <x:c r="D77" s="44" t="str">
        <x:v>surface treatment witness</x:v>
      </x:c>
      <x:c r="E77" s="44" t="str">
        <x:v>ADJACENT EVIDENCE</x:v>
      </x:c>
      <x:c r="F77" s="44" t="n">
        <x:v>8</x:v>
      </x:c>
      <x:c r="G77" s="44" t="str">
        <x:v>controlled unit</x:v>
      </x:c>
      <x:c r="H77" s="44" t="str">
        <x:v>supplier root Y</x:v>
      </x:c>
      <x:c r="I77" s="45" t="str">
        <x:v>chemistry, process state and split balance for surface treatment witness</x:v>
      </x:c>
      <x:c r="J77" s="44" t="str"/>
      <x:c r="K77" s="44" t="str">
        <x:f>IF(J77="","OPEN","PASS")</x:f>
        <x:v>OPEN</x:v>
      </x:c>
    </x:row>
    <x:row r="78" ht="38" customHeight="1">
      <x:c r="B78" s="44" t="str">
        <x:v>RAC-LOT-072</x:v>
      </x:c>
      <x:c r="C78" s="44" t="str">
        <x:v>BL-Y</x:v>
      </x:c>
      <x:c r="D78" s="44" t="str">
        <x:v>surface treatment witness</x:v>
      </x:c>
      <x:c r="E78" s="44" t="str">
        <x:v>ARCHIVE</x:v>
      </x:c>
      <x:c r="F78" s="44" t="n">
        <x:v>2</x:v>
      </x:c>
      <x:c r="G78" s="44" t="str">
        <x:v>controlled unit</x:v>
      </x:c>
      <x:c r="H78" s="44" t="str">
        <x:v>supplier root Y</x:v>
      </x:c>
      <x:c r="I78" s="45" t="str">
        <x:v>chemistry, process state and split balance for surface treatment witness</x:v>
      </x:c>
      <x:c r="J78" s="44" t="str"/>
      <x:c r="K78" s="44" t="str">
        <x:f>IF(J78="","OPEN","PASS")</x:f>
        <x:v>OPEN</x:v>
      </x:c>
    </x:row>
  </x:sheetData>
  <x:conditionalFormatting sqref="K7:K78">
    <x:cfRule type="containsText" dxfId="25" priority="1" operator="containsText" text="FAIL"/>
    <x:cfRule type="containsText" dxfId="26" priority="2" operator="containsText" text="BLOCKED"/>
    <x:cfRule type="containsText" dxfId="27" priority="3" operator="containsText" text="OPEN"/>
    <x:cfRule type="containsText" dxfId="28" priority="4" operator="containsText" text="PASS"/>
    <x:cfRule type="containsText" dxfId="29" priority="5" operator="containsText" text="PLANN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4" hidden="0" customWidth="1"/>
    <x:col min="4" max="4" width="12" hidden="0" customWidth="1"/>
    <x:col min="5" max="5" width="35" hidden="0" customWidth="1"/>
    <x:col min="6" max="6" width="20" hidden="0" customWidth="1"/>
    <x:col min="7" max="7" width="65" hidden="0" customWidth="1"/>
    <x:col min="8" max="8" width="24" hidden="0" customWidth="1"/>
    <x:col min="9" max="9" width="20" hidden="0" customWidth="1"/>
    <x:col min="10" max="10" width="14" hidden="0" customWidth="1"/>
  </x:cols>
  <x:sheetData>
    <x:row r="2">
      <x:c r="B2" s="41" t="str">
        <x:v>Thirty-two lineage-specific operations</x:v>
      </x:c>
      <x:c r="C2" s="42"/>
      <x:c r="D2" s="42"/>
      <x:c r="E2" s="42"/>
      <x:c r="F2" s="42"/>
      <x:c r="G2" s="42"/>
      <x:c r="H2" s="42"/>
      <x:c r="I2" s="42"/>
      <x:c r="J2" s="42"/>
    </x:row>
    <x:row r="3">
      <x:c r="B3" s="43" t="str">
        <x:v>The same functional sequence preserves unlike joint evidence and one-way predecessor release.</x:v>
      </x:c>
      <x:c r="C3" s="42"/>
      <x:c r="D3" s="42"/>
      <x:c r="E3" s="42"/>
      <x:c r="F3" s="42"/>
      <x:c r="G3" s="42"/>
      <x:c r="H3" s="42"/>
      <x:c r="I3" s="42"/>
      <x:c r="J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</x:row>
    <x:row r="6" ht="25" customHeight="1">
      <x:c r="B6" s="6" t="str">
        <x:v>Route</x:v>
      </x:c>
      <x:c r="C6" s="6" t="str">
        <x:v>Lineage</x:v>
      </x:c>
      <x:c r="D6" s="6" t="str">
        <x:v>Order</x:v>
      </x:c>
      <x:c r="E6" s="6" t="str">
        <x:v>Operation</x:v>
      </x:c>
      <x:c r="F6" s="6" t="str">
        <x:v>Predecessor</x:v>
      </x:c>
      <x:c r="G6" s="6" t="str">
        <x:v>Execution evidence</x:v>
      </x:c>
      <x:c r="H6" s="6" t="str">
        <x:v>Hold class</x:v>
      </x:c>
      <x:c r="I6" s="6" t="str">
        <x:v>Accepted UTC</x:v>
      </x:c>
      <x:c r="J6" s="6" t="str">
        <x:v>State</x:v>
      </x:c>
    </x:row>
    <x:row r="7" ht="38" customHeight="1">
      <x:c r="B7" s="44" t="str">
        <x:v>BL-X-PR-01</x:v>
      </x:c>
      <x:c r="C7" s="44" t="str">
        <x:v>BL-X</x:v>
      </x:c>
      <x:c r="D7" s="44" t="n">
        <x:v>1</x:v>
      </x:c>
      <x:c r="E7" s="44" t="str">
        <x:v>authority freeze</x:v>
      </x:c>
      <x:c r="F7" s="44" t="str">
        <x:v>none</x:v>
      </x:c>
      <x:c r="G7" s="45" t="str">
        <x:v>named physical state and native record</x:v>
      </x:c>
      <x:c r="H7" s="44" t="str">
        <x:v>work authority hold</x:v>
      </x:c>
      <x:c r="I7" s="44" t="str"/>
      <x:c r="J7" s="44" t="str">
        <x:f>IF(I7="","OPEN","PASS")</x:f>
        <x:v>OPEN</x:v>
      </x:c>
    </x:row>
    <x:row r="8" ht="38" customHeight="1">
      <x:c r="B8" s="44" t="str">
        <x:v>BL-X-PR-02</x:v>
      </x:c>
      <x:c r="C8" s="44" t="str">
        <x:v>BL-X</x:v>
      </x:c>
      <x:c r="D8" s="44" t="n">
        <x:v>2</x:v>
      </x:c>
      <x:c r="E8" s="44" t="str">
        <x:v>lot receipt and split</x:v>
      </x:c>
      <x:c r="F8" s="44" t="str">
        <x:v>BL-X-PR-01</x:v>
      </x:c>
      <x:c r="G8" s="45" t="str">
        <x:v>named physical state and native record</x:v>
      </x:c>
      <x:c r="H8" s="44" t="str">
        <x:v>work authority hold</x:v>
      </x:c>
      <x:c r="I8" s="44" t="str"/>
      <x:c r="J8" s="44" t="str">
        <x:f>IF(I8="","OPEN","PASS")</x:f>
        <x:v>OPEN</x:v>
      </x:c>
    </x:row>
    <x:row r="9" ht="38" customHeight="1">
      <x:c r="B9" s="44" t="str">
        <x:v>BL-X-PR-03</x:v>
      </x:c>
      <x:c r="C9" s="44" t="str">
        <x:v>BL-X</x:v>
      </x:c>
      <x:c r="D9" s="44" t="n">
        <x:v>3</x:v>
      </x:c>
      <x:c r="E9" s="44" t="str">
        <x:v>datum-frame survey</x:v>
      </x:c>
      <x:c r="F9" s="44" t="str">
        <x:v>BL-X-PR-02</x:v>
      </x:c>
      <x:c r="G9" s="45" t="str">
        <x:v>named physical state and native record</x:v>
      </x:c>
      <x:c r="H9" s="44" t="str">
        <x:v>work authority hold</x:v>
      </x:c>
      <x:c r="I9" s="44" t="str"/>
      <x:c r="J9" s="44" t="str">
        <x:f>IF(I9="","OPEN","PASS")</x:f>
        <x:v>OPEN</x:v>
      </x:c>
    </x:row>
    <x:row r="10" ht="38" customHeight="1">
      <x:c r="B10" s="44" t="str">
        <x:v>BL-X-PR-04</x:v>
      </x:c>
      <x:c r="C10" s="44" t="str">
        <x:v>BL-X</x:v>
      </x:c>
      <x:c r="D10" s="44" t="n">
        <x:v>4</x:v>
      </x:c>
      <x:c r="E10" s="44" t="str">
        <x:v>segment bore mapping</x:v>
      </x:c>
      <x:c r="F10" s="44" t="str">
        <x:v>BL-X-PR-03</x:v>
      </x:c>
      <x:c r="G10" s="45" t="str">
        <x:v>named physical state and native record</x:v>
      </x:c>
      <x:c r="H10" s="44" t="str">
        <x:v>work authority hold</x:v>
      </x:c>
      <x:c r="I10" s="44" t="str"/>
      <x:c r="J10" s="44" t="str">
        <x:f>IF(I10="","OPEN","PASS")</x:f>
        <x:v>OPEN</x:v>
      </x:c>
    </x:row>
    <x:row r="11" ht="38" customHeight="1">
      <x:c r="B11" s="44" t="str">
        <x:v>BL-X-PR-05</x:v>
      </x:c>
      <x:c r="C11" s="44" t="str">
        <x:v>BL-X</x:v>
      </x:c>
      <x:c r="D11" s="44" t="n">
        <x:v>5</x:v>
      </x:c>
      <x:c r="E11" s="44" t="str">
        <x:v>surface preparation</x:v>
      </x:c>
      <x:c r="F11" s="44" t="str">
        <x:v>BL-X-PR-04</x:v>
      </x:c>
      <x:c r="G11" s="45" t="str">
        <x:v>named physical state and native record</x:v>
      </x:c>
      <x:c r="H11" s="44" t="str">
        <x:v>work authority hold</x:v>
      </x:c>
      <x:c r="I11" s="44" t="str"/>
      <x:c r="J11" s="44" t="str">
        <x:f>IF(I11="","OPEN","PASS")</x:f>
        <x:v>OPEN</x:v>
      </x:c>
    </x:row>
    <x:row r="12" ht="38" customHeight="1">
      <x:c r="B12" s="44" t="str">
        <x:v>BL-X-PR-06</x:v>
      </x:c>
      <x:c r="C12" s="44" t="str">
        <x:v>BL-X</x:v>
      </x:c>
      <x:c r="D12" s="44" t="n">
        <x:v>6</x:v>
      </x:c>
      <x:c r="E12" s="44" t="str">
        <x:v>instrument boss preparation</x:v>
      </x:c>
      <x:c r="F12" s="44" t="str">
        <x:v>BL-X-PR-05</x:v>
      </x:c>
      <x:c r="G12" s="45" t="str">
        <x:v>named physical state and native record</x:v>
      </x:c>
      <x:c r="H12" s="44" t="str">
        <x:v>work authority hold</x:v>
      </x:c>
      <x:c r="I12" s="44" t="str"/>
      <x:c r="J12" s="44" t="str">
        <x:f>IF(I12="","OPEN","PASS")</x:f>
        <x:v>OPEN</x:v>
      </x:c>
    </x:row>
    <x:row r="13" ht="38" customHeight="1">
      <x:c r="B13" s="44" t="str">
        <x:v>BL-X-PR-07</x:v>
      </x:c>
      <x:c r="C13" s="44" t="str">
        <x:v>BL-X</x:v>
      </x:c>
      <x:c r="D13" s="44" t="n">
        <x:v>7</x:v>
      </x:c>
      <x:c r="E13" s="44" t="str">
        <x:v>lineage joint execution</x:v>
      </x:c>
      <x:c r="F13" s="44" t="str">
        <x:v>BL-X-PR-06</x:v>
      </x:c>
      <x:c r="G13" s="45" t="str">
        <x:v>current, voltage, travel, purge, heat and root image</x:v>
      </x:c>
      <x:c r="H13" s="44" t="str">
        <x:v>independent hold</x:v>
      </x:c>
      <x:c r="I13" s="44" t="str"/>
      <x:c r="J13" s="44" t="str">
        <x:f>IF(I13="","OPEN","PASS")</x:f>
        <x:v>OPEN</x:v>
      </x:c>
    </x:row>
    <x:row r="14" ht="38" customHeight="1">
      <x:c r="B14" s="44" t="str">
        <x:v>BL-X-PR-08</x:v>
      </x:c>
      <x:c r="C14" s="44" t="str">
        <x:v>BL-X</x:v>
      </x:c>
      <x:c r="D14" s="44" t="n">
        <x:v>8</x:v>
      </x:c>
      <x:c r="E14" s="44" t="str">
        <x:v>post-joint internal mapping</x:v>
      </x:c>
      <x:c r="F14" s="44" t="str">
        <x:v>BL-X-PR-07</x:v>
      </x:c>
      <x:c r="G14" s="45" t="str">
        <x:v>named physical state and native record</x:v>
      </x:c>
      <x:c r="H14" s="44" t="str">
        <x:v>work authority hold</x:v>
      </x:c>
      <x:c r="I14" s="44" t="str"/>
      <x:c r="J14" s="44" t="str">
        <x:f>IF(I14="","OPEN","PASS")</x:f>
        <x:v>OPEN</x:v>
      </x:c>
    </x:row>
    <x:row r="15" ht="38" customHeight="1">
      <x:c r="B15" s="44" t="str">
        <x:v>BL-X-PR-09</x:v>
      </x:c>
      <x:c r="C15" s="44" t="str">
        <x:v>BL-X</x:v>
      </x:c>
      <x:c r="D15" s="44" t="n">
        <x:v>9</x:v>
      </x:c>
      <x:c r="E15" s="44" t="str">
        <x:v>pan and receiver assembly</x:v>
      </x:c>
      <x:c r="F15" s="44" t="str">
        <x:v>BL-X-PR-08</x:v>
      </x:c>
      <x:c r="G15" s="45" t="str">
        <x:v>named physical state and native record</x:v>
      </x:c>
      <x:c r="H15" s="44" t="str">
        <x:v>work authority hold</x:v>
      </x:c>
      <x:c r="I15" s="44" t="str"/>
      <x:c r="J15" s="44" t="str">
        <x:f>IF(I15="","OPEN","PASS")</x:f>
        <x:v>OPEN</x:v>
      </x:c>
    </x:row>
    <x:row r="16" ht="38" customHeight="1">
      <x:c r="B16" s="44" t="str">
        <x:v>BL-X-PR-10</x:v>
      </x:c>
      <x:c r="C16" s="44" t="str">
        <x:v>BL-X</x:v>
      </x:c>
      <x:c r="D16" s="44" t="n">
        <x:v>10</x:v>
      </x:c>
      <x:c r="E16" s="44" t="str">
        <x:v>safeing-element installation</x:v>
      </x:c>
      <x:c r="F16" s="44" t="str">
        <x:v>BL-X-PR-09</x:v>
      </x:c>
      <x:c r="G16" s="45" t="str">
        <x:v>named physical state and native record</x:v>
      </x:c>
      <x:c r="H16" s="44" t="str">
        <x:v>work authority hold</x:v>
      </x:c>
      <x:c r="I16" s="44" t="str"/>
      <x:c r="J16" s="44" t="str">
        <x:f>IF(I16="","OPEN","PASS")</x:f>
        <x:v>OPEN</x:v>
      </x:c>
    </x:row>
    <x:row r="17" ht="38" customHeight="1">
      <x:c r="B17" s="44" t="str">
        <x:v>BL-X-PR-11</x:v>
      </x:c>
      <x:c r="C17" s="44" t="str">
        <x:v>BL-X</x:v>
      </x:c>
      <x:c r="D17" s="44" t="n">
        <x:v>11</x:v>
      </x:c>
      <x:c r="E17" s="44" t="str">
        <x:v>local-energy installation</x:v>
      </x:c>
      <x:c r="F17" s="44" t="str">
        <x:v>BL-X-PR-10</x:v>
      </x:c>
      <x:c r="G17" s="45" t="str">
        <x:v>named physical state and native record</x:v>
      </x:c>
      <x:c r="H17" s="44" t="str">
        <x:v>work authority hold</x:v>
      </x:c>
      <x:c r="I17" s="44" t="str"/>
      <x:c r="J17" s="44" t="str">
        <x:f>IF(I17="","OPEN","PASS")</x:f>
        <x:v>OPEN</x:v>
      </x:c>
    </x:row>
    <x:row r="18" ht="38" customHeight="1">
      <x:c r="B18" s="44" t="str">
        <x:v>BL-X-PR-12</x:v>
      </x:c>
      <x:c r="C18" s="44" t="str">
        <x:v>BL-X</x:v>
      </x:c>
      <x:c r="D18" s="44" t="n">
        <x:v>12</x:v>
      </x:c>
      <x:c r="E18" s="44" t="str">
        <x:v>instrument installation</x:v>
      </x:c>
      <x:c r="F18" s="44" t="str">
        <x:v>BL-X-PR-11</x:v>
      </x:c>
      <x:c r="G18" s="45" t="str">
        <x:v>named physical state and native record</x:v>
      </x:c>
      <x:c r="H18" s="44" t="str">
        <x:v>work authority hold</x:v>
      </x:c>
      <x:c r="I18" s="44" t="str"/>
      <x:c r="J18" s="44" t="str">
        <x:f>IF(I18="","OPEN","PASS")</x:f>
        <x:v>OPEN</x:v>
      </x:c>
    </x:row>
    <x:row r="19" ht="38" customHeight="1">
      <x:c r="B19" s="44" t="str">
        <x:v>BL-X-PR-13</x:v>
      </x:c>
      <x:c r="C19" s="44" t="str">
        <x:v>BL-X</x:v>
      </x:c>
      <x:c r="D19" s="44" t="n">
        <x:v>13</x:v>
      </x:c>
      <x:c r="E19" s="44" t="str">
        <x:v>evidence and time integration</x:v>
      </x:c>
      <x:c r="F19" s="44" t="str">
        <x:v>BL-X-PR-12</x:v>
      </x:c>
      <x:c r="G19" s="45" t="str">
        <x:v>named physical state and native record</x:v>
      </x:c>
      <x:c r="H19" s="44" t="str">
        <x:v>work authority hold</x:v>
      </x:c>
      <x:c r="I19" s="44" t="str"/>
      <x:c r="J19" s="44" t="str">
        <x:f>IF(I19="","OPEN","PASS")</x:f>
        <x:v>OPEN</x:v>
      </x:c>
    </x:row>
    <x:row r="20" ht="38" customHeight="1">
      <x:c r="B20" s="44" t="str">
        <x:v>BL-X-PR-14</x:v>
      </x:c>
      <x:c r="C20" s="44" t="str">
        <x:v>BL-X</x:v>
      </x:c>
      <x:c r="D20" s="44" t="n">
        <x:v>14</x:v>
      </x:c>
      <x:c r="E20" s="44" t="str">
        <x:v>liquid pressure proof</x:v>
      </x:c>
      <x:c r="F20" s="44" t="str">
        <x:v>BL-X-PR-13</x:v>
      </x:c>
      <x:c r="G20" s="45" t="str">
        <x:v>named physical state and native record</x:v>
      </x:c>
      <x:c r="H20" s="44" t="str">
        <x:v>independent hold</x:v>
      </x:c>
      <x:c r="I20" s="44" t="str"/>
      <x:c r="J20" s="44" t="str">
        <x:f>IF(I20="","OPEN","PASS")</x:f>
        <x:v>OPEN</x:v>
      </x:c>
    </x:row>
    <x:row r="21" ht="38" customHeight="1">
      <x:c r="B21" s="44" t="str">
        <x:v>BL-X-PR-15</x:v>
      </x:c>
      <x:c r="C21" s="44" t="str">
        <x:v>BL-X</x:v>
      </x:c>
      <x:c r="D21" s="44" t="n">
        <x:v>15</x:v>
      </x:c>
      <x:c r="E21" s="44" t="str">
        <x:v>clean drain and residual map</x:v>
      </x:c>
      <x:c r="F21" s="44" t="str">
        <x:v>BL-X-PR-14</x:v>
      </x:c>
      <x:c r="G21" s="45" t="str">
        <x:v>named physical state and native record</x:v>
      </x:c>
      <x:c r="H21" s="44" t="str">
        <x:v>work authority hold</x:v>
      </x:c>
      <x:c r="I21" s="44" t="str"/>
      <x:c r="J21" s="44" t="str">
        <x:f>IF(I21="","OPEN","PASS")</x:f>
        <x:v>OPEN</x:v>
      </x:c>
    </x:row>
    <x:row r="22" ht="38" customHeight="1">
      <x:c r="B22" s="44" t="str">
        <x:v>BL-X-PR-16</x:v>
      </x:c>
      <x:c r="C22" s="44" t="str">
        <x:v>BL-X</x:v>
      </x:c>
      <x:c r="D22" s="44" t="n">
        <x:v>16</x:v>
      </x:c>
      <x:c r="E22" s="44" t="str">
        <x:v>configuration freeze</x:v>
      </x:c>
      <x:c r="F22" s="44" t="str">
        <x:v>BL-X-PR-15</x:v>
      </x:c>
      <x:c r="G22" s="45" t="str">
        <x:v>named physical state and native record</x:v>
      </x:c>
      <x:c r="H22" s="44" t="str">
        <x:v>work authority hold</x:v>
      </x:c>
      <x:c r="I22" s="44" t="str"/>
      <x:c r="J22" s="44" t="str">
        <x:f>IF(I22="","OPEN","PASS")</x:f>
        <x:v>OPEN</x:v>
      </x:c>
    </x:row>
    <x:row r="23" ht="38" customHeight="1">
      <x:c r="B23" s="44" t="str">
        <x:v>BL-Y-PR-01</x:v>
      </x:c>
      <x:c r="C23" s="44" t="str">
        <x:v>BL-Y</x:v>
      </x:c>
      <x:c r="D23" s="44" t="n">
        <x:v>1</x:v>
      </x:c>
      <x:c r="E23" s="44" t="str">
        <x:v>authority freeze</x:v>
      </x:c>
      <x:c r="F23" s="44" t="str">
        <x:v>none</x:v>
      </x:c>
      <x:c r="G23" s="45" t="str">
        <x:v>named physical state and native record</x:v>
      </x:c>
      <x:c r="H23" s="44" t="str">
        <x:v>work authority hold</x:v>
      </x:c>
      <x:c r="I23" s="44" t="str"/>
      <x:c r="J23" s="44" t="str">
        <x:f>IF(I23="","OPEN","PASS")</x:f>
        <x:v>OPEN</x:v>
      </x:c>
    </x:row>
    <x:row r="24" ht="38" customHeight="1">
      <x:c r="B24" s="44" t="str">
        <x:v>BL-Y-PR-02</x:v>
      </x:c>
      <x:c r="C24" s="44" t="str">
        <x:v>BL-Y</x:v>
      </x:c>
      <x:c r="D24" s="44" t="n">
        <x:v>2</x:v>
      </x:c>
      <x:c r="E24" s="44" t="str">
        <x:v>lot receipt and split</x:v>
      </x:c>
      <x:c r="F24" s="44" t="str">
        <x:v>BL-Y-PR-01</x:v>
      </x:c>
      <x:c r="G24" s="45" t="str">
        <x:v>named physical state and native record</x:v>
      </x:c>
      <x:c r="H24" s="44" t="str">
        <x:v>work authority hold</x:v>
      </x:c>
      <x:c r="I24" s="44" t="str"/>
      <x:c r="J24" s="44" t="str">
        <x:f>IF(I24="","OPEN","PASS")</x:f>
        <x:v>OPEN</x:v>
      </x:c>
    </x:row>
    <x:row r="25" ht="38" customHeight="1">
      <x:c r="B25" s="44" t="str">
        <x:v>BL-Y-PR-03</x:v>
      </x:c>
      <x:c r="C25" s="44" t="str">
        <x:v>BL-Y</x:v>
      </x:c>
      <x:c r="D25" s="44" t="n">
        <x:v>3</x:v>
      </x:c>
      <x:c r="E25" s="44" t="str">
        <x:v>datum-frame survey</x:v>
      </x:c>
      <x:c r="F25" s="44" t="str">
        <x:v>BL-Y-PR-02</x:v>
      </x:c>
      <x:c r="G25" s="45" t="str">
        <x:v>named physical state and native record</x:v>
      </x:c>
      <x:c r="H25" s="44" t="str">
        <x:v>work authority hold</x:v>
      </x:c>
      <x:c r="I25" s="44" t="str"/>
      <x:c r="J25" s="44" t="str">
        <x:f>IF(I25="","OPEN","PASS")</x:f>
        <x:v>OPEN</x:v>
      </x:c>
    </x:row>
    <x:row r="26" ht="38" customHeight="1">
      <x:c r="B26" s="44" t="str">
        <x:v>BL-Y-PR-04</x:v>
      </x:c>
      <x:c r="C26" s="44" t="str">
        <x:v>BL-Y</x:v>
      </x:c>
      <x:c r="D26" s="44" t="n">
        <x:v>4</x:v>
      </x:c>
      <x:c r="E26" s="44" t="str">
        <x:v>segment bore mapping</x:v>
      </x:c>
      <x:c r="F26" s="44" t="str">
        <x:v>BL-Y-PR-03</x:v>
      </x:c>
      <x:c r="G26" s="45" t="str">
        <x:v>named physical state and native record</x:v>
      </x:c>
      <x:c r="H26" s="44" t="str">
        <x:v>work authority hold</x:v>
      </x:c>
      <x:c r="I26" s="44" t="str"/>
      <x:c r="J26" s="44" t="str">
        <x:f>IF(I26="","OPEN","PASS")</x:f>
        <x:v>OPEN</x:v>
      </x:c>
    </x:row>
    <x:row r="27" ht="38" customHeight="1">
      <x:c r="B27" s="44" t="str">
        <x:v>BL-Y-PR-05</x:v>
      </x:c>
      <x:c r="C27" s="44" t="str">
        <x:v>BL-Y</x:v>
      </x:c>
      <x:c r="D27" s="44" t="n">
        <x:v>5</x:v>
      </x:c>
      <x:c r="E27" s="44" t="str">
        <x:v>surface preparation</x:v>
      </x:c>
      <x:c r="F27" s="44" t="str">
        <x:v>BL-Y-PR-04</x:v>
      </x:c>
      <x:c r="G27" s="45" t="str">
        <x:v>named physical state and native record</x:v>
      </x:c>
      <x:c r="H27" s="44" t="str">
        <x:v>work authority hold</x:v>
      </x:c>
      <x:c r="I27" s="44" t="str"/>
      <x:c r="J27" s="44" t="str">
        <x:f>IF(I27="","OPEN","PASS")</x:f>
        <x:v>OPEN</x:v>
      </x:c>
    </x:row>
    <x:row r="28" ht="38" customHeight="1">
      <x:c r="B28" s="44" t="str">
        <x:v>BL-Y-PR-06</x:v>
      </x:c>
      <x:c r="C28" s="44" t="str">
        <x:v>BL-Y</x:v>
      </x:c>
      <x:c r="D28" s="44" t="n">
        <x:v>6</x:v>
      </x:c>
      <x:c r="E28" s="44" t="str">
        <x:v>instrument boss preparation</x:v>
      </x:c>
      <x:c r="F28" s="44" t="str">
        <x:v>BL-Y-PR-05</x:v>
      </x:c>
      <x:c r="G28" s="45" t="str">
        <x:v>named physical state and native record</x:v>
      </x:c>
      <x:c r="H28" s="44" t="str">
        <x:v>work authority hold</x:v>
      </x:c>
      <x:c r="I28" s="44" t="str"/>
      <x:c r="J28" s="44" t="str">
        <x:f>IF(I28="","OPEN","PASS")</x:f>
        <x:v>OPEN</x:v>
      </x:c>
    </x:row>
    <x:row r="29" ht="38" customHeight="1">
      <x:c r="B29" s="44" t="str">
        <x:v>BL-Y-PR-07</x:v>
      </x:c>
      <x:c r="C29" s="44" t="str">
        <x:v>BL-Y</x:v>
      </x:c>
      <x:c r="D29" s="44" t="n">
        <x:v>7</x:v>
      </x:c>
      <x:c r="E29" s="44" t="str">
        <x:v>lineage joint execution</x:v>
      </x:c>
      <x:c r="F29" s="44" t="str">
        <x:v>BL-Y-PR-06</x:v>
      </x:c>
      <x:c r="G29" s="45" t="str">
        <x:v>surface age, seal lot, preload, gap and interspace leak</x:v>
      </x:c>
      <x:c r="H29" s="44" t="str">
        <x:v>independent hold</x:v>
      </x:c>
      <x:c r="I29" s="44" t="str"/>
      <x:c r="J29" s="44" t="str">
        <x:f>IF(I29="","OPEN","PASS")</x:f>
        <x:v>OPEN</x:v>
      </x:c>
    </x:row>
    <x:row r="30" ht="38" customHeight="1">
      <x:c r="B30" s="44" t="str">
        <x:v>BL-Y-PR-08</x:v>
      </x:c>
      <x:c r="C30" s="44" t="str">
        <x:v>BL-Y</x:v>
      </x:c>
      <x:c r="D30" s="44" t="n">
        <x:v>8</x:v>
      </x:c>
      <x:c r="E30" s="44" t="str">
        <x:v>post-joint internal mapping</x:v>
      </x:c>
      <x:c r="F30" s="44" t="str">
        <x:v>BL-Y-PR-07</x:v>
      </x:c>
      <x:c r="G30" s="45" t="str">
        <x:v>named physical state and native record</x:v>
      </x:c>
      <x:c r="H30" s="44" t="str">
        <x:v>work authority hold</x:v>
      </x:c>
      <x:c r="I30" s="44" t="str"/>
      <x:c r="J30" s="44" t="str">
        <x:f>IF(I30="","OPEN","PASS")</x:f>
        <x:v>OPEN</x:v>
      </x:c>
    </x:row>
    <x:row r="31" ht="38" customHeight="1">
      <x:c r="B31" s="44" t="str">
        <x:v>BL-Y-PR-09</x:v>
      </x:c>
      <x:c r="C31" s="44" t="str">
        <x:v>BL-Y</x:v>
      </x:c>
      <x:c r="D31" s="44" t="n">
        <x:v>9</x:v>
      </x:c>
      <x:c r="E31" s="44" t="str">
        <x:v>pan and receiver assembly</x:v>
      </x:c>
      <x:c r="F31" s="44" t="str">
        <x:v>BL-Y-PR-08</x:v>
      </x:c>
      <x:c r="G31" s="45" t="str">
        <x:v>named physical state and native record</x:v>
      </x:c>
      <x:c r="H31" s="44" t="str">
        <x:v>work authority hold</x:v>
      </x:c>
      <x:c r="I31" s="44" t="str"/>
      <x:c r="J31" s="44" t="str">
        <x:f>IF(I31="","OPEN","PASS")</x:f>
        <x:v>OPEN</x:v>
      </x:c>
    </x:row>
    <x:row r="32" ht="38" customHeight="1">
      <x:c r="B32" s="44" t="str">
        <x:v>BL-Y-PR-10</x:v>
      </x:c>
      <x:c r="C32" s="44" t="str">
        <x:v>BL-Y</x:v>
      </x:c>
      <x:c r="D32" s="44" t="n">
        <x:v>10</x:v>
      </x:c>
      <x:c r="E32" s="44" t="str">
        <x:v>safeing-element installation</x:v>
      </x:c>
      <x:c r="F32" s="44" t="str">
        <x:v>BL-Y-PR-09</x:v>
      </x:c>
      <x:c r="G32" s="45" t="str">
        <x:v>named physical state and native record</x:v>
      </x:c>
      <x:c r="H32" s="44" t="str">
        <x:v>work authority hold</x:v>
      </x:c>
      <x:c r="I32" s="44" t="str"/>
      <x:c r="J32" s="44" t="str">
        <x:f>IF(I32="","OPEN","PASS")</x:f>
        <x:v>OPEN</x:v>
      </x:c>
    </x:row>
    <x:row r="33" ht="38" customHeight="1">
      <x:c r="B33" s="44" t="str">
        <x:v>BL-Y-PR-11</x:v>
      </x:c>
      <x:c r="C33" s="44" t="str">
        <x:v>BL-Y</x:v>
      </x:c>
      <x:c r="D33" s="44" t="n">
        <x:v>11</x:v>
      </x:c>
      <x:c r="E33" s="44" t="str">
        <x:v>local-energy installation</x:v>
      </x:c>
      <x:c r="F33" s="44" t="str">
        <x:v>BL-Y-PR-10</x:v>
      </x:c>
      <x:c r="G33" s="45" t="str">
        <x:v>named physical state and native record</x:v>
      </x:c>
      <x:c r="H33" s="44" t="str">
        <x:v>work authority hold</x:v>
      </x:c>
      <x:c r="I33" s="44" t="str"/>
      <x:c r="J33" s="44" t="str">
        <x:f>IF(I33="","OPEN","PASS")</x:f>
        <x:v>OPEN</x:v>
      </x:c>
    </x:row>
    <x:row r="34" ht="38" customHeight="1">
      <x:c r="B34" s="44" t="str">
        <x:v>BL-Y-PR-12</x:v>
      </x:c>
      <x:c r="C34" s="44" t="str">
        <x:v>BL-Y</x:v>
      </x:c>
      <x:c r="D34" s="44" t="n">
        <x:v>12</x:v>
      </x:c>
      <x:c r="E34" s="44" t="str">
        <x:v>instrument installation</x:v>
      </x:c>
      <x:c r="F34" s="44" t="str">
        <x:v>BL-Y-PR-11</x:v>
      </x:c>
      <x:c r="G34" s="45" t="str">
        <x:v>named physical state and native record</x:v>
      </x:c>
      <x:c r="H34" s="44" t="str">
        <x:v>work authority hold</x:v>
      </x:c>
      <x:c r="I34" s="44" t="str"/>
      <x:c r="J34" s="44" t="str">
        <x:f>IF(I34="","OPEN","PASS")</x:f>
        <x:v>OPEN</x:v>
      </x:c>
    </x:row>
    <x:row r="35" ht="38" customHeight="1">
      <x:c r="B35" s="44" t="str">
        <x:v>BL-Y-PR-13</x:v>
      </x:c>
      <x:c r="C35" s="44" t="str">
        <x:v>BL-Y</x:v>
      </x:c>
      <x:c r="D35" s="44" t="n">
        <x:v>13</x:v>
      </x:c>
      <x:c r="E35" s="44" t="str">
        <x:v>evidence and time integration</x:v>
      </x:c>
      <x:c r="F35" s="44" t="str">
        <x:v>BL-Y-PR-12</x:v>
      </x:c>
      <x:c r="G35" s="45" t="str">
        <x:v>named physical state and native record</x:v>
      </x:c>
      <x:c r="H35" s="44" t="str">
        <x:v>work authority hold</x:v>
      </x:c>
      <x:c r="I35" s="44" t="str"/>
      <x:c r="J35" s="44" t="str">
        <x:f>IF(I35="","OPEN","PASS")</x:f>
        <x:v>OPEN</x:v>
      </x:c>
    </x:row>
    <x:row r="36" ht="38" customHeight="1">
      <x:c r="B36" s="44" t="str">
        <x:v>BL-Y-PR-14</x:v>
      </x:c>
      <x:c r="C36" s="44" t="str">
        <x:v>BL-Y</x:v>
      </x:c>
      <x:c r="D36" s="44" t="n">
        <x:v>14</x:v>
      </x:c>
      <x:c r="E36" s="44" t="str">
        <x:v>liquid pressure proof</x:v>
      </x:c>
      <x:c r="F36" s="44" t="str">
        <x:v>BL-Y-PR-13</x:v>
      </x:c>
      <x:c r="G36" s="45" t="str">
        <x:v>named physical state and native record</x:v>
      </x:c>
      <x:c r="H36" s="44" t="str">
        <x:v>independent hold</x:v>
      </x:c>
      <x:c r="I36" s="44" t="str"/>
      <x:c r="J36" s="44" t="str">
        <x:f>IF(I36="","OPEN","PASS")</x:f>
        <x:v>OPEN</x:v>
      </x:c>
    </x:row>
    <x:row r="37" ht="38" customHeight="1">
      <x:c r="B37" s="44" t="str">
        <x:v>BL-Y-PR-15</x:v>
      </x:c>
      <x:c r="C37" s="44" t="str">
        <x:v>BL-Y</x:v>
      </x:c>
      <x:c r="D37" s="44" t="n">
        <x:v>15</x:v>
      </x:c>
      <x:c r="E37" s="44" t="str">
        <x:v>clean drain and residual map</x:v>
      </x:c>
      <x:c r="F37" s="44" t="str">
        <x:v>BL-Y-PR-14</x:v>
      </x:c>
      <x:c r="G37" s="45" t="str">
        <x:v>named physical state and native record</x:v>
      </x:c>
      <x:c r="H37" s="44" t="str">
        <x:v>work authority hold</x:v>
      </x:c>
      <x:c r="I37" s="44" t="str"/>
      <x:c r="J37" s="44" t="str">
        <x:f>IF(I37="","OPEN","PASS")</x:f>
        <x:v>OPEN</x:v>
      </x:c>
    </x:row>
    <x:row r="38" ht="38" customHeight="1">
      <x:c r="B38" s="44" t="str">
        <x:v>BL-Y-PR-16</x:v>
      </x:c>
      <x:c r="C38" s="44" t="str">
        <x:v>BL-Y</x:v>
      </x:c>
      <x:c r="D38" s="44" t="n">
        <x:v>16</x:v>
      </x:c>
      <x:c r="E38" s="44" t="str">
        <x:v>configuration freeze</x:v>
      </x:c>
      <x:c r="F38" s="44" t="str">
        <x:v>BL-Y-PR-15</x:v>
      </x:c>
      <x:c r="G38" s="45" t="str">
        <x:v>named physical state and native record</x:v>
      </x:c>
      <x:c r="H38" s="44" t="str">
        <x:v>work authority hold</x:v>
      </x:c>
      <x:c r="I38" s="44" t="str"/>
      <x:c r="J38" s="44" t="str">
        <x:f>IF(I38="","OPEN","PASS")</x:f>
        <x:v>OPEN</x:v>
      </x:c>
    </x:row>
  </x:sheetData>
  <x:conditionalFormatting sqref="J7:J38">
    <x:cfRule type="containsText" dxfId="30" priority="1" operator="containsText" text="FAIL"/>
    <x:cfRule type="containsText" dxfId="31" priority="2" operator="containsText" text="BLOCKED"/>
    <x:cfRule type="containsText" dxfId="32" priority="3" operator="containsText" text="OPEN"/>
    <x:cfRule type="containsText" dxfId="33" priority="4" operator="containsText" text="PASS"/>
    <x:cfRule type="containsText" dxfId="34" priority="5" operator="containsText" text="PLANN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17" hidden="0" customWidth="1"/>
    <x:col min="4" max="4" width="21" hidden="0" customWidth="1"/>
    <x:col min="5" max="5" width="14" hidden="0" customWidth="1"/>
    <x:col min="6" max="6" width="31" hidden="0" customWidth="1"/>
    <x:col min="7" max="7" width="17" hidden="0" customWidth="1"/>
    <x:col min="8" max="8" width="20" hidden="0" customWidth="1"/>
    <x:col min="9" max="9" width="18" hidden="0" customWidth="1"/>
    <x:col min="10" max="10" width="25" hidden="0" customWidth="1"/>
    <x:col min="11" max="11" width="48" hidden="0" customWidth="1"/>
    <x:col min="12" max="12" width="26" hidden="0" customWidth="1"/>
    <x:col min="13" max="13" width="20" hidden="0" customWidth="1"/>
    <x:col min="14" max="14" width="14" hidden="0" customWidth="1"/>
  </x:cols>
  <x:sheetData>
    <x:row r="2">
      <x:c r="B2" s="41" t="str">
        <x:v>Three hundred sixty article-section travelers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B3" s="43" t="str">
        <x:v>A traveler closes only after as-built observation, NDE result and independent acceptance are present.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25" customHeight="1">
      <x:c r="B6" s="6" t="str">
        <x:v>Traveler</x:v>
      </x:c>
      <x:c r="C6" s="6" t="str">
        <x:v>Article</x:v>
      </x:c>
      <x:c r="D6" s="6" t="str">
        <x:v>Role</x:v>
      </x:c>
      <x:c r="E6" s="6" t="str">
        <x:v>Lineage</x:v>
      </x:c>
      <x:c r="F6" s="6" t="str">
        <x:v>Section</x:v>
      </x:c>
      <x:c r="G6" s="6" t="str">
        <x:v>Drawing set</x:v>
      </x:c>
      <x:c r="H6" s="6" t="str">
        <x:v>Material token</x:v>
      </x:c>
      <x:c r="I6" s="6" t="str">
        <x:v>Process route</x:v>
      </x:c>
      <x:c r="J6" s="6" t="str">
        <x:v>Predecessor release</x:v>
      </x:c>
      <x:c r="K6" s="6" t="str">
        <x:v>As-built observation</x:v>
      </x:c>
      <x:c r="L6" s="6" t="str">
        <x:v>NDE result</x:v>
      </x:c>
      <x:c r="M6" s="6" t="str">
        <x:v>Accepted UTC</x:v>
      </x:c>
      <x:c r="N6" s="6" t="str">
        <x:v>State</x:v>
      </x:c>
    </x:row>
    <x:row r="7" ht="36" customHeight="1">
      <x:c r="B7" s="44" t="str">
        <x:v>RAC-TR-0001</x:v>
      </x:c>
      <x:c r="C7" s="44" t="str">
        <x:v>REA-O-A1</x:v>
      </x:c>
      <x:c r="D7" s="44" t="str">
        <x:v>OPERATIONAL</x:v>
      </x:c>
      <x:c r="E7" s="44" t="str">
        <x:v>BL-X</x:v>
      </x:c>
      <x:c r="F7" s="44" t="str">
        <x:v>public datum</x:v>
      </x:c>
      <x:c r="G7" s="44" t="str">
        <x:v>RAC-S1</x:v>
      </x:c>
      <x:c r="H7" s="44" t="str">
        <x:v>RAC-LOT-001</x:v>
      </x:c>
      <x:c r="I7" s="44" t="str">
        <x:v>BL-X-PR-01</x:v>
      </x:c>
      <x:c r="J7" s="44" t="str">
        <x:v>authority freeze</x:v>
      </x:c>
      <x:c r="K7" s="45" t="str"/>
      <x:c r="L7" s="44" t="str"/>
      <x:c r="M7" s="44" t="str"/>
      <x:c r="N7" s="44" t="str">
        <x:f>IF(M7="","OPEN",IF(OR(K7="",L7=""),"FAIL","PASS"))</x:f>
        <x:v>OPEN</x:v>
      </x:c>
    </x:row>
    <x:row r="8" ht="36" customHeight="1">
      <x:c r="B8" s="44" t="str">
        <x:v>RAC-TR-0002</x:v>
      </x:c>
      <x:c r="C8" s="44" t="str">
        <x:v>REA-O-A1</x:v>
      </x:c>
      <x:c r="D8" s="44" t="str">
        <x:v>OPERATIONAL</x:v>
      </x:c>
      <x:c r="E8" s="44" t="str">
        <x:v>BL-X</x:v>
      </x:c>
      <x:c r="F8" s="44" t="str">
        <x:v>primary frame</x:v>
      </x:c>
      <x:c r="G8" s="44" t="str">
        <x:v>RAC-S1</x:v>
      </x:c>
      <x:c r="H8" s="44" t="str">
        <x:v>RAC-LOT-004</x:v>
      </x:c>
      <x:c r="I8" s="44" t="str">
        <x:v>BL-X-PR-02</x:v>
      </x:c>
      <x:c r="J8" s="44" t="str">
        <x:v>section 01 release</x:v>
      </x:c>
      <x:c r="K8" s="45" t="str"/>
      <x:c r="L8" s="44" t="str"/>
      <x:c r="M8" s="44" t="str"/>
      <x:c r="N8" s="44" t="str">
        <x:f>IF(M8="","OPEN",IF(OR(K8="",L8=""),"FAIL","PASS"))</x:f>
        <x:v>OPEN</x:v>
      </x:c>
    </x:row>
    <x:row r="9" ht="36" customHeight="1">
      <x:c r="B9" s="44" t="str">
        <x:v>RAC-TR-0003</x:v>
      </x:c>
      <x:c r="C9" s="44" t="str">
        <x:v>REA-O-A1</x:v>
      </x:c>
      <x:c r="D9" s="44" t="str">
        <x:v>OPERATIONAL</x:v>
      </x:c>
      <x:c r="E9" s="44" t="str">
        <x:v>BL-X</x:v>
      </x:c>
      <x:c r="F9" s="44" t="str">
        <x:v>source-surrogate vessel</x:v>
      </x:c>
      <x:c r="G9" s="44" t="str">
        <x:v>RAC-S1</x:v>
      </x:c>
      <x:c r="H9" s="44" t="str">
        <x:v>RAC-LOT-007</x:v>
      </x:c>
      <x:c r="I9" s="44" t="str">
        <x:v>BL-X-PR-03</x:v>
      </x:c>
      <x:c r="J9" s="44" t="str">
        <x:v>section 02 release</x:v>
      </x:c>
      <x:c r="K9" s="45" t="str"/>
      <x:c r="L9" s="44" t="str"/>
      <x:c r="M9" s="44" t="str"/>
      <x:c r="N9" s="44" t="str">
        <x:f>IF(M9="","OPEN",IF(OR(K9="",L9=""),"FAIL","PASS"))</x:f>
        <x:v>OPEN</x:v>
      </x:c>
    </x:row>
    <x:row r="10" ht="36" customHeight="1">
      <x:c r="B10" s="44" t="str">
        <x:v>RAC-TR-0004</x:v>
      </x:c>
      <x:c r="C10" s="44" t="str">
        <x:v>REA-O-A1</x:v>
      </x:c>
      <x:c r="D10" s="44" t="str">
        <x:v>OPERATIONAL</x:v>
      </x:c>
      <x:c r="E10" s="44" t="str">
        <x:v>BL-X</x:v>
      </x:c>
      <x:c r="F10" s="44" t="str">
        <x:v>capsule dock</x:v>
      </x:c>
      <x:c r="G10" s="44" t="str">
        <x:v>RAC-S1</x:v>
      </x:c>
      <x:c r="H10" s="44" t="str">
        <x:v>RAC-LOT-010</x:v>
      </x:c>
      <x:c r="I10" s="44" t="str">
        <x:v>BL-X-PR-04</x:v>
      </x:c>
      <x:c r="J10" s="44" t="str">
        <x:v>section 03 release</x:v>
      </x:c>
      <x:c r="K10" s="45" t="str"/>
      <x:c r="L10" s="44" t="str"/>
      <x:c r="M10" s="44" t="str"/>
      <x:c r="N10" s="44" t="str">
        <x:f>IF(M10="","OPEN",IF(OR(K10="",L10=""),"FAIL","PASS"))</x:f>
        <x:v>OPEN</x:v>
      </x:c>
    </x:row>
    <x:row r="11" ht="36" customHeight="1">
      <x:c r="B11" s="44" t="str">
        <x:v>RAC-TR-0005</x:v>
      </x:c>
      <x:c r="C11" s="44" t="str">
        <x:v>REA-O-A1</x:v>
      </x:c>
      <x:c r="D11" s="44" t="str">
        <x:v>OPERATIONAL</x:v>
      </x:c>
      <x:c r="E11" s="44" t="str">
        <x:v>BL-X</x:v>
      </x:c>
      <x:c r="F11" s="44" t="str">
        <x:v>40 mm insert</x:v>
      </x:c>
      <x:c r="G11" s="44" t="str">
        <x:v>RAC-S2</x:v>
      </x:c>
      <x:c r="H11" s="44" t="str">
        <x:v>RAC-LOT-013</x:v>
      </x:c>
      <x:c r="I11" s="44" t="str">
        <x:v>BL-X-PR-05</x:v>
      </x:c>
      <x:c r="J11" s="44" t="str">
        <x:v>section 04 release</x:v>
      </x:c>
      <x:c r="K11" s="45" t="str"/>
      <x:c r="L11" s="44" t="str"/>
      <x:c r="M11" s="44" t="str"/>
      <x:c r="N11" s="44" t="str">
        <x:f>IF(M11="","OPEN",IF(OR(K11="",L11=""),"FAIL","PASS"))</x:f>
        <x:v>OPEN</x:v>
      </x:c>
    </x:row>
    <x:row r="12" ht="36" customHeight="1">
      <x:c r="B12" s="44" t="str">
        <x:v>RAC-TR-0006</x:v>
      </x:c>
      <x:c r="C12" s="44" t="str">
        <x:v>REA-O-A1</x:v>
      </x:c>
      <x:c r="D12" s="44" t="str">
        <x:v>OPERATIONAL</x:v>
      </x:c>
      <x:c r="E12" s="44" t="str">
        <x:v>BL-X</x:v>
      </x:c>
      <x:c r="F12" s="44" t="str">
        <x:v>dispenser</x:v>
      </x:c>
      <x:c r="G12" s="44" t="str">
        <x:v>RAC-S2</x:v>
      </x:c>
      <x:c r="H12" s="44" t="str">
        <x:v>RAC-LOT-016</x:v>
      </x:c>
      <x:c r="I12" s="44" t="str">
        <x:v>BL-X-PR-06</x:v>
      </x:c>
      <x:c r="J12" s="44" t="str">
        <x:v>section 05 release</x:v>
      </x:c>
      <x:c r="K12" s="45" t="str"/>
      <x:c r="L12" s="44" t="str"/>
      <x:c r="M12" s="44" t="str"/>
      <x:c r="N12" s="44" t="str">
        <x:f>IF(M12="","OPEN",IF(OR(K12="",L12=""),"FAIL","PASS"))</x:f>
        <x:v>OPEN</x:v>
      </x:c>
    </x:row>
    <x:row r="13" ht="36" customHeight="1">
      <x:c r="B13" s="44" t="str">
        <x:v>RAC-TR-0007</x:v>
      </x:c>
      <x:c r="C13" s="44" t="str">
        <x:v>REA-O-A1</x:v>
      </x:c>
      <x:c r="D13" s="44" t="str">
        <x:v>OPERATIONAL</x:v>
      </x:c>
      <x:c r="E13" s="44" t="str">
        <x:v>BL-X</x:v>
      </x:c>
      <x:c r="F13" s="44" t="str">
        <x:v>inner pan</x:v>
      </x:c>
      <x:c r="G13" s="44" t="str">
        <x:v>RAC-S2</x:v>
      </x:c>
      <x:c r="H13" s="44" t="str">
        <x:v>RAC-LOT-019</x:v>
      </x:c>
      <x:c r="I13" s="44" t="str">
        <x:v>BL-X-PR-07</x:v>
      </x:c>
      <x:c r="J13" s="44" t="str">
        <x:v>section 06 release</x:v>
      </x:c>
      <x:c r="K13" s="45" t="str"/>
      <x:c r="L13" s="44" t="str"/>
      <x:c r="M13" s="44" t="str"/>
      <x:c r="N13" s="44" t="str">
        <x:f>IF(M13="","OPEN",IF(OR(K13="",L13=""),"FAIL","PASS"))</x:f>
        <x:v>OPEN</x:v>
      </x:c>
    </x:row>
    <x:row r="14" ht="36" customHeight="1">
      <x:c r="B14" s="44" t="str">
        <x:v>RAC-TR-0008</x:v>
      </x:c>
      <x:c r="C14" s="44" t="str">
        <x:v>REA-O-A1</x:v>
      </x:c>
      <x:c r="D14" s="44" t="str">
        <x:v>OPERATIONAL</x:v>
      </x:c>
      <x:c r="E14" s="44" t="str">
        <x:v>BL-X</x:v>
      </x:c>
      <x:c r="F14" s="44" t="str">
        <x:v>normal route</x:v>
      </x:c>
      <x:c r="G14" s="44" t="str">
        <x:v>RAC-S2</x:v>
      </x:c>
      <x:c r="H14" s="44" t="str">
        <x:v>RAC-LOT-022</x:v>
      </x:c>
      <x:c r="I14" s="44" t="str">
        <x:v>BL-X-PR-08</x:v>
      </x:c>
      <x:c r="J14" s="44" t="str">
        <x:v>section 07 release</x:v>
      </x:c>
      <x:c r="K14" s="45" t="str"/>
      <x:c r="L14" s="44" t="str"/>
      <x:c r="M14" s="44" t="str"/>
      <x:c r="N14" s="44" t="str">
        <x:f>IF(M14="","OPEN",IF(OR(K14="",L14=""),"FAIL","PASS"))</x:f>
        <x:v>OPEN</x:v>
      </x:c>
    </x:row>
    <x:row r="15" ht="36" customHeight="1">
      <x:c r="B15" s="44" t="str">
        <x:v>RAC-TR-0009</x:v>
      </x:c>
      <x:c r="C15" s="44" t="str">
        <x:v>REA-O-A1</x:v>
      </x:c>
      <x:c r="D15" s="44" t="str">
        <x:v>OPERATIONAL</x:v>
      </x:c>
      <x:c r="E15" s="44" t="str">
        <x:v>BL-X</x:v>
      </x:c>
      <x:c r="F15" s="44" t="str">
        <x:v>casualty route</x:v>
      </x:c>
      <x:c r="G15" s="44" t="str">
        <x:v>RAC-S3</x:v>
      </x:c>
      <x:c r="H15" s="44" t="str">
        <x:v>RAC-LOT-025</x:v>
      </x:c>
      <x:c r="I15" s="44" t="str">
        <x:v>BL-X-PR-09</x:v>
      </x:c>
      <x:c r="J15" s="44" t="str">
        <x:v>section 08 release</x:v>
      </x:c>
      <x:c r="K15" s="45" t="str"/>
      <x:c r="L15" s="44" t="str"/>
      <x:c r="M15" s="44" t="str"/>
      <x:c r="N15" s="44" t="str">
        <x:f>IF(M15="","OPEN",IF(OR(K15="",L15=""),"FAIL","PASS"))</x:f>
        <x:v>OPEN</x:v>
      </x:c>
    </x:row>
    <x:row r="16" ht="36" customHeight="1">
      <x:c r="B16" s="44" t="str">
        <x:v>RAC-TR-0010</x:v>
      </x:c>
      <x:c r="C16" s="44" t="str">
        <x:v>REA-O-A1</x:v>
      </x:c>
      <x:c r="D16" s="44" t="str">
        <x:v>OPERATIONAL</x:v>
      </x:c>
      <x:c r="E16" s="44" t="str">
        <x:v>BL-X</x:v>
      </x:c>
      <x:c r="F16" s="44" t="str">
        <x:v>normal receiver</x:v>
      </x:c>
      <x:c r="G16" s="44" t="str">
        <x:v>RAC-S3</x:v>
      </x:c>
      <x:c r="H16" s="44" t="str">
        <x:v>RAC-LOT-028</x:v>
      </x:c>
      <x:c r="I16" s="44" t="str">
        <x:v>BL-X-PR-10</x:v>
      </x:c>
      <x:c r="J16" s="44" t="str">
        <x:v>section 09 release</x:v>
      </x:c>
      <x:c r="K16" s="45" t="str"/>
      <x:c r="L16" s="44" t="str"/>
      <x:c r="M16" s="44" t="str"/>
      <x:c r="N16" s="44" t="str">
        <x:f>IF(M16="","OPEN",IF(OR(K16="",L16=""),"FAIL","PASS"))</x:f>
        <x:v>OPEN</x:v>
      </x:c>
    </x:row>
    <x:row r="17" ht="36" customHeight="1">
      <x:c r="B17" s="44" t="str">
        <x:v>RAC-TR-0011</x:v>
      </x:c>
      <x:c r="C17" s="44" t="str">
        <x:v>REA-O-A1</x:v>
      </x:c>
      <x:c r="D17" s="44" t="str">
        <x:v>OPERATIONAL</x:v>
      </x:c>
      <x:c r="E17" s="44" t="str">
        <x:v>BL-X</x:v>
      </x:c>
      <x:c r="F17" s="44" t="str">
        <x:v>casualty receiver</x:v>
      </x:c>
      <x:c r="G17" s="44" t="str">
        <x:v>RAC-S3</x:v>
      </x:c>
      <x:c r="H17" s="44" t="str">
        <x:v>RAC-LOT-031</x:v>
      </x:c>
      <x:c r="I17" s="44" t="str">
        <x:v>BL-X-PR-11</x:v>
      </x:c>
      <x:c r="J17" s="44" t="str">
        <x:v>section 10 release</x:v>
      </x:c>
      <x:c r="K17" s="45" t="str"/>
      <x:c r="L17" s="44" t="str"/>
      <x:c r="M17" s="44" t="str"/>
      <x:c r="N17" s="44" t="str">
        <x:f>IF(M17="","OPEN",IF(OR(K17="",L17=""),"FAIL","PASS"))</x:f>
        <x:v>OPEN</x:v>
      </x:c>
    </x:row>
    <x:row r="18" ht="36" customHeight="1">
      <x:c r="B18" s="44" t="str">
        <x:v>RAC-TR-0012</x:v>
      </x:c>
      <x:c r="C18" s="44" t="str">
        <x:v>REA-O-A1</x:v>
      </x:c>
      <x:c r="D18" s="44" t="str">
        <x:v>OPERATIONAL</x:v>
      </x:c>
      <x:c r="E18" s="44" t="str">
        <x:v>BL-X</x:v>
      </x:c>
      <x:c r="F18" s="44" t="str">
        <x:v>source inlet isolation</x:v>
      </x:c>
      <x:c r="G18" s="44" t="str">
        <x:v>RAC-S3</x:v>
      </x:c>
      <x:c r="H18" s="44" t="str">
        <x:v>RAC-LOT-034</x:v>
      </x:c>
      <x:c r="I18" s="44" t="str">
        <x:v>BL-X-PR-12</x:v>
      </x:c>
      <x:c r="J18" s="44" t="str">
        <x:v>section 11 release</x:v>
      </x:c>
      <x:c r="K18" s="45" t="str"/>
      <x:c r="L18" s="44" t="str"/>
      <x:c r="M18" s="44" t="str"/>
      <x:c r="N18" s="44" t="str">
        <x:f>IF(M18="","OPEN",IF(OR(K18="",L18=""),"FAIL","PASS"))</x:f>
        <x:v>OPEN</x:v>
      </x:c>
    </x:row>
    <x:row r="19" ht="36" customHeight="1">
      <x:c r="B19" s="44" t="str">
        <x:v>RAC-TR-0013</x:v>
      </x:c>
      <x:c r="C19" s="44" t="str">
        <x:v>REA-O-A1</x:v>
      </x:c>
      <x:c r="D19" s="44" t="str">
        <x:v>OPERATIONAL</x:v>
      </x:c>
      <x:c r="E19" s="44" t="str">
        <x:v>BL-X</x:v>
      </x:c>
      <x:c r="F19" s="44" t="str">
        <x:v>dispenser isolation</x:v>
      </x:c>
      <x:c r="G19" s="44" t="str">
        <x:v>RAC-S4</x:v>
      </x:c>
      <x:c r="H19" s="44" t="str">
        <x:v>RAC-LOT-001</x:v>
      </x:c>
      <x:c r="I19" s="44" t="str">
        <x:v>BL-X-PR-13</x:v>
      </x:c>
      <x:c r="J19" s="44" t="str">
        <x:v>section 12 release</x:v>
      </x:c>
      <x:c r="K19" s="45" t="str"/>
      <x:c r="L19" s="44" t="str"/>
      <x:c r="M19" s="44" t="str"/>
      <x:c r="N19" s="44" t="str">
        <x:f>IF(M19="","OPEN",IF(OR(K19="",L19=""),"FAIL","PASS"))</x:f>
        <x:v>OPEN</x:v>
      </x:c>
    </x:row>
    <x:row r="20" ht="36" customHeight="1">
      <x:c r="B20" s="44" t="str">
        <x:v>RAC-TR-0014</x:v>
      </x:c>
      <x:c r="C20" s="44" t="str">
        <x:v>REA-O-A1</x:v>
      </x:c>
      <x:c r="D20" s="44" t="str">
        <x:v>OPERATIONAL</x:v>
      </x:c>
      <x:c r="E20" s="44" t="str">
        <x:v>BL-X</x:v>
      </x:c>
      <x:c r="F20" s="44" t="str">
        <x:v>gravity diversion</x:v>
      </x:c>
      <x:c r="G20" s="44" t="str">
        <x:v>RAC-S4</x:v>
      </x:c>
      <x:c r="H20" s="44" t="str">
        <x:v>RAC-LOT-004</x:v>
      </x:c>
      <x:c r="I20" s="44" t="str">
        <x:v>BL-X-PR-14</x:v>
      </x:c>
      <x:c r="J20" s="44" t="str">
        <x:v>section 13 release</x:v>
      </x:c>
      <x:c r="K20" s="45" t="str"/>
      <x:c r="L20" s="44" t="str"/>
      <x:c r="M20" s="44" t="str"/>
      <x:c r="N20" s="44" t="str">
        <x:f>IF(M20="","OPEN",IF(OR(K20="",L20=""),"FAIL","PASS"))</x:f>
        <x:v>OPEN</x:v>
      </x:c>
    </x:row>
    <x:row r="21" ht="36" customHeight="1">
      <x:c r="B21" s="44" t="str">
        <x:v>RAC-TR-0015</x:v>
      </x:c>
      <x:c r="C21" s="44" t="str">
        <x:v>REA-O-A1</x:v>
      </x:c>
      <x:c r="D21" s="44" t="str">
        <x:v>OPERATIONAL</x:v>
      </x:c>
      <x:c r="E21" s="44" t="str">
        <x:v>BL-X</x:v>
      </x:c>
      <x:c r="F21" s="44" t="str">
        <x:v>water isolation</x:v>
      </x:c>
      <x:c r="G21" s="44" t="str">
        <x:v>RAC-S4</x:v>
      </x:c>
      <x:c r="H21" s="44" t="str">
        <x:v>RAC-LOT-007</x:v>
      </x:c>
      <x:c r="I21" s="44" t="str">
        <x:v>BL-X-PR-15</x:v>
      </x:c>
      <x:c r="J21" s="44" t="str">
        <x:v>section 14 release</x:v>
      </x:c>
      <x:c r="K21" s="45" t="str"/>
      <x:c r="L21" s="44" t="str"/>
      <x:c r="M21" s="44" t="str"/>
      <x:c r="N21" s="44" t="str">
        <x:f>IF(M21="","OPEN",IF(OR(K21="",L21=""),"FAIL","PASS"))</x:f>
        <x:v>OPEN</x:v>
      </x:c>
    </x:row>
    <x:row r="22" ht="36" customHeight="1">
      <x:c r="B22" s="44" t="str">
        <x:v>RAC-TR-0016</x:v>
      </x:c>
      <x:c r="C22" s="44" t="str">
        <x:v>REA-O-A1</x:v>
      </x:c>
      <x:c r="D22" s="44" t="str">
        <x:v>OPERATIONAL</x:v>
      </x:c>
      <x:c r="E22" s="44" t="str">
        <x:v>BL-X</x:v>
      </x:c>
      <x:c r="F22" s="44" t="str">
        <x:v>electrical isolation</x:v>
      </x:c>
      <x:c r="G22" s="44" t="str">
        <x:v>RAC-S4</x:v>
      </x:c>
      <x:c r="H22" s="44" t="str">
        <x:v>RAC-LOT-010</x:v>
      </x:c>
      <x:c r="I22" s="44" t="str">
        <x:v>BL-X-PR-16</x:v>
      </x:c>
      <x:c r="J22" s="44" t="str">
        <x:v>section 15 release</x:v>
      </x:c>
      <x:c r="K22" s="45" t="str"/>
      <x:c r="L22" s="44" t="str"/>
      <x:c r="M22" s="44" t="str"/>
      <x:c r="N22" s="44" t="str">
        <x:f>IF(M22="","OPEN",IF(OR(K22="",L22=""),"FAIL","PASS"))</x:f>
        <x:v>OPEN</x:v>
      </x:c>
    </x:row>
    <x:row r="23" ht="36" customHeight="1">
      <x:c r="B23" s="44" t="str">
        <x:v>RAC-TR-0017</x:v>
      </x:c>
      <x:c r="C23" s="44" t="str">
        <x:v>REA-O-A1</x:v>
      </x:c>
      <x:c r="D23" s="44" t="str">
        <x:v>OPERATIONAL</x:v>
      </x:c>
      <x:c r="E23" s="44" t="str">
        <x:v>BL-X</x:v>
      </x:c>
      <x:c r="F23" s="44" t="str">
        <x:v>independent safety energy</x:v>
      </x:c>
      <x:c r="G23" s="44" t="str">
        <x:v>RAC-S4</x:v>
      </x:c>
      <x:c r="H23" s="44" t="str">
        <x:v>RAC-LOT-013</x:v>
      </x:c>
      <x:c r="I23" s="44" t="str">
        <x:v>BL-X-PR-01</x:v>
      </x:c>
      <x:c r="J23" s="44" t="str">
        <x:v>section 16 release</x:v>
      </x:c>
      <x:c r="K23" s="45" t="str"/>
      <x:c r="L23" s="44" t="str"/>
      <x:c r="M23" s="44" t="str"/>
      <x:c r="N23" s="44" t="str">
        <x:f>IF(M23="","OPEN",IF(OR(K23="",L23=""),"FAIL","PASS"))</x:f>
        <x:v>OPEN</x:v>
      </x:c>
    </x:row>
    <x:row r="24" ht="36" customHeight="1">
      <x:c r="B24" s="44" t="str">
        <x:v>RAC-TR-0018</x:v>
      </x:c>
      <x:c r="C24" s="44" t="str">
        <x:v>REA-O-A1</x:v>
      </x:c>
      <x:c r="D24" s="44" t="str">
        <x:v>OPERATIONAL</x:v>
      </x:c>
      <x:c r="E24" s="44" t="str">
        <x:v>BL-X</x:v>
      </x:c>
      <x:c r="F24" s="44" t="str">
        <x:v>measurement frame</x:v>
      </x:c>
      <x:c r="G24" s="44" t="str">
        <x:v>RAC-S4</x:v>
      </x:c>
      <x:c r="H24" s="44" t="str">
        <x:v>RAC-LOT-016</x:v>
      </x:c>
      <x:c r="I24" s="44" t="str">
        <x:v>BL-X-PR-02</x:v>
      </x:c>
      <x:c r="J24" s="44" t="str">
        <x:v>section 17 release</x:v>
      </x:c>
      <x:c r="K24" s="45" t="str"/>
      <x:c r="L24" s="44" t="str"/>
      <x:c r="M24" s="44" t="str"/>
      <x:c r="N24" s="44" t="str">
        <x:f>IF(M24="","OPEN",IF(OR(K24="",L24=""),"FAIL","PASS"))</x:f>
        <x:v>OPEN</x:v>
      </x:c>
    </x:row>
    <x:row r="25" ht="36" customHeight="1">
      <x:c r="B25" s="44" t="str">
        <x:v>RAC-TR-0019</x:v>
      </x:c>
      <x:c r="C25" s="44" t="str">
        <x:v>REA-O-A1</x:v>
      </x:c>
      <x:c r="D25" s="44" t="str">
        <x:v>OPERATIONAL</x:v>
      </x:c>
      <x:c r="E25" s="44" t="str">
        <x:v>BL-X</x:v>
      </x:c>
      <x:c r="F25" s="44" t="str">
        <x:v>causal time and evidence</x:v>
      </x:c>
      <x:c r="G25" s="44" t="str">
        <x:v>RAC-S6</x:v>
      </x:c>
      <x:c r="H25" s="44" t="str">
        <x:v>RAC-LOT-019</x:v>
      </x:c>
      <x:c r="I25" s="44" t="str">
        <x:v>BL-X-PR-03</x:v>
      </x:c>
      <x:c r="J25" s="44" t="str">
        <x:v>section 18 release</x:v>
      </x:c>
      <x:c r="K25" s="45" t="str"/>
      <x:c r="L25" s="44" t="str"/>
      <x:c r="M25" s="44" t="str"/>
      <x:c r="N25" s="44" t="str">
        <x:f>IF(M25="","OPEN",IF(OR(K25="",L25=""),"FAIL","PASS"))</x:f>
        <x:v>OPEN</x:v>
      </x:c>
    </x:row>
    <x:row r="26" ht="36" customHeight="1">
      <x:c r="B26" s="44" t="str">
        <x:v>RAC-TR-0020</x:v>
      </x:c>
      <x:c r="C26" s="44" t="str">
        <x:v>REA-O-A1</x:v>
      </x:c>
      <x:c r="D26" s="44" t="str">
        <x:v>OPERATIONAL</x:v>
      </x:c>
      <x:c r="E26" s="44" t="str">
        <x:v>BL-X</x:v>
      </x:c>
      <x:c r="F26" s="44" t="str">
        <x:v>rescue and environmental access</x:v>
      </x:c>
      <x:c r="G26" s="44" t="str">
        <x:v>RAC-S6</x:v>
      </x:c>
      <x:c r="H26" s="44" t="str">
        <x:v>RAC-LOT-022</x:v>
      </x:c>
      <x:c r="I26" s="44" t="str">
        <x:v>BL-X-PR-04</x:v>
      </x:c>
      <x:c r="J26" s="44" t="str">
        <x:v>section 19 release</x:v>
      </x:c>
      <x:c r="K26" s="45" t="str"/>
      <x:c r="L26" s="44" t="str"/>
      <x:c r="M26" s="44" t="str"/>
      <x:c r="N26" s="44" t="str">
        <x:f>IF(M26="","OPEN",IF(OR(K26="",L26=""),"FAIL","PASS"))</x:f>
        <x:v>OPEN</x:v>
      </x:c>
    </x:row>
    <x:row r="27" ht="36" customHeight="1">
      <x:c r="B27" s="44" t="str">
        <x:v>RAC-TR-0021</x:v>
      </x:c>
      <x:c r="C27" s="44" t="str">
        <x:v>REA-O-A2</x:v>
      </x:c>
      <x:c r="D27" s="44" t="str">
        <x:v>OPERATIONAL</x:v>
      </x:c>
      <x:c r="E27" s="44" t="str">
        <x:v>BL-Y</x:v>
      </x:c>
      <x:c r="F27" s="44" t="str">
        <x:v>public datum</x:v>
      </x:c>
      <x:c r="G27" s="44" t="str">
        <x:v>RAC-S1</x:v>
      </x:c>
      <x:c r="H27" s="44" t="str">
        <x:v>RAC-LOT-037</x:v>
      </x:c>
      <x:c r="I27" s="44" t="str">
        <x:v>BL-Y-PR-01</x:v>
      </x:c>
      <x:c r="J27" s="44" t="str">
        <x:v>authority freeze</x:v>
      </x:c>
      <x:c r="K27" s="45" t="str"/>
      <x:c r="L27" s="44" t="str"/>
      <x:c r="M27" s="44" t="str"/>
      <x:c r="N27" s="44" t="str">
        <x:f>IF(M27="","OPEN",IF(OR(K27="",L27=""),"FAIL","PASS"))</x:f>
        <x:v>OPEN</x:v>
      </x:c>
    </x:row>
    <x:row r="28" ht="36" customHeight="1">
      <x:c r="B28" s="44" t="str">
        <x:v>RAC-TR-0022</x:v>
      </x:c>
      <x:c r="C28" s="44" t="str">
        <x:v>REA-O-A2</x:v>
      </x:c>
      <x:c r="D28" s="44" t="str">
        <x:v>OPERATIONAL</x:v>
      </x:c>
      <x:c r="E28" s="44" t="str">
        <x:v>BL-Y</x:v>
      </x:c>
      <x:c r="F28" s="44" t="str">
        <x:v>primary frame</x:v>
      </x:c>
      <x:c r="G28" s="44" t="str">
        <x:v>RAC-S1</x:v>
      </x:c>
      <x:c r="H28" s="44" t="str">
        <x:v>RAC-LOT-040</x:v>
      </x:c>
      <x:c r="I28" s="44" t="str">
        <x:v>BL-Y-PR-02</x:v>
      </x:c>
      <x:c r="J28" s="44" t="str">
        <x:v>section 01 release</x:v>
      </x:c>
      <x:c r="K28" s="45" t="str"/>
      <x:c r="L28" s="44" t="str"/>
      <x:c r="M28" s="44" t="str"/>
      <x:c r="N28" s="44" t="str">
        <x:f>IF(M28="","OPEN",IF(OR(K28="",L28=""),"FAIL","PASS"))</x:f>
        <x:v>OPEN</x:v>
      </x:c>
    </x:row>
    <x:row r="29" ht="36" customHeight="1">
      <x:c r="B29" s="44" t="str">
        <x:v>RAC-TR-0023</x:v>
      </x:c>
      <x:c r="C29" s="44" t="str">
        <x:v>REA-O-A2</x:v>
      </x:c>
      <x:c r="D29" s="44" t="str">
        <x:v>OPERATIONAL</x:v>
      </x:c>
      <x:c r="E29" s="44" t="str">
        <x:v>BL-Y</x:v>
      </x:c>
      <x:c r="F29" s="44" t="str">
        <x:v>source-surrogate vessel</x:v>
      </x:c>
      <x:c r="G29" s="44" t="str">
        <x:v>RAC-S1</x:v>
      </x:c>
      <x:c r="H29" s="44" t="str">
        <x:v>RAC-LOT-043</x:v>
      </x:c>
      <x:c r="I29" s="44" t="str">
        <x:v>BL-Y-PR-03</x:v>
      </x:c>
      <x:c r="J29" s="44" t="str">
        <x:v>section 02 release</x:v>
      </x:c>
      <x:c r="K29" s="45" t="str"/>
      <x:c r="L29" s="44" t="str"/>
      <x:c r="M29" s="44" t="str"/>
      <x:c r="N29" s="44" t="str">
        <x:f>IF(M29="","OPEN",IF(OR(K29="",L29=""),"FAIL","PASS"))</x:f>
        <x:v>OPEN</x:v>
      </x:c>
    </x:row>
    <x:row r="30" ht="36" customHeight="1">
      <x:c r="B30" s="44" t="str">
        <x:v>RAC-TR-0024</x:v>
      </x:c>
      <x:c r="C30" s="44" t="str">
        <x:v>REA-O-A2</x:v>
      </x:c>
      <x:c r="D30" s="44" t="str">
        <x:v>OPERATIONAL</x:v>
      </x:c>
      <x:c r="E30" s="44" t="str">
        <x:v>BL-Y</x:v>
      </x:c>
      <x:c r="F30" s="44" t="str">
        <x:v>capsule dock</x:v>
      </x:c>
      <x:c r="G30" s="44" t="str">
        <x:v>RAC-S1</x:v>
      </x:c>
      <x:c r="H30" s="44" t="str">
        <x:v>RAC-LOT-046</x:v>
      </x:c>
      <x:c r="I30" s="44" t="str">
        <x:v>BL-Y-PR-04</x:v>
      </x:c>
      <x:c r="J30" s="44" t="str">
        <x:v>section 03 release</x:v>
      </x:c>
      <x:c r="K30" s="45" t="str"/>
      <x:c r="L30" s="44" t="str"/>
      <x:c r="M30" s="44" t="str"/>
      <x:c r="N30" s="44" t="str">
        <x:f>IF(M30="","OPEN",IF(OR(K30="",L30=""),"FAIL","PASS"))</x:f>
        <x:v>OPEN</x:v>
      </x:c>
    </x:row>
    <x:row r="31" ht="36" customHeight="1">
      <x:c r="B31" s="44" t="str">
        <x:v>RAC-TR-0025</x:v>
      </x:c>
      <x:c r="C31" s="44" t="str">
        <x:v>REA-O-A2</x:v>
      </x:c>
      <x:c r="D31" s="44" t="str">
        <x:v>OPERATIONAL</x:v>
      </x:c>
      <x:c r="E31" s="44" t="str">
        <x:v>BL-Y</x:v>
      </x:c>
      <x:c r="F31" s="44" t="str">
        <x:v>40 mm insert</x:v>
      </x:c>
      <x:c r="G31" s="44" t="str">
        <x:v>RAC-S2</x:v>
      </x:c>
      <x:c r="H31" s="44" t="str">
        <x:v>RAC-LOT-049</x:v>
      </x:c>
      <x:c r="I31" s="44" t="str">
        <x:v>BL-Y-PR-05</x:v>
      </x:c>
      <x:c r="J31" s="44" t="str">
        <x:v>section 04 release</x:v>
      </x:c>
      <x:c r="K31" s="45" t="str"/>
      <x:c r="L31" s="44" t="str"/>
      <x:c r="M31" s="44" t="str"/>
      <x:c r="N31" s="44" t="str">
        <x:f>IF(M31="","OPEN",IF(OR(K31="",L31=""),"FAIL","PASS"))</x:f>
        <x:v>OPEN</x:v>
      </x:c>
    </x:row>
    <x:row r="32" ht="36" customHeight="1">
      <x:c r="B32" s="44" t="str">
        <x:v>RAC-TR-0026</x:v>
      </x:c>
      <x:c r="C32" s="44" t="str">
        <x:v>REA-O-A2</x:v>
      </x:c>
      <x:c r="D32" s="44" t="str">
        <x:v>OPERATIONAL</x:v>
      </x:c>
      <x:c r="E32" s="44" t="str">
        <x:v>BL-Y</x:v>
      </x:c>
      <x:c r="F32" s="44" t="str">
        <x:v>dispenser</x:v>
      </x:c>
      <x:c r="G32" s="44" t="str">
        <x:v>RAC-S2</x:v>
      </x:c>
      <x:c r="H32" s="44" t="str">
        <x:v>RAC-LOT-052</x:v>
      </x:c>
      <x:c r="I32" s="44" t="str">
        <x:v>BL-Y-PR-06</x:v>
      </x:c>
      <x:c r="J32" s="44" t="str">
        <x:v>section 05 release</x:v>
      </x:c>
      <x:c r="K32" s="45" t="str"/>
      <x:c r="L32" s="44" t="str"/>
      <x:c r="M32" s="44" t="str"/>
      <x:c r="N32" s="44" t="str">
        <x:f>IF(M32="","OPEN",IF(OR(K32="",L32=""),"FAIL","PASS"))</x:f>
        <x:v>OPEN</x:v>
      </x:c>
    </x:row>
    <x:row r="33" ht="36" customHeight="1">
      <x:c r="B33" s="44" t="str">
        <x:v>RAC-TR-0027</x:v>
      </x:c>
      <x:c r="C33" s="44" t="str">
        <x:v>REA-O-A2</x:v>
      </x:c>
      <x:c r="D33" s="44" t="str">
        <x:v>OPERATIONAL</x:v>
      </x:c>
      <x:c r="E33" s="44" t="str">
        <x:v>BL-Y</x:v>
      </x:c>
      <x:c r="F33" s="44" t="str">
        <x:v>inner pan</x:v>
      </x:c>
      <x:c r="G33" s="44" t="str">
        <x:v>RAC-S2</x:v>
      </x:c>
      <x:c r="H33" s="44" t="str">
        <x:v>RAC-LOT-055</x:v>
      </x:c>
      <x:c r="I33" s="44" t="str">
        <x:v>BL-Y-PR-07</x:v>
      </x:c>
      <x:c r="J33" s="44" t="str">
        <x:v>section 06 release</x:v>
      </x:c>
      <x:c r="K33" s="45" t="str"/>
      <x:c r="L33" s="44" t="str"/>
      <x:c r="M33" s="44" t="str"/>
      <x:c r="N33" s="44" t="str">
        <x:f>IF(M33="","OPEN",IF(OR(K33="",L33=""),"FAIL","PASS"))</x:f>
        <x:v>OPEN</x:v>
      </x:c>
    </x:row>
    <x:row r="34" ht="36" customHeight="1">
      <x:c r="B34" s="44" t="str">
        <x:v>RAC-TR-0028</x:v>
      </x:c>
      <x:c r="C34" s="44" t="str">
        <x:v>REA-O-A2</x:v>
      </x:c>
      <x:c r="D34" s="44" t="str">
        <x:v>OPERATIONAL</x:v>
      </x:c>
      <x:c r="E34" s="44" t="str">
        <x:v>BL-Y</x:v>
      </x:c>
      <x:c r="F34" s="44" t="str">
        <x:v>normal route</x:v>
      </x:c>
      <x:c r="G34" s="44" t="str">
        <x:v>RAC-S2</x:v>
      </x:c>
      <x:c r="H34" s="44" t="str">
        <x:v>RAC-LOT-058</x:v>
      </x:c>
      <x:c r="I34" s="44" t="str">
        <x:v>BL-Y-PR-08</x:v>
      </x:c>
      <x:c r="J34" s="44" t="str">
        <x:v>section 07 release</x:v>
      </x:c>
      <x:c r="K34" s="45" t="str"/>
      <x:c r="L34" s="44" t="str"/>
      <x:c r="M34" s="44" t="str"/>
      <x:c r="N34" s="44" t="str">
        <x:f>IF(M34="","OPEN",IF(OR(K34="",L34=""),"FAIL","PASS"))</x:f>
        <x:v>OPEN</x:v>
      </x:c>
    </x:row>
    <x:row r="35" ht="36" customHeight="1">
      <x:c r="B35" s="44" t="str">
        <x:v>RAC-TR-0029</x:v>
      </x:c>
      <x:c r="C35" s="44" t="str">
        <x:v>REA-O-A2</x:v>
      </x:c>
      <x:c r="D35" s="44" t="str">
        <x:v>OPERATIONAL</x:v>
      </x:c>
      <x:c r="E35" s="44" t="str">
        <x:v>BL-Y</x:v>
      </x:c>
      <x:c r="F35" s="44" t="str">
        <x:v>casualty route</x:v>
      </x:c>
      <x:c r="G35" s="44" t="str">
        <x:v>RAC-S3</x:v>
      </x:c>
      <x:c r="H35" s="44" t="str">
        <x:v>RAC-LOT-061</x:v>
      </x:c>
      <x:c r="I35" s="44" t="str">
        <x:v>BL-Y-PR-09</x:v>
      </x:c>
      <x:c r="J35" s="44" t="str">
        <x:v>section 08 release</x:v>
      </x:c>
      <x:c r="K35" s="45" t="str"/>
      <x:c r="L35" s="44" t="str"/>
      <x:c r="M35" s="44" t="str"/>
      <x:c r="N35" s="44" t="str">
        <x:f>IF(M35="","OPEN",IF(OR(K35="",L35=""),"FAIL","PASS"))</x:f>
        <x:v>OPEN</x:v>
      </x:c>
    </x:row>
    <x:row r="36" ht="36" customHeight="1">
      <x:c r="B36" s="44" t="str">
        <x:v>RAC-TR-0030</x:v>
      </x:c>
      <x:c r="C36" s="44" t="str">
        <x:v>REA-O-A2</x:v>
      </x:c>
      <x:c r="D36" s="44" t="str">
        <x:v>OPERATIONAL</x:v>
      </x:c>
      <x:c r="E36" s="44" t="str">
        <x:v>BL-Y</x:v>
      </x:c>
      <x:c r="F36" s="44" t="str">
        <x:v>normal receiver</x:v>
      </x:c>
      <x:c r="G36" s="44" t="str">
        <x:v>RAC-S3</x:v>
      </x:c>
      <x:c r="H36" s="44" t="str">
        <x:v>RAC-LOT-064</x:v>
      </x:c>
      <x:c r="I36" s="44" t="str">
        <x:v>BL-Y-PR-10</x:v>
      </x:c>
      <x:c r="J36" s="44" t="str">
        <x:v>section 09 release</x:v>
      </x:c>
      <x:c r="K36" s="45" t="str"/>
      <x:c r="L36" s="44" t="str"/>
      <x:c r="M36" s="44" t="str"/>
      <x:c r="N36" s="44" t="str">
        <x:f>IF(M36="","OPEN",IF(OR(K36="",L36=""),"FAIL","PASS"))</x:f>
        <x:v>OPEN</x:v>
      </x:c>
    </x:row>
    <x:row r="37" ht="36" customHeight="1">
      <x:c r="B37" s="44" t="str">
        <x:v>RAC-TR-0031</x:v>
      </x:c>
      <x:c r="C37" s="44" t="str">
        <x:v>REA-O-A2</x:v>
      </x:c>
      <x:c r="D37" s="44" t="str">
        <x:v>OPERATIONAL</x:v>
      </x:c>
      <x:c r="E37" s="44" t="str">
        <x:v>BL-Y</x:v>
      </x:c>
      <x:c r="F37" s="44" t="str">
        <x:v>casualty receiver</x:v>
      </x:c>
      <x:c r="G37" s="44" t="str">
        <x:v>RAC-S3</x:v>
      </x:c>
      <x:c r="H37" s="44" t="str">
        <x:v>RAC-LOT-067</x:v>
      </x:c>
      <x:c r="I37" s="44" t="str">
        <x:v>BL-Y-PR-11</x:v>
      </x:c>
      <x:c r="J37" s="44" t="str">
        <x:v>section 10 release</x:v>
      </x:c>
      <x:c r="K37" s="45" t="str"/>
      <x:c r="L37" s="44" t="str"/>
      <x:c r="M37" s="44" t="str"/>
      <x:c r="N37" s="44" t="str">
        <x:f>IF(M37="","OPEN",IF(OR(K37="",L37=""),"FAIL","PASS"))</x:f>
        <x:v>OPEN</x:v>
      </x:c>
    </x:row>
    <x:row r="38" ht="36" customHeight="1">
      <x:c r="B38" s="44" t="str">
        <x:v>RAC-TR-0032</x:v>
      </x:c>
      <x:c r="C38" s="44" t="str">
        <x:v>REA-O-A2</x:v>
      </x:c>
      <x:c r="D38" s="44" t="str">
        <x:v>OPERATIONAL</x:v>
      </x:c>
      <x:c r="E38" s="44" t="str">
        <x:v>BL-Y</x:v>
      </x:c>
      <x:c r="F38" s="44" t="str">
        <x:v>source inlet isolation</x:v>
      </x:c>
      <x:c r="G38" s="44" t="str">
        <x:v>RAC-S3</x:v>
      </x:c>
      <x:c r="H38" s="44" t="str">
        <x:v>RAC-LOT-070</x:v>
      </x:c>
      <x:c r="I38" s="44" t="str">
        <x:v>BL-Y-PR-12</x:v>
      </x:c>
      <x:c r="J38" s="44" t="str">
        <x:v>section 11 release</x:v>
      </x:c>
      <x:c r="K38" s="45" t="str"/>
      <x:c r="L38" s="44" t="str"/>
      <x:c r="M38" s="44" t="str"/>
      <x:c r="N38" s="44" t="str">
        <x:f>IF(M38="","OPEN",IF(OR(K38="",L38=""),"FAIL","PASS"))</x:f>
        <x:v>OPEN</x:v>
      </x:c>
    </x:row>
    <x:row r="39" ht="36" customHeight="1">
      <x:c r="B39" s="44" t="str">
        <x:v>RAC-TR-0033</x:v>
      </x:c>
      <x:c r="C39" s="44" t="str">
        <x:v>REA-O-A2</x:v>
      </x:c>
      <x:c r="D39" s="44" t="str">
        <x:v>OPERATIONAL</x:v>
      </x:c>
      <x:c r="E39" s="44" t="str">
        <x:v>BL-Y</x:v>
      </x:c>
      <x:c r="F39" s="44" t="str">
        <x:v>dispenser isolation</x:v>
      </x:c>
      <x:c r="G39" s="44" t="str">
        <x:v>RAC-S4</x:v>
      </x:c>
      <x:c r="H39" s="44" t="str">
        <x:v>RAC-LOT-037</x:v>
      </x:c>
      <x:c r="I39" s="44" t="str">
        <x:v>BL-Y-PR-13</x:v>
      </x:c>
      <x:c r="J39" s="44" t="str">
        <x:v>section 12 release</x:v>
      </x:c>
      <x:c r="K39" s="45" t="str"/>
      <x:c r="L39" s="44" t="str"/>
      <x:c r="M39" s="44" t="str"/>
      <x:c r="N39" s="44" t="str">
        <x:f>IF(M39="","OPEN",IF(OR(K39="",L39=""),"FAIL","PASS"))</x:f>
        <x:v>OPEN</x:v>
      </x:c>
    </x:row>
    <x:row r="40" ht="36" customHeight="1">
      <x:c r="B40" s="44" t="str">
        <x:v>RAC-TR-0034</x:v>
      </x:c>
      <x:c r="C40" s="44" t="str">
        <x:v>REA-O-A2</x:v>
      </x:c>
      <x:c r="D40" s="44" t="str">
        <x:v>OPERATIONAL</x:v>
      </x:c>
      <x:c r="E40" s="44" t="str">
        <x:v>BL-Y</x:v>
      </x:c>
      <x:c r="F40" s="44" t="str">
        <x:v>gravity diversion</x:v>
      </x:c>
      <x:c r="G40" s="44" t="str">
        <x:v>RAC-S4</x:v>
      </x:c>
      <x:c r="H40" s="44" t="str">
        <x:v>RAC-LOT-040</x:v>
      </x:c>
      <x:c r="I40" s="44" t="str">
        <x:v>BL-Y-PR-14</x:v>
      </x:c>
      <x:c r="J40" s="44" t="str">
        <x:v>section 13 release</x:v>
      </x:c>
      <x:c r="K40" s="45" t="str"/>
      <x:c r="L40" s="44" t="str"/>
      <x:c r="M40" s="44" t="str"/>
      <x:c r="N40" s="44" t="str">
        <x:f>IF(M40="","OPEN",IF(OR(K40="",L40=""),"FAIL","PASS"))</x:f>
        <x:v>OPEN</x:v>
      </x:c>
    </x:row>
    <x:row r="41" ht="36" customHeight="1">
      <x:c r="B41" s="44" t="str">
        <x:v>RAC-TR-0035</x:v>
      </x:c>
      <x:c r="C41" s="44" t="str">
        <x:v>REA-O-A2</x:v>
      </x:c>
      <x:c r="D41" s="44" t="str">
        <x:v>OPERATIONAL</x:v>
      </x:c>
      <x:c r="E41" s="44" t="str">
        <x:v>BL-Y</x:v>
      </x:c>
      <x:c r="F41" s="44" t="str">
        <x:v>water isolation</x:v>
      </x:c>
      <x:c r="G41" s="44" t="str">
        <x:v>RAC-S4</x:v>
      </x:c>
      <x:c r="H41" s="44" t="str">
        <x:v>RAC-LOT-043</x:v>
      </x:c>
      <x:c r="I41" s="44" t="str">
        <x:v>BL-Y-PR-15</x:v>
      </x:c>
      <x:c r="J41" s="44" t="str">
        <x:v>section 14 release</x:v>
      </x:c>
      <x:c r="K41" s="45" t="str"/>
      <x:c r="L41" s="44" t="str"/>
      <x:c r="M41" s="44" t="str"/>
      <x:c r="N41" s="44" t="str">
        <x:f>IF(M41="","OPEN",IF(OR(K41="",L41=""),"FAIL","PASS"))</x:f>
        <x:v>OPEN</x:v>
      </x:c>
    </x:row>
    <x:row r="42" ht="36" customHeight="1">
      <x:c r="B42" s="44" t="str">
        <x:v>RAC-TR-0036</x:v>
      </x:c>
      <x:c r="C42" s="44" t="str">
        <x:v>REA-O-A2</x:v>
      </x:c>
      <x:c r="D42" s="44" t="str">
        <x:v>OPERATIONAL</x:v>
      </x:c>
      <x:c r="E42" s="44" t="str">
        <x:v>BL-Y</x:v>
      </x:c>
      <x:c r="F42" s="44" t="str">
        <x:v>electrical isolation</x:v>
      </x:c>
      <x:c r="G42" s="44" t="str">
        <x:v>RAC-S4</x:v>
      </x:c>
      <x:c r="H42" s="44" t="str">
        <x:v>RAC-LOT-046</x:v>
      </x:c>
      <x:c r="I42" s="44" t="str">
        <x:v>BL-Y-PR-16</x:v>
      </x:c>
      <x:c r="J42" s="44" t="str">
        <x:v>section 15 release</x:v>
      </x:c>
      <x:c r="K42" s="45" t="str"/>
      <x:c r="L42" s="44" t="str"/>
      <x:c r="M42" s="44" t="str"/>
      <x:c r="N42" s="44" t="str">
        <x:f>IF(M42="","OPEN",IF(OR(K42="",L42=""),"FAIL","PASS"))</x:f>
        <x:v>OPEN</x:v>
      </x:c>
    </x:row>
    <x:row r="43" ht="36" customHeight="1">
      <x:c r="B43" s="44" t="str">
        <x:v>RAC-TR-0037</x:v>
      </x:c>
      <x:c r="C43" s="44" t="str">
        <x:v>REA-O-A2</x:v>
      </x:c>
      <x:c r="D43" s="44" t="str">
        <x:v>OPERATIONAL</x:v>
      </x:c>
      <x:c r="E43" s="44" t="str">
        <x:v>BL-Y</x:v>
      </x:c>
      <x:c r="F43" s="44" t="str">
        <x:v>independent safety energy</x:v>
      </x:c>
      <x:c r="G43" s="44" t="str">
        <x:v>RAC-S4</x:v>
      </x:c>
      <x:c r="H43" s="44" t="str">
        <x:v>RAC-LOT-049</x:v>
      </x:c>
      <x:c r="I43" s="44" t="str">
        <x:v>BL-Y-PR-01</x:v>
      </x:c>
      <x:c r="J43" s="44" t="str">
        <x:v>section 16 release</x:v>
      </x:c>
      <x:c r="K43" s="45" t="str"/>
      <x:c r="L43" s="44" t="str"/>
      <x:c r="M43" s="44" t="str"/>
      <x:c r="N43" s="44" t="str">
        <x:f>IF(M43="","OPEN",IF(OR(K43="",L43=""),"FAIL","PASS"))</x:f>
        <x:v>OPEN</x:v>
      </x:c>
    </x:row>
    <x:row r="44" ht="36" customHeight="1">
      <x:c r="B44" s="44" t="str">
        <x:v>RAC-TR-0038</x:v>
      </x:c>
      <x:c r="C44" s="44" t="str">
        <x:v>REA-O-A2</x:v>
      </x:c>
      <x:c r="D44" s="44" t="str">
        <x:v>OPERATIONAL</x:v>
      </x:c>
      <x:c r="E44" s="44" t="str">
        <x:v>BL-Y</x:v>
      </x:c>
      <x:c r="F44" s="44" t="str">
        <x:v>measurement frame</x:v>
      </x:c>
      <x:c r="G44" s="44" t="str">
        <x:v>RAC-S4</x:v>
      </x:c>
      <x:c r="H44" s="44" t="str">
        <x:v>RAC-LOT-052</x:v>
      </x:c>
      <x:c r="I44" s="44" t="str">
        <x:v>BL-Y-PR-02</x:v>
      </x:c>
      <x:c r="J44" s="44" t="str">
        <x:v>section 17 release</x:v>
      </x:c>
      <x:c r="K44" s="45" t="str"/>
      <x:c r="L44" s="44" t="str"/>
      <x:c r="M44" s="44" t="str"/>
      <x:c r="N44" s="44" t="str">
        <x:f>IF(M44="","OPEN",IF(OR(K44="",L44=""),"FAIL","PASS"))</x:f>
        <x:v>OPEN</x:v>
      </x:c>
    </x:row>
    <x:row r="45" ht="36" customHeight="1">
      <x:c r="B45" s="44" t="str">
        <x:v>RAC-TR-0039</x:v>
      </x:c>
      <x:c r="C45" s="44" t="str">
        <x:v>REA-O-A2</x:v>
      </x:c>
      <x:c r="D45" s="44" t="str">
        <x:v>OPERATIONAL</x:v>
      </x:c>
      <x:c r="E45" s="44" t="str">
        <x:v>BL-Y</x:v>
      </x:c>
      <x:c r="F45" s="44" t="str">
        <x:v>causal time and evidence</x:v>
      </x:c>
      <x:c r="G45" s="44" t="str">
        <x:v>RAC-S6</x:v>
      </x:c>
      <x:c r="H45" s="44" t="str">
        <x:v>RAC-LOT-055</x:v>
      </x:c>
      <x:c r="I45" s="44" t="str">
        <x:v>BL-Y-PR-03</x:v>
      </x:c>
      <x:c r="J45" s="44" t="str">
        <x:v>section 18 release</x:v>
      </x:c>
      <x:c r="K45" s="45" t="str"/>
      <x:c r="L45" s="44" t="str"/>
      <x:c r="M45" s="44" t="str"/>
      <x:c r="N45" s="44" t="str">
        <x:f>IF(M45="","OPEN",IF(OR(K45="",L45=""),"FAIL","PASS"))</x:f>
        <x:v>OPEN</x:v>
      </x:c>
    </x:row>
    <x:row r="46" ht="36" customHeight="1">
      <x:c r="B46" s="44" t="str">
        <x:v>RAC-TR-0040</x:v>
      </x:c>
      <x:c r="C46" s="44" t="str">
        <x:v>REA-O-A2</x:v>
      </x:c>
      <x:c r="D46" s="44" t="str">
        <x:v>OPERATIONAL</x:v>
      </x:c>
      <x:c r="E46" s="44" t="str">
        <x:v>BL-Y</x:v>
      </x:c>
      <x:c r="F46" s="44" t="str">
        <x:v>rescue and environmental access</x:v>
      </x:c>
      <x:c r="G46" s="44" t="str">
        <x:v>RAC-S6</x:v>
      </x:c>
      <x:c r="H46" s="44" t="str">
        <x:v>RAC-LOT-058</x:v>
      </x:c>
      <x:c r="I46" s="44" t="str">
        <x:v>BL-Y-PR-04</x:v>
      </x:c>
      <x:c r="J46" s="44" t="str">
        <x:v>section 19 release</x:v>
      </x:c>
      <x:c r="K46" s="45" t="str"/>
      <x:c r="L46" s="44" t="str"/>
      <x:c r="M46" s="44" t="str"/>
      <x:c r="N46" s="44" t="str">
        <x:f>IF(M46="","OPEN",IF(OR(K46="",L46=""),"FAIL","PASS"))</x:f>
        <x:v>OPEN</x:v>
      </x:c>
    </x:row>
    <x:row r="47" ht="36" customHeight="1">
      <x:c r="B47" s="44" t="str">
        <x:v>RAC-TR-0041</x:v>
      </x:c>
      <x:c r="C47" s="44" t="str">
        <x:v>REA-O-B1</x:v>
      </x:c>
      <x:c r="D47" s="44" t="str">
        <x:v>OPERATIONAL</x:v>
      </x:c>
      <x:c r="E47" s="44" t="str">
        <x:v>BL-X</x:v>
      </x:c>
      <x:c r="F47" s="44" t="str">
        <x:v>public datum</x:v>
      </x:c>
      <x:c r="G47" s="44" t="str">
        <x:v>RAC-S1</x:v>
      </x:c>
      <x:c r="H47" s="44" t="str">
        <x:v>RAC-LOT-001</x:v>
      </x:c>
      <x:c r="I47" s="44" t="str">
        <x:v>BL-X-PR-01</x:v>
      </x:c>
      <x:c r="J47" s="44" t="str">
        <x:v>authority freeze</x:v>
      </x:c>
      <x:c r="K47" s="45" t="str"/>
      <x:c r="L47" s="44" t="str"/>
      <x:c r="M47" s="44" t="str"/>
      <x:c r="N47" s="44" t="str">
        <x:f>IF(M47="","OPEN",IF(OR(K47="",L47=""),"FAIL","PASS"))</x:f>
        <x:v>OPEN</x:v>
      </x:c>
    </x:row>
    <x:row r="48" ht="36" customHeight="1">
      <x:c r="B48" s="44" t="str">
        <x:v>RAC-TR-0042</x:v>
      </x:c>
      <x:c r="C48" s="44" t="str">
        <x:v>REA-O-B1</x:v>
      </x:c>
      <x:c r="D48" s="44" t="str">
        <x:v>OPERATIONAL</x:v>
      </x:c>
      <x:c r="E48" s="44" t="str">
        <x:v>BL-X</x:v>
      </x:c>
      <x:c r="F48" s="44" t="str">
        <x:v>primary frame</x:v>
      </x:c>
      <x:c r="G48" s="44" t="str">
        <x:v>RAC-S1</x:v>
      </x:c>
      <x:c r="H48" s="44" t="str">
        <x:v>RAC-LOT-004</x:v>
      </x:c>
      <x:c r="I48" s="44" t="str">
        <x:v>BL-X-PR-02</x:v>
      </x:c>
      <x:c r="J48" s="44" t="str">
        <x:v>section 01 release</x:v>
      </x:c>
      <x:c r="K48" s="45" t="str"/>
      <x:c r="L48" s="44" t="str"/>
      <x:c r="M48" s="44" t="str"/>
      <x:c r="N48" s="44" t="str">
        <x:f>IF(M48="","OPEN",IF(OR(K48="",L48=""),"FAIL","PASS"))</x:f>
        <x:v>OPEN</x:v>
      </x:c>
    </x:row>
    <x:row r="49" ht="36" customHeight="1">
      <x:c r="B49" s="44" t="str">
        <x:v>RAC-TR-0043</x:v>
      </x:c>
      <x:c r="C49" s="44" t="str">
        <x:v>REA-O-B1</x:v>
      </x:c>
      <x:c r="D49" s="44" t="str">
        <x:v>OPERATIONAL</x:v>
      </x:c>
      <x:c r="E49" s="44" t="str">
        <x:v>BL-X</x:v>
      </x:c>
      <x:c r="F49" s="44" t="str">
        <x:v>source-surrogate vessel</x:v>
      </x:c>
      <x:c r="G49" s="44" t="str">
        <x:v>RAC-S1</x:v>
      </x:c>
      <x:c r="H49" s="44" t="str">
        <x:v>RAC-LOT-007</x:v>
      </x:c>
      <x:c r="I49" s="44" t="str">
        <x:v>BL-X-PR-03</x:v>
      </x:c>
      <x:c r="J49" s="44" t="str">
        <x:v>section 02 release</x:v>
      </x:c>
      <x:c r="K49" s="45" t="str"/>
      <x:c r="L49" s="44" t="str"/>
      <x:c r="M49" s="44" t="str"/>
      <x:c r="N49" s="44" t="str">
        <x:f>IF(M49="","OPEN",IF(OR(K49="",L49=""),"FAIL","PASS"))</x:f>
        <x:v>OPEN</x:v>
      </x:c>
    </x:row>
    <x:row r="50" ht="36" customHeight="1">
      <x:c r="B50" s="44" t="str">
        <x:v>RAC-TR-0044</x:v>
      </x:c>
      <x:c r="C50" s="44" t="str">
        <x:v>REA-O-B1</x:v>
      </x:c>
      <x:c r="D50" s="44" t="str">
        <x:v>OPERATIONAL</x:v>
      </x:c>
      <x:c r="E50" s="44" t="str">
        <x:v>BL-X</x:v>
      </x:c>
      <x:c r="F50" s="44" t="str">
        <x:v>capsule dock</x:v>
      </x:c>
      <x:c r="G50" s="44" t="str">
        <x:v>RAC-S1</x:v>
      </x:c>
      <x:c r="H50" s="44" t="str">
        <x:v>RAC-LOT-010</x:v>
      </x:c>
      <x:c r="I50" s="44" t="str">
        <x:v>BL-X-PR-04</x:v>
      </x:c>
      <x:c r="J50" s="44" t="str">
        <x:v>section 03 release</x:v>
      </x:c>
      <x:c r="K50" s="45" t="str"/>
      <x:c r="L50" s="44" t="str"/>
      <x:c r="M50" s="44" t="str"/>
      <x:c r="N50" s="44" t="str">
        <x:f>IF(M50="","OPEN",IF(OR(K50="",L50=""),"FAIL","PASS"))</x:f>
        <x:v>OPEN</x:v>
      </x:c>
    </x:row>
    <x:row r="51" ht="36" customHeight="1">
      <x:c r="B51" s="44" t="str">
        <x:v>RAC-TR-0045</x:v>
      </x:c>
      <x:c r="C51" s="44" t="str">
        <x:v>REA-O-B1</x:v>
      </x:c>
      <x:c r="D51" s="44" t="str">
        <x:v>OPERATIONAL</x:v>
      </x:c>
      <x:c r="E51" s="44" t="str">
        <x:v>BL-X</x:v>
      </x:c>
      <x:c r="F51" s="44" t="str">
        <x:v>40 mm insert</x:v>
      </x:c>
      <x:c r="G51" s="44" t="str">
        <x:v>RAC-S2</x:v>
      </x:c>
      <x:c r="H51" s="44" t="str">
        <x:v>RAC-LOT-013</x:v>
      </x:c>
      <x:c r="I51" s="44" t="str">
        <x:v>BL-X-PR-05</x:v>
      </x:c>
      <x:c r="J51" s="44" t="str">
        <x:v>section 04 release</x:v>
      </x:c>
      <x:c r="K51" s="45" t="str"/>
      <x:c r="L51" s="44" t="str"/>
      <x:c r="M51" s="44" t="str"/>
      <x:c r="N51" s="44" t="str">
        <x:f>IF(M51="","OPEN",IF(OR(K51="",L51=""),"FAIL","PASS"))</x:f>
        <x:v>OPEN</x:v>
      </x:c>
    </x:row>
    <x:row r="52" ht="36" customHeight="1">
      <x:c r="B52" s="44" t="str">
        <x:v>RAC-TR-0046</x:v>
      </x:c>
      <x:c r="C52" s="44" t="str">
        <x:v>REA-O-B1</x:v>
      </x:c>
      <x:c r="D52" s="44" t="str">
        <x:v>OPERATIONAL</x:v>
      </x:c>
      <x:c r="E52" s="44" t="str">
        <x:v>BL-X</x:v>
      </x:c>
      <x:c r="F52" s="44" t="str">
        <x:v>dispenser</x:v>
      </x:c>
      <x:c r="G52" s="44" t="str">
        <x:v>RAC-S2</x:v>
      </x:c>
      <x:c r="H52" s="44" t="str">
        <x:v>RAC-LOT-016</x:v>
      </x:c>
      <x:c r="I52" s="44" t="str">
        <x:v>BL-X-PR-06</x:v>
      </x:c>
      <x:c r="J52" s="44" t="str">
        <x:v>section 05 release</x:v>
      </x:c>
      <x:c r="K52" s="45" t="str"/>
      <x:c r="L52" s="44" t="str"/>
      <x:c r="M52" s="44" t="str"/>
      <x:c r="N52" s="44" t="str">
        <x:f>IF(M52="","OPEN",IF(OR(K52="",L52=""),"FAIL","PASS"))</x:f>
        <x:v>OPEN</x:v>
      </x:c>
    </x:row>
    <x:row r="53" ht="36" customHeight="1">
      <x:c r="B53" s="44" t="str">
        <x:v>RAC-TR-0047</x:v>
      </x:c>
      <x:c r="C53" s="44" t="str">
        <x:v>REA-O-B1</x:v>
      </x:c>
      <x:c r="D53" s="44" t="str">
        <x:v>OPERATIONAL</x:v>
      </x:c>
      <x:c r="E53" s="44" t="str">
        <x:v>BL-X</x:v>
      </x:c>
      <x:c r="F53" s="44" t="str">
        <x:v>inner pan</x:v>
      </x:c>
      <x:c r="G53" s="44" t="str">
        <x:v>RAC-S2</x:v>
      </x:c>
      <x:c r="H53" s="44" t="str">
        <x:v>RAC-LOT-019</x:v>
      </x:c>
      <x:c r="I53" s="44" t="str">
        <x:v>BL-X-PR-07</x:v>
      </x:c>
      <x:c r="J53" s="44" t="str">
        <x:v>section 06 release</x:v>
      </x:c>
      <x:c r="K53" s="45" t="str"/>
      <x:c r="L53" s="44" t="str"/>
      <x:c r="M53" s="44" t="str"/>
      <x:c r="N53" s="44" t="str">
        <x:f>IF(M53="","OPEN",IF(OR(K53="",L53=""),"FAIL","PASS"))</x:f>
        <x:v>OPEN</x:v>
      </x:c>
    </x:row>
    <x:row r="54" ht="36" customHeight="1">
      <x:c r="B54" s="44" t="str">
        <x:v>RAC-TR-0048</x:v>
      </x:c>
      <x:c r="C54" s="44" t="str">
        <x:v>REA-O-B1</x:v>
      </x:c>
      <x:c r="D54" s="44" t="str">
        <x:v>OPERATIONAL</x:v>
      </x:c>
      <x:c r="E54" s="44" t="str">
        <x:v>BL-X</x:v>
      </x:c>
      <x:c r="F54" s="44" t="str">
        <x:v>normal route</x:v>
      </x:c>
      <x:c r="G54" s="44" t="str">
        <x:v>RAC-S2</x:v>
      </x:c>
      <x:c r="H54" s="44" t="str">
        <x:v>RAC-LOT-022</x:v>
      </x:c>
      <x:c r="I54" s="44" t="str">
        <x:v>BL-X-PR-08</x:v>
      </x:c>
      <x:c r="J54" s="44" t="str">
        <x:v>section 07 release</x:v>
      </x:c>
      <x:c r="K54" s="45" t="str"/>
      <x:c r="L54" s="44" t="str"/>
      <x:c r="M54" s="44" t="str"/>
      <x:c r="N54" s="44" t="str">
        <x:f>IF(M54="","OPEN",IF(OR(K54="",L54=""),"FAIL","PASS"))</x:f>
        <x:v>OPEN</x:v>
      </x:c>
    </x:row>
    <x:row r="55" ht="36" customHeight="1">
      <x:c r="B55" s="44" t="str">
        <x:v>RAC-TR-0049</x:v>
      </x:c>
      <x:c r="C55" s="44" t="str">
        <x:v>REA-O-B1</x:v>
      </x:c>
      <x:c r="D55" s="44" t="str">
        <x:v>OPERATIONAL</x:v>
      </x:c>
      <x:c r="E55" s="44" t="str">
        <x:v>BL-X</x:v>
      </x:c>
      <x:c r="F55" s="44" t="str">
        <x:v>casualty route</x:v>
      </x:c>
      <x:c r="G55" s="44" t="str">
        <x:v>RAC-S3</x:v>
      </x:c>
      <x:c r="H55" s="44" t="str">
        <x:v>RAC-LOT-025</x:v>
      </x:c>
      <x:c r="I55" s="44" t="str">
        <x:v>BL-X-PR-09</x:v>
      </x:c>
      <x:c r="J55" s="44" t="str">
        <x:v>section 08 release</x:v>
      </x:c>
      <x:c r="K55" s="45" t="str"/>
      <x:c r="L55" s="44" t="str"/>
      <x:c r="M55" s="44" t="str"/>
      <x:c r="N55" s="44" t="str">
        <x:f>IF(M55="","OPEN",IF(OR(K55="",L55=""),"FAIL","PASS"))</x:f>
        <x:v>OPEN</x:v>
      </x:c>
    </x:row>
    <x:row r="56" ht="36" customHeight="1">
      <x:c r="B56" s="44" t="str">
        <x:v>RAC-TR-0050</x:v>
      </x:c>
      <x:c r="C56" s="44" t="str">
        <x:v>REA-O-B1</x:v>
      </x:c>
      <x:c r="D56" s="44" t="str">
        <x:v>OPERATIONAL</x:v>
      </x:c>
      <x:c r="E56" s="44" t="str">
        <x:v>BL-X</x:v>
      </x:c>
      <x:c r="F56" s="44" t="str">
        <x:v>normal receiver</x:v>
      </x:c>
      <x:c r="G56" s="44" t="str">
        <x:v>RAC-S3</x:v>
      </x:c>
      <x:c r="H56" s="44" t="str">
        <x:v>RAC-LOT-028</x:v>
      </x:c>
      <x:c r="I56" s="44" t="str">
        <x:v>BL-X-PR-10</x:v>
      </x:c>
      <x:c r="J56" s="44" t="str">
        <x:v>section 09 release</x:v>
      </x:c>
      <x:c r="K56" s="45" t="str"/>
      <x:c r="L56" s="44" t="str"/>
      <x:c r="M56" s="44" t="str"/>
      <x:c r="N56" s="44" t="str">
        <x:f>IF(M56="","OPEN",IF(OR(K56="",L56=""),"FAIL","PASS"))</x:f>
        <x:v>OPEN</x:v>
      </x:c>
    </x:row>
    <x:row r="57" ht="36" customHeight="1">
      <x:c r="B57" s="44" t="str">
        <x:v>RAC-TR-0051</x:v>
      </x:c>
      <x:c r="C57" s="44" t="str">
        <x:v>REA-O-B1</x:v>
      </x:c>
      <x:c r="D57" s="44" t="str">
        <x:v>OPERATIONAL</x:v>
      </x:c>
      <x:c r="E57" s="44" t="str">
        <x:v>BL-X</x:v>
      </x:c>
      <x:c r="F57" s="44" t="str">
        <x:v>casualty receiver</x:v>
      </x:c>
      <x:c r="G57" s="44" t="str">
        <x:v>RAC-S3</x:v>
      </x:c>
      <x:c r="H57" s="44" t="str">
        <x:v>RAC-LOT-031</x:v>
      </x:c>
      <x:c r="I57" s="44" t="str">
        <x:v>BL-X-PR-11</x:v>
      </x:c>
      <x:c r="J57" s="44" t="str">
        <x:v>section 10 release</x:v>
      </x:c>
      <x:c r="K57" s="45" t="str"/>
      <x:c r="L57" s="44" t="str"/>
      <x:c r="M57" s="44" t="str"/>
      <x:c r="N57" s="44" t="str">
        <x:f>IF(M57="","OPEN",IF(OR(K57="",L57=""),"FAIL","PASS"))</x:f>
        <x:v>OPEN</x:v>
      </x:c>
    </x:row>
    <x:row r="58" ht="36" customHeight="1">
      <x:c r="B58" s="44" t="str">
        <x:v>RAC-TR-0052</x:v>
      </x:c>
      <x:c r="C58" s="44" t="str">
        <x:v>REA-O-B1</x:v>
      </x:c>
      <x:c r="D58" s="44" t="str">
        <x:v>OPERATIONAL</x:v>
      </x:c>
      <x:c r="E58" s="44" t="str">
        <x:v>BL-X</x:v>
      </x:c>
      <x:c r="F58" s="44" t="str">
        <x:v>source inlet isolation</x:v>
      </x:c>
      <x:c r="G58" s="44" t="str">
        <x:v>RAC-S3</x:v>
      </x:c>
      <x:c r="H58" s="44" t="str">
        <x:v>RAC-LOT-034</x:v>
      </x:c>
      <x:c r="I58" s="44" t="str">
        <x:v>BL-X-PR-12</x:v>
      </x:c>
      <x:c r="J58" s="44" t="str">
        <x:v>section 11 release</x:v>
      </x:c>
      <x:c r="K58" s="45" t="str"/>
      <x:c r="L58" s="44" t="str"/>
      <x:c r="M58" s="44" t="str"/>
      <x:c r="N58" s="44" t="str">
        <x:f>IF(M58="","OPEN",IF(OR(K58="",L58=""),"FAIL","PASS"))</x:f>
        <x:v>OPEN</x:v>
      </x:c>
    </x:row>
    <x:row r="59" ht="36" customHeight="1">
      <x:c r="B59" s="44" t="str">
        <x:v>RAC-TR-0053</x:v>
      </x:c>
      <x:c r="C59" s="44" t="str">
        <x:v>REA-O-B1</x:v>
      </x:c>
      <x:c r="D59" s="44" t="str">
        <x:v>OPERATIONAL</x:v>
      </x:c>
      <x:c r="E59" s="44" t="str">
        <x:v>BL-X</x:v>
      </x:c>
      <x:c r="F59" s="44" t="str">
        <x:v>dispenser isolation</x:v>
      </x:c>
      <x:c r="G59" s="44" t="str">
        <x:v>RAC-S4</x:v>
      </x:c>
      <x:c r="H59" s="44" t="str">
        <x:v>RAC-LOT-001</x:v>
      </x:c>
      <x:c r="I59" s="44" t="str">
        <x:v>BL-X-PR-13</x:v>
      </x:c>
      <x:c r="J59" s="44" t="str">
        <x:v>section 12 release</x:v>
      </x:c>
      <x:c r="K59" s="45" t="str"/>
      <x:c r="L59" s="44" t="str"/>
      <x:c r="M59" s="44" t="str"/>
      <x:c r="N59" s="44" t="str">
        <x:f>IF(M59="","OPEN",IF(OR(K59="",L59=""),"FAIL","PASS"))</x:f>
        <x:v>OPEN</x:v>
      </x:c>
    </x:row>
    <x:row r="60" ht="36" customHeight="1">
      <x:c r="B60" s="44" t="str">
        <x:v>RAC-TR-0054</x:v>
      </x:c>
      <x:c r="C60" s="44" t="str">
        <x:v>REA-O-B1</x:v>
      </x:c>
      <x:c r="D60" s="44" t="str">
        <x:v>OPERATIONAL</x:v>
      </x:c>
      <x:c r="E60" s="44" t="str">
        <x:v>BL-X</x:v>
      </x:c>
      <x:c r="F60" s="44" t="str">
        <x:v>gravity diversion</x:v>
      </x:c>
      <x:c r="G60" s="44" t="str">
        <x:v>RAC-S4</x:v>
      </x:c>
      <x:c r="H60" s="44" t="str">
        <x:v>RAC-LOT-004</x:v>
      </x:c>
      <x:c r="I60" s="44" t="str">
        <x:v>BL-X-PR-14</x:v>
      </x:c>
      <x:c r="J60" s="44" t="str">
        <x:v>section 13 release</x:v>
      </x:c>
      <x:c r="K60" s="45" t="str"/>
      <x:c r="L60" s="44" t="str"/>
      <x:c r="M60" s="44" t="str"/>
      <x:c r="N60" s="44" t="str">
        <x:f>IF(M60="","OPEN",IF(OR(K60="",L60=""),"FAIL","PASS"))</x:f>
        <x:v>OPEN</x:v>
      </x:c>
    </x:row>
    <x:row r="61" ht="36" customHeight="1">
      <x:c r="B61" s="44" t="str">
        <x:v>RAC-TR-0055</x:v>
      </x:c>
      <x:c r="C61" s="44" t="str">
        <x:v>REA-O-B1</x:v>
      </x:c>
      <x:c r="D61" s="44" t="str">
        <x:v>OPERATIONAL</x:v>
      </x:c>
      <x:c r="E61" s="44" t="str">
        <x:v>BL-X</x:v>
      </x:c>
      <x:c r="F61" s="44" t="str">
        <x:v>water isolation</x:v>
      </x:c>
      <x:c r="G61" s="44" t="str">
        <x:v>RAC-S4</x:v>
      </x:c>
      <x:c r="H61" s="44" t="str">
        <x:v>RAC-LOT-007</x:v>
      </x:c>
      <x:c r="I61" s="44" t="str">
        <x:v>BL-X-PR-15</x:v>
      </x:c>
      <x:c r="J61" s="44" t="str">
        <x:v>section 14 release</x:v>
      </x:c>
      <x:c r="K61" s="45" t="str"/>
      <x:c r="L61" s="44" t="str"/>
      <x:c r="M61" s="44" t="str"/>
      <x:c r="N61" s="44" t="str">
        <x:f>IF(M61="","OPEN",IF(OR(K61="",L61=""),"FAIL","PASS"))</x:f>
        <x:v>OPEN</x:v>
      </x:c>
    </x:row>
    <x:row r="62" ht="36" customHeight="1">
      <x:c r="B62" s="44" t="str">
        <x:v>RAC-TR-0056</x:v>
      </x:c>
      <x:c r="C62" s="44" t="str">
        <x:v>REA-O-B1</x:v>
      </x:c>
      <x:c r="D62" s="44" t="str">
        <x:v>OPERATIONAL</x:v>
      </x:c>
      <x:c r="E62" s="44" t="str">
        <x:v>BL-X</x:v>
      </x:c>
      <x:c r="F62" s="44" t="str">
        <x:v>electrical isolation</x:v>
      </x:c>
      <x:c r="G62" s="44" t="str">
        <x:v>RAC-S4</x:v>
      </x:c>
      <x:c r="H62" s="44" t="str">
        <x:v>RAC-LOT-010</x:v>
      </x:c>
      <x:c r="I62" s="44" t="str">
        <x:v>BL-X-PR-16</x:v>
      </x:c>
      <x:c r="J62" s="44" t="str">
        <x:v>section 15 release</x:v>
      </x:c>
      <x:c r="K62" s="45" t="str"/>
      <x:c r="L62" s="44" t="str"/>
      <x:c r="M62" s="44" t="str"/>
      <x:c r="N62" s="44" t="str">
        <x:f>IF(M62="","OPEN",IF(OR(K62="",L62=""),"FAIL","PASS"))</x:f>
        <x:v>OPEN</x:v>
      </x:c>
    </x:row>
    <x:row r="63" ht="36" customHeight="1">
      <x:c r="B63" s="44" t="str">
        <x:v>RAC-TR-0057</x:v>
      </x:c>
      <x:c r="C63" s="44" t="str">
        <x:v>REA-O-B1</x:v>
      </x:c>
      <x:c r="D63" s="44" t="str">
        <x:v>OPERATIONAL</x:v>
      </x:c>
      <x:c r="E63" s="44" t="str">
        <x:v>BL-X</x:v>
      </x:c>
      <x:c r="F63" s="44" t="str">
        <x:v>independent safety energy</x:v>
      </x:c>
      <x:c r="G63" s="44" t="str">
        <x:v>RAC-S4</x:v>
      </x:c>
      <x:c r="H63" s="44" t="str">
        <x:v>RAC-LOT-013</x:v>
      </x:c>
      <x:c r="I63" s="44" t="str">
        <x:v>BL-X-PR-01</x:v>
      </x:c>
      <x:c r="J63" s="44" t="str">
        <x:v>section 16 release</x:v>
      </x:c>
      <x:c r="K63" s="45" t="str"/>
      <x:c r="L63" s="44" t="str"/>
      <x:c r="M63" s="44" t="str"/>
      <x:c r="N63" s="44" t="str">
        <x:f>IF(M63="","OPEN",IF(OR(K63="",L63=""),"FAIL","PASS"))</x:f>
        <x:v>OPEN</x:v>
      </x:c>
    </x:row>
    <x:row r="64" ht="36" customHeight="1">
      <x:c r="B64" s="44" t="str">
        <x:v>RAC-TR-0058</x:v>
      </x:c>
      <x:c r="C64" s="44" t="str">
        <x:v>REA-O-B1</x:v>
      </x:c>
      <x:c r="D64" s="44" t="str">
        <x:v>OPERATIONAL</x:v>
      </x:c>
      <x:c r="E64" s="44" t="str">
        <x:v>BL-X</x:v>
      </x:c>
      <x:c r="F64" s="44" t="str">
        <x:v>measurement frame</x:v>
      </x:c>
      <x:c r="G64" s="44" t="str">
        <x:v>RAC-S4</x:v>
      </x:c>
      <x:c r="H64" s="44" t="str">
        <x:v>RAC-LOT-016</x:v>
      </x:c>
      <x:c r="I64" s="44" t="str">
        <x:v>BL-X-PR-02</x:v>
      </x:c>
      <x:c r="J64" s="44" t="str">
        <x:v>section 17 release</x:v>
      </x:c>
      <x:c r="K64" s="45" t="str"/>
      <x:c r="L64" s="44" t="str"/>
      <x:c r="M64" s="44" t="str"/>
      <x:c r="N64" s="44" t="str">
        <x:f>IF(M64="","OPEN",IF(OR(K64="",L64=""),"FAIL","PASS"))</x:f>
        <x:v>OPEN</x:v>
      </x:c>
    </x:row>
    <x:row r="65" ht="36" customHeight="1">
      <x:c r="B65" s="44" t="str">
        <x:v>RAC-TR-0059</x:v>
      </x:c>
      <x:c r="C65" s="44" t="str">
        <x:v>REA-O-B1</x:v>
      </x:c>
      <x:c r="D65" s="44" t="str">
        <x:v>OPERATIONAL</x:v>
      </x:c>
      <x:c r="E65" s="44" t="str">
        <x:v>BL-X</x:v>
      </x:c>
      <x:c r="F65" s="44" t="str">
        <x:v>causal time and evidence</x:v>
      </x:c>
      <x:c r="G65" s="44" t="str">
        <x:v>RAC-S6</x:v>
      </x:c>
      <x:c r="H65" s="44" t="str">
        <x:v>RAC-LOT-019</x:v>
      </x:c>
      <x:c r="I65" s="44" t="str">
        <x:v>BL-X-PR-03</x:v>
      </x:c>
      <x:c r="J65" s="44" t="str">
        <x:v>section 18 release</x:v>
      </x:c>
      <x:c r="K65" s="45" t="str"/>
      <x:c r="L65" s="44" t="str"/>
      <x:c r="M65" s="44" t="str"/>
      <x:c r="N65" s="44" t="str">
        <x:f>IF(M65="","OPEN",IF(OR(K65="",L65=""),"FAIL","PASS"))</x:f>
        <x:v>OPEN</x:v>
      </x:c>
    </x:row>
    <x:row r="66" ht="36" customHeight="1">
      <x:c r="B66" s="44" t="str">
        <x:v>RAC-TR-0060</x:v>
      </x:c>
      <x:c r="C66" s="44" t="str">
        <x:v>REA-O-B1</x:v>
      </x:c>
      <x:c r="D66" s="44" t="str">
        <x:v>OPERATIONAL</x:v>
      </x:c>
      <x:c r="E66" s="44" t="str">
        <x:v>BL-X</x:v>
      </x:c>
      <x:c r="F66" s="44" t="str">
        <x:v>rescue and environmental access</x:v>
      </x:c>
      <x:c r="G66" s="44" t="str">
        <x:v>RAC-S6</x:v>
      </x:c>
      <x:c r="H66" s="44" t="str">
        <x:v>RAC-LOT-022</x:v>
      </x:c>
      <x:c r="I66" s="44" t="str">
        <x:v>BL-X-PR-04</x:v>
      </x:c>
      <x:c r="J66" s="44" t="str">
        <x:v>section 19 release</x:v>
      </x:c>
      <x:c r="K66" s="45" t="str"/>
      <x:c r="L66" s="44" t="str"/>
      <x:c r="M66" s="44" t="str"/>
      <x:c r="N66" s="44" t="str">
        <x:f>IF(M66="","OPEN",IF(OR(K66="",L66=""),"FAIL","PASS"))</x:f>
        <x:v>OPEN</x:v>
      </x:c>
    </x:row>
    <x:row r="67" ht="36" customHeight="1">
      <x:c r="B67" s="44" t="str">
        <x:v>RAC-TR-0061</x:v>
      </x:c>
      <x:c r="C67" s="44" t="str">
        <x:v>REA-O-B2</x:v>
      </x:c>
      <x:c r="D67" s="44" t="str">
        <x:v>OPERATIONAL</x:v>
      </x:c>
      <x:c r="E67" s="44" t="str">
        <x:v>BL-Y</x:v>
      </x:c>
      <x:c r="F67" s="44" t="str">
        <x:v>public datum</x:v>
      </x:c>
      <x:c r="G67" s="44" t="str">
        <x:v>RAC-S1</x:v>
      </x:c>
      <x:c r="H67" s="44" t="str">
        <x:v>RAC-LOT-037</x:v>
      </x:c>
      <x:c r="I67" s="44" t="str">
        <x:v>BL-Y-PR-01</x:v>
      </x:c>
      <x:c r="J67" s="44" t="str">
        <x:v>authority freeze</x:v>
      </x:c>
      <x:c r="K67" s="45" t="str"/>
      <x:c r="L67" s="44" t="str"/>
      <x:c r="M67" s="44" t="str"/>
      <x:c r="N67" s="44" t="str">
        <x:f>IF(M67="","OPEN",IF(OR(K67="",L67=""),"FAIL","PASS"))</x:f>
        <x:v>OPEN</x:v>
      </x:c>
    </x:row>
    <x:row r="68" ht="36" customHeight="1">
      <x:c r="B68" s="44" t="str">
        <x:v>RAC-TR-0062</x:v>
      </x:c>
      <x:c r="C68" s="44" t="str">
        <x:v>REA-O-B2</x:v>
      </x:c>
      <x:c r="D68" s="44" t="str">
        <x:v>OPERATIONAL</x:v>
      </x:c>
      <x:c r="E68" s="44" t="str">
        <x:v>BL-Y</x:v>
      </x:c>
      <x:c r="F68" s="44" t="str">
        <x:v>primary frame</x:v>
      </x:c>
      <x:c r="G68" s="44" t="str">
        <x:v>RAC-S1</x:v>
      </x:c>
      <x:c r="H68" s="44" t="str">
        <x:v>RAC-LOT-040</x:v>
      </x:c>
      <x:c r="I68" s="44" t="str">
        <x:v>BL-Y-PR-02</x:v>
      </x:c>
      <x:c r="J68" s="44" t="str">
        <x:v>section 01 release</x:v>
      </x:c>
      <x:c r="K68" s="45" t="str"/>
      <x:c r="L68" s="44" t="str"/>
      <x:c r="M68" s="44" t="str"/>
      <x:c r="N68" s="44" t="str">
        <x:f>IF(M68="","OPEN",IF(OR(K68="",L68=""),"FAIL","PASS"))</x:f>
        <x:v>OPEN</x:v>
      </x:c>
    </x:row>
    <x:row r="69" ht="36" customHeight="1">
      <x:c r="B69" s="44" t="str">
        <x:v>RAC-TR-0063</x:v>
      </x:c>
      <x:c r="C69" s="44" t="str">
        <x:v>REA-O-B2</x:v>
      </x:c>
      <x:c r="D69" s="44" t="str">
        <x:v>OPERATIONAL</x:v>
      </x:c>
      <x:c r="E69" s="44" t="str">
        <x:v>BL-Y</x:v>
      </x:c>
      <x:c r="F69" s="44" t="str">
        <x:v>source-surrogate vessel</x:v>
      </x:c>
      <x:c r="G69" s="44" t="str">
        <x:v>RAC-S1</x:v>
      </x:c>
      <x:c r="H69" s="44" t="str">
        <x:v>RAC-LOT-043</x:v>
      </x:c>
      <x:c r="I69" s="44" t="str">
        <x:v>BL-Y-PR-03</x:v>
      </x:c>
      <x:c r="J69" s="44" t="str">
        <x:v>section 02 release</x:v>
      </x:c>
      <x:c r="K69" s="45" t="str"/>
      <x:c r="L69" s="44" t="str"/>
      <x:c r="M69" s="44" t="str"/>
      <x:c r="N69" s="44" t="str">
        <x:f>IF(M69="","OPEN",IF(OR(K69="",L69=""),"FAIL","PASS"))</x:f>
        <x:v>OPEN</x:v>
      </x:c>
    </x:row>
    <x:row r="70" ht="36" customHeight="1">
      <x:c r="B70" s="44" t="str">
        <x:v>RAC-TR-0064</x:v>
      </x:c>
      <x:c r="C70" s="44" t="str">
        <x:v>REA-O-B2</x:v>
      </x:c>
      <x:c r="D70" s="44" t="str">
        <x:v>OPERATIONAL</x:v>
      </x:c>
      <x:c r="E70" s="44" t="str">
        <x:v>BL-Y</x:v>
      </x:c>
      <x:c r="F70" s="44" t="str">
        <x:v>capsule dock</x:v>
      </x:c>
      <x:c r="G70" s="44" t="str">
        <x:v>RAC-S1</x:v>
      </x:c>
      <x:c r="H70" s="44" t="str">
        <x:v>RAC-LOT-046</x:v>
      </x:c>
      <x:c r="I70" s="44" t="str">
        <x:v>BL-Y-PR-04</x:v>
      </x:c>
      <x:c r="J70" s="44" t="str">
        <x:v>section 03 release</x:v>
      </x:c>
      <x:c r="K70" s="45" t="str"/>
      <x:c r="L70" s="44" t="str"/>
      <x:c r="M70" s="44" t="str"/>
      <x:c r="N70" s="44" t="str">
        <x:f>IF(M70="","OPEN",IF(OR(K70="",L70=""),"FAIL","PASS"))</x:f>
        <x:v>OPEN</x:v>
      </x:c>
    </x:row>
    <x:row r="71" ht="36" customHeight="1">
      <x:c r="B71" s="44" t="str">
        <x:v>RAC-TR-0065</x:v>
      </x:c>
      <x:c r="C71" s="44" t="str">
        <x:v>REA-O-B2</x:v>
      </x:c>
      <x:c r="D71" s="44" t="str">
        <x:v>OPERATIONAL</x:v>
      </x:c>
      <x:c r="E71" s="44" t="str">
        <x:v>BL-Y</x:v>
      </x:c>
      <x:c r="F71" s="44" t="str">
        <x:v>40 mm insert</x:v>
      </x:c>
      <x:c r="G71" s="44" t="str">
        <x:v>RAC-S2</x:v>
      </x:c>
      <x:c r="H71" s="44" t="str">
        <x:v>RAC-LOT-049</x:v>
      </x:c>
      <x:c r="I71" s="44" t="str">
        <x:v>BL-Y-PR-05</x:v>
      </x:c>
      <x:c r="J71" s="44" t="str">
        <x:v>section 04 release</x:v>
      </x:c>
      <x:c r="K71" s="45" t="str"/>
      <x:c r="L71" s="44" t="str"/>
      <x:c r="M71" s="44" t="str"/>
      <x:c r="N71" s="44" t="str">
        <x:f>IF(M71="","OPEN",IF(OR(K71="",L71=""),"FAIL","PASS"))</x:f>
        <x:v>OPEN</x:v>
      </x:c>
    </x:row>
    <x:row r="72" ht="36" customHeight="1">
      <x:c r="B72" s="44" t="str">
        <x:v>RAC-TR-0066</x:v>
      </x:c>
      <x:c r="C72" s="44" t="str">
        <x:v>REA-O-B2</x:v>
      </x:c>
      <x:c r="D72" s="44" t="str">
        <x:v>OPERATIONAL</x:v>
      </x:c>
      <x:c r="E72" s="44" t="str">
        <x:v>BL-Y</x:v>
      </x:c>
      <x:c r="F72" s="44" t="str">
        <x:v>dispenser</x:v>
      </x:c>
      <x:c r="G72" s="44" t="str">
        <x:v>RAC-S2</x:v>
      </x:c>
      <x:c r="H72" s="44" t="str">
        <x:v>RAC-LOT-052</x:v>
      </x:c>
      <x:c r="I72" s="44" t="str">
        <x:v>BL-Y-PR-06</x:v>
      </x:c>
      <x:c r="J72" s="44" t="str">
        <x:v>section 05 release</x:v>
      </x:c>
      <x:c r="K72" s="45" t="str"/>
      <x:c r="L72" s="44" t="str"/>
      <x:c r="M72" s="44" t="str"/>
      <x:c r="N72" s="44" t="str">
        <x:f>IF(M72="","OPEN",IF(OR(K72="",L72=""),"FAIL","PASS"))</x:f>
        <x:v>OPEN</x:v>
      </x:c>
    </x:row>
    <x:row r="73" ht="36" customHeight="1">
      <x:c r="B73" s="44" t="str">
        <x:v>RAC-TR-0067</x:v>
      </x:c>
      <x:c r="C73" s="44" t="str">
        <x:v>REA-O-B2</x:v>
      </x:c>
      <x:c r="D73" s="44" t="str">
        <x:v>OPERATIONAL</x:v>
      </x:c>
      <x:c r="E73" s="44" t="str">
        <x:v>BL-Y</x:v>
      </x:c>
      <x:c r="F73" s="44" t="str">
        <x:v>inner pan</x:v>
      </x:c>
      <x:c r="G73" s="44" t="str">
        <x:v>RAC-S2</x:v>
      </x:c>
      <x:c r="H73" s="44" t="str">
        <x:v>RAC-LOT-055</x:v>
      </x:c>
      <x:c r="I73" s="44" t="str">
        <x:v>BL-Y-PR-07</x:v>
      </x:c>
      <x:c r="J73" s="44" t="str">
        <x:v>section 06 release</x:v>
      </x:c>
      <x:c r="K73" s="45" t="str"/>
      <x:c r="L73" s="44" t="str"/>
      <x:c r="M73" s="44" t="str"/>
      <x:c r="N73" s="44" t="str">
        <x:f>IF(M73="","OPEN",IF(OR(K73="",L73=""),"FAIL","PASS"))</x:f>
        <x:v>OPEN</x:v>
      </x:c>
    </x:row>
    <x:row r="74" ht="36" customHeight="1">
      <x:c r="B74" s="44" t="str">
        <x:v>RAC-TR-0068</x:v>
      </x:c>
      <x:c r="C74" s="44" t="str">
        <x:v>REA-O-B2</x:v>
      </x:c>
      <x:c r="D74" s="44" t="str">
        <x:v>OPERATIONAL</x:v>
      </x:c>
      <x:c r="E74" s="44" t="str">
        <x:v>BL-Y</x:v>
      </x:c>
      <x:c r="F74" s="44" t="str">
        <x:v>normal route</x:v>
      </x:c>
      <x:c r="G74" s="44" t="str">
        <x:v>RAC-S2</x:v>
      </x:c>
      <x:c r="H74" s="44" t="str">
        <x:v>RAC-LOT-058</x:v>
      </x:c>
      <x:c r="I74" s="44" t="str">
        <x:v>BL-Y-PR-08</x:v>
      </x:c>
      <x:c r="J74" s="44" t="str">
        <x:v>section 07 release</x:v>
      </x:c>
      <x:c r="K74" s="45" t="str"/>
      <x:c r="L74" s="44" t="str"/>
      <x:c r="M74" s="44" t="str"/>
      <x:c r="N74" s="44" t="str">
        <x:f>IF(M74="","OPEN",IF(OR(K74="",L74=""),"FAIL","PASS"))</x:f>
        <x:v>OPEN</x:v>
      </x:c>
    </x:row>
    <x:row r="75" ht="36" customHeight="1">
      <x:c r="B75" s="44" t="str">
        <x:v>RAC-TR-0069</x:v>
      </x:c>
      <x:c r="C75" s="44" t="str">
        <x:v>REA-O-B2</x:v>
      </x:c>
      <x:c r="D75" s="44" t="str">
        <x:v>OPERATIONAL</x:v>
      </x:c>
      <x:c r="E75" s="44" t="str">
        <x:v>BL-Y</x:v>
      </x:c>
      <x:c r="F75" s="44" t="str">
        <x:v>casualty route</x:v>
      </x:c>
      <x:c r="G75" s="44" t="str">
        <x:v>RAC-S3</x:v>
      </x:c>
      <x:c r="H75" s="44" t="str">
        <x:v>RAC-LOT-061</x:v>
      </x:c>
      <x:c r="I75" s="44" t="str">
        <x:v>BL-Y-PR-09</x:v>
      </x:c>
      <x:c r="J75" s="44" t="str">
        <x:v>section 08 release</x:v>
      </x:c>
      <x:c r="K75" s="45" t="str"/>
      <x:c r="L75" s="44" t="str"/>
      <x:c r="M75" s="44" t="str"/>
      <x:c r="N75" s="44" t="str">
        <x:f>IF(M75="","OPEN",IF(OR(K75="",L75=""),"FAIL","PASS"))</x:f>
        <x:v>OPEN</x:v>
      </x:c>
    </x:row>
    <x:row r="76" ht="36" customHeight="1">
      <x:c r="B76" s="44" t="str">
        <x:v>RAC-TR-0070</x:v>
      </x:c>
      <x:c r="C76" s="44" t="str">
        <x:v>REA-O-B2</x:v>
      </x:c>
      <x:c r="D76" s="44" t="str">
        <x:v>OPERATIONAL</x:v>
      </x:c>
      <x:c r="E76" s="44" t="str">
        <x:v>BL-Y</x:v>
      </x:c>
      <x:c r="F76" s="44" t="str">
        <x:v>normal receiver</x:v>
      </x:c>
      <x:c r="G76" s="44" t="str">
        <x:v>RAC-S3</x:v>
      </x:c>
      <x:c r="H76" s="44" t="str">
        <x:v>RAC-LOT-064</x:v>
      </x:c>
      <x:c r="I76" s="44" t="str">
        <x:v>BL-Y-PR-10</x:v>
      </x:c>
      <x:c r="J76" s="44" t="str">
        <x:v>section 09 release</x:v>
      </x:c>
      <x:c r="K76" s="45" t="str"/>
      <x:c r="L76" s="44" t="str"/>
      <x:c r="M76" s="44" t="str"/>
      <x:c r="N76" s="44" t="str">
        <x:f>IF(M76="","OPEN",IF(OR(K76="",L76=""),"FAIL","PASS"))</x:f>
        <x:v>OPEN</x:v>
      </x:c>
    </x:row>
    <x:row r="77" ht="36" customHeight="1">
      <x:c r="B77" s="44" t="str">
        <x:v>RAC-TR-0071</x:v>
      </x:c>
      <x:c r="C77" s="44" t="str">
        <x:v>REA-O-B2</x:v>
      </x:c>
      <x:c r="D77" s="44" t="str">
        <x:v>OPERATIONAL</x:v>
      </x:c>
      <x:c r="E77" s="44" t="str">
        <x:v>BL-Y</x:v>
      </x:c>
      <x:c r="F77" s="44" t="str">
        <x:v>casualty receiver</x:v>
      </x:c>
      <x:c r="G77" s="44" t="str">
        <x:v>RAC-S3</x:v>
      </x:c>
      <x:c r="H77" s="44" t="str">
        <x:v>RAC-LOT-067</x:v>
      </x:c>
      <x:c r="I77" s="44" t="str">
        <x:v>BL-Y-PR-11</x:v>
      </x:c>
      <x:c r="J77" s="44" t="str">
        <x:v>section 10 release</x:v>
      </x:c>
      <x:c r="K77" s="45" t="str"/>
      <x:c r="L77" s="44" t="str"/>
      <x:c r="M77" s="44" t="str"/>
      <x:c r="N77" s="44" t="str">
        <x:f>IF(M77="","OPEN",IF(OR(K77="",L77=""),"FAIL","PASS"))</x:f>
        <x:v>OPEN</x:v>
      </x:c>
    </x:row>
    <x:row r="78" ht="36" customHeight="1">
      <x:c r="B78" s="44" t="str">
        <x:v>RAC-TR-0072</x:v>
      </x:c>
      <x:c r="C78" s="44" t="str">
        <x:v>REA-O-B2</x:v>
      </x:c>
      <x:c r="D78" s="44" t="str">
        <x:v>OPERATIONAL</x:v>
      </x:c>
      <x:c r="E78" s="44" t="str">
        <x:v>BL-Y</x:v>
      </x:c>
      <x:c r="F78" s="44" t="str">
        <x:v>source inlet isolation</x:v>
      </x:c>
      <x:c r="G78" s="44" t="str">
        <x:v>RAC-S3</x:v>
      </x:c>
      <x:c r="H78" s="44" t="str">
        <x:v>RAC-LOT-070</x:v>
      </x:c>
      <x:c r="I78" s="44" t="str">
        <x:v>BL-Y-PR-12</x:v>
      </x:c>
      <x:c r="J78" s="44" t="str">
        <x:v>section 11 release</x:v>
      </x:c>
      <x:c r="K78" s="45" t="str"/>
      <x:c r="L78" s="44" t="str"/>
      <x:c r="M78" s="44" t="str"/>
      <x:c r="N78" s="44" t="str">
        <x:f>IF(M78="","OPEN",IF(OR(K78="",L78=""),"FAIL","PASS"))</x:f>
        <x:v>OPEN</x:v>
      </x:c>
    </x:row>
    <x:row r="79" ht="36" customHeight="1">
      <x:c r="B79" s="44" t="str">
        <x:v>RAC-TR-0073</x:v>
      </x:c>
      <x:c r="C79" s="44" t="str">
        <x:v>REA-O-B2</x:v>
      </x:c>
      <x:c r="D79" s="44" t="str">
        <x:v>OPERATIONAL</x:v>
      </x:c>
      <x:c r="E79" s="44" t="str">
        <x:v>BL-Y</x:v>
      </x:c>
      <x:c r="F79" s="44" t="str">
        <x:v>dispenser isolation</x:v>
      </x:c>
      <x:c r="G79" s="44" t="str">
        <x:v>RAC-S4</x:v>
      </x:c>
      <x:c r="H79" s="44" t="str">
        <x:v>RAC-LOT-037</x:v>
      </x:c>
      <x:c r="I79" s="44" t="str">
        <x:v>BL-Y-PR-13</x:v>
      </x:c>
      <x:c r="J79" s="44" t="str">
        <x:v>section 12 release</x:v>
      </x:c>
      <x:c r="K79" s="45" t="str"/>
      <x:c r="L79" s="44" t="str"/>
      <x:c r="M79" s="44" t="str"/>
      <x:c r="N79" s="44" t="str">
        <x:f>IF(M79="","OPEN",IF(OR(K79="",L79=""),"FAIL","PASS"))</x:f>
        <x:v>OPEN</x:v>
      </x:c>
    </x:row>
    <x:row r="80" ht="36" customHeight="1">
      <x:c r="B80" s="44" t="str">
        <x:v>RAC-TR-0074</x:v>
      </x:c>
      <x:c r="C80" s="44" t="str">
        <x:v>REA-O-B2</x:v>
      </x:c>
      <x:c r="D80" s="44" t="str">
        <x:v>OPERATIONAL</x:v>
      </x:c>
      <x:c r="E80" s="44" t="str">
        <x:v>BL-Y</x:v>
      </x:c>
      <x:c r="F80" s="44" t="str">
        <x:v>gravity diversion</x:v>
      </x:c>
      <x:c r="G80" s="44" t="str">
        <x:v>RAC-S4</x:v>
      </x:c>
      <x:c r="H80" s="44" t="str">
        <x:v>RAC-LOT-040</x:v>
      </x:c>
      <x:c r="I80" s="44" t="str">
        <x:v>BL-Y-PR-14</x:v>
      </x:c>
      <x:c r="J80" s="44" t="str">
        <x:v>section 13 release</x:v>
      </x:c>
      <x:c r="K80" s="45" t="str"/>
      <x:c r="L80" s="44" t="str"/>
      <x:c r="M80" s="44" t="str"/>
      <x:c r="N80" s="44" t="str">
        <x:f>IF(M80="","OPEN",IF(OR(K80="",L80=""),"FAIL","PASS"))</x:f>
        <x:v>OPEN</x:v>
      </x:c>
    </x:row>
    <x:row r="81" ht="36" customHeight="1">
      <x:c r="B81" s="44" t="str">
        <x:v>RAC-TR-0075</x:v>
      </x:c>
      <x:c r="C81" s="44" t="str">
        <x:v>REA-O-B2</x:v>
      </x:c>
      <x:c r="D81" s="44" t="str">
        <x:v>OPERATIONAL</x:v>
      </x:c>
      <x:c r="E81" s="44" t="str">
        <x:v>BL-Y</x:v>
      </x:c>
      <x:c r="F81" s="44" t="str">
        <x:v>water isolation</x:v>
      </x:c>
      <x:c r="G81" s="44" t="str">
        <x:v>RAC-S4</x:v>
      </x:c>
      <x:c r="H81" s="44" t="str">
        <x:v>RAC-LOT-043</x:v>
      </x:c>
      <x:c r="I81" s="44" t="str">
        <x:v>BL-Y-PR-15</x:v>
      </x:c>
      <x:c r="J81" s="44" t="str">
        <x:v>section 14 release</x:v>
      </x:c>
      <x:c r="K81" s="45" t="str"/>
      <x:c r="L81" s="44" t="str"/>
      <x:c r="M81" s="44" t="str"/>
      <x:c r="N81" s="44" t="str">
        <x:f>IF(M81="","OPEN",IF(OR(K81="",L81=""),"FAIL","PASS"))</x:f>
        <x:v>OPEN</x:v>
      </x:c>
    </x:row>
    <x:row r="82" ht="36" customHeight="1">
      <x:c r="B82" s="44" t="str">
        <x:v>RAC-TR-0076</x:v>
      </x:c>
      <x:c r="C82" s="44" t="str">
        <x:v>REA-O-B2</x:v>
      </x:c>
      <x:c r="D82" s="44" t="str">
        <x:v>OPERATIONAL</x:v>
      </x:c>
      <x:c r="E82" s="44" t="str">
        <x:v>BL-Y</x:v>
      </x:c>
      <x:c r="F82" s="44" t="str">
        <x:v>electrical isolation</x:v>
      </x:c>
      <x:c r="G82" s="44" t="str">
        <x:v>RAC-S4</x:v>
      </x:c>
      <x:c r="H82" s="44" t="str">
        <x:v>RAC-LOT-046</x:v>
      </x:c>
      <x:c r="I82" s="44" t="str">
        <x:v>BL-Y-PR-16</x:v>
      </x:c>
      <x:c r="J82" s="44" t="str">
        <x:v>section 15 release</x:v>
      </x:c>
      <x:c r="K82" s="45" t="str"/>
      <x:c r="L82" s="44" t="str"/>
      <x:c r="M82" s="44" t="str"/>
      <x:c r="N82" s="44" t="str">
        <x:f>IF(M82="","OPEN",IF(OR(K82="",L82=""),"FAIL","PASS"))</x:f>
        <x:v>OPEN</x:v>
      </x:c>
    </x:row>
    <x:row r="83" ht="36" customHeight="1">
      <x:c r="B83" s="44" t="str">
        <x:v>RAC-TR-0077</x:v>
      </x:c>
      <x:c r="C83" s="44" t="str">
        <x:v>REA-O-B2</x:v>
      </x:c>
      <x:c r="D83" s="44" t="str">
        <x:v>OPERATIONAL</x:v>
      </x:c>
      <x:c r="E83" s="44" t="str">
        <x:v>BL-Y</x:v>
      </x:c>
      <x:c r="F83" s="44" t="str">
        <x:v>independent safety energy</x:v>
      </x:c>
      <x:c r="G83" s="44" t="str">
        <x:v>RAC-S4</x:v>
      </x:c>
      <x:c r="H83" s="44" t="str">
        <x:v>RAC-LOT-049</x:v>
      </x:c>
      <x:c r="I83" s="44" t="str">
        <x:v>BL-Y-PR-01</x:v>
      </x:c>
      <x:c r="J83" s="44" t="str">
        <x:v>section 16 release</x:v>
      </x:c>
      <x:c r="K83" s="45" t="str"/>
      <x:c r="L83" s="44" t="str"/>
      <x:c r="M83" s="44" t="str"/>
      <x:c r="N83" s="44" t="str">
        <x:f>IF(M83="","OPEN",IF(OR(K83="",L83=""),"FAIL","PASS"))</x:f>
        <x:v>OPEN</x:v>
      </x:c>
    </x:row>
    <x:row r="84" ht="36" customHeight="1">
      <x:c r="B84" s="44" t="str">
        <x:v>RAC-TR-0078</x:v>
      </x:c>
      <x:c r="C84" s="44" t="str">
        <x:v>REA-O-B2</x:v>
      </x:c>
      <x:c r="D84" s="44" t="str">
        <x:v>OPERATIONAL</x:v>
      </x:c>
      <x:c r="E84" s="44" t="str">
        <x:v>BL-Y</x:v>
      </x:c>
      <x:c r="F84" s="44" t="str">
        <x:v>measurement frame</x:v>
      </x:c>
      <x:c r="G84" s="44" t="str">
        <x:v>RAC-S4</x:v>
      </x:c>
      <x:c r="H84" s="44" t="str">
        <x:v>RAC-LOT-052</x:v>
      </x:c>
      <x:c r="I84" s="44" t="str">
        <x:v>BL-Y-PR-02</x:v>
      </x:c>
      <x:c r="J84" s="44" t="str">
        <x:v>section 17 release</x:v>
      </x:c>
      <x:c r="K84" s="45" t="str"/>
      <x:c r="L84" s="44" t="str"/>
      <x:c r="M84" s="44" t="str"/>
      <x:c r="N84" s="44" t="str">
        <x:f>IF(M84="","OPEN",IF(OR(K84="",L84=""),"FAIL","PASS"))</x:f>
        <x:v>OPEN</x:v>
      </x:c>
    </x:row>
    <x:row r="85" ht="36" customHeight="1">
      <x:c r="B85" s="44" t="str">
        <x:v>RAC-TR-0079</x:v>
      </x:c>
      <x:c r="C85" s="44" t="str">
        <x:v>REA-O-B2</x:v>
      </x:c>
      <x:c r="D85" s="44" t="str">
        <x:v>OPERATIONAL</x:v>
      </x:c>
      <x:c r="E85" s="44" t="str">
        <x:v>BL-Y</x:v>
      </x:c>
      <x:c r="F85" s="44" t="str">
        <x:v>causal time and evidence</x:v>
      </x:c>
      <x:c r="G85" s="44" t="str">
        <x:v>RAC-S6</x:v>
      </x:c>
      <x:c r="H85" s="44" t="str">
        <x:v>RAC-LOT-055</x:v>
      </x:c>
      <x:c r="I85" s="44" t="str">
        <x:v>BL-Y-PR-03</x:v>
      </x:c>
      <x:c r="J85" s="44" t="str">
        <x:v>section 18 release</x:v>
      </x:c>
      <x:c r="K85" s="45" t="str"/>
      <x:c r="L85" s="44" t="str"/>
      <x:c r="M85" s="44" t="str"/>
      <x:c r="N85" s="44" t="str">
        <x:f>IF(M85="","OPEN",IF(OR(K85="",L85=""),"FAIL","PASS"))</x:f>
        <x:v>OPEN</x:v>
      </x:c>
    </x:row>
    <x:row r="86" ht="36" customHeight="1">
      <x:c r="B86" s="44" t="str">
        <x:v>RAC-TR-0080</x:v>
      </x:c>
      <x:c r="C86" s="44" t="str">
        <x:v>REA-O-B2</x:v>
      </x:c>
      <x:c r="D86" s="44" t="str">
        <x:v>OPERATIONAL</x:v>
      </x:c>
      <x:c r="E86" s="44" t="str">
        <x:v>BL-Y</x:v>
      </x:c>
      <x:c r="F86" s="44" t="str">
        <x:v>rescue and environmental access</x:v>
      </x:c>
      <x:c r="G86" s="44" t="str">
        <x:v>RAC-S6</x:v>
      </x:c>
      <x:c r="H86" s="44" t="str">
        <x:v>RAC-LOT-058</x:v>
      </x:c>
      <x:c r="I86" s="44" t="str">
        <x:v>BL-Y-PR-04</x:v>
      </x:c>
      <x:c r="J86" s="44" t="str">
        <x:v>section 19 release</x:v>
      </x:c>
      <x:c r="K86" s="45" t="str"/>
      <x:c r="L86" s="44" t="str"/>
      <x:c r="M86" s="44" t="str"/>
      <x:c r="N86" s="44" t="str">
        <x:f>IF(M86="","OPEN",IF(OR(K86="",L86=""),"FAIL","PASS"))</x:f>
        <x:v>OPEN</x:v>
      </x:c>
    </x:row>
    <x:row r="87" ht="36" customHeight="1">
      <x:c r="B87" s="44" t="str">
        <x:v>RAC-TR-0081</x:v>
      </x:c>
      <x:c r="C87" s="44" t="str">
        <x:v>REA-O-C1</x:v>
      </x:c>
      <x:c r="D87" s="44" t="str">
        <x:v>OPERATIONAL</x:v>
      </x:c>
      <x:c r="E87" s="44" t="str">
        <x:v>BL-X</x:v>
      </x:c>
      <x:c r="F87" s="44" t="str">
        <x:v>public datum</x:v>
      </x:c>
      <x:c r="G87" s="44" t="str">
        <x:v>RAC-S1</x:v>
      </x:c>
      <x:c r="H87" s="44" t="str">
        <x:v>RAC-LOT-001</x:v>
      </x:c>
      <x:c r="I87" s="44" t="str">
        <x:v>BL-X-PR-01</x:v>
      </x:c>
      <x:c r="J87" s="44" t="str">
        <x:v>authority freeze</x:v>
      </x:c>
      <x:c r="K87" s="45" t="str"/>
      <x:c r="L87" s="44" t="str"/>
      <x:c r="M87" s="44" t="str"/>
      <x:c r="N87" s="44" t="str">
        <x:f>IF(M87="","OPEN",IF(OR(K87="",L87=""),"FAIL","PASS"))</x:f>
        <x:v>OPEN</x:v>
      </x:c>
    </x:row>
    <x:row r="88" ht="36" customHeight="1">
      <x:c r="B88" s="44" t="str">
        <x:v>RAC-TR-0082</x:v>
      </x:c>
      <x:c r="C88" s="44" t="str">
        <x:v>REA-O-C1</x:v>
      </x:c>
      <x:c r="D88" s="44" t="str">
        <x:v>OPERATIONAL</x:v>
      </x:c>
      <x:c r="E88" s="44" t="str">
        <x:v>BL-X</x:v>
      </x:c>
      <x:c r="F88" s="44" t="str">
        <x:v>primary frame</x:v>
      </x:c>
      <x:c r="G88" s="44" t="str">
        <x:v>RAC-S1</x:v>
      </x:c>
      <x:c r="H88" s="44" t="str">
        <x:v>RAC-LOT-004</x:v>
      </x:c>
      <x:c r="I88" s="44" t="str">
        <x:v>BL-X-PR-02</x:v>
      </x:c>
      <x:c r="J88" s="44" t="str">
        <x:v>section 01 release</x:v>
      </x:c>
      <x:c r="K88" s="45" t="str"/>
      <x:c r="L88" s="44" t="str"/>
      <x:c r="M88" s="44" t="str"/>
      <x:c r="N88" s="44" t="str">
        <x:f>IF(M88="","OPEN",IF(OR(K88="",L88=""),"FAIL","PASS"))</x:f>
        <x:v>OPEN</x:v>
      </x:c>
    </x:row>
    <x:row r="89" ht="36" customHeight="1">
      <x:c r="B89" s="44" t="str">
        <x:v>RAC-TR-0083</x:v>
      </x:c>
      <x:c r="C89" s="44" t="str">
        <x:v>REA-O-C1</x:v>
      </x:c>
      <x:c r="D89" s="44" t="str">
        <x:v>OPERATIONAL</x:v>
      </x:c>
      <x:c r="E89" s="44" t="str">
        <x:v>BL-X</x:v>
      </x:c>
      <x:c r="F89" s="44" t="str">
        <x:v>source-surrogate vessel</x:v>
      </x:c>
      <x:c r="G89" s="44" t="str">
        <x:v>RAC-S1</x:v>
      </x:c>
      <x:c r="H89" s="44" t="str">
        <x:v>RAC-LOT-007</x:v>
      </x:c>
      <x:c r="I89" s="44" t="str">
        <x:v>BL-X-PR-03</x:v>
      </x:c>
      <x:c r="J89" s="44" t="str">
        <x:v>section 02 release</x:v>
      </x:c>
      <x:c r="K89" s="45" t="str"/>
      <x:c r="L89" s="44" t="str"/>
      <x:c r="M89" s="44" t="str"/>
      <x:c r="N89" s="44" t="str">
        <x:f>IF(M89="","OPEN",IF(OR(K89="",L89=""),"FAIL","PASS"))</x:f>
        <x:v>OPEN</x:v>
      </x:c>
    </x:row>
    <x:row r="90" ht="36" customHeight="1">
      <x:c r="B90" s="44" t="str">
        <x:v>RAC-TR-0084</x:v>
      </x:c>
      <x:c r="C90" s="44" t="str">
        <x:v>REA-O-C1</x:v>
      </x:c>
      <x:c r="D90" s="44" t="str">
        <x:v>OPERATIONAL</x:v>
      </x:c>
      <x:c r="E90" s="44" t="str">
        <x:v>BL-X</x:v>
      </x:c>
      <x:c r="F90" s="44" t="str">
        <x:v>capsule dock</x:v>
      </x:c>
      <x:c r="G90" s="44" t="str">
        <x:v>RAC-S1</x:v>
      </x:c>
      <x:c r="H90" s="44" t="str">
        <x:v>RAC-LOT-010</x:v>
      </x:c>
      <x:c r="I90" s="44" t="str">
        <x:v>BL-X-PR-04</x:v>
      </x:c>
      <x:c r="J90" s="44" t="str">
        <x:v>section 03 release</x:v>
      </x:c>
      <x:c r="K90" s="45" t="str"/>
      <x:c r="L90" s="44" t="str"/>
      <x:c r="M90" s="44" t="str"/>
      <x:c r="N90" s="44" t="str">
        <x:f>IF(M90="","OPEN",IF(OR(K90="",L90=""),"FAIL","PASS"))</x:f>
        <x:v>OPEN</x:v>
      </x:c>
    </x:row>
    <x:row r="91" ht="36" customHeight="1">
      <x:c r="B91" s="44" t="str">
        <x:v>RAC-TR-0085</x:v>
      </x:c>
      <x:c r="C91" s="44" t="str">
        <x:v>REA-O-C1</x:v>
      </x:c>
      <x:c r="D91" s="44" t="str">
        <x:v>OPERATIONAL</x:v>
      </x:c>
      <x:c r="E91" s="44" t="str">
        <x:v>BL-X</x:v>
      </x:c>
      <x:c r="F91" s="44" t="str">
        <x:v>40 mm insert</x:v>
      </x:c>
      <x:c r="G91" s="44" t="str">
        <x:v>RAC-S2</x:v>
      </x:c>
      <x:c r="H91" s="44" t="str">
        <x:v>RAC-LOT-013</x:v>
      </x:c>
      <x:c r="I91" s="44" t="str">
        <x:v>BL-X-PR-05</x:v>
      </x:c>
      <x:c r="J91" s="44" t="str">
        <x:v>section 04 release</x:v>
      </x:c>
      <x:c r="K91" s="45" t="str"/>
      <x:c r="L91" s="44" t="str"/>
      <x:c r="M91" s="44" t="str"/>
      <x:c r="N91" s="44" t="str">
        <x:f>IF(M91="","OPEN",IF(OR(K91="",L91=""),"FAIL","PASS"))</x:f>
        <x:v>OPEN</x:v>
      </x:c>
    </x:row>
    <x:row r="92" ht="36" customHeight="1">
      <x:c r="B92" s="44" t="str">
        <x:v>RAC-TR-0086</x:v>
      </x:c>
      <x:c r="C92" s="44" t="str">
        <x:v>REA-O-C1</x:v>
      </x:c>
      <x:c r="D92" s="44" t="str">
        <x:v>OPERATIONAL</x:v>
      </x:c>
      <x:c r="E92" s="44" t="str">
        <x:v>BL-X</x:v>
      </x:c>
      <x:c r="F92" s="44" t="str">
        <x:v>dispenser</x:v>
      </x:c>
      <x:c r="G92" s="44" t="str">
        <x:v>RAC-S2</x:v>
      </x:c>
      <x:c r="H92" s="44" t="str">
        <x:v>RAC-LOT-016</x:v>
      </x:c>
      <x:c r="I92" s="44" t="str">
        <x:v>BL-X-PR-06</x:v>
      </x:c>
      <x:c r="J92" s="44" t="str">
        <x:v>section 05 release</x:v>
      </x:c>
      <x:c r="K92" s="45" t="str"/>
      <x:c r="L92" s="44" t="str"/>
      <x:c r="M92" s="44" t="str"/>
      <x:c r="N92" s="44" t="str">
        <x:f>IF(M92="","OPEN",IF(OR(K92="",L92=""),"FAIL","PASS"))</x:f>
        <x:v>OPEN</x:v>
      </x:c>
    </x:row>
    <x:row r="93" ht="36" customHeight="1">
      <x:c r="B93" s="44" t="str">
        <x:v>RAC-TR-0087</x:v>
      </x:c>
      <x:c r="C93" s="44" t="str">
        <x:v>REA-O-C1</x:v>
      </x:c>
      <x:c r="D93" s="44" t="str">
        <x:v>OPERATIONAL</x:v>
      </x:c>
      <x:c r="E93" s="44" t="str">
        <x:v>BL-X</x:v>
      </x:c>
      <x:c r="F93" s="44" t="str">
        <x:v>inner pan</x:v>
      </x:c>
      <x:c r="G93" s="44" t="str">
        <x:v>RAC-S2</x:v>
      </x:c>
      <x:c r="H93" s="44" t="str">
        <x:v>RAC-LOT-019</x:v>
      </x:c>
      <x:c r="I93" s="44" t="str">
        <x:v>BL-X-PR-07</x:v>
      </x:c>
      <x:c r="J93" s="44" t="str">
        <x:v>section 06 release</x:v>
      </x:c>
      <x:c r="K93" s="45" t="str"/>
      <x:c r="L93" s="44" t="str"/>
      <x:c r="M93" s="44" t="str"/>
      <x:c r="N93" s="44" t="str">
        <x:f>IF(M93="","OPEN",IF(OR(K93="",L93=""),"FAIL","PASS"))</x:f>
        <x:v>OPEN</x:v>
      </x:c>
    </x:row>
    <x:row r="94" ht="36" customHeight="1">
      <x:c r="B94" s="44" t="str">
        <x:v>RAC-TR-0088</x:v>
      </x:c>
      <x:c r="C94" s="44" t="str">
        <x:v>REA-O-C1</x:v>
      </x:c>
      <x:c r="D94" s="44" t="str">
        <x:v>OPERATIONAL</x:v>
      </x:c>
      <x:c r="E94" s="44" t="str">
        <x:v>BL-X</x:v>
      </x:c>
      <x:c r="F94" s="44" t="str">
        <x:v>normal route</x:v>
      </x:c>
      <x:c r="G94" s="44" t="str">
        <x:v>RAC-S2</x:v>
      </x:c>
      <x:c r="H94" s="44" t="str">
        <x:v>RAC-LOT-022</x:v>
      </x:c>
      <x:c r="I94" s="44" t="str">
        <x:v>BL-X-PR-08</x:v>
      </x:c>
      <x:c r="J94" s="44" t="str">
        <x:v>section 07 release</x:v>
      </x:c>
      <x:c r="K94" s="45" t="str"/>
      <x:c r="L94" s="44" t="str"/>
      <x:c r="M94" s="44" t="str"/>
      <x:c r="N94" s="44" t="str">
        <x:f>IF(M94="","OPEN",IF(OR(K94="",L94=""),"FAIL","PASS"))</x:f>
        <x:v>OPEN</x:v>
      </x:c>
    </x:row>
    <x:row r="95" ht="36" customHeight="1">
      <x:c r="B95" s="44" t="str">
        <x:v>RAC-TR-0089</x:v>
      </x:c>
      <x:c r="C95" s="44" t="str">
        <x:v>REA-O-C1</x:v>
      </x:c>
      <x:c r="D95" s="44" t="str">
        <x:v>OPERATIONAL</x:v>
      </x:c>
      <x:c r="E95" s="44" t="str">
        <x:v>BL-X</x:v>
      </x:c>
      <x:c r="F95" s="44" t="str">
        <x:v>casualty route</x:v>
      </x:c>
      <x:c r="G95" s="44" t="str">
        <x:v>RAC-S3</x:v>
      </x:c>
      <x:c r="H95" s="44" t="str">
        <x:v>RAC-LOT-025</x:v>
      </x:c>
      <x:c r="I95" s="44" t="str">
        <x:v>BL-X-PR-09</x:v>
      </x:c>
      <x:c r="J95" s="44" t="str">
        <x:v>section 08 release</x:v>
      </x:c>
      <x:c r="K95" s="45" t="str"/>
      <x:c r="L95" s="44" t="str"/>
      <x:c r="M95" s="44" t="str"/>
      <x:c r="N95" s="44" t="str">
        <x:f>IF(M95="","OPEN",IF(OR(K95="",L95=""),"FAIL","PASS"))</x:f>
        <x:v>OPEN</x:v>
      </x:c>
    </x:row>
    <x:row r="96" ht="36" customHeight="1">
      <x:c r="B96" s="44" t="str">
        <x:v>RAC-TR-0090</x:v>
      </x:c>
      <x:c r="C96" s="44" t="str">
        <x:v>REA-O-C1</x:v>
      </x:c>
      <x:c r="D96" s="44" t="str">
        <x:v>OPERATIONAL</x:v>
      </x:c>
      <x:c r="E96" s="44" t="str">
        <x:v>BL-X</x:v>
      </x:c>
      <x:c r="F96" s="44" t="str">
        <x:v>normal receiver</x:v>
      </x:c>
      <x:c r="G96" s="44" t="str">
        <x:v>RAC-S3</x:v>
      </x:c>
      <x:c r="H96" s="44" t="str">
        <x:v>RAC-LOT-028</x:v>
      </x:c>
      <x:c r="I96" s="44" t="str">
        <x:v>BL-X-PR-10</x:v>
      </x:c>
      <x:c r="J96" s="44" t="str">
        <x:v>section 09 release</x:v>
      </x:c>
      <x:c r="K96" s="45" t="str"/>
      <x:c r="L96" s="44" t="str"/>
      <x:c r="M96" s="44" t="str"/>
      <x:c r="N96" s="44" t="str">
        <x:f>IF(M96="","OPEN",IF(OR(K96="",L96=""),"FAIL","PASS"))</x:f>
        <x:v>OPEN</x:v>
      </x:c>
    </x:row>
    <x:row r="97" ht="36" customHeight="1">
      <x:c r="B97" s="44" t="str">
        <x:v>RAC-TR-0091</x:v>
      </x:c>
      <x:c r="C97" s="44" t="str">
        <x:v>REA-O-C1</x:v>
      </x:c>
      <x:c r="D97" s="44" t="str">
        <x:v>OPERATIONAL</x:v>
      </x:c>
      <x:c r="E97" s="44" t="str">
        <x:v>BL-X</x:v>
      </x:c>
      <x:c r="F97" s="44" t="str">
        <x:v>casualty receiver</x:v>
      </x:c>
      <x:c r="G97" s="44" t="str">
        <x:v>RAC-S3</x:v>
      </x:c>
      <x:c r="H97" s="44" t="str">
        <x:v>RAC-LOT-031</x:v>
      </x:c>
      <x:c r="I97" s="44" t="str">
        <x:v>BL-X-PR-11</x:v>
      </x:c>
      <x:c r="J97" s="44" t="str">
        <x:v>section 10 release</x:v>
      </x:c>
      <x:c r="K97" s="45" t="str"/>
      <x:c r="L97" s="44" t="str"/>
      <x:c r="M97" s="44" t="str"/>
      <x:c r="N97" s="44" t="str">
        <x:f>IF(M97="","OPEN",IF(OR(K97="",L97=""),"FAIL","PASS"))</x:f>
        <x:v>OPEN</x:v>
      </x:c>
    </x:row>
    <x:row r="98" ht="36" customHeight="1">
      <x:c r="B98" s="44" t="str">
        <x:v>RAC-TR-0092</x:v>
      </x:c>
      <x:c r="C98" s="44" t="str">
        <x:v>REA-O-C1</x:v>
      </x:c>
      <x:c r="D98" s="44" t="str">
        <x:v>OPERATIONAL</x:v>
      </x:c>
      <x:c r="E98" s="44" t="str">
        <x:v>BL-X</x:v>
      </x:c>
      <x:c r="F98" s="44" t="str">
        <x:v>source inlet isolation</x:v>
      </x:c>
      <x:c r="G98" s="44" t="str">
        <x:v>RAC-S3</x:v>
      </x:c>
      <x:c r="H98" s="44" t="str">
        <x:v>RAC-LOT-034</x:v>
      </x:c>
      <x:c r="I98" s="44" t="str">
        <x:v>BL-X-PR-12</x:v>
      </x:c>
      <x:c r="J98" s="44" t="str">
        <x:v>section 11 release</x:v>
      </x:c>
      <x:c r="K98" s="45" t="str"/>
      <x:c r="L98" s="44" t="str"/>
      <x:c r="M98" s="44" t="str"/>
      <x:c r="N98" s="44" t="str">
        <x:f>IF(M98="","OPEN",IF(OR(K98="",L98=""),"FAIL","PASS"))</x:f>
        <x:v>OPEN</x:v>
      </x:c>
    </x:row>
    <x:row r="99" ht="36" customHeight="1">
      <x:c r="B99" s="44" t="str">
        <x:v>RAC-TR-0093</x:v>
      </x:c>
      <x:c r="C99" s="44" t="str">
        <x:v>REA-O-C1</x:v>
      </x:c>
      <x:c r="D99" s="44" t="str">
        <x:v>OPERATIONAL</x:v>
      </x:c>
      <x:c r="E99" s="44" t="str">
        <x:v>BL-X</x:v>
      </x:c>
      <x:c r="F99" s="44" t="str">
        <x:v>dispenser isolation</x:v>
      </x:c>
      <x:c r="G99" s="44" t="str">
        <x:v>RAC-S4</x:v>
      </x:c>
      <x:c r="H99" s="44" t="str">
        <x:v>RAC-LOT-001</x:v>
      </x:c>
      <x:c r="I99" s="44" t="str">
        <x:v>BL-X-PR-13</x:v>
      </x:c>
      <x:c r="J99" s="44" t="str">
        <x:v>section 12 release</x:v>
      </x:c>
      <x:c r="K99" s="45" t="str"/>
      <x:c r="L99" s="44" t="str"/>
      <x:c r="M99" s="44" t="str"/>
      <x:c r="N99" s="44" t="str">
        <x:f>IF(M99="","OPEN",IF(OR(K99="",L99=""),"FAIL","PASS"))</x:f>
        <x:v>OPEN</x:v>
      </x:c>
    </x:row>
    <x:row r="100" ht="36" customHeight="1">
      <x:c r="B100" s="44" t="str">
        <x:v>RAC-TR-0094</x:v>
      </x:c>
      <x:c r="C100" s="44" t="str">
        <x:v>REA-O-C1</x:v>
      </x:c>
      <x:c r="D100" s="44" t="str">
        <x:v>OPERATIONAL</x:v>
      </x:c>
      <x:c r="E100" s="44" t="str">
        <x:v>BL-X</x:v>
      </x:c>
      <x:c r="F100" s="44" t="str">
        <x:v>gravity diversion</x:v>
      </x:c>
      <x:c r="G100" s="44" t="str">
        <x:v>RAC-S4</x:v>
      </x:c>
      <x:c r="H100" s="44" t="str">
        <x:v>RAC-LOT-004</x:v>
      </x:c>
      <x:c r="I100" s="44" t="str">
        <x:v>BL-X-PR-14</x:v>
      </x:c>
      <x:c r="J100" s="44" t="str">
        <x:v>section 13 release</x:v>
      </x:c>
      <x:c r="K100" s="45" t="str"/>
      <x:c r="L100" s="44" t="str"/>
      <x:c r="M100" s="44" t="str"/>
      <x:c r="N100" s="44" t="str">
        <x:f>IF(M100="","OPEN",IF(OR(K100="",L100=""),"FAIL","PASS"))</x:f>
        <x:v>OPEN</x:v>
      </x:c>
    </x:row>
    <x:row r="101" ht="36" customHeight="1">
      <x:c r="B101" s="44" t="str">
        <x:v>RAC-TR-0095</x:v>
      </x:c>
      <x:c r="C101" s="44" t="str">
        <x:v>REA-O-C1</x:v>
      </x:c>
      <x:c r="D101" s="44" t="str">
        <x:v>OPERATIONAL</x:v>
      </x:c>
      <x:c r="E101" s="44" t="str">
        <x:v>BL-X</x:v>
      </x:c>
      <x:c r="F101" s="44" t="str">
        <x:v>water isolation</x:v>
      </x:c>
      <x:c r="G101" s="44" t="str">
        <x:v>RAC-S4</x:v>
      </x:c>
      <x:c r="H101" s="44" t="str">
        <x:v>RAC-LOT-007</x:v>
      </x:c>
      <x:c r="I101" s="44" t="str">
        <x:v>BL-X-PR-15</x:v>
      </x:c>
      <x:c r="J101" s="44" t="str">
        <x:v>section 14 release</x:v>
      </x:c>
      <x:c r="K101" s="45" t="str"/>
      <x:c r="L101" s="44" t="str"/>
      <x:c r="M101" s="44" t="str"/>
      <x:c r="N101" s="44" t="str">
        <x:f>IF(M101="","OPEN",IF(OR(K101="",L101=""),"FAIL","PASS"))</x:f>
        <x:v>OPEN</x:v>
      </x:c>
    </x:row>
    <x:row r="102" ht="36" customHeight="1">
      <x:c r="B102" s="44" t="str">
        <x:v>RAC-TR-0096</x:v>
      </x:c>
      <x:c r="C102" s="44" t="str">
        <x:v>REA-O-C1</x:v>
      </x:c>
      <x:c r="D102" s="44" t="str">
        <x:v>OPERATIONAL</x:v>
      </x:c>
      <x:c r="E102" s="44" t="str">
        <x:v>BL-X</x:v>
      </x:c>
      <x:c r="F102" s="44" t="str">
        <x:v>electrical isolation</x:v>
      </x:c>
      <x:c r="G102" s="44" t="str">
        <x:v>RAC-S4</x:v>
      </x:c>
      <x:c r="H102" s="44" t="str">
        <x:v>RAC-LOT-010</x:v>
      </x:c>
      <x:c r="I102" s="44" t="str">
        <x:v>BL-X-PR-16</x:v>
      </x:c>
      <x:c r="J102" s="44" t="str">
        <x:v>section 15 release</x:v>
      </x:c>
      <x:c r="K102" s="45" t="str"/>
      <x:c r="L102" s="44" t="str"/>
      <x:c r="M102" s="44" t="str"/>
      <x:c r="N102" s="44" t="str">
        <x:f>IF(M102="","OPEN",IF(OR(K102="",L102=""),"FAIL","PASS"))</x:f>
        <x:v>OPEN</x:v>
      </x:c>
    </x:row>
    <x:row r="103" ht="36" customHeight="1">
      <x:c r="B103" s="44" t="str">
        <x:v>RAC-TR-0097</x:v>
      </x:c>
      <x:c r="C103" s="44" t="str">
        <x:v>REA-O-C1</x:v>
      </x:c>
      <x:c r="D103" s="44" t="str">
        <x:v>OPERATIONAL</x:v>
      </x:c>
      <x:c r="E103" s="44" t="str">
        <x:v>BL-X</x:v>
      </x:c>
      <x:c r="F103" s="44" t="str">
        <x:v>independent safety energy</x:v>
      </x:c>
      <x:c r="G103" s="44" t="str">
        <x:v>RAC-S4</x:v>
      </x:c>
      <x:c r="H103" s="44" t="str">
        <x:v>RAC-LOT-013</x:v>
      </x:c>
      <x:c r="I103" s="44" t="str">
        <x:v>BL-X-PR-01</x:v>
      </x:c>
      <x:c r="J103" s="44" t="str">
        <x:v>section 16 release</x:v>
      </x:c>
      <x:c r="K103" s="45" t="str"/>
      <x:c r="L103" s="44" t="str"/>
      <x:c r="M103" s="44" t="str"/>
      <x:c r="N103" s="44" t="str">
        <x:f>IF(M103="","OPEN",IF(OR(K103="",L103=""),"FAIL","PASS"))</x:f>
        <x:v>OPEN</x:v>
      </x:c>
    </x:row>
    <x:row r="104" ht="36" customHeight="1">
      <x:c r="B104" s="44" t="str">
        <x:v>RAC-TR-0098</x:v>
      </x:c>
      <x:c r="C104" s="44" t="str">
        <x:v>REA-O-C1</x:v>
      </x:c>
      <x:c r="D104" s="44" t="str">
        <x:v>OPERATIONAL</x:v>
      </x:c>
      <x:c r="E104" s="44" t="str">
        <x:v>BL-X</x:v>
      </x:c>
      <x:c r="F104" s="44" t="str">
        <x:v>measurement frame</x:v>
      </x:c>
      <x:c r="G104" s="44" t="str">
        <x:v>RAC-S4</x:v>
      </x:c>
      <x:c r="H104" s="44" t="str">
        <x:v>RAC-LOT-016</x:v>
      </x:c>
      <x:c r="I104" s="44" t="str">
        <x:v>BL-X-PR-02</x:v>
      </x:c>
      <x:c r="J104" s="44" t="str">
        <x:v>section 17 release</x:v>
      </x:c>
      <x:c r="K104" s="45" t="str"/>
      <x:c r="L104" s="44" t="str"/>
      <x:c r="M104" s="44" t="str"/>
      <x:c r="N104" s="44" t="str">
        <x:f>IF(M104="","OPEN",IF(OR(K104="",L104=""),"FAIL","PASS"))</x:f>
        <x:v>OPEN</x:v>
      </x:c>
    </x:row>
    <x:row r="105" ht="36" customHeight="1">
      <x:c r="B105" s="44" t="str">
        <x:v>RAC-TR-0099</x:v>
      </x:c>
      <x:c r="C105" s="44" t="str">
        <x:v>REA-O-C1</x:v>
      </x:c>
      <x:c r="D105" s="44" t="str">
        <x:v>OPERATIONAL</x:v>
      </x:c>
      <x:c r="E105" s="44" t="str">
        <x:v>BL-X</x:v>
      </x:c>
      <x:c r="F105" s="44" t="str">
        <x:v>causal time and evidence</x:v>
      </x:c>
      <x:c r="G105" s="44" t="str">
        <x:v>RAC-S6</x:v>
      </x:c>
      <x:c r="H105" s="44" t="str">
        <x:v>RAC-LOT-019</x:v>
      </x:c>
      <x:c r="I105" s="44" t="str">
        <x:v>BL-X-PR-03</x:v>
      </x:c>
      <x:c r="J105" s="44" t="str">
        <x:v>section 18 release</x:v>
      </x:c>
      <x:c r="K105" s="45" t="str"/>
      <x:c r="L105" s="44" t="str"/>
      <x:c r="M105" s="44" t="str"/>
      <x:c r="N105" s="44" t="str">
        <x:f>IF(M105="","OPEN",IF(OR(K105="",L105=""),"FAIL","PASS"))</x:f>
        <x:v>OPEN</x:v>
      </x:c>
    </x:row>
    <x:row r="106" ht="36" customHeight="1">
      <x:c r="B106" s="44" t="str">
        <x:v>RAC-TR-0100</x:v>
      </x:c>
      <x:c r="C106" s="44" t="str">
        <x:v>REA-O-C1</x:v>
      </x:c>
      <x:c r="D106" s="44" t="str">
        <x:v>OPERATIONAL</x:v>
      </x:c>
      <x:c r="E106" s="44" t="str">
        <x:v>BL-X</x:v>
      </x:c>
      <x:c r="F106" s="44" t="str">
        <x:v>rescue and environmental access</x:v>
      </x:c>
      <x:c r="G106" s="44" t="str">
        <x:v>RAC-S6</x:v>
      </x:c>
      <x:c r="H106" s="44" t="str">
        <x:v>RAC-LOT-022</x:v>
      </x:c>
      <x:c r="I106" s="44" t="str">
        <x:v>BL-X-PR-04</x:v>
      </x:c>
      <x:c r="J106" s="44" t="str">
        <x:v>section 19 release</x:v>
      </x:c>
      <x:c r="K106" s="45" t="str"/>
      <x:c r="L106" s="44" t="str"/>
      <x:c r="M106" s="44" t="str"/>
      <x:c r="N106" s="44" t="str">
        <x:f>IF(M106="","OPEN",IF(OR(K106="",L106=""),"FAIL","PASS"))</x:f>
        <x:v>OPEN</x:v>
      </x:c>
    </x:row>
    <x:row r="107" ht="36" customHeight="1">
      <x:c r="B107" s="44" t="str">
        <x:v>RAC-TR-0101</x:v>
      </x:c>
      <x:c r="C107" s="44" t="str">
        <x:v>REA-O-C2</x:v>
      </x:c>
      <x:c r="D107" s="44" t="str">
        <x:v>OPERATIONAL</x:v>
      </x:c>
      <x:c r="E107" s="44" t="str">
        <x:v>BL-Y</x:v>
      </x:c>
      <x:c r="F107" s="44" t="str">
        <x:v>public datum</x:v>
      </x:c>
      <x:c r="G107" s="44" t="str">
        <x:v>RAC-S1</x:v>
      </x:c>
      <x:c r="H107" s="44" t="str">
        <x:v>RAC-LOT-037</x:v>
      </x:c>
      <x:c r="I107" s="44" t="str">
        <x:v>BL-Y-PR-01</x:v>
      </x:c>
      <x:c r="J107" s="44" t="str">
        <x:v>authority freeze</x:v>
      </x:c>
      <x:c r="K107" s="45" t="str"/>
      <x:c r="L107" s="44" t="str"/>
      <x:c r="M107" s="44" t="str"/>
      <x:c r="N107" s="44" t="str">
        <x:f>IF(M107="","OPEN",IF(OR(K107="",L107=""),"FAIL","PASS"))</x:f>
        <x:v>OPEN</x:v>
      </x:c>
    </x:row>
    <x:row r="108" ht="36" customHeight="1">
      <x:c r="B108" s="44" t="str">
        <x:v>RAC-TR-0102</x:v>
      </x:c>
      <x:c r="C108" s="44" t="str">
        <x:v>REA-O-C2</x:v>
      </x:c>
      <x:c r="D108" s="44" t="str">
        <x:v>OPERATIONAL</x:v>
      </x:c>
      <x:c r="E108" s="44" t="str">
        <x:v>BL-Y</x:v>
      </x:c>
      <x:c r="F108" s="44" t="str">
        <x:v>primary frame</x:v>
      </x:c>
      <x:c r="G108" s="44" t="str">
        <x:v>RAC-S1</x:v>
      </x:c>
      <x:c r="H108" s="44" t="str">
        <x:v>RAC-LOT-040</x:v>
      </x:c>
      <x:c r="I108" s="44" t="str">
        <x:v>BL-Y-PR-02</x:v>
      </x:c>
      <x:c r="J108" s="44" t="str">
        <x:v>section 01 release</x:v>
      </x:c>
      <x:c r="K108" s="45" t="str"/>
      <x:c r="L108" s="44" t="str"/>
      <x:c r="M108" s="44" t="str"/>
      <x:c r="N108" s="44" t="str">
        <x:f>IF(M108="","OPEN",IF(OR(K108="",L108=""),"FAIL","PASS"))</x:f>
        <x:v>OPEN</x:v>
      </x:c>
    </x:row>
    <x:row r="109" ht="36" customHeight="1">
      <x:c r="B109" s="44" t="str">
        <x:v>RAC-TR-0103</x:v>
      </x:c>
      <x:c r="C109" s="44" t="str">
        <x:v>REA-O-C2</x:v>
      </x:c>
      <x:c r="D109" s="44" t="str">
        <x:v>OPERATIONAL</x:v>
      </x:c>
      <x:c r="E109" s="44" t="str">
        <x:v>BL-Y</x:v>
      </x:c>
      <x:c r="F109" s="44" t="str">
        <x:v>source-surrogate vessel</x:v>
      </x:c>
      <x:c r="G109" s="44" t="str">
        <x:v>RAC-S1</x:v>
      </x:c>
      <x:c r="H109" s="44" t="str">
        <x:v>RAC-LOT-043</x:v>
      </x:c>
      <x:c r="I109" s="44" t="str">
        <x:v>BL-Y-PR-03</x:v>
      </x:c>
      <x:c r="J109" s="44" t="str">
        <x:v>section 02 release</x:v>
      </x:c>
      <x:c r="K109" s="45" t="str"/>
      <x:c r="L109" s="44" t="str"/>
      <x:c r="M109" s="44" t="str"/>
      <x:c r="N109" s="44" t="str">
        <x:f>IF(M109="","OPEN",IF(OR(K109="",L109=""),"FAIL","PASS"))</x:f>
        <x:v>OPEN</x:v>
      </x:c>
    </x:row>
    <x:row r="110" ht="36" customHeight="1">
      <x:c r="B110" s="44" t="str">
        <x:v>RAC-TR-0104</x:v>
      </x:c>
      <x:c r="C110" s="44" t="str">
        <x:v>REA-O-C2</x:v>
      </x:c>
      <x:c r="D110" s="44" t="str">
        <x:v>OPERATIONAL</x:v>
      </x:c>
      <x:c r="E110" s="44" t="str">
        <x:v>BL-Y</x:v>
      </x:c>
      <x:c r="F110" s="44" t="str">
        <x:v>capsule dock</x:v>
      </x:c>
      <x:c r="G110" s="44" t="str">
        <x:v>RAC-S1</x:v>
      </x:c>
      <x:c r="H110" s="44" t="str">
        <x:v>RAC-LOT-046</x:v>
      </x:c>
      <x:c r="I110" s="44" t="str">
        <x:v>BL-Y-PR-04</x:v>
      </x:c>
      <x:c r="J110" s="44" t="str">
        <x:v>section 03 release</x:v>
      </x:c>
      <x:c r="K110" s="45" t="str"/>
      <x:c r="L110" s="44" t="str"/>
      <x:c r="M110" s="44" t="str"/>
      <x:c r="N110" s="44" t="str">
        <x:f>IF(M110="","OPEN",IF(OR(K110="",L110=""),"FAIL","PASS"))</x:f>
        <x:v>OPEN</x:v>
      </x:c>
    </x:row>
    <x:row r="111" ht="36" customHeight="1">
      <x:c r="B111" s="44" t="str">
        <x:v>RAC-TR-0105</x:v>
      </x:c>
      <x:c r="C111" s="44" t="str">
        <x:v>REA-O-C2</x:v>
      </x:c>
      <x:c r="D111" s="44" t="str">
        <x:v>OPERATIONAL</x:v>
      </x:c>
      <x:c r="E111" s="44" t="str">
        <x:v>BL-Y</x:v>
      </x:c>
      <x:c r="F111" s="44" t="str">
        <x:v>40 mm insert</x:v>
      </x:c>
      <x:c r="G111" s="44" t="str">
        <x:v>RAC-S2</x:v>
      </x:c>
      <x:c r="H111" s="44" t="str">
        <x:v>RAC-LOT-049</x:v>
      </x:c>
      <x:c r="I111" s="44" t="str">
        <x:v>BL-Y-PR-05</x:v>
      </x:c>
      <x:c r="J111" s="44" t="str">
        <x:v>section 04 release</x:v>
      </x:c>
      <x:c r="K111" s="45" t="str"/>
      <x:c r="L111" s="44" t="str"/>
      <x:c r="M111" s="44" t="str"/>
      <x:c r="N111" s="44" t="str">
        <x:f>IF(M111="","OPEN",IF(OR(K111="",L111=""),"FAIL","PASS"))</x:f>
        <x:v>OPEN</x:v>
      </x:c>
    </x:row>
    <x:row r="112" ht="36" customHeight="1">
      <x:c r="B112" s="44" t="str">
        <x:v>RAC-TR-0106</x:v>
      </x:c>
      <x:c r="C112" s="44" t="str">
        <x:v>REA-O-C2</x:v>
      </x:c>
      <x:c r="D112" s="44" t="str">
        <x:v>OPERATIONAL</x:v>
      </x:c>
      <x:c r="E112" s="44" t="str">
        <x:v>BL-Y</x:v>
      </x:c>
      <x:c r="F112" s="44" t="str">
        <x:v>dispenser</x:v>
      </x:c>
      <x:c r="G112" s="44" t="str">
        <x:v>RAC-S2</x:v>
      </x:c>
      <x:c r="H112" s="44" t="str">
        <x:v>RAC-LOT-052</x:v>
      </x:c>
      <x:c r="I112" s="44" t="str">
        <x:v>BL-Y-PR-06</x:v>
      </x:c>
      <x:c r="J112" s="44" t="str">
        <x:v>section 05 release</x:v>
      </x:c>
      <x:c r="K112" s="45" t="str"/>
      <x:c r="L112" s="44" t="str"/>
      <x:c r="M112" s="44" t="str"/>
      <x:c r="N112" s="44" t="str">
        <x:f>IF(M112="","OPEN",IF(OR(K112="",L112=""),"FAIL","PASS"))</x:f>
        <x:v>OPEN</x:v>
      </x:c>
    </x:row>
    <x:row r="113" ht="36" customHeight="1">
      <x:c r="B113" s="44" t="str">
        <x:v>RAC-TR-0107</x:v>
      </x:c>
      <x:c r="C113" s="44" t="str">
        <x:v>REA-O-C2</x:v>
      </x:c>
      <x:c r="D113" s="44" t="str">
        <x:v>OPERATIONAL</x:v>
      </x:c>
      <x:c r="E113" s="44" t="str">
        <x:v>BL-Y</x:v>
      </x:c>
      <x:c r="F113" s="44" t="str">
        <x:v>inner pan</x:v>
      </x:c>
      <x:c r="G113" s="44" t="str">
        <x:v>RAC-S2</x:v>
      </x:c>
      <x:c r="H113" s="44" t="str">
        <x:v>RAC-LOT-055</x:v>
      </x:c>
      <x:c r="I113" s="44" t="str">
        <x:v>BL-Y-PR-07</x:v>
      </x:c>
      <x:c r="J113" s="44" t="str">
        <x:v>section 06 release</x:v>
      </x:c>
      <x:c r="K113" s="45" t="str"/>
      <x:c r="L113" s="44" t="str"/>
      <x:c r="M113" s="44" t="str"/>
      <x:c r="N113" s="44" t="str">
        <x:f>IF(M113="","OPEN",IF(OR(K113="",L113=""),"FAIL","PASS"))</x:f>
        <x:v>OPEN</x:v>
      </x:c>
    </x:row>
    <x:row r="114" ht="36" customHeight="1">
      <x:c r="B114" s="44" t="str">
        <x:v>RAC-TR-0108</x:v>
      </x:c>
      <x:c r="C114" s="44" t="str">
        <x:v>REA-O-C2</x:v>
      </x:c>
      <x:c r="D114" s="44" t="str">
        <x:v>OPERATIONAL</x:v>
      </x:c>
      <x:c r="E114" s="44" t="str">
        <x:v>BL-Y</x:v>
      </x:c>
      <x:c r="F114" s="44" t="str">
        <x:v>normal route</x:v>
      </x:c>
      <x:c r="G114" s="44" t="str">
        <x:v>RAC-S2</x:v>
      </x:c>
      <x:c r="H114" s="44" t="str">
        <x:v>RAC-LOT-058</x:v>
      </x:c>
      <x:c r="I114" s="44" t="str">
        <x:v>BL-Y-PR-08</x:v>
      </x:c>
      <x:c r="J114" s="44" t="str">
        <x:v>section 07 release</x:v>
      </x:c>
      <x:c r="K114" s="45" t="str"/>
      <x:c r="L114" s="44" t="str"/>
      <x:c r="M114" s="44" t="str"/>
      <x:c r="N114" s="44" t="str">
        <x:f>IF(M114="","OPEN",IF(OR(K114="",L114=""),"FAIL","PASS"))</x:f>
        <x:v>OPEN</x:v>
      </x:c>
    </x:row>
    <x:row r="115" ht="36" customHeight="1">
      <x:c r="B115" s="44" t="str">
        <x:v>RAC-TR-0109</x:v>
      </x:c>
      <x:c r="C115" s="44" t="str">
        <x:v>REA-O-C2</x:v>
      </x:c>
      <x:c r="D115" s="44" t="str">
        <x:v>OPERATIONAL</x:v>
      </x:c>
      <x:c r="E115" s="44" t="str">
        <x:v>BL-Y</x:v>
      </x:c>
      <x:c r="F115" s="44" t="str">
        <x:v>casualty route</x:v>
      </x:c>
      <x:c r="G115" s="44" t="str">
        <x:v>RAC-S3</x:v>
      </x:c>
      <x:c r="H115" s="44" t="str">
        <x:v>RAC-LOT-061</x:v>
      </x:c>
      <x:c r="I115" s="44" t="str">
        <x:v>BL-Y-PR-09</x:v>
      </x:c>
      <x:c r="J115" s="44" t="str">
        <x:v>section 08 release</x:v>
      </x:c>
      <x:c r="K115" s="45" t="str"/>
      <x:c r="L115" s="44" t="str"/>
      <x:c r="M115" s="44" t="str"/>
      <x:c r="N115" s="44" t="str">
        <x:f>IF(M115="","OPEN",IF(OR(K115="",L115=""),"FAIL","PASS"))</x:f>
        <x:v>OPEN</x:v>
      </x:c>
    </x:row>
    <x:row r="116" ht="36" customHeight="1">
      <x:c r="B116" s="44" t="str">
        <x:v>RAC-TR-0110</x:v>
      </x:c>
      <x:c r="C116" s="44" t="str">
        <x:v>REA-O-C2</x:v>
      </x:c>
      <x:c r="D116" s="44" t="str">
        <x:v>OPERATIONAL</x:v>
      </x:c>
      <x:c r="E116" s="44" t="str">
        <x:v>BL-Y</x:v>
      </x:c>
      <x:c r="F116" s="44" t="str">
        <x:v>normal receiver</x:v>
      </x:c>
      <x:c r="G116" s="44" t="str">
        <x:v>RAC-S3</x:v>
      </x:c>
      <x:c r="H116" s="44" t="str">
        <x:v>RAC-LOT-064</x:v>
      </x:c>
      <x:c r="I116" s="44" t="str">
        <x:v>BL-Y-PR-10</x:v>
      </x:c>
      <x:c r="J116" s="44" t="str">
        <x:v>section 09 release</x:v>
      </x:c>
      <x:c r="K116" s="45" t="str"/>
      <x:c r="L116" s="44" t="str"/>
      <x:c r="M116" s="44" t="str"/>
      <x:c r="N116" s="44" t="str">
        <x:f>IF(M116="","OPEN",IF(OR(K116="",L116=""),"FAIL","PASS"))</x:f>
        <x:v>OPEN</x:v>
      </x:c>
    </x:row>
    <x:row r="117" ht="36" customHeight="1">
      <x:c r="B117" s="44" t="str">
        <x:v>RAC-TR-0111</x:v>
      </x:c>
      <x:c r="C117" s="44" t="str">
        <x:v>REA-O-C2</x:v>
      </x:c>
      <x:c r="D117" s="44" t="str">
        <x:v>OPERATIONAL</x:v>
      </x:c>
      <x:c r="E117" s="44" t="str">
        <x:v>BL-Y</x:v>
      </x:c>
      <x:c r="F117" s="44" t="str">
        <x:v>casualty receiver</x:v>
      </x:c>
      <x:c r="G117" s="44" t="str">
        <x:v>RAC-S3</x:v>
      </x:c>
      <x:c r="H117" s="44" t="str">
        <x:v>RAC-LOT-067</x:v>
      </x:c>
      <x:c r="I117" s="44" t="str">
        <x:v>BL-Y-PR-11</x:v>
      </x:c>
      <x:c r="J117" s="44" t="str">
        <x:v>section 10 release</x:v>
      </x:c>
      <x:c r="K117" s="45" t="str"/>
      <x:c r="L117" s="44" t="str"/>
      <x:c r="M117" s="44" t="str"/>
      <x:c r="N117" s="44" t="str">
        <x:f>IF(M117="","OPEN",IF(OR(K117="",L117=""),"FAIL","PASS"))</x:f>
        <x:v>OPEN</x:v>
      </x:c>
    </x:row>
    <x:row r="118" ht="36" customHeight="1">
      <x:c r="B118" s="44" t="str">
        <x:v>RAC-TR-0112</x:v>
      </x:c>
      <x:c r="C118" s="44" t="str">
        <x:v>REA-O-C2</x:v>
      </x:c>
      <x:c r="D118" s="44" t="str">
        <x:v>OPERATIONAL</x:v>
      </x:c>
      <x:c r="E118" s="44" t="str">
        <x:v>BL-Y</x:v>
      </x:c>
      <x:c r="F118" s="44" t="str">
        <x:v>source inlet isolation</x:v>
      </x:c>
      <x:c r="G118" s="44" t="str">
        <x:v>RAC-S3</x:v>
      </x:c>
      <x:c r="H118" s="44" t="str">
        <x:v>RAC-LOT-070</x:v>
      </x:c>
      <x:c r="I118" s="44" t="str">
        <x:v>BL-Y-PR-12</x:v>
      </x:c>
      <x:c r="J118" s="44" t="str">
        <x:v>section 11 release</x:v>
      </x:c>
      <x:c r="K118" s="45" t="str"/>
      <x:c r="L118" s="44" t="str"/>
      <x:c r="M118" s="44" t="str"/>
      <x:c r="N118" s="44" t="str">
        <x:f>IF(M118="","OPEN",IF(OR(K118="",L118=""),"FAIL","PASS"))</x:f>
        <x:v>OPEN</x:v>
      </x:c>
    </x:row>
    <x:row r="119" ht="36" customHeight="1">
      <x:c r="B119" s="44" t="str">
        <x:v>RAC-TR-0113</x:v>
      </x:c>
      <x:c r="C119" s="44" t="str">
        <x:v>REA-O-C2</x:v>
      </x:c>
      <x:c r="D119" s="44" t="str">
        <x:v>OPERATIONAL</x:v>
      </x:c>
      <x:c r="E119" s="44" t="str">
        <x:v>BL-Y</x:v>
      </x:c>
      <x:c r="F119" s="44" t="str">
        <x:v>dispenser isolation</x:v>
      </x:c>
      <x:c r="G119" s="44" t="str">
        <x:v>RAC-S4</x:v>
      </x:c>
      <x:c r="H119" s="44" t="str">
        <x:v>RAC-LOT-037</x:v>
      </x:c>
      <x:c r="I119" s="44" t="str">
        <x:v>BL-Y-PR-13</x:v>
      </x:c>
      <x:c r="J119" s="44" t="str">
        <x:v>section 12 release</x:v>
      </x:c>
      <x:c r="K119" s="45" t="str"/>
      <x:c r="L119" s="44" t="str"/>
      <x:c r="M119" s="44" t="str"/>
      <x:c r="N119" s="44" t="str">
        <x:f>IF(M119="","OPEN",IF(OR(K119="",L119=""),"FAIL","PASS"))</x:f>
        <x:v>OPEN</x:v>
      </x:c>
    </x:row>
    <x:row r="120" ht="36" customHeight="1">
      <x:c r="B120" s="44" t="str">
        <x:v>RAC-TR-0114</x:v>
      </x:c>
      <x:c r="C120" s="44" t="str">
        <x:v>REA-O-C2</x:v>
      </x:c>
      <x:c r="D120" s="44" t="str">
        <x:v>OPERATIONAL</x:v>
      </x:c>
      <x:c r="E120" s="44" t="str">
        <x:v>BL-Y</x:v>
      </x:c>
      <x:c r="F120" s="44" t="str">
        <x:v>gravity diversion</x:v>
      </x:c>
      <x:c r="G120" s="44" t="str">
        <x:v>RAC-S4</x:v>
      </x:c>
      <x:c r="H120" s="44" t="str">
        <x:v>RAC-LOT-040</x:v>
      </x:c>
      <x:c r="I120" s="44" t="str">
        <x:v>BL-Y-PR-14</x:v>
      </x:c>
      <x:c r="J120" s="44" t="str">
        <x:v>section 13 release</x:v>
      </x:c>
      <x:c r="K120" s="45" t="str"/>
      <x:c r="L120" s="44" t="str"/>
      <x:c r="M120" s="44" t="str"/>
      <x:c r="N120" s="44" t="str">
        <x:f>IF(M120="","OPEN",IF(OR(K120="",L120=""),"FAIL","PASS"))</x:f>
        <x:v>OPEN</x:v>
      </x:c>
    </x:row>
    <x:row r="121" ht="36" customHeight="1">
      <x:c r="B121" s="44" t="str">
        <x:v>RAC-TR-0115</x:v>
      </x:c>
      <x:c r="C121" s="44" t="str">
        <x:v>REA-O-C2</x:v>
      </x:c>
      <x:c r="D121" s="44" t="str">
        <x:v>OPERATIONAL</x:v>
      </x:c>
      <x:c r="E121" s="44" t="str">
        <x:v>BL-Y</x:v>
      </x:c>
      <x:c r="F121" s="44" t="str">
        <x:v>water isolation</x:v>
      </x:c>
      <x:c r="G121" s="44" t="str">
        <x:v>RAC-S4</x:v>
      </x:c>
      <x:c r="H121" s="44" t="str">
        <x:v>RAC-LOT-043</x:v>
      </x:c>
      <x:c r="I121" s="44" t="str">
        <x:v>BL-Y-PR-15</x:v>
      </x:c>
      <x:c r="J121" s="44" t="str">
        <x:v>section 14 release</x:v>
      </x:c>
      <x:c r="K121" s="45" t="str"/>
      <x:c r="L121" s="44" t="str"/>
      <x:c r="M121" s="44" t="str"/>
      <x:c r="N121" s="44" t="str">
        <x:f>IF(M121="","OPEN",IF(OR(K121="",L121=""),"FAIL","PASS"))</x:f>
        <x:v>OPEN</x:v>
      </x:c>
    </x:row>
    <x:row r="122" ht="36" customHeight="1">
      <x:c r="B122" s="44" t="str">
        <x:v>RAC-TR-0116</x:v>
      </x:c>
      <x:c r="C122" s="44" t="str">
        <x:v>REA-O-C2</x:v>
      </x:c>
      <x:c r="D122" s="44" t="str">
        <x:v>OPERATIONAL</x:v>
      </x:c>
      <x:c r="E122" s="44" t="str">
        <x:v>BL-Y</x:v>
      </x:c>
      <x:c r="F122" s="44" t="str">
        <x:v>electrical isolation</x:v>
      </x:c>
      <x:c r="G122" s="44" t="str">
        <x:v>RAC-S4</x:v>
      </x:c>
      <x:c r="H122" s="44" t="str">
        <x:v>RAC-LOT-046</x:v>
      </x:c>
      <x:c r="I122" s="44" t="str">
        <x:v>BL-Y-PR-16</x:v>
      </x:c>
      <x:c r="J122" s="44" t="str">
        <x:v>section 15 release</x:v>
      </x:c>
      <x:c r="K122" s="45" t="str"/>
      <x:c r="L122" s="44" t="str"/>
      <x:c r="M122" s="44" t="str"/>
      <x:c r="N122" s="44" t="str">
        <x:f>IF(M122="","OPEN",IF(OR(K122="",L122=""),"FAIL","PASS"))</x:f>
        <x:v>OPEN</x:v>
      </x:c>
    </x:row>
    <x:row r="123" ht="36" customHeight="1">
      <x:c r="B123" s="44" t="str">
        <x:v>RAC-TR-0117</x:v>
      </x:c>
      <x:c r="C123" s="44" t="str">
        <x:v>REA-O-C2</x:v>
      </x:c>
      <x:c r="D123" s="44" t="str">
        <x:v>OPERATIONAL</x:v>
      </x:c>
      <x:c r="E123" s="44" t="str">
        <x:v>BL-Y</x:v>
      </x:c>
      <x:c r="F123" s="44" t="str">
        <x:v>independent safety energy</x:v>
      </x:c>
      <x:c r="G123" s="44" t="str">
        <x:v>RAC-S4</x:v>
      </x:c>
      <x:c r="H123" s="44" t="str">
        <x:v>RAC-LOT-049</x:v>
      </x:c>
      <x:c r="I123" s="44" t="str">
        <x:v>BL-Y-PR-01</x:v>
      </x:c>
      <x:c r="J123" s="44" t="str">
        <x:v>section 16 release</x:v>
      </x:c>
      <x:c r="K123" s="45" t="str"/>
      <x:c r="L123" s="44" t="str"/>
      <x:c r="M123" s="44" t="str"/>
      <x:c r="N123" s="44" t="str">
        <x:f>IF(M123="","OPEN",IF(OR(K123="",L123=""),"FAIL","PASS"))</x:f>
        <x:v>OPEN</x:v>
      </x:c>
    </x:row>
    <x:row r="124" ht="36" customHeight="1">
      <x:c r="B124" s="44" t="str">
        <x:v>RAC-TR-0118</x:v>
      </x:c>
      <x:c r="C124" s="44" t="str">
        <x:v>REA-O-C2</x:v>
      </x:c>
      <x:c r="D124" s="44" t="str">
        <x:v>OPERATIONAL</x:v>
      </x:c>
      <x:c r="E124" s="44" t="str">
        <x:v>BL-Y</x:v>
      </x:c>
      <x:c r="F124" s="44" t="str">
        <x:v>measurement frame</x:v>
      </x:c>
      <x:c r="G124" s="44" t="str">
        <x:v>RAC-S4</x:v>
      </x:c>
      <x:c r="H124" s="44" t="str">
        <x:v>RAC-LOT-052</x:v>
      </x:c>
      <x:c r="I124" s="44" t="str">
        <x:v>BL-Y-PR-02</x:v>
      </x:c>
      <x:c r="J124" s="44" t="str">
        <x:v>section 17 release</x:v>
      </x:c>
      <x:c r="K124" s="45" t="str"/>
      <x:c r="L124" s="44" t="str"/>
      <x:c r="M124" s="44" t="str"/>
      <x:c r="N124" s="44" t="str">
        <x:f>IF(M124="","OPEN",IF(OR(K124="",L124=""),"FAIL","PASS"))</x:f>
        <x:v>OPEN</x:v>
      </x:c>
    </x:row>
    <x:row r="125" ht="36" customHeight="1">
      <x:c r="B125" s="44" t="str">
        <x:v>RAC-TR-0119</x:v>
      </x:c>
      <x:c r="C125" s="44" t="str">
        <x:v>REA-O-C2</x:v>
      </x:c>
      <x:c r="D125" s="44" t="str">
        <x:v>OPERATIONAL</x:v>
      </x:c>
      <x:c r="E125" s="44" t="str">
        <x:v>BL-Y</x:v>
      </x:c>
      <x:c r="F125" s="44" t="str">
        <x:v>causal time and evidence</x:v>
      </x:c>
      <x:c r="G125" s="44" t="str">
        <x:v>RAC-S6</x:v>
      </x:c>
      <x:c r="H125" s="44" t="str">
        <x:v>RAC-LOT-055</x:v>
      </x:c>
      <x:c r="I125" s="44" t="str">
        <x:v>BL-Y-PR-03</x:v>
      </x:c>
      <x:c r="J125" s="44" t="str">
        <x:v>section 18 release</x:v>
      </x:c>
      <x:c r="K125" s="45" t="str"/>
      <x:c r="L125" s="44" t="str"/>
      <x:c r="M125" s="44" t="str"/>
      <x:c r="N125" s="44" t="str">
        <x:f>IF(M125="","OPEN",IF(OR(K125="",L125=""),"FAIL","PASS"))</x:f>
        <x:v>OPEN</x:v>
      </x:c>
    </x:row>
    <x:row r="126" ht="36" customHeight="1">
      <x:c r="B126" s="44" t="str">
        <x:v>RAC-TR-0120</x:v>
      </x:c>
      <x:c r="C126" s="44" t="str">
        <x:v>REA-O-C2</x:v>
      </x:c>
      <x:c r="D126" s="44" t="str">
        <x:v>OPERATIONAL</x:v>
      </x:c>
      <x:c r="E126" s="44" t="str">
        <x:v>BL-Y</x:v>
      </x:c>
      <x:c r="F126" s="44" t="str">
        <x:v>rescue and environmental access</x:v>
      </x:c>
      <x:c r="G126" s="44" t="str">
        <x:v>RAC-S6</x:v>
      </x:c>
      <x:c r="H126" s="44" t="str">
        <x:v>RAC-LOT-058</x:v>
      </x:c>
      <x:c r="I126" s="44" t="str">
        <x:v>BL-Y-PR-04</x:v>
      </x:c>
      <x:c r="J126" s="44" t="str">
        <x:v>section 19 release</x:v>
      </x:c>
      <x:c r="K126" s="45" t="str"/>
      <x:c r="L126" s="44" t="str"/>
      <x:c r="M126" s="44" t="str"/>
      <x:c r="N126" s="44" t="str">
        <x:f>IF(M126="","OPEN",IF(OR(K126="",L126=""),"FAIL","PASS"))</x:f>
        <x:v>OPEN</x:v>
      </x:c>
    </x:row>
    <x:row r="127" ht="36" customHeight="1">
      <x:c r="B127" s="44" t="str">
        <x:v>RAC-TR-0121</x:v>
      </x:c>
      <x:c r="C127" s="44" t="str">
        <x:v>REA-T-A1</x:v>
      </x:c>
      <x:c r="D127" s="44" t="str">
        <x:v>FUNCTIONAL TWIN</x:v>
      </x:c>
      <x:c r="E127" s="44" t="str">
        <x:v>BL-X</x:v>
      </x:c>
      <x:c r="F127" s="44" t="str">
        <x:v>public datum</x:v>
      </x:c>
      <x:c r="G127" s="44" t="str">
        <x:v>RAC-S1</x:v>
      </x:c>
      <x:c r="H127" s="44" t="str">
        <x:v>RAC-LOT-001</x:v>
      </x:c>
      <x:c r="I127" s="44" t="str">
        <x:v>BL-X-PR-01</x:v>
      </x:c>
      <x:c r="J127" s="44" t="str">
        <x:v>authority freeze</x:v>
      </x:c>
      <x:c r="K127" s="45" t="str"/>
      <x:c r="L127" s="44" t="str"/>
      <x:c r="M127" s="44" t="str"/>
      <x:c r="N127" s="44" t="str">
        <x:f>IF(M127="","OPEN",IF(OR(K127="",L127=""),"FAIL","PASS"))</x:f>
        <x:v>OPEN</x:v>
      </x:c>
    </x:row>
    <x:row r="128" ht="36" customHeight="1">
      <x:c r="B128" s="44" t="str">
        <x:v>RAC-TR-0122</x:v>
      </x:c>
      <x:c r="C128" s="44" t="str">
        <x:v>REA-T-A1</x:v>
      </x:c>
      <x:c r="D128" s="44" t="str">
        <x:v>FUNCTIONAL TWIN</x:v>
      </x:c>
      <x:c r="E128" s="44" t="str">
        <x:v>BL-X</x:v>
      </x:c>
      <x:c r="F128" s="44" t="str">
        <x:v>primary frame</x:v>
      </x:c>
      <x:c r="G128" s="44" t="str">
        <x:v>RAC-S1</x:v>
      </x:c>
      <x:c r="H128" s="44" t="str">
        <x:v>RAC-LOT-004</x:v>
      </x:c>
      <x:c r="I128" s="44" t="str">
        <x:v>BL-X-PR-02</x:v>
      </x:c>
      <x:c r="J128" s="44" t="str">
        <x:v>section 01 release</x:v>
      </x:c>
      <x:c r="K128" s="45" t="str"/>
      <x:c r="L128" s="44" t="str"/>
      <x:c r="M128" s="44" t="str"/>
      <x:c r="N128" s="44" t="str">
        <x:f>IF(M128="","OPEN",IF(OR(K128="",L128=""),"FAIL","PASS"))</x:f>
        <x:v>OPEN</x:v>
      </x:c>
    </x:row>
    <x:row r="129" ht="36" customHeight="1">
      <x:c r="B129" s="44" t="str">
        <x:v>RAC-TR-0123</x:v>
      </x:c>
      <x:c r="C129" s="44" t="str">
        <x:v>REA-T-A1</x:v>
      </x:c>
      <x:c r="D129" s="44" t="str">
        <x:v>FUNCTIONAL TWIN</x:v>
      </x:c>
      <x:c r="E129" s="44" t="str">
        <x:v>BL-X</x:v>
      </x:c>
      <x:c r="F129" s="44" t="str">
        <x:v>source-surrogate vessel</x:v>
      </x:c>
      <x:c r="G129" s="44" t="str">
        <x:v>RAC-S1</x:v>
      </x:c>
      <x:c r="H129" s="44" t="str">
        <x:v>RAC-LOT-007</x:v>
      </x:c>
      <x:c r="I129" s="44" t="str">
        <x:v>BL-X-PR-03</x:v>
      </x:c>
      <x:c r="J129" s="44" t="str">
        <x:v>section 02 release</x:v>
      </x:c>
      <x:c r="K129" s="45" t="str"/>
      <x:c r="L129" s="44" t="str"/>
      <x:c r="M129" s="44" t="str"/>
      <x:c r="N129" s="44" t="str">
        <x:f>IF(M129="","OPEN",IF(OR(K129="",L129=""),"FAIL","PASS"))</x:f>
        <x:v>OPEN</x:v>
      </x:c>
    </x:row>
    <x:row r="130" ht="36" customHeight="1">
      <x:c r="B130" s="44" t="str">
        <x:v>RAC-TR-0124</x:v>
      </x:c>
      <x:c r="C130" s="44" t="str">
        <x:v>REA-T-A1</x:v>
      </x:c>
      <x:c r="D130" s="44" t="str">
        <x:v>FUNCTIONAL TWIN</x:v>
      </x:c>
      <x:c r="E130" s="44" t="str">
        <x:v>BL-X</x:v>
      </x:c>
      <x:c r="F130" s="44" t="str">
        <x:v>capsule dock</x:v>
      </x:c>
      <x:c r="G130" s="44" t="str">
        <x:v>RAC-S1</x:v>
      </x:c>
      <x:c r="H130" s="44" t="str">
        <x:v>RAC-LOT-010</x:v>
      </x:c>
      <x:c r="I130" s="44" t="str">
        <x:v>BL-X-PR-04</x:v>
      </x:c>
      <x:c r="J130" s="44" t="str">
        <x:v>section 03 release</x:v>
      </x:c>
      <x:c r="K130" s="45" t="str"/>
      <x:c r="L130" s="44" t="str"/>
      <x:c r="M130" s="44" t="str"/>
      <x:c r="N130" s="44" t="str">
        <x:f>IF(M130="","OPEN",IF(OR(K130="",L130=""),"FAIL","PASS"))</x:f>
        <x:v>OPEN</x:v>
      </x:c>
    </x:row>
    <x:row r="131" ht="36" customHeight="1">
      <x:c r="B131" s="44" t="str">
        <x:v>RAC-TR-0125</x:v>
      </x:c>
      <x:c r="C131" s="44" t="str">
        <x:v>REA-T-A1</x:v>
      </x:c>
      <x:c r="D131" s="44" t="str">
        <x:v>FUNCTIONAL TWIN</x:v>
      </x:c>
      <x:c r="E131" s="44" t="str">
        <x:v>BL-X</x:v>
      </x:c>
      <x:c r="F131" s="44" t="str">
        <x:v>40 mm insert</x:v>
      </x:c>
      <x:c r="G131" s="44" t="str">
        <x:v>RAC-S2</x:v>
      </x:c>
      <x:c r="H131" s="44" t="str">
        <x:v>RAC-LOT-013</x:v>
      </x:c>
      <x:c r="I131" s="44" t="str">
        <x:v>BL-X-PR-05</x:v>
      </x:c>
      <x:c r="J131" s="44" t="str">
        <x:v>section 04 release</x:v>
      </x:c>
      <x:c r="K131" s="45" t="str"/>
      <x:c r="L131" s="44" t="str"/>
      <x:c r="M131" s="44" t="str"/>
      <x:c r="N131" s="44" t="str">
        <x:f>IF(M131="","OPEN",IF(OR(K131="",L131=""),"FAIL","PASS"))</x:f>
        <x:v>OPEN</x:v>
      </x:c>
    </x:row>
    <x:row r="132" ht="36" customHeight="1">
      <x:c r="B132" s="44" t="str">
        <x:v>RAC-TR-0126</x:v>
      </x:c>
      <x:c r="C132" s="44" t="str">
        <x:v>REA-T-A1</x:v>
      </x:c>
      <x:c r="D132" s="44" t="str">
        <x:v>FUNCTIONAL TWIN</x:v>
      </x:c>
      <x:c r="E132" s="44" t="str">
        <x:v>BL-X</x:v>
      </x:c>
      <x:c r="F132" s="44" t="str">
        <x:v>dispenser</x:v>
      </x:c>
      <x:c r="G132" s="44" t="str">
        <x:v>RAC-S2</x:v>
      </x:c>
      <x:c r="H132" s="44" t="str">
        <x:v>RAC-LOT-016</x:v>
      </x:c>
      <x:c r="I132" s="44" t="str">
        <x:v>BL-X-PR-06</x:v>
      </x:c>
      <x:c r="J132" s="44" t="str">
        <x:v>section 05 release</x:v>
      </x:c>
      <x:c r="K132" s="45" t="str"/>
      <x:c r="L132" s="44" t="str"/>
      <x:c r="M132" s="44" t="str"/>
      <x:c r="N132" s="44" t="str">
        <x:f>IF(M132="","OPEN",IF(OR(K132="",L132=""),"FAIL","PASS"))</x:f>
        <x:v>OPEN</x:v>
      </x:c>
    </x:row>
    <x:row r="133" ht="36" customHeight="1">
      <x:c r="B133" s="44" t="str">
        <x:v>RAC-TR-0127</x:v>
      </x:c>
      <x:c r="C133" s="44" t="str">
        <x:v>REA-T-A1</x:v>
      </x:c>
      <x:c r="D133" s="44" t="str">
        <x:v>FUNCTIONAL TWIN</x:v>
      </x:c>
      <x:c r="E133" s="44" t="str">
        <x:v>BL-X</x:v>
      </x:c>
      <x:c r="F133" s="44" t="str">
        <x:v>inner pan</x:v>
      </x:c>
      <x:c r="G133" s="44" t="str">
        <x:v>RAC-S2</x:v>
      </x:c>
      <x:c r="H133" s="44" t="str">
        <x:v>RAC-LOT-019</x:v>
      </x:c>
      <x:c r="I133" s="44" t="str">
        <x:v>BL-X-PR-07</x:v>
      </x:c>
      <x:c r="J133" s="44" t="str">
        <x:v>section 06 release</x:v>
      </x:c>
      <x:c r="K133" s="45" t="str"/>
      <x:c r="L133" s="44" t="str"/>
      <x:c r="M133" s="44" t="str"/>
      <x:c r="N133" s="44" t="str">
        <x:f>IF(M133="","OPEN",IF(OR(K133="",L133=""),"FAIL","PASS"))</x:f>
        <x:v>OPEN</x:v>
      </x:c>
    </x:row>
    <x:row r="134" ht="36" customHeight="1">
      <x:c r="B134" s="44" t="str">
        <x:v>RAC-TR-0128</x:v>
      </x:c>
      <x:c r="C134" s="44" t="str">
        <x:v>REA-T-A1</x:v>
      </x:c>
      <x:c r="D134" s="44" t="str">
        <x:v>FUNCTIONAL TWIN</x:v>
      </x:c>
      <x:c r="E134" s="44" t="str">
        <x:v>BL-X</x:v>
      </x:c>
      <x:c r="F134" s="44" t="str">
        <x:v>normal route</x:v>
      </x:c>
      <x:c r="G134" s="44" t="str">
        <x:v>RAC-S2</x:v>
      </x:c>
      <x:c r="H134" s="44" t="str">
        <x:v>RAC-LOT-022</x:v>
      </x:c>
      <x:c r="I134" s="44" t="str">
        <x:v>BL-X-PR-08</x:v>
      </x:c>
      <x:c r="J134" s="44" t="str">
        <x:v>section 07 release</x:v>
      </x:c>
      <x:c r="K134" s="45" t="str"/>
      <x:c r="L134" s="44" t="str"/>
      <x:c r="M134" s="44" t="str"/>
      <x:c r="N134" s="44" t="str">
        <x:f>IF(M134="","OPEN",IF(OR(K134="",L134=""),"FAIL","PASS"))</x:f>
        <x:v>OPEN</x:v>
      </x:c>
    </x:row>
    <x:row r="135" ht="36" customHeight="1">
      <x:c r="B135" s="44" t="str">
        <x:v>RAC-TR-0129</x:v>
      </x:c>
      <x:c r="C135" s="44" t="str">
        <x:v>REA-T-A1</x:v>
      </x:c>
      <x:c r="D135" s="44" t="str">
        <x:v>FUNCTIONAL TWIN</x:v>
      </x:c>
      <x:c r="E135" s="44" t="str">
        <x:v>BL-X</x:v>
      </x:c>
      <x:c r="F135" s="44" t="str">
        <x:v>casualty route</x:v>
      </x:c>
      <x:c r="G135" s="44" t="str">
        <x:v>RAC-S3</x:v>
      </x:c>
      <x:c r="H135" s="44" t="str">
        <x:v>RAC-LOT-025</x:v>
      </x:c>
      <x:c r="I135" s="44" t="str">
        <x:v>BL-X-PR-09</x:v>
      </x:c>
      <x:c r="J135" s="44" t="str">
        <x:v>section 08 release</x:v>
      </x:c>
      <x:c r="K135" s="45" t="str"/>
      <x:c r="L135" s="44" t="str"/>
      <x:c r="M135" s="44" t="str"/>
      <x:c r="N135" s="44" t="str">
        <x:f>IF(M135="","OPEN",IF(OR(K135="",L135=""),"FAIL","PASS"))</x:f>
        <x:v>OPEN</x:v>
      </x:c>
    </x:row>
    <x:row r="136" ht="36" customHeight="1">
      <x:c r="B136" s="44" t="str">
        <x:v>RAC-TR-0130</x:v>
      </x:c>
      <x:c r="C136" s="44" t="str">
        <x:v>REA-T-A1</x:v>
      </x:c>
      <x:c r="D136" s="44" t="str">
        <x:v>FUNCTIONAL TWIN</x:v>
      </x:c>
      <x:c r="E136" s="44" t="str">
        <x:v>BL-X</x:v>
      </x:c>
      <x:c r="F136" s="44" t="str">
        <x:v>normal receiver</x:v>
      </x:c>
      <x:c r="G136" s="44" t="str">
        <x:v>RAC-S3</x:v>
      </x:c>
      <x:c r="H136" s="44" t="str">
        <x:v>RAC-LOT-028</x:v>
      </x:c>
      <x:c r="I136" s="44" t="str">
        <x:v>BL-X-PR-10</x:v>
      </x:c>
      <x:c r="J136" s="44" t="str">
        <x:v>section 09 release</x:v>
      </x:c>
      <x:c r="K136" s="45" t="str"/>
      <x:c r="L136" s="44" t="str"/>
      <x:c r="M136" s="44" t="str"/>
      <x:c r="N136" s="44" t="str">
        <x:f>IF(M136="","OPEN",IF(OR(K136="",L136=""),"FAIL","PASS"))</x:f>
        <x:v>OPEN</x:v>
      </x:c>
    </x:row>
    <x:row r="137" ht="36" customHeight="1">
      <x:c r="B137" s="44" t="str">
        <x:v>RAC-TR-0131</x:v>
      </x:c>
      <x:c r="C137" s="44" t="str">
        <x:v>REA-T-A1</x:v>
      </x:c>
      <x:c r="D137" s="44" t="str">
        <x:v>FUNCTIONAL TWIN</x:v>
      </x:c>
      <x:c r="E137" s="44" t="str">
        <x:v>BL-X</x:v>
      </x:c>
      <x:c r="F137" s="44" t="str">
        <x:v>casualty receiver</x:v>
      </x:c>
      <x:c r="G137" s="44" t="str">
        <x:v>RAC-S3</x:v>
      </x:c>
      <x:c r="H137" s="44" t="str">
        <x:v>RAC-LOT-031</x:v>
      </x:c>
      <x:c r="I137" s="44" t="str">
        <x:v>BL-X-PR-11</x:v>
      </x:c>
      <x:c r="J137" s="44" t="str">
        <x:v>section 10 release</x:v>
      </x:c>
      <x:c r="K137" s="45" t="str"/>
      <x:c r="L137" s="44" t="str"/>
      <x:c r="M137" s="44" t="str"/>
      <x:c r="N137" s="44" t="str">
        <x:f>IF(M137="","OPEN",IF(OR(K137="",L137=""),"FAIL","PASS"))</x:f>
        <x:v>OPEN</x:v>
      </x:c>
    </x:row>
    <x:row r="138" ht="36" customHeight="1">
      <x:c r="B138" s="44" t="str">
        <x:v>RAC-TR-0132</x:v>
      </x:c>
      <x:c r="C138" s="44" t="str">
        <x:v>REA-T-A1</x:v>
      </x:c>
      <x:c r="D138" s="44" t="str">
        <x:v>FUNCTIONAL TWIN</x:v>
      </x:c>
      <x:c r="E138" s="44" t="str">
        <x:v>BL-X</x:v>
      </x:c>
      <x:c r="F138" s="44" t="str">
        <x:v>source inlet isolation</x:v>
      </x:c>
      <x:c r="G138" s="44" t="str">
        <x:v>RAC-S3</x:v>
      </x:c>
      <x:c r="H138" s="44" t="str">
        <x:v>RAC-LOT-034</x:v>
      </x:c>
      <x:c r="I138" s="44" t="str">
        <x:v>BL-X-PR-12</x:v>
      </x:c>
      <x:c r="J138" s="44" t="str">
        <x:v>section 11 release</x:v>
      </x:c>
      <x:c r="K138" s="45" t="str"/>
      <x:c r="L138" s="44" t="str"/>
      <x:c r="M138" s="44" t="str"/>
      <x:c r="N138" s="44" t="str">
        <x:f>IF(M138="","OPEN",IF(OR(K138="",L138=""),"FAIL","PASS"))</x:f>
        <x:v>OPEN</x:v>
      </x:c>
    </x:row>
    <x:row r="139" ht="36" customHeight="1">
      <x:c r="B139" s="44" t="str">
        <x:v>RAC-TR-0133</x:v>
      </x:c>
      <x:c r="C139" s="44" t="str">
        <x:v>REA-T-A1</x:v>
      </x:c>
      <x:c r="D139" s="44" t="str">
        <x:v>FUNCTIONAL TWIN</x:v>
      </x:c>
      <x:c r="E139" s="44" t="str">
        <x:v>BL-X</x:v>
      </x:c>
      <x:c r="F139" s="44" t="str">
        <x:v>dispenser isolation</x:v>
      </x:c>
      <x:c r="G139" s="44" t="str">
        <x:v>RAC-S4</x:v>
      </x:c>
      <x:c r="H139" s="44" t="str">
        <x:v>RAC-LOT-001</x:v>
      </x:c>
      <x:c r="I139" s="44" t="str">
        <x:v>BL-X-PR-13</x:v>
      </x:c>
      <x:c r="J139" s="44" t="str">
        <x:v>section 12 release</x:v>
      </x:c>
      <x:c r="K139" s="45" t="str"/>
      <x:c r="L139" s="44" t="str"/>
      <x:c r="M139" s="44" t="str"/>
      <x:c r="N139" s="44" t="str">
        <x:f>IF(M139="","OPEN",IF(OR(K139="",L139=""),"FAIL","PASS"))</x:f>
        <x:v>OPEN</x:v>
      </x:c>
    </x:row>
    <x:row r="140" ht="36" customHeight="1">
      <x:c r="B140" s="44" t="str">
        <x:v>RAC-TR-0134</x:v>
      </x:c>
      <x:c r="C140" s="44" t="str">
        <x:v>REA-T-A1</x:v>
      </x:c>
      <x:c r="D140" s="44" t="str">
        <x:v>FUNCTIONAL TWIN</x:v>
      </x:c>
      <x:c r="E140" s="44" t="str">
        <x:v>BL-X</x:v>
      </x:c>
      <x:c r="F140" s="44" t="str">
        <x:v>gravity diversion</x:v>
      </x:c>
      <x:c r="G140" s="44" t="str">
        <x:v>RAC-S4</x:v>
      </x:c>
      <x:c r="H140" s="44" t="str">
        <x:v>RAC-LOT-004</x:v>
      </x:c>
      <x:c r="I140" s="44" t="str">
        <x:v>BL-X-PR-14</x:v>
      </x:c>
      <x:c r="J140" s="44" t="str">
        <x:v>section 13 release</x:v>
      </x:c>
      <x:c r="K140" s="45" t="str"/>
      <x:c r="L140" s="44" t="str"/>
      <x:c r="M140" s="44" t="str"/>
      <x:c r="N140" s="44" t="str">
        <x:f>IF(M140="","OPEN",IF(OR(K140="",L140=""),"FAIL","PASS"))</x:f>
        <x:v>OPEN</x:v>
      </x:c>
    </x:row>
    <x:row r="141" ht="36" customHeight="1">
      <x:c r="B141" s="44" t="str">
        <x:v>RAC-TR-0135</x:v>
      </x:c>
      <x:c r="C141" s="44" t="str">
        <x:v>REA-T-A1</x:v>
      </x:c>
      <x:c r="D141" s="44" t="str">
        <x:v>FUNCTIONAL TWIN</x:v>
      </x:c>
      <x:c r="E141" s="44" t="str">
        <x:v>BL-X</x:v>
      </x:c>
      <x:c r="F141" s="44" t="str">
        <x:v>water isolation</x:v>
      </x:c>
      <x:c r="G141" s="44" t="str">
        <x:v>RAC-S4</x:v>
      </x:c>
      <x:c r="H141" s="44" t="str">
        <x:v>RAC-LOT-007</x:v>
      </x:c>
      <x:c r="I141" s="44" t="str">
        <x:v>BL-X-PR-15</x:v>
      </x:c>
      <x:c r="J141" s="44" t="str">
        <x:v>section 14 release</x:v>
      </x:c>
      <x:c r="K141" s="45" t="str"/>
      <x:c r="L141" s="44" t="str"/>
      <x:c r="M141" s="44" t="str"/>
      <x:c r="N141" s="44" t="str">
        <x:f>IF(M141="","OPEN",IF(OR(K141="",L141=""),"FAIL","PASS"))</x:f>
        <x:v>OPEN</x:v>
      </x:c>
    </x:row>
    <x:row r="142" ht="36" customHeight="1">
      <x:c r="B142" s="44" t="str">
        <x:v>RAC-TR-0136</x:v>
      </x:c>
      <x:c r="C142" s="44" t="str">
        <x:v>REA-T-A1</x:v>
      </x:c>
      <x:c r="D142" s="44" t="str">
        <x:v>FUNCTIONAL TWIN</x:v>
      </x:c>
      <x:c r="E142" s="44" t="str">
        <x:v>BL-X</x:v>
      </x:c>
      <x:c r="F142" s="44" t="str">
        <x:v>electrical isolation</x:v>
      </x:c>
      <x:c r="G142" s="44" t="str">
        <x:v>RAC-S4</x:v>
      </x:c>
      <x:c r="H142" s="44" t="str">
        <x:v>RAC-LOT-010</x:v>
      </x:c>
      <x:c r="I142" s="44" t="str">
        <x:v>BL-X-PR-16</x:v>
      </x:c>
      <x:c r="J142" s="44" t="str">
        <x:v>section 15 release</x:v>
      </x:c>
      <x:c r="K142" s="45" t="str"/>
      <x:c r="L142" s="44" t="str"/>
      <x:c r="M142" s="44" t="str"/>
      <x:c r="N142" s="44" t="str">
        <x:f>IF(M142="","OPEN",IF(OR(K142="",L142=""),"FAIL","PASS"))</x:f>
        <x:v>OPEN</x:v>
      </x:c>
    </x:row>
    <x:row r="143" ht="36" customHeight="1">
      <x:c r="B143" s="44" t="str">
        <x:v>RAC-TR-0137</x:v>
      </x:c>
      <x:c r="C143" s="44" t="str">
        <x:v>REA-T-A1</x:v>
      </x:c>
      <x:c r="D143" s="44" t="str">
        <x:v>FUNCTIONAL TWIN</x:v>
      </x:c>
      <x:c r="E143" s="44" t="str">
        <x:v>BL-X</x:v>
      </x:c>
      <x:c r="F143" s="44" t="str">
        <x:v>independent safety energy</x:v>
      </x:c>
      <x:c r="G143" s="44" t="str">
        <x:v>RAC-S4</x:v>
      </x:c>
      <x:c r="H143" s="44" t="str">
        <x:v>RAC-LOT-013</x:v>
      </x:c>
      <x:c r="I143" s="44" t="str">
        <x:v>BL-X-PR-01</x:v>
      </x:c>
      <x:c r="J143" s="44" t="str">
        <x:v>section 16 release</x:v>
      </x:c>
      <x:c r="K143" s="45" t="str"/>
      <x:c r="L143" s="44" t="str"/>
      <x:c r="M143" s="44" t="str"/>
      <x:c r="N143" s="44" t="str">
        <x:f>IF(M143="","OPEN",IF(OR(K143="",L143=""),"FAIL","PASS"))</x:f>
        <x:v>OPEN</x:v>
      </x:c>
    </x:row>
    <x:row r="144" ht="36" customHeight="1">
      <x:c r="B144" s="44" t="str">
        <x:v>RAC-TR-0138</x:v>
      </x:c>
      <x:c r="C144" s="44" t="str">
        <x:v>REA-T-A1</x:v>
      </x:c>
      <x:c r="D144" s="44" t="str">
        <x:v>FUNCTIONAL TWIN</x:v>
      </x:c>
      <x:c r="E144" s="44" t="str">
        <x:v>BL-X</x:v>
      </x:c>
      <x:c r="F144" s="44" t="str">
        <x:v>measurement frame</x:v>
      </x:c>
      <x:c r="G144" s="44" t="str">
        <x:v>RAC-S4</x:v>
      </x:c>
      <x:c r="H144" s="44" t="str">
        <x:v>RAC-LOT-016</x:v>
      </x:c>
      <x:c r="I144" s="44" t="str">
        <x:v>BL-X-PR-02</x:v>
      </x:c>
      <x:c r="J144" s="44" t="str">
        <x:v>section 17 release</x:v>
      </x:c>
      <x:c r="K144" s="45" t="str"/>
      <x:c r="L144" s="44" t="str"/>
      <x:c r="M144" s="44" t="str"/>
      <x:c r="N144" s="44" t="str">
        <x:f>IF(M144="","OPEN",IF(OR(K144="",L144=""),"FAIL","PASS"))</x:f>
        <x:v>OPEN</x:v>
      </x:c>
    </x:row>
    <x:row r="145" ht="36" customHeight="1">
      <x:c r="B145" s="44" t="str">
        <x:v>RAC-TR-0139</x:v>
      </x:c>
      <x:c r="C145" s="44" t="str">
        <x:v>REA-T-A1</x:v>
      </x:c>
      <x:c r="D145" s="44" t="str">
        <x:v>FUNCTIONAL TWIN</x:v>
      </x:c>
      <x:c r="E145" s="44" t="str">
        <x:v>BL-X</x:v>
      </x:c>
      <x:c r="F145" s="44" t="str">
        <x:v>causal time and evidence</x:v>
      </x:c>
      <x:c r="G145" s="44" t="str">
        <x:v>RAC-S6</x:v>
      </x:c>
      <x:c r="H145" s="44" t="str">
        <x:v>RAC-LOT-019</x:v>
      </x:c>
      <x:c r="I145" s="44" t="str">
        <x:v>BL-X-PR-03</x:v>
      </x:c>
      <x:c r="J145" s="44" t="str">
        <x:v>section 18 release</x:v>
      </x:c>
      <x:c r="K145" s="45" t="str"/>
      <x:c r="L145" s="44" t="str"/>
      <x:c r="M145" s="44" t="str"/>
      <x:c r="N145" s="44" t="str">
        <x:f>IF(M145="","OPEN",IF(OR(K145="",L145=""),"FAIL","PASS"))</x:f>
        <x:v>OPEN</x:v>
      </x:c>
    </x:row>
    <x:row r="146" ht="36" customHeight="1">
      <x:c r="B146" s="44" t="str">
        <x:v>RAC-TR-0140</x:v>
      </x:c>
      <x:c r="C146" s="44" t="str">
        <x:v>REA-T-A1</x:v>
      </x:c>
      <x:c r="D146" s="44" t="str">
        <x:v>FUNCTIONAL TWIN</x:v>
      </x:c>
      <x:c r="E146" s="44" t="str">
        <x:v>BL-X</x:v>
      </x:c>
      <x:c r="F146" s="44" t="str">
        <x:v>rescue and environmental access</x:v>
      </x:c>
      <x:c r="G146" s="44" t="str">
        <x:v>RAC-S6</x:v>
      </x:c>
      <x:c r="H146" s="44" t="str">
        <x:v>RAC-LOT-022</x:v>
      </x:c>
      <x:c r="I146" s="44" t="str">
        <x:v>BL-X-PR-04</x:v>
      </x:c>
      <x:c r="J146" s="44" t="str">
        <x:v>section 19 release</x:v>
      </x:c>
      <x:c r="K146" s="45" t="str"/>
      <x:c r="L146" s="44" t="str"/>
      <x:c r="M146" s="44" t="str"/>
      <x:c r="N146" s="44" t="str">
        <x:f>IF(M146="","OPEN",IF(OR(K146="",L146=""),"FAIL","PASS"))</x:f>
        <x:v>OPEN</x:v>
      </x:c>
    </x:row>
    <x:row r="147" ht="36" customHeight="1">
      <x:c r="B147" s="44" t="str">
        <x:v>RAC-TR-0141</x:v>
      </x:c>
      <x:c r="C147" s="44" t="str">
        <x:v>REA-T-A2</x:v>
      </x:c>
      <x:c r="D147" s="44" t="str">
        <x:v>FUNCTIONAL TWIN</x:v>
      </x:c>
      <x:c r="E147" s="44" t="str">
        <x:v>BL-Y</x:v>
      </x:c>
      <x:c r="F147" s="44" t="str">
        <x:v>public datum</x:v>
      </x:c>
      <x:c r="G147" s="44" t="str">
        <x:v>RAC-S1</x:v>
      </x:c>
      <x:c r="H147" s="44" t="str">
        <x:v>RAC-LOT-037</x:v>
      </x:c>
      <x:c r="I147" s="44" t="str">
        <x:v>BL-Y-PR-01</x:v>
      </x:c>
      <x:c r="J147" s="44" t="str">
        <x:v>authority freeze</x:v>
      </x:c>
      <x:c r="K147" s="45" t="str"/>
      <x:c r="L147" s="44" t="str"/>
      <x:c r="M147" s="44" t="str"/>
      <x:c r="N147" s="44" t="str">
        <x:f>IF(M147="","OPEN",IF(OR(K147="",L147=""),"FAIL","PASS"))</x:f>
        <x:v>OPEN</x:v>
      </x:c>
    </x:row>
    <x:row r="148" ht="36" customHeight="1">
      <x:c r="B148" s="44" t="str">
        <x:v>RAC-TR-0142</x:v>
      </x:c>
      <x:c r="C148" s="44" t="str">
        <x:v>REA-T-A2</x:v>
      </x:c>
      <x:c r="D148" s="44" t="str">
        <x:v>FUNCTIONAL TWIN</x:v>
      </x:c>
      <x:c r="E148" s="44" t="str">
        <x:v>BL-Y</x:v>
      </x:c>
      <x:c r="F148" s="44" t="str">
        <x:v>primary frame</x:v>
      </x:c>
      <x:c r="G148" s="44" t="str">
        <x:v>RAC-S1</x:v>
      </x:c>
      <x:c r="H148" s="44" t="str">
        <x:v>RAC-LOT-040</x:v>
      </x:c>
      <x:c r="I148" s="44" t="str">
        <x:v>BL-Y-PR-02</x:v>
      </x:c>
      <x:c r="J148" s="44" t="str">
        <x:v>section 01 release</x:v>
      </x:c>
      <x:c r="K148" s="45" t="str"/>
      <x:c r="L148" s="44" t="str"/>
      <x:c r="M148" s="44" t="str"/>
      <x:c r="N148" s="44" t="str">
        <x:f>IF(M148="","OPEN",IF(OR(K148="",L148=""),"FAIL","PASS"))</x:f>
        <x:v>OPEN</x:v>
      </x:c>
    </x:row>
    <x:row r="149" ht="36" customHeight="1">
      <x:c r="B149" s="44" t="str">
        <x:v>RAC-TR-0143</x:v>
      </x:c>
      <x:c r="C149" s="44" t="str">
        <x:v>REA-T-A2</x:v>
      </x:c>
      <x:c r="D149" s="44" t="str">
        <x:v>FUNCTIONAL TWIN</x:v>
      </x:c>
      <x:c r="E149" s="44" t="str">
        <x:v>BL-Y</x:v>
      </x:c>
      <x:c r="F149" s="44" t="str">
        <x:v>source-surrogate vessel</x:v>
      </x:c>
      <x:c r="G149" s="44" t="str">
        <x:v>RAC-S1</x:v>
      </x:c>
      <x:c r="H149" s="44" t="str">
        <x:v>RAC-LOT-043</x:v>
      </x:c>
      <x:c r="I149" s="44" t="str">
        <x:v>BL-Y-PR-03</x:v>
      </x:c>
      <x:c r="J149" s="44" t="str">
        <x:v>section 02 release</x:v>
      </x:c>
      <x:c r="K149" s="45" t="str"/>
      <x:c r="L149" s="44" t="str"/>
      <x:c r="M149" s="44" t="str"/>
      <x:c r="N149" s="44" t="str">
        <x:f>IF(M149="","OPEN",IF(OR(K149="",L149=""),"FAIL","PASS"))</x:f>
        <x:v>OPEN</x:v>
      </x:c>
    </x:row>
    <x:row r="150" ht="36" customHeight="1">
      <x:c r="B150" s="44" t="str">
        <x:v>RAC-TR-0144</x:v>
      </x:c>
      <x:c r="C150" s="44" t="str">
        <x:v>REA-T-A2</x:v>
      </x:c>
      <x:c r="D150" s="44" t="str">
        <x:v>FUNCTIONAL TWIN</x:v>
      </x:c>
      <x:c r="E150" s="44" t="str">
        <x:v>BL-Y</x:v>
      </x:c>
      <x:c r="F150" s="44" t="str">
        <x:v>capsule dock</x:v>
      </x:c>
      <x:c r="G150" s="44" t="str">
        <x:v>RAC-S1</x:v>
      </x:c>
      <x:c r="H150" s="44" t="str">
        <x:v>RAC-LOT-046</x:v>
      </x:c>
      <x:c r="I150" s="44" t="str">
        <x:v>BL-Y-PR-04</x:v>
      </x:c>
      <x:c r="J150" s="44" t="str">
        <x:v>section 03 release</x:v>
      </x:c>
      <x:c r="K150" s="45" t="str"/>
      <x:c r="L150" s="44" t="str"/>
      <x:c r="M150" s="44" t="str"/>
      <x:c r="N150" s="44" t="str">
        <x:f>IF(M150="","OPEN",IF(OR(K150="",L150=""),"FAIL","PASS"))</x:f>
        <x:v>OPEN</x:v>
      </x:c>
    </x:row>
    <x:row r="151" ht="36" customHeight="1">
      <x:c r="B151" s="44" t="str">
        <x:v>RAC-TR-0145</x:v>
      </x:c>
      <x:c r="C151" s="44" t="str">
        <x:v>REA-T-A2</x:v>
      </x:c>
      <x:c r="D151" s="44" t="str">
        <x:v>FUNCTIONAL TWIN</x:v>
      </x:c>
      <x:c r="E151" s="44" t="str">
        <x:v>BL-Y</x:v>
      </x:c>
      <x:c r="F151" s="44" t="str">
        <x:v>40 mm insert</x:v>
      </x:c>
      <x:c r="G151" s="44" t="str">
        <x:v>RAC-S2</x:v>
      </x:c>
      <x:c r="H151" s="44" t="str">
        <x:v>RAC-LOT-049</x:v>
      </x:c>
      <x:c r="I151" s="44" t="str">
        <x:v>BL-Y-PR-05</x:v>
      </x:c>
      <x:c r="J151" s="44" t="str">
        <x:v>section 04 release</x:v>
      </x:c>
      <x:c r="K151" s="45" t="str"/>
      <x:c r="L151" s="44" t="str"/>
      <x:c r="M151" s="44" t="str"/>
      <x:c r="N151" s="44" t="str">
        <x:f>IF(M151="","OPEN",IF(OR(K151="",L151=""),"FAIL","PASS"))</x:f>
        <x:v>OPEN</x:v>
      </x:c>
    </x:row>
    <x:row r="152" ht="36" customHeight="1">
      <x:c r="B152" s="44" t="str">
        <x:v>RAC-TR-0146</x:v>
      </x:c>
      <x:c r="C152" s="44" t="str">
        <x:v>REA-T-A2</x:v>
      </x:c>
      <x:c r="D152" s="44" t="str">
        <x:v>FUNCTIONAL TWIN</x:v>
      </x:c>
      <x:c r="E152" s="44" t="str">
        <x:v>BL-Y</x:v>
      </x:c>
      <x:c r="F152" s="44" t="str">
        <x:v>dispenser</x:v>
      </x:c>
      <x:c r="G152" s="44" t="str">
        <x:v>RAC-S2</x:v>
      </x:c>
      <x:c r="H152" s="44" t="str">
        <x:v>RAC-LOT-052</x:v>
      </x:c>
      <x:c r="I152" s="44" t="str">
        <x:v>BL-Y-PR-06</x:v>
      </x:c>
      <x:c r="J152" s="44" t="str">
        <x:v>section 05 release</x:v>
      </x:c>
      <x:c r="K152" s="45" t="str"/>
      <x:c r="L152" s="44" t="str"/>
      <x:c r="M152" s="44" t="str"/>
      <x:c r="N152" s="44" t="str">
        <x:f>IF(M152="","OPEN",IF(OR(K152="",L152=""),"FAIL","PASS"))</x:f>
        <x:v>OPEN</x:v>
      </x:c>
    </x:row>
    <x:row r="153" ht="36" customHeight="1">
      <x:c r="B153" s="44" t="str">
        <x:v>RAC-TR-0147</x:v>
      </x:c>
      <x:c r="C153" s="44" t="str">
        <x:v>REA-T-A2</x:v>
      </x:c>
      <x:c r="D153" s="44" t="str">
        <x:v>FUNCTIONAL TWIN</x:v>
      </x:c>
      <x:c r="E153" s="44" t="str">
        <x:v>BL-Y</x:v>
      </x:c>
      <x:c r="F153" s="44" t="str">
        <x:v>inner pan</x:v>
      </x:c>
      <x:c r="G153" s="44" t="str">
        <x:v>RAC-S2</x:v>
      </x:c>
      <x:c r="H153" s="44" t="str">
        <x:v>RAC-LOT-055</x:v>
      </x:c>
      <x:c r="I153" s="44" t="str">
        <x:v>BL-Y-PR-07</x:v>
      </x:c>
      <x:c r="J153" s="44" t="str">
        <x:v>section 06 release</x:v>
      </x:c>
      <x:c r="K153" s="45" t="str"/>
      <x:c r="L153" s="44" t="str"/>
      <x:c r="M153" s="44" t="str"/>
      <x:c r="N153" s="44" t="str">
        <x:f>IF(M153="","OPEN",IF(OR(K153="",L153=""),"FAIL","PASS"))</x:f>
        <x:v>OPEN</x:v>
      </x:c>
    </x:row>
    <x:row r="154" ht="36" customHeight="1">
      <x:c r="B154" s="44" t="str">
        <x:v>RAC-TR-0148</x:v>
      </x:c>
      <x:c r="C154" s="44" t="str">
        <x:v>REA-T-A2</x:v>
      </x:c>
      <x:c r="D154" s="44" t="str">
        <x:v>FUNCTIONAL TWIN</x:v>
      </x:c>
      <x:c r="E154" s="44" t="str">
        <x:v>BL-Y</x:v>
      </x:c>
      <x:c r="F154" s="44" t="str">
        <x:v>normal route</x:v>
      </x:c>
      <x:c r="G154" s="44" t="str">
        <x:v>RAC-S2</x:v>
      </x:c>
      <x:c r="H154" s="44" t="str">
        <x:v>RAC-LOT-058</x:v>
      </x:c>
      <x:c r="I154" s="44" t="str">
        <x:v>BL-Y-PR-08</x:v>
      </x:c>
      <x:c r="J154" s="44" t="str">
        <x:v>section 07 release</x:v>
      </x:c>
      <x:c r="K154" s="45" t="str"/>
      <x:c r="L154" s="44" t="str"/>
      <x:c r="M154" s="44" t="str"/>
      <x:c r="N154" s="44" t="str">
        <x:f>IF(M154="","OPEN",IF(OR(K154="",L154=""),"FAIL","PASS"))</x:f>
        <x:v>OPEN</x:v>
      </x:c>
    </x:row>
    <x:row r="155" ht="36" customHeight="1">
      <x:c r="B155" s="44" t="str">
        <x:v>RAC-TR-0149</x:v>
      </x:c>
      <x:c r="C155" s="44" t="str">
        <x:v>REA-T-A2</x:v>
      </x:c>
      <x:c r="D155" s="44" t="str">
        <x:v>FUNCTIONAL TWIN</x:v>
      </x:c>
      <x:c r="E155" s="44" t="str">
        <x:v>BL-Y</x:v>
      </x:c>
      <x:c r="F155" s="44" t="str">
        <x:v>casualty route</x:v>
      </x:c>
      <x:c r="G155" s="44" t="str">
        <x:v>RAC-S3</x:v>
      </x:c>
      <x:c r="H155" s="44" t="str">
        <x:v>RAC-LOT-061</x:v>
      </x:c>
      <x:c r="I155" s="44" t="str">
        <x:v>BL-Y-PR-09</x:v>
      </x:c>
      <x:c r="J155" s="44" t="str">
        <x:v>section 08 release</x:v>
      </x:c>
      <x:c r="K155" s="45" t="str"/>
      <x:c r="L155" s="44" t="str"/>
      <x:c r="M155" s="44" t="str"/>
      <x:c r="N155" s="44" t="str">
        <x:f>IF(M155="","OPEN",IF(OR(K155="",L155=""),"FAIL","PASS"))</x:f>
        <x:v>OPEN</x:v>
      </x:c>
    </x:row>
    <x:row r="156" ht="36" customHeight="1">
      <x:c r="B156" s="44" t="str">
        <x:v>RAC-TR-0150</x:v>
      </x:c>
      <x:c r="C156" s="44" t="str">
        <x:v>REA-T-A2</x:v>
      </x:c>
      <x:c r="D156" s="44" t="str">
        <x:v>FUNCTIONAL TWIN</x:v>
      </x:c>
      <x:c r="E156" s="44" t="str">
        <x:v>BL-Y</x:v>
      </x:c>
      <x:c r="F156" s="44" t="str">
        <x:v>normal receiver</x:v>
      </x:c>
      <x:c r="G156" s="44" t="str">
        <x:v>RAC-S3</x:v>
      </x:c>
      <x:c r="H156" s="44" t="str">
        <x:v>RAC-LOT-064</x:v>
      </x:c>
      <x:c r="I156" s="44" t="str">
        <x:v>BL-Y-PR-10</x:v>
      </x:c>
      <x:c r="J156" s="44" t="str">
        <x:v>section 09 release</x:v>
      </x:c>
      <x:c r="K156" s="45" t="str"/>
      <x:c r="L156" s="44" t="str"/>
      <x:c r="M156" s="44" t="str"/>
      <x:c r="N156" s="44" t="str">
        <x:f>IF(M156="","OPEN",IF(OR(K156="",L156=""),"FAIL","PASS"))</x:f>
        <x:v>OPEN</x:v>
      </x:c>
    </x:row>
    <x:row r="157" ht="36" customHeight="1">
      <x:c r="B157" s="44" t="str">
        <x:v>RAC-TR-0151</x:v>
      </x:c>
      <x:c r="C157" s="44" t="str">
        <x:v>REA-T-A2</x:v>
      </x:c>
      <x:c r="D157" s="44" t="str">
        <x:v>FUNCTIONAL TWIN</x:v>
      </x:c>
      <x:c r="E157" s="44" t="str">
        <x:v>BL-Y</x:v>
      </x:c>
      <x:c r="F157" s="44" t="str">
        <x:v>casualty receiver</x:v>
      </x:c>
      <x:c r="G157" s="44" t="str">
        <x:v>RAC-S3</x:v>
      </x:c>
      <x:c r="H157" s="44" t="str">
        <x:v>RAC-LOT-067</x:v>
      </x:c>
      <x:c r="I157" s="44" t="str">
        <x:v>BL-Y-PR-11</x:v>
      </x:c>
      <x:c r="J157" s="44" t="str">
        <x:v>section 10 release</x:v>
      </x:c>
      <x:c r="K157" s="45" t="str"/>
      <x:c r="L157" s="44" t="str"/>
      <x:c r="M157" s="44" t="str"/>
      <x:c r="N157" s="44" t="str">
        <x:f>IF(M157="","OPEN",IF(OR(K157="",L157=""),"FAIL","PASS"))</x:f>
        <x:v>OPEN</x:v>
      </x:c>
    </x:row>
    <x:row r="158" ht="36" customHeight="1">
      <x:c r="B158" s="44" t="str">
        <x:v>RAC-TR-0152</x:v>
      </x:c>
      <x:c r="C158" s="44" t="str">
        <x:v>REA-T-A2</x:v>
      </x:c>
      <x:c r="D158" s="44" t="str">
        <x:v>FUNCTIONAL TWIN</x:v>
      </x:c>
      <x:c r="E158" s="44" t="str">
        <x:v>BL-Y</x:v>
      </x:c>
      <x:c r="F158" s="44" t="str">
        <x:v>source inlet isolation</x:v>
      </x:c>
      <x:c r="G158" s="44" t="str">
        <x:v>RAC-S3</x:v>
      </x:c>
      <x:c r="H158" s="44" t="str">
        <x:v>RAC-LOT-070</x:v>
      </x:c>
      <x:c r="I158" s="44" t="str">
        <x:v>BL-Y-PR-12</x:v>
      </x:c>
      <x:c r="J158" s="44" t="str">
        <x:v>section 11 release</x:v>
      </x:c>
      <x:c r="K158" s="45" t="str"/>
      <x:c r="L158" s="44" t="str"/>
      <x:c r="M158" s="44" t="str"/>
      <x:c r="N158" s="44" t="str">
        <x:f>IF(M158="","OPEN",IF(OR(K158="",L158=""),"FAIL","PASS"))</x:f>
        <x:v>OPEN</x:v>
      </x:c>
    </x:row>
    <x:row r="159" ht="36" customHeight="1">
      <x:c r="B159" s="44" t="str">
        <x:v>RAC-TR-0153</x:v>
      </x:c>
      <x:c r="C159" s="44" t="str">
        <x:v>REA-T-A2</x:v>
      </x:c>
      <x:c r="D159" s="44" t="str">
        <x:v>FUNCTIONAL TWIN</x:v>
      </x:c>
      <x:c r="E159" s="44" t="str">
        <x:v>BL-Y</x:v>
      </x:c>
      <x:c r="F159" s="44" t="str">
        <x:v>dispenser isolation</x:v>
      </x:c>
      <x:c r="G159" s="44" t="str">
        <x:v>RAC-S4</x:v>
      </x:c>
      <x:c r="H159" s="44" t="str">
        <x:v>RAC-LOT-037</x:v>
      </x:c>
      <x:c r="I159" s="44" t="str">
        <x:v>BL-Y-PR-13</x:v>
      </x:c>
      <x:c r="J159" s="44" t="str">
        <x:v>section 12 release</x:v>
      </x:c>
      <x:c r="K159" s="45" t="str"/>
      <x:c r="L159" s="44" t="str"/>
      <x:c r="M159" s="44" t="str"/>
      <x:c r="N159" s="44" t="str">
        <x:f>IF(M159="","OPEN",IF(OR(K159="",L159=""),"FAIL","PASS"))</x:f>
        <x:v>OPEN</x:v>
      </x:c>
    </x:row>
    <x:row r="160" ht="36" customHeight="1">
      <x:c r="B160" s="44" t="str">
        <x:v>RAC-TR-0154</x:v>
      </x:c>
      <x:c r="C160" s="44" t="str">
        <x:v>REA-T-A2</x:v>
      </x:c>
      <x:c r="D160" s="44" t="str">
        <x:v>FUNCTIONAL TWIN</x:v>
      </x:c>
      <x:c r="E160" s="44" t="str">
        <x:v>BL-Y</x:v>
      </x:c>
      <x:c r="F160" s="44" t="str">
        <x:v>gravity diversion</x:v>
      </x:c>
      <x:c r="G160" s="44" t="str">
        <x:v>RAC-S4</x:v>
      </x:c>
      <x:c r="H160" s="44" t="str">
        <x:v>RAC-LOT-040</x:v>
      </x:c>
      <x:c r="I160" s="44" t="str">
        <x:v>BL-Y-PR-14</x:v>
      </x:c>
      <x:c r="J160" s="44" t="str">
        <x:v>section 13 release</x:v>
      </x:c>
      <x:c r="K160" s="45" t="str"/>
      <x:c r="L160" s="44" t="str"/>
      <x:c r="M160" s="44" t="str"/>
      <x:c r="N160" s="44" t="str">
        <x:f>IF(M160="","OPEN",IF(OR(K160="",L160=""),"FAIL","PASS"))</x:f>
        <x:v>OPEN</x:v>
      </x:c>
    </x:row>
    <x:row r="161" ht="36" customHeight="1">
      <x:c r="B161" s="44" t="str">
        <x:v>RAC-TR-0155</x:v>
      </x:c>
      <x:c r="C161" s="44" t="str">
        <x:v>REA-T-A2</x:v>
      </x:c>
      <x:c r="D161" s="44" t="str">
        <x:v>FUNCTIONAL TWIN</x:v>
      </x:c>
      <x:c r="E161" s="44" t="str">
        <x:v>BL-Y</x:v>
      </x:c>
      <x:c r="F161" s="44" t="str">
        <x:v>water isolation</x:v>
      </x:c>
      <x:c r="G161" s="44" t="str">
        <x:v>RAC-S4</x:v>
      </x:c>
      <x:c r="H161" s="44" t="str">
        <x:v>RAC-LOT-043</x:v>
      </x:c>
      <x:c r="I161" s="44" t="str">
        <x:v>BL-Y-PR-15</x:v>
      </x:c>
      <x:c r="J161" s="44" t="str">
        <x:v>section 14 release</x:v>
      </x:c>
      <x:c r="K161" s="45" t="str"/>
      <x:c r="L161" s="44" t="str"/>
      <x:c r="M161" s="44" t="str"/>
      <x:c r="N161" s="44" t="str">
        <x:f>IF(M161="","OPEN",IF(OR(K161="",L161=""),"FAIL","PASS"))</x:f>
        <x:v>OPEN</x:v>
      </x:c>
    </x:row>
    <x:row r="162" ht="36" customHeight="1">
      <x:c r="B162" s="44" t="str">
        <x:v>RAC-TR-0156</x:v>
      </x:c>
      <x:c r="C162" s="44" t="str">
        <x:v>REA-T-A2</x:v>
      </x:c>
      <x:c r="D162" s="44" t="str">
        <x:v>FUNCTIONAL TWIN</x:v>
      </x:c>
      <x:c r="E162" s="44" t="str">
        <x:v>BL-Y</x:v>
      </x:c>
      <x:c r="F162" s="44" t="str">
        <x:v>electrical isolation</x:v>
      </x:c>
      <x:c r="G162" s="44" t="str">
        <x:v>RAC-S4</x:v>
      </x:c>
      <x:c r="H162" s="44" t="str">
        <x:v>RAC-LOT-046</x:v>
      </x:c>
      <x:c r="I162" s="44" t="str">
        <x:v>BL-Y-PR-16</x:v>
      </x:c>
      <x:c r="J162" s="44" t="str">
        <x:v>section 15 release</x:v>
      </x:c>
      <x:c r="K162" s="45" t="str"/>
      <x:c r="L162" s="44" t="str"/>
      <x:c r="M162" s="44" t="str"/>
      <x:c r="N162" s="44" t="str">
        <x:f>IF(M162="","OPEN",IF(OR(K162="",L162=""),"FAIL","PASS"))</x:f>
        <x:v>OPEN</x:v>
      </x:c>
    </x:row>
    <x:row r="163" ht="36" customHeight="1">
      <x:c r="B163" s="44" t="str">
        <x:v>RAC-TR-0157</x:v>
      </x:c>
      <x:c r="C163" s="44" t="str">
        <x:v>REA-T-A2</x:v>
      </x:c>
      <x:c r="D163" s="44" t="str">
        <x:v>FUNCTIONAL TWIN</x:v>
      </x:c>
      <x:c r="E163" s="44" t="str">
        <x:v>BL-Y</x:v>
      </x:c>
      <x:c r="F163" s="44" t="str">
        <x:v>independent safety energy</x:v>
      </x:c>
      <x:c r="G163" s="44" t="str">
        <x:v>RAC-S4</x:v>
      </x:c>
      <x:c r="H163" s="44" t="str">
        <x:v>RAC-LOT-049</x:v>
      </x:c>
      <x:c r="I163" s="44" t="str">
        <x:v>BL-Y-PR-01</x:v>
      </x:c>
      <x:c r="J163" s="44" t="str">
        <x:v>section 16 release</x:v>
      </x:c>
      <x:c r="K163" s="45" t="str"/>
      <x:c r="L163" s="44" t="str"/>
      <x:c r="M163" s="44" t="str"/>
      <x:c r="N163" s="44" t="str">
        <x:f>IF(M163="","OPEN",IF(OR(K163="",L163=""),"FAIL","PASS"))</x:f>
        <x:v>OPEN</x:v>
      </x:c>
    </x:row>
    <x:row r="164" ht="36" customHeight="1">
      <x:c r="B164" s="44" t="str">
        <x:v>RAC-TR-0158</x:v>
      </x:c>
      <x:c r="C164" s="44" t="str">
        <x:v>REA-T-A2</x:v>
      </x:c>
      <x:c r="D164" s="44" t="str">
        <x:v>FUNCTIONAL TWIN</x:v>
      </x:c>
      <x:c r="E164" s="44" t="str">
        <x:v>BL-Y</x:v>
      </x:c>
      <x:c r="F164" s="44" t="str">
        <x:v>measurement frame</x:v>
      </x:c>
      <x:c r="G164" s="44" t="str">
        <x:v>RAC-S4</x:v>
      </x:c>
      <x:c r="H164" s="44" t="str">
        <x:v>RAC-LOT-052</x:v>
      </x:c>
      <x:c r="I164" s="44" t="str">
        <x:v>BL-Y-PR-02</x:v>
      </x:c>
      <x:c r="J164" s="44" t="str">
        <x:v>section 17 release</x:v>
      </x:c>
      <x:c r="K164" s="45" t="str"/>
      <x:c r="L164" s="44" t="str"/>
      <x:c r="M164" s="44" t="str"/>
      <x:c r="N164" s="44" t="str">
        <x:f>IF(M164="","OPEN",IF(OR(K164="",L164=""),"FAIL","PASS"))</x:f>
        <x:v>OPEN</x:v>
      </x:c>
    </x:row>
    <x:row r="165" ht="36" customHeight="1">
      <x:c r="B165" s="44" t="str">
        <x:v>RAC-TR-0159</x:v>
      </x:c>
      <x:c r="C165" s="44" t="str">
        <x:v>REA-T-A2</x:v>
      </x:c>
      <x:c r="D165" s="44" t="str">
        <x:v>FUNCTIONAL TWIN</x:v>
      </x:c>
      <x:c r="E165" s="44" t="str">
        <x:v>BL-Y</x:v>
      </x:c>
      <x:c r="F165" s="44" t="str">
        <x:v>causal time and evidence</x:v>
      </x:c>
      <x:c r="G165" s="44" t="str">
        <x:v>RAC-S6</x:v>
      </x:c>
      <x:c r="H165" s="44" t="str">
        <x:v>RAC-LOT-055</x:v>
      </x:c>
      <x:c r="I165" s="44" t="str">
        <x:v>BL-Y-PR-03</x:v>
      </x:c>
      <x:c r="J165" s="44" t="str">
        <x:v>section 18 release</x:v>
      </x:c>
      <x:c r="K165" s="45" t="str"/>
      <x:c r="L165" s="44" t="str"/>
      <x:c r="M165" s="44" t="str"/>
      <x:c r="N165" s="44" t="str">
        <x:f>IF(M165="","OPEN",IF(OR(K165="",L165=""),"FAIL","PASS"))</x:f>
        <x:v>OPEN</x:v>
      </x:c>
    </x:row>
    <x:row r="166" ht="36" customHeight="1">
      <x:c r="B166" s="44" t="str">
        <x:v>RAC-TR-0160</x:v>
      </x:c>
      <x:c r="C166" s="44" t="str">
        <x:v>REA-T-A2</x:v>
      </x:c>
      <x:c r="D166" s="44" t="str">
        <x:v>FUNCTIONAL TWIN</x:v>
      </x:c>
      <x:c r="E166" s="44" t="str">
        <x:v>BL-Y</x:v>
      </x:c>
      <x:c r="F166" s="44" t="str">
        <x:v>rescue and environmental access</x:v>
      </x:c>
      <x:c r="G166" s="44" t="str">
        <x:v>RAC-S6</x:v>
      </x:c>
      <x:c r="H166" s="44" t="str">
        <x:v>RAC-LOT-058</x:v>
      </x:c>
      <x:c r="I166" s="44" t="str">
        <x:v>BL-Y-PR-04</x:v>
      </x:c>
      <x:c r="J166" s="44" t="str">
        <x:v>section 19 release</x:v>
      </x:c>
      <x:c r="K166" s="45" t="str"/>
      <x:c r="L166" s="44" t="str"/>
      <x:c r="M166" s="44" t="str"/>
      <x:c r="N166" s="44" t="str">
        <x:f>IF(M166="","OPEN",IF(OR(K166="",L166=""),"FAIL","PASS"))</x:f>
        <x:v>OPEN</x:v>
      </x:c>
    </x:row>
    <x:row r="167" ht="36" customHeight="1">
      <x:c r="B167" s="44" t="str">
        <x:v>RAC-TR-0161</x:v>
      </x:c>
      <x:c r="C167" s="44" t="str">
        <x:v>REA-T-B1</x:v>
      </x:c>
      <x:c r="D167" s="44" t="str">
        <x:v>FUNCTIONAL TWIN</x:v>
      </x:c>
      <x:c r="E167" s="44" t="str">
        <x:v>BL-X</x:v>
      </x:c>
      <x:c r="F167" s="44" t="str">
        <x:v>public datum</x:v>
      </x:c>
      <x:c r="G167" s="44" t="str">
        <x:v>RAC-S1</x:v>
      </x:c>
      <x:c r="H167" s="44" t="str">
        <x:v>RAC-LOT-001</x:v>
      </x:c>
      <x:c r="I167" s="44" t="str">
        <x:v>BL-X-PR-01</x:v>
      </x:c>
      <x:c r="J167" s="44" t="str">
        <x:v>authority freeze</x:v>
      </x:c>
      <x:c r="K167" s="45" t="str"/>
      <x:c r="L167" s="44" t="str"/>
      <x:c r="M167" s="44" t="str"/>
      <x:c r="N167" s="44" t="str">
        <x:f>IF(M167="","OPEN",IF(OR(K167="",L167=""),"FAIL","PASS"))</x:f>
        <x:v>OPEN</x:v>
      </x:c>
    </x:row>
    <x:row r="168" ht="36" customHeight="1">
      <x:c r="B168" s="44" t="str">
        <x:v>RAC-TR-0162</x:v>
      </x:c>
      <x:c r="C168" s="44" t="str">
        <x:v>REA-T-B1</x:v>
      </x:c>
      <x:c r="D168" s="44" t="str">
        <x:v>FUNCTIONAL TWIN</x:v>
      </x:c>
      <x:c r="E168" s="44" t="str">
        <x:v>BL-X</x:v>
      </x:c>
      <x:c r="F168" s="44" t="str">
        <x:v>primary frame</x:v>
      </x:c>
      <x:c r="G168" s="44" t="str">
        <x:v>RAC-S1</x:v>
      </x:c>
      <x:c r="H168" s="44" t="str">
        <x:v>RAC-LOT-004</x:v>
      </x:c>
      <x:c r="I168" s="44" t="str">
        <x:v>BL-X-PR-02</x:v>
      </x:c>
      <x:c r="J168" s="44" t="str">
        <x:v>section 01 release</x:v>
      </x:c>
      <x:c r="K168" s="45" t="str"/>
      <x:c r="L168" s="44" t="str"/>
      <x:c r="M168" s="44" t="str"/>
      <x:c r="N168" s="44" t="str">
        <x:f>IF(M168="","OPEN",IF(OR(K168="",L168=""),"FAIL","PASS"))</x:f>
        <x:v>OPEN</x:v>
      </x:c>
    </x:row>
    <x:row r="169" ht="36" customHeight="1">
      <x:c r="B169" s="44" t="str">
        <x:v>RAC-TR-0163</x:v>
      </x:c>
      <x:c r="C169" s="44" t="str">
        <x:v>REA-T-B1</x:v>
      </x:c>
      <x:c r="D169" s="44" t="str">
        <x:v>FUNCTIONAL TWIN</x:v>
      </x:c>
      <x:c r="E169" s="44" t="str">
        <x:v>BL-X</x:v>
      </x:c>
      <x:c r="F169" s="44" t="str">
        <x:v>source-surrogate vessel</x:v>
      </x:c>
      <x:c r="G169" s="44" t="str">
        <x:v>RAC-S1</x:v>
      </x:c>
      <x:c r="H169" s="44" t="str">
        <x:v>RAC-LOT-007</x:v>
      </x:c>
      <x:c r="I169" s="44" t="str">
        <x:v>BL-X-PR-03</x:v>
      </x:c>
      <x:c r="J169" s="44" t="str">
        <x:v>section 02 release</x:v>
      </x:c>
      <x:c r="K169" s="45" t="str"/>
      <x:c r="L169" s="44" t="str"/>
      <x:c r="M169" s="44" t="str"/>
      <x:c r="N169" s="44" t="str">
        <x:f>IF(M169="","OPEN",IF(OR(K169="",L169=""),"FAIL","PASS"))</x:f>
        <x:v>OPEN</x:v>
      </x:c>
    </x:row>
    <x:row r="170" ht="36" customHeight="1">
      <x:c r="B170" s="44" t="str">
        <x:v>RAC-TR-0164</x:v>
      </x:c>
      <x:c r="C170" s="44" t="str">
        <x:v>REA-T-B1</x:v>
      </x:c>
      <x:c r="D170" s="44" t="str">
        <x:v>FUNCTIONAL TWIN</x:v>
      </x:c>
      <x:c r="E170" s="44" t="str">
        <x:v>BL-X</x:v>
      </x:c>
      <x:c r="F170" s="44" t="str">
        <x:v>capsule dock</x:v>
      </x:c>
      <x:c r="G170" s="44" t="str">
        <x:v>RAC-S1</x:v>
      </x:c>
      <x:c r="H170" s="44" t="str">
        <x:v>RAC-LOT-010</x:v>
      </x:c>
      <x:c r="I170" s="44" t="str">
        <x:v>BL-X-PR-04</x:v>
      </x:c>
      <x:c r="J170" s="44" t="str">
        <x:v>section 03 release</x:v>
      </x:c>
      <x:c r="K170" s="45" t="str"/>
      <x:c r="L170" s="44" t="str"/>
      <x:c r="M170" s="44" t="str"/>
      <x:c r="N170" s="44" t="str">
        <x:f>IF(M170="","OPEN",IF(OR(K170="",L170=""),"FAIL","PASS"))</x:f>
        <x:v>OPEN</x:v>
      </x:c>
    </x:row>
    <x:row r="171" ht="36" customHeight="1">
      <x:c r="B171" s="44" t="str">
        <x:v>RAC-TR-0165</x:v>
      </x:c>
      <x:c r="C171" s="44" t="str">
        <x:v>REA-T-B1</x:v>
      </x:c>
      <x:c r="D171" s="44" t="str">
        <x:v>FUNCTIONAL TWIN</x:v>
      </x:c>
      <x:c r="E171" s="44" t="str">
        <x:v>BL-X</x:v>
      </x:c>
      <x:c r="F171" s="44" t="str">
        <x:v>40 mm insert</x:v>
      </x:c>
      <x:c r="G171" s="44" t="str">
        <x:v>RAC-S2</x:v>
      </x:c>
      <x:c r="H171" s="44" t="str">
        <x:v>RAC-LOT-013</x:v>
      </x:c>
      <x:c r="I171" s="44" t="str">
        <x:v>BL-X-PR-05</x:v>
      </x:c>
      <x:c r="J171" s="44" t="str">
        <x:v>section 04 release</x:v>
      </x:c>
      <x:c r="K171" s="45" t="str"/>
      <x:c r="L171" s="44" t="str"/>
      <x:c r="M171" s="44" t="str"/>
      <x:c r="N171" s="44" t="str">
        <x:f>IF(M171="","OPEN",IF(OR(K171="",L171=""),"FAIL","PASS"))</x:f>
        <x:v>OPEN</x:v>
      </x:c>
    </x:row>
    <x:row r="172" ht="36" customHeight="1">
      <x:c r="B172" s="44" t="str">
        <x:v>RAC-TR-0166</x:v>
      </x:c>
      <x:c r="C172" s="44" t="str">
        <x:v>REA-T-B1</x:v>
      </x:c>
      <x:c r="D172" s="44" t="str">
        <x:v>FUNCTIONAL TWIN</x:v>
      </x:c>
      <x:c r="E172" s="44" t="str">
        <x:v>BL-X</x:v>
      </x:c>
      <x:c r="F172" s="44" t="str">
        <x:v>dispenser</x:v>
      </x:c>
      <x:c r="G172" s="44" t="str">
        <x:v>RAC-S2</x:v>
      </x:c>
      <x:c r="H172" s="44" t="str">
        <x:v>RAC-LOT-016</x:v>
      </x:c>
      <x:c r="I172" s="44" t="str">
        <x:v>BL-X-PR-06</x:v>
      </x:c>
      <x:c r="J172" s="44" t="str">
        <x:v>section 05 release</x:v>
      </x:c>
      <x:c r="K172" s="45" t="str"/>
      <x:c r="L172" s="44" t="str"/>
      <x:c r="M172" s="44" t="str"/>
      <x:c r="N172" s="44" t="str">
        <x:f>IF(M172="","OPEN",IF(OR(K172="",L172=""),"FAIL","PASS"))</x:f>
        <x:v>OPEN</x:v>
      </x:c>
    </x:row>
    <x:row r="173" ht="36" customHeight="1">
      <x:c r="B173" s="44" t="str">
        <x:v>RAC-TR-0167</x:v>
      </x:c>
      <x:c r="C173" s="44" t="str">
        <x:v>REA-T-B1</x:v>
      </x:c>
      <x:c r="D173" s="44" t="str">
        <x:v>FUNCTIONAL TWIN</x:v>
      </x:c>
      <x:c r="E173" s="44" t="str">
        <x:v>BL-X</x:v>
      </x:c>
      <x:c r="F173" s="44" t="str">
        <x:v>inner pan</x:v>
      </x:c>
      <x:c r="G173" s="44" t="str">
        <x:v>RAC-S2</x:v>
      </x:c>
      <x:c r="H173" s="44" t="str">
        <x:v>RAC-LOT-019</x:v>
      </x:c>
      <x:c r="I173" s="44" t="str">
        <x:v>BL-X-PR-07</x:v>
      </x:c>
      <x:c r="J173" s="44" t="str">
        <x:v>section 06 release</x:v>
      </x:c>
      <x:c r="K173" s="45" t="str"/>
      <x:c r="L173" s="44" t="str"/>
      <x:c r="M173" s="44" t="str"/>
      <x:c r="N173" s="44" t="str">
        <x:f>IF(M173="","OPEN",IF(OR(K173="",L173=""),"FAIL","PASS"))</x:f>
        <x:v>OPEN</x:v>
      </x:c>
    </x:row>
    <x:row r="174" ht="36" customHeight="1">
      <x:c r="B174" s="44" t="str">
        <x:v>RAC-TR-0168</x:v>
      </x:c>
      <x:c r="C174" s="44" t="str">
        <x:v>REA-T-B1</x:v>
      </x:c>
      <x:c r="D174" s="44" t="str">
        <x:v>FUNCTIONAL TWIN</x:v>
      </x:c>
      <x:c r="E174" s="44" t="str">
        <x:v>BL-X</x:v>
      </x:c>
      <x:c r="F174" s="44" t="str">
        <x:v>normal route</x:v>
      </x:c>
      <x:c r="G174" s="44" t="str">
        <x:v>RAC-S2</x:v>
      </x:c>
      <x:c r="H174" s="44" t="str">
        <x:v>RAC-LOT-022</x:v>
      </x:c>
      <x:c r="I174" s="44" t="str">
        <x:v>BL-X-PR-08</x:v>
      </x:c>
      <x:c r="J174" s="44" t="str">
        <x:v>section 07 release</x:v>
      </x:c>
      <x:c r="K174" s="45" t="str"/>
      <x:c r="L174" s="44" t="str"/>
      <x:c r="M174" s="44" t="str"/>
      <x:c r="N174" s="44" t="str">
        <x:f>IF(M174="","OPEN",IF(OR(K174="",L174=""),"FAIL","PASS"))</x:f>
        <x:v>OPEN</x:v>
      </x:c>
    </x:row>
    <x:row r="175" ht="36" customHeight="1">
      <x:c r="B175" s="44" t="str">
        <x:v>RAC-TR-0169</x:v>
      </x:c>
      <x:c r="C175" s="44" t="str">
        <x:v>REA-T-B1</x:v>
      </x:c>
      <x:c r="D175" s="44" t="str">
        <x:v>FUNCTIONAL TWIN</x:v>
      </x:c>
      <x:c r="E175" s="44" t="str">
        <x:v>BL-X</x:v>
      </x:c>
      <x:c r="F175" s="44" t="str">
        <x:v>casualty route</x:v>
      </x:c>
      <x:c r="G175" s="44" t="str">
        <x:v>RAC-S3</x:v>
      </x:c>
      <x:c r="H175" s="44" t="str">
        <x:v>RAC-LOT-025</x:v>
      </x:c>
      <x:c r="I175" s="44" t="str">
        <x:v>BL-X-PR-09</x:v>
      </x:c>
      <x:c r="J175" s="44" t="str">
        <x:v>section 08 release</x:v>
      </x:c>
      <x:c r="K175" s="45" t="str"/>
      <x:c r="L175" s="44" t="str"/>
      <x:c r="M175" s="44" t="str"/>
      <x:c r="N175" s="44" t="str">
        <x:f>IF(M175="","OPEN",IF(OR(K175="",L175=""),"FAIL","PASS"))</x:f>
        <x:v>OPEN</x:v>
      </x:c>
    </x:row>
    <x:row r="176" ht="36" customHeight="1">
      <x:c r="B176" s="44" t="str">
        <x:v>RAC-TR-0170</x:v>
      </x:c>
      <x:c r="C176" s="44" t="str">
        <x:v>REA-T-B1</x:v>
      </x:c>
      <x:c r="D176" s="44" t="str">
        <x:v>FUNCTIONAL TWIN</x:v>
      </x:c>
      <x:c r="E176" s="44" t="str">
        <x:v>BL-X</x:v>
      </x:c>
      <x:c r="F176" s="44" t="str">
        <x:v>normal receiver</x:v>
      </x:c>
      <x:c r="G176" s="44" t="str">
        <x:v>RAC-S3</x:v>
      </x:c>
      <x:c r="H176" s="44" t="str">
        <x:v>RAC-LOT-028</x:v>
      </x:c>
      <x:c r="I176" s="44" t="str">
        <x:v>BL-X-PR-10</x:v>
      </x:c>
      <x:c r="J176" s="44" t="str">
        <x:v>section 09 release</x:v>
      </x:c>
      <x:c r="K176" s="45" t="str"/>
      <x:c r="L176" s="44" t="str"/>
      <x:c r="M176" s="44" t="str"/>
      <x:c r="N176" s="44" t="str">
        <x:f>IF(M176="","OPEN",IF(OR(K176="",L176=""),"FAIL","PASS"))</x:f>
        <x:v>OPEN</x:v>
      </x:c>
    </x:row>
    <x:row r="177" ht="36" customHeight="1">
      <x:c r="B177" s="44" t="str">
        <x:v>RAC-TR-0171</x:v>
      </x:c>
      <x:c r="C177" s="44" t="str">
        <x:v>REA-T-B1</x:v>
      </x:c>
      <x:c r="D177" s="44" t="str">
        <x:v>FUNCTIONAL TWIN</x:v>
      </x:c>
      <x:c r="E177" s="44" t="str">
        <x:v>BL-X</x:v>
      </x:c>
      <x:c r="F177" s="44" t="str">
        <x:v>casualty receiver</x:v>
      </x:c>
      <x:c r="G177" s="44" t="str">
        <x:v>RAC-S3</x:v>
      </x:c>
      <x:c r="H177" s="44" t="str">
        <x:v>RAC-LOT-031</x:v>
      </x:c>
      <x:c r="I177" s="44" t="str">
        <x:v>BL-X-PR-11</x:v>
      </x:c>
      <x:c r="J177" s="44" t="str">
        <x:v>section 10 release</x:v>
      </x:c>
      <x:c r="K177" s="45" t="str"/>
      <x:c r="L177" s="44" t="str"/>
      <x:c r="M177" s="44" t="str"/>
      <x:c r="N177" s="44" t="str">
        <x:f>IF(M177="","OPEN",IF(OR(K177="",L177=""),"FAIL","PASS"))</x:f>
        <x:v>OPEN</x:v>
      </x:c>
    </x:row>
    <x:row r="178" ht="36" customHeight="1">
      <x:c r="B178" s="44" t="str">
        <x:v>RAC-TR-0172</x:v>
      </x:c>
      <x:c r="C178" s="44" t="str">
        <x:v>REA-T-B1</x:v>
      </x:c>
      <x:c r="D178" s="44" t="str">
        <x:v>FUNCTIONAL TWIN</x:v>
      </x:c>
      <x:c r="E178" s="44" t="str">
        <x:v>BL-X</x:v>
      </x:c>
      <x:c r="F178" s="44" t="str">
        <x:v>source inlet isolation</x:v>
      </x:c>
      <x:c r="G178" s="44" t="str">
        <x:v>RAC-S3</x:v>
      </x:c>
      <x:c r="H178" s="44" t="str">
        <x:v>RAC-LOT-034</x:v>
      </x:c>
      <x:c r="I178" s="44" t="str">
        <x:v>BL-X-PR-12</x:v>
      </x:c>
      <x:c r="J178" s="44" t="str">
        <x:v>section 11 release</x:v>
      </x:c>
      <x:c r="K178" s="45" t="str"/>
      <x:c r="L178" s="44" t="str"/>
      <x:c r="M178" s="44" t="str"/>
      <x:c r="N178" s="44" t="str">
        <x:f>IF(M178="","OPEN",IF(OR(K178="",L178=""),"FAIL","PASS"))</x:f>
        <x:v>OPEN</x:v>
      </x:c>
    </x:row>
    <x:row r="179" ht="36" customHeight="1">
      <x:c r="B179" s="44" t="str">
        <x:v>RAC-TR-0173</x:v>
      </x:c>
      <x:c r="C179" s="44" t="str">
        <x:v>REA-T-B1</x:v>
      </x:c>
      <x:c r="D179" s="44" t="str">
        <x:v>FUNCTIONAL TWIN</x:v>
      </x:c>
      <x:c r="E179" s="44" t="str">
        <x:v>BL-X</x:v>
      </x:c>
      <x:c r="F179" s="44" t="str">
        <x:v>dispenser isolation</x:v>
      </x:c>
      <x:c r="G179" s="44" t="str">
        <x:v>RAC-S4</x:v>
      </x:c>
      <x:c r="H179" s="44" t="str">
        <x:v>RAC-LOT-001</x:v>
      </x:c>
      <x:c r="I179" s="44" t="str">
        <x:v>BL-X-PR-13</x:v>
      </x:c>
      <x:c r="J179" s="44" t="str">
        <x:v>section 12 release</x:v>
      </x:c>
      <x:c r="K179" s="45" t="str"/>
      <x:c r="L179" s="44" t="str"/>
      <x:c r="M179" s="44" t="str"/>
      <x:c r="N179" s="44" t="str">
        <x:f>IF(M179="","OPEN",IF(OR(K179="",L179=""),"FAIL","PASS"))</x:f>
        <x:v>OPEN</x:v>
      </x:c>
    </x:row>
    <x:row r="180" ht="36" customHeight="1">
      <x:c r="B180" s="44" t="str">
        <x:v>RAC-TR-0174</x:v>
      </x:c>
      <x:c r="C180" s="44" t="str">
        <x:v>REA-T-B1</x:v>
      </x:c>
      <x:c r="D180" s="44" t="str">
        <x:v>FUNCTIONAL TWIN</x:v>
      </x:c>
      <x:c r="E180" s="44" t="str">
        <x:v>BL-X</x:v>
      </x:c>
      <x:c r="F180" s="44" t="str">
        <x:v>gravity diversion</x:v>
      </x:c>
      <x:c r="G180" s="44" t="str">
        <x:v>RAC-S4</x:v>
      </x:c>
      <x:c r="H180" s="44" t="str">
        <x:v>RAC-LOT-004</x:v>
      </x:c>
      <x:c r="I180" s="44" t="str">
        <x:v>BL-X-PR-14</x:v>
      </x:c>
      <x:c r="J180" s="44" t="str">
        <x:v>section 13 release</x:v>
      </x:c>
      <x:c r="K180" s="45" t="str"/>
      <x:c r="L180" s="44" t="str"/>
      <x:c r="M180" s="44" t="str"/>
      <x:c r="N180" s="44" t="str">
        <x:f>IF(M180="","OPEN",IF(OR(K180="",L180=""),"FAIL","PASS"))</x:f>
        <x:v>OPEN</x:v>
      </x:c>
    </x:row>
    <x:row r="181" ht="36" customHeight="1">
      <x:c r="B181" s="44" t="str">
        <x:v>RAC-TR-0175</x:v>
      </x:c>
      <x:c r="C181" s="44" t="str">
        <x:v>REA-T-B1</x:v>
      </x:c>
      <x:c r="D181" s="44" t="str">
        <x:v>FUNCTIONAL TWIN</x:v>
      </x:c>
      <x:c r="E181" s="44" t="str">
        <x:v>BL-X</x:v>
      </x:c>
      <x:c r="F181" s="44" t="str">
        <x:v>water isolation</x:v>
      </x:c>
      <x:c r="G181" s="44" t="str">
        <x:v>RAC-S4</x:v>
      </x:c>
      <x:c r="H181" s="44" t="str">
        <x:v>RAC-LOT-007</x:v>
      </x:c>
      <x:c r="I181" s="44" t="str">
        <x:v>BL-X-PR-15</x:v>
      </x:c>
      <x:c r="J181" s="44" t="str">
        <x:v>section 14 release</x:v>
      </x:c>
      <x:c r="K181" s="45" t="str"/>
      <x:c r="L181" s="44" t="str"/>
      <x:c r="M181" s="44" t="str"/>
      <x:c r="N181" s="44" t="str">
        <x:f>IF(M181="","OPEN",IF(OR(K181="",L181=""),"FAIL","PASS"))</x:f>
        <x:v>OPEN</x:v>
      </x:c>
    </x:row>
    <x:row r="182" ht="36" customHeight="1">
      <x:c r="B182" s="44" t="str">
        <x:v>RAC-TR-0176</x:v>
      </x:c>
      <x:c r="C182" s="44" t="str">
        <x:v>REA-T-B1</x:v>
      </x:c>
      <x:c r="D182" s="44" t="str">
        <x:v>FUNCTIONAL TWIN</x:v>
      </x:c>
      <x:c r="E182" s="44" t="str">
        <x:v>BL-X</x:v>
      </x:c>
      <x:c r="F182" s="44" t="str">
        <x:v>electrical isolation</x:v>
      </x:c>
      <x:c r="G182" s="44" t="str">
        <x:v>RAC-S4</x:v>
      </x:c>
      <x:c r="H182" s="44" t="str">
        <x:v>RAC-LOT-010</x:v>
      </x:c>
      <x:c r="I182" s="44" t="str">
        <x:v>BL-X-PR-16</x:v>
      </x:c>
      <x:c r="J182" s="44" t="str">
        <x:v>section 15 release</x:v>
      </x:c>
      <x:c r="K182" s="45" t="str"/>
      <x:c r="L182" s="44" t="str"/>
      <x:c r="M182" s="44" t="str"/>
      <x:c r="N182" s="44" t="str">
        <x:f>IF(M182="","OPEN",IF(OR(K182="",L182=""),"FAIL","PASS"))</x:f>
        <x:v>OPEN</x:v>
      </x:c>
    </x:row>
    <x:row r="183" ht="36" customHeight="1">
      <x:c r="B183" s="44" t="str">
        <x:v>RAC-TR-0177</x:v>
      </x:c>
      <x:c r="C183" s="44" t="str">
        <x:v>REA-T-B1</x:v>
      </x:c>
      <x:c r="D183" s="44" t="str">
        <x:v>FUNCTIONAL TWIN</x:v>
      </x:c>
      <x:c r="E183" s="44" t="str">
        <x:v>BL-X</x:v>
      </x:c>
      <x:c r="F183" s="44" t="str">
        <x:v>independent safety energy</x:v>
      </x:c>
      <x:c r="G183" s="44" t="str">
        <x:v>RAC-S4</x:v>
      </x:c>
      <x:c r="H183" s="44" t="str">
        <x:v>RAC-LOT-013</x:v>
      </x:c>
      <x:c r="I183" s="44" t="str">
        <x:v>BL-X-PR-01</x:v>
      </x:c>
      <x:c r="J183" s="44" t="str">
        <x:v>section 16 release</x:v>
      </x:c>
      <x:c r="K183" s="45" t="str"/>
      <x:c r="L183" s="44" t="str"/>
      <x:c r="M183" s="44" t="str"/>
      <x:c r="N183" s="44" t="str">
        <x:f>IF(M183="","OPEN",IF(OR(K183="",L183=""),"FAIL","PASS"))</x:f>
        <x:v>OPEN</x:v>
      </x:c>
    </x:row>
    <x:row r="184" ht="36" customHeight="1">
      <x:c r="B184" s="44" t="str">
        <x:v>RAC-TR-0178</x:v>
      </x:c>
      <x:c r="C184" s="44" t="str">
        <x:v>REA-T-B1</x:v>
      </x:c>
      <x:c r="D184" s="44" t="str">
        <x:v>FUNCTIONAL TWIN</x:v>
      </x:c>
      <x:c r="E184" s="44" t="str">
        <x:v>BL-X</x:v>
      </x:c>
      <x:c r="F184" s="44" t="str">
        <x:v>measurement frame</x:v>
      </x:c>
      <x:c r="G184" s="44" t="str">
        <x:v>RAC-S4</x:v>
      </x:c>
      <x:c r="H184" s="44" t="str">
        <x:v>RAC-LOT-016</x:v>
      </x:c>
      <x:c r="I184" s="44" t="str">
        <x:v>BL-X-PR-02</x:v>
      </x:c>
      <x:c r="J184" s="44" t="str">
        <x:v>section 17 release</x:v>
      </x:c>
      <x:c r="K184" s="45" t="str"/>
      <x:c r="L184" s="44" t="str"/>
      <x:c r="M184" s="44" t="str"/>
      <x:c r="N184" s="44" t="str">
        <x:f>IF(M184="","OPEN",IF(OR(K184="",L184=""),"FAIL","PASS"))</x:f>
        <x:v>OPEN</x:v>
      </x:c>
    </x:row>
    <x:row r="185" ht="36" customHeight="1">
      <x:c r="B185" s="44" t="str">
        <x:v>RAC-TR-0179</x:v>
      </x:c>
      <x:c r="C185" s="44" t="str">
        <x:v>REA-T-B1</x:v>
      </x:c>
      <x:c r="D185" s="44" t="str">
        <x:v>FUNCTIONAL TWIN</x:v>
      </x:c>
      <x:c r="E185" s="44" t="str">
        <x:v>BL-X</x:v>
      </x:c>
      <x:c r="F185" s="44" t="str">
        <x:v>causal time and evidence</x:v>
      </x:c>
      <x:c r="G185" s="44" t="str">
        <x:v>RAC-S6</x:v>
      </x:c>
      <x:c r="H185" s="44" t="str">
        <x:v>RAC-LOT-019</x:v>
      </x:c>
      <x:c r="I185" s="44" t="str">
        <x:v>BL-X-PR-03</x:v>
      </x:c>
      <x:c r="J185" s="44" t="str">
        <x:v>section 18 release</x:v>
      </x:c>
      <x:c r="K185" s="45" t="str"/>
      <x:c r="L185" s="44" t="str"/>
      <x:c r="M185" s="44" t="str"/>
      <x:c r="N185" s="44" t="str">
        <x:f>IF(M185="","OPEN",IF(OR(K185="",L185=""),"FAIL","PASS"))</x:f>
        <x:v>OPEN</x:v>
      </x:c>
    </x:row>
    <x:row r="186" ht="36" customHeight="1">
      <x:c r="B186" s="44" t="str">
        <x:v>RAC-TR-0180</x:v>
      </x:c>
      <x:c r="C186" s="44" t="str">
        <x:v>REA-T-B1</x:v>
      </x:c>
      <x:c r="D186" s="44" t="str">
        <x:v>FUNCTIONAL TWIN</x:v>
      </x:c>
      <x:c r="E186" s="44" t="str">
        <x:v>BL-X</x:v>
      </x:c>
      <x:c r="F186" s="44" t="str">
        <x:v>rescue and environmental access</x:v>
      </x:c>
      <x:c r="G186" s="44" t="str">
        <x:v>RAC-S6</x:v>
      </x:c>
      <x:c r="H186" s="44" t="str">
        <x:v>RAC-LOT-022</x:v>
      </x:c>
      <x:c r="I186" s="44" t="str">
        <x:v>BL-X-PR-04</x:v>
      </x:c>
      <x:c r="J186" s="44" t="str">
        <x:v>section 19 release</x:v>
      </x:c>
      <x:c r="K186" s="45" t="str"/>
      <x:c r="L186" s="44" t="str"/>
      <x:c r="M186" s="44" t="str"/>
      <x:c r="N186" s="44" t="str">
        <x:f>IF(M186="","OPEN",IF(OR(K186="",L186=""),"FAIL","PASS"))</x:f>
        <x:v>OPEN</x:v>
      </x:c>
    </x:row>
    <x:row r="187" ht="36" customHeight="1">
      <x:c r="B187" s="44" t="str">
        <x:v>RAC-TR-0181</x:v>
      </x:c>
      <x:c r="C187" s="44" t="str">
        <x:v>REA-T-B2</x:v>
      </x:c>
      <x:c r="D187" s="44" t="str">
        <x:v>FUNCTIONAL TWIN</x:v>
      </x:c>
      <x:c r="E187" s="44" t="str">
        <x:v>BL-Y</x:v>
      </x:c>
      <x:c r="F187" s="44" t="str">
        <x:v>public datum</x:v>
      </x:c>
      <x:c r="G187" s="44" t="str">
        <x:v>RAC-S1</x:v>
      </x:c>
      <x:c r="H187" s="44" t="str">
        <x:v>RAC-LOT-037</x:v>
      </x:c>
      <x:c r="I187" s="44" t="str">
        <x:v>BL-Y-PR-01</x:v>
      </x:c>
      <x:c r="J187" s="44" t="str">
        <x:v>authority freeze</x:v>
      </x:c>
      <x:c r="K187" s="45" t="str"/>
      <x:c r="L187" s="44" t="str"/>
      <x:c r="M187" s="44" t="str"/>
      <x:c r="N187" s="44" t="str">
        <x:f>IF(M187="","OPEN",IF(OR(K187="",L187=""),"FAIL","PASS"))</x:f>
        <x:v>OPEN</x:v>
      </x:c>
    </x:row>
    <x:row r="188" ht="36" customHeight="1">
      <x:c r="B188" s="44" t="str">
        <x:v>RAC-TR-0182</x:v>
      </x:c>
      <x:c r="C188" s="44" t="str">
        <x:v>REA-T-B2</x:v>
      </x:c>
      <x:c r="D188" s="44" t="str">
        <x:v>FUNCTIONAL TWIN</x:v>
      </x:c>
      <x:c r="E188" s="44" t="str">
        <x:v>BL-Y</x:v>
      </x:c>
      <x:c r="F188" s="44" t="str">
        <x:v>primary frame</x:v>
      </x:c>
      <x:c r="G188" s="44" t="str">
        <x:v>RAC-S1</x:v>
      </x:c>
      <x:c r="H188" s="44" t="str">
        <x:v>RAC-LOT-040</x:v>
      </x:c>
      <x:c r="I188" s="44" t="str">
        <x:v>BL-Y-PR-02</x:v>
      </x:c>
      <x:c r="J188" s="44" t="str">
        <x:v>section 01 release</x:v>
      </x:c>
      <x:c r="K188" s="45" t="str"/>
      <x:c r="L188" s="44" t="str"/>
      <x:c r="M188" s="44" t="str"/>
      <x:c r="N188" s="44" t="str">
        <x:f>IF(M188="","OPEN",IF(OR(K188="",L188=""),"FAIL","PASS"))</x:f>
        <x:v>OPEN</x:v>
      </x:c>
    </x:row>
    <x:row r="189" ht="36" customHeight="1">
      <x:c r="B189" s="44" t="str">
        <x:v>RAC-TR-0183</x:v>
      </x:c>
      <x:c r="C189" s="44" t="str">
        <x:v>REA-T-B2</x:v>
      </x:c>
      <x:c r="D189" s="44" t="str">
        <x:v>FUNCTIONAL TWIN</x:v>
      </x:c>
      <x:c r="E189" s="44" t="str">
        <x:v>BL-Y</x:v>
      </x:c>
      <x:c r="F189" s="44" t="str">
        <x:v>source-surrogate vessel</x:v>
      </x:c>
      <x:c r="G189" s="44" t="str">
        <x:v>RAC-S1</x:v>
      </x:c>
      <x:c r="H189" s="44" t="str">
        <x:v>RAC-LOT-043</x:v>
      </x:c>
      <x:c r="I189" s="44" t="str">
        <x:v>BL-Y-PR-03</x:v>
      </x:c>
      <x:c r="J189" s="44" t="str">
        <x:v>section 02 release</x:v>
      </x:c>
      <x:c r="K189" s="45" t="str"/>
      <x:c r="L189" s="44" t="str"/>
      <x:c r="M189" s="44" t="str"/>
      <x:c r="N189" s="44" t="str">
        <x:f>IF(M189="","OPEN",IF(OR(K189="",L189=""),"FAIL","PASS"))</x:f>
        <x:v>OPEN</x:v>
      </x:c>
    </x:row>
    <x:row r="190" ht="36" customHeight="1">
      <x:c r="B190" s="44" t="str">
        <x:v>RAC-TR-0184</x:v>
      </x:c>
      <x:c r="C190" s="44" t="str">
        <x:v>REA-T-B2</x:v>
      </x:c>
      <x:c r="D190" s="44" t="str">
        <x:v>FUNCTIONAL TWIN</x:v>
      </x:c>
      <x:c r="E190" s="44" t="str">
        <x:v>BL-Y</x:v>
      </x:c>
      <x:c r="F190" s="44" t="str">
        <x:v>capsule dock</x:v>
      </x:c>
      <x:c r="G190" s="44" t="str">
        <x:v>RAC-S1</x:v>
      </x:c>
      <x:c r="H190" s="44" t="str">
        <x:v>RAC-LOT-046</x:v>
      </x:c>
      <x:c r="I190" s="44" t="str">
        <x:v>BL-Y-PR-04</x:v>
      </x:c>
      <x:c r="J190" s="44" t="str">
        <x:v>section 03 release</x:v>
      </x:c>
      <x:c r="K190" s="45" t="str"/>
      <x:c r="L190" s="44" t="str"/>
      <x:c r="M190" s="44" t="str"/>
      <x:c r="N190" s="44" t="str">
        <x:f>IF(M190="","OPEN",IF(OR(K190="",L190=""),"FAIL","PASS"))</x:f>
        <x:v>OPEN</x:v>
      </x:c>
    </x:row>
    <x:row r="191" ht="36" customHeight="1">
      <x:c r="B191" s="44" t="str">
        <x:v>RAC-TR-0185</x:v>
      </x:c>
      <x:c r="C191" s="44" t="str">
        <x:v>REA-T-B2</x:v>
      </x:c>
      <x:c r="D191" s="44" t="str">
        <x:v>FUNCTIONAL TWIN</x:v>
      </x:c>
      <x:c r="E191" s="44" t="str">
        <x:v>BL-Y</x:v>
      </x:c>
      <x:c r="F191" s="44" t="str">
        <x:v>40 mm insert</x:v>
      </x:c>
      <x:c r="G191" s="44" t="str">
        <x:v>RAC-S2</x:v>
      </x:c>
      <x:c r="H191" s="44" t="str">
        <x:v>RAC-LOT-049</x:v>
      </x:c>
      <x:c r="I191" s="44" t="str">
        <x:v>BL-Y-PR-05</x:v>
      </x:c>
      <x:c r="J191" s="44" t="str">
        <x:v>section 04 release</x:v>
      </x:c>
      <x:c r="K191" s="45" t="str"/>
      <x:c r="L191" s="44" t="str"/>
      <x:c r="M191" s="44" t="str"/>
      <x:c r="N191" s="44" t="str">
        <x:f>IF(M191="","OPEN",IF(OR(K191="",L191=""),"FAIL","PASS"))</x:f>
        <x:v>OPEN</x:v>
      </x:c>
    </x:row>
    <x:row r="192" ht="36" customHeight="1">
      <x:c r="B192" s="44" t="str">
        <x:v>RAC-TR-0186</x:v>
      </x:c>
      <x:c r="C192" s="44" t="str">
        <x:v>REA-T-B2</x:v>
      </x:c>
      <x:c r="D192" s="44" t="str">
        <x:v>FUNCTIONAL TWIN</x:v>
      </x:c>
      <x:c r="E192" s="44" t="str">
        <x:v>BL-Y</x:v>
      </x:c>
      <x:c r="F192" s="44" t="str">
        <x:v>dispenser</x:v>
      </x:c>
      <x:c r="G192" s="44" t="str">
        <x:v>RAC-S2</x:v>
      </x:c>
      <x:c r="H192" s="44" t="str">
        <x:v>RAC-LOT-052</x:v>
      </x:c>
      <x:c r="I192" s="44" t="str">
        <x:v>BL-Y-PR-06</x:v>
      </x:c>
      <x:c r="J192" s="44" t="str">
        <x:v>section 05 release</x:v>
      </x:c>
      <x:c r="K192" s="45" t="str"/>
      <x:c r="L192" s="44" t="str"/>
      <x:c r="M192" s="44" t="str"/>
      <x:c r="N192" s="44" t="str">
        <x:f>IF(M192="","OPEN",IF(OR(K192="",L192=""),"FAIL","PASS"))</x:f>
        <x:v>OPEN</x:v>
      </x:c>
    </x:row>
    <x:row r="193" ht="36" customHeight="1">
      <x:c r="B193" s="44" t="str">
        <x:v>RAC-TR-0187</x:v>
      </x:c>
      <x:c r="C193" s="44" t="str">
        <x:v>REA-T-B2</x:v>
      </x:c>
      <x:c r="D193" s="44" t="str">
        <x:v>FUNCTIONAL TWIN</x:v>
      </x:c>
      <x:c r="E193" s="44" t="str">
        <x:v>BL-Y</x:v>
      </x:c>
      <x:c r="F193" s="44" t="str">
        <x:v>inner pan</x:v>
      </x:c>
      <x:c r="G193" s="44" t="str">
        <x:v>RAC-S2</x:v>
      </x:c>
      <x:c r="H193" s="44" t="str">
        <x:v>RAC-LOT-055</x:v>
      </x:c>
      <x:c r="I193" s="44" t="str">
        <x:v>BL-Y-PR-07</x:v>
      </x:c>
      <x:c r="J193" s="44" t="str">
        <x:v>section 06 release</x:v>
      </x:c>
      <x:c r="K193" s="45" t="str"/>
      <x:c r="L193" s="44" t="str"/>
      <x:c r="M193" s="44" t="str"/>
      <x:c r="N193" s="44" t="str">
        <x:f>IF(M193="","OPEN",IF(OR(K193="",L193=""),"FAIL","PASS"))</x:f>
        <x:v>OPEN</x:v>
      </x:c>
    </x:row>
    <x:row r="194" ht="36" customHeight="1">
      <x:c r="B194" s="44" t="str">
        <x:v>RAC-TR-0188</x:v>
      </x:c>
      <x:c r="C194" s="44" t="str">
        <x:v>REA-T-B2</x:v>
      </x:c>
      <x:c r="D194" s="44" t="str">
        <x:v>FUNCTIONAL TWIN</x:v>
      </x:c>
      <x:c r="E194" s="44" t="str">
        <x:v>BL-Y</x:v>
      </x:c>
      <x:c r="F194" s="44" t="str">
        <x:v>normal route</x:v>
      </x:c>
      <x:c r="G194" s="44" t="str">
        <x:v>RAC-S2</x:v>
      </x:c>
      <x:c r="H194" s="44" t="str">
        <x:v>RAC-LOT-058</x:v>
      </x:c>
      <x:c r="I194" s="44" t="str">
        <x:v>BL-Y-PR-08</x:v>
      </x:c>
      <x:c r="J194" s="44" t="str">
        <x:v>section 07 release</x:v>
      </x:c>
      <x:c r="K194" s="45" t="str"/>
      <x:c r="L194" s="44" t="str"/>
      <x:c r="M194" s="44" t="str"/>
      <x:c r="N194" s="44" t="str">
        <x:f>IF(M194="","OPEN",IF(OR(K194="",L194=""),"FAIL","PASS"))</x:f>
        <x:v>OPEN</x:v>
      </x:c>
    </x:row>
    <x:row r="195" ht="36" customHeight="1">
      <x:c r="B195" s="44" t="str">
        <x:v>RAC-TR-0189</x:v>
      </x:c>
      <x:c r="C195" s="44" t="str">
        <x:v>REA-T-B2</x:v>
      </x:c>
      <x:c r="D195" s="44" t="str">
        <x:v>FUNCTIONAL TWIN</x:v>
      </x:c>
      <x:c r="E195" s="44" t="str">
        <x:v>BL-Y</x:v>
      </x:c>
      <x:c r="F195" s="44" t="str">
        <x:v>casualty route</x:v>
      </x:c>
      <x:c r="G195" s="44" t="str">
        <x:v>RAC-S3</x:v>
      </x:c>
      <x:c r="H195" s="44" t="str">
        <x:v>RAC-LOT-061</x:v>
      </x:c>
      <x:c r="I195" s="44" t="str">
        <x:v>BL-Y-PR-09</x:v>
      </x:c>
      <x:c r="J195" s="44" t="str">
        <x:v>section 08 release</x:v>
      </x:c>
      <x:c r="K195" s="45" t="str"/>
      <x:c r="L195" s="44" t="str"/>
      <x:c r="M195" s="44" t="str"/>
      <x:c r="N195" s="44" t="str">
        <x:f>IF(M195="","OPEN",IF(OR(K195="",L195=""),"FAIL","PASS"))</x:f>
        <x:v>OPEN</x:v>
      </x:c>
    </x:row>
    <x:row r="196" ht="36" customHeight="1">
      <x:c r="B196" s="44" t="str">
        <x:v>RAC-TR-0190</x:v>
      </x:c>
      <x:c r="C196" s="44" t="str">
        <x:v>REA-T-B2</x:v>
      </x:c>
      <x:c r="D196" s="44" t="str">
        <x:v>FUNCTIONAL TWIN</x:v>
      </x:c>
      <x:c r="E196" s="44" t="str">
        <x:v>BL-Y</x:v>
      </x:c>
      <x:c r="F196" s="44" t="str">
        <x:v>normal receiver</x:v>
      </x:c>
      <x:c r="G196" s="44" t="str">
        <x:v>RAC-S3</x:v>
      </x:c>
      <x:c r="H196" s="44" t="str">
        <x:v>RAC-LOT-064</x:v>
      </x:c>
      <x:c r="I196" s="44" t="str">
        <x:v>BL-Y-PR-10</x:v>
      </x:c>
      <x:c r="J196" s="44" t="str">
        <x:v>section 09 release</x:v>
      </x:c>
      <x:c r="K196" s="45" t="str"/>
      <x:c r="L196" s="44" t="str"/>
      <x:c r="M196" s="44" t="str"/>
      <x:c r="N196" s="44" t="str">
        <x:f>IF(M196="","OPEN",IF(OR(K196="",L196=""),"FAIL","PASS"))</x:f>
        <x:v>OPEN</x:v>
      </x:c>
    </x:row>
    <x:row r="197" ht="36" customHeight="1">
      <x:c r="B197" s="44" t="str">
        <x:v>RAC-TR-0191</x:v>
      </x:c>
      <x:c r="C197" s="44" t="str">
        <x:v>REA-T-B2</x:v>
      </x:c>
      <x:c r="D197" s="44" t="str">
        <x:v>FUNCTIONAL TWIN</x:v>
      </x:c>
      <x:c r="E197" s="44" t="str">
        <x:v>BL-Y</x:v>
      </x:c>
      <x:c r="F197" s="44" t="str">
        <x:v>casualty receiver</x:v>
      </x:c>
      <x:c r="G197" s="44" t="str">
        <x:v>RAC-S3</x:v>
      </x:c>
      <x:c r="H197" s="44" t="str">
        <x:v>RAC-LOT-067</x:v>
      </x:c>
      <x:c r="I197" s="44" t="str">
        <x:v>BL-Y-PR-11</x:v>
      </x:c>
      <x:c r="J197" s="44" t="str">
        <x:v>section 10 release</x:v>
      </x:c>
      <x:c r="K197" s="45" t="str"/>
      <x:c r="L197" s="44" t="str"/>
      <x:c r="M197" s="44" t="str"/>
      <x:c r="N197" s="44" t="str">
        <x:f>IF(M197="","OPEN",IF(OR(K197="",L197=""),"FAIL","PASS"))</x:f>
        <x:v>OPEN</x:v>
      </x:c>
    </x:row>
    <x:row r="198" ht="36" customHeight="1">
      <x:c r="B198" s="44" t="str">
        <x:v>RAC-TR-0192</x:v>
      </x:c>
      <x:c r="C198" s="44" t="str">
        <x:v>REA-T-B2</x:v>
      </x:c>
      <x:c r="D198" s="44" t="str">
        <x:v>FUNCTIONAL TWIN</x:v>
      </x:c>
      <x:c r="E198" s="44" t="str">
        <x:v>BL-Y</x:v>
      </x:c>
      <x:c r="F198" s="44" t="str">
        <x:v>source inlet isolation</x:v>
      </x:c>
      <x:c r="G198" s="44" t="str">
        <x:v>RAC-S3</x:v>
      </x:c>
      <x:c r="H198" s="44" t="str">
        <x:v>RAC-LOT-070</x:v>
      </x:c>
      <x:c r="I198" s="44" t="str">
        <x:v>BL-Y-PR-12</x:v>
      </x:c>
      <x:c r="J198" s="44" t="str">
        <x:v>section 11 release</x:v>
      </x:c>
      <x:c r="K198" s="45" t="str"/>
      <x:c r="L198" s="44" t="str"/>
      <x:c r="M198" s="44" t="str"/>
      <x:c r="N198" s="44" t="str">
        <x:f>IF(M198="","OPEN",IF(OR(K198="",L198=""),"FAIL","PASS"))</x:f>
        <x:v>OPEN</x:v>
      </x:c>
    </x:row>
    <x:row r="199" ht="36" customHeight="1">
      <x:c r="B199" s="44" t="str">
        <x:v>RAC-TR-0193</x:v>
      </x:c>
      <x:c r="C199" s="44" t="str">
        <x:v>REA-T-B2</x:v>
      </x:c>
      <x:c r="D199" s="44" t="str">
        <x:v>FUNCTIONAL TWIN</x:v>
      </x:c>
      <x:c r="E199" s="44" t="str">
        <x:v>BL-Y</x:v>
      </x:c>
      <x:c r="F199" s="44" t="str">
        <x:v>dispenser isolation</x:v>
      </x:c>
      <x:c r="G199" s="44" t="str">
        <x:v>RAC-S4</x:v>
      </x:c>
      <x:c r="H199" s="44" t="str">
        <x:v>RAC-LOT-037</x:v>
      </x:c>
      <x:c r="I199" s="44" t="str">
        <x:v>BL-Y-PR-13</x:v>
      </x:c>
      <x:c r="J199" s="44" t="str">
        <x:v>section 12 release</x:v>
      </x:c>
      <x:c r="K199" s="45" t="str"/>
      <x:c r="L199" s="44" t="str"/>
      <x:c r="M199" s="44" t="str"/>
      <x:c r="N199" s="44" t="str">
        <x:f>IF(M199="","OPEN",IF(OR(K199="",L199=""),"FAIL","PASS"))</x:f>
        <x:v>OPEN</x:v>
      </x:c>
    </x:row>
    <x:row r="200" ht="36" customHeight="1">
      <x:c r="B200" s="44" t="str">
        <x:v>RAC-TR-0194</x:v>
      </x:c>
      <x:c r="C200" s="44" t="str">
        <x:v>REA-T-B2</x:v>
      </x:c>
      <x:c r="D200" s="44" t="str">
        <x:v>FUNCTIONAL TWIN</x:v>
      </x:c>
      <x:c r="E200" s="44" t="str">
        <x:v>BL-Y</x:v>
      </x:c>
      <x:c r="F200" s="44" t="str">
        <x:v>gravity diversion</x:v>
      </x:c>
      <x:c r="G200" s="44" t="str">
        <x:v>RAC-S4</x:v>
      </x:c>
      <x:c r="H200" s="44" t="str">
        <x:v>RAC-LOT-040</x:v>
      </x:c>
      <x:c r="I200" s="44" t="str">
        <x:v>BL-Y-PR-14</x:v>
      </x:c>
      <x:c r="J200" s="44" t="str">
        <x:v>section 13 release</x:v>
      </x:c>
      <x:c r="K200" s="45" t="str"/>
      <x:c r="L200" s="44" t="str"/>
      <x:c r="M200" s="44" t="str"/>
      <x:c r="N200" s="44" t="str">
        <x:f>IF(M200="","OPEN",IF(OR(K200="",L200=""),"FAIL","PASS"))</x:f>
        <x:v>OPEN</x:v>
      </x:c>
    </x:row>
    <x:row r="201" ht="36" customHeight="1">
      <x:c r="B201" s="44" t="str">
        <x:v>RAC-TR-0195</x:v>
      </x:c>
      <x:c r="C201" s="44" t="str">
        <x:v>REA-T-B2</x:v>
      </x:c>
      <x:c r="D201" s="44" t="str">
        <x:v>FUNCTIONAL TWIN</x:v>
      </x:c>
      <x:c r="E201" s="44" t="str">
        <x:v>BL-Y</x:v>
      </x:c>
      <x:c r="F201" s="44" t="str">
        <x:v>water isolation</x:v>
      </x:c>
      <x:c r="G201" s="44" t="str">
        <x:v>RAC-S4</x:v>
      </x:c>
      <x:c r="H201" s="44" t="str">
        <x:v>RAC-LOT-043</x:v>
      </x:c>
      <x:c r="I201" s="44" t="str">
        <x:v>BL-Y-PR-15</x:v>
      </x:c>
      <x:c r="J201" s="44" t="str">
        <x:v>section 14 release</x:v>
      </x:c>
      <x:c r="K201" s="45" t="str"/>
      <x:c r="L201" s="44" t="str"/>
      <x:c r="M201" s="44" t="str"/>
      <x:c r="N201" s="44" t="str">
        <x:f>IF(M201="","OPEN",IF(OR(K201="",L201=""),"FAIL","PASS"))</x:f>
        <x:v>OPEN</x:v>
      </x:c>
    </x:row>
    <x:row r="202" ht="36" customHeight="1">
      <x:c r="B202" s="44" t="str">
        <x:v>RAC-TR-0196</x:v>
      </x:c>
      <x:c r="C202" s="44" t="str">
        <x:v>REA-T-B2</x:v>
      </x:c>
      <x:c r="D202" s="44" t="str">
        <x:v>FUNCTIONAL TWIN</x:v>
      </x:c>
      <x:c r="E202" s="44" t="str">
        <x:v>BL-Y</x:v>
      </x:c>
      <x:c r="F202" s="44" t="str">
        <x:v>electrical isolation</x:v>
      </x:c>
      <x:c r="G202" s="44" t="str">
        <x:v>RAC-S4</x:v>
      </x:c>
      <x:c r="H202" s="44" t="str">
        <x:v>RAC-LOT-046</x:v>
      </x:c>
      <x:c r="I202" s="44" t="str">
        <x:v>BL-Y-PR-16</x:v>
      </x:c>
      <x:c r="J202" s="44" t="str">
        <x:v>section 15 release</x:v>
      </x:c>
      <x:c r="K202" s="45" t="str"/>
      <x:c r="L202" s="44" t="str"/>
      <x:c r="M202" s="44" t="str"/>
      <x:c r="N202" s="44" t="str">
        <x:f>IF(M202="","OPEN",IF(OR(K202="",L202=""),"FAIL","PASS"))</x:f>
        <x:v>OPEN</x:v>
      </x:c>
    </x:row>
    <x:row r="203" ht="36" customHeight="1">
      <x:c r="B203" s="44" t="str">
        <x:v>RAC-TR-0197</x:v>
      </x:c>
      <x:c r="C203" s="44" t="str">
        <x:v>REA-T-B2</x:v>
      </x:c>
      <x:c r="D203" s="44" t="str">
        <x:v>FUNCTIONAL TWIN</x:v>
      </x:c>
      <x:c r="E203" s="44" t="str">
        <x:v>BL-Y</x:v>
      </x:c>
      <x:c r="F203" s="44" t="str">
        <x:v>independent safety energy</x:v>
      </x:c>
      <x:c r="G203" s="44" t="str">
        <x:v>RAC-S4</x:v>
      </x:c>
      <x:c r="H203" s="44" t="str">
        <x:v>RAC-LOT-049</x:v>
      </x:c>
      <x:c r="I203" s="44" t="str">
        <x:v>BL-Y-PR-01</x:v>
      </x:c>
      <x:c r="J203" s="44" t="str">
        <x:v>section 16 release</x:v>
      </x:c>
      <x:c r="K203" s="45" t="str"/>
      <x:c r="L203" s="44" t="str"/>
      <x:c r="M203" s="44" t="str"/>
      <x:c r="N203" s="44" t="str">
        <x:f>IF(M203="","OPEN",IF(OR(K203="",L203=""),"FAIL","PASS"))</x:f>
        <x:v>OPEN</x:v>
      </x:c>
    </x:row>
    <x:row r="204" ht="36" customHeight="1">
      <x:c r="B204" s="44" t="str">
        <x:v>RAC-TR-0198</x:v>
      </x:c>
      <x:c r="C204" s="44" t="str">
        <x:v>REA-T-B2</x:v>
      </x:c>
      <x:c r="D204" s="44" t="str">
        <x:v>FUNCTIONAL TWIN</x:v>
      </x:c>
      <x:c r="E204" s="44" t="str">
        <x:v>BL-Y</x:v>
      </x:c>
      <x:c r="F204" s="44" t="str">
        <x:v>measurement frame</x:v>
      </x:c>
      <x:c r="G204" s="44" t="str">
        <x:v>RAC-S4</x:v>
      </x:c>
      <x:c r="H204" s="44" t="str">
        <x:v>RAC-LOT-052</x:v>
      </x:c>
      <x:c r="I204" s="44" t="str">
        <x:v>BL-Y-PR-02</x:v>
      </x:c>
      <x:c r="J204" s="44" t="str">
        <x:v>section 17 release</x:v>
      </x:c>
      <x:c r="K204" s="45" t="str"/>
      <x:c r="L204" s="44" t="str"/>
      <x:c r="M204" s="44" t="str"/>
      <x:c r="N204" s="44" t="str">
        <x:f>IF(M204="","OPEN",IF(OR(K204="",L204=""),"FAIL","PASS"))</x:f>
        <x:v>OPEN</x:v>
      </x:c>
    </x:row>
    <x:row r="205" ht="36" customHeight="1">
      <x:c r="B205" s="44" t="str">
        <x:v>RAC-TR-0199</x:v>
      </x:c>
      <x:c r="C205" s="44" t="str">
        <x:v>REA-T-B2</x:v>
      </x:c>
      <x:c r="D205" s="44" t="str">
        <x:v>FUNCTIONAL TWIN</x:v>
      </x:c>
      <x:c r="E205" s="44" t="str">
        <x:v>BL-Y</x:v>
      </x:c>
      <x:c r="F205" s="44" t="str">
        <x:v>causal time and evidence</x:v>
      </x:c>
      <x:c r="G205" s="44" t="str">
        <x:v>RAC-S6</x:v>
      </x:c>
      <x:c r="H205" s="44" t="str">
        <x:v>RAC-LOT-055</x:v>
      </x:c>
      <x:c r="I205" s="44" t="str">
        <x:v>BL-Y-PR-03</x:v>
      </x:c>
      <x:c r="J205" s="44" t="str">
        <x:v>section 18 release</x:v>
      </x:c>
      <x:c r="K205" s="45" t="str"/>
      <x:c r="L205" s="44" t="str"/>
      <x:c r="M205" s="44" t="str"/>
      <x:c r="N205" s="44" t="str">
        <x:f>IF(M205="","OPEN",IF(OR(K205="",L205=""),"FAIL","PASS"))</x:f>
        <x:v>OPEN</x:v>
      </x:c>
    </x:row>
    <x:row r="206" ht="36" customHeight="1">
      <x:c r="B206" s="44" t="str">
        <x:v>RAC-TR-0200</x:v>
      </x:c>
      <x:c r="C206" s="44" t="str">
        <x:v>REA-T-B2</x:v>
      </x:c>
      <x:c r="D206" s="44" t="str">
        <x:v>FUNCTIONAL TWIN</x:v>
      </x:c>
      <x:c r="E206" s="44" t="str">
        <x:v>BL-Y</x:v>
      </x:c>
      <x:c r="F206" s="44" t="str">
        <x:v>rescue and environmental access</x:v>
      </x:c>
      <x:c r="G206" s="44" t="str">
        <x:v>RAC-S6</x:v>
      </x:c>
      <x:c r="H206" s="44" t="str">
        <x:v>RAC-LOT-058</x:v>
      </x:c>
      <x:c r="I206" s="44" t="str">
        <x:v>BL-Y-PR-04</x:v>
      </x:c>
      <x:c r="J206" s="44" t="str">
        <x:v>section 19 release</x:v>
      </x:c>
      <x:c r="K206" s="45" t="str"/>
      <x:c r="L206" s="44" t="str"/>
      <x:c r="M206" s="44" t="str"/>
      <x:c r="N206" s="44" t="str">
        <x:f>IF(M206="","OPEN",IF(OR(K206="",L206=""),"FAIL","PASS"))</x:f>
        <x:v>OPEN</x:v>
      </x:c>
    </x:row>
    <x:row r="207" ht="36" customHeight="1">
      <x:c r="B207" s="44" t="str">
        <x:v>RAC-TR-0201</x:v>
      </x:c>
      <x:c r="C207" s="44" t="str">
        <x:v>REA-T-C1</x:v>
      </x:c>
      <x:c r="D207" s="44" t="str">
        <x:v>FUNCTIONAL TWIN</x:v>
      </x:c>
      <x:c r="E207" s="44" t="str">
        <x:v>BL-X</x:v>
      </x:c>
      <x:c r="F207" s="44" t="str">
        <x:v>public datum</x:v>
      </x:c>
      <x:c r="G207" s="44" t="str">
        <x:v>RAC-S1</x:v>
      </x:c>
      <x:c r="H207" s="44" t="str">
        <x:v>RAC-LOT-001</x:v>
      </x:c>
      <x:c r="I207" s="44" t="str">
        <x:v>BL-X-PR-01</x:v>
      </x:c>
      <x:c r="J207" s="44" t="str">
        <x:v>authority freeze</x:v>
      </x:c>
      <x:c r="K207" s="45" t="str"/>
      <x:c r="L207" s="44" t="str"/>
      <x:c r="M207" s="44" t="str"/>
      <x:c r="N207" s="44" t="str">
        <x:f>IF(M207="","OPEN",IF(OR(K207="",L207=""),"FAIL","PASS"))</x:f>
        <x:v>OPEN</x:v>
      </x:c>
    </x:row>
    <x:row r="208" ht="36" customHeight="1">
      <x:c r="B208" s="44" t="str">
        <x:v>RAC-TR-0202</x:v>
      </x:c>
      <x:c r="C208" s="44" t="str">
        <x:v>REA-T-C1</x:v>
      </x:c>
      <x:c r="D208" s="44" t="str">
        <x:v>FUNCTIONAL TWIN</x:v>
      </x:c>
      <x:c r="E208" s="44" t="str">
        <x:v>BL-X</x:v>
      </x:c>
      <x:c r="F208" s="44" t="str">
        <x:v>primary frame</x:v>
      </x:c>
      <x:c r="G208" s="44" t="str">
        <x:v>RAC-S1</x:v>
      </x:c>
      <x:c r="H208" s="44" t="str">
        <x:v>RAC-LOT-004</x:v>
      </x:c>
      <x:c r="I208" s="44" t="str">
        <x:v>BL-X-PR-02</x:v>
      </x:c>
      <x:c r="J208" s="44" t="str">
        <x:v>section 01 release</x:v>
      </x:c>
      <x:c r="K208" s="45" t="str"/>
      <x:c r="L208" s="44" t="str"/>
      <x:c r="M208" s="44" t="str"/>
      <x:c r="N208" s="44" t="str">
        <x:f>IF(M208="","OPEN",IF(OR(K208="",L208=""),"FAIL","PASS"))</x:f>
        <x:v>OPEN</x:v>
      </x:c>
    </x:row>
    <x:row r="209" ht="36" customHeight="1">
      <x:c r="B209" s="44" t="str">
        <x:v>RAC-TR-0203</x:v>
      </x:c>
      <x:c r="C209" s="44" t="str">
        <x:v>REA-T-C1</x:v>
      </x:c>
      <x:c r="D209" s="44" t="str">
        <x:v>FUNCTIONAL TWIN</x:v>
      </x:c>
      <x:c r="E209" s="44" t="str">
        <x:v>BL-X</x:v>
      </x:c>
      <x:c r="F209" s="44" t="str">
        <x:v>source-surrogate vessel</x:v>
      </x:c>
      <x:c r="G209" s="44" t="str">
        <x:v>RAC-S1</x:v>
      </x:c>
      <x:c r="H209" s="44" t="str">
        <x:v>RAC-LOT-007</x:v>
      </x:c>
      <x:c r="I209" s="44" t="str">
        <x:v>BL-X-PR-03</x:v>
      </x:c>
      <x:c r="J209" s="44" t="str">
        <x:v>section 02 release</x:v>
      </x:c>
      <x:c r="K209" s="45" t="str"/>
      <x:c r="L209" s="44" t="str"/>
      <x:c r="M209" s="44" t="str"/>
      <x:c r="N209" s="44" t="str">
        <x:f>IF(M209="","OPEN",IF(OR(K209="",L209=""),"FAIL","PASS"))</x:f>
        <x:v>OPEN</x:v>
      </x:c>
    </x:row>
    <x:row r="210" ht="36" customHeight="1">
      <x:c r="B210" s="44" t="str">
        <x:v>RAC-TR-0204</x:v>
      </x:c>
      <x:c r="C210" s="44" t="str">
        <x:v>REA-T-C1</x:v>
      </x:c>
      <x:c r="D210" s="44" t="str">
        <x:v>FUNCTIONAL TWIN</x:v>
      </x:c>
      <x:c r="E210" s="44" t="str">
        <x:v>BL-X</x:v>
      </x:c>
      <x:c r="F210" s="44" t="str">
        <x:v>capsule dock</x:v>
      </x:c>
      <x:c r="G210" s="44" t="str">
        <x:v>RAC-S1</x:v>
      </x:c>
      <x:c r="H210" s="44" t="str">
        <x:v>RAC-LOT-010</x:v>
      </x:c>
      <x:c r="I210" s="44" t="str">
        <x:v>BL-X-PR-04</x:v>
      </x:c>
      <x:c r="J210" s="44" t="str">
        <x:v>section 03 release</x:v>
      </x:c>
      <x:c r="K210" s="45" t="str"/>
      <x:c r="L210" s="44" t="str"/>
      <x:c r="M210" s="44" t="str"/>
      <x:c r="N210" s="44" t="str">
        <x:f>IF(M210="","OPEN",IF(OR(K210="",L210=""),"FAIL","PASS"))</x:f>
        <x:v>OPEN</x:v>
      </x:c>
    </x:row>
    <x:row r="211" ht="36" customHeight="1">
      <x:c r="B211" s="44" t="str">
        <x:v>RAC-TR-0205</x:v>
      </x:c>
      <x:c r="C211" s="44" t="str">
        <x:v>REA-T-C1</x:v>
      </x:c>
      <x:c r="D211" s="44" t="str">
        <x:v>FUNCTIONAL TWIN</x:v>
      </x:c>
      <x:c r="E211" s="44" t="str">
        <x:v>BL-X</x:v>
      </x:c>
      <x:c r="F211" s="44" t="str">
        <x:v>40 mm insert</x:v>
      </x:c>
      <x:c r="G211" s="44" t="str">
        <x:v>RAC-S2</x:v>
      </x:c>
      <x:c r="H211" s="44" t="str">
        <x:v>RAC-LOT-013</x:v>
      </x:c>
      <x:c r="I211" s="44" t="str">
        <x:v>BL-X-PR-05</x:v>
      </x:c>
      <x:c r="J211" s="44" t="str">
        <x:v>section 04 release</x:v>
      </x:c>
      <x:c r="K211" s="45" t="str"/>
      <x:c r="L211" s="44" t="str"/>
      <x:c r="M211" s="44" t="str"/>
      <x:c r="N211" s="44" t="str">
        <x:f>IF(M211="","OPEN",IF(OR(K211="",L211=""),"FAIL","PASS"))</x:f>
        <x:v>OPEN</x:v>
      </x:c>
    </x:row>
    <x:row r="212" ht="36" customHeight="1">
      <x:c r="B212" s="44" t="str">
        <x:v>RAC-TR-0206</x:v>
      </x:c>
      <x:c r="C212" s="44" t="str">
        <x:v>REA-T-C1</x:v>
      </x:c>
      <x:c r="D212" s="44" t="str">
        <x:v>FUNCTIONAL TWIN</x:v>
      </x:c>
      <x:c r="E212" s="44" t="str">
        <x:v>BL-X</x:v>
      </x:c>
      <x:c r="F212" s="44" t="str">
        <x:v>dispenser</x:v>
      </x:c>
      <x:c r="G212" s="44" t="str">
        <x:v>RAC-S2</x:v>
      </x:c>
      <x:c r="H212" s="44" t="str">
        <x:v>RAC-LOT-016</x:v>
      </x:c>
      <x:c r="I212" s="44" t="str">
        <x:v>BL-X-PR-06</x:v>
      </x:c>
      <x:c r="J212" s="44" t="str">
        <x:v>section 05 release</x:v>
      </x:c>
      <x:c r="K212" s="45" t="str"/>
      <x:c r="L212" s="44" t="str"/>
      <x:c r="M212" s="44" t="str"/>
      <x:c r="N212" s="44" t="str">
        <x:f>IF(M212="","OPEN",IF(OR(K212="",L212=""),"FAIL","PASS"))</x:f>
        <x:v>OPEN</x:v>
      </x:c>
    </x:row>
    <x:row r="213" ht="36" customHeight="1">
      <x:c r="B213" s="44" t="str">
        <x:v>RAC-TR-0207</x:v>
      </x:c>
      <x:c r="C213" s="44" t="str">
        <x:v>REA-T-C1</x:v>
      </x:c>
      <x:c r="D213" s="44" t="str">
        <x:v>FUNCTIONAL TWIN</x:v>
      </x:c>
      <x:c r="E213" s="44" t="str">
        <x:v>BL-X</x:v>
      </x:c>
      <x:c r="F213" s="44" t="str">
        <x:v>inner pan</x:v>
      </x:c>
      <x:c r="G213" s="44" t="str">
        <x:v>RAC-S2</x:v>
      </x:c>
      <x:c r="H213" s="44" t="str">
        <x:v>RAC-LOT-019</x:v>
      </x:c>
      <x:c r="I213" s="44" t="str">
        <x:v>BL-X-PR-07</x:v>
      </x:c>
      <x:c r="J213" s="44" t="str">
        <x:v>section 06 release</x:v>
      </x:c>
      <x:c r="K213" s="45" t="str"/>
      <x:c r="L213" s="44" t="str"/>
      <x:c r="M213" s="44" t="str"/>
      <x:c r="N213" s="44" t="str">
        <x:f>IF(M213="","OPEN",IF(OR(K213="",L213=""),"FAIL","PASS"))</x:f>
        <x:v>OPEN</x:v>
      </x:c>
    </x:row>
    <x:row r="214" ht="36" customHeight="1">
      <x:c r="B214" s="44" t="str">
        <x:v>RAC-TR-0208</x:v>
      </x:c>
      <x:c r="C214" s="44" t="str">
        <x:v>REA-T-C1</x:v>
      </x:c>
      <x:c r="D214" s="44" t="str">
        <x:v>FUNCTIONAL TWIN</x:v>
      </x:c>
      <x:c r="E214" s="44" t="str">
        <x:v>BL-X</x:v>
      </x:c>
      <x:c r="F214" s="44" t="str">
        <x:v>normal route</x:v>
      </x:c>
      <x:c r="G214" s="44" t="str">
        <x:v>RAC-S2</x:v>
      </x:c>
      <x:c r="H214" s="44" t="str">
        <x:v>RAC-LOT-022</x:v>
      </x:c>
      <x:c r="I214" s="44" t="str">
        <x:v>BL-X-PR-08</x:v>
      </x:c>
      <x:c r="J214" s="44" t="str">
        <x:v>section 07 release</x:v>
      </x:c>
      <x:c r="K214" s="45" t="str"/>
      <x:c r="L214" s="44" t="str"/>
      <x:c r="M214" s="44" t="str"/>
      <x:c r="N214" s="44" t="str">
        <x:f>IF(M214="","OPEN",IF(OR(K214="",L214=""),"FAIL","PASS"))</x:f>
        <x:v>OPEN</x:v>
      </x:c>
    </x:row>
    <x:row r="215" ht="36" customHeight="1">
      <x:c r="B215" s="44" t="str">
        <x:v>RAC-TR-0209</x:v>
      </x:c>
      <x:c r="C215" s="44" t="str">
        <x:v>REA-T-C1</x:v>
      </x:c>
      <x:c r="D215" s="44" t="str">
        <x:v>FUNCTIONAL TWIN</x:v>
      </x:c>
      <x:c r="E215" s="44" t="str">
        <x:v>BL-X</x:v>
      </x:c>
      <x:c r="F215" s="44" t="str">
        <x:v>casualty route</x:v>
      </x:c>
      <x:c r="G215" s="44" t="str">
        <x:v>RAC-S3</x:v>
      </x:c>
      <x:c r="H215" s="44" t="str">
        <x:v>RAC-LOT-025</x:v>
      </x:c>
      <x:c r="I215" s="44" t="str">
        <x:v>BL-X-PR-09</x:v>
      </x:c>
      <x:c r="J215" s="44" t="str">
        <x:v>section 08 release</x:v>
      </x:c>
      <x:c r="K215" s="45" t="str"/>
      <x:c r="L215" s="44" t="str"/>
      <x:c r="M215" s="44" t="str"/>
      <x:c r="N215" s="44" t="str">
        <x:f>IF(M215="","OPEN",IF(OR(K215="",L215=""),"FAIL","PASS"))</x:f>
        <x:v>OPEN</x:v>
      </x:c>
    </x:row>
    <x:row r="216" ht="36" customHeight="1">
      <x:c r="B216" s="44" t="str">
        <x:v>RAC-TR-0210</x:v>
      </x:c>
      <x:c r="C216" s="44" t="str">
        <x:v>REA-T-C1</x:v>
      </x:c>
      <x:c r="D216" s="44" t="str">
        <x:v>FUNCTIONAL TWIN</x:v>
      </x:c>
      <x:c r="E216" s="44" t="str">
        <x:v>BL-X</x:v>
      </x:c>
      <x:c r="F216" s="44" t="str">
        <x:v>normal receiver</x:v>
      </x:c>
      <x:c r="G216" s="44" t="str">
        <x:v>RAC-S3</x:v>
      </x:c>
      <x:c r="H216" s="44" t="str">
        <x:v>RAC-LOT-028</x:v>
      </x:c>
      <x:c r="I216" s="44" t="str">
        <x:v>BL-X-PR-10</x:v>
      </x:c>
      <x:c r="J216" s="44" t="str">
        <x:v>section 09 release</x:v>
      </x:c>
      <x:c r="K216" s="45" t="str"/>
      <x:c r="L216" s="44" t="str"/>
      <x:c r="M216" s="44" t="str"/>
      <x:c r="N216" s="44" t="str">
        <x:f>IF(M216="","OPEN",IF(OR(K216="",L216=""),"FAIL","PASS"))</x:f>
        <x:v>OPEN</x:v>
      </x:c>
    </x:row>
    <x:row r="217" ht="36" customHeight="1">
      <x:c r="B217" s="44" t="str">
        <x:v>RAC-TR-0211</x:v>
      </x:c>
      <x:c r="C217" s="44" t="str">
        <x:v>REA-T-C1</x:v>
      </x:c>
      <x:c r="D217" s="44" t="str">
        <x:v>FUNCTIONAL TWIN</x:v>
      </x:c>
      <x:c r="E217" s="44" t="str">
        <x:v>BL-X</x:v>
      </x:c>
      <x:c r="F217" s="44" t="str">
        <x:v>casualty receiver</x:v>
      </x:c>
      <x:c r="G217" s="44" t="str">
        <x:v>RAC-S3</x:v>
      </x:c>
      <x:c r="H217" s="44" t="str">
        <x:v>RAC-LOT-031</x:v>
      </x:c>
      <x:c r="I217" s="44" t="str">
        <x:v>BL-X-PR-11</x:v>
      </x:c>
      <x:c r="J217" s="44" t="str">
        <x:v>section 10 release</x:v>
      </x:c>
      <x:c r="K217" s="45" t="str"/>
      <x:c r="L217" s="44" t="str"/>
      <x:c r="M217" s="44" t="str"/>
      <x:c r="N217" s="44" t="str">
        <x:f>IF(M217="","OPEN",IF(OR(K217="",L217=""),"FAIL","PASS"))</x:f>
        <x:v>OPEN</x:v>
      </x:c>
    </x:row>
    <x:row r="218" ht="36" customHeight="1">
      <x:c r="B218" s="44" t="str">
        <x:v>RAC-TR-0212</x:v>
      </x:c>
      <x:c r="C218" s="44" t="str">
        <x:v>REA-T-C1</x:v>
      </x:c>
      <x:c r="D218" s="44" t="str">
        <x:v>FUNCTIONAL TWIN</x:v>
      </x:c>
      <x:c r="E218" s="44" t="str">
        <x:v>BL-X</x:v>
      </x:c>
      <x:c r="F218" s="44" t="str">
        <x:v>source inlet isolation</x:v>
      </x:c>
      <x:c r="G218" s="44" t="str">
        <x:v>RAC-S3</x:v>
      </x:c>
      <x:c r="H218" s="44" t="str">
        <x:v>RAC-LOT-034</x:v>
      </x:c>
      <x:c r="I218" s="44" t="str">
        <x:v>BL-X-PR-12</x:v>
      </x:c>
      <x:c r="J218" s="44" t="str">
        <x:v>section 11 release</x:v>
      </x:c>
      <x:c r="K218" s="45" t="str"/>
      <x:c r="L218" s="44" t="str"/>
      <x:c r="M218" s="44" t="str"/>
      <x:c r="N218" s="44" t="str">
        <x:f>IF(M218="","OPEN",IF(OR(K218="",L218=""),"FAIL","PASS"))</x:f>
        <x:v>OPEN</x:v>
      </x:c>
    </x:row>
    <x:row r="219" ht="36" customHeight="1">
      <x:c r="B219" s="44" t="str">
        <x:v>RAC-TR-0213</x:v>
      </x:c>
      <x:c r="C219" s="44" t="str">
        <x:v>REA-T-C1</x:v>
      </x:c>
      <x:c r="D219" s="44" t="str">
        <x:v>FUNCTIONAL TWIN</x:v>
      </x:c>
      <x:c r="E219" s="44" t="str">
        <x:v>BL-X</x:v>
      </x:c>
      <x:c r="F219" s="44" t="str">
        <x:v>dispenser isolation</x:v>
      </x:c>
      <x:c r="G219" s="44" t="str">
        <x:v>RAC-S4</x:v>
      </x:c>
      <x:c r="H219" s="44" t="str">
        <x:v>RAC-LOT-001</x:v>
      </x:c>
      <x:c r="I219" s="44" t="str">
        <x:v>BL-X-PR-13</x:v>
      </x:c>
      <x:c r="J219" s="44" t="str">
        <x:v>section 12 release</x:v>
      </x:c>
      <x:c r="K219" s="45" t="str"/>
      <x:c r="L219" s="44" t="str"/>
      <x:c r="M219" s="44" t="str"/>
      <x:c r="N219" s="44" t="str">
        <x:f>IF(M219="","OPEN",IF(OR(K219="",L219=""),"FAIL","PASS"))</x:f>
        <x:v>OPEN</x:v>
      </x:c>
    </x:row>
    <x:row r="220" ht="36" customHeight="1">
      <x:c r="B220" s="44" t="str">
        <x:v>RAC-TR-0214</x:v>
      </x:c>
      <x:c r="C220" s="44" t="str">
        <x:v>REA-T-C1</x:v>
      </x:c>
      <x:c r="D220" s="44" t="str">
        <x:v>FUNCTIONAL TWIN</x:v>
      </x:c>
      <x:c r="E220" s="44" t="str">
        <x:v>BL-X</x:v>
      </x:c>
      <x:c r="F220" s="44" t="str">
        <x:v>gravity diversion</x:v>
      </x:c>
      <x:c r="G220" s="44" t="str">
        <x:v>RAC-S4</x:v>
      </x:c>
      <x:c r="H220" s="44" t="str">
        <x:v>RAC-LOT-004</x:v>
      </x:c>
      <x:c r="I220" s="44" t="str">
        <x:v>BL-X-PR-14</x:v>
      </x:c>
      <x:c r="J220" s="44" t="str">
        <x:v>section 13 release</x:v>
      </x:c>
      <x:c r="K220" s="45" t="str"/>
      <x:c r="L220" s="44" t="str"/>
      <x:c r="M220" s="44" t="str"/>
      <x:c r="N220" s="44" t="str">
        <x:f>IF(M220="","OPEN",IF(OR(K220="",L220=""),"FAIL","PASS"))</x:f>
        <x:v>OPEN</x:v>
      </x:c>
    </x:row>
    <x:row r="221" ht="36" customHeight="1">
      <x:c r="B221" s="44" t="str">
        <x:v>RAC-TR-0215</x:v>
      </x:c>
      <x:c r="C221" s="44" t="str">
        <x:v>REA-T-C1</x:v>
      </x:c>
      <x:c r="D221" s="44" t="str">
        <x:v>FUNCTIONAL TWIN</x:v>
      </x:c>
      <x:c r="E221" s="44" t="str">
        <x:v>BL-X</x:v>
      </x:c>
      <x:c r="F221" s="44" t="str">
        <x:v>water isolation</x:v>
      </x:c>
      <x:c r="G221" s="44" t="str">
        <x:v>RAC-S4</x:v>
      </x:c>
      <x:c r="H221" s="44" t="str">
        <x:v>RAC-LOT-007</x:v>
      </x:c>
      <x:c r="I221" s="44" t="str">
        <x:v>BL-X-PR-15</x:v>
      </x:c>
      <x:c r="J221" s="44" t="str">
        <x:v>section 14 release</x:v>
      </x:c>
      <x:c r="K221" s="45" t="str"/>
      <x:c r="L221" s="44" t="str"/>
      <x:c r="M221" s="44" t="str"/>
      <x:c r="N221" s="44" t="str">
        <x:f>IF(M221="","OPEN",IF(OR(K221="",L221=""),"FAIL","PASS"))</x:f>
        <x:v>OPEN</x:v>
      </x:c>
    </x:row>
    <x:row r="222" ht="36" customHeight="1">
      <x:c r="B222" s="44" t="str">
        <x:v>RAC-TR-0216</x:v>
      </x:c>
      <x:c r="C222" s="44" t="str">
        <x:v>REA-T-C1</x:v>
      </x:c>
      <x:c r="D222" s="44" t="str">
        <x:v>FUNCTIONAL TWIN</x:v>
      </x:c>
      <x:c r="E222" s="44" t="str">
        <x:v>BL-X</x:v>
      </x:c>
      <x:c r="F222" s="44" t="str">
        <x:v>electrical isolation</x:v>
      </x:c>
      <x:c r="G222" s="44" t="str">
        <x:v>RAC-S4</x:v>
      </x:c>
      <x:c r="H222" s="44" t="str">
        <x:v>RAC-LOT-010</x:v>
      </x:c>
      <x:c r="I222" s="44" t="str">
        <x:v>BL-X-PR-16</x:v>
      </x:c>
      <x:c r="J222" s="44" t="str">
        <x:v>section 15 release</x:v>
      </x:c>
      <x:c r="K222" s="45" t="str"/>
      <x:c r="L222" s="44" t="str"/>
      <x:c r="M222" s="44" t="str"/>
      <x:c r="N222" s="44" t="str">
        <x:f>IF(M222="","OPEN",IF(OR(K222="",L222=""),"FAIL","PASS"))</x:f>
        <x:v>OPEN</x:v>
      </x:c>
    </x:row>
    <x:row r="223" ht="36" customHeight="1">
      <x:c r="B223" s="44" t="str">
        <x:v>RAC-TR-0217</x:v>
      </x:c>
      <x:c r="C223" s="44" t="str">
        <x:v>REA-T-C1</x:v>
      </x:c>
      <x:c r="D223" s="44" t="str">
        <x:v>FUNCTIONAL TWIN</x:v>
      </x:c>
      <x:c r="E223" s="44" t="str">
        <x:v>BL-X</x:v>
      </x:c>
      <x:c r="F223" s="44" t="str">
        <x:v>independent safety energy</x:v>
      </x:c>
      <x:c r="G223" s="44" t="str">
        <x:v>RAC-S4</x:v>
      </x:c>
      <x:c r="H223" s="44" t="str">
        <x:v>RAC-LOT-013</x:v>
      </x:c>
      <x:c r="I223" s="44" t="str">
        <x:v>BL-X-PR-01</x:v>
      </x:c>
      <x:c r="J223" s="44" t="str">
        <x:v>section 16 release</x:v>
      </x:c>
      <x:c r="K223" s="45" t="str"/>
      <x:c r="L223" s="44" t="str"/>
      <x:c r="M223" s="44" t="str"/>
      <x:c r="N223" s="44" t="str">
        <x:f>IF(M223="","OPEN",IF(OR(K223="",L223=""),"FAIL","PASS"))</x:f>
        <x:v>OPEN</x:v>
      </x:c>
    </x:row>
    <x:row r="224" ht="36" customHeight="1">
      <x:c r="B224" s="44" t="str">
        <x:v>RAC-TR-0218</x:v>
      </x:c>
      <x:c r="C224" s="44" t="str">
        <x:v>REA-T-C1</x:v>
      </x:c>
      <x:c r="D224" s="44" t="str">
        <x:v>FUNCTIONAL TWIN</x:v>
      </x:c>
      <x:c r="E224" s="44" t="str">
        <x:v>BL-X</x:v>
      </x:c>
      <x:c r="F224" s="44" t="str">
        <x:v>measurement frame</x:v>
      </x:c>
      <x:c r="G224" s="44" t="str">
        <x:v>RAC-S4</x:v>
      </x:c>
      <x:c r="H224" s="44" t="str">
        <x:v>RAC-LOT-016</x:v>
      </x:c>
      <x:c r="I224" s="44" t="str">
        <x:v>BL-X-PR-02</x:v>
      </x:c>
      <x:c r="J224" s="44" t="str">
        <x:v>section 17 release</x:v>
      </x:c>
      <x:c r="K224" s="45" t="str"/>
      <x:c r="L224" s="44" t="str"/>
      <x:c r="M224" s="44" t="str"/>
      <x:c r="N224" s="44" t="str">
        <x:f>IF(M224="","OPEN",IF(OR(K224="",L224=""),"FAIL","PASS"))</x:f>
        <x:v>OPEN</x:v>
      </x:c>
    </x:row>
    <x:row r="225" ht="36" customHeight="1">
      <x:c r="B225" s="44" t="str">
        <x:v>RAC-TR-0219</x:v>
      </x:c>
      <x:c r="C225" s="44" t="str">
        <x:v>REA-T-C1</x:v>
      </x:c>
      <x:c r="D225" s="44" t="str">
        <x:v>FUNCTIONAL TWIN</x:v>
      </x:c>
      <x:c r="E225" s="44" t="str">
        <x:v>BL-X</x:v>
      </x:c>
      <x:c r="F225" s="44" t="str">
        <x:v>causal time and evidence</x:v>
      </x:c>
      <x:c r="G225" s="44" t="str">
        <x:v>RAC-S6</x:v>
      </x:c>
      <x:c r="H225" s="44" t="str">
        <x:v>RAC-LOT-019</x:v>
      </x:c>
      <x:c r="I225" s="44" t="str">
        <x:v>BL-X-PR-03</x:v>
      </x:c>
      <x:c r="J225" s="44" t="str">
        <x:v>section 18 release</x:v>
      </x:c>
      <x:c r="K225" s="45" t="str"/>
      <x:c r="L225" s="44" t="str"/>
      <x:c r="M225" s="44" t="str"/>
      <x:c r="N225" s="44" t="str">
        <x:f>IF(M225="","OPEN",IF(OR(K225="",L225=""),"FAIL","PASS"))</x:f>
        <x:v>OPEN</x:v>
      </x:c>
    </x:row>
    <x:row r="226" ht="36" customHeight="1">
      <x:c r="B226" s="44" t="str">
        <x:v>RAC-TR-0220</x:v>
      </x:c>
      <x:c r="C226" s="44" t="str">
        <x:v>REA-T-C1</x:v>
      </x:c>
      <x:c r="D226" s="44" t="str">
        <x:v>FUNCTIONAL TWIN</x:v>
      </x:c>
      <x:c r="E226" s="44" t="str">
        <x:v>BL-X</x:v>
      </x:c>
      <x:c r="F226" s="44" t="str">
        <x:v>rescue and environmental access</x:v>
      </x:c>
      <x:c r="G226" s="44" t="str">
        <x:v>RAC-S6</x:v>
      </x:c>
      <x:c r="H226" s="44" t="str">
        <x:v>RAC-LOT-022</x:v>
      </x:c>
      <x:c r="I226" s="44" t="str">
        <x:v>BL-X-PR-04</x:v>
      </x:c>
      <x:c r="J226" s="44" t="str">
        <x:v>section 19 release</x:v>
      </x:c>
      <x:c r="K226" s="45" t="str"/>
      <x:c r="L226" s="44" t="str"/>
      <x:c r="M226" s="44" t="str"/>
      <x:c r="N226" s="44" t="str">
        <x:f>IF(M226="","OPEN",IF(OR(K226="",L226=""),"FAIL","PASS"))</x:f>
        <x:v>OPEN</x:v>
      </x:c>
    </x:row>
    <x:row r="227" ht="36" customHeight="1">
      <x:c r="B227" s="44" t="str">
        <x:v>RAC-TR-0221</x:v>
      </x:c>
      <x:c r="C227" s="44" t="str">
        <x:v>REA-T-C2</x:v>
      </x:c>
      <x:c r="D227" s="44" t="str">
        <x:v>FUNCTIONAL TWIN</x:v>
      </x:c>
      <x:c r="E227" s="44" t="str">
        <x:v>BL-Y</x:v>
      </x:c>
      <x:c r="F227" s="44" t="str">
        <x:v>public datum</x:v>
      </x:c>
      <x:c r="G227" s="44" t="str">
        <x:v>RAC-S1</x:v>
      </x:c>
      <x:c r="H227" s="44" t="str">
        <x:v>RAC-LOT-037</x:v>
      </x:c>
      <x:c r="I227" s="44" t="str">
        <x:v>BL-Y-PR-01</x:v>
      </x:c>
      <x:c r="J227" s="44" t="str">
        <x:v>authority freeze</x:v>
      </x:c>
      <x:c r="K227" s="45" t="str"/>
      <x:c r="L227" s="44" t="str"/>
      <x:c r="M227" s="44" t="str"/>
      <x:c r="N227" s="44" t="str">
        <x:f>IF(M227="","OPEN",IF(OR(K227="",L227=""),"FAIL","PASS"))</x:f>
        <x:v>OPEN</x:v>
      </x:c>
    </x:row>
    <x:row r="228" ht="36" customHeight="1">
      <x:c r="B228" s="44" t="str">
        <x:v>RAC-TR-0222</x:v>
      </x:c>
      <x:c r="C228" s="44" t="str">
        <x:v>REA-T-C2</x:v>
      </x:c>
      <x:c r="D228" s="44" t="str">
        <x:v>FUNCTIONAL TWIN</x:v>
      </x:c>
      <x:c r="E228" s="44" t="str">
        <x:v>BL-Y</x:v>
      </x:c>
      <x:c r="F228" s="44" t="str">
        <x:v>primary frame</x:v>
      </x:c>
      <x:c r="G228" s="44" t="str">
        <x:v>RAC-S1</x:v>
      </x:c>
      <x:c r="H228" s="44" t="str">
        <x:v>RAC-LOT-040</x:v>
      </x:c>
      <x:c r="I228" s="44" t="str">
        <x:v>BL-Y-PR-02</x:v>
      </x:c>
      <x:c r="J228" s="44" t="str">
        <x:v>section 01 release</x:v>
      </x:c>
      <x:c r="K228" s="45" t="str"/>
      <x:c r="L228" s="44" t="str"/>
      <x:c r="M228" s="44" t="str"/>
      <x:c r="N228" s="44" t="str">
        <x:f>IF(M228="","OPEN",IF(OR(K228="",L228=""),"FAIL","PASS"))</x:f>
        <x:v>OPEN</x:v>
      </x:c>
    </x:row>
    <x:row r="229" ht="36" customHeight="1">
      <x:c r="B229" s="44" t="str">
        <x:v>RAC-TR-0223</x:v>
      </x:c>
      <x:c r="C229" s="44" t="str">
        <x:v>REA-T-C2</x:v>
      </x:c>
      <x:c r="D229" s="44" t="str">
        <x:v>FUNCTIONAL TWIN</x:v>
      </x:c>
      <x:c r="E229" s="44" t="str">
        <x:v>BL-Y</x:v>
      </x:c>
      <x:c r="F229" s="44" t="str">
        <x:v>source-surrogate vessel</x:v>
      </x:c>
      <x:c r="G229" s="44" t="str">
        <x:v>RAC-S1</x:v>
      </x:c>
      <x:c r="H229" s="44" t="str">
        <x:v>RAC-LOT-043</x:v>
      </x:c>
      <x:c r="I229" s="44" t="str">
        <x:v>BL-Y-PR-03</x:v>
      </x:c>
      <x:c r="J229" s="44" t="str">
        <x:v>section 02 release</x:v>
      </x:c>
      <x:c r="K229" s="45" t="str"/>
      <x:c r="L229" s="44" t="str"/>
      <x:c r="M229" s="44" t="str"/>
      <x:c r="N229" s="44" t="str">
        <x:f>IF(M229="","OPEN",IF(OR(K229="",L229=""),"FAIL","PASS"))</x:f>
        <x:v>OPEN</x:v>
      </x:c>
    </x:row>
    <x:row r="230" ht="36" customHeight="1">
      <x:c r="B230" s="44" t="str">
        <x:v>RAC-TR-0224</x:v>
      </x:c>
      <x:c r="C230" s="44" t="str">
        <x:v>REA-T-C2</x:v>
      </x:c>
      <x:c r="D230" s="44" t="str">
        <x:v>FUNCTIONAL TWIN</x:v>
      </x:c>
      <x:c r="E230" s="44" t="str">
        <x:v>BL-Y</x:v>
      </x:c>
      <x:c r="F230" s="44" t="str">
        <x:v>capsule dock</x:v>
      </x:c>
      <x:c r="G230" s="44" t="str">
        <x:v>RAC-S1</x:v>
      </x:c>
      <x:c r="H230" s="44" t="str">
        <x:v>RAC-LOT-046</x:v>
      </x:c>
      <x:c r="I230" s="44" t="str">
        <x:v>BL-Y-PR-04</x:v>
      </x:c>
      <x:c r="J230" s="44" t="str">
        <x:v>section 03 release</x:v>
      </x:c>
      <x:c r="K230" s="45" t="str"/>
      <x:c r="L230" s="44" t="str"/>
      <x:c r="M230" s="44" t="str"/>
      <x:c r="N230" s="44" t="str">
        <x:f>IF(M230="","OPEN",IF(OR(K230="",L230=""),"FAIL","PASS"))</x:f>
        <x:v>OPEN</x:v>
      </x:c>
    </x:row>
    <x:row r="231" ht="36" customHeight="1">
      <x:c r="B231" s="44" t="str">
        <x:v>RAC-TR-0225</x:v>
      </x:c>
      <x:c r="C231" s="44" t="str">
        <x:v>REA-T-C2</x:v>
      </x:c>
      <x:c r="D231" s="44" t="str">
        <x:v>FUNCTIONAL TWIN</x:v>
      </x:c>
      <x:c r="E231" s="44" t="str">
        <x:v>BL-Y</x:v>
      </x:c>
      <x:c r="F231" s="44" t="str">
        <x:v>40 mm insert</x:v>
      </x:c>
      <x:c r="G231" s="44" t="str">
        <x:v>RAC-S2</x:v>
      </x:c>
      <x:c r="H231" s="44" t="str">
        <x:v>RAC-LOT-049</x:v>
      </x:c>
      <x:c r="I231" s="44" t="str">
        <x:v>BL-Y-PR-05</x:v>
      </x:c>
      <x:c r="J231" s="44" t="str">
        <x:v>section 04 release</x:v>
      </x:c>
      <x:c r="K231" s="45" t="str"/>
      <x:c r="L231" s="44" t="str"/>
      <x:c r="M231" s="44" t="str"/>
      <x:c r="N231" s="44" t="str">
        <x:f>IF(M231="","OPEN",IF(OR(K231="",L231=""),"FAIL","PASS"))</x:f>
        <x:v>OPEN</x:v>
      </x:c>
    </x:row>
    <x:row r="232" ht="36" customHeight="1">
      <x:c r="B232" s="44" t="str">
        <x:v>RAC-TR-0226</x:v>
      </x:c>
      <x:c r="C232" s="44" t="str">
        <x:v>REA-T-C2</x:v>
      </x:c>
      <x:c r="D232" s="44" t="str">
        <x:v>FUNCTIONAL TWIN</x:v>
      </x:c>
      <x:c r="E232" s="44" t="str">
        <x:v>BL-Y</x:v>
      </x:c>
      <x:c r="F232" s="44" t="str">
        <x:v>dispenser</x:v>
      </x:c>
      <x:c r="G232" s="44" t="str">
        <x:v>RAC-S2</x:v>
      </x:c>
      <x:c r="H232" s="44" t="str">
        <x:v>RAC-LOT-052</x:v>
      </x:c>
      <x:c r="I232" s="44" t="str">
        <x:v>BL-Y-PR-06</x:v>
      </x:c>
      <x:c r="J232" s="44" t="str">
        <x:v>section 05 release</x:v>
      </x:c>
      <x:c r="K232" s="45" t="str"/>
      <x:c r="L232" s="44" t="str"/>
      <x:c r="M232" s="44" t="str"/>
      <x:c r="N232" s="44" t="str">
        <x:f>IF(M232="","OPEN",IF(OR(K232="",L232=""),"FAIL","PASS"))</x:f>
        <x:v>OPEN</x:v>
      </x:c>
    </x:row>
    <x:row r="233" ht="36" customHeight="1">
      <x:c r="B233" s="44" t="str">
        <x:v>RAC-TR-0227</x:v>
      </x:c>
      <x:c r="C233" s="44" t="str">
        <x:v>REA-T-C2</x:v>
      </x:c>
      <x:c r="D233" s="44" t="str">
        <x:v>FUNCTIONAL TWIN</x:v>
      </x:c>
      <x:c r="E233" s="44" t="str">
        <x:v>BL-Y</x:v>
      </x:c>
      <x:c r="F233" s="44" t="str">
        <x:v>inner pan</x:v>
      </x:c>
      <x:c r="G233" s="44" t="str">
        <x:v>RAC-S2</x:v>
      </x:c>
      <x:c r="H233" s="44" t="str">
        <x:v>RAC-LOT-055</x:v>
      </x:c>
      <x:c r="I233" s="44" t="str">
        <x:v>BL-Y-PR-07</x:v>
      </x:c>
      <x:c r="J233" s="44" t="str">
        <x:v>section 06 release</x:v>
      </x:c>
      <x:c r="K233" s="45" t="str"/>
      <x:c r="L233" s="44" t="str"/>
      <x:c r="M233" s="44" t="str"/>
      <x:c r="N233" s="44" t="str">
        <x:f>IF(M233="","OPEN",IF(OR(K233="",L233=""),"FAIL","PASS"))</x:f>
        <x:v>OPEN</x:v>
      </x:c>
    </x:row>
    <x:row r="234" ht="36" customHeight="1">
      <x:c r="B234" s="44" t="str">
        <x:v>RAC-TR-0228</x:v>
      </x:c>
      <x:c r="C234" s="44" t="str">
        <x:v>REA-T-C2</x:v>
      </x:c>
      <x:c r="D234" s="44" t="str">
        <x:v>FUNCTIONAL TWIN</x:v>
      </x:c>
      <x:c r="E234" s="44" t="str">
        <x:v>BL-Y</x:v>
      </x:c>
      <x:c r="F234" s="44" t="str">
        <x:v>normal route</x:v>
      </x:c>
      <x:c r="G234" s="44" t="str">
        <x:v>RAC-S2</x:v>
      </x:c>
      <x:c r="H234" s="44" t="str">
        <x:v>RAC-LOT-058</x:v>
      </x:c>
      <x:c r="I234" s="44" t="str">
        <x:v>BL-Y-PR-08</x:v>
      </x:c>
      <x:c r="J234" s="44" t="str">
        <x:v>section 07 release</x:v>
      </x:c>
      <x:c r="K234" s="45" t="str"/>
      <x:c r="L234" s="44" t="str"/>
      <x:c r="M234" s="44" t="str"/>
      <x:c r="N234" s="44" t="str">
        <x:f>IF(M234="","OPEN",IF(OR(K234="",L234=""),"FAIL","PASS"))</x:f>
        <x:v>OPEN</x:v>
      </x:c>
    </x:row>
    <x:row r="235" ht="36" customHeight="1">
      <x:c r="B235" s="44" t="str">
        <x:v>RAC-TR-0229</x:v>
      </x:c>
      <x:c r="C235" s="44" t="str">
        <x:v>REA-T-C2</x:v>
      </x:c>
      <x:c r="D235" s="44" t="str">
        <x:v>FUNCTIONAL TWIN</x:v>
      </x:c>
      <x:c r="E235" s="44" t="str">
        <x:v>BL-Y</x:v>
      </x:c>
      <x:c r="F235" s="44" t="str">
        <x:v>casualty route</x:v>
      </x:c>
      <x:c r="G235" s="44" t="str">
        <x:v>RAC-S3</x:v>
      </x:c>
      <x:c r="H235" s="44" t="str">
        <x:v>RAC-LOT-061</x:v>
      </x:c>
      <x:c r="I235" s="44" t="str">
        <x:v>BL-Y-PR-09</x:v>
      </x:c>
      <x:c r="J235" s="44" t="str">
        <x:v>section 08 release</x:v>
      </x:c>
      <x:c r="K235" s="45" t="str"/>
      <x:c r="L235" s="44" t="str"/>
      <x:c r="M235" s="44" t="str"/>
      <x:c r="N235" s="44" t="str">
        <x:f>IF(M235="","OPEN",IF(OR(K235="",L235=""),"FAIL","PASS"))</x:f>
        <x:v>OPEN</x:v>
      </x:c>
    </x:row>
    <x:row r="236" ht="36" customHeight="1">
      <x:c r="B236" s="44" t="str">
        <x:v>RAC-TR-0230</x:v>
      </x:c>
      <x:c r="C236" s="44" t="str">
        <x:v>REA-T-C2</x:v>
      </x:c>
      <x:c r="D236" s="44" t="str">
        <x:v>FUNCTIONAL TWIN</x:v>
      </x:c>
      <x:c r="E236" s="44" t="str">
        <x:v>BL-Y</x:v>
      </x:c>
      <x:c r="F236" s="44" t="str">
        <x:v>normal receiver</x:v>
      </x:c>
      <x:c r="G236" s="44" t="str">
        <x:v>RAC-S3</x:v>
      </x:c>
      <x:c r="H236" s="44" t="str">
        <x:v>RAC-LOT-064</x:v>
      </x:c>
      <x:c r="I236" s="44" t="str">
        <x:v>BL-Y-PR-10</x:v>
      </x:c>
      <x:c r="J236" s="44" t="str">
        <x:v>section 09 release</x:v>
      </x:c>
      <x:c r="K236" s="45" t="str"/>
      <x:c r="L236" s="44" t="str"/>
      <x:c r="M236" s="44" t="str"/>
      <x:c r="N236" s="44" t="str">
        <x:f>IF(M236="","OPEN",IF(OR(K236="",L236=""),"FAIL","PASS"))</x:f>
        <x:v>OPEN</x:v>
      </x:c>
    </x:row>
    <x:row r="237" ht="36" customHeight="1">
      <x:c r="B237" s="44" t="str">
        <x:v>RAC-TR-0231</x:v>
      </x:c>
      <x:c r="C237" s="44" t="str">
        <x:v>REA-T-C2</x:v>
      </x:c>
      <x:c r="D237" s="44" t="str">
        <x:v>FUNCTIONAL TWIN</x:v>
      </x:c>
      <x:c r="E237" s="44" t="str">
        <x:v>BL-Y</x:v>
      </x:c>
      <x:c r="F237" s="44" t="str">
        <x:v>casualty receiver</x:v>
      </x:c>
      <x:c r="G237" s="44" t="str">
        <x:v>RAC-S3</x:v>
      </x:c>
      <x:c r="H237" s="44" t="str">
        <x:v>RAC-LOT-067</x:v>
      </x:c>
      <x:c r="I237" s="44" t="str">
        <x:v>BL-Y-PR-11</x:v>
      </x:c>
      <x:c r="J237" s="44" t="str">
        <x:v>section 10 release</x:v>
      </x:c>
      <x:c r="K237" s="45" t="str"/>
      <x:c r="L237" s="44" t="str"/>
      <x:c r="M237" s="44" t="str"/>
      <x:c r="N237" s="44" t="str">
        <x:f>IF(M237="","OPEN",IF(OR(K237="",L237=""),"FAIL","PASS"))</x:f>
        <x:v>OPEN</x:v>
      </x:c>
    </x:row>
    <x:row r="238" ht="36" customHeight="1">
      <x:c r="B238" s="44" t="str">
        <x:v>RAC-TR-0232</x:v>
      </x:c>
      <x:c r="C238" s="44" t="str">
        <x:v>REA-T-C2</x:v>
      </x:c>
      <x:c r="D238" s="44" t="str">
        <x:v>FUNCTIONAL TWIN</x:v>
      </x:c>
      <x:c r="E238" s="44" t="str">
        <x:v>BL-Y</x:v>
      </x:c>
      <x:c r="F238" s="44" t="str">
        <x:v>source inlet isolation</x:v>
      </x:c>
      <x:c r="G238" s="44" t="str">
        <x:v>RAC-S3</x:v>
      </x:c>
      <x:c r="H238" s="44" t="str">
        <x:v>RAC-LOT-070</x:v>
      </x:c>
      <x:c r="I238" s="44" t="str">
        <x:v>BL-Y-PR-12</x:v>
      </x:c>
      <x:c r="J238" s="44" t="str">
        <x:v>section 11 release</x:v>
      </x:c>
      <x:c r="K238" s="45" t="str"/>
      <x:c r="L238" s="44" t="str"/>
      <x:c r="M238" s="44" t="str"/>
      <x:c r="N238" s="44" t="str">
        <x:f>IF(M238="","OPEN",IF(OR(K238="",L238=""),"FAIL","PASS"))</x:f>
        <x:v>OPEN</x:v>
      </x:c>
    </x:row>
    <x:row r="239" ht="36" customHeight="1">
      <x:c r="B239" s="44" t="str">
        <x:v>RAC-TR-0233</x:v>
      </x:c>
      <x:c r="C239" s="44" t="str">
        <x:v>REA-T-C2</x:v>
      </x:c>
      <x:c r="D239" s="44" t="str">
        <x:v>FUNCTIONAL TWIN</x:v>
      </x:c>
      <x:c r="E239" s="44" t="str">
        <x:v>BL-Y</x:v>
      </x:c>
      <x:c r="F239" s="44" t="str">
        <x:v>dispenser isolation</x:v>
      </x:c>
      <x:c r="G239" s="44" t="str">
        <x:v>RAC-S4</x:v>
      </x:c>
      <x:c r="H239" s="44" t="str">
        <x:v>RAC-LOT-037</x:v>
      </x:c>
      <x:c r="I239" s="44" t="str">
        <x:v>BL-Y-PR-13</x:v>
      </x:c>
      <x:c r="J239" s="44" t="str">
        <x:v>section 12 release</x:v>
      </x:c>
      <x:c r="K239" s="45" t="str"/>
      <x:c r="L239" s="44" t="str"/>
      <x:c r="M239" s="44" t="str"/>
      <x:c r="N239" s="44" t="str">
        <x:f>IF(M239="","OPEN",IF(OR(K239="",L239=""),"FAIL","PASS"))</x:f>
        <x:v>OPEN</x:v>
      </x:c>
    </x:row>
    <x:row r="240" ht="36" customHeight="1">
      <x:c r="B240" s="44" t="str">
        <x:v>RAC-TR-0234</x:v>
      </x:c>
      <x:c r="C240" s="44" t="str">
        <x:v>REA-T-C2</x:v>
      </x:c>
      <x:c r="D240" s="44" t="str">
        <x:v>FUNCTIONAL TWIN</x:v>
      </x:c>
      <x:c r="E240" s="44" t="str">
        <x:v>BL-Y</x:v>
      </x:c>
      <x:c r="F240" s="44" t="str">
        <x:v>gravity diversion</x:v>
      </x:c>
      <x:c r="G240" s="44" t="str">
        <x:v>RAC-S4</x:v>
      </x:c>
      <x:c r="H240" s="44" t="str">
        <x:v>RAC-LOT-040</x:v>
      </x:c>
      <x:c r="I240" s="44" t="str">
        <x:v>BL-Y-PR-14</x:v>
      </x:c>
      <x:c r="J240" s="44" t="str">
        <x:v>section 13 release</x:v>
      </x:c>
      <x:c r="K240" s="45" t="str"/>
      <x:c r="L240" s="44" t="str"/>
      <x:c r="M240" s="44" t="str"/>
      <x:c r="N240" s="44" t="str">
        <x:f>IF(M240="","OPEN",IF(OR(K240="",L240=""),"FAIL","PASS"))</x:f>
        <x:v>OPEN</x:v>
      </x:c>
    </x:row>
    <x:row r="241" ht="36" customHeight="1">
      <x:c r="B241" s="44" t="str">
        <x:v>RAC-TR-0235</x:v>
      </x:c>
      <x:c r="C241" s="44" t="str">
        <x:v>REA-T-C2</x:v>
      </x:c>
      <x:c r="D241" s="44" t="str">
        <x:v>FUNCTIONAL TWIN</x:v>
      </x:c>
      <x:c r="E241" s="44" t="str">
        <x:v>BL-Y</x:v>
      </x:c>
      <x:c r="F241" s="44" t="str">
        <x:v>water isolation</x:v>
      </x:c>
      <x:c r="G241" s="44" t="str">
        <x:v>RAC-S4</x:v>
      </x:c>
      <x:c r="H241" s="44" t="str">
        <x:v>RAC-LOT-043</x:v>
      </x:c>
      <x:c r="I241" s="44" t="str">
        <x:v>BL-Y-PR-15</x:v>
      </x:c>
      <x:c r="J241" s="44" t="str">
        <x:v>section 14 release</x:v>
      </x:c>
      <x:c r="K241" s="45" t="str"/>
      <x:c r="L241" s="44" t="str"/>
      <x:c r="M241" s="44" t="str"/>
      <x:c r="N241" s="44" t="str">
        <x:f>IF(M241="","OPEN",IF(OR(K241="",L241=""),"FAIL","PASS"))</x:f>
        <x:v>OPEN</x:v>
      </x:c>
    </x:row>
    <x:row r="242" ht="36" customHeight="1">
      <x:c r="B242" s="44" t="str">
        <x:v>RAC-TR-0236</x:v>
      </x:c>
      <x:c r="C242" s="44" t="str">
        <x:v>REA-T-C2</x:v>
      </x:c>
      <x:c r="D242" s="44" t="str">
        <x:v>FUNCTIONAL TWIN</x:v>
      </x:c>
      <x:c r="E242" s="44" t="str">
        <x:v>BL-Y</x:v>
      </x:c>
      <x:c r="F242" s="44" t="str">
        <x:v>electrical isolation</x:v>
      </x:c>
      <x:c r="G242" s="44" t="str">
        <x:v>RAC-S4</x:v>
      </x:c>
      <x:c r="H242" s="44" t="str">
        <x:v>RAC-LOT-046</x:v>
      </x:c>
      <x:c r="I242" s="44" t="str">
        <x:v>BL-Y-PR-16</x:v>
      </x:c>
      <x:c r="J242" s="44" t="str">
        <x:v>section 15 release</x:v>
      </x:c>
      <x:c r="K242" s="45" t="str"/>
      <x:c r="L242" s="44" t="str"/>
      <x:c r="M242" s="44" t="str"/>
      <x:c r="N242" s="44" t="str">
        <x:f>IF(M242="","OPEN",IF(OR(K242="",L242=""),"FAIL","PASS"))</x:f>
        <x:v>OPEN</x:v>
      </x:c>
    </x:row>
    <x:row r="243" ht="36" customHeight="1">
      <x:c r="B243" s="44" t="str">
        <x:v>RAC-TR-0237</x:v>
      </x:c>
      <x:c r="C243" s="44" t="str">
        <x:v>REA-T-C2</x:v>
      </x:c>
      <x:c r="D243" s="44" t="str">
        <x:v>FUNCTIONAL TWIN</x:v>
      </x:c>
      <x:c r="E243" s="44" t="str">
        <x:v>BL-Y</x:v>
      </x:c>
      <x:c r="F243" s="44" t="str">
        <x:v>independent safety energy</x:v>
      </x:c>
      <x:c r="G243" s="44" t="str">
        <x:v>RAC-S4</x:v>
      </x:c>
      <x:c r="H243" s="44" t="str">
        <x:v>RAC-LOT-049</x:v>
      </x:c>
      <x:c r="I243" s="44" t="str">
        <x:v>BL-Y-PR-01</x:v>
      </x:c>
      <x:c r="J243" s="44" t="str">
        <x:v>section 16 release</x:v>
      </x:c>
      <x:c r="K243" s="45" t="str"/>
      <x:c r="L243" s="44" t="str"/>
      <x:c r="M243" s="44" t="str"/>
      <x:c r="N243" s="44" t="str">
        <x:f>IF(M243="","OPEN",IF(OR(K243="",L243=""),"FAIL","PASS"))</x:f>
        <x:v>OPEN</x:v>
      </x:c>
    </x:row>
    <x:row r="244" ht="36" customHeight="1">
      <x:c r="B244" s="44" t="str">
        <x:v>RAC-TR-0238</x:v>
      </x:c>
      <x:c r="C244" s="44" t="str">
        <x:v>REA-T-C2</x:v>
      </x:c>
      <x:c r="D244" s="44" t="str">
        <x:v>FUNCTIONAL TWIN</x:v>
      </x:c>
      <x:c r="E244" s="44" t="str">
        <x:v>BL-Y</x:v>
      </x:c>
      <x:c r="F244" s="44" t="str">
        <x:v>measurement frame</x:v>
      </x:c>
      <x:c r="G244" s="44" t="str">
        <x:v>RAC-S4</x:v>
      </x:c>
      <x:c r="H244" s="44" t="str">
        <x:v>RAC-LOT-052</x:v>
      </x:c>
      <x:c r="I244" s="44" t="str">
        <x:v>BL-Y-PR-02</x:v>
      </x:c>
      <x:c r="J244" s="44" t="str">
        <x:v>section 17 release</x:v>
      </x:c>
      <x:c r="K244" s="45" t="str"/>
      <x:c r="L244" s="44" t="str"/>
      <x:c r="M244" s="44" t="str"/>
      <x:c r="N244" s="44" t="str">
        <x:f>IF(M244="","OPEN",IF(OR(K244="",L244=""),"FAIL","PASS"))</x:f>
        <x:v>OPEN</x:v>
      </x:c>
    </x:row>
    <x:row r="245" ht="36" customHeight="1">
      <x:c r="B245" s="44" t="str">
        <x:v>RAC-TR-0239</x:v>
      </x:c>
      <x:c r="C245" s="44" t="str">
        <x:v>REA-T-C2</x:v>
      </x:c>
      <x:c r="D245" s="44" t="str">
        <x:v>FUNCTIONAL TWIN</x:v>
      </x:c>
      <x:c r="E245" s="44" t="str">
        <x:v>BL-Y</x:v>
      </x:c>
      <x:c r="F245" s="44" t="str">
        <x:v>causal time and evidence</x:v>
      </x:c>
      <x:c r="G245" s="44" t="str">
        <x:v>RAC-S6</x:v>
      </x:c>
      <x:c r="H245" s="44" t="str">
        <x:v>RAC-LOT-055</x:v>
      </x:c>
      <x:c r="I245" s="44" t="str">
        <x:v>BL-Y-PR-03</x:v>
      </x:c>
      <x:c r="J245" s="44" t="str">
        <x:v>section 18 release</x:v>
      </x:c>
      <x:c r="K245" s="45" t="str"/>
      <x:c r="L245" s="44" t="str"/>
      <x:c r="M245" s="44" t="str"/>
      <x:c r="N245" s="44" t="str">
        <x:f>IF(M245="","OPEN",IF(OR(K245="",L245=""),"FAIL","PASS"))</x:f>
        <x:v>OPEN</x:v>
      </x:c>
    </x:row>
    <x:row r="246" ht="36" customHeight="1">
      <x:c r="B246" s="44" t="str">
        <x:v>RAC-TR-0240</x:v>
      </x:c>
      <x:c r="C246" s="44" t="str">
        <x:v>REA-T-C2</x:v>
      </x:c>
      <x:c r="D246" s="44" t="str">
        <x:v>FUNCTIONAL TWIN</x:v>
      </x:c>
      <x:c r="E246" s="44" t="str">
        <x:v>BL-Y</x:v>
      </x:c>
      <x:c r="F246" s="44" t="str">
        <x:v>rescue and environmental access</x:v>
      </x:c>
      <x:c r="G246" s="44" t="str">
        <x:v>RAC-S6</x:v>
      </x:c>
      <x:c r="H246" s="44" t="str">
        <x:v>RAC-LOT-058</x:v>
      </x:c>
      <x:c r="I246" s="44" t="str">
        <x:v>BL-Y-PR-04</x:v>
      </x:c>
      <x:c r="J246" s="44" t="str">
        <x:v>section 19 release</x:v>
      </x:c>
      <x:c r="K246" s="45" t="str"/>
      <x:c r="L246" s="44" t="str"/>
      <x:c r="M246" s="44" t="str"/>
      <x:c r="N246" s="44" t="str">
        <x:f>IF(M246="","OPEN",IF(OR(K246="",L246=""),"FAIL","PASS"))</x:f>
        <x:v>OPEN</x:v>
      </x:c>
    </x:row>
    <x:row r="247" ht="36" customHeight="1">
      <x:c r="B247" s="44" t="str">
        <x:v>RAC-TR-0241</x:v>
      </x:c>
      <x:c r="C247" s="44" t="str">
        <x:v>REA-M-A</x:v>
      </x:c>
      <x:c r="D247" s="44" t="str">
        <x:v>CALIBRATION</x:v>
      </x:c>
      <x:c r="E247" s="44" t="str">
        <x:v>BL-X</x:v>
      </x:c>
      <x:c r="F247" s="44" t="str">
        <x:v>public datum</x:v>
      </x:c>
      <x:c r="G247" s="44" t="str">
        <x:v>RAC-S1</x:v>
      </x:c>
      <x:c r="H247" s="44" t="str">
        <x:v>RAC-LOT-001</x:v>
      </x:c>
      <x:c r="I247" s="44" t="str">
        <x:v>BL-X-PR-01</x:v>
      </x:c>
      <x:c r="J247" s="44" t="str">
        <x:v>authority freeze</x:v>
      </x:c>
      <x:c r="K247" s="45" t="str"/>
      <x:c r="L247" s="44" t="str"/>
      <x:c r="M247" s="44" t="str"/>
      <x:c r="N247" s="44" t="str">
        <x:f>IF(M247="","OPEN",IF(OR(K247="",L247=""),"FAIL","PASS"))</x:f>
        <x:v>OPEN</x:v>
      </x:c>
    </x:row>
    <x:row r="248" ht="36" customHeight="1">
      <x:c r="B248" s="44" t="str">
        <x:v>RAC-TR-0242</x:v>
      </x:c>
      <x:c r="C248" s="44" t="str">
        <x:v>REA-M-A</x:v>
      </x:c>
      <x:c r="D248" s="44" t="str">
        <x:v>CALIBRATION</x:v>
      </x:c>
      <x:c r="E248" s="44" t="str">
        <x:v>BL-X</x:v>
      </x:c>
      <x:c r="F248" s="44" t="str">
        <x:v>primary frame</x:v>
      </x:c>
      <x:c r="G248" s="44" t="str">
        <x:v>RAC-S1</x:v>
      </x:c>
      <x:c r="H248" s="44" t="str">
        <x:v>RAC-LOT-004</x:v>
      </x:c>
      <x:c r="I248" s="44" t="str">
        <x:v>BL-X-PR-02</x:v>
      </x:c>
      <x:c r="J248" s="44" t="str">
        <x:v>section 01 release</x:v>
      </x:c>
      <x:c r="K248" s="45" t="str"/>
      <x:c r="L248" s="44" t="str"/>
      <x:c r="M248" s="44" t="str"/>
      <x:c r="N248" s="44" t="str">
        <x:f>IF(M248="","OPEN",IF(OR(K248="",L248=""),"FAIL","PASS"))</x:f>
        <x:v>OPEN</x:v>
      </x:c>
    </x:row>
    <x:row r="249" ht="36" customHeight="1">
      <x:c r="B249" s="44" t="str">
        <x:v>RAC-TR-0243</x:v>
      </x:c>
      <x:c r="C249" s="44" t="str">
        <x:v>REA-M-A</x:v>
      </x:c>
      <x:c r="D249" s="44" t="str">
        <x:v>CALIBRATION</x:v>
      </x:c>
      <x:c r="E249" s="44" t="str">
        <x:v>BL-X</x:v>
      </x:c>
      <x:c r="F249" s="44" t="str">
        <x:v>source-surrogate vessel</x:v>
      </x:c>
      <x:c r="G249" s="44" t="str">
        <x:v>RAC-S1</x:v>
      </x:c>
      <x:c r="H249" s="44" t="str">
        <x:v>RAC-LOT-007</x:v>
      </x:c>
      <x:c r="I249" s="44" t="str">
        <x:v>BL-X-PR-03</x:v>
      </x:c>
      <x:c r="J249" s="44" t="str">
        <x:v>section 02 release</x:v>
      </x:c>
      <x:c r="K249" s="45" t="str"/>
      <x:c r="L249" s="44" t="str"/>
      <x:c r="M249" s="44" t="str"/>
      <x:c r="N249" s="44" t="str">
        <x:f>IF(M249="","OPEN",IF(OR(K249="",L249=""),"FAIL","PASS"))</x:f>
        <x:v>OPEN</x:v>
      </x:c>
    </x:row>
    <x:row r="250" ht="36" customHeight="1">
      <x:c r="B250" s="44" t="str">
        <x:v>RAC-TR-0244</x:v>
      </x:c>
      <x:c r="C250" s="44" t="str">
        <x:v>REA-M-A</x:v>
      </x:c>
      <x:c r="D250" s="44" t="str">
        <x:v>CALIBRATION</x:v>
      </x:c>
      <x:c r="E250" s="44" t="str">
        <x:v>BL-X</x:v>
      </x:c>
      <x:c r="F250" s="44" t="str">
        <x:v>capsule dock</x:v>
      </x:c>
      <x:c r="G250" s="44" t="str">
        <x:v>RAC-S1</x:v>
      </x:c>
      <x:c r="H250" s="44" t="str">
        <x:v>RAC-LOT-010</x:v>
      </x:c>
      <x:c r="I250" s="44" t="str">
        <x:v>BL-X-PR-04</x:v>
      </x:c>
      <x:c r="J250" s="44" t="str">
        <x:v>section 03 release</x:v>
      </x:c>
      <x:c r="K250" s="45" t="str"/>
      <x:c r="L250" s="44" t="str"/>
      <x:c r="M250" s="44" t="str"/>
      <x:c r="N250" s="44" t="str">
        <x:f>IF(M250="","OPEN",IF(OR(K250="",L250=""),"FAIL","PASS"))</x:f>
        <x:v>OPEN</x:v>
      </x:c>
    </x:row>
    <x:row r="251" ht="36" customHeight="1">
      <x:c r="B251" s="44" t="str">
        <x:v>RAC-TR-0245</x:v>
      </x:c>
      <x:c r="C251" s="44" t="str">
        <x:v>REA-M-A</x:v>
      </x:c>
      <x:c r="D251" s="44" t="str">
        <x:v>CALIBRATION</x:v>
      </x:c>
      <x:c r="E251" s="44" t="str">
        <x:v>BL-X</x:v>
      </x:c>
      <x:c r="F251" s="44" t="str">
        <x:v>40 mm insert</x:v>
      </x:c>
      <x:c r="G251" s="44" t="str">
        <x:v>RAC-S2</x:v>
      </x:c>
      <x:c r="H251" s="44" t="str">
        <x:v>RAC-LOT-013</x:v>
      </x:c>
      <x:c r="I251" s="44" t="str">
        <x:v>BL-X-PR-05</x:v>
      </x:c>
      <x:c r="J251" s="44" t="str">
        <x:v>section 04 release</x:v>
      </x:c>
      <x:c r="K251" s="45" t="str"/>
      <x:c r="L251" s="44" t="str"/>
      <x:c r="M251" s="44" t="str"/>
      <x:c r="N251" s="44" t="str">
        <x:f>IF(M251="","OPEN",IF(OR(K251="",L251=""),"FAIL","PASS"))</x:f>
        <x:v>OPEN</x:v>
      </x:c>
    </x:row>
    <x:row r="252" ht="36" customHeight="1">
      <x:c r="B252" s="44" t="str">
        <x:v>RAC-TR-0246</x:v>
      </x:c>
      <x:c r="C252" s="44" t="str">
        <x:v>REA-M-A</x:v>
      </x:c>
      <x:c r="D252" s="44" t="str">
        <x:v>CALIBRATION</x:v>
      </x:c>
      <x:c r="E252" s="44" t="str">
        <x:v>BL-X</x:v>
      </x:c>
      <x:c r="F252" s="44" t="str">
        <x:v>dispenser</x:v>
      </x:c>
      <x:c r="G252" s="44" t="str">
        <x:v>RAC-S2</x:v>
      </x:c>
      <x:c r="H252" s="44" t="str">
        <x:v>RAC-LOT-016</x:v>
      </x:c>
      <x:c r="I252" s="44" t="str">
        <x:v>BL-X-PR-06</x:v>
      </x:c>
      <x:c r="J252" s="44" t="str">
        <x:v>section 05 release</x:v>
      </x:c>
      <x:c r="K252" s="45" t="str"/>
      <x:c r="L252" s="44" t="str"/>
      <x:c r="M252" s="44" t="str"/>
      <x:c r="N252" s="44" t="str">
        <x:f>IF(M252="","OPEN",IF(OR(K252="",L252=""),"FAIL","PASS"))</x:f>
        <x:v>OPEN</x:v>
      </x:c>
    </x:row>
    <x:row r="253" ht="36" customHeight="1">
      <x:c r="B253" s="44" t="str">
        <x:v>RAC-TR-0247</x:v>
      </x:c>
      <x:c r="C253" s="44" t="str">
        <x:v>REA-M-A</x:v>
      </x:c>
      <x:c r="D253" s="44" t="str">
        <x:v>CALIBRATION</x:v>
      </x:c>
      <x:c r="E253" s="44" t="str">
        <x:v>BL-X</x:v>
      </x:c>
      <x:c r="F253" s="44" t="str">
        <x:v>inner pan</x:v>
      </x:c>
      <x:c r="G253" s="44" t="str">
        <x:v>RAC-S2</x:v>
      </x:c>
      <x:c r="H253" s="44" t="str">
        <x:v>RAC-LOT-019</x:v>
      </x:c>
      <x:c r="I253" s="44" t="str">
        <x:v>BL-X-PR-07</x:v>
      </x:c>
      <x:c r="J253" s="44" t="str">
        <x:v>section 06 release</x:v>
      </x:c>
      <x:c r="K253" s="45" t="str"/>
      <x:c r="L253" s="44" t="str"/>
      <x:c r="M253" s="44" t="str"/>
      <x:c r="N253" s="44" t="str">
        <x:f>IF(M253="","OPEN",IF(OR(K253="",L253=""),"FAIL","PASS"))</x:f>
        <x:v>OPEN</x:v>
      </x:c>
    </x:row>
    <x:row r="254" ht="36" customHeight="1">
      <x:c r="B254" s="44" t="str">
        <x:v>RAC-TR-0248</x:v>
      </x:c>
      <x:c r="C254" s="44" t="str">
        <x:v>REA-M-A</x:v>
      </x:c>
      <x:c r="D254" s="44" t="str">
        <x:v>CALIBRATION</x:v>
      </x:c>
      <x:c r="E254" s="44" t="str">
        <x:v>BL-X</x:v>
      </x:c>
      <x:c r="F254" s="44" t="str">
        <x:v>normal route</x:v>
      </x:c>
      <x:c r="G254" s="44" t="str">
        <x:v>RAC-S2</x:v>
      </x:c>
      <x:c r="H254" s="44" t="str">
        <x:v>RAC-LOT-022</x:v>
      </x:c>
      <x:c r="I254" s="44" t="str">
        <x:v>BL-X-PR-08</x:v>
      </x:c>
      <x:c r="J254" s="44" t="str">
        <x:v>section 07 release</x:v>
      </x:c>
      <x:c r="K254" s="45" t="str"/>
      <x:c r="L254" s="44" t="str"/>
      <x:c r="M254" s="44" t="str"/>
      <x:c r="N254" s="44" t="str">
        <x:f>IF(M254="","OPEN",IF(OR(K254="",L254=""),"FAIL","PASS"))</x:f>
        <x:v>OPEN</x:v>
      </x:c>
    </x:row>
    <x:row r="255" ht="36" customHeight="1">
      <x:c r="B255" s="44" t="str">
        <x:v>RAC-TR-0249</x:v>
      </x:c>
      <x:c r="C255" s="44" t="str">
        <x:v>REA-M-A</x:v>
      </x:c>
      <x:c r="D255" s="44" t="str">
        <x:v>CALIBRATION</x:v>
      </x:c>
      <x:c r="E255" s="44" t="str">
        <x:v>BL-X</x:v>
      </x:c>
      <x:c r="F255" s="44" t="str">
        <x:v>casualty route</x:v>
      </x:c>
      <x:c r="G255" s="44" t="str">
        <x:v>RAC-S3</x:v>
      </x:c>
      <x:c r="H255" s="44" t="str">
        <x:v>RAC-LOT-025</x:v>
      </x:c>
      <x:c r="I255" s="44" t="str">
        <x:v>BL-X-PR-09</x:v>
      </x:c>
      <x:c r="J255" s="44" t="str">
        <x:v>section 08 release</x:v>
      </x:c>
      <x:c r="K255" s="45" t="str"/>
      <x:c r="L255" s="44" t="str"/>
      <x:c r="M255" s="44" t="str"/>
      <x:c r="N255" s="44" t="str">
        <x:f>IF(M255="","OPEN",IF(OR(K255="",L255=""),"FAIL","PASS"))</x:f>
        <x:v>OPEN</x:v>
      </x:c>
    </x:row>
    <x:row r="256" ht="36" customHeight="1">
      <x:c r="B256" s="44" t="str">
        <x:v>RAC-TR-0250</x:v>
      </x:c>
      <x:c r="C256" s="44" t="str">
        <x:v>REA-M-A</x:v>
      </x:c>
      <x:c r="D256" s="44" t="str">
        <x:v>CALIBRATION</x:v>
      </x:c>
      <x:c r="E256" s="44" t="str">
        <x:v>BL-X</x:v>
      </x:c>
      <x:c r="F256" s="44" t="str">
        <x:v>normal receiver</x:v>
      </x:c>
      <x:c r="G256" s="44" t="str">
        <x:v>RAC-S3</x:v>
      </x:c>
      <x:c r="H256" s="44" t="str">
        <x:v>RAC-LOT-028</x:v>
      </x:c>
      <x:c r="I256" s="44" t="str">
        <x:v>BL-X-PR-10</x:v>
      </x:c>
      <x:c r="J256" s="44" t="str">
        <x:v>section 09 release</x:v>
      </x:c>
      <x:c r="K256" s="45" t="str"/>
      <x:c r="L256" s="44" t="str"/>
      <x:c r="M256" s="44" t="str"/>
      <x:c r="N256" s="44" t="str">
        <x:f>IF(M256="","OPEN",IF(OR(K256="",L256=""),"FAIL","PASS"))</x:f>
        <x:v>OPEN</x:v>
      </x:c>
    </x:row>
    <x:row r="257" ht="36" customHeight="1">
      <x:c r="B257" s="44" t="str">
        <x:v>RAC-TR-0251</x:v>
      </x:c>
      <x:c r="C257" s="44" t="str">
        <x:v>REA-M-A</x:v>
      </x:c>
      <x:c r="D257" s="44" t="str">
        <x:v>CALIBRATION</x:v>
      </x:c>
      <x:c r="E257" s="44" t="str">
        <x:v>BL-X</x:v>
      </x:c>
      <x:c r="F257" s="44" t="str">
        <x:v>casualty receiver</x:v>
      </x:c>
      <x:c r="G257" s="44" t="str">
        <x:v>RAC-S3</x:v>
      </x:c>
      <x:c r="H257" s="44" t="str">
        <x:v>RAC-LOT-031</x:v>
      </x:c>
      <x:c r="I257" s="44" t="str">
        <x:v>BL-X-PR-11</x:v>
      </x:c>
      <x:c r="J257" s="44" t="str">
        <x:v>section 10 release</x:v>
      </x:c>
      <x:c r="K257" s="45" t="str"/>
      <x:c r="L257" s="44" t="str"/>
      <x:c r="M257" s="44" t="str"/>
      <x:c r="N257" s="44" t="str">
        <x:f>IF(M257="","OPEN",IF(OR(K257="",L257=""),"FAIL","PASS"))</x:f>
        <x:v>OPEN</x:v>
      </x:c>
    </x:row>
    <x:row r="258" ht="36" customHeight="1">
      <x:c r="B258" s="44" t="str">
        <x:v>RAC-TR-0252</x:v>
      </x:c>
      <x:c r="C258" s="44" t="str">
        <x:v>REA-M-A</x:v>
      </x:c>
      <x:c r="D258" s="44" t="str">
        <x:v>CALIBRATION</x:v>
      </x:c>
      <x:c r="E258" s="44" t="str">
        <x:v>BL-X</x:v>
      </x:c>
      <x:c r="F258" s="44" t="str">
        <x:v>source inlet isolation</x:v>
      </x:c>
      <x:c r="G258" s="44" t="str">
        <x:v>RAC-S3</x:v>
      </x:c>
      <x:c r="H258" s="44" t="str">
        <x:v>RAC-LOT-034</x:v>
      </x:c>
      <x:c r="I258" s="44" t="str">
        <x:v>BL-X-PR-12</x:v>
      </x:c>
      <x:c r="J258" s="44" t="str">
        <x:v>section 11 release</x:v>
      </x:c>
      <x:c r="K258" s="45" t="str"/>
      <x:c r="L258" s="44" t="str"/>
      <x:c r="M258" s="44" t="str"/>
      <x:c r="N258" s="44" t="str">
        <x:f>IF(M258="","OPEN",IF(OR(K258="",L258=""),"FAIL","PASS"))</x:f>
        <x:v>OPEN</x:v>
      </x:c>
    </x:row>
    <x:row r="259" ht="36" customHeight="1">
      <x:c r="B259" s="44" t="str">
        <x:v>RAC-TR-0253</x:v>
      </x:c>
      <x:c r="C259" s="44" t="str">
        <x:v>REA-M-A</x:v>
      </x:c>
      <x:c r="D259" s="44" t="str">
        <x:v>CALIBRATION</x:v>
      </x:c>
      <x:c r="E259" s="44" t="str">
        <x:v>BL-X</x:v>
      </x:c>
      <x:c r="F259" s="44" t="str">
        <x:v>dispenser isolation</x:v>
      </x:c>
      <x:c r="G259" s="44" t="str">
        <x:v>RAC-S4</x:v>
      </x:c>
      <x:c r="H259" s="44" t="str">
        <x:v>RAC-LOT-001</x:v>
      </x:c>
      <x:c r="I259" s="44" t="str">
        <x:v>BL-X-PR-13</x:v>
      </x:c>
      <x:c r="J259" s="44" t="str">
        <x:v>section 12 release</x:v>
      </x:c>
      <x:c r="K259" s="45" t="str"/>
      <x:c r="L259" s="44" t="str"/>
      <x:c r="M259" s="44" t="str"/>
      <x:c r="N259" s="44" t="str">
        <x:f>IF(M259="","OPEN",IF(OR(K259="",L259=""),"FAIL","PASS"))</x:f>
        <x:v>OPEN</x:v>
      </x:c>
    </x:row>
    <x:row r="260" ht="36" customHeight="1">
      <x:c r="B260" s="44" t="str">
        <x:v>RAC-TR-0254</x:v>
      </x:c>
      <x:c r="C260" s="44" t="str">
        <x:v>REA-M-A</x:v>
      </x:c>
      <x:c r="D260" s="44" t="str">
        <x:v>CALIBRATION</x:v>
      </x:c>
      <x:c r="E260" s="44" t="str">
        <x:v>BL-X</x:v>
      </x:c>
      <x:c r="F260" s="44" t="str">
        <x:v>gravity diversion</x:v>
      </x:c>
      <x:c r="G260" s="44" t="str">
        <x:v>RAC-S4</x:v>
      </x:c>
      <x:c r="H260" s="44" t="str">
        <x:v>RAC-LOT-004</x:v>
      </x:c>
      <x:c r="I260" s="44" t="str">
        <x:v>BL-X-PR-14</x:v>
      </x:c>
      <x:c r="J260" s="44" t="str">
        <x:v>section 13 release</x:v>
      </x:c>
      <x:c r="K260" s="45" t="str"/>
      <x:c r="L260" s="44" t="str"/>
      <x:c r="M260" s="44" t="str"/>
      <x:c r="N260" s="44" t="str">
        <x:f>IF(M260="","OPEN",IF(OR(K260="",L260=""),"FAIL","PASS"))</x:f>
        <x:v>OPEN</x:v>
      </x:c>
    </x:row>
    <x:row r="261" ht="36" customHeight="1">
      <x:c r="B261" s="44" t="str">
        <x:v>RAC-TR-0255</x:v>
      </x:c>
      <x:c r="C261" s="44" t="str">
        <x:v>REA-M-A</x:v>
      </x:c>
      <x:c r="D261" s="44" t="str">
        <x:v>CALIBRATION</x:v>
      </x:c>
      <x:c r="E261" s="44" t="str">
        <x:v>BL-X</x:v>
      </x:c>
      <x:c r="F261" s="44" t="str">
        <x:v>water isolation</x:v>
      </x:c>
      <x:c r="G261" s="44" t="str">
        <x:v>RAC-S4</x:v>
      </x:c>
      <x:c r="H261" s="44" t="str">
        <x:v>RAC-LOT-007</x:v>
      </x:c>
      <x:c r="I261" s="44" t="str">
        <x:v>BL-X-PR-15</x:v>
      </x:c>
      <x:c r="J261" s="44" t="str">
        <x:v>section 14 release</x:v>
      </x:c>
      <x:c r="K261" s="45" t="str"/>
      <x:c r="L261" s="44" t="str"/>
      <x:c r="M261" s="44" t="str"/>
      <x:c r="N261" s="44" t="str">
        <x:f>IF(M261="","OPEN",IF(OR(K261="",L261=""),"FAIL","PASS"))</x:f>
        <x:v>OPEN</x:v>
      </x:c>
    </x:row>
    <x:row r="262" ht="36" customHeight="1">
      <x:c r="B262" s="44" t="str">
        <x:v>RAC-TR-0256</x:v>
      </x:c>
      <x:c r="C262" s="44" t="str">
        <x:v>REA-M-A</x:v>
      </x:c>
      <x:c r="D262" s="44" t="str">
        <x:v>CALIBRATION</x:v>
      </x:c>
      <x:c r="E262" s="44" t="str">
        <x:v>BL-X</x:v>
      </x:c>
      <x:c r="F262" s="44" t="str">
        <x:v>electrical isolation</x:v>
      </x:c>
      <x:c r="G262" s="44" t="str">
        <x:v>RAC-S4</x:v>
      </x:c>
      <x:c r="H262" s="44" t="str">
        <x:v>RAC-LOT-010</x:v>
      </x:c>
      <x:c r="I262" s="44" t="str">
        <x:v>BL-X-PR-16</x:v>
      </x:c>
      <x:c r="J262" s="44" t="str">
        <x:v>section 15 release</x:v>
      </x:c>
      <x:c r="K262" s="45" t="str"/>
      <x:c r="L262" s="44" t="str"/>
      <x:c r="M262" s="44" t="str"/>
      <x:c r="N262" s="44" t="str">
        <x:f>IF(M262="","OPEN",IF(OR(K262="",L262=""),"FAIL","PASS"))</x:f>
        <x:v>OPEN</x:v>
      </x:c>
    </x:row>
    <x:row r="263" ht="36" customHeight="1">
      <x:c r="B263" s="44" t="str">
        <x:v>RAC-TR-0257</x:v>
      </x:c>
      <x:c r="C263" s="44" t="str">
        <x:v>REA-M-A</x:v>
      </x:c>
      <x:c r="D263" s="44" t="str">
        <x:v>CALIBRATION</x:v>
      </x:c>
      <x:c r="E263" s="44" t="str">
        <x:v>BL-X</x:v>
      </x:c>
      <x:c r="F263" s="44" t="str">
        <x:v>independent safety energy</x:v>
      </x:c>
      <x:c r="G263" s="44" t="str">
        <x:v>RAC-S4</x:v>
      </x:c>
      <x:c r="H263" s="44" t="str">
        <x:v>RAC-LOT-013</x:v>
      </x:c>
      <x:c r="I263" s="44" t="str">
        <x:v>BL-X-PR-01</x:v>
      </x:c>
      <x:c r="J263" s="44" t="str">
        <x:v>section 16 release</x:v>
      </x:c>
      <x:c r="K263" s="45" t="str"/>
      <x:c r="L263" s="44" t="str"/>
      <x:c r="M263" s="44" t="str"/>
      <x:c r="N263" s="44" t="str">
        <x:f>IF(M263="","OPEN",IF(OR(K263="",L263=""),"FAIL","PASS"))</x:f>
        <x:v>OPEN</x:v>
      </x:c>
    </x:row>
    <x:row r="264" ht="36" customHeight="1">
      <x:c r="B264" s="44" t="str">
        <x:v>RAC-TR-0258</x:v>
      </x:c>
      <x:c r="C264" s="44" t="str">
        <x:v>REA-M-A</x:v>
      </x:c>
      <x:c r="D264" s="44" t="str">
        <x:v>CALIBRATION</x:v>
      </x:c>
      <x:c r="E264" s="44" t="str">
        <x:v>BL-X</x:v>
      </x:c>
      <x:c r="F264" s="44" t="str">
        <x:v>measurement frame</x:v>
      </x:c>
      <x:c r="G264" s="44" t="str">
        <x:v>RAC-S4</x:v>
      </x:c>
      <x:c r="H264" s="44" t="str">
        <x:v>RAC-LOT-016</x:v>
      </x:c>
      <x:c r="I264" s="44" t="str">
        <x:v>BL-X-PR-02</x:v>
      </x:c>
      <x:c r="J264" s="44" t="str">
        <x:v>section 17 release</x:v>
      </x:c>
      <x:c r="K264" s="45" t="str"/>
      <x:c r="L264" s="44" t="str"/>
      <x:c r="M264" s="44" t="str"/>
      <x:c r="N264" s="44" t="str">
        <x:f>IF(M264="","OPEN",IF(OR(K264="",L264=""),"FAIL","PASS"))</x:f>
        <x:v>OPEN</x:v>
      </x:c>
    </x:row>
    <x:row r="265" ht="36" customHeight="1">
      <x:c r="B265" s="44" t="str">
        <x:v>RAC-TR-0259</x:v>
      </x:c>
      <x:c r="C265" s="44" t="str">
        <x:v>REA-M-A</x:v>
      </x:c>
      <x:c r="D265" s="44" t="str">
        <x:v>CALIBRATION</x:v>
      </x:c>
      <x:c r="E265" s="44" t="str">
        <x:v>BL-X</x:v>
      </x:c>
      <x:c r="F265" s="44" t="str">
        <x:v>causal time and evidence</x:v>
      </x:c>
      <x:c r="G265" s="44" t="str">
        <x:v>RAC-S6</x:v>
      </x:c>
      <x:c r="H265" s="44" t="str">
        <x:v>RAC-LOT-019</x:v>
      </x:c>
      <x:c r="I265" s="44" t="str">
        <x:v>BL-X-PR-03</x:v>
      </x:c>
      <x:c r="J265" s="44" t="str">
        <x:v>section 18 release</x:v>
      </x:c>
      <x:c r="K265" s="45" t="str"/>
      <x:c r="L265" s="44" t="str"/>
      <x:c r="M265" s="44" t="str"/>
      <x:c r="N265" s="44" t="str">
        <x:f>IF(M265="","OPEN",IF(OR(K265="",L265=""),"FAIL","PASS"))</x:f>
        <x:v>OPEN</x:v>
      </x:c>
    </x:row>
    <x:row r="266" ht="36" customHeight="1">
      <x:c r="B266" s="44" t="str">
        <x:v>RAC-TR-0260</x:v>
      </x:c>
      <x:c r="C266" s="44" t="str">
        <x:v>REA-M-A</x:v>
      </x:c>
      <x:c r="D266" s="44" t="str">
        <x:v>CALIBRATION</x:v>
      </x:c>
      <x:c r="E266" s="44" t="str">
        <x:v>BL-X</x:v>
      </x:c>
      <x:c r="F266" s="44" t="str">
        <x:v>rescue and environmental access</x:v>
      </x:c>
      <x:c r="G266" s="44" t="str">
        <x:v>RAC-S6</x:v>
      </x:c>
      <x:c r="H266" s="44" t="str">
        <x:v>RAC-LOT-022</x:v>
      </x:c>
      <x:c r="I266" s="44" t="str">
        <x:v>BL-X-PR-04</x:v>
      </x:c>
      <x:c r="J266" s="44" t="str">
        <x:v>section 19 release</x:v>
      </x:c>
      <x:c r="K266" s="45" t="str"/>
      <x:c r="L266" s="44" t="str"/>
      <x:c r="M266" s="44" t="str"/>
      <x:c r="N266" s="44" t="str">
        <x:f>IF(M266="","OPEN",IF(OR(K266="",L266=""),"FAIL","PASS"))</x:f>
        <x:v>OPEN</x:v>
      </x:c>
    </x:row>
    <x:row r="267" ht="36" customHeight="1">
      <x:c r="B267" s="44" t="str">
        <x:v>RAC-TR-0261</x:v>
      </x:c>
      <x:c r="C267" s="44" t="str">
        <x:v>REA-M-B</x:v>
      </x:c>
      <x:c r="D267" s="44" t="str">
        <x:v>CALIBRATION</x:v>
      </x:c>
      <x:c r="E267" s="44" t="str">
        <x:v>BL-Y</x:v>
      </x:c>
      <x:c r="F267" s="44" t="str">
        <x:v>public datum</x:v>
      </x:c>
      <x:c r="G267" s="44" t="str">
        <x:v>RAC-S1</x:v>
      </x:c>
      <x:c r="H267" s="44" t="str">
        <x:v>RAC-LOT-037</x:v>
      </x:c>
      <x:c r="I267" s="44" t="str">
        <x:v>BL-Y-PR-01</x:v>
      </x:c>
      <x:c r="J267" s="44" t="str">
        <x:v>authority freeze</x:v>
      </x:c>
      <x:c r="K267" s="45" t="str"/>
      <x:c r="L267" s="44" t="str"/>
      <x:c r="M267" s="44" t="str"/>
      <x:c r="N267" s="44" t="str">
        <x:f>IF(M267="","OPEN",IF(OR(K267="",L267=""),"FAIL","PASS"))</x:f>
        <x:v>OPEN</x:v>
      </x:c>
    </x:row>
    <x:row r="268" ht="36" customHeight="1">
      <x:c r="B268" s="44" t="str">
        <x:v>RAC-TR-0262</x:v>
      </x:c>
      <x:c r="C268" s="44" t="str">
        <x:v>REA-M-B</x:v>
      </x:c>
      <x:c r="D268" s="44" t="str">
        <x:v>CALIBRATION</x:v>
      </x:c>
      <x:c r="E268" s="44" t="str">
        <x:v>BL-Y</x:v>
      </x:c>
      <x:c r="F268" s="44" t="str">
        <x:v>primary frame</x:v>
      </x:c>
      <x:c r="G268" s="44" t="str">
        <x:v>RAC-S1</x:v>
      </x:c>
      <x:c r="H268" s="44" t="str">
        <x:v>RAC-LOT-040</x:v>
      </x:c>
      <x:c r="I268" s="44" t="str">
        <x:v>BL-Y-PR-02</x:v>
      </x:c>
      <x:c r="J268" s="44" t="str">
        <x:v>section 01 release</x:v>
      </x:c>
      <x:c r="K268" s="45" t="str"/>
      <x:c r="L268" s="44" t="str"/>
      <x:c r="M268" s="44" t="str"/>
      <x:c r="N268" s="44" t="str">
        <x:f>IF(M268="","OPEN",IF(OR(K268="",L268=""),"FAIL","PASS"))</x:f>
        <x:v>OPEN</x:v>
      </x:c>
    </x:row>
    <x:row r="269" ht="36" customHeight="1">
      <x:c r="B269" s="44" t="str">
        <x:v>RAC-TR-0263</x:v>
      </x:c>
      <x:c r="C269" s="44" t="str">
        <x:v>REA-M-B</x:v>
      </x:c>
      <x:c r="D269" s="44" t="str">
        <x:v>CALIBRATION</x:v>
      </x:c>
      <x:c r="E269" s="44" t="str">
        <x:v>BL-Y</x:v>
      </x:c>
      <x:c r="F269" s="44" t="str">
        <x:v>source-surrogate vessel</x:v>
      </x:c>
      <x:c r="G269" s="44" t="str">
        <x:v>RAC-S1</x:v>
      </x:c>
      <x:c r="H269" s="44" t="str">
        <x:v>RAC-LOT-043</x:v>
      </x:c>
      <x:c r="I269" s="44" t="str">
        <x:v>BL-Y-PR-03</x:v>
      </x:c>
      <x:c r="J269" s="44" t="str">
        <x:v>section 02 release</x:v>
      </x:c>
      <x:c r="K269" s="45" t="str"/>
      <x:c r="L269" s="44" t="str"/>
      <x:c r="M269" s="44" t="str"/>
      <x:c r="N269" s="44" t="str">
        <x:f>IF(M269="","OPEN",IF(OR(K269="",L269=""),"FAIL","PASS"))</x:f>
        <x:v>OPEN</x:v>
      </x:c>
    </x:row>
    <x:row r="270" ht="36" customHeight="1">
      <x:c r="B270" s="44" t="str">
        <x:v>RAC-TR-0264</x:v>
      </x:c>
      <x:c r="C270" s="44" t="str">
        <x:v>REA-M-B</x:v>
      </x:c>
      <x:c r="D270" s="44" t="str">
        <x:v>CALIBRATION</x:v>
      </x:c>
      <x:c r="E270" s="44" t="str">
        <x:v>BL-Y</x:v>
      </x:c>
      <x:c r="F270" s="44" t="str">
        <x:v>capsule dock</x:v>
      </x:c>
      <x:c r="G270" s="44" t="str">
        <x:v>RAC-S1</x:v>
      </x:c>
      <x:c r="H270" s="44" t="str">
        <x:v>RAC-LOT-046</x:v>
      </x:c>
      <x:c r="I270" s="44" t="str">
        <x:v>BL-Y-PR-04</x:v>
      </x:c>
      <x:c r="J270" s="44" t="str">
        <x:v>section 03 release</x:v>
      </x:c>
      <x:c r="K270" s="45" t="str"/>
      <x:c r="L270" s="44" t="str"/>
      <x:c r="M270" s="44" t="str"/>
      <x:c r="N270" s="44" t="str">
        <x:f>IF(M270="","OPEN",IF(OR(K270="",L270=""),"FAIL","PASS"))</x:f>
        <x:v>OPEN</x:v>
      </x:c>
    </x:row>
    <x:row r="271" ht="36" customHeight="1">
      <x:c r="B271" s="44" t="str">
        <x:v>RAC-TR-0265</x:v>
      </x:c>
      <x:c r="C271" s="44" t="str">
        <x:v>REA-M-B</x:v>
      </x:c>
      <x:c r="D271" s="44" t="str">
        <x:v>CALIBRATION</x:v>
      </x:c>
      <x:c r="E271" s="44" t="str">
        <x:v>BL-Y</x:v>
      </x:c>
      <x:c r="F271" s="44" t="str">
        <x:v>40 mm insert</x:v>
      </x:c>
      <x:c r="G271" s="44" t="str">
        <x:v>RAC-S2</x:v>
      </x:c>
      <x:c r="H271" s="44" t="str">
        <x:v>RAC-LOT-049</x:v>
      </x:c>
      <x:c r="I271" s="44" t="str">
        <x:v>BL-Y-PR-05</x:v>
      </x:c>
      <x:c r="J271" s="44" t="str">
        <x:v>section 04 release</x:v>
      </x:c>
      <x:c r="K271" s="45" t="str"/>
      <x:c r="L271" s="44" t="str"/>
      <x:c r="M271" s="44" t="str"/>
      <x:c r="N271" s="44" t="str">
        <x:f>IF(M271="","OPEN",IF(OR(K271="",L271=""),"FAIL","PASS"))</x:f>
        <x:v>OPEN</x:v>
      </x:c>
    </x:row>
    <x:row r="272" ht="36" customHeight="1">
      <x:c r="B272" s="44" t="str">
        <x:v>RAC-TR-0266</x:v>
      </x:c>
      <x:c r="C272" s="44" t="str">
        <x:v>REA-M-B</x:v>
      </x:c>
      <x:c r="D272" s="44" t="str">
        <x:v>CALIBRATION</x:v>
      </x:c>
      <x:c r="E272" s="44" t="str">
        <x:v>BL-Y</x:v>
      </x:c>
      <x:c r="F272" s="44" t="str">
        <x:v>dispenser</x:v>
      </x:c>
      <x:c r="G272" s="44" t="str">
        <x:v>RAC-S2</x:v>
      </x:c>
      <x:c r="H272" s="44" t="str">
        <x:v>RAC-LOT-052</x:v>
      </x:c>
      <x:c r="I272" s="44" t="str">
        <x:v>BL-Y-PR-06</x:v>
      </x:c>
      <x:c r="J272" s="44" t="str">
        <x:v>section 05 release</x:v>
      </x:c>
      <x:c r="K272" s="45" t="str"/>
      <x:c r="L272" s="44" t="str"/>
      <x:c r="M272" s="44" t="str"/>
      <x:c r="N272" s="44" t="str">
        <x:f>IF(M272="","OPEN",IF(OR(K272="",L272=""),"FAIL","PASS"))</x:f>
        <x:v>OPEN</x:v>
      </x:c>
    </x:row>
    <x:row r="273" ht="36" customHeight="1">
      <x:c r="B273" s="44" t="str">
        <x:v>RAC-TR-0267</x:v>
      </x:c>
      <x:c r="C273" s="44" t="str">
        <x:v>REA-M-B</x:v>
      </x:c>
      <x:c r="D273" s="44" t="str">
        <x:v>CALIBRATION</x:v>
      </x:c>
      <x:c r="E273" s="44" t="str">
        <x:v>BL-Y</x:v>
      </x:c>
      <x:c r="F273" s="44" t="str">
        <x:v>inner pan</x:v>
      </x:c>
      <x:c r="G273" s="44" t="str">
        <x:v>RAC-S2</x:v>
      </x:c>
      <x:c r="H273" s="44" t="str">
        <x:v>RAC-LOT-055</x:v>
      </x:c>
      <x:c r="I273" s="44" t="str">
        <x:v>BL-Y-PR-07</x:v>
      </x:c>
      <x:c r="J273" s="44" t="str">
        <x:v>section 06 release</x:v>
      </x:c>
      <x:c r="K273" s="45" t="str"/>
      <x:c r="L273" s="44" t="str"/>
      <x:c r="M273" s="44" t="str"/>
      <x:c r="N273" s="44" t="str">
        <x:f>IF(M273="","OPEN",IF(OR(K273="",L273=""),"FAIL","PASS"))</x:f>
        <x:v>OPEN</x:v>
      </x:c>
    </x:row>
    <x:row r="274" ht="36" customHeight="1">
      <x:c r="B274" s="44" t="str">
        <x:v>RAC-TR-0268</x:v>
      </x:c>
      <x:c r="C274" s="44" t="str">
        <x:v>REA-M-B</x:v>
      </x:c>
      <x:c r="D274" s="44" t="str">
        <x:v>CALIBRATION</x:v>
      </x:c>
      <x:c r="E274" s="44" t="str">
        <x:v>BL-Y</x:v>
      </x:c>
      <x:c r="F274" s="44" t="str">
        <x:v>normal route</x:v>
      </x:c>
      <x:c r="G274" s="44" t="str">
        <x:v>RAC-S2</x:v>
      </x:c>
      <x:c r="H274" s="44" t="str">
        <x:v>RAC-LOT-058</x:v>
      </x:c>
      <x:c r="I274" s="44" t="str">
        <x:v>BL-Y-PR-08</x:v>
      </x:c>
      <x:c r="J274" s="44" t="str">
        <x:v>section 07 release</x:v>
      </x:c>
      <x:c r="K274" s="45" t="str"/>
      <x:c r="L274" s="44" t="str"/>
      <x:c r="M274" s="44" t="str"/>
      <x:c r="N274" s="44" t="str">
        <x:f>IF(M274="","OPEN",IF(OR(K274="",L274=""),"FAIL","PASS"))</x:f>
        <x:v>OPEN</x:v>
      </x:c>
    </x:row>
    <x:row r="275" ht="36" customHeight="1">
      <x:c r="B275" s="44" t="str">
        <x:v>RAC-TR-0269</x:v>
      </x:c>
      <x:c r="C275" s="44" t="str">
        <x:v>REA-M-B</x:v>
      </x:c>
      <x:c r="D275" s="44" t="str">
        <x:v>CALIBRATION</x:v>
      </x:c>
      <x:c r="E275" s="44" t="str">
        <x:v>BL-Y</x:v>
      </x:c>
      <x:c r="F275" s="44" t="str">
        <x:v>casualty route</x:v>
      </x:c>
      <x:c r="G275" s="44" t="str">
        <x:v>RAC-S3</x:v>
      </x:c>
      <x:c r="H275" s="44" t="str">
        <x:v>RAC-LOT-061</x:v>
      </x:c>
      <x:c r="I275" s="44" t="str">
        <x:v>BL-Y-PR-09</x:v>
      </x:c>
      <x:c r="J275" s="44" t="str">
        <x:v>section 08 release</x:v>
      </x:c>
      <x:c r="K275" s="45" t="str"/>
      <x:c r="L275" s="44" t="str"/>
      <x:c r="M275" s="44" t="str"/>
      <x:c r="N275" s="44" t="str">
        <x:f>IF(M275="","OPEN",IF(OR(K275="",L275=""),"FAIL","PASS"))</x:f>
        <x:v>OPEN</x:v>
      </x:c>
    </x:row>
    <x:row r="276" ht="36" customHeight="1">
      <x:c r="B276" s="44" t="str">
        <x:v>RAC-TR-0270</x:v>
      </x:c>
      <x:c r="C276" s="44" t="str">
        <x:v>REA-M-B</x:v>
      </x:c>
      <x:c r="D276" s="44" t="str">
        <x:v>CALIBRATION</x:v>
      </x:c>
      <x:c r="E276" s="44" t="str">
        <x:v>BL-Y</x:v>
      </x:c>
      <x:c r="F276" s="44" t="str">
        <x:v>normal receiver</x:v>
      </x:c>
      <x:c r="G276" s="44" t="str">
        <x:v>RAC-S3</x:v>
      </x:c>
      <x:c r="H276" s="44" t="str">
        <x:v>RAC-LOT-064</x:v>
      </x:c>
      <x:c r="I276" s="44" t="str">
        <x:v>BL-Y-PR-10</x:v>
      </x:c>
      <x:c r="J276" s="44" t="str">
        <x:v>section 09 release</x:v>
      </x:c>
      <x:c r="K276" s="45" t="str"/>
      <x:c r="L276" s="44" t="str"/>
      <x:c r="M276" s="44" t="str"/>
      <x:c r="N276" s="44" t="str">
        <x:f>IF(M276="","OPEN",IF(OR(K276="",L276=""),"FAIL","PASS"))</x:f>
        <x:v>OPEN</x:v>
      </x:c>
    </x:row>
    <x:row r="277" ht="36" customHeight="1">
      <x:c r="B277" s="44" t="str">
        <x:v>RAC-TR-0271</x:v>
      </x:c>
      <x:c r="C277" s="44" t="str">
        <x:v>REA-M-B</x:v>
      </x:c>
      <x:c r="D277" s="44" t="str">
        <x:v>CALIBRATION</x:v>
      </x:c>
      <x:c r="E277" s="44" t="str">
        <x:v>BL-Y</x:v>
      </x:c>
      <x:c r="F277" s="44" t="str">
        <x:v>casualty receiver</x:v>
      </x:c>
      <x:c r="G277" s="44" t="str">
        <x:v>RAC-S3</x:v>
      </x:c>
      <x:c r="H277" s="44" t="str">
        <x:v>RAC-LOT-067</x:v>
      </x:c>
      <x:c r="I277" s="44" t="str">
        <x:v>BL-Y-PR-11</x:v>
      </x:c>
      <x:c r="J277" s="44" t="str">
        <x:v>section 10 release</x:v>
      </x:c>
      <x:c r="K277" s="45" t="str"/>
      <x:c r="L277" s="44" t="str"/>
      <x:c r="M277" s="44" t="str"/>
      <x:c r="N277" s="44" t="str">
        <x:f>IF(M277="","OPEN",IF(OR(K277="",L277=""),"FAIL","PASS"))</x:f>
        <x:v>OPEN</x:v>
      </x:c>
    </x:row>
    <x:row r="278" ht="36" customHeight="1">
      <x:c r="B278" s="44" t="str">
        <x:v>RAC-TR-0272</x:v>
      </x:c>
      <x:c r="C278" s="44" t="str">
        <x:v>REA-M-B</x:v>
      </x:c>
      <x:c r="D278" s="44" t="str">
        <x:v>CALIBRATION</x:v>
      </x:c>
      <x:c r="E278" s="44" t="str">
        <x:v>BL-Y</x:v>
      </x:c>
      <x:c r="F278" s="44" t="str">
        <x:v>source inlet isolation</x:v>
      </x:c>
      <x:c r="G278" s="44" t="str">
        <x:v>RAC-S3</x:v>
      </x:c>
      <x:c r="H278" s="44" t="str">
        <x:v>RAC-LOT-070</x:v>
      </x:c>
      <x:c r="I278" s="44" t="str">
        <x:v>BL-Y-PR-12</x:v>
      </x:c>
      <x:c r="J278" s="44" t="str">
        <x:v>section 11 release</x:v>
      </x:c>
      <x:c r="K278" s="45" t="str"/>
      <x:c r="L278" s="44" t="str"/>
      <x:c r="M278" s="44" t="str"/>
      <x:c r="N278" s="44" t="str">
        <x:f>IF(M278="","OPEN",IF(OR(K278="",L278=""),"FAIL","PASS"))</x:f>
        <x:v>OPEN</x:v>
      </x:c>
    </x:row>
    <x:row r="279" ht="36" customHeight="1">
      <x:c r="B279" s="44" t="str">
        <x:v>RAC-TR-0273</x:v>
      </x:c>
      <x:c r="C279" s="44" t="str">
        <x:v>REA-M-B</x:v>
      </x:c>
      <x:c r="D279" s="44" t="str">
        <x:v>CALIBRATION</x:v>
      </x:c>
      <x:c r="E279" s="44" t="str">
        <x:v>BL-Y</x:v>
      </x:c>
      <x:c r="F279" s="44" t="str">
        <x:v>dispenser isolation</x:v>
      </x:c>
      <x:c r="G279" s="44" t="str">
        <x:v>RAC-S4</x:v>
      </x:c>
      <x:c r="H279" s="44" t="str">
        <x:v>RAC-LOT-037</x:v>
      </x:c>
      <x:c r="I279" s="44" t="str">
        <x:v>BL-Y-PR-13</x:v>
      </x:c>
      <x:c r="J279" s="44" t="str">
        <x:v>section 12 release</x:v>
      </x:c>
      <x:c r="K279" s="45" t="str"/>
      <x:c r="L279" s="44" t="str"/>
      <x:c r="M279" s="44" t="str"/>
      <x:c r="N279" s="44" t="str">
        <x:f>IF(M279="","OPEN",IF(OR(K279="",L279=""),"FAIL","PASS"))</x:f>
        <x:v>OPEN</x:v>
      </x:c>
    </x:row>
    <x:row r="280" ht="36" customHeight="1">
      <x:c r="B280" s="44" t="str">
        <x:v>RAC-TR-0274</x:v>
      </x:c>
      <x:c r="C280" s="44" t="str">
        <x:v>REA-M-B</x:v>
      </x:c>
      <x:c r="D280" s="44" t="str">
        <x:v>CALIBRATION</x:v>
      </x:c>
      <x:c r="E280" s="44" t="str">
        <x:v>BL-Y</x:v>
      </x:c>
      <x:c r="F280" s="44" t="str">
        <x:v>gravity diversion</x:v>
      </x:c>
      <x:c r="G280" s="44" t="str">
        <x:v>RAC-S4</x:v>
      </x:c>
      <x:c r="H280" s="44" t="str">
        <x:v>RAC-LOT-040</x:v>
      </x:c>
      <x:c r="I280" s="44" t="str">
        <x:v>BL-Y-PR-14</x:v>
      </x:c>
      <x:c r="J280" s="44" t="str">
        <x:v>section 13 release</x:v>
      </x:c>
      <x:c r="K280" s="45" t="str"/>
      <x:c r="L280" s="44" t="str"/>
      <x:c r="M280" s="44" t="str"/>
      <x:c r="N280" s="44" t="str">
        <x:f>IF(M280="","OPEN",IF(OR(K280="",L280=""),"FAIL","PASS"))</x:f>
        <x:v>OPEN</x:v>
      </x:c>
    </x:row>
    <x:row r="281" ht="36" customHeight="1">
      <x:c r="B281" s="44" t="str">
        <x:v>RAC-TR-0275</x:v>
      </x:c>
      <x:c r="C281" s="44" t="str">
        <x:v>REA-M-B</x:v>
      </x:c>
      <x:c r="D281" s="44" t="str">
        <x:v>CALIBRATION</x:v>
      </x:c>
      <x:c r="E281" s="44" t="str">
        <x:v>BL-Y</x:v>
      </x:c>
      <x:c r="F281" s="44" t="str">
        <x:v>water isolation</x:v>
      </x:c>
      <x:c r="G281" s="44" t="str">
        <x:v>RAC-S4</x:v>
      </x:c>
      <x:c r="H281" s="44" t="str">
        <x:v>RAC-LOT-043</x:v>
      </x:c>
      <x:c r="I281" s="44" t="str">
        <x:v>BL-Y-PR-15</x:v>
      </x:c>
      <x:c r="J281" s="44" t="str">
        <x:v>section 14 release</x:v>
      </x:c>
      <x:c r="K281" s="45" t="str"/>
      <x:c r="L281" s="44" t="str"/>
      <x:c r="M281" s="44" t="str"/>
      <x:c r="N281" s="44" t="str">
        <x:f>IF(M281="","OPEN",IF(OR(K281="",L281=""),"FAIL","PASS"))</x:f>
        <x:v>OPEN</x:v>
      </x:c>
    </x:row>
    <x:row r="282" ht="36" customHeight="1">
      <x:c r="B282" s="44" t="str">
        <x:v>RAC-TR-0276</x:v>
      </x:c>
      <x:c r="C282" s="44" t="str">
        <x:v>REA-M-B</x:v>
      </x:c>
      <x:c r="D282" s="44" t="str">
        <x:v>CALIBRATION</x:v>
      </x:c>
      <x:c r="E282" s="44" t="str">
        <x:v>BL-Y</x:v>
      </x:c>
      <x:c r="F282" s="44" t="str">
        <x:v>electrical isolation</x:v>
      </x:c>
      <x:c r="G282" s="44" t="str">
        <x:v>RAC-S4</x:v>
      </x:c>
      <x:c r="H282" s="44" t="str">
        <x:v>RAC-LOT-046</x:v>
      </x:c>
      <x:c r="I282" s="44" t="str">
        <x:v>BL-Y-PR-16</x:v>
      </x:c>
      <x:c r="J282" s="44" t="str">
        <x:v>section 15 release</x:v>
      </x:c>
      <x:c r="K282" s="45" t="str"/>
      <x:c r="L282" s="44" t="str"/>
      <x:c r="M282" s="44" t="str"/>
      <x:c r="N282" s="44" t="str">
        <x:f>IF(M282="","OPEN",IF(OR(K282="",L282=""),"FAIL","PASS"))</x:f>
        <x:v>OPEN</x:v>
      </x:c>
    </x:row>
    <x:row r="283" ht="36" customHeight="1">
      <x:c r="B283" s="44" t="str">
        <x:v>RAC-TR-0277</x:v>
      </x:c>
      <x:c r="C283" s="44" t="str">
        <x:v>REA-M-B</x:v>
      </x:c>
      <x:c r="D283" s="44" t="str">
        <x:v>CALIBRATION</x:v>
      </x:c>
      <x:c r="E283" s="44" t="str">
        <x:v>BL-Y</x:v>
      </x:c>
      <x:c r="F283" s="44" t="str">
        <x:v>independent safety energy</x:v>
      </x:c>
      <x:c r="G283" s="44" t="str">
        <x:v>RAC-S4</x:v>
      </x:c>
      <x:c r="H283" s="44" t="str">
        <x:v>RAC-LOT-049</x:v>
      </x:c>
      <x:c r="I283" s="44" t="str">
        <x:v>BL-Y-PR-01</x:v>
      </x:c>
      <x:c r="J283" s="44" t="str">
        <x:v>section 16 release</x:v>
      </x:c>
      <x:c r="K283" s="45" t="str"/>
      <x:c r="L283" s="44" t="str"/>
      <x:c r="M283" s="44" t="str"/>
      <x:c r="N283" s="44" t="str">
        <x:f>IF(M283="","OPEN",IF(OR(K283="",L283=""),"FAIL","PASS"))</x:f>
        <x:v>OPEN</x:v>
      </x:c>
    </x:row>
    <x:row r="284" ht="36" customHeight="1">
      <x:c r="B284" s="44" t="str">
        <x:v>RAC-TR-0278</x:v>
      </x:c>
      <x:c r="C284" s="44" t="str">
        <x:v>REA-M-B</x:v>
      </x:c>
      <x:c r="D284" s="44" t="str">
        <x:v>CALIBRATION</x:v>
      </x:c>
      <x:c r="E284" s="44" t="str">
        <x:v>BL-Y</x:v>
      </x:c>
      <x:c r="F284" s="44" t="str">
        <x:v>measurement frame</x:v>
      </x:c>
      <x:c r="G284" s="44" t="str">
        <x:v>RAC-S4</x:v>
      </x:c>
      <x:c r="H284" s="44" t="str">
        <x:v>RAC-LOT-052</x:v>
      </x:c>
      <x:c r="I284" s="44" t="str">
        <x:v>BL-Y-PR-02</x:v>
      </x:c>
      <x:c r="J284" s="44" t="str">
        <x:v>section 17 release</x:v>
      </x:c>
      <x:c r="K284" s="45" t="str"/>
      <x:c r="L284" s="44" t="str"/>
      <x:c r="M284" s="44" t="str"/>
      <x:c r="N284" s="44" t="str">
        <x:f>IF(M284="","OPEN",IF(OR(K284="",L284=""),"FAIL","PASS"))</x:f>
        <x:v>OPEN</x:v>
      </x:c>
    </x:row>
    <x:row r="285" ht="36" customHeight="1">
      <x:c r="B285" s="44" t="str">
        <x:v>RAC-TR-0279</x:v>
      </x:c>
      <x:c r="C285" s="44" t="str">
        <x:v>REA-M-B</x:v>
      </x:c>
      <x:c r="D285" s="44" t="str">
        <x:v>CALIBRATION</x:v>
      </x:c>
      <x:c r="E285" s="44" t="str">
        <x:v>BL-Y</x:v>
      </x:c>
      <x:c r="F285" s="44" t="str">
        <x:v>causal time and evidence</x:v>
      </x:c>
      <x:c r="G285" s="44" t="str">
        <x:v>RAC-S6</x:v>
      </x:c>
      <x:c r="H285" s="44" t="str">
        <x:v>RAC-LOT-055</x:v>
      </x:c>
      <x:c r="I285" s="44" t="str">
        <x:v>BL-Y-PR-03</x:v>
      </x:c>
      <x:c r="J285" s="44" t="str">
        <x:v>section 18 release</x:v>
      </x:c>
      <x:c r="K285" s="45" t="str"/>
      <x:c r="L285" s="44" t="str"/>
      <x:c r="M285" s="44" t="str"/>
      <x:c r="N285" s="44" t="str">
        <x:f>IF(M285="","OPEN",IF(OR(K285="",L285=""),"FAIL","PASS"))</x:f>
        <x:v>OPEN</x:v>
      </x:c>
    </x:row>
    <x:row r="286" ht="36" customHeight="1">
      <x:c r="B286" s="44" t="str">
        <x:v>RAC-TR-0280</x:v>
      </x:c>
      <x:c r="C286" s="44" t="str">
        <x:v>REA-M-B</x:v>
      </x:c>
      <x:c r="D286" s="44" t="str">
        <x:v>CALIBRATION</x:v>
      </x:c>
      <x:c r="E286" s="44" t="str">
        <x:v>BL-Y</x:v>
      </x:c>
      <x:c r="F286" s="44" t="str">
        <x:v>rescue and environmental access</x:v>
      </x:c>
      <x:c r="G286" s="44" t="str">
        <x:v>RAC-S6</x:v>
      </x:c>
      <x:c r="H286" s="44" t="str">
        <x:v>RAC-LOT-058</x:v>
      </x:c>
      <x:c r="I286" s="44" t="str">
        <x:v>BL-Y-PR-04</x:v>
      </x:c>
      <x:c r="J286" s="44" t="str">
        <x:v>section 19 release</x:v>
      </x:c>
      <x:c r="K286" s="45" t="str"/>
      <x:c r="L286" s="44" t="str"/>
      <x:c r="M286" s="44" t="str"/>
      <x:c r="N286" s="44" t="str">
        <x:f>IF(M286="","OPEN",IF(OR(K286="",L286=""),"FAIL","PASS"))</x:f>
        <x:v>OPEN</x:v>
      </x:c>
    </x:row>
    <x:row r="287" ht="36" customHeight="1">
      <x:c r="B287" s="44" t="str">
        <x:v>RAC-TR-0281</x:v>
      </x:c>
      <x:c r="C287" s="44" t="str">
        <x:v>REA-M-C</x:v>
      </x:c>
      <x:c r="D287" s="44" t="str">
        <x:v>CALIBRATION</x:v>
      </x:c>
      <x:c r="E287" s="44" t="str">
        <x:v>BL-X</x:v>
      </x:c>
      <x:c r="F287" s="44" t="str">
        <x:v>public datum</x:v>
      </x:c>
      <x:c r="G287" s="44" t="str">
        <x:v>RAC-S1</x:v>
      </x:c>
      <x:c r="H287" s="44" t="str">
        <x:v>RAC-LOT-001</x:v>
      </x:c>
      <x:c r="I287" s="44" t="str">
        <x:v>BL-X-PR-01</x:v>
      </x:c>
      <x:c r="J287" s="44" t="str">
        <x:v>authority freeze</x:v>
      </x:c>
      <x:c r="K287" s="45" t="str"/>
      <x:c r="L287" s="44" t="str"/>
      <x:c r="M287" s="44" t="str"/>
      <x:c r="N287" s="44" t="str">
        <x:f>IF(M287="","OPEN",IF(OR(K287="",L287=""),"FAIL","PASS"))</x:f>
        <x:v>OPEN</x:v>
      </x:c>
    </x:row>
    <x:row r="288" ht="36" customHeight="1">
      <x:c r="B288" s="44" t="str">
        <x:v>RAC-TR-0282</x:v>
      </x:c>
      <x:c r="C288" s="44" t="str">
        <x:v>REA-M-C</x:v>
      </x:c>
      <x:c r="D288" s="44" t="str">
        <x:v>CALIBRATION</x:v>
      </x:c>
      <x:c r="E288" s="44" t="str">
        <x:v>BL-X</x:v>
      </x:c>
      <x:c r="F288" s="44" t="str">
        <x:v>primary frame</x:v>
      </x:c>
      <x:c r="G288" s="44" t="str">
        <x:v>RAC-S1</x:v>
      </x:c>
      <x:c r="H288" s="44" t="str">
        <x:v>RAC-LOT-004</x:v>
      </x:c>
      <x:c r="I288" s="44" t="str">
        <x:v>BL-X-PR-02</x:v>
      </x:c>
      <x:c r="J288" s="44" t="str">
        <x:v>section 01 release</x:v>
      </x:c>
      <x:c r="K288" s="45" t="str"/>
      <x:c r="L288" s="44" t="str"/>
      <x:c r="M288" s="44" t="str"/>
      <x:c r="N288" s="44" t="str">
        <x:f>IF(M288="","OPEN",IF(OR(K288="",L288=""),"FAIL","PASS"))</x:f>
        <x:v>OPEN</x:v>
      </x:c>
    </x:row>
    <x:row r="289" ht="36" customHeight="1">
      <x:c r="B289" s="44" t="str">
        <x:v>RAC-TR-0283</x:v>
      </x:c>
      <x:c r="C289" s="44" t="str">
        <x:v>REA-M-C</x:v>
      </x:c>
      <x:c r="D289" s="44" t="str">
        <x:v>CALIBRATION</x:v>
      </x:c>
      <x:c r="E289" s="44" t="str">
        <x:v>BL-X</x:v>
      </x:c>
      <x:c r="F289" s="44" t="str">
        <x:v>source-surrogate vessel</x:v>
      </x:c>
      <x:c r="G289" s="44" t="str">
        <x:v>RAC-S1</x:v>
      </x:c>
      <x:c r="H289" s="44" t="str">
        <x:v>RAC-LOT-007</x:v>
      </x:c>
      <x:c r="I289" s="44" t="str">
        <x:v>BL-X-PR-03</x:v>
      </x:c>
      <x:c r="J289" s="44" t="str">
        <x:v>section 02 release</x:v>
      </x:c>
      <x:c r="K289" s="45" t="str"/>
      <x:c r="L289" s="44" t="str"/>
      <x:c r="M289" s="44" t="str"/>
      <x:c r="N289" s="44" t="str">
        <x:f>IF(M289="","OPEN",IF(OR(K289="",L289=""),"FAIL","PASS"))</x:f>
        <x:v>OPEN</x:v>
      </x:c>
    </x:row>
    <x:row r="290" ht="36" customHeight="1">
      <x:c r="B290" s="44" t="str">
        <x:v>RAC-TR-0284</x:v>
      </x:c>
      <x:c r="C290" s="44" t="str">
        <x:v>REA-M-C</x:v>
      </x:c>
      <x:c r="D290" s="44" t="str">
        <x:v>CALIBRATION</x:v>
      </x:c>
      <x:c r="E290" s="44" t="str">
        <x:v>BL-X</x:v>
      </x:c>
      <x:c r="F290" s="44" t="str">
        <x:v>capsule dock</x:v>
      </x:c>
      <x:c r="G290" s="44" t="str">
        <x:v>RAC-S1</x:v>
      </x:c>
      <x:c r="H290" s="44" t="str">
        <x:v>RAC-LOT-010</x:v>
      </x:c>
      <x:c r="I290" s="44" t="str">
        <x:v>BL-X-PR-04</x:v>
      </x:c>
      <x:c r="J290" s="44" t="str">
        <x:v>section 03 release</x:v>
      </x:c>
      <x:c r="K290" s="45" t="str"/>
      <x:c r="L290" s="44" t="str"/>
      <x:c r="M290" s="44" t="str"/>
      <x:c r="N290" s="44" t="str">
        <x:f>IF(M290="","OPEN",IF(OR(K290="",L290=""),"FAIL","PASS"))</x:f>
        <x:v>OPEN</x:v>
      </x:c>
    </x:row>
    <x:row r="291" ht="36" customHeight="1">
      <x:c r="B291" s="44" t="str">
        <x:v>RAC-TR-0285</x:v>
      </x:c>
      <x:c r="C291" s="44" t="str">
        <x:v>REA-M-C</x:v>
      </x:c>
      <x:c r="D291" s="44" t="str">
        <x:v>CALIBRATION</x:v>
      </x:c>
      <x:c r="E291" s="44" t="str">
        <x:v>BL-X</x:v>
      </x:c>
      <x:c r="F291" s="44" t="str">
        <x:v>40 mm insert</x:v>
      </x:c>
      <x:c r="G291" s="44" t="str">
        <x:v>RAC-S2</x:v>
      </x:c>
      <x:c r="H291" s="44" t="str">
        <x:v>RAC-LOT-013</x:v>
      </x:c>
      <x:c r="I291" s="44" t="str">
        <x:v>BL-X-PR-05</x:v>
      </x:c>
      <x:c r="J291" s="44" t="str">
        <x:v>section 04 release</x:v>
      </x:c>
      <x:c r="K291" s="45" t="str"/>
      <x:c r="L291" s="44" t="str"/>
      <x:c r="M291" s="44" t="str"/>
      <x:c r="N291" s="44" t="str">
        <x:f>IF(M291="","OPEN",IF(OR(K291="",L291=""),"FAIL","PASS"))</x:f>
        <x:v>OPEN</x:v>
      </x:c>
    </x:row>
    <x:row r="292" ht="36" customHeight="1">
      <x:c r="B292" s="44" t="str">
        <x:v>RAC-TR-0286</x:v>
      </x:c>
      <x:c r="C292" s="44" t="str">
        <x:v>REA-M-C</x:v>
      </x:c>
      <x:c r="D292" s="44" t="str">
        <x:v>CALIBRATION</x:v>
      </x:c>
      <x:c r="E292" s="44" t="str">
        <x:v>BL-X</x:v>
      </x:c>
      <x:c r="F292" s="44" t="str">
        <x:v>dispenser</x:v>
      </x:c>
      <x:c r="G292" s="44" t="str">
        <x:v>RAC-S2</x:v>
      </x:c>
      <x:c r="H292" s="44" t="str">
        <x:v>RAC-LOT-016</x:v>
      </x:c>
      <x:c r="I292" s="44" t="str">
        <x:v>BL-X-PR-06</x:v>
      </x:c>
      <x:c r="J292" s="44" t="str">
        <x:v>section 05 release</x:v>
      </x:c>
      <x:c r="K292" s="45" t="str"/>
      <x:c r="L292" s="44" t="str"/>
      <x:c r="M292" s="44" t="str"/>
      <x:c r="N292" s="44" t="str">
        <x:f>IF(M292="","OPEN",IF(OR(K292="",L292=""),"FAIL","PASS"))</x:f>
        <x:v>OPEN</x:v>
      </x:c>
    </x:row>
    <x:row r="293" ht="36" customHeight="1">
      <x:c r="B293" s="44" t="str">
        <x:v>RAC-TR-0287</x:v>
      </x:c>
      <x:c r="C293" s="44" t="str">
        <x:v>REA-M-C</x:v>
      </x:c>
      <x:c r="D293" s="44" t="str">
        <x:v>CALIBRATION</x:v>
      </x:c>
      <x:c r="E293" s="44" t="str">
        <x:v>BL-X</x:v>
      </x:c>
      <x:c r="F293" s="44" t="str">
        <x:v>inner pan</x:v>
      </x:c>
      <x:c r="G293" s="44" t="str">
        <x:v>RAC-S2</x:v>
      </x:c>
      <x:c r="H293" s="44" t="str">
        <x:v>RAC-LOT-019</x:v>
      </x:c>
      <x:c r="I293" s="44" t="str">
        <x:v>BL-X-PR-07</x:v>
      </x:c>
      <x:c r="J293" s="44" t="str">
        <x:v>section 06 release</x:v>
      </x:c>
      <x:c r="K293" s="45" t="str"/>
      <x:c r="L293" s="44" t="str"/>
      <x:c r="M293" s="44" t="str"/>
      <x:c r="N293" s="44" t="str">
        <x:f>IF(M293="","OPEN",IF(OR(K293="",L293=""),"FAIL","PASS"))</x:f>
        <x:v>OPEN</x:v>
      </x:c>
    </x:row>
    <x:row r="294" ht="36" customHeight="1">
      <x:c r="B294" s="44" t="str">
        <x:v>RAC-TR-0288</x:v>
      </x:c>
      <x:c r="C294" s="44" t="str">
        <x:v>REA-M-C</x:v>
      </x:c>
      <x:c r="D294" s="44" t="str">
        <x:v>CALIBRATION</x:v>
      </x:c>
      <x:c r="E294" s="44" t="str">
        <x:v>BL-X</x:v>
      </x:c>
      <x:c r="F294" s="44" t="str">
        <x:v>normal route</x:v>
      </x:c>
      <x:c r="G294" s="44" t="str">
        <x:v>RAC-S2</x:v>
      </x:c>
      <x:c r="H294" s="44" t="str">
        <x:v>RAC-LOT-022</x:v>
      </x:c>
      <x:c r="I294" s="44" t="str">
        <x:v>BL-X-PR-08</x:v>
      </x:c>
      <x:c r="J294" s="44" t="str">
        <x:v>section 07 release</x:v>
      </x:c>
      <x:c r="K294" s="45" t="str"/>
      <x:c r="L294" s="44" t="str"/>
      <x:c r="M294" s="44" t="str"/>
      <x:c r="N294" s="44" t="str">
        <x:f>IF(M294="","OPEN",IF(OR(K294="",L294=""),"FAIL","PASS"))</x:f>
        <x:v>OPEN</x:v>
      </x:c>
    </x:row>
    <x:row r="295" ht="36" customHeight="1">
      <x:c r="B295" s="44" t="str">
        <x:v>RAC-TR-0289</x:v>
      </x:c>
      <x:c r="C295" s="44" t="str">
        <x:v>REA-M-C</x:v>
      </x:c>
      <x:c r="D295" s="44" t="str">
        <x:v>CALIBRATION</x:v>
      </x:c>
      <x:c r="E295" s="44" t="str">
        <x:v>BL-X</x:v>
      </x:c>
      <x:c r="F295" s="44" t="str">
        <x:v>casualty route</x:v>
      </x:c>
      <x:c r="G295" s="44" t="str">
        <x:v>RAC-S3</x:v>
      </x:c>
      <x:c r="H295" s="44" t="str">
        <x:v>RAC-LOT-025</x:v>
      </x:c>
      <x:c r="I295" s="44" t="str">
        <x:v>BL-X-PR-09</x:v>
      </x:c>
      <x:c r="J295" s="44" t="str">
        <x:v>section 08 release</x:v>
      </x:c>
      <x:c r="K295" s="45" t="str"/>
      <x:c r="L295" s="44" t="str"/>
      <x:c r="M295" s="44" t="str"/>
      <x:c r="N295" s="44" t="str">
        <x:f>IF(M295="","OPEN",IF(OR(K295="",L295=""),"FAIL","PASS"))</x:f>
        <x:v>OPEN</x:v>
      </x:c>
    </x:row>
    <x:row r="296" ht="36" customHeight="1">
      <x:c r="B296" s="44" t="str">
        <x:v>RAC-TR-0290</x:v>
      </x:c>
      <x:c r="C296" s="44" t="str">
        <x:v>REA-M-C</x:v>
      </x:c>
      <x:c r="D296" s="44" t="str">
        <x:v>CALIBRATION</x:v>
      </x:c>
      <x:c r="E296" s="44" t="str">
        <x:v>BL-X</x:v>
      </x:c>
      <x:c r="F296" s="44" t="str">
        <x:v>normal receiver</x:v>
      </x:c>
      <x:c r="G296" s="44" t="str">
        <x:v>RAC-S3</x:v>
      </x:c>
      <x:c r="H296" s="44" t="str">
        <x:v>RAC-LOT-028</x:v>
      </x:c>
      <x:c r="I296" s="44" t="str">
        <x:v>BL-X-PR-10</x:v>
      </x:c>
      <x:c r="J296" s="44" t="str">
        <x:v>section 09 release</x:v>
      </x:c>
      <x:c r="K296" s="45" t="str"/>
      <x:c r="L296" s="44" t="str"/>
      <x:c r="M296" s="44" t="str"/>
      <x:c r="N296" s="44" t="str">
        <x:f>IF(M296="","OPEN",IF(OR(K296="",L296=""),"FAIL","PASS"))</x:f>
        <x:v>OPEN</x:v>
      </x:c>
    </x:row>
    <x:row r="297" ht="36" customHeight="1">
      <x:c r="B297" s="44" t="str">
        <x:v>RAC-TR-0291</x:v>
      </x:c>
      <x:c r="C297" s="44" t="str">
        <x:v>REA-M-C</x:v>
      </x:c>
      <x:c r="D297" s="44" t="str">
        <x:v>CALIBRATION</x:v>
      </x:c>
      <x:c r="E297" s="44" t="str">
        <x:v>BL-X</x:v>
      </x:c>
      <x:c r="F297" s="44" t="str">
        <x:v>casualty receiver</x:v>
      </x:c>
      <x:c r="G297" s="44" t="str">
        <x:v>RAC-S3</x:v>
      </x:c>
      <x:c r="H297" s="44" t="str">
        <x:v>RAC-LOT-031</x:v>
      </x:c>
      <x:c r="I297" s="44" t="str">
        <x:v>BL-X-PR-11</x:v>
      </x:c>
      <x:c r="J297" s="44" t="str">
        <x:v>section 10 release</x:v>
      </x:c>
      <x:c r="K297" s="45" t="str"/>
      <x:c r="L297" s="44" t="str"/>
      <x:c r="M297" s="44" t="str"/>
      <x:c r="N297" s="44" t="str">
        <x:f>IF(M297="","OPEN",IF(OR(K297="",L297=""),"FAIL","PASS"))</x:f>
        <x:v>OPEN</x:v>
      </x:c>
    </x:row>
    <x:row r="298" ht="36" customHeight="1">
      <x:c r="B298" s="44" t="str">
        <x:v>RAC-TR-0292</x:v>
      </x:c>
      <x:c r="C298" s="44" t="str">
        <x:v>REA-M-C</x:v>
      </x:c>
      <x:c r="D298" s="44" t="str">
        <x:v>CALIBRATION</x:v>
      </x:c>
      <x:c r="E298" s="44" t="str">
        <x:v>BL-X</x:v>
      </x:c>
      <x:c r="F298" s="44" t="str">
        <x:v>source inlet isolation</x:v>
      </x:c>
      <x:c r="G298" s="44" t="str">
        <x:v>RAC-S3</x:v>
      </x:c>
      <x:c r="H298" s="44" t="str">
        <x:v>RAC-LOT-034</x:v>
      </x:c>
      <x:c r="I298" s="44" t="str">
        <x:v>BL-X-PR-12</x:v>
      </x:c>
      <x:c r="J298" s="44" t="str">
        <x:v>section 11 release</x:v>
      </x:c>
      <x:c r="K298" s="45" t="str"/>
      <x:c r="L298" s="44" t="str"/>
      <x:c r="M298" s="44" t="str"/>
      <x:c r="N298" s="44" t="str">
        <x:f>IF(M298="","OPEN",IF(OR(K298="",L298=""),"FAIL","PASS"))</x:f>
        <x:v>OPEN</x:v>
      </x:c>
    </x:row>
    <x:row r="299" ht="36" customHeight="1">
      <x:c r="B299" s="44" t="str">
        <x:v>RAC-TR-0293</x:v>
      </x:c>
      <x:c r="C299" s="44" t="str">
        <x:v>REA-M-C</x:v>
      </x:c>
      <x:c r="D299" s="44" t="str">
        <x:v>CALIBRATION</x:v>
      </x:c>
      <x:c r="E299" s="44" t="str">
        <x:v>BL-X</x:v>
      </x:c>
      <x:c r="F299" s="44" t="str">
        <x:v>dispenser isolation</x:v>
      </x:c>
      <x:c r="G299" s="44" t="str">
        <x:v>RAC-S4</x:v>
      </x:c>
      <x:c r="H299" s="44" t="str">
        <x:v>RAC-LOT-001</x:v>
      </x:c>
      <x:c r="I299" s="44" t="str">
        <x:v>BL-X-PR-13</x:v>
      </x:c>
      <x:c r="J299" s="44" t="str">
        <x:v>section 12 release</x:v>
      </x:c>
      <x:c r="K299" s="45" t="str"/>
      <x:c r="L299" s="44" t="str"/>
      <x:c r="M299" s="44" t="str"/>
      <x:c r="N299" s="44" t="str">
        <x:f>IF(M299="","OPEN",IF(OR(K299="",L299=""),"FAIL","PASS"))</x:f>
        <x:v>OPEN</x:v>
      </x:c>
    </x:row>
    <x:row r="300" ht="36" customHeight="1">
      <x:c r="B300" s="44" t="str">
        <x:v>RAC-TR-0294</x:v>
      </x:c>
      <x:c r="C300" s="44" t="str">
        <x:v>REA-M-C</x:v>
      </x:c>
      <x:c r="D300" s="44" t="str">
        <x:v>CALIBRATION</x:v>
      </x:c>
      <x:c r="E300" s="44" t="str">
        <x:v>BL-X</x:v>
      </x:c>
      <x:c r="F300" s="44" t="str">
        <x:v>gravity diversion</x:v>
      </x:c>
      <x:c r="G300" s="44" t="str">
        <x:v>RAC-S4</x:v>
      </x:c>
      <x:c r="H300" s="44" t="str">
        <x:v>RAC-LOT-004</x:v>
      </x:c>
      <x:c r="I300" s="44" t="str">
        <x:v>BL-X-PR-14</x:v>
      </x:c>
      <x:c r="J300" s="44" t="str">
        <x:v>section 13 release</x:v>
      </x:c>
      <x:c r="K300" s="45" t="str"/>
      <x:c r="L300" s="44" t="str"/>
      <x:c r="M300" s="44" t="str"/>
      <x:c r="N300" s="44" t="str">
        <x:f>IF(M300="","OPEN",IF(OR(K300="",L300=""),"FAIL","PASS"))</x:f>
        <x:v>OPEN</x:v>
      </x:c>
    </x:row>
    <x:row r="301" ht="36" customHeight="1">
      <x:c r="B301" s="44" t="str">
        <x:v>RAC-TR-0295</x:v>
      </x:c>
      <x:c r="C301" s="44" t="str">
        <x:v>REA-M-C</x:v>
      </x:c>
      <x:c r="D301" s="44" t="str">
        <x:v>CALIBRATION</x:v>
      </x:c>
      <x:c r="E301" s="44" t="str">
        <x:v>BL-X</x:v>
      </x:c>
      <x:c r="F301" s="44" t="str">
        <x:v>water isolation</x:v>
      </x:c>
      <x:c r="G301" s="44" t="str">
        <x:v>RAC-S4</x:v>
      </x:c>
      <x:c r="H301" s="44" t="str">
        <x:v>RAC-LOT-007</x:v>
      </x:c>
      <x:c r="I301" s="44" t="str">
        <x:v>BL-X-PR-15</x:v>
      </x:c>
      <x:c r="J301" s="44" t="str">
        <x:v>section 14 release</x:v>
      </x:c>
      <x:c r="K301" s="45" t="str"/>
      <x:c r="L301" s="44" t="str"/>
      <x:c r="M301" s="44" t="str"/>
      <x:c r="N301" s="44" t="str">
        <x:f>IF(M301="","OPEN",IF(OR(K301="",L301=""),"FAIL","PASS"))</x:f>
        <x:v>OPEN</x:v>
      </x:c>
    </x:row>
    <x:row r="302" ht="36" customHeight="1">
      <x:c r="B302" s="44" t="str">
        <x:v>RAC-TR-0296</x:v>
      </x:c>
      <x:c r="C302" s="44" t="str">
        <x:v>REA-M-C</x:v>
      </x:c>
      <x:c r="D302" s="44" t="str">
        <x:v>CALIBRATION</x:v>
      </x:c>
      <x:c r="E302" s="44" t="str">
        <x:v>BL-X</x:v>
      </x:c>
      <x:c r="F302" s="44" t="str">
        <x:v>electrical isolation</x:v>
      </x:c>
      <x:c r="G302" s="44" t="str">
        <x:v>RAC-S4</x:v>
      </x:c>
      <x:c r="H302" s="44" t="str">
        <x:v>RAC-LOT-010</x:v>
      </x:c>
      <x:c r="I302" s="44" t="str">
        <x:v>BL-X-PR-16</x:v>
      </x:c>
      <x:c r="J302" s="44" t="str">
        <x:v>section 15 release</x:v>
      </x:c>
      <x:c r="K302" s="45" t="str"/>
      <x:c r="L302" s="44" t="str"/>
      <x:c r="M302" s="44" t="str"/>
      <x:c r="N302" s="44" t="str">
        <x:f>IF(M302="","OPEN",IF(OR(K302="",L302=""),"FAIL","PASS"))</x:f>
        <x:v>OPEN</x:v>
      </x:c>
    </x:row>
    <x:row r="303" ht="36" customHeight="1">
      <x:c r="B303" s="44" t="str">
        <x:v>RAC-TR-0297</x:v>
      </x:c>
      <x:c r="C303" s="44" t="str">
        <x:v>REA-M-C</x:v>
      </x:c>
      <x:c r="D303" s="44" t="str">
        <x:v>CALIBRATION</x:v>
      </x:c>
      <x:c r="E303" s="44" t="str">
        <x:v>BL-X</x:v>
      </x:c>
      <x:c r="F303" s="44" t="str">
        <x:v>independent safety energy</x:v>
      </x:c>
      <x:c r="G303" s="44" t="str">
        <x:v>RAC-S4</x:v>
      </x:c>
      <x:c r="H303" s="44" t="str">
        <x:v>RAC-LOT-013</x:v>
      </x:c>
      <x:c r="I303" s="44" t="str">
        <x:v>BL-X-PR-01</x:v>
      </x:c>
      <x:c r="J303" s="44" t="str">
        <x:v>section 16 release</x:v>
      </x:c>
      <x:c r="K303" s="45" t="str"/>
      <x:c r="L303" s="44" t="str"/>
      <x:c r="M303" s="44" t="str"/>
      <x:c r="N303" s="44" t="str">
        <x:f>IF(M303="","OPEN",IF(OR(K303="",L303=""),"FAIL","PASS"))</x:f>
        <x:v>OPEN</x:v>
      </x:c>
    </x:row>
    <x:row r="304" ht="36" customHeight="1">
      <x:c r="B304" s="44" t="str">
        <x:v>RAC-TR-0298</x:v>
      </x:c>
      <x:c r="C304" s="44" t="str">
        <x:v>REA-M-C</x:v>
      </x:c>
      <x:c r="D304" s="44" t="str">
        <x:v>CALIBRATION</x:v>
      </x:c>
      <x:c r="E304" s="44" t="str">
        <x:v>BL-X</x:v>
      </x:c>
      <x:c r="F304" s="44" t="str">
        <x:v>measurement frame</x:v>
      </x:c>
      <x:c r="G304" s="44" t="str">
        <x:v>RAC-S4</x:v>
      </x:c>
      <x:c r="H304" s="44" t="str">
        <x:v>RAC-LOT-016</x:v>
      </x:c>
      <x:c r="I304" s="44" t="str">
        <x:v>BL-X-PR-02</x:v>
      </x:c>
      <x:c r="J304" s="44" t="str">
        <x:v>section 17 release</x:v>
      </x:c>
      <x:c r="K304" s="45" t="str"/>
      <x:c r="L304" s="44" t="str"/>
      <x:c r="M304" s="44" t="str"/>
      <x:c r="N304" s="44" t="str">
        <x:f>IF(M304="","OPEN",IF(OR(K304="",L304=""),"FAIL","PASS"))</x:f>
        <x:v>OPEN</x:v>
      </x:c>
    </x:row>
    <x:row r="305" ht="36" customHeight="1">
      <x:c r="B305" s="44" t="str">
        <x:v>RAC-TR-0299</x:v>
      </x:c>
      <x:c r="C305" s="44" t="str">
        <x:v>REA-M-C</x:v>
      </x:c>
      <x:c r="D305" s="44" t="str">
        <x:v>CALIBRATION</x:v>
      </x:c>
      <x:c r="E305" s="44" t="str">
        <x:v>BL-X</x:v>
      </x:c>
      <x:c r="F305" s="44" t="str">
        <x:v>causal time and evidence</x:v>
      </x:c>
      <x:c r="G305" s="44" t="str">
        <x:v>RAC-S6</x:v>
      </x:c>
      <x:c r="H305" s="44" t="str">
        <x:v>RAC-LOT-019</x:v>
      </x:c>
      <x:c r="I305" s="44" t="str">
        <x:v>BL-X-PR-03</x:v>
      </x:c>
      <x:c r="J305" s="44" t="str">
        <x:v>section 18 release</x:v>
      </x:c>
      <x:c r="K305" s="45" t="str"/>
      <x:c r="L305" s="44" t="str"/>
      <x:c r="M305" s="44" t="str"/>
      <x:c r="N305" s="44" t="str">
        <x:f>IF(M305="","OPEN",IF(OR(K305="",L305=""),"FAIL","PASS"))</x:f>
        <x:v>OPEN</x:v>
      </x:c>
    </x:row>
    <x:row r="306" ht="36" customHeight="1">
      <x:c r="B306" s="44" t="str">
        <x:v>RAC-TR-0300</x:v>
      </x:c>
      <x:c r="C306" s="44" t="str">
        <x:v>REA-M-C</x:v>
      </x:c>
      <x:c r="D306" s="44" t="str">
        <x:v>CALIBRATION</x:v>
      </x:c>
      <x:c r="E306" s="44" t="str">
        <x:v>BL-X</x:v>
      </x:c>
      <x:c r="F306" s="44" t="str">
        <x:v>rescue and environmental access</x:v>
      </x:c>
      <x:c r="G306" s="44" t="str">
        <x:v>RAC-S6</x:v>
      </x:c>
      <x:c r="H306" s="44" t="str">
        <x:v>RAC-LOT-022</x:v>
      </x:c>
      <x:c r="I306" s="44" t="str">
        <x:v>BL-X-PR-04</x:v>
      </x:c>
      <x:c r="J306" s="44" t="str">
        <x:v>section 19 release</x:v>
      </x:c>
      <x:c r="K306" s="45" t="str"/>
      <x:c r="L306" s="44" t="str"/>
      <x:c r="M306" s="44" t="str"/>
      <x:c r="N306" s="44" t="str">
        <x:f>IF(M306="","OPEN",IF(OR(K306="",L306=""),"FAIL","PASS"))</x:f>
        <x:v>OPEN</x:v>
      </x:c>
    </x:row>
    <x:row r="307" ht="36" customHeight="1">
      <x:c r="B307" s="44" t="str">
        <x:v>RAC-TR-0301</x:v>
      </x:c>
      <x:c r="C307" s="44" t="str">
        <x:v>REA-D-A</x:v>
      </x:c>
      <x:c r="D307" s="44" t="str">
        <x:v>DESTRUCTIVE</x:v>
      </x:c>
      <x:c r="E307" s="44" t="str">
        <x:v>BL-Y</x:v>
      </x:c>
      <x:c r="F307" s="44" t="str">
        <x:v>public datum</x:v>
      </x:c>
      <x:c r="G307" s="44" t="str">
        <x:v>RAC-S1</x:v>
      </x:c>
      <x:c r="H307" s="44" t="str">
        <x:v>RAC-LOT-037</x:v>
      </x:c>
      <x:c r="I307" s="44" t="str">
        <x:v>BL-Y-PR-01</x:v>
      </x:c>
      <x:c r="J307" s="44" t="str">
        <x:v>authority freeze</x:v>
      </x:c>
      <x:c r="K307" s="45" t="str"/>
      <x:c r="L307" s="44" t="str"/>
      <x:c r="M307" s="44" t="str"/>
      <x:c r="N307" s="44" t="str">
        <x:f>IF(M307="","OPEN",IF(OR(K307="",L307=""),"FAIL","PASS"))</x:f>
        <x:v>OPEN</x:v>
      </x:c>
    </x:row>
    <x:row r="308" ht="36" customHeight="1">
      <x:c r="B308" s="44" t="str">
        <x:v>RAC-TR-0302</x:v>
      </x:c>
      <x:c r="C308" s="44" t="str">
        <x:v>REA-D-A</x:v>
      </x:c>
      <x:c r="D308" s="44" t="str">
        <x:v>DESTRUCTIVE</x:v>
      </x:c>
      <x:c r="E308" s="44" t="str">
        <x:v>BL-Y</x:v>
      </x:c>
      <x:c r="F308" s="44" t="str">
        <x:v>primary frame</x:v>
      </x:c>
      <x:c r="G308" s="44" t="str">
        <x:v>RAC-S1</x:v>
      </x:c>
      <x:c r="H308" s="44" t="str">
        <x:v>RAC-LOT-040</x:v>
      </x:c>
      <x:c r="I308" s="44" t="str">
        <x:v>BL-Y-PR-02</x:v>
      </x:c>
      <x:c r="J308" s="44" t="str">
        <x:v>section 01 release</x:v>
      </x:c>
      <x:c r="K308" s="45" t="str"/>
      <x:c r="L308" s="44" t="str"/>
      <x:c r="M308" s="44" t="str"/>
      <x:c r="N308" s="44" t="str">
        <x:f>IF(M308="","OPEN",IF(OR(K308="",L308=""),"FAIL","PASS"))</x:f>
        <x:v>OPEN</x:v>
      </x:c>
    </x:row>
    <x:row r="309" ht="36" customHeight="1">
      <x:c r="B309" s="44" t="str">
        <x:v>RAC-TR-0303</x:v>
      </x:c>
      <x:c r="C309" s="44" t="str">
        <x:v>REA-D-A</x:v>
      </x:c>
      <x:c r="D309" s="44" t="str">
        <x:v>DESTRUCTIVE</x:v>
      </x:c>
      <x:c r="E309" s="44" t="str">
        <x:v>BL-Y</x:v>
      </x:c>
      <x:c r="F309" s="44" t="str">
        <x:v>source-surrogate vessel</x:v>
      </x:c>
      <x:c r="G309" s="44" t="str">
        <x:v>RAC-S1</x:v>
      </x:c>
      <x:c r="H309" s="44" t="str">
        <x:v>RAC-LOT-043</x:v>
      </x:c>
      <x:c r="I309" s="44" t="str">
        <x:v>BL-Y-PR-03</x:v>
      </x:c>
      <x:c r="J309" s="44" t="str">
        <x:v>section 02 release</x:v>
      </x:c>
      <x:c r="K309" s="45" t="str"/>
      <x:c r="L309" s="44" t="str"/>
      <x:c r="M309" s="44" t="str"/>
      <x:c r="N309" s="44" t="str">
        <x:f>IF(M309="","OPEN",IF(OR(K309="",L309=""),"FAIL","PASS"))</x:f>
        <x:v>OPEN</x:v>
      </x:c>
    </x:row>
    <x:row r="310" ht="36" customHeight="1">
      <x:c r="B310" s="44" t="str">
        <x:v>RAC-TR-0304</x:v>
      </x:c>
      <x:c r="C310" s="44" t="str">
        <x:v>REA-D-A</x:v>
      </x:c>
      <x:c r="D310" s="44" t="str">
        <x:v>DESTRUCTIVE</x:v>
      </x:c>
      <x:c r="E310" s="44" t="str">
        <x:v>BL-Y</x:v>
      </x:c>
      <x:c r="F310" s="44" t="str">
        <x:v>capsule dock</x:v>
      </x:c>
      <x:c r="G310" s="44" t="str">
        <x:v>RAC-S1</x:v>
      </x:c>
      <x:c r="H310" s="44" t="str">
        <x:v>RAC-LOT-046</x:v>
      </x:c>
      <x:c r="I310" s="44" t="str">
        <x:v>BL-Y-PR-04</x:v>
      </x:c>
      <x:c r="J310" s="44" t="str">
        <x:v>section 03 release</x:v>
      </x:c>
      <x:c r="K310" s="45" t="str"/>
      <x:c r="L310" s="44" t="str"/>
      <x:c r="M310" s="44" t="str"/>
      <x:c r="N310" s="44" t="str">
        <x:f>IF(M310="","OPEN",IF(OR(K310="",L310=""),"FAIL","PASS"))</x:f>
        <x:v>OPEN</x:v>
      </x:c>
    </x:row>
    <x:row r="311" ht="36" customHeight="1">
      <x:c r="B311" s="44" t="str">
        <x:v>RAC-TR-0305</x:v>
      </x:c>
      <x:c r="C311" s="44" t="str">
        <x:v>REA-D-A</x:v>
      </x:c>
      <x:c r="D311" s="44" t="str">
        <x:v>DESTRUCTIVE</x:v>
      </x:c>
      <x:c r="E311" s="44" t="str">
        <x:v>BL-Y</x:v>
      </x:c>
      <x:c r="F311" s="44" t="str">
        <x:v>40 mm insert</x:v>
      </x:c>
      <x:c r="G311" s="44" t="str">
        <x:v>RAC-S2</x:v>
      </x:c>
      <x:c r="H311" s="44" t="str">
        <x:v>RAC-LOT-049</x:v>
      </x:c>
      <x:c r="I311" s="44" t="str">
        <x:v>BL-Y-PR-05</x:v>
      </x:c>
      <x:c r="J311" s="44" t="str">
        <x:v>section 04 release</x:v>
      </x:c>
      <x:c r="K311" s="45" t="str"/>
      <x:c r="L311" s="44" t="str"/>
      <x:c r="M311" s="44" t="str"/>
      <x:c r="N311" s="44" t="str">
        <x:f>IF(M311="","OPEN",IF(OR(K311="",L311=""),"FAIL","PASS"))</x:f>
        <x:v>OPEN</x:v>
      </x:c>
    </x:row>
    <x:row r="312" ht="36" customHeight="1">
      <x:c r="B312" s="44" t="str">
        <x:v>RAC-TR-0306</x:v>
      </x:c>
      <x:c r="C312" s="44" t="str">
        <x:v>REA-D-A</x:v>
      </x:c>
      <x:c r="D312" s="44" t="str">
        <x:v>DESTRUCTIVE</x:v>
      </x:c>
      <x:c r="E312" s="44" t="str">
        <x:v>BL-Y</x:v>
      </x:c>
      <x:c r="F312" s="44" t="str">
        <x:v>dispenser</x:v>
      </x:c>
      <x:c r="G312" s="44" t="str">
        <x:v>RAC-S2</x:v>
      </x:c>
      <x:c r="H312" s="44" t="str">
        <x:v>RAC-LOT-052</x:v>
      </x:c>
      <x:c r="I312" s="44" t="str">
        <x:v>BL-Y-PR-06</x:v>
      </x:c>
      <x:c r="J312" s="44" t="str">
        <x:v>section 05 release</x:v>
      </x:c>
      <x:c r="K312" s="45" t="str"/>
      <x:c r="L312" s="44" t="str"/>
      <x:c r="M312" s="44" t="str"/>
      <x:c r="N312" s="44" t="str">
        <x:f>IF(M312="","OPEN",IF(OR(K312="",L312=""),"FAIL","PASS"))</x:f>
        <x:v>OPEN</x:v>
      </x:c>
    </x:row>
    <x:row r="313" ht="36" customHeight="1">
      <x:c r="B313" s="44" t="str">
        <x:v>RAC-TR-0307</x:v>
      </x:c>
      <x:c r="C313" s="44" t="str">
        <x:v>REA-D-A</x:v>
      </x:c>
      <x:c r="D313" s="44" t="str">
        <x:v>DESTRUCTIVE</x:v>
      </x:c>
      <x:c r="E313" s="44" t="str">
        <x:v>BL-Y</x:v>
      </x:c>
      <x:c r="F313" s="44" t="str">
        <x:v>inner pan</x:v>
      </x:c>
      <x:c r="G313" s="44" t="str">
        <x:v>RAC-S2</x:v>
      </x:c>
      <x:c r="H313" s="44" t="str">
        <x:v>RAC-LOT-055</x:v>
      </x:c>
      <x:c r="I313" s="44" t="str">
        <x:v>BL-Y-PR-07</x:v>
      </x:c>
      <x:c r="J313" s="44" t="str">
        <x:v>section 06 release</x:v>
      </x:c>
      <x:c r="K313" s="45" t="str"/>
      <x:c r="L313" s="44" t="str"/>
      <x:c r="M313" s="44" t="str"/>
      <x:c r="N313" s="44" t="str">
        <x:f>IF(M313="","OPEN",IF(OR(K313="",L313=""),"FAIL","PASS"))</x:f>
        <x:v>OPEN</x:v>
      </x:c>
    </x:row>
    <x:row r="314" ht="36" customHeight="1">
      <x:c r="B314" s="44" t="str">
        <x:v>RAC-TR-0308</x:v>
      </x:c>
      <x:c r="C314" s="44" t="str">
        <x:v>REA-D-A</x:v>
      </x:c>
      <x:c r="D314" s="44" t="str">
        <x:v>DESTRUCTIVE</x:v>
      </x:c>
      <x:c r="E314" s="44" t="str">
        <x:v>BL-Y</x:v>
      </x:c>
      <x:c r="F314" s="44" t="str">
        <x:v>normal route</x:v>
      </x:c>
      <x:c r="G314" s="44" t="str">
        <x:v>RAC-S2</x:v>
      </x:c>
      <x:c r="H314" s="44" t="str">
        <x:v>RAC-LOT-058</x:v>
      </x:c>
      <x:c r="I314" s="44" t="str">
        <x:v>BL-Y-PR-08</x:v>
      </x:c>
      <x:c r="J314" s="44" t="str">
        <x:v>section 07 release</x:v>
      </x:c>
      <x:c r="K314" s="45" t="str"/>
      <x:c r="L314" s="44" t="str"/>
      <x:c r="M314" s="44" t="str"/>
      <x:c r="N314" s="44" t="str">
        <x:f>IF(M314="","OPEN",IF(OR(K314="",L314=""),"FAIL","PASS"))</x:f>
        <x:v>OPEN</x:v>
      </x:c>
    </x:row>
    <x:row r="315" ht="36" customHeight="1">
      <x:c r="B315" s="44" t="str">
        <x:v>RAC-TR-0309</x:v>
      </x:c>
      <x:c r="C315" s="44" t="str">
        <x:v>REA-D-A</x:v>
      </x:c>
      <x:c r="D315" s="44" t="str">
        <x:v>DESTRUCTIVE</x:v>
      </x:c>
      <x:c r="E315" s="44" t="str">
        <x:v>BL-Y</x:v>
      </x:c>
      <x:c r="F315" s="44" t="str">
        <x:v>casualty route</x:v>
      </x:c>
      <x:c r="G315" s="44" t="str">
        <x:v>RAC-S3</x:v>
      </x:c>
      <x:c r="H315" s="44" t="str">
        <x:v>RAC-LOT-061</x:v>
      </x:c>
      <x:c r="I315" s="44" t="str">
        <x:v>BL-Y-PR-09</x:v>
      </x:c>
      <x:c r="J315" s="44" t="str">
        <x:v>section 08 release</x:v>
      </x:c>
      <x:c r="K315" s="45" t="str"/>
      <x:c r="L315" s="44" t="str"/>
      <x:c r="M315" s="44" t="str"/>
      <x:c r="N315" s="44" t="str">
        <x:f>IF(M315="","OPEN",IF(OR(K315="",L315=""),"FAIL","PASS"))</x:f>
        <x:v>OPEN</x:v>
      </x:c>
    </x:row>
    <x:row r="316" ht="36" customHeight="1">
      <x:c r="B316" s="44" t="str">
        <x:v>RAC-TR-0310</x:v>
      </x:c>
      <x:c r="C316" s="44" t="str">
        <x:v>REA-D-A</x:v>
      </x:c>
      <x:c r="D316" s="44" t="str">
        <x:v>DESTRUCTIVE</x:v>
      </x:c>
      <x:c r="E316" s="44" t="str">
        <x:v>BL-Y</x:v>
      </x:c>
      <x:c r="F316" s="44" t="str">
        <x:v>normal receiver</x:v>
      </x:c>
      <x:c r="G316" s="44" t="str">
        <x:v>RAC-S3</x:v>
      </x:c>
      <x:c r="H316" s="44" t="str">
        <x:v>RAC-LOT-064</x:v>
      </x:c>
      <x:c r="I316" s="44" t="str">
        <x:v>BL-Y-PR-10</x:v>
      </x:c>
      <x:c r="J316" s="44" t="str">
        <x:v>section 09 release</x:v>
      </x:c>
      <x:c r="K316" s="45" t="str"/>
      <x:c r="L316" s="44" t="str"/>
      <x:c r="M316" s="44" t="str"/>
      <x:c r="N316" s="44" t="str">
        <x:f>IF(M316="","OPEN",IF(OR(K316="",L316=""),"FAIL","PASS"))</x:f>
        <x:v>OPEN</x:v>
      </x:c>
    </x:row>
    <x:row r="317" ht="36" customHeight="1">
      <x:c r="B317" s="44" t="str">
        <x:v>RAC-TR-0311</x:v>
      </x:c>
      <x:c r="C317" s="44" t="str">
        <x:v>REA-D-A</x:v>
      </x:c>
      <x:c r="D317" s="44" t="str">
        <x:v>DESTRUCTIVE</x:v>
      </x:c>
      <x:c r="E317" s="44" t="str">
        <x:v>BL-Y</x:v>
      </x:c>
      <x:c r="F317" s="44" t="str">
        <x:v>casualty receiver</x:v>
      </x:c>
      <x:c r="G317" s="44" t="str">
        <x:v>RAC-S3</x:v>
      </x:c>
      <x:c r="H317" s="44" t="str">
        <x:v>RAC-LOT-067</x:v>
      </x:c>
      <x:c r="I317" s="44" t="str">
        <x:v>BL-Y-PR-11</x:v>
      </x:c>
      <x:c r="J317" s="44" t="str">
        <x:v>section 10 release</x:v>
      </x:c>
      <x:c r="K317" s="45" t="str"/>
      <x:c r="L317" s="44" t="str"/>
      <x:c r="M317" s="44" t="str"/>
      <x:c r="N317" s="44" t="str">
        <x:f>IF(M317="","OPEN",IF(OR(K317="",L317=""),"FAIL","PASS"))</x:f>
        <x:v>OPEN</x:v>
      </x:c>
    </x:row>
    <x:row r="318" ht="36" customHeight="1">
      <x:c r="B318" s="44" t="str">
        <x:v>RAC-TR-0312</x:v>
      </x:c>
      <x:c r="C318" s="44" t="str">
        <x:v>REA-D-A</x:v>
      </x:c>
      <x:c r="D318" s="44" t="str">
        <x:v>DESTRUCTIVE</x:v>
      </x:c>
      <x:c r="E318" s="44" t="str">
        <x:v>BL-Y</x:v>
      </x:c>
      <x:c r="F318" s="44" t="str">
        <x:v>source inlet isolation</x:v>
      </x:c>
      <x:c r="G318" s="44" t="str">
        <x:v>RAC-S3</x:v>
      </x:c>
      <x:c r="H318" s="44" t="str">
        <x:v>RAC-LOT-070</x:v>
      </x:c>
      <x:c r="I318" s="44" t="str">
        <x:v>BL-Y-PR-12</x:v>
      </x:c>
      <x:c r="J318" s="44" t="str">
        <x:v>section 11 release</x:v>
      </x:c>
      <x:c r="K318" s="45" t="str"/>
      <x:c r="L318" s="44" t="str"/>
      <x:c r="M318" s="44" t="str"/>
      <x:c r="N318" s="44" t="str">
        <x:f>IF(M318="","OPEN",IF(OR(K318="",L318=""),"FAIL","PASS"))</x:f>
        <x:v>OPEN</x:v>
      </x:c>
    </x:row>
    <x:row r="319" ht="36" customHeight="1">
      <x:c r="B319" s="44" t="str">
        <x:v>RAC-TR-0313</x:v>
      </x:c>
      <x:c r="C319" s="44" t="str">
        <x:v>REA-D-A</x:v>
      </x:c>
      <x:c r="D319" s="44" t="str">
        <x:v>DESTRUCTIVE</x:v>
      </x:c>
      <x:c r="E319" s="44" t="str">
        <x:v>BL-Y</x:v>
      </x:c>
      <x:c r="F319" s="44" t="str">
        <x:v>dispenser isolation</x:v>
      </x:c>
      <x:c r="G319" s="44" t="str">
        <x:v>RAC-S4</x:v>
      </x:c>
      <x:c r="H319" s="44" t="str">
        <x:v>RAC-LOT-037</x:v>
      </x:c>
      <x:c r="I319" s="44" t="str">
        <x:v>BL-Y-PR-13</x:v>
      </x:c>
      <x:c r="J319" s="44" t="str">
        <x:v>section 12 release</x:v>
      </x:c>
      <x:c r="K319" s="45" t="str"/>
      <x:c r="L319" s="44" t="str"/>
      <x:c r="M319" s="44" t="str"/>
      <x:c r="N319" s="44" t="str">
        <x:f>IF(M319="","OPEN",IF(OR(K319="",L319=""),"FAIL","PASS"))</x:f>
        <x:v>OPEN</x:v>
      </x:c>
    </x:row>
    <x:row r="320" ht="36" customHeight="1">
      <x:c r="B320" s="44" t="str">
        <x:v>RAC-TR-0314</x:v>
      </x:c>
      <x:c r="C320" s="44" t="str">
        <x:v>REA-D-A</x:v>
      </x:c>
      <x:c r="D320" s="44" t="str">
        <x:v>DESTRUCTIVE</x:v>
      </x:c>
      <x:c r="E320" s="44" t="str">
        <x:v>BL-Y</x:v>
      </x:c>
      <x:c r="F320" s="44" t="str">
        <x:v>gravity diversion</x:v>
      </x:c>
      <x:c r="G320" s="44" t="str">
        <x:v>RAC-S4</x:v>
      </x:c>
      <x:c r="H320" s="44" t="str">
        <x:v>RAC-LOT-040</x:v>
      </x:c>
      <x:c r="I320" s="44" t="str">
        <x:v>BL-Y-PR-14</x:v>
      </x:c>
      <x:c r="J320" s="44" t="str">
        <x:v>section 13 release</x:v>
      </x:c>
      <x:c r="K320" s="45" t="str"/>
      <x:c r="L320" s="44" t="str"/>
      <x:c r="M320" s="44" t="str"/>
      <x:c r="N320" s="44" t="str">
        <x:f>IF(M320="","OPEN",IF(OR(K320="",L320=""),"FAIL","PASS"))</x:f>
        <x:v>OPEN</x:v>
      </x:c>
    </x:row>
    <x:row r="321" ht="36" customHeight="1">
      <x:c r="B321" s="44" t="str">
        <x:v>RAC-TR-0315</x:v>
      </x:c>
      <x:c r="C321" s="44" t="str">
        <x:v>REA-D-A</x:v>
      </x:c>
      <x:c r="D321" s="44" t="str">
        <x:v>DESTRUCTIVE</x:v>
      </x:c>
      <x:c r="E321" s="44" t="str">
        <x:v>BL-Y</x:v>
      </x:c>
      <x:c r="F321" s="44" t="str">
        <x:v>water isolation</x:v>
      </x:c>
      <x:c r="G321" s="44" t="str">
        <x:v>RAC-S4</x:v>
      </x:c>
      <x:c r="H321" s="44" t="str">
        <x:v>RAC-LOT-043</x:v>
      </x:c>
      <x:c r="I321" s="44" t="str">
        <x:v>BL-Y-PR-15</x:v>
      </x:c>
      <x:c r="J321" s="44" t="str">
        <x:v>section 14 release</x:v>
      </x:c>
      <x:c r="K321" s="45" t="str"/>
      <x:c r="L321" s="44" t="str"/>
      <x:c r="M321" s="44" t="str"/>
      <x:c r="N321" s="44" t="str">
        <x:f>IF(M321="","OPEN",IF(OR(K321="",L321=""),"FAIL","PASS"))</x:f>
        <x:v>OPEN</x:v>
      </x:c>
    </x:row>
    <x:row r="322" ht="36" customHeight="1">
      <x:c r="B322" s="44" t="str">
        <x:v>RAC-TR-0316</x:v>
      </x:c>
      <x:c r="C322" s="44" t="str">
        <x:v>REA-D-A</x:v>
      </x:c>
      <x:c r="D322" s="44" t="str">
        <x:v>DESTRUCTIVE</x:v>
      </x:c>
      <x:c r="E322" s="44" t="str">
        <x:v>BL-Y</x:v>
      </x:c>
      <x:c r="F322" s="44" t="str">
        <x:v>electrical isolation</x:v>
      </x:c>
      <x:c r="G322" s="44" t="str">
        <x:v>RAC-S4</x:v>
      </x:c>
      <x:c r="H322" s="44" t="str">
        <x:v>RAC-LOT-046</x:v>
      </x:c>
      <x:c r="I322" s="44" t="str">
        <x:v>BL-Y-PR-16</x:v>
      </x:c>
      <x:c r="J322" s="44" t="str">
        <x:v>section 15 release</x:v>
      </x:c>
      <x:c r="K322" s="45" t="str"/>
      <x:c r="L322" s="44" t="str"/>
      <x:c r="M322" s="44" t="str"/>
      <x:c r="N322" s="44" t="str">
        <x:f>IF(M322="","OPEN",IF(OR(K322="",L322=""),"FAIL","PASS"))</x:f>
        <x:v>OPEN</x:v>
      </x:c>
    </x:row>
    <x:row r="323" ht="36" customHeight="1">
      <x:c r="B323" s="44" t="str">
        <x:v>RAC-TR-0317</x:v>
      </x:c>
      <x:c r="C323" s="44" t="str">
        <x:v>REA-D-A</x:v>
      </x:c>
      <x:c r="D323" s="44" t="str">
        <x:v>DESTRUCTIVE</x:v>
      </x:c>
      <x:c r="E323" s="44" t="str">
        <x:v>BL-Y</x:v>
      </x:c>
      <x:c r="F323" s="44" t="str">
        <x:v>independent safety energy</x:v>
      </x:c>
      <x:c r="G323" s="44" t="str">
        <x:v>RAC-S4</x:v>
      </x:c>
      <x:c r="H323" s="44" t="str">
        <x:v>RAC-LOT-049</x:v>
      </x:c>
      <x:c r="I323" s="44" t="str">
        <x:v>BL-Y-PR-01</x:v>
      </x:c>
      <x:c r="J323" s="44" t="str">
        <x:v>section 16 release</x:v>
      </x:c>
      <x:c r="K323" s="45" t="str"/>
      <x:c r="L323" s="44" t="str"/>
      <x:c r="M323" s="44" t="str"/>
      <x:c r="N323" s="44" t="str">
        <x:f>IF(M323="","OPEN",IF(OR(K323="",L323=""),"FAIL","PASS"))</x:f>
        <x:v>OPEN</x:v>
      </x:c>
    </x:row>
    <x:row r="324" ht="36" customHeight="1">
      <x:c r="B324" s="44" t="str">
        <x:v>RAC-TR-0318</x:v>
      </x:c>
      <x:c r="C324" s="44" t="str">
        <x:v>REA-D-A</x:v>
      </x:c>
      <x:c r="D324" s="44" t="str">
        <x:v>DESTRUCTIVE</x:v>
      </x:c>
      <x:c r="E324" s="44" t="str">
        <x:v>BL-Y</x:v>
      </x:c>
      <x:c r="F324" s="44" t="str">
        <x:v>measurement frame</x:v>
      </x:c>
      <x:c r="G324" s="44" t="str">
        <x:v>RAC-S4</x:v>
      </x:c>
      <x:c r="H324" s="44" t="str">
        <x:v>RAC-LOT-052</x:v>
      </x:c>
      <x:c r="I324" s="44" t="str">
        <x:v>BL-Y-PR-02</x:v>
      </x:c>
      <x:c r="J324" s="44" t="str">
        <x:v>section 17 release</x:v>
      </x:c>
      <x:c r="K324" s="45" t="str"/>
      <x:c r="L324" s="44" t="str"/>
      <x:c r="M324" s="44" t="str"/>
      <x:c r="N324" s="44" t="str">
        <x:f>IF(M324="","OPEN",IF(OR(K324="",L324=""),"FAIL","PASS"))</x:f>
        <x:v>OPEN</x:v>
      </x:c>
    </x:row>
    <x:row r="325" ht="36" customHeight="1">
      <x:c r="B325" s="44" t="str">
        <x:v>RAC-TR-0319</x:v>
      </x:c>
      <x:c r="C325" s="44" t="str">
        <x:v>REA-D-A</x:v>
      </x:c>
      <x:c r="D325" s="44" t="str">
        <x:v>DESTRUCTIVE</x:v>
      </x:c>
      <x:c r="E325" s="44" t="str">
        <x:v>BL-Y</x:v>
      </x:c>
      <x:c r="F325" s="44" t="str">
        <x:v>causal time and evidence</x:v>
      </x:c>
      <x:c r="G325" s="44" t="str">
        <x:v>RAC-S6</x:v>
      </x:c>
      <x:c r="H325" s="44" t="str">
        <x:v>RAC-LOT-055</x:v>
      </x:c>
      <x:c r="I325" s="44" t="str">
        <x:v>BL-Y-PR-03</x:v>
      </x:c>
      <x:c r="J325" s="44" t="str">
        <x:v>section 18 release</x:v>
      </x:c>
      <x:c r="K325" s="45" t="str"/>
      <x:c r="L325" s="44" t="str"/>
      <x:c r="M325" s="44" t="str"/>
      <x:c r="N325" s="44" t="str">
        <x:f>IF(M325="","OPEN",IF(OR(K325="",L325=""),"FAIL","PASS"))</x:f>
        <x:v>OPEN</x:v>
      </x:c>
    </x:row>
    <x:row r="326" ht="36" customHeight="1">
      <x:c r="B326" s="44" t="str">
        <x:v>RAC-TR-0320</x:v>
      </x:c>
      <x:c r="C326" s="44" t="str">
        <x:v>REA-D-A</x:v>
      </x:c>
      <x:c r="D326" s="44" t="str">
        <x:v>DESTRUCTIVE</x:v>
      </x:c>
      <x:c r="E326" s="44" t="str">
        <x:v>BL-Y</x:v>
      </x:c>
      <x:c r="F326" s="44" t="str">
        <x:v>rescue and environmental access</x:v>
      </x:c>
      <x:c r="G326" s="44" t="str">
        <x:v>RAC-S6</x:v>
      </x:c>
      <x:c r="H326" s="44" t="str">
        <x:v>RAC-LOT-058</x:v>
      </x:c>
      <x:c r="I326" s="44" t="str">
        <x:v>BL-Y-PR-04</x:v>
      </x:c>
      <x:c r="J326" s="44" t="str">
        <x:v>section 19 release</x:v>
      </x:c>
      <x:c r="K326" s="45" t="str"/>
      <x:c r="L326" s="44" t="str"/>
      <x:c r="M326" s="44" t="str"/>
      <x:c r="N326" s="44" t="str">
        <x:f>IF(M326="","OPEN",IF(OR(K326="",L326=""),"FAIL","PASS"))</x:f>
        <x:v>OPEN</x:v>
      </x:c>
    </x:row>
    <x:row r="327" ht="36" customHeight="1">
      <x:c r="B327" s="44" t="str">
        <x:v>RAC-TR-0321</x:v>
      </x:c>
      <x:c r="C327" s="44" t="str">
        <x:v>REA-D-B</x:v>
      </x:c>
      <x:c r="D327" s="44" t="str">
        <x:v>DESTRUCTIVE</x:v>
      </x:c>
      <x:c r="E327" s="44" t="str">
        <x:v>BL-X</x:v>
      </x:c>
      <x:c r="F327" s="44" t="str">
        <x:v>public datum</x:v>
      </x:c>
      <x:c r="G327" s="44" t="str">
        <x:v>RAC-S1</x:v>
      </x:c>
      <x:c r="H327" s="44" t="str">
        <x:v>RAC-LOT-001</x:v>
      </x:c>
      <x:c r="I327" s="44" t="str">
        <x:v>BL-X-PR-01</x:v>
      </x:c>
      <x:c r="J327" s="44" t="str">
        <x:v>authority freeze</x:v>
      </x:c>
      <x:c r="K327" s="45" t="str"/>
      <x:c r="L327" s="44" t="str"/>
      <x:c r="M327" s="44" t="str"/>
      <x:c r="N327" s="44" t="str">
        <x:f>IF(M327="","OPEN",IF(OR(K327="",L327=""),"FAIL","PASS"))</x:f>
        <x:v>OPEN</x:v>
      </x:c>
    </x:row>
    <x:row r="328" ht="36" customHeight="1">
      <x:c r="B328" s="44" t="str">
        <x:v>RAC-TR-0322</x:v>
      </x:c>
      <x:c r="C328" s="44" t="str">
        <x:v>REA-D-B</x:v>
      </x:c>
      <x:c r="D328" s="44" t="str">
        <x:v>DESTRUCTIVE</x:v>
      </x:c>
      <x:c r="E328" s="44" t="str">
        <x:v>BL-X</x:v>
      </x:c>
      <x:c r="F328" s="44" t="str">
        <x:v>primary frame</x:v>
      </x:c>
      <x:c r="G328" s="44" t="str">
        <x:v>RAC-S1</x:v>
      </x:c>
      <x:c r="H328" s="44" t="str">
        <x:v>RAC-LOT-004</x:v>
      </x:c>
      <x:c r="I328" s="44" t="str">
        <x:v>BL-X-PR-02</x:v>
      </x:c>
      <x:c r="J328" s="44" t="str">
        <x:v>section 01 release</x:v>
      </x:c>
      <x:c r="K328" s="45" t="str"/>
      <x:c r="L328" s="44" t="str"/>
      <x:c r="M328" s="44" t="str"/>
      <x:c r="N328" s="44" t="str">
        <x:f>IF(M328="","OPEN",IF(OR(K328="",L328=""),"FAIL","PASS"))</x:f>
        <x:v>OPEN</x:v>
      </x:c>
    </x:row>
    <x:row r="329" ht="36" customHeight="1">
      <x:c r="B329" s="44" t="str">
        <x:v>RAC-TR-0323</x:v>
      </x:c>
      <x:c r="C329" s="44" t="str">
        <x:v>REA-D-B</x:v>
      </x:c>
      <x:c r="D329" s="44" t="str">
        <x:v>DESTRUCTIVE</x:v>
      </x:c>
      <x:c r="E329" s="44" t="str">
        <x:v>BL-X</x:v>
      </x:c>
      <x:c r="F329" s="44" t="str">
        <x:v>source-surrogate vessel</x:v>
      </x:c>
      <x:c r="G329" s="44" t="str">
        <x:v>RAC-S1</x:v>
      </x:c>
      <x:c r="H329" s="44" t="str">
        <x:v>RAC-LOT-007</x:v>
      </x:c>
      <x:c r="I329" s="44" t="str">
        <x:v>BL-X-PR-03</x:v>
      </x:c>
      <x:c r="J329" s="44" t="str">
        <x:v>section 02 release</x:v>
      </x:c>
      <x:c r="K329" s="45" t="str"/>
      <x:c r="L329" s="44" t="str"/>
      <x:c r="M329" s="44" t="str"/>
      <x:c r="N329" s="44" t="str">
        <x:f>IF(M329="","OPEN",IF(OR(K329="",L329=""),"FAIL","PASS"))</x:f>
        <x:v>OPEN</x:v>
      </x:c>
    </x:row>
    <x:row r="330" ht="36" customHeight="1">
      <x:c r="B330" s="44" t="str">
        <x:v>RAC-TR-0324</x:v>
      </x:c>
      <x:c r="C330" s="44" t="str">
        <x:v>REA-D-B</x:v>
      </x:c>
      <x:c r="D330" s="44" t="str">
        <x:v>DESTRUCTIVE</x:v>
      </x:c>
      <x:c r="E330" s="44" t="str">
        <x:v>BL-X</x:v>
      </x:c>
      <x:c r="F330" s="44" t="str">
        <x:v>capsule dock</x:v>
      </x:c>
      <x:c r="G330" s="44" t="str">
        <x:v>RAC-S1</x:v>
      </x:c>
      <x:c r="H330" s="44" t="str">
        <x:v>RAC-LOT-010</x:v>
      </x:c>
      <x:c r="I330" s="44" t="str">
        <x:v>BL-X-PR-04</x:v>
      </x:c>
      <x:c r="J330" s="44" t="str">
        <x:v>section 03 release</x:v>
      </x:c>
      <x:c r="K330" s="45" t="str"/>
      <x:c r="L330" s="44" t="str"/>
      <x:c r="M330" s="44" t="str"/>
      <x:c r="N330" s="44" t="str">
        <x:f>IF(M330="","OPEN",IF(OR(K330="",L330=""),"FAIL","PASS"))</x:f>
        <x:v>OPEN</x:v>
      </x:c>
    </x:row>
    <x:row r="331" ht="36" customHeight="1">
      <x:c r="B331" s="44" t="str">
        <x:v>RAC-TR-0325</x:v>
      </x:c>
      <x:c r="C331" s="44" t="str">
        <x:v>REA-D-B</x:v>
      </x:c>
      <x:c r="D331" s="44" t="str">
        <x:v>DESTRUCTIVE</x:v>
      </x:c>
      <x:c r="E331" s="44" t="str">
        <x:v>BL-X</x:v>
      </x:c>
      <x:c r="F331" s="44" t="str">
        <x:v>40 mm insert</x:v>
      </x:c>
      <x:c r="G331" s="44" t="str">
        <x:v>RAC-S2</x:v>
      </x:c>
      <x:c r="H331" s="44" t="str">
        <x:v>RAC-LOT-013</x:v>
      </x:c>
      <x:c r="I331" s="44" t="str">
        <x:v>BL-X-PR-05</x:v>
      </x:c>
      <x:c r="J331" s="44" t="str">
        <x:v>section 04 release</x:v>
      </x:c>
      <x:c r="K331" s="45" t="str"/>
      <x:c r="L331" s="44" t="str"/>
      <x:c r="M331" s="44" t="str"/>
      <x:c r="N331" s="44" t="str">
        <x:f>IF(M331="","OPEN",IF(OR(K331="",L331=""),"FAIL","PASS"))</x:f>
        <x:v>OPEN</x:v>
      </x:c>
    </x:row>
    <x:row r="332" ht="36" customHeight="1">
      <x:c r="B332" s="44" t="str">
        <x:v>RAC-TR-0326</x:v>
      </x:c>
      <x:c r="C332" s="44" t="str">
        <x:v>REA-D-B</x:v>
      </x:c>
      <x:c r="D332" s="44" t="str">
        <x:v>DESTRUCTIVE</x:v>
      </x:c>
      <x:c r="E332" s="44" t="str">
        <x:v>BL-X</x:v>
      </x:c>
      <x:c r="F332" s="44" t="str">
        <x:v>dispenser</x:v>
      </x:c>
      <x:c r="G332" s="44" t="str">
        <x:v>RAC-S2</x:v>
      </x:c>
      <x:c r="H332" s="44" t="str">
        <x:v>RAC-LOT-016</x:v>
      </x:c>
      <x:c r="I332" s="44" t="str">
        <x:v>BL-X-PR-06</x:v>
      </x:c>
      <x:c r="J332" s="44" t="str">
        <x:v>section 05 release</x:v>
      </x:c>
      <x:c r="K332" s="45" t="str"/>
      <x:c r="L332" s="44" t="str"/>
      <x:c r="M332" s="44" t="str"/>
      <x:c r="N332" s="44" t="str">
        <x:f>IF(M332="","OPEN",IF(OR(K332="",L332=""),"FAIL","PASS"))</x:f>
        <x:v>OPEN</x:v>
      </x:c>
    </x:row>
    <x:row r="333" ht="36" customHeight="1">
      <x:c r="B333" s="44" t="str">
        <x:v>RAC-TR-0327</x:v>
      </x:c>
      <x:c r="C333" s="44" t="str">
        <x:v>REA-D-B</x:v>
      </x:c>
      <x:c r="D333" s="44" t="str">
        <x:v>DESTRUCTIVE</x:v>
      </x:c>
      <x:c r="E333" s="44" t="str">
        <x:v>BL-X</x:v>
      </x:c>
      <x:c r="F333" s="44" t="str">
        <x:v>inner pan</x:v>
      </x:c>
      <x:c r="G333" s="44" t="str">
        <x:v>RAC-S2</x:v>
      </x:c>
      <x:c r="H333" s="44" t="str">
        <x:v>RAC-LOT-019</x:v>
      </x:c>
      <x:c r="I333" s="44" t="str">
        <x:v>BL-X-PR-07</x:v>
      </x:c>
      <x:c r="J333" s="44" t="str">
        <x:v>section 06 release</x:v>
      </x:c>
      <x:c r="K333" s="45" t="str"/>
      <x:c r="L333" s="44" t="str"/>
      <x:c r="M333" s="44" t="str"/>
      <x:c r="N333" s="44" t="str">
        <x:f>IF(M333="","OPEN",IF(OR(K333="",L333=""),"FAIL","PASS"))</x:f>
        <x:v>OPEN</x:v>
      </x:c>
    </x:row>
    <x:row r="334" ht="36" customHeight="1">
      <x:c r="B334" s="44" t="str">
        <x:v>RAC-TR-0328</x:v>
      </x:c>
      <x:c r="C334" s="44" t="str">
        <x:v>REA-D-B</x:v>
      </x:c>
      <x:c r="D334" s="44" t="str">
        <x:v>DESTRUCTIVE</x:v>
      </x:c>
      <x:c r="E334" s="44" t="str">
        <x:v>BL-X</x:v>
      </x:c>
      <x:c r="F334" s="44" t="str">
        <x:v>normal route</x:v>
      </x:c>
      <x:c r="G334" s="44" t="str">
        <x:v>RAC-S2</x:v>
      </x:c>
      <x:c r="H334" s="44" t="str">
        <x:v>RAC-LOT-022</x:v>
      </x:c>
      <x:c r="I334" s="44" t="str">
        <x:v>BL-X-PR-08</x:v>
      </x:c>
      <x:c r="J334" s="44" t="str">
        <x:v>section 07 release</x:v>
      </x:c>
      <x:c r="K334" s="45" t="str"/>
      <x:c r="L334" s="44" t="str"/>
      <x:c r="M334" s="44" t="str"/>
      <x:c r="N334" s="44" t="str">
        <x:f>IF(M334="","OPEN",IF(OR(K334="",L334=""),"FAIL","PASS"))</x:f>
        <x:v>OPEN</x:v>
      </x:c>
    </x:row>
    <x:row r="335" ht="36" customHeight="1">
      <x:c r="B335" s="44" t="str">
        <x:v>RAC-TR-0329</x:v>
      </x:c>
      <x:c r="C335" s="44" t="str">
        <x:v>REA-D-B</x:v>
      </x:c>
      <x:c r="D335" s="44" t="str">
        <x:v>DESTRUCTIVE</x:v>
      </x:c>
      <x:c r="E335" s="44" t="str">
        <x:v>BL-X</x:v>
      </x:c>
      <x:c r="F335" s="44" t="str">
        <x:v>casualty route</x:v>
      </x:c>
      <x:c r="G335" s="44" t="str">
        <x:v>RAC-S3</x:v>
      </x:c>
      <x:c r="H335" s="44" t="str">
        <x:v>RAC-LOT-025</x:v>
      </x:c>
      <x:c r="I335" s="44" t="str">
        <x:v>BL-X-PR-09</x:v>
      </x:c>
      <x:c r="J335" s="44" t="str">
        <x:v>section 08 release</x:v>
      </x:c>
      <x:c r="K335" s="45" t="str"/>
      <x:c r="L335" s="44" t="str"/>
      <x:c r="M335" s="44" t="str"/>
      <x:c r="N335" s="44" t="str">
        <x:f>IF(M335="","OPEN",IF(OR(K335="",L335=""),"FAIL","PASS"))</x:f>
        <x:v>OPEN</x:v>
      </x:c>
    </x:row>
    <x:row r="336" ht="36" customHeight="1">
      <x:c r="B336" s="44" t="str">
        <x:v>RAC-TR-0330</x:v>
      </x:c>
      <x:c r="C336" s="44" t="str">
        <x:v>REA-D-B</x:v>
      </x:c>
      <x:c r="D336" s="44" t="str">
        <x:v>DESTRUCTIVE</x:v>
      </x:c>
      <x:c r="E336" s="44" t="str">
        <x:v>BL-X</x:v>
      </x:c>
      <x:c r="F336" s="44" t="str">
        <x:v>normal receiver</x:v>
      </x:c>
      <x:c r="G336" s="44" t="str">
        <x:v>RAC-S3</x:v>
      </x:c>
      <x:c r="H336" s="44" t="str">
        <x:v>RAC-LOT-028</x:v>
      </x:c>
      <x:c r="I336" s="44" t="str">
        <x:v>BL-X-PR-10</x:v>
      </x:c>
      <x:c r="J336" s="44" t="str">
        <x:v>section 09 release</x:v>
      </x:c>
      <x:c r="K336" s="45" t="str"/>
      <x:c r="L336" s="44" t="str"/>
      <x:c r="M336" s="44" t="str"/>
      <x:c r="N336" s="44" t="str">
        <x:f>IF(M336="","OPEN",IF(OR(K336="",L336=""),"FAIL","PASS"))</x:f>
        <x:v>OPEN</x:v>
      </x:c>
    </x:row>
    <x:row r="337" ht="36" customHeight="1">
      <x:c r="B337" s="44" t="str">
        <x:v>RAC-TR-0331</x:v>
      </x:c>
      <x:c r="C337" s="44" t="str">
        <x:v>REA-D-B</x:v>
      </x:c>
      <x:c r="D337" s="44" t="str">
        <x:v>DESTRUCTIVE</x:v>
      </x:c>
      <x:c r="E337" s="44" t="str">
        <x:v>BL-X</x:v>
      </x:c>
      <x:c r="F337" s="44" t="str">
        <x:v>casualty receiver</x:v>
      </x:c>
      <x:c r="G337" s="44" t="str">
        <x:v>RAC-S3</x:v>
      </x:c>
      <x:c r="H337" s="44" t="str">
        <x:v>RAC-LOT-031</x:v>
      </x:c>
      <x:c r="I337" s="44" t="str">
        <x:v>BL-X-PR-11</x:v>
      </x:c>
      <x:c r="J337" s="44" t="str">
        <x:v>section 10 release</x:v>
      </x:c>
      <x:c r="K337" s="45" t="str"/>
      <x:c r="L337" s="44" t="str"/>
      <x:c r="M337" s="44" t="str"/>
      <x:c r="N337" s="44" t="str">
        <x:f>IF(M337="","OPEN",IF(OR(K337="",L337=""),"FAIL","PASS"))</x:f>
        <x:v>OPEN</x:v>
      </x:c>
    </x:row>
    <x:row r="338" ht="36" customHeight="1">
      <x:c r="B338" s="44" t="str">
        <x:v>RAC-TR-0332</x:v>
      </x:c>
      <x:c r="C338" s="44" t="str">
        <x:v>REA-D-B</x:v>
      </x:c>
      <x:c r="D338" s="44" t="str">
        <x:v>DESTRUCTIVE</x:v>
      </x:c>
      <x:c r="E338" s="44" t="str">
        <x:v>BL-X</x:v>
      </x:c>
      <x:c r="F338" s="44" t="str">
        <x:v>source inlet isolation</x:v>
      </x:c>
      <x:c r="G338" s="44" t="str">
        <x:v>RAC-S3</x:v>
      </x:c>
      <x:c r="H338" s="44" t="str">
        <x:v>RAC-LOT-034</x:v>
      </x:c>
      <x:c r="I338" s="44" t="str">
        <x:v>BL-X-PR-12</x:v>
      </x:c>
      <x:c r="J338" s="44" t="str">
        <x:v>section 11 release</x:v>
      </x:c>
      <x:c r="K338" s="45" t="str"/>
      <x:c r="L338" s="44" t="str"/>
      <x:c r="M338" s="44" t="str"/>
      <x:c r="N338" s="44" t="str">
        <x:f>IF(M338="","OPEN",IF(OR(K338="",L338=""),"FAIL","PASS"))</x:f>
        <x:v>OPEN</x:v>
      </x:c>
    </x:row>
    <x:row r="339" ht="36" customHeight="1">
      <x:c r="B339" s="44" t="str">
        <x:v>RAC-TR-0333</x:v>
      </x:c>
      <x:c r="C339" s="44" t="str">
        <x:v>REA-D-B</x:v>
      </x:c>
      <x:c r="D339" s="44" t="str">
        <x:v>DESTRUCTIVE</x:v>
      </x:c>
      <x:c r="E339" s="44" t="str">
        <x:v>BL-X</x:v>
      </x:c>
      <x:c r="F339" s="44" t="str">
        <x:v>dispenser isolation</x:v>
      </x:c>
      <x:c r="G339" s="44" t="str">
        <x:v>RAC-S4</x:v>
      </x:c>
      <x:c r="H339" s="44" t="str">
        <x:v>RAC-LOT-001</x:v>
      </x:c>
      <x:c r="I339" s="44" t="str">
        <x:v>BL-X-PR-13</x:v>
      </x:c>
      <x:c r="J339" s="44" t="str">
        <x:v>section 12 release</x:v>
      </x:c>
      <x:c r="K339" s="45" t="str"/>
      <x:c r="L339" s="44" t="str"/>
      <x:c r="M339" s="44" t="str"/>
      <x:c r="N339" s="44" t="str">
        <x:f>IF(M339="","OPEN",IF(OR(K339="",L339=""),"FAIL","PASS"))</x:f>
        <x:v>OPEN</x:v>
      </x:c>
    </x:row>
    <x:row r="340" ht="36" customHeight="1">
      <x:c r="B340" s="44" t="str">
        <x:v>RAC-TR-0334</x:v>
      </x:c>
      <x:c r="C340" s="44" t="str">
        <x:v>REA-D-B</x:v>
      </x:c>
      <x:c r="D340" s="44" t="str">
        <x:v>DESTRUCTIVE</x:v>
      </x:c>
      <x:c r="E340" s="44" t="str">
        <x:v>BL-X</x:v>
      </x:c>
      <x:c r="F340" s="44" t="str">
        <x:v>gravity diversion</x:v>
      </x:c>
      <x:c r="G340" s="44" t="str">
        <x:v>RAC-S4</x:v>
      </x:c>
      <x:c r="H340" s="44" t="str">
        <x:v>RAC-LOT-004</x:v>
      </x:c>
      <x:c r="I340" s="44" t="str">
        <x:v>BL-X-PR-14</x:v>
      </x:c>
      <x:c r="J340" s="44" t="str">
        <x:v>section 13 release</x:v>
      </x:c>
      <x:c r="K340" s="45" t="str"/>
      <x:c r="L340" s="44" t="str"/>
      <x:c r="M340" s="44" t="str"/>
      <x:c r="N340" s="44" t="str">
        <x:f>IF(M340="","OPEN",IF(OR(K340="",L340=""),"FAIL","PASS"))</x:f>
        <x:v>OPEN</x:v>
      </x:c>
    </x:row>
    <x:row r="341" ht="36" customHeight="1">
      <x:c r="B341" s="44" t="str">
        <x:v>RAC-TR-0335</x:v>
      </x:c>
      <x:c r="C341" s="44" t="str">
        <x:v>REA-D-B</x:v>
      </x:c>
      <x:c r="D341" s="44" t="str">
        <x:v>DESTRUCTIVE</x:v>
      </x:c>
      <x:c r="E341" s="44" t="str">
        <x:v>BL-X</x:v>
      </x:c>
      <x:c r="F341" s="44" t="str">
        <x:v>water isolation</x:v>
      </x:c>
      <x:c r="G341" s="44" t="str">
        <x:v>RAC-S4</x:v>
      </x:c>
      <x:c r="H341" s="44" t="str">
        <x:v>RAC-LOT-007</x:v>
      </x:c>
      <x:c r="I341" s="44" t="str">
        <x:v>BL-X-PR-15</x:v>
      </x:c>
      <x:c r="J341" s="44" t="str">
        <x:v>section 14 release</x:v>
      </x:c>
      <x:c r="K341" s="45" t="str"/>
      <x:c r="L341" s="44" t="str"/>
      <x:c r="M341" s="44" t="str"/>
      <x:c r="N341" s="44" t="str">
        <x:f>IF(M341="","OPEN",IF(OR(K341="",L341=""),"FAIL","PASS"))</x:f>
        <x:v>OPEN</x:v>
      </x:c>
    </x:row>
    <x:row r="342" ht="36" customHeight="1">
      <x:c r="B342" s="44" t="str">
        <x:v>RAC-TR-0336</x:v>
      </x:c>
      <x:c r="C342" s="44" t="str">
        <x:v>REA-D-B</x:v>
      </x:c>
      <x:c r="D342" s="44" t="str">
        <x:v>DESTRUCTIVE</x:v>
      </x:c>
      <x:c r="E342" s="44" t="str">
        <x:v>BL-X</x:v>
      </x:c>
      <x:c r="F342" s="44" t="str">
        <x:v>electrical isolation</x:v>
      </x:c>
      <x:c r="G342" s="44" t="str">
        <x:v>RAC-S4</x:v>
      </x:c>
      <x:c r="H342" s="44" t="str">
        <x:v>RAC-LOT-010</x:v>
      </x:c>
      <x:c r="I342" s="44" t="str">
        <x:v>BL-X-PR-16</x:v>
      </x:c>
      <x:c r="J342" s="44" t="str">
        <x:v>section 15 release</x:v>
      </x:c>
      <x:c r="K342" s="45" t="str"/>
      <x:c r="L342" s="44" t="str"/>
      <x:c r="M342" s="44" t="str"/>
      <x:c r="N342" s="44" t="str">
        <x:f>IF(M342="","OPEN",IF(OR(K342="",L342=""),"FAIL","PASS"))</x:f>
        <x:v>OPEN</x:v>
      </x:c>
    </x:row>
    <x:row r="343" ht="36" customHeight="1">
      <x:c r="B343" s="44" t="str">
        <x:v>RAC-TR-0337</x:v>
      </x:c>
      <x:c r="C343" s="44" t="str">
        <x:v>REA-D-B</x:v>
      </x:c>
      <x:c r="D343" s="44" t="str">
        <x:v>DESTRUCTIVE</x:v>
      </x:c>
      <x:c r="E343" s="44" t="str">
        <x:v>BL-X</x:v>
      </x:c>
      <x:c r="F343" s="44" t="str">
        <x:v>independent safety energy</x:v>
      </x:c>
      <x:c r="G343" s="44" t="str">
        <x:v>RAC-S4</x:v>
      </x:c>
      <x:c r="H343" s="44" t="str">
        <x:v>RAC-LOT-013</x:v>
      </x:c>
      <x:c r="I343" s="44" t="str">
        <x:v>BL-X-PR-01</x:v>
      </x:c>
      <x:c r="J343" s="44" t="str">
        <x:v>section 16 release</x:v>
      </x:c>
      <x:c r="K343" s="45" t="str"/>
      <x:c r="L343" s="44" t="str"/>
      <x:c r="M343" s="44" t="str"/>
      <x:c r="N343" s="44" t="str">
        <x:f>IF(M343="","OPEN",IF(OR(K343="",L343=""),"FAIL","PASS"))</x:f>
        <x:v>OPEN</x:v>
      </x:c>
    </x:row>
    <x:row r="344" ht="36" customHeight="1">
      <x:c r="B344" s="44" t="str">
        <x:v>RAC-TR-0338</x:v>
      </x:c>
      <x:c r="C344" s="44" t="str">
        <x:v>REA-D-B</x:v>
      </x:c>
      <x:c r="D344" s="44" t="str">
        <x:v>DESTRUCTIVE</x:v>
      </x:c>
      <x:c r="E344" s="44" t="str">
        <x:v>BL-X</x:v>
      </x:c>
      <x:c r="F344" s="44" t="str">
        <x:v>measurement frame</x:v>
      </x:c>
      <x:c r="G344" s="44" t="str">
        <x:v>RAC-S4</x:v>
      </x:c>
      <x:c r="H344" s="44" t="str">
        <x:v>RAC-LOT-016</x:v>
      </x:c>
      <x:c r="I344" s="44" t="str">
        <x:v>BL-X-PR-02</x:v>
      </x:c>
      <x:c r="J344" s="44" t="str">
        <x:v>section 17 release</x:v>
      </x:c>
      <x:c r="K344" s="45" t="str"/>
      <x:c r="L344" s="44" t="str"/>
      <x:c r="M344" s="44" t="str"/>
      <x:c r="N344" s="44" t="str">
        <x:f>IF(M344="","OPEN",IF(OR(K344="",L344=""),"FAIL","PASS"))</x:f>
        <x:v>OPEN</x:v>
      </x:c>
    </x:row>
    <x:row r="345" ht="36" customHeight="1">
      <x:c r="B345" s="44" t="str">
        <x:v>RAC-TR-0339</x:v>
      </x:c>
      <x:c r="C345" s="44" t="str">
        <x:v>REA-D-B</x:v>
      </x:c>
      <x:c r="D345" s="44" t="str">
        <x:v>DESTRUCTIVE</x:v>
      </x:c>
      <x:c r="E345" s="44" t="str">
        <x:v>BL-X</x:v>
      </x:c>
      <x:c r="F345" s="44" t="str">
        <x:v>causal time and evidence</x:v>
      </x:c>
      <x:c r="G345" s="44" t="str">
        <x:v>RAC-S6</x:v>
      </x:c>
      <x:c r="H345" s="44" t="str">
        <x:v>RAC-LOT-019</x:v>
      </x:c>
      <x:c r="I345" s="44" t="str">
        <x:v>BL-X-PR-03</x:v>
      </x:c>
      <x:c r="J345" s="44" t="str">
        <x:v>section 18 release</x:v>
      </x:c>
      <x:c r="K345" s="45" t="str"/>
      <x:c r="L345" s="44" t="str"/>
      <x:c r="M345" s="44" t="str"/>
      <x:c r="N345" s="44" t="str">
        <x:f>IF(M345="","OPEN",IF(OR(K345="",L345=""),"FAIL","PASS"))</x:f>
        <x:v>OPEN</x:v>
      </x:c>
    </x:row>
    <x:row r="346" ht="36" customHeight="1">
      <x:c r="B346" s="44" t="str">
        <x:v>RAC-TR-0340</x:v>
      </x:c>
      <x:c r="C346" s="44" t="str">
        <x:v>REA-D-B</x:v>
      </x:c>
      <x:c r="D346" s="44" t="str">
        <x:v>DESTRUCTIVE</x:v>
      </x:c>
      <x:c r="E346" s="44" t="str">
        <x:v>BL-X</x:v>
      </x:c>
      <x:c r="F346" s="44" t="str">
        <x:v>rescue and environmental access</x:v>
      </x:c>
      <x:c r="G346" s="44" t="str">
        <x:v>RAC-S6</x:v>
      </x:c>
      <x:c r="H346" s="44" t="str">
        <x:v>RAC-LOT-022</x:v>
      </x:c>
      <x:c r="I346" s="44" t="str">
        <x:v>BL-X-PR-04</x:v>
      </x:c>
      <x:c r="J346" s="44" t="str">
        <x:v>section 19 release</x:v>
      </x:c>
      <x:c r="K346" s="45" t="str"/>
      <x:c r="L346" s="44" t="str"/>
      <x:c r="M346" s="44" t="str"/>
      <x:c r="N346" s="44" t="str">
        <x:f>IF(M346="","OPEN",IF(OR(K346="",L346=""),"FAIL","PASS"))</x:f>
        <x:v>OPEN</x:v>
      </x:c>
    </x:row>
    <x:row r="347" ht="36" customHeight="1">
      <x:c r="B347" s="44" t="str">
        <x:v>RAC-TR-0341</x:v>
      </x:c>
      <x:c r="C347" s="44" t="str">
        <x:v>REA-D-C</x:v>
      </x:c>
      <x:c r="D347" s="44" t="str">
        <x:v>DESTRUCTIVE</x:v>
      </x:c>
      <x:c r="E347" s="44" t="str">
        <x:v>BL-Y</x:v>
      </x:c>
      <x:c r="F347" s="44" t="str">
        <x:v>public datum</x:v>
      </x:c>
      <x:c r="G347" s="44" t="str">
        <x:v>RAC-S1</x:v>
      </x:c>
      <x:c r="H347" s="44" t="str">
        <x:v>RAC-LOT-037</x:v>
      </x:c>
      <x:c r="I347" s="44" t="str">
        <x:v>BL-Y-PR-01</x:v>
      </x:c>
      <x:c r="J347" s="44" t="str">
        <x:v>authority freeze</x:v>
      </x:c>
      <x:c r="K347" s="45" t="str"/>
      <x:c r="L347" s="44" t="str"/>
      <x:c r="M347" s="44" t="str"/>
      <x:c r="N347" s="44" t="str">
        <x:f>IF(M347="","OPEN",IF(OR(K347="",L347=""),"FAIL","PASS"))</x:f>
        <x:v>OPEN</x:v>
      </x:c>
    </x:row>
    <x:row r="348" ht="36" customHeight="1">
      <x:c r="B348" s="44" t="str">
        <x:v>RAC-TR-0342</x:v>
      </x:c>
      <x:c r="C348" s="44" t="str">
        <x:v>REA-D-C</x:v>
      </x:c>
      <x:c r="D348" s="44" t="str">
        <x:v>DESTRUCTIVE</x:v>
      </x:c>
      <x:c r="E348" s="44" t="str">
        <x:v>BL-Y</x:v>
      </x:c>
      <x:c r="F348" s="44" t="str">
        <x:v>primary frame</x:v>
      </x:c>
      <x:c r="G348" s="44" t="str">
        <x:v>RAC-S1</x:v>
      </x:c>
      <x:c r="H348" s="44" t="str">
        <x:v>RAC-LOT-040</x:v>
      </x:c>
      <x:c r="I348" s="44" t="str">
        <x:v>BL-Y-PR-02</x:v>
      </x:c>
      <x:c r="J348" s="44" t="str">
        <x:v>section 01 release</x:v>
      </x:c>
      <x:c r="K348" s="45" t="str"/>
      <x:c r="L348" s="44" t="str"/>
      <x:c r="M348" s="44" t="str"/>
      <x:c r="N348" s="44" t="str">
        <x:f>IF(M348="","OPEN",IF(OR(K348="",L348=""),"FAIL","PASS"))</x:f>
        <x:v>OPEN</x:v>
      </x:c>
    </x:row>
    <x:row r="349" ht="36" customHeight="1">
      <x:c r="B349" s="44" t="str">
        <x:v>RAC-TR-0343</x:v>
      </x:c>
      <x:c r="C349" s="44" t="str">
        <x:v>REA-D-C</x:v>
      </x:c>
      <x:c r="D349" s="44" t="str">
        <x:v>DESTRUCTIVE</x:v>
      </x:c>
      <x:c r="E349" s="44" t="str">
        <x:v>BL-Y</x:v>
      </x:c>
      <x:c r="F349" s="44" t="str">
        <x:v>source-surrogate vessel</x:v>
      </x:c>
      <x:c r="G349" s="44" t="str">
        <x:v>RAC-S1</x:v>
      </x:c>
      <x:c r="H349" s="44" t="str">
        <x:v>RAC-LOT-043</x:v>
      </x:c>
      <x:c r="I349" s="44" t="str">
        <x:v>BL-Y-PR-03</x:v>
      </x:c>
      <x:c r="J349" s="44" t="str">
        <x:v>section 02 release</x:v>
      </x:c>
      <x:c r="K349" s="45" t="str"/>
      <x:c r="L349" s="44" t="str"/>
      <x:c r="M349" s="44" t="str"/>
      <x:c r="N349" s="44" t="str">
        <x:f>IF(M349="","OPEN",IF(OR(K349="",L349=""),"FAIL","PASS"))</x:f>
        <x:v>OPEN</x:v>
      </x:c>
    </x:row>
    <x:row r="350" ht="36" customHeight="1">
      <x:c r="B350" s="44" t="str">
        <x:v>RAC-TR-0344</x:v>
      </x:c>
      <x:c r="C350" s="44" t="str">
        <x:v>REA-D-C</x:v>
      </x:c>
      <x:c r="D350" s="44" t="str">
        <x:v>DESTRUCTIVE</x:v>
      </x:c>
      <x:c r="E350" s="44" t="str">
        <x:v>BL-Y</x:v>
      </x:c>
      <x:c r="F350" s="44" t="str">
        <x:v>capsule dock</x:v>
      </x:c>
      <x:c r="G350" s="44" t="str">
        <x:v>RAC-S1</x:v>
      </x:c>
      <x:c r="H350" s="44" t="str">
        <x:v>RAC-LOT-046</x:v>
      </x:c>
      <x:c r="I350" s="44" t="str">
        <x:v>BL-Y-PR-04</x:v>
      </x:c>
      <x:c r="J350" s="44" t="str">
        <x:v>section 03 release</x:v>
      </x:c>
      <x:c r="K350" s="45" t="str"/>
      <x:c r="L350" s="44" t="str"/>
      <x:c r="M350" s="44" t="str"/>
      <x:c r="N350" s="44" t="str">
        <x:f>IF(M350="","OPEN",IF(OR(K350="",L350=""),"FAIL","PASS"))</x:f>
        <x:v>OPEN</x:v>
      </x:c>
    </x:row>
    <x:row r="351" ht="36" customHeight="1">
      <x:c r="B351" s="44" t="str">
        <x:v>RAC-TR-0345</x:v>
      </x:c>
      <x:c r="C351" s="44" t="str">
        <x:v>REA-D-C</x:v>
      </x:c>
      <x:c r="D351" s="44" t="str">
        <x:v>DESTRUCTIVE</x:v>
      </x:c>
      <x:c r="E351" s="44" t="str">
        <x:v>BL-Y</x:v>
      </x:c>
      <x:c r="F351" s="44" t="str">
        <x:v>40 mm insert</x:v>
      </x:c>
      <x:c r="G351" s="44" t="str">
        <x:v>RAC-S2</x:v>
      </x:c>
      <x:c r="H351" s="44" t="str">
        <x:v>RAC-LOT-049</x:v>
      </x:c>
      <x:c r="I351" s="44" t="str">
        <x:v>BL-Y-PR-05</x:v>
      </x:c>
      <x:c r="J351" s="44" t="str">
        <x:v>section 04 release</x:v>
      </x:c>
      <x:c r="K351" s="45" t="str"/>
      <x:c r="L351" s="44" t="str"/>
      <x:c r="M351" s="44" t="str"/>
      <x:c r="N351" s="44" t="str">
        <x:f>IF(M351="","OPEN",IF(OR(K351="",L351=""),"FAIL","PASS"))</x:f>
        <x:v>OPEN</x:v>
      </x:c>
    </x:row>
    <x:row r="352" ht="36" customHeight="1">
      <x:c r="B352" s="44" t="str">
        <x:v>RAC-TR-0346</x:v>
      </x:c>
      <x:c r="C352" s="44" t="str">
        <x:v>REA-D-C</x:v>
      </x:c>
      <x:c r="D352" s="44" t="str">
        <x:v>DESTRUCTIVE</x:v>
      </x:c>
      <x:c r="E352" s="44" t="str">
        <x:v>BL-Y</x:v>
      </x:c>
      <x:c r="F352" s="44" t="str">
        <x:v>dispenser</x:v>
      </x:c>
      <x:c r="G352" s="44" t="str">
        <x:v>RAC-S2</x:v>
      </x:c>
      <x:c r="H352" s="44" t="str">
        <x:v>RAC-LOT-052</x:v>
      </x:c>
      <x:c r="I352" s="44" t="str">
        <x:v>BL-Y-PR-06</x:v>
      </x:c>
      <x:c r="J352" s="44" t="str">
        <x:v>section 05 release</x:v>
      </x:c>
      <x:c r="K352" s="45" t="str"/>
      <x:c r="L352" s="44" t="str"/>
      <x:c r="M352" s="44" t="str"/>
      <x:c r="N352" s="44" t="str">
        <x:f>IF(M352="","OPEN",IF(OR(K352="",L352=""),"FAIL","PASS"))</x:f>
        <x:v>OPEN</x:v>
      </x:c>
    </x:row>
    <x:row r="353" ht="36" customHeight="1">
      <x:c r="B353" s="44" t="str">
        <x:v>RAC-TR-0347</x:v>
      </x:c>
      <x:c r="C353" s="44" t="str">
        <x:v>REA-D-C</x:v>
      </x:c>
      <x:c r="D353" s="44" t="str">
        <x:v>DESTRUCTIVE</x:v>
      </x:c>
      <x:c r="E353" s="44" t="str">
        <x:v>BL-Y</x:v>
      </x:c>
      <x:c r="F353" s="44" t="str">
        <x:v>inner pan</x:v>
      </x:c>
      <x:c r="G353" s="44" t="str">
        <x:v>RAC-S2</x:v>
      </x:c>
      <x:c r="H353" s="44" t="str">
        <x:v>RAC-LOT-055</x:v>
      </x:c>
      <x:c r="I353" s="44" t="str">
        <x:v>BL-Y-PR-07</x:v>
      </x:c>
      <x:c r="J353" s="44" t="str">
        <x:v>section 06 release</x:v>
      </x:c>
      <x:c r="K353" s="45" t="str"/>
      <x:c r="L353" s="44" t="str"/>
      <x:c r="M353" s="44" t="str"/>
      <x:c r="N353" s="44" t="str">
        <x:f>IF(M353="","OPEN",IF(OR(K353="",L353=""),"FAIL","PASS"))</x:f>
        <x:v>OPEN</x:v>
      </x:c>
    </x:row>
    <x:row r="354" ht="36" customHeight="1">
      <x:c r="B354" s="44" t="str">
        <x:v>RAC-TR-0348</x:v>
      </x:c>
      <x:c r="C354" s="44" t="str">
        <x:v>REA-D-C</x:v>
      </x:c>
      <x:c r="D354" s="44" t="str">
        <x:v>DESTRUCTIVE</x:v>
      </x:c>
      <x:c r="E354" s="44" t="str">
        <x:v>BL-Y</x:v>
      </x:c>
      <x:c r="F354" s="44" t="str">
        <x:v>normal route</x:v>
      </x:c>
      <x:c r="G354" s="44" t="str">
        <x:v>RAC-S2</x:v>
      </x:c>
      <x:c r="H354" s="44" t="str">
        <x:v>RAC-LOT-058</x:v>
      </x:c>
      <x:c r="I354" s="44" t="str">
        <x:v>BL-Y-PR-08</x:v>
      </x:c>
      <x:c r="J354" s="44" t="str">
        <x:v>section 07 release</x:v>
      </x:c>
      <x:c r="K354" s="45" t="str"/>
      <x:c r="L354" s="44" t="str"/>
      <x:c r="M354" s="44" t="str"/>
      <x:c r="N354" s="44" t="str">
        <x:f>IF(M354="","OPEN",IF(OR(K354="",L354=""),"FAIL","PASS"))</x:f>
        <x:v>OPEN</x:v>
      </x:c>
    </x:row>
    <x:row r="355" ht="36" customHeight="1">
      <x:c r="B355" s="44" t="str">
        <x:v>RAC-TR-0349</x:v>
      </x:c>
      <x:c r="C355" s="44" t="str">
        <x:v>REA-D-C</x:v>
      </x:c>
      <x:c r="D355" s="44" t="str">
        <x:v>DESTRUCTIVE</x:v>
      </x:c>
      <x:c r="E355" s="44" t="str">
        <x:v>BL-Y</x:v>
      </x:c>
      <x:c r="F355" s="44" t="str">
        <x:v>casualty route</x:v>
      </x:c>
      <x:c r="G355" s="44" t="str">
        <x:v>RAC-S3</x:v>
      </x:c>
      <x:c r="H355" s="44" t="str">
        <x:v>RAC-LOT-061</x:v>
      </x:c>
      <x:c r="I355" s="44" t="str">
        <x:v>BL-Y-PR-09</x:v>
      </x:c>
      <x:c r="J355" s="44" t="str">
        <x:v>section 08 release</x:v>
      </x:c>
      <x:c r="K355" s="45" t="str"/>
      <x:c r="L355" s="44" t="str"/>
      <x:c r="M355" s="44" t="str"/>
      <x:c r="N355" s="44" t="str">
        <x:f>IF(M355="","OPEN",IF(OR(K355="",L355=""),"FAIL","PASS"))</x:f>
        <x:v>OPEN</x:v>
      </x:c>
    </x:row>
    <x:row r="356" ht="36" customHeight="1">
      <x:c r="B356" s="44" t="str">
        <x:v>RAC-TR-0350</x:v>
      </x:c>
      <x:c r="C356" s="44" t="str">
        <x:v>REA-D-C</x:v>
      </x:c>
      <x:c r="D356" s="44" t="str">
        <x:v>DESTRUCTIVE</x:v>
      </x:c>
      <x:c r="E356" s="44" t="str">
        <x:v>BL-Y</x:v>
      </x:c>
      <x:c r="F356" s="44" t="str">
        <x:v>normal receiver</x:v>
      </x:c>
      <x:c r="G356" s="44" t="str">
        <x:v>RAC-S3</x:v>
      </x:c>
      <x:c r="H356" s="44" t="str">
        <x:v>RAC-LOT-064</x:v>
      </x:c>
      <x:c r="I356" s="44" t="str">
        <x:v>BL-Y-PR-10</x:v>
      </x:c>
      <x:c r="J356" s="44" t="str">
        <x:v>section 09 release</x:v>
      </x:c>
      <x:c r="K356" s="45" t="str"/>
      <x:c r="L356" s="44" t="str"/>
      <x:c r="M356" s="44" t="str"/>
      <x:c r="N356" s="44" t="str">
        <x:f>IF(M356="","OPEN",IF(OR(K356="",L356=""),"FAIL","PASS"))</x:f>
        <x:v>OPEN</x:v>
      </x:c>
    </x:row>
    <x:row r="357" ht="36" customHeight="1">
      <x:c r="B357" s="44" t="str">
        <x:v>RAC-TR-0351</x:v>
      </x:c>
      <x:c r="C357" s="44" t="str">
        <x:v>REA-D-C</x:v>
      </x:c>
      <x:c r="D357" s="44" t="str">
        <x:v>DESTRUCTIVE</x:v>
      </x:c>
      <x:c r="E357" s="44" t="str">
        <x:v>BL-Y</x:v>
      </x:c>
      <x:c r="F357" s="44" t="str">
        <x:v>casualty receiver</x:v>
      </x:c>
      <x:c r="G357" s="44" t="str">
        <x:v>RAC-S3</x:v>
      </x:c>
      <x:c r="H357" s="44" t="str">
        <x:v>RAC-LOT-067</x:v>
      </x:c>
      <x:c r="I357" s="44" t="str">
        <x:v>BL-Y-PR-11</x:v>
      </x:c>
      <x:c r="J357" s="44" t="str">
        <x:v>section 10 release</x:v>
      </x:c>
      <x:c r="K357" s="45" t="str"/>
      <x:c r="L357" s="44" t="str"/>
      <x:c r="M357" s="44" t="str"/>
      <x:c r="N357" s="44" t="str">
        <x:f>IF(M357="","OPEN",IF(OR(K357="",L357=""),"FAIL","PASS"))</x:f>
        <x:v>OPEN</x:v>
      </x:c>
    </x:row>
    <x:row r="358" ht="36" customHeight="1">
      <x:c r="B358" s="44" t="str">
        <x:v>RAC-TR-0352</x:v>
      </x:c>
      <x:c r="C358" s="44" t="str">
        <x:v>REA-D-C</x:v>
      </x:c>
      <x:c r="D358" s="44" t="str">
        <x:v>DESTRUCTIVE</x:v>
      </x:c>
      <x:c r="E358" s="44" t="str">
        <x:v>BL-Y</x:v>
      </x:c>
      <x:c r="F358" s="44" t="str">
        <x:v>source inlet isolation</x:v>
      </x:c>
      <x:c r="G358" s="44" t="str">
        <x:v>RAC-S3</x:v>
      </x:c>
      <x:c r="H358" s="44" t="str">
        <x:v>RAC-LOT-070</x:v>
      </x:c>
      <x:c r="I358" s="44" t="str">
        <x:v>BL-Y-PR-12</x:v>
      </x:c>
      <x:c r="J358" s="44" t="str">
        <x:v>section 11 release</x:v>
      </x:c>
      <x:c r="K358" s="45" t="str"/>
      <x:c r="L358" s="44" t="str"/>
      <x:c r="M358" s="44" t="str"/>
      <x:c r="N358" s="44" t="str">
        <x:f>IF(M358="","OPEN",IF(OR(K358="",L358=""),"FAIL","PASS"))</x:f>
        <x:v>OPEN</x:v>
      </x:c>
    </x:row>
    <x:row r="359" ht="36" customHeight="1">
      <x:c r="B359" s="44" t="str">
        <x:v>RAC-TR-0353</x:v>
      </x:c>
      <x:c r="C359" s="44" t="str">
        <x:v>REA-D-C</x:v>
      </x:c>
      <x:c r="D359" s="44" t="str">
        <x:v>DESTRUCTIVE</x:v>
      </x:c>
      <x:c r="E359" s="44" t="str">
        <x:v>BL-Y</x:v>
      </x:c>
      <x:c r="F359" s="44" t="str">
        <x:v>dispenser isolation</x:v>
      </x:c>
      <x:c r="G359" s="44" t="str">
        <x:v>RAC-S4</x:v>
      </x:c>
      <x:c r="H359" s="44" t="str">
        <x:v>RAC-LOT-037</x:v>
      </x:c>
      <x:c r="I359" s="44" t="str">
        <x:v>BL-Y-PR-13</x:v>
      </x:c>
      <x:c r="J359" s="44" t="str">
        <x:v>section 12 release</x:v>
      </x:c>
      <x:c r="K359" s="45" t="str"/>
      <x:c r="L359" s="44" t="str"/>
      <x:c r="M359" s="44" t="str"/>
      <x:c r="N359" s="44" t="str">
        <x:f>IF(M359="","OPEN",IF(OR(K359="",L359=""),"FAIL","PASS"))</x:f>
        <x:v>OPEN</x:v>
      </x:c>
    </x:row>
    <x:row r="360" ht="36" customHeight="1">
      <x:c r="B360" s="44" t="str">
        <x:v>RAC-TR-0354</x:v>
      </x:c>
      <x:c r="C360" s="44" t="str">
        <x:v>REA-D-C</x:v>
      </x:c>
      <x:c r="D360" s="44" t="str">
        <x:v>DESTRUCTIVE</x:v>
      </x:c>
      <x:c r="E360" s="44" t="str">
        <x:v>BL-Y</x:v>
      </x:c>
      <x:c r="F360" s="44" t="str">
        <x:v>gravity diversion</x:v>
      </x:c>
      <x:c r="G360" s="44" t="str">
        <x:v>RAC-S4</x:v>
      </x:c>
      <x:c r="H360" s="44" t="str">
        <x:v>RAC-LOT-040</x:v>
      </x:c>
      <x:c r="I360" s="44" t="str">
        <x:v>BL-Y-PR-14</x:v>
      </x:c>
      <x:c r="J360" s="44" t="str">
        <x:v>section 13 release</x:v>
      </x:c>
      <x:c r="K360" s="45" t="str"/>
      <x:c r="L360" s="44" t="str"/>
      <x:c r="M360" s="44" t="str"/>
      <x:c r="N360" s="44" t="str">
        <x:f>IF(M360="","OPEN",IF(OR(K360="",L360=""),"FAIL","PASS"))</x:f>
        <x:v>OPEN</x:v>
      </x:c>
    </x:row>
    <x:row r="361" ht="36" customHeight="1">
      <x:c r="B361" s="44" t="str">
        <x:v>RAC-TR-0355</x:v>
      </x:c>
      <x:c r="C361" s="44" t="str">
        <x:v>REA-D-C</x:v>
      </x:c>
      <x:c r="D361" s="44" t="str">
        <x:v>DESTRUCTIVE</x:v>
      </x:c>
      <x:c r="E361" s="44" t="str">
        <x:v>BL-Y</x:v>
      </x:c>
      <x:c r="F361" s="44" t="str">
        <x:v>water isolation</x:v>
      </x:c>
      <x:c r="G361" s="44" t="str">
        <x:v>RAC-S4</x:v>
      </x:c>
      <x:c r="H361" s="44" t="str">
        <x:v>RAC-LOT-043</x:v>
      </x:c>
      <x:c r="I361" s="44" t="str">
        <x:v>BL-Y-PR-15</x:v>
      </x:c>
      <x:c r="J361" s="44" t="str">
        <x:v>section 14 release</x:v>
      </x:c>
      <x:c r="K361" s="45" t="str"/>
      <x:c r="L361" s="44" t="str"/>
      <x:c r="M361" s="44" t="str"/>
      <x:c r="N361" s="44" t="str">
        <x:f>IF(M361="","OPEN",IF(OR(K361="",L361=""),"FAIL","PASS"))</x:f>
        <x:v>OPEN</x:v>
      </x:c>
    </x:row>
    <x:row r="362" ht="36" customHeight="1">
      <x:c r="B362" s="44" t="str">
        <x:v>RAC-TR-0356</x:v>
      </x:c>
      <x:c r="C362" s="44" t="str">
        <x:v>REA-D-C</x:v>
      </x:c>
      <x:c r="D362" s="44" t="str">
        <x:v>DESTRUCTIVE</x:v>
      </x:c>
      <x:c r="E362" s="44" t="str">
        <x:v>BL-Y</x:v>
      </x:c>
      <x:c r="F362" s="44" t="str">
        <x:v>electrical isolation</x:v>
      </x:c>
      <x:c r="G362" s="44" t="str">
        <x:v>RAC-S4</x:v>
      </x:c>
      <x:c r="H362" s="44" t="str">
        <x:v>RAC-LOT-046</x:v>
      </x:c>
      <x:c r="I362" s="44" t="str">
        <x:v>BL-Y-PR-16</x:v>
      </x:c>
      <x:c r="J362" s="44" t="str">
        <x:v>section 15 release</x:v>
      </x:c>
      <x:c r="K362" s="45" t="str"/>
      <x:c r="L362" s="44" t="str"/>
      <x:c r="M362" s="44" t="str"/>
      <x:c r="N362" s="44" t="str">
        <x:f>IF(M362="","OPEN",IF(OR(K362="",L362=""),"FAIL","PASS"))</x:f>
        <x:v>OPEN</x:v>
      </x:c>
    </x:row>
    <x:row r="363" ht="36" customHeight="1">
      <x:c r="B363" s="44" t="str">
        <x:v>RAC-TR-0357</x:v>
      </x:c>
      <x:c r="C363" s="44" t="str">
        <x:v>REA-D-C</x:v>
      </x:c>
      <x:c r="D363" s="44" t="str">
        <x:v>DESTRUCTIVE</x:v>
      </x:c>
      <x:c r="E363" s="44" t="str">
        <x:v>BL-Y</x:v>
      </x:c>
      <x:c r="F363" s="44" t="str">
        <x:v>independent safety energy</x:v>
      </x:c>
      <x:c r="G363" s="44" t="str">
        <x:v>RAC-S4</x:v>
      </x:c>
      <x:c r="H363" s="44" t="str">
        <x:v>RAC-LOT-049</x:v>
      </x:c>
      <x:c r="I363" s="44" t="str">
        <x:v>BL-Y-PR-01</x:v>
      </x:c>
      <x:c r="J363" s="44" t="str">
        <x:v>section 16 release</x:v>
      </x:c>
      <x:c r="K363" s="45" t="str"/>
      <x:c r="L363" s="44" t="str"/>
      <x:c r="M363" s="44" t="str"/>
      <x:c r="N363" s="44" t="str">
        <x:f>IF(M363="","OPEN",IF(OR(K363="",L363=""),"FAIL","PASS"))</x:f>
        <x:v>OPEN</x:v>
      </x:c>
    </x:row>
    <x:row r="364" ht="36" customHeight="1">
      <x:c r="B364" s="44" t="str">
        <x:v>RAC-TR-0358</x:v>
      </x:c>
      <x:c r="C364" s="44" t="str">
        <x:v>REA-D-C</x:v>
      </x:c>
      <x:c r="D364" s="44" t="str">
        <x:v>DESTRUCTIVE</x:v>
      </x:c>
      <x:c r="E364" s="44" t="str">
        <x:v>BL-Y</x:v>
      </x:c>
      <x:c r="F364" s="44" t="str">
        <x:v>measurement frame</x:v>
      </x:c>
      <x:c r="G364" s="44" t="str">
        <x:v>RAC-S4</x:v>
      </x:c>
      <x:c r="H364" s="44" t="str">
        <x:v>RAC-LOT-052</x:v>
      </x:c>
      <x:c r="I364" s="44" t="str">
        <x:v>BL-Y-PR-02</x:v>
      </x:c>
      <x:c r="J364" s="44" t="str">
        <x:v>section 17 release</x:v>
      </x:c>
      <x:c r="K364" s="45" t="str"/>
      <x:c r="L364" s="44" t="str"/>
      <x:c r="M364" s="44" t="str"/>
      <x:c r="N364" s="44" t="str">
        <x:f>IF(M364="","OPEN",IF(OR(K364="",L364=""),"FAIL","PASS"))</x:f>
        <x:v>OPEN</x:v>
      </x:c>
    </x:row>
    <x:row r="365" ht="36" customHeight="1">
      <x:c r="B365" s="44" t="str">
        <x:v>RAC-TR-0359</x:v>
      </x:c>
      <x:c r="C365" s="44" t="str">
        <x:v>REA-D-C</x:v>
      </x:c>
      <x:c r="D365" s="44" t="str">
        <x:v>DESTRUCTIVE</x:v>
      </x:c>
      <x:c r="E365" s="44" t="str">
        <x:v>BL-Y</x:v>
      </x:c>
      <x:c r="F365" s="44" t="str">
        <x:v>causal time and evidence</x:v>
      </x:c>
      <x:c r="G365" s="44" t="str">
        <x:v>RAC-S6</x:v>
      </x:c>
      <x:c r="H365" s="44" t="str">
        <x:v>RAC-LOT-055</x:v>
      </x:c>
      <x:c r="I365" s="44" t="str">
        <x:v>BL-Y-PR-03</x:v>
      </x:c>
      <x:c r="J365" s="44" t="str">
        <x:v>section 18 release</x:v>
      </x:c>
      <x:c r="K365" s="45" t="str"/>
      <x:c r="L365" s="44" t="str"/>
      <x:c r="M365" s="44" t="str"/>
      <x:c r="N365" s="44" t="str">
        <x:f>IF(M365="","OPEN",IF(OR(K365="",L365=""),"FAIL","PASS"))</x:f>
        <x:v>OPEN</x:v>
      </x:c>
    </x:row>
    <x:row r="366" ht="36" customHeight="1">
      <x:c r="B366" s="44" t="str">
        <x:v>RAC-TR-0360</x:v>
      </x:c>
      <x:c r="C366" s="44" t="str">
        <x:v>REA-D-C</x:v>
      </x:c>
      <x:c r="D366" s="44" t="str">
        <x:v>DESTRUCTIVE</x:v>
      </x:c>
      <x:c r="E366" s="44" t="str">
        <x:v>BL-Y</x:v>
      </x:c>
      <x:c r="F366" s="44" t="str">
        <x:v>rescue and environmental access</x:v>
      </x:c>
      <x:c r="G366" s="44" t="str">
        <x:v>RAC-S6</x:v>
      </x:c>
      <x:c r="H366" s="44" t="str">
        <x:v>RAC-LOT-058</x:v>
      </x:c>
      <x:c r="I366" s="44" t="str">
        <x:v>BL-Y-PR-04</x:v>
      </x:c>
      <x:c r="J366" s="44" t="str">
        <x:v>section 19 release</x:v>
      </x:c>
      <x:c r="K366" s="45" t="str"/>
      <x:c r="L366" s="44" t="str"/>
      <x:c r="M366" s="44" t="str"/>
      <x:c r="N366" s="44" t="str">
        <x:f>IF(M366="","OPEN",IF(OR(K366="",L366=""),"FAIL","PASS"))</x:f>
        <x:v>OPEN</x:v>
      </x:c>
    </x:row>
  </x:sheetData>
  <x:conditionalFormatting sqref="N7:N366">
    <x:cfRule type="containsText" dxfId="35" priority="1" operator="containsText" text="FAIL"/>
    <x:cfRule type="containsText" dxfId="36" priority="2" operator="containsText" text="BLOCKED"/>
    <x:cfRule type="containsText" dxfId="37" priority="3" operator="containsText" text="OPEN"/>
    <x:cfRule type="containsText" dxfId="38" priority="4" operator="containsText" text="PASS"/>
    <x:cfRule type="containsText" dxfId="39" priority="5" operator="containsText" text="PLANN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30" hidden="0" customWidth="1"/>
    <x:col min="5" max="5" width="16" hidden="0" customWidth="1"/>
    <x:col min="6" max="6" width="33" hidden="0" customWidth="1"/>
    <x:col min="7" max="7" width="16" hidden="0" customWidth="1"/>
    <x:col min="8" max="8" width="15" hidden="0" customWidth="1"/>
    <x:col min="9" max="9" width="17" hidden="0" customWidth="1"/>
    <x:col min="10" max="10" width="58" hidden="0" customWidth="1"/>
    <x:col min="11" max="11" width="39" hidden="0" customWidth="1"/>
    <x:col min="12" max="12" width="20" hidden="0" customWidth="1"/>
    <x:col min="13" max="13" width="14" hidden="0" customWidth="1"/>
  </x:cols>
  <x:sheetData>
    <x:row r="2">
      <x:c r="B2" s="41" t="str">
        <x:v>Twenty-four lineage joint families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B3" s="43" t="str">
        <x:v>Pressure and retention values are family minima. Each physical joint keeps its own serial and process record.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</x:row>
    <x:row r="6" ht="25" customHeight="1">
      <x:c r="B6" s="6" t="str">
        <x:v>Joint</x:v>
      </x:c>
      <x:c r="C6" s="6" t="str">
        <x:v>Lineage</x:v>
      </x:c>
      <x:c r="D6" s="6" t="str">
        <x:v>Function</x:v>
      </x:c>
      <x:c r="E6" s="6" t="str">
        <x:v>Count/article</x:v>
      </x:c>
      <x:c r="F6" s="6" t="str">
        <x:v>Mechanism</x:v>
      </x:c>
      <x:c r="G6" s="6" t="str">
        <x:v>Design MPa</x:v>
      </x:c>
      <x:c r="H6" s="6" t="str">
        <x:v>Proof MPa</x:v>
      </x:c>
      <x:c r="I6" s="6" t="str">
        <x:v>Retention kN</x:v>
      </x:c>
      <x:c r="J6" s="6" t="str">
        <x:v>In-process evidence</x:v>
      </x:c>
      <x:c r="K6" s="6" t="str">
        <x:v>Terminal evidence</x:v>
      </x:c>
      <x:c r="L6" s="6" t="str">
        <x:v>Accepted UTC</x:v>
      </x:c>
      <x:c r="M6" s="6" t="str">
        <x:v>State</x:v>
      </x:c>
    </x:row>
    <x:row r="7" ht="40" customHeight="1">
      <x:c r="B7" s="44" t="str">
        <x:v>BL-X-J01</x:v>
      </x:c>
      <x:c r="C7" s="44" t="str">
        <x:v>BL-X</x:v>
      </x:c>
      <x:c r="D7" s="44" t="str">
        <x:v>segment joint</x:v>
      </x:c>
      <x:c r="E7" s="44" t="n">
        <x:v>5</x:v>
      </x:c>
      <x:c r="F7" s="44" t="str">
        <x:v>fused or welded</x:v>
      </x:c>
      <x:c r="G7" s="44" t="n">
        <x:v>2</x:v>
      </x:c>
      <x:c r="H7" s="44" t="n">
        <x:v>3</x:v>
      </x:c>
      <x:c r="I7" s="44" t="n">
        <x:v>15</x:v>
      </x:c>
      <x:c r="J7" s="45" t="str">
        <x:v>volumetric or surface NDE plus internal map</x:v>
      </x:c>
      <x:c r="K7" s="45" t="str">
        <x:v>destructive section or seal teardown</x:v>
      </x:c>
      <x:c r="L7" s="44" t="str"/>
      <x:c r="M7" s="44" t="str">
        <x:f>IF(L7="","OPEN","PASS")</x:f>
        <x:v>OPEN</x:v>
      </x:c>
    </x:row>
    <x:row r="8" ht="40" customHeight="1">
      <x:c r="B8" s="44" t="str">
        <x:v>BL-X-J02</x:v>
      </x:c>
      <x:c r="C8" s="44" t="str">
        <x:v>BL-X</x:v>
      </x:c>
      <x:c r="D8" s="44" t="str">
        <x:v>upstream end collar</x:v>
      </x:c>
      <x:c r="E8" s="44" t="n">
        <x:v>1</x:v>
      </x:c>
      <x:c r="F8" s="44" t="str">
        <x:v>fused or welded</x:v>
      </x:c>
      <x:c r="G8" s="44" t="n">
        <x:v>2</x:v>
      </x:c>
      <x:c r="H8" s="44" t="n">
        <x:v>3</x:v>
      </x:c>
      <x:c r="I8" s="44" t="n">
        <x:v>8</x:v>
      </x:c>
      <x:c r="J8" s="45" t="str">
        <x:v>volumetric or surface NDE plus internal map</x:v>
      </x:c>
      <x:c r="K8" s="45" t="str">
        <x:v>accessible teardown</x:v>
      </x:c>
      <x:c r="L8" s="44" t="str"/>
      <x:c r="M8" s="44" t="str">
        <x:f>IF(L8="","OPEN","PASS")</x:f>
        <x:v>OPEN</x:v>
      </x:c>
    </x:row>
    <x:row r="9" ht="40" customHeight="1">
      <x:c r="B9" s="44" t="str">
        <x:v>BL-X-J03</x:v>
      </x:c>
      <x:c r="C9" s="44" t="str">
        <x:v>BL-X</x:v>
      </x:c>
      <x:c r="D9" s="44" t="str">
        <x:v>downstream end collar</x:v>
      </x:c>
      <x:c r="E9" s="44" t="n">
        <x:v>1</x:v>
      </x:c>
      <x:c r="F9" s="44" t="str">
        <x:v>fused or welded</x:v>
      </x:c>
      <x:c r="G9" s="44" t="n">
        <x:v>2</x:v>
      </x:c>
      <x:c r="H9" s="44" t="n">
        <x:v>3</x:v>
      </x:c>
      <x:c r="I9" s="44" t="n">
        <x:v>8</x:v>
      </x:c>
      <x:c r="J9" s="45" t="str">
        <x:v>volumetric or surface NDE plus internal map</x:v>
      </x:c>
      <x:c r="K9" s="45" t="str">
        <x:v>accessible teardown</x:v>
      </x:c>
      <x:c r="L9" s="44" t="str"/>
      <x:c r="M9" s="44" t="str">
        <x:f>IF(L9="","OPEN","PASS")</x:f>
        <x:v>OPEN</x:v>
      </x:c>
    </x:row>
    <x:row r="10" ht="40" customHeight="1">
      <x:c r="B10" s="44" t="str">
        <x:v>BL-X-J04</x:v>
      </x:c>
      <x:c r="C10" s="44" t="str">
        <x:v>BL-X</x:v>
      </x:c>
      <x:c r="D10" s="44" t="str">
        <x:v>instrument boss</x:v>
      </x:c>
      <x:c r="E10" s="44" t="n">
        <x:v>1</x:v>
      </x:c>
      <x:c r="F10" s="44" t="str">
        <x:v>fused or welded</x:v>
      </x:c>
      <x:c r="G10" s="44" t="n">
        <x:v>2</x:v>
      </x:c>
      <x:c r="H10" s="44" t="n">
        <x:v>3</x:v>
      </x:c>
      <x:c r="I10" s="44" t="n">
        <x:v>8</x:v>
      </x:c>
      <x:c r="J10" s="45" t="str">
        <x:v>volumetric or surface NDE plus internal map</x:v>
      </x:c>
      <x:c r="K10" s="45" t="str">
        <x:v>accessible teardown</x:v>
      </x:c>
      <x:c r="L10" s="44" t="str"/>
      <x:c r="M10" s="44" t="str">
        <x:f>IF(L10="","OPEN","PASS")</x:f>
        <x:v>OPEN</x:v>
      </x:c>
    </x:row>
    <x:row r="11" ht="40" customHeight="1">
      <x:c r="B11" s="44" t="str">
        <x:v>BL-X-J05</x:v>
      </x:c>
      <x:c r="C11" s="44" t="str">
        <x:v>BL-X</x:v>
      </x:c>
      <x:c r="D11" s="44" t="str">
        <x:v>drain branch</x:v>
      </x:c>
      <x:c r="E11" s="44" t="n">
        <x:v>1</x:v>
      </x:c>
      <x:c r="F11" s="44" t="str">
        <x:v>fused or welded</x:v>
      </x:c>
      <x:c r="G11" s="44" t="n">
        <x:v>2</x:v>
      </x:c>
      <x:c r="H11" s="44" t="n">
        <x:v>3</x:v>
      </x:c>
      <x:c r="I11" s="44" t="n">
        <x:v>8</x:v>
      </x:c>
      <x:c r="J11" s="45" t="str">
        <x:v>volumetric or surface NDE plus internal map</x:v>
      </x:c>
      <x:c r="K11" s="45" t="str">
        <x:v>accessible teardown</x:v>
      </x:c>
      <x:c r="L11" s="44" t="str"/>
      <x:c r="M11" s="44" t="str">
        <x:f>IF(L11="","OPEN","PASS")</x:f>
        <x:v>OPEN</x:v>
      </x:c>
    </x:row>
    <x:row r="12" ht="40" customHeight="1">
      <x:c r="B12" s="44" t="str">
        <x:v>BL-X-J06</x:v>
      </x:c>
      <x:c r="C12" s="44" t="str">
        <x:v>BL-X</x:v>
      </x:c>
      <x:c r="D12" s="44" t="str">
        <x:v>fill branch</x:v>
      </x:c>
      <x:c r="E12" s="44" t="n">
        <x:v>1</x:v>
      </x:c>
      <x:c r="F12" s="44" t="str">
        <x:v>fused or welded</x:v>
      </x:c>
      <x:c r="G12" s="44" t="n">
        <x:v>2</x:v>
      </x:c>
      <x:c r="H12" s="44" t="n">
        <x:v>3</x:v>
      </x:c>
      <x:c r="I12" s="44" t="n">
        <x:v>8</x:v>
      </x:c>
      <x:c r="J12" s="45" t="str">
        <x:v>volumetric or surface NDE plus internal map</x:v>
      </x:c>
      <x:c r="K12" s="45" t="str">
        <x:v>accessible teardown</x:v>
      </x:c>
      <x:c r="L12" s="44" t="str"/>
      <x:c r="M12" s="44" t="str">
        <x:f>IF(L12="","OPEN","PASS")</x:f>
        <x:v>OPEN</x:v>
      </x:c>
    </x:row>
    <x:row r="13" ht="40" customHeight="1">
      <x:c r="B13" s="44" t="str">
        <x:v>BL-X-J07</x:v>
      </x:c>
      <x:c r="C13" s="44" t="str">
        <x:v>BL-X</x:v>
      </x:c>
      <x:c r="D13" s="44" t="str">
        <x:v>source-inlet boundary</x:v>
      </x:c>
      <x:c r="E13" s="44" t="n">
        <x:v>1</x:v>
      </x:c>
      <x:c r="F13" s="44" t="str">
        <x:v>fused or welded</x:v>
      </x:c>
      <x:c r="G13" s="44" t="n">
        <x:v>2</x:v>
      </x:c>
      <x:c r="H13" s="44" t="n">
        <x:v>3</x:v>
      </x:c>
      <x:c r="I13" s="44" t="n">
        <x:v>8</x:v>
      </x:c>
      <x:c r="J13" s="45" t="str">
        <x:v>volumetric or surface NDE plus internal map</x:v>
      </x:c>
      <x:c r="K13" s="45" t="str">
        <x:v>accessible teardown</x:v>
      </x:c>
      <x:c r="L13" s="44" t="str"/>
      <x:c r="M13" s="44" t="str">
        <x:f>IF(L13="","OPEN","PASS")</x:f>
        <x:v>OPEN</x:v>
      </x:c>
    </x:row>
    <x:row r="14" ht="40" customHeight="1">
      <x:c r="B14" s="44" t="str">
        <x:v>BL-X-J08</x:v>
      </x:c>
      <x:c r="C14" s="44" t="str">
        <x:v>BL-X</x:v>
      </x:c>
      <x:c r="D14" s="44" t="str">
        <x:v>dispenser boundary</x:v>
      </x:c>
      <x:c r="E14" s="44" t="n">
        <x:v>1</x:v>
      </x:c>
      <x:c r="F14" s="44" t="str">
        <x:v>fused or welded</x:v>
      </x:c>
      <x:c r="G14" s="44" t="n">
        <x:v>2</x:v>
      </x:c>
      <x:c r="H14" s="44" t="n">
        <x:v>3</x:v>
      </x:c>
      <x:c r="I14" s="44" t="n">
        <x:v>8</x:v>
      </x:c>
      <x:c r="J14" s="45" t="str">
        <x:v>volumetric or surface NDE plus internal map</x:v>
      </x:c>
      <x:c r="K14" s="45" t="str">
        <x:v>accessible teardown</x:v>
      </x:c>
      <x:c r="L14" s="44" t="str"/>
      <x:c r="M14" s="44" t="str">
        <x:f>IF(L14="","OPEN","PASS")</x:f>
        <x:v>OPEN</x:v>
      </x:c>
    </x:row>
    <x:row r="15" ht="40" customHeight="1">
      <x:c r="B15" s="44" t="str">
        <x:v>BL-X-J09</x:v>
      </x:c>
      <x:c r="C15" s="44" t="str">
        <x:v>BL-X</x:v>
      </x:c>
      <x:c r="D15" s="44" t="str">
        <x:v>normal-receiver boundary</x:v>
      </x:c>
      <x:c r="E15" s="44" t="n">
        <x:v>1</x:v>
      </x:c>
      <x:c r="F15" s="44" t="str">
        <x:v>fused or welded</x:v>
      </x:c>
      <x:c r="G15" s="44" t="n">
        <x:v>2</x:v>
      </x:c>
      <x:c r="H15" s="44" t="n">
        <x:v>3</x:v>
      </x:c>
      <x:c r="I15" s="44" t="n">
        <x:v>8</x:v>
      </x:c>
      <x:c r="J15" s="45" t="str">
        <x:v>volumetric or surface NDE plus internal map</x:v>
      </x:c>
      <x:c r="K15" s="45" t="str">
        <x:v>accessible teardown</x:v>
      </x:c>
      <x:c r="L15" s="44" t="str"/>
      <x:c r="M15" s="44" t="str">
        <x:f>IF(L15="","OPEN","PASS")</x:f>
        <x:v>OPEN</x:v>
      </x:c>
    </x:row>
    <x:row r="16" ht="40" customHeight="1">
      <x:c r="B16" s="44" t="str">
        <x:v>BL-X-J10</x:v>
      </x:c>
      <x:c r="C16" s="44" t="str">
        <x:v>BL-X</x:v>
      </x:c>
      <x:c r="D16" s="44" t="str">
        <x:v>casualty-receiver boundary</x:v>
      </x:c>
      <x:c r="E16" s="44" t="n">
        <x:v>1</x:v>
      </x:c>
      <x:c r="F16" s="44" t="str">
        <x:v>fused or welded</x:v>
      </x:c>
      <x:c r="G16" s="44" t="n">
        <x:v>2</x:v>
      </x:c>
      <x:c r="H16" s="44" t="n">
        <x:v>3</x:v>
      </x:c>
      <x:c r="I16" s="44" t="n">
        <x:v>8</x:v>
      </x:c>
      <x:c r="J16" s="45" t="str">
        <x:v>volumetric or surface NDE plus internal map</x:v>
      </x:c>
      <x:c r="K16" s="45" t="str">
        <x:v>accessible teardown</x:v>
      </x:c>
      <x:c r="L16" s="44" t="str"/>
      <x:c r="M16" s="44" t="str">
        <x:f>IF(L16="","OPEN","PASS")</x:f>
        <x:v>OPEN</x:v>
      </x:c>
    </x:row>
    <x:row r="17" ht="40" customHeight="1">
      <x:c r="B17" s="44" t="str">
        <x:v>BL-X-J11</x:v>
      </x:c>
      <x:c r="C17" s="44" t="str">
        <x:v>BL-X</x:v>
      </x:c>
      <x:c r="D17" s="44" t="str">
        <x:v>water boundary</x:v>
      </x:c>
      <x:c r="E17" s="44" t="n">
        <x:v>1</x:v>
      </x:c>
      <x:c r="F17" s="44" t="str">
        <x:v>fused or welded</x:v>
      </x:c>
      <x:c r="G17" s="44" t="n">
        <x:v>2</x:v>
      </x:c>
      <x:c r="H17" s="44" t="n">
        <x:v>3</x:v>
      </x:c>
      <x:c r="I17" s="44" t="n">
        <x:v>8</x:v>
      </x:c>
      <x:c r="J17" s="45" t="str">
        <x:v>volumetric or surface NDE plus internal map</x:v>
      </x:c>
      <x:c r="K17" s="45" t="str">
        <x:v>accessible teardown</x:v>
      </x:c>
      <x:c r="L17" s="44" t="str"/>
      <x:c r="M17" s="44" t="str">
        <x:f>IF(L17="","OPEN","PASS")</x:f>
        <x:v>OPEN</x:v>
      </x:c>
    </x:row>
    <x:row r="18" ht="40" customHeight="1">
      <x:c r="B18" s="44" t="str">
        <x:v>BL-X-J12</x:v>
      </x:c>
      <x:c r="C18" s="44" t="str">
        <x:v>BL-X</x:v>
      </x:c>
      <x:c r="D18" s="44" t="str">
        <x:v>evidence-boundary penetration</x:v>
      </x:c>
      <x:c r="E18" s="44" t="n">
        <x:v>1</x:v>
      </x:c>
      <x:c r="F18" s="44" t="str">
        <x:v>fused or welded</x:v>
      </x:c>
      <x:c r="G18" s="44" t="n">
        <x:v>0</x:v>
      </x:c>
      <x:c r="H18" s="44" t="n">
        <x:v>0</x:v>
      </x:c>
      <x:c r="I18" s="44" t="n">
        <x:v>8</x:v>
      </x:c>
      <x:c r="J18" s="45" t="str">
        <x:v>volumetric or surface NDE plus internal map</x:v>
      </x:c>
      <x:c r="K18" s="45" t="str">
        <x:v>accessible teardown</x:v>
      </x:c>
      <x:c r="L18" s="44" t="str"/>
      <x:c r="M18" s="44" t="str">
        <x:f>IF(L18="","OPEN","PASS")</x:f>
        <x:v>OPEN</x:v>
      </x:c>
    </x:row>
    <x:row r="19" ht="40" customHeight="1">
      <x:c r="B19" s="44" t="str">
        <x:v>BL-Y-J01</x:v>
      </x:c>
      <x:c r="C19" s="44" t="str">
        <x:v>BL-Y</x:v>
      </x:c>
      <x:c r="D19" s="44" t="str">
        <x:v>segment joint</x:v>
      </x:c>
      <x:c r="E19" s="44" t="n">
        <x:v>5</x:v>
      </x:c>
      <x:c r="F19" s="44" t="str">
        <x:v>keyed clamp, bolted or isolated insert</x:v>
      </x:c>
      <x:c r="G19" s="44" t="n">
        <x:v>2</x:v>
      </x:c>
      <x:c r="H19" s="44" t="n">
        <x:v>3</x:v>
      </x:c>
      <x:c r="I19" s="44" t="n">
        <x:v>15</x:v>
      </x:c>
      <x:c r="J19" s="45" t="str">
        <x:v>preload map, interspace leak and bore step map</x:v>
      </x:c>
      <x:c r="K19" s="45" t="str">
        <x:v>destructive section or seal teardown</x:v>
      </x:c>
      <x:c r="L19" s="44" t="str"/>
      <x:c r="M19" s="44" t="str">
        <x:f>IF(L19="","OPEN","PASS")</x:f>
        <x:v>OPEN</x:v>
      </x:c>
    </x:row>
    <x:row r="20" ht="40" customHeight="1">
      <x:c r="B20" s="44" t="str">
        <x:v>BL-Y-J02</x:v>
      </x:c>
      <x:c r="C20" s="44" t="str">
        <x:v>BL-Y</x:v>
      </x:c>
      <x:c r="D20" s="44" t="str">
        <x:v>upstream end collar</x:v>
      </x:c>
      <x:c r="E20" s="44" t="n">
        <x:v>1</x:v>
      </x:c>
      <x:c r="F20" s="44" t="str">
        <x:v>keyed clamp, bolted or isolated insert</x:v>
      </x:c>
      <x:c r="G20" s="44" t="n">
        <x:v>2</x:v>
      </x:c>
      <x:c r="H20" s="44" t="n">
        <x:v>3</x:v>
      </x:c>
      <x:c r="I20" s="44" t="n">
        <x:v>8</x:v>
      </x:c>
      <x:c r="J20" s="45" t="str">
        <x:v>preload map, interspace leak and bore step map</x:v>
      </x:c>
      <x:c r="K20" s="45" t="str">
        <x:v>accessible teardown</x:v>
      </x:c>
      <x:c r="L20" s="44" t="str"/>
      <x:c r="M20" s="44" t="str">
        <x:f>IF(L20="","OPEN","PASS")</x:f>
        <x:v>OPEN</x:v>
      </x:c>
    </x:row>
    <x:row r="21" ht="40" customHeight="1">
      <x:c r="B21" s="44" t="str">
        <x:v>BL-Y-J03</x:v>
      </x:c>
      <x:c r="C21" s="44" t="str">
        <x:v>BL-Y</x:v>
      </x:c>
      <x:c r="D21" s="44" t="str">
        <x:v>downstream end collar</x:v>
      </x:c>
      <x:c r="E21" s="44" t="n">
        <x:v>1</x:v>
      </x:c>
      <x:c r="F21" s="44" t="str">
        <x:v>keyed clamp, bolted or isolated insert</x:v>
      </x:c>
      <x:c r="G21" s="44" t="n">
        <x:v>2</x:v>
      </x:c>
      <x:c r="H21" s="44" t="n">
        <x:v>3</x:v>
      </x:c>
      <x:c r="I21" s="44" t="n">
        <x:v>8</x:v>
      </x:c>
      <x:c r="J21" s="45" t="str">
        <x:v>preload map, interspace leak and bore step map</x:v>
      </x:c>
      <x:c r="K21" s="45" t="str">
        <x:v>accessible teardown</x:v>
      </x:c>
      <x:c r="L21" s="44" t="str"/>
      <x:c r="M21" s="44" t="str">
        <x:f>IF(L21="","OPEN","PASS")</x:f>
        <x:v>OPEN</x:v>
      </x:c>
    </x:row>
    <x:row r="22" ht="40" customHeight="1">
      <x:c r="B22" s="44" t="str">
        <x:v>BL-Y-J04</x:v>
      </x:c>
      <x:c r="C22" s="44" t="str">
        <x:v>BL-Y</x:v>
      </x:c>
      <x:c r="D22" s="44" t="str">
        <x:v>instrument boss</x:v>
      </x:c>
      <x:c r="E22" s="44" t="n">
        <x:v>1</x:v>
      </x:c>
      <x:c r="F22" s="44" t="str">
        <x:v>keyed clamp, bolted or isolated insert</x:v>
      </x:c>
      <x:c r="G22" s="44" t="n">
        <x:v>2</x:v>
      </x:c>
      <x:c r="H22" s="44" t="n">
        <x:v>3</x:v>
      </x:c>
      <x:c r="I22" s="44" t="n">
        <x:v>8</x:v>
      </x:c>
      <x:c r="J22" s="45" t="str">
        <x:v>preload map, interspace leak and bore step map</x:v>
      </x:c>
      <x:c r="K22" s="45" t="str">
        <x:v>accessible teardown</x:v>
      </x:c>
      <x:c r="L22" s="44" t="str"/>
      <x:c r="M22" s="44" t="str">
        <x:f>IF(L22="","OPEN","PASS")</x:f>
        <x:v>OPEN</x:v>
      </x:c>
    </x:row>
    <x:row r="23" ht="40" customHeight="1">
      <x:c r="B23" s="44" t="str">
        <x:v>BL-Y-J05</x:v>
      </x:c>
      <x:c r="C23" s="44" t="str">
        <x:v>BL-Y</x:v>
      </x:c>
      <x:c r="D23" s="44" t="str">
        <x:v>drain branch</x:v>
      </x:c>
      <x:c r="E23" s="44" t="n">
        <x:v>1</x:v>
      </x:c>
      <x:c r="F23" s="44" t="str">
        <x:v>keyed clamp, bolted or isolated insert</x:v>
      </x:c>
      <x:c r="G23" s="44" t="n">
        <x:v>2</x:v>
      </x:c>
      <x:c r="H23" s="44" t="n">
        <x:v>3</x:v>
      </x:c>
      <x:c r="I23" s="44" t="n">
        <x:v>8</x:v>
      </x:c>
      <x:c r="J23" s="45" t="str">
        <x:v>preload map, interspace leak and bore step map</x:v>
      </x:c>
      <x:c r="K23" s="45" t="str">
        <x:v>accessible teardown</x:v>
      </x:c>
      <x:c r="L23" s="44" t="str"/>
      <x:c r="M23" s="44" t="str">
        <x:f>IF(L23="","OPEN","PASS")</x:f>
        <x:v>OPEN</x:v>
      </x:c>
    </x:row>
    <x:row r="24" ht="40" customHeight="1">
      <x:c r="B24" s="44" t="str">
        <x:v>BL-Y-J06</x:v>
      </x:c>
      <x:c r="C24" s="44" t="str">
        <x:v>BL-Y</x:v>
      </x:c>
      <x:c r="D24" s="44" t="str">
        <x:v>fill branch</x:v>
      </x:c>
      <x:c r="E24" s="44" t="n">
        <x:v>1</x:v>
      </x:c>
      <x:c r="F24" s="44" t="str">
        <x:v>keyed clamp, bolted or isolated insert</x:v>
      </x:c>
      <x:c r="G24" s="44" t="n">
        <x:v>2</x:v>
      </x:c>
      <x:c r="H24" s="44" t="n">
        <x:v>3</x:v>
      </x:c>
      <x:c r="I24" s="44" t="n">
        <x:v>8</x:v>
      </x:c>
      <x:c r="J24" s="45" t="str">
        <x:v>preload map, interspace leak and bore step map</x:v>
      </x:c>
      <x:c r="K24" s="45" t="str">
        <x:v>accessible teardown</x:v>
      </x:c>
      <x:c r="L24" s="44" t="str"/>
      <x:c r="M24" s="44" t="str">
        <x:f>IF(L24="","OPEN","PASS")</x:f>
        <x:v>OPEN</x:v>
      </x:c>
    </x:row>
    <x:row r="25" ht="40" customHeight="1">
      <x:c r="B25" s="44" t="str">
        <x:v>BL-Y-J07</x:v>
      </x:c>
      <x:c r="C25" s="44" t="str">
        <x:v>BL-Y</x:v>
      </x:c>
      <x:c r="D25" s="44" t="str">
        <x:v>source-inlet boundary</x:v>
      </x:c>
      <x:c r="E25" s="44" t="n">
        <x:v>1</x:v>
      </x:c>
      <x:c r="F25" s="44" t="str">
        <x:v>keyed clamp, bolted or isolated insert</x:v>
      </x:c>
      <x:c r="G25" s="44" t="n">
        <x:v>2</x:v>
      </x:c>
      <x:c r="H25" s="44" t="n">
        <x:v>3</x:v>
      </x:c>
      <x:c r="I25" s="44" t="n">
        <x:v>8</x:v>
      </x:c>
      <x:c r="J25" s="45" t="str">
        <x:v>preload map, interspace leak and bore step map</x:v>
      </x:c>
      <x:c r="K25" s="45" t="str">
        <x:v>accessible teardown</x:v>
      </x:c>
      <x:c r="L25" s="44" t="str"/>
      <x:c r="M25" s="44" t="str">
        <x:f>IF(L25="","OPEN","PASS")</x:f>
        <x:v>OPEN</x:v>
      </x:c>
    </x:row>
    <x:row r="26" ht="40" customHeight="1">
      <x:c r="B26" s="44" t="str">
        <x:v>BL-Y-J08</x:v>
      </x:c>
      <x:c r="C26" s="44" t="str">
        <x:v>BL-Y</x:v>
      </x:c>
      <x:c r="D26" s="44" t="str">
        <x:v>dispenser boundary</x:v>
      </x:c>
      <x:c r="E26" s="44" t="n">
        <x:v>1</x:v>
      </x:c>
      <x:c r="F26" s="44" t="str">
        <x:v>keyed clamp, bolted or isolated insert</x:v>
      </x:c>
      <x:c r="G26" s="44" t="n">
        <x:v>2</x:v>
      </x:c>
      <x:c r="H26" s="44" t="n">
        <x:v>3</x:v>
      </x:c>
      <x:c r="I26" s="44" t="n">
        <x:v>8</x:v>
      </x:c>
      <x:c r="J26" s="45" t="str">
        <x:v>preload map, interspace leak and bore step map</x:v>
      </x:c>
      <x:c r="K26" s="45" t="str">
        <x:v>accessible teardown</x:v>
      </x:c>
      <x:c r="L26" s="44" t="str"/>
      <x:c r="M26" s="44" t="str">
        <x:f>IF(L26="","OPEN","PASS")</x:f>
        <x:v>OPEN</x:v>
      </x:c>
    </x:row>
    <x:row r="27" ht="40" customHeight="1">
      <x:c r="B27" s="44" t="str">
        <x:v>BL-Y-J09</x:v>
      </x:c>
      <x:c r="C27" s="44" t="str">
        <x:v>BL-Y</x:v>
      </x:c>
      <x:c r="D27" s="44" t="str">
        <x:v>normal-receiver boundary</x:v>
      </x:c>
      <x:c r="E27" s="44" t="n">
        <x:v>1</x:v>
      </x:c>
      <x:c r="F27" s="44" t="str">
        <x:v>keyed clamp, bolted or isolated insert</x:v>
      </x:c>
      <x:c r="G27" s="44" t="n">
        <x:v>2</x:v>
      </x:c>
      <x:c r="H27" s="44" t="n">
        <x:v>3</x:v>
      </x:c>
      <x:c r="I27" s="44" t="n">
        <x:v>8</x:v>
      </x:c>
      <x:c r="J27" s="45" t="str">
        <x:v>preload map, interspace leak and bore step map</x:v>
      </x:c>
      <x:c r="K27" s="45" t="str">
        <x:v>accessible teardown</x:v>
      </x:c>
      <x:c r="L27" s="44" t="str"/>
      <x:c r="M27" s="44" t="str">
        <x:f>IF(L27="","OPEN","PASS")</x:f>
        <x:v>OPEN</x:v>
      </x:c>
    </x:row>
    <x:row r="28" ht="40" customHeight="1">
      <x:c r="B28" s="44" t="str">
        <x:v>BL-Y-J10</x:v>
      </x:c>
      <x:c r="C28" s="44" t="str">
        <x:v>BL-Y</x:v>
      </x:c>
      <x:c r="D28" s="44" t="str">
        <x:v>casualty-receiver boundary</x:v>
      </x:c>
      <x:c r="E28" s="44" t="n">
        <x:v>1</x:v>
      </x:c>
      <x:c r="F28" s="44" t="str">
        <x:v>keyed clamp, bolted or isolated insert</x:v>
      </x:c>
      <x:c r="G28" s="44" t="n">
        <x:v>2</x:v>
      </x:c>
      <x:c r="H28" s="44" t="n">
        <x:v>3</x:v>
      </x:c>
      <x:c r="I28" s="44" t="n">
        <x:v>8</x:v>
      </x:c>
      <x:c r="J28" s="45" t="str">
        <x:v>preload map, interspace leak and bore step map</x:v>
      </x:c>
      <x:c r="K28" s="45" t="str">
        <x:v>accessible teardown</x:v>
      </x:c>
      <x:c r="L28" s="44" t="str"/>
      <x:c r="M28" s="44" t="str">
        <x:f>IF(L28="","OPEN","PASS")</x:f>
        <x:v>OPEN</x:v>
      </x:c>
    </x:row>
    <x:row r="29" ht="40" customHeight="1">
      <x:c r="B29" s="44" t="str">
        <x:v>BL-Y-J11</x:v>
      </x:c>
      <x:c r="C29" s="44" t="str">
        <x:v>BL-Y</x:v>
      </x:c>
      <x:c r="D29" s="44" t="str">
        <x:v>water boundary</x:v>
      </x:c>
      <x:c r="E29" s="44" t="n">
        <x:v>1</x:v>
      </x:c>
      <x:c r="F29" s="44" t="str">
        <x:v>keyed clamp, bolted or isolated insert</x:v>
      </x:c>
      <x:c r="G29" s="44" t="n">
        <x:v>2</x:v>
      </x:c>
      <x:c r="H29" s="44" t="n">
        <x:v>3</x:v>
      </x:c>
      <x:c r="I29" s="44" t="n">
        <x:v>8</x:v>
      </x:c>
      <x:c r="J29" s="45" t="str">
        <x:v>preload map, interspace leak and bore step map</x:v>
      </x:c>
      <x:c r="K29" s="45" t="str">
        <x:v>accessible teardown</x:v>
      </x:c>
      <x:c r="L29" s="44" t="str"/>
      <x:c r="M29" s="44" t="str">
        <x:f>IF(L29="","OPEN","PASS")</x:f>
        <x:v>OPEN</x:v>
      </x:c>
    </x:row>
    <x:row r="30" ht="40" customHeight="1">
      <x:c r="B30" s="44" t="str">
        <x:v>BL-Y-J12</x:v>
      </x:c>
      <x:c r="C30" s="44" t="str">
        <x:v>BL-Y</x:v>
      </x:c>
      <x:c r="D30" s="44" t="str">
        <x:v>evidence-boundary penetration</x:v>
      </x:c>
      <x:c r="E30" s="44" t="n">
        <x:v>1</x:v>
      </x:c>
      <x:c r="F30" s="44" t="str">
        <x:v>keyed clamp, bolted or isolated insert</x:v>
      </x:c>
      <x:c r="G30" s="44" t="n">
        <x:v>0</x:v>
      </x:c>
      <x:c r="H30" s="44" t="n">
        <x:v>0</x:v>
      </x:c>
      <x:c r="I30" s="44" t="n">
        <x:v>8</x:v>
      </x:c>
      <x:c r="J30" s="45" t="str">
        <x:v>preload map, interspace leak and bore step map</x:v>
      </x:c>
      <x:c r="K30" s="45" t="str">
        <x:v>accessible teardown</x:v>
      </x:c>
      <x:c r="L30" s="44" t="str"/>
      <x:c r="M30" s="44" t="str">
        <x:f>IF(L30="","OPEN","PASS")</x:f>
        <x:v>OPEN</x:v>
      </x:c>
    </x:row>
  </x:sheetData>
  <x:conditionalFormatting sqref="M7:M30">
    <x:cfRule type="containsText" dxfId="40" priority="1" operator="containsText" text="FAIL"/>
    <x:cfRule type="containsText" dxfId="41" priority="2" operator="containsText" text="BLOCKED"/>
    <x:cfRule type="containsText" dxfId="42" priority="3" operator="containsText" text="OPEN"/>
    <x:cfRule type="containsText" dxfId="43" priority="4" operator="containsText" text="PASS"/>
    <x:cfRule type="containsText" dxfId="44" priority="5" operator="containsText" text="PLANN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9" hidden="0" customWidth="1"/>
    <x:col min="5" max="5" width="19" hidden="0" customWidth="1"/>
    <x:col min="6" max="6" width="24" hidden="0" customWidth="1"/>
    <x:col min="7" max="7" width="24" hidden="0" customWidth="1"/>
    <x:col min="8" max="8" width="23" hidden="0" customWidth="1"/>
    <x:col min="9" max="9" width="21" hidden="0" customWidth="1"/>
    <x:col min="10" max="10" width="22" hidden="0" customWidth="1"/>
    <x:col min="11" max="11" width="20" hidden="0" customWidth="1"/>
    <x:col min="12" max="12" width="14" hidden="0" customWidth="1"/>
  </x:cols>
  <x:sheetData>
    <x:row r="2">
      <x:c r="B2" s="41" t="str">
        <x:v>Twelve segment surface records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B3" s="43" t="str">
        <x:v>Roughness, surrogate contact angle and drained residual are independent observations. Acceptance cannot infer one from another.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</x:row>
    <x:row r="6" ht="25" customHeight="1">
      <x:c r="B6" s="6" t="str">
        <x:v>Segment</x:v>
      </x:c>
      <x:c r="C6" s="6" t="str">
        <x:v>Lineage</x:v>
      </x:c>
      <x:c r="D6" s="6" t="str">
        <x:v>Ra ceiling um</x:v>
      </x:c>
      <x:c r="E6" s="6" t="str">
        <x:v>Observed Ra um</x:v>
      </x:c>
      <x:c r="F6" s="6" t="str">
        <x:v>Contact angle min deg</x:v>
      </x:c>
      <x:c r="G6" s="6" t="str">
        <x:v>Contact angle max deg</x:v>
      </x:c>
      <x:c r="H6" s="6" t="str">
        <x:v>Observed angle deg</x:v>
      </x:c>
      <x:c r="I6" s="6" t="str">
        <x:v>Residual ceiling kg</x:v>
      </x:c>
      <x:c r="J6" s="6" t="str">
        <x:v>Observed residual kg</x:v>
      </x:c>
      <x:c r="K6" s="6" t="str">
        <x:v>Accepted UTC</x:v>
      </x:c>
      <x:c r="L6" s="6" t="str">
        <x:v>State</x:v>
      </x:c>
    </x:row>
    <x:row r="7">
      <x:c r="B7" s="44" t="str">
        <x:v>BL-X-SEG-1</x:v>
      </x:c>
      <x:c r="C7" s="44" t="str">
        <x:v>BL-X</x:v>
      </x:c>
      <x:c r="D7" s="57" t="n">
        <x:v>0.8</x:v>
      </x:c>
      <x:c r="E7" s="57" t="str"/>
      <x:c r="F7" s="57" t="n">
        <x:v>50</x:v>
      </x:c>
      <x:c r="G7" s="57" t="n">
        <x:v>60</x:v>
      </x:c>
      <x:c r="H7" s="57" t="str"/>
      <x:c r="I7" s="57" t="n">
        <x:v>0.03333333333333333</x:v>
      </x:c>
      <x:c r="J7" s="57" t="str"/>
      <x:c r="K7" s="44" t="str"/>
      <x:c r="L7" s="44" t="str">
        <x:f>IF(K7="","OPEN",IF(OR(NOT(ISNUMBER(E7)),E7&gt;D7,NOT(ISNUMBER(H7)),H7&lt;F7,H7&gt;G7,NOT(ISNUMBER(J7)),J7&gt;I7),"FAIL","PASS"))</x:f>
        <x:v>OPEN</x:v>
      </x:c>
    </x:row>
    <x:row r="8">
      <x:c r="B8" s="44" t="str">
        <x:v>BL-X-SEG-2</x:v>
      </x:c>
      <x:c r="C8" s="44" t="str">
        <x:v>BL-X</x:v>
      </x:c>
      <x:c r="D8" s="57" t="n">
        <x:v>0.8</x:v>
      </x:c>
      <x:c r="E8" s="57" t="str"/>
      <x:c r="F8" s="57" t="n">
        <x:v>50</x:v>
      </x:c>
      <x:c r="G8" s="57" t="n">
        <x:v>60</x:v>
      </x:c>
      <x:c r="H8" s="57" t="str"/>
      <x:c r="I8" s="57" t="n">
        <x:v>0.03333333333333333</x:v>
      </x:c>
      <x:c r="J8" s="57" t="str"/>
      <x:c r="K8" s="44" t="str"/>
      <x:c r="L8" s="44" t="str">
        <x:f>IF(K8="","OPEN",IF(OR(NOT(ISNUMBER(E8)),E8&gt;D8,NOT(ISNUMBER(H8)),H8&lt;F8,H8&gt;G8,NOT(ISNUMBER(J8)),J8&gt;I8),"FAIL","PASS"))</x:f>
        <x:v>OPEN</x:v>
      </x:c>
    </x:row>
    <x:row r="9">
      <x:c r="B9" s="44" t="str">
        <x:v>BL-X-SEG-3</x:v>
      </x:c>
      <x:c r="C9" s="44" t="str">
        <x:v>BL-X</x:v>
      </x:c>
      <x:c r="D9" s="57" t="n">
        <x:v>0.8</x:v>
      </x:c>
      <x:c r="E9" s="57" t="str"/>
      <x:c r="F9" s="57" t="n">
        <x:v>50</x:v>
      </x:c>
      <x:c r="G9" s="57" t="n">
        <x:v>60</x:v>
      </x:c>
      <x:c r="H9" s="57" t="str"/>
      <x:c r="I9" s="57" t="n">
        <x:v>0.03333333333333333</x:v>
      </x:c>
      <x:c r="J9" s="57" t="str"/>
      <x:c r="K9" s="44" t="str"/>
      <x:c r="L9" s="44" t="str">
        <x:f>IF(K9="","OPEN",IF(OR(NOT(ISNUMBER(E9)),E9&gt;D9,NOT(ISNUMBER(H9)),H9&lt;F9,H9&gt;G9,NOT(ISNUMBER(J9)),J9&gt;I9),"FAIL","PASS"))</x:f>
        <x:v>OPEN</x:v>
      </x:c>
    </x:row>
    <x:row r="10">
      <x:c r="B10" s="44" t="str">
        <x:v>BL-X-SEG-4</x:v>
      </x:c>
      <x:c r="C10" s="44" t="str">
        <x:v>BL-X</x:v>
      </x:c>
      <x:c r="D10" s="57" t="n">
        <x:v>0.8</x:v>
      </x:c>
      <x:c r="E10" s="57" t="str"/>
      <x:c r="F10" s="57" t="n">
        <x:v>50</x:v>
      </x:c>
      <x:c r="G10" s="57" t="n">
        <x:v>60</x:v>
      </x:c>
      <x:c r="H10" s="57" t="str"/>
      <x:c r="I10" s="57" t="n">
        <x:v>0.03333333333333333</x:v>
      </x:c>
      <x:c r="J10" s="57" t="str"/>
      <x:c r="K10" s="44" t="str"/>
      <x:c r="L10" s="44" t="str">
        <x:f>IF(K10="","OPEN",IF(OR(NOT(ISNUMBER(E10)),E10&gt;D10,NOT(ISNUMBER(H10)),H10&lt;F10,H10&gt;G10,NOT(ISNUMBER(J10)),J10&gt;I10),"FAIL","PASS"))</x:f>
        <x:v>OPEN</x:v>
      </x:c>
    </x:row>
    <x:row r="11">
      <x:c r="B11" s="44" t="str">
        <x:v>BL-X-SEG-5</x:v>
      </x:c>
      <x:c r="C11" s="44" t="str">
        <x:v>BL-X</x:v>
      </x:c>
      <x:c r="D11" s="57" t="n">
        <x:v>0.8</x:v>
      </x:c>
      <x:c r="E11" s="57" t="str"/>
      <x:c r="F11" s="57" t="n">
        <x:v>50</x:v>
      </x:c>
      <x:c r="G11" s="57" t="n">
        <x:v>60</x:v>
      </x:c>
      <x:c r="H11" s="57" t="str"/>
      <x:c r="I11" s="57" t="n">
        <x:v>0.03333333333333333</x:v>
      </x:c>
      <x:c r="J11" s="57" t="str"/>
      <x:c r="K11" s="44" t="str"/>
      <x:c r="L11" s="44" t="str">
        <x:f>IF(K11="","OPEN",IF(OR(NOT(ISNUMBER(E11)),E11&gt;D11,NOT(ISNUMBER(H11)),H11&lt;F11,H11&gt;G11,NOT(ISNUMBER(J11)),J11&gt;I11),"FAIL","PASS"))</x:f>
        <x:v>OPEN</x:v>
      </x:c>
    </x:row>
    <x:row r="12">
      <x:c r="B12" s="44" t="str">
        <x:v>BL-X-SEG-6</x:v>
      </x:c>
      <x:c r="C12" s="44" t="str">
        <x:v>BL-X</x:v>
      </x:c>
      <x:c r="D12" s="57" t="n">
        <x:v>0.8</x:v>
      </x:c>
      <x:c r="E12" s="57" t="str"/>
      <x:c r="F12" s="57" t="n">
        <x:v>50</x:v>
      </x:c>
      <x:c r="G12" s="57" t="n">
        <x:v>60</x:v>
      </x:c>
      <x:c r="H12" s="57" t="str"/>
      <x:c r="I12" s="57" t="n">
        <x:v>0.03333333333333333</x:v>
      </x:c>
      <x:c r="J12" s="57" t="str"/>
      <x:c r="K12" s="44" t="str"/>
      <x:c r="L12" s="44" t="str">
        <x:f>IF(K12="","OPEN",IF(OR(NOT(ISNUMBER(E12)),E12&gt;D12,NOT(ISNUMBER(H12)),H12&lt;F12,H12&gt;G12,NOT(ISNUMBER(J12)),J12&gt;I12),"FAIL","PASS"))</x:f>
        <x:v>OPEN</x:v>
      </x:c>
    </x:row>
    <x:row r="13">
      <x:c r="B13" s="44" t="str">
        <x:v>BL-Y-SEG-1</x:v>
      </x:c>
      <x:c r="C13" s="44" t="str">
        <x:v>BL-Y</x:v>
      </x:c>
      <x:c r="D13" s="57" t="n">
        <x:v>0.8</x:v>
      </x:c>
      <x:c r="E13" s="57" t="str"/>
      <x:c r="F13" s="57" t="n">
        <x:v>50</x:v>
      </x:c>
      <x:c r="G13" s="57" t="n">
        <x:v>60</x:v>
      </x:c>
      <x:c r="H13" s="57" t="str"/>
      <x:c r="I13" s="57" t="n">
        <x:v>0.03333333333333333</x:v>
      </x:c>
      <x:c r="J13" s="57" t="str"/>
      <x:c r="K13" s="44" t="str"/>
      <x:c r="L13" s="44" t="str">
        <x:f>IF(K13="","OPEN",IF(OR(NOT(ISNUMBER(E13)),E13&gt;D13,NOT(ISNUMBER(H13)),H13&lt;F13,H13&gt;G13,NOT(ISNUMBER(J13)),J13&gt;I13),"FAIL","PASS"))</x:f>
        <x:v>OPEN</x:v>
      </x:c>
    </x:row>
    <x:row r="14">
      <x:c r="B14" s="44" t="str">
        <x:v>BL-Y-SEG-2</x:v>
      </x:c>
      <x:c r="C14" s="44" t="str">
        <x:v>BL-Y</x:v>
      </x:c>
      <x:c r="D14" s="57" t="n">
        <x:v>0.8</x:v>
      </x:c>
      <x:c r="E14" s="57" t="str"/>
      <x:c r="F14" s="57" t="n">
        <x:v>50</x:v>
      </x:c>
      <x:c r="G14" s="57" t="n">
        <x:v>60</x:v>
      </x:c>
      <x:c r="H14" s="57" t="str"/>
      <x:c r="I14" s="57" t="n">
        <x:v>0.03333333333333333</x:v>
      </x:c>
      <x:c r="J14" s="57" t="str"/>
      <x:c r="K14" s="44" t="str"/>
      <x:c r="L14" s="44" t="str">
        <x:f>IF(K14="","OPEN",IF(OR(NOT(ISNUMBER(E14)),E14&gt;D14,NOT(ISNUMBER(H14)),H14&lt;F14,H14&gt;G14,NOT(ISNUMBER(J14)),J14&gt;I14),"FAIL","PASS"))</x:f>
        <x:v>OPEN</x:v>
      </x:c>
    </x:row>
    <x:row r="15">
      <x:c r="B15" s="44" t="str">
        <x:v>BL-Y-SEG-3</x:v>
      </x:c>
      <x:c r="C15" s="44" t="str">
        <x:v>BL-Y</x:v>
      </x:c>
      <x:c r="D15" s="57" t="n">
        <x:v>0.8</x:v>
      </x:c>
      <x:c r="E15" s="57" t="str"/>
      <x:c r="F15" s="57" t="n">
        <x:v>50</x:v>
      </x:c>
      <x:c r="G15" s="57" t="n">
        <x:v>60</x:v>
      </x:c>
      <x:c r="H15" s="57" t="str"/>
      <x:c r="I15" s="57" t="n">
        <x:v>0.03333333333333333</x:v>
      </x:c>
      <x:c r="J15" s="57" t="str"/>
      <x:c r="K15" s="44" t="str"/>
      <x:c r="L15" s="44" t="str">
        <x:f>IF(K15="","OPEN",IF(OR(NOT(ISNUMBER(E15)),E15&gt;D15,NOT(ISNUMBER(H15)),H15&lt;F15,H15&gt;G15,NOT(ISNUMBER(J15)),J15&gt;I15),"FAIL","PASS"))</x:f>
        <x:v>OPEN</x:v>
      </x:c>
    </x:row>
    <x:row r="16">
      <x:c r="B16" s="44" t="str">
        <x:v>BL-Y-SEG-4</x:v>
      </x:c>
      <x:c r="C16" s="44" t="str">
        <x:v>BL-Y</x:v>
      </x:c>
      <x:c r="D16" s="57" t="n">
        <x:v>0.8</x:v>
      </x:c>
      <x:c r="E16" s="57" t="str"/>
      <x:c r="F16" s="57" t="n">
        <x:v>50</x:v>
      </x:c>
      <x:c r="G16" s="57" t="n">
        <x:v>60</x:v>
      </x:c>
      <x:c r="H16" s="57" t="str"/>
      <x:c r="I16" s="57" t="n">
        <x:v>0.03333333333333333</x:v>
      </x:c>
      <x:c r="J16" s="57" t="str"/>
      <x:c r="K16" s="44" t="str"/>
      <x:c r="L16" s="44" t="str">
        <x:f>IF(K16="","OPEN",IF(OR(NOT(ISNUMBER(E16)),E16&gt;D16,NOT(ISNUMBER(H16)),H16&lt;F16,H16&gt;G16,NOT(ISNUMBER(J16)),J16&gt;I16),"FAIL","PASS"))</x:f>
        <x:v>OPEN</x:v>
      </x:c>
    </x:row>
    <x:row r="17">
      <x:c r="B17" s="44" t="str">
        <x:v>BL-Y-SEG-5</x:v>
      </x:c>
      <x:c r="C17" s="44" t="str">
        <x:v>BL-Y</x:v>
      </x:c>
      <x:c r="D17" s="57" t="n">
        <x:v>0.8</x:v>
      </x:c>
      <x:c r="E17" s="57" t="str"/>
      <x:c r="F17" s="57" t="n">
        <x:v>50</x:v>
      </x:c>
      <x:c r="G17" s="57" t="n">
        <x:v>60</x:v>
      </x:c>
      <x:c r="H17" s="57" t="str"/>
      <x:c r="I17" s="57" t="n">
        <x:v>0.03333333333333333</x:v>
      </x:c>
      <x:c r="J17" s="57" t="str"/>
      <x:c r="K17" s="44" t="str"/>
      <x:c r="L17" s="44" t="str">
        <x:f>IF(K17="","OPEN",IF(OR(NOT(ISNUMBER(E17)),E17&gt;D17,NOT(ISNUMBER(H17)),H17&lt;F17,H17&gt;G17,NOT(ISNUMBER(J17)),J17&gt;I17),"FAIL","PASS"))</x:f>
        <x:v>OPEN</x:v>
      </x:c>
    </x:row>
    <x:row r="18">
      <x:c r="B18" s="44" t="str">
        <x:v>BL-Y-SEG-6</x:v>
      </x:c>
      <x:c r="C18" s="44" t="str">
        <x:v>BL-Y</x:v>
      </x:c>
      <x:c r="D18" s="57" t="n">
        <x:v>0.8</x:v>
      </x:c>
      <x:c r="E18" s="57" t="str"/>
      <x:c r="F18" s="57" t="n">
        <x:v>50</x:v>
      </x:c>
      <x:c r="G18" s="57" t="n">
        <x:v>60</x:v>
      </x:c>
      <x:c r="H18" s="57" t="str"/>
      <x:c r="I18" s="57" t="n">
        <x:v>0.03333333333333333</x:v>
      </x:c>
      <x:c r="J18" s="57" t="str"/>
      <x:c r="K18" s="44" t="str"/>
      <x:c r="L18" s="44" t="str">
        <x:f>IF(K18="","OPEN",IF(OR(NOT(ISNUMBER(E18)),E18&gt;D18,NOT(ISNUMBER(H18)),H18&lt;F18,H18&gt;G18,NOT(ISNUMBER(J18)),J18&gt;I18),"FAIL","PASS"))</x:f>
        <x:v>OPEN</x:v>
      </x:c>
    </x:row>
    <x:row r="19">
      <x:c r="B19" s="42"/>
      <x:c r="C19" s="42"/>
      <x:c r="D19" s="58"/>
      <x:c r="E19" s="58"/>
      <x:c r="F19" s="58"/>
      <x:c r="G19" s="58"/>
      <x:c r="H19" s="58"/>
      <x:c r="I19" s="58"/>
      <x:c r="J19" s="58"/>
      <x:c r="K19" s="42"/>
      <x:c r="L19" s="42"/>
    </x:row>
    <x:row r="20">
      <x:c r="B20" s="46" t="str">
        <x:v>ARTICLE TOTAL</x:v>
      </x:c>
      <x:c r="C20" s="47" t="str">
        <x:v>BL-X</x:v>
      </x:c>
      <x:c r="D20" s="59" t="str"/>
      <x:c r="E20" s="59" t="str"/>
      <x:c r="F20" s="59" t="str"/>
      <x:c r="G20" s="59" t="str"/>
      <x:c r="H20" s="59" t="str"/>
      <x:c r="I20" s="59" t="n">
        <x:v>0.2</x:v>
      </x:c>
      <x:c r="J20" s="59" t="n">
        <x:f>SUMIF(C7:C18,C20,J7:J18)</x:f>
        <x:v>0</x:v>
      </x:c>
      <x:c r="K20" s="47" t="str"/>
      <x:c r="L20" s="48" t="str">
        <x:f>IF(COUNTIFS(C7:C18,C20,L7:L18,"PASS")&lt;6,"OPEN",IF(J20&lt;=I20,"PASS","FAIL"))</x:f>
        <x:v>OPEN</x:v>
      </x:c>
    </x:row>
    <x:row r="21">
      <x:c r="B21" s="52" t="str">
        <x:v>ARTICLE TOTAL</x:v>
      </x:c>
      <x:c r="C21" s="53" t="str">
        <x:v>BL-Y</x:v>
      </x:c>
      <x:c r="D21" s="60" t="str"/>
      <x:c r="E21" s="60" t="str"/>
      <x:c r="F21" s="60" t="str"/>
      <x:c r="G21" s="60" t="str"/>
      <x:c r="H21" s="60" t="str"/>
      <x:c r="I21" s="60" t="n">
        <x:v>0.2</x:v>
      </x:c>
      <x:c r="J21" s="60" t="n">
        <x:f>SUMIF(C7:C18,C21,J7:J18)</x:f>
        <x:v>0</x:v>
      </x:c>
      <x:c r="K21" s="53" t="str"/>
      <x:c r="L21" s="54" t="str">
        <x:f>IF(COUNTIFS(C7:C18,C21,L7:L18,"PASS")&lt;6,"OPEN",IF(J21&lt;=I21,"PASS","FAIL"))</x:f>
        <x:v>OPEN</x:v>
      </x:c>
    </x:row>
  </x:sheetData>
  <x:conditionalFormatting sqref="L7:L18">
    <x:cfRule type="containsText" dxfId="45" priority="1" operator="containsText" text="FAIL"/>
    <x:cfRule type="containsText" dxfId="46" priority="2" operator="containsText" text="BLOCKED"/>
    <x:cfRule type="containsText" dxfId="47" priority="3" operator="containsText" text="OPEN"/>
    <x:cfRule type="containsText" dxfId="48" priority="4" operator="containsText" text="PASS"/>
    <x:cfRule type="containsText" dxfId="49" priority="5" operator="containsText" text="PLANNED"/>
  </x:conditionalFormatting>
  <x:conditionalFormatting sqref="L20:L21">
    <x:cfRule type="containsText" dxfId="50" priority="6" operator="containsText" text="FAIL"/>
    <x:cfRule type="containsText" dxfId="51" priority="7" operator="containsText" text="BLOCKED"/>
    <x:cfRule type="containsText" dxfId="52" priority="8" operator="containsText" text="OPEN"/>
    <x:cfRule type="containsText" dxfId="53" priority="9" operator="containsText" text="PASS"/>
    <x:cfRule type="containsText" dxfId="54" priority="10" operator="containsText" text="PLANNE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1" hidden="0" customWidth="1"/>
    <x:col min="3" max="3" width="19" hidden="0" customWidth="1"/>
    <x:col min="4" max="4" width="16" hidden="0" customWidth="1"/>
    <x:col min="5" max="5" width="17" hidden="0" customWidth="1"/>
    <x:col min="6" max="6" width="17" hidden="0" customWidth="1"/>
    <x:col min="7" max="7" width="16" hidden="0" customWidth="1"/>
    <x:col min="8" max="8" width="18" hidden="0" customWidth="1"/>
    <x:col min="9" max="9" width="16" hidden="0" customWidth="1"/>
    <x:col min="10" max="10" width="17" hidden="0" customWidth="1"/>
    <x:col min="11" max="11" width="17" hidden="0" customWidth="1"/>
    <x:col min="12" max="12" width="16" hidden="0" customWidth="1"/>
    <x:col min="13" max="13" width="16" hidden="0" customWidth="1"/>
    <x:col min="14" max="14" width="25" hidden="0" customWidth="1"/>
    <x:col min="15" max="15" width="17" hidden="0" customWidth="1"/>
    <x:col min="16" max="16" width="14" hidden="0" customWidth="1"/>
  </x:cols>
  <x:sheetData>
    <x:row r="2">
      <x:c r="B2" s="41" t="str">
        <x:v>Seven inert-surrogate hydraulic screens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</x:row>
    <x:row r="3">
      <x:c r="B3" s="43" t="str">
        <x:v>Darcy factors and wave speed are conservative planning inputs. Measured route behavior remains part of RAP-1.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</x:row>
    <x:row r="6" ht="25" customHeight="1">
      <x:c r="B6" s="6" t="str">
        <x:v>Case</x:v>
      </x:c>
      <x:c r="C6" s="6" t="str">
        <x:v>Mass rate kg/s</x:v>
      </x:c>
      <x:c r="D6" s="6" t="str">
        <x:v>Slope deg</x:v>
      </x:c>
      <x:c r="E6" s="6" t="str">
        <x:v>Darcy factor</x:v>
      </x:c>
      <x:c r="F6" s="6" t="str">
        <x:v>Flow m3/s</x:v>
      </x:c>
      <x:c r="G6" s="6" t="str">
        <x:v>Area m2</x:v>
      </x:c>
      <x:c r="H6" s="6" t="str">
        <x:v>Velocity m/s</x:v>
      </x:c>
      <x:c r="I6" s="6" t="str">
        <x:v>Reynolds</x:v>
      </x:c>
      <x:c r="J6" s="6" t="str">
        <x:v>Dynamic Pa</x:v>
      </x:c>
      <x:c r="K6" s="6" t="str">
        <x:v>Friction kPa</x:v>
      </x:c>
      <x:c r="L6" s="6" t="str">
        <x:v>Slope kPa</x:v>
      </x:c>
      <x:c r="M6" s="6" t="str">
        <x:v>Total kPa</x:v>
      </x:c>
      <x:c r="N6" s="6" t="str">
        <x:v>Instantaneous surge MPa</x:v>
      </x:c>
      <x:c r="O6" s="6" t="str">
        <x:v>Design MPa</x:v>
      </x:c>
      <x:c r="P6" s="6" t="str">
        <x:v>State</x:v>
      </x:c>
    </x:row>
    <x:row r="7">
      <x:c r="B7" s="44" t="str">
        <x:v>dry zero</x:v>
      </x:c>
      <x:c r="C7" s="61" t="n">
        <x:v>0</x:v>
      </x:c>
      <x:c r="D7" s="61" t="n">
        <x:v>0</x:v>
      </x:c>
      <x:c r="E7" s="61" t="n">
        <x:v>0.035</x:v>
      </x:c>
      <x:c r="F7" s="61" t="n">
        <x:f>C7/'Controls'!$D$31</x:f>
        <x:v>0</x:v>
      </x:c>
      <x:c r="G7" s="61" t="n">
        <x:f>PI()*'Controls'!$D$18^2/4</x:f>
        <x:v>0.0012566370614359172</x:v>
      </x:c>
      <x:c r="H7" s="61" t="n">
        <x:f>IF(G7=0,0,F7/G7)</x:f>
        <x:v>0</x:v>
      </x:c>
      <x:c r="I7" s="61" t="n">
        <x:f>'Controls'!$D$31*H7*'Controls'!$D$18/'Controls'!$D$32</x:f>
        <x:v>0</x:v>
      </x:c>
      <x:c r="J7" s="61" t="n">
        <x:f>.5*'Controls'!$D$31*H7^2</x:f>
        <x:v>0</x:v>
      </x:c>
      <x:c r="K7" s="61" t="n">
        <x:f>E7*('Controls'!$D$14/'Controls'!$D$18)*J7/1000</x:f>
        <x:v>0</x:v>
      </x:c>
      <x:c r="L7" s="61" t="n">
        <x:f>'Controls'!$D$31*'Controls'!$D$33*'Controls'!$D$14*SIN(D7*PI()/180)/1000</x:f>
        <x:v>0</x:v>
      </x:c>
      <x:c r="M7" s="61" t="n">
        <x:f>K7+ABS(L7)</x:f>
        <x:v>0</x:v>
      </x:c>
      <x:c r="N7" s="61" t="n">
        <x:f>'Controls'!$D$31*'Controls'!$D$38*H7/1000000</x:f>
        <x:v>0</x:v>
      </x:c>
      <x:c r="O7" s="61" t="n">
        <x:f>'Controls'!$D$41</x:f>
        <x:v>2</x:v>
      </x:c>
      <x:c r="P7" s="44" t="str">
        <x:f>IF(AND(N7&lt;=O7,M7/1000&lt;='Controls'!$D$40),"PASS","FAIL")</x:f>
        <x:v>PASS</x:v>
      </x:c>
    </x:row>
    <x:row r="8">
      <x:c r="B8" s="44" t="str">
        <x:v>static fill</x:v>
      </x:c>
      <x:c r="C8" s="61" t="n">
        <x:v>0</x:v>
      </x:c>
      <x:c r="D8" s="61" t="n">
        <x:v>0</x:v>
      </x:c>
      <x:c r="E8" s="61" t="n">
        <x:v>0.035</x:v>
      </x:c>
      <x:c r="F8" s="61" t="n">
        <x:f>C8/'Controls'!$D$31</x:f>
        <x:v>0</x:v>
      </x:c>
      <x:c r="G8" s="61" t="n">
        <x:f>PI()*'Controls'!$D$18^2/4</x:f>
        <x:v>0.0012566370614359172</x:v>
      </x:c>
      <x:c r="H8" s="61" t="n">
        <x:f>IF(G8=0,0,F8/G8)</x:f>
        <x:v>0</x:v>
      </x:c>
      <x:c r="I8" s="61" t="n">
        <x:f>'Controls'!$D$31*H8*'Controls'!$D$18/'Controls'!$D$32</x:f>
        <x:v>0</x:v>
      </x:c>
      <x:c r="J8" s="61" t="n">
        <x:f>.5*'Controls'!$D$31*H8^2</x:f>
        <x:v>0</x:v>
      </x:c>
      <x:c r="K8" s="61" t="n">
        <x:f>E8*('Controls'!$D$14/'Controls'!$D$18)*J8/1000</x:f>
        <x:v>0</x:v>
      </x:c>
      <x:c r="L8" s="61" t="n">
        <x:f>'Controls'!$D$31*'Controls'!$D$33*'Controls'!$D$14*SIN(D8*PI()/180)/1000</x:f>
        <x:v>0</x:v>
      </x:c>
      <x:c r="M8" s="61" t="n">
        <x:f>K8+ABS(L8)</x:f>
        <x:v>0</x:v>
      </x:c>
      <x:c r="N8" s="61" t="n">
        <x:f>'Controls'!$D$31*'Controls'!$D$38*H8/1000000</x:f>
        <x:v>0</x:v>
      </x:c>
      <x:c r="O8" s="61" t="n">
        <x:f>'Controls'!$D$41</x:f>
        <x:v>2</x:v>
      </x:c>
      <x:c r="P8" s="44" t="str">
        <x:f>IF(AND(N8&lt;=O8,M8/1000&lt;='Controls'!$D$40),"PASS","FAIL")</x:f>
        <x:v>PASS</x:v>
      </x:c>
    </x:row>
    <x:row r="9">
      <x:c r="B9" s="44" t="str">
        <x:v>nominal level</x:v>
      </x:c>
      <x:c r="C9" s="61" t="n">
        <x:v>0.8333333333333334</x:v>
      </x:c>
      <x:c r="D9" s="61" t="n">
        <x:v>0</x:v>
      </x:c>
      <x:c r="E9" s="61" t="n">
        <x:v>0.035</x:v>
      </x:c>
      <x:c r="F9" s="61" t="n">
        <x:f>C9/'Controls'!$D$31</x:f>
        <x:v>0.0010416666666666667</x:v>
      </x:c>
      <x:c r="G9" s="61" t="n">
        <x:f>PI()*'Controls'!$D$18^2/4</x:f>
        <x:v>0.0012566370614359172</x:v>
      </x:c>
      <x:c r="H9" s="61" t="n">
        <x:f>IF(G9=0,0,F9/G9)</x:f>
        <x:v>0.8289319952702883</x:v>
      </x:c>
      <x:c r="I9" s="61" t="n">
        <x:f>'Controls'!$D$31*H9*'Controls'!$D$18/'Controls'!$D$32</x:f>
        <x:v>6631.455962162306</x:v>
      </x:c>
      <x:c r="J9" s="61" t="n">
        <x:f>.5*'Controls'!$D$31*H9^2</x:f>
        <x:v>274.85130111311247</x:v>
      </x:c>
      <x:c r="K9" s="61" t="n">
        <x:f>E9*('Controls'!$D$14/'Controls'!$D$18)*J9/1000</x:f>
        <x:v>2.8859386616876814</x:v>
      </x:c>
      <x:c r="L9" s="61" t="n">
        <x:f>'Controls'!$D$31*'Controls'!$D$33*'Controls'!$D$14*SIN(D9*PI()/180)/1000</x:f>
        <x:v>0</x:v>
      </x:c>
      <x:c r="M9" s="61" t="n">
        <x:f>K9+ABS(L9)</x:f>
        <x:v>2.8859386616876814</x:v>
      </x:c>
      <x:c r="N9" s="61" t="n">
        <x:f>'Controls'!$D$31*'Controls'!$D$38*H9/1000000</x:f>
        <x:v>0.6631455962162307</x:v>
      </x:c>
      <x:c r="O9" s="61" t="n">
        <x:f>'Controls'!$D$41</x:f>
        <x:v>2</x:v>
      </x:c>
      <x:c r="P9" s="44" t="str">
        <x:f>IF(AND(N9&lt;=O9,M9/1000&lt;='Controls'!$D$40),"PASS","FAIL")</x:f>
        <x:v>PASS</x:v>
      </x:c>
    </x:row>
    <x:row r="10">
      <x:c r="B10" s="44" t="str">
        <x:v>nominal uphill</x:v>
      </x:c>
      <x:c r="C10" s="61" t="n">
        <x:v>0.8333333333333334</x:v>
      </x:c>
      <x:c r="D10" s="61" t="n">
        <x:v>2</x:v>
      </x:c>
      <x:c r="E10" s="61" t="n">
        <x:v>0.035</x:v>
      </x:c>
      <x:c r="F10" s="61" t="n">
        <x:f>C10/'Controls'!$D$31</x:f>
        <x:v>0.0010416666666666667</x:v>
      </x:c>
      <x:c r="G10" s="61" t="n">
        <x:f>PI()*'Controls'!$D$18^2/4</x:f>
        <x:v>0.0012566370614359172</x:v>
      </x:c>
      <x:c r="H10" s="61" t="n">
        <x:f>IF(G10=0,0,F10/G10)</x:f>
        <x:v>0.8289319952702883</x:v>
      </x:c>
      <x:c r="I10" s="61" t="n">
        <x:f>'Controls'!$D$31*H10*'Controls'!$D$18/'Controls'!$D$32</x:f>
        <x:v>6631.455962162306</x:v>
      </x:c>
      <x:c r="J10" s="61" t="n">
        <x:f>.5*'Controls'!$D$31*H10^2</x:f>
        <x:v>274.85130111311247</x:v>
      </x:c>
      <x:c r="K10" s="61" t="n">
        <x:f>E10*('Controls'!$D$14/'Controls'!$D$18)*J10/1000</x:f>
        <x:v>2.8859386616876814</x:v>
      </x:c>
      <x:c r="L10" s="61" t="n">
        <x:f>'Controls'!$D$31*'Controls'!$D$33*'Controls'!$D$14*SIN(D10*PI()/180)/1000</x:f>
        <x:v>3.2855726336407787</x:v>
      </x:c>
      <x:c r="M10" s="61" t="n">
        <x:f>K10+ABS(L10)</x:f>
        <x:v>6.17151129532846</x:v>
      </x:c>
      <x:c r="N10" s="61" t="n">
        <x:f>'Controls'!$D$31*'Controls'!$D$38*H10/1000000</x:f>
        <x:v>0.6631455962162307</x:v>
      </x:c>
      <x:c r="O10" s="61" t="n">
        <x:f>'Controls'!$D$41</x:f>
        <x:v>2</x:v>
      </x:c>
      <x:c r="P10" s="44" t="str">
        <x:f>IF(AND(N10&lt;=O10,M10/1000&lt;='Controls'!$D$40),"PASS","FAIL")</x:f>
        <x:v>PASS</x:v>
      </x:c>
    </x:row>
    <x:row r="11">
      <x:c r="B11" s="44" t="str">
        <x:v>nominal downhill</x:v>
      </x:c>
      <x:c r="C11" s="61" t="n">
        <x:v>0.8333333333333334</x:v>
      </x:c>
      <x:c r="D11" s="61" t="n">
        <x:v>-2</x:v>
      </x:c>
      <x:c r="E11" s="61" t="n">
        <x:v>0.035</x:v>
      </x:c>
      <x:c r="F11" s="61" t="n">
        <x:f>C11/'Controls'!$D$31</x:f>
        <x:v>0.0010416666666666667</x:v>
      </x:c>
      <x:c r="G11" s="61" t="n">
        <x:f>PI()*'Controls'!$D$18^2/4</x:f>
        <x:v>0.0012566370614359172</x:v>
      </x:c>
      <x:c r="H11" s="61" t="n">
        <x:f>IF(G11=0,0,F11/G11)</x:f>
        <x:v>0.8289319952702883</x:v>
      </x:c>
      <x:c r="I11" s="61" t="n">
        <x:f>'Controls'!$D$31*H11*'Controls'!$D$18/'Controls'!$D$32</x:f>
        <x:v>6631.455962162306</x:v>
      </x:c>
      <x:c r="J11" s="61" t="n">
        <x:f>.5*'Controls'!$D$31*H11^2</x:f>
        <x:v>274.85130111311247</x:v>
      </x:c>
      <x:c r="K11" s="61" t="n">
        <x:f>E11*('Controls'!$D$14/'Controls'!$D$18)*J11/1000</x:f>
        <x:v>2.8859386616876814</x:v>
      </x:c>
      <x:c r="L11" s="61" t="n">
        <x:f>'Controls'!$D$31*'Controls'!$D$33*'Controls'!$D$14*SIN(D11*PI()/180)/1000</x:f>
        <x:v>-3.2855726336407787</x:v>
      </x:c>
      <x:c r="M11" s="61" t="n">
        <x:f>K11+ABS(L11)</x:f>
        <x:v>6.17151129532846</x:v>
      </x:c>
      <x:c r="N11" s="61" t="n">
        <x:f>'Controls'!$D$31*'Controls'!$D$38*H11/1000000</x:f>
        <x:v>0.6631455962162307</x:v>
      </x:c>
      <x:c r="O11" s="61" t="n">
        <x:f>'Controls'!$D$41</x:f>
        <x:v>2</x:v>
      </x:c>
      <x:c r="P11" s="44" t="str">
        <x:f>IF(AND(N11&lt;=O11,M11/1000&lt;='Controls'!$D$40),"PASS","FAIL")</x:f>
        <x:v>PASS</x:v>
      </x:c>
    </x:row>
    <x:row r="12">
      <x:c r="B12" s="44" t="str">
        <x:v>high-rate level</x:v>
      </x:c>
      <x:c r="C12" s="61" t="n">
        <x:v>1.6666666666666667</x:v>
      </x:c>
      <x:c r="D12" s="61" t="n">
        <x:v>0</x:v>
      </x:c>
      <x:c r="E12" s="61" t="n">
        <x:v>0.03</x:v>
      </x:c>
      <x:c r="F12" s="61" t="n">
        <x:f>C12/'Controls'!$D$31</x:f>
        <x:v>0.0020833333333333333</x:v>
      </x:c>
      <x:c r="G12" s="61" t="n">
        <x:f>PI()*'Controls'!$D$18^2/4</x:f>
        <x:v>0.0012566370614359172</x:v>
      </x:c>
      <x:c r="H12" s="61" t="n">
        <x:f>IF(G12=0,0,F12/G12)</x:f>
        <x:v>1.6578639905405765</x:v>
      </x:c>
      <x:c r="I12" s="61" t="n">
        <x:f>'Controls'!$D$31*H12*'Controls'!$D$18/'Controls'!$D$32</x:f>
        <x:v>13262.911924324611</x:v>
      </x:c>
      <x:c r="J12" s="61" t="n">
        <x:f>.5*'Controls'!$D$31*H12^2</x:f>
        <x:v>1099.4052044524499</x:v>
      </x:c>
      <x:c r="K12" s="61" t="n">
        <x:f>E12*('Controls'!$D$14/'Controls'!$D$18)*J12/1000</x:f>
        <x:v>9.894646840072049</x:v>
      </x:c>
      <x:c r="L12" s="61" t="n">
        <x:f>'Controls'!$D$31*'Controls'!$D$33*'Controls'!$D$14*SIN(D12*PI()/180)/1000</x:f>
        <x:v>0</x:v>
      </x:c>
      <x:c r="M12" s="61" t="n">
        <x:f>K12+ABS(L12)</x:f>
        <x:v>9.894646840072049</x:v>
      </x:c>
      <x:c r="N12" s="61" t="n">
        <x:f>'Controls'!$D$31*'Controls'!$D$38*H12/1000000</x:f>
        <x:v>1.3262911924324614</x:v>
      </x:c>
      <x:c r="O12" s="61" t="n">
        <x:f>'Controls'!$D$41</x:f>
        <x:v>2</x:v>
      </x:c>
      <x:c r="P12" s="44" t="str">
        <x:f>IF(AND(N12&lt;=O12,M12/1000&lt;='Controls'!$D$40),"PASS","FAIL")</x:f>
        <x:v>PASS</x:v>
      </x:c>
    </x:row>
    <x:row r="13">
      <x:c r="B13" s="44" t="str">
        <x:v>low-rate level</x:v>
      </x:c>
      <x:c r="C13" s="61" t="n">
        <x:v>0.4166666666666667</x:v>
      </x:c>
      <x:c r="D13" s="61" t="n">
        <x:v>0</x:v>
      </x:c>
      <x:c r="E13" s="61" t="n">
        <x:v>0.045</x:v>
      </x:c>
      <x:c r="F13" s="61" t="n">
        <x:f>C13/'Controls'!$D$31</x:f>
        <x:v>0.0005208333333333333</x:v>
      </x:c>
      <x:c r="G13" s="61" t="n">
        <x:f>PI()*'Controls'!$D$18^2/4</x:f>
        <x:v>0.0012566370614359172</x:v>
      </x:c>
      <x:c r="H13" s="61" t="n">
        <x:f>IF(G13=0,0,F13/G13)</x:f>
        <x:v>0.41446599763514413</x:v>
      </x:c>
      <x:c r="I13" s="61" t="n">
        <x:f>'Controls'!$D$31*H13*'Controls'!$D$18/'Controls'!$D$32</x:f>
        <x:v>3315.727981081153</x:v>
      </x:c>
      <x:c r="J13" s="61" t="n">
        <x:f>.5*'Controls'!$D$31*H13^2</x:f>
        <x:v>68.71282527827812</x:v>
      </x:c>
      <x:c r="K13" s="61" t="n">
        <x:f>E13*('Controls'!$D$14/'Controls'!$D$18)*J13/1000</x:f>
        <x:v>0.9276231412567546</x:v>
      </x:c>
      <x:c r="L13" s="61" t="n">
        <x:f>'Controls'!$D$31*'Controls'!$D$33*'Controls'!$D$14*SIN(D13*PI()/180)/1000</x:f>
        <x:v>0</x:v>
      </x:c>
      <x:c r="M13" s="61" t="n">
        <x:f>K13+ABS(L13)</x:f>
        <x:v>0.9276231412567546</x:v>
      </x:c>
      <x:c r="N13" s="61" t="n">
        <x:f>'Controls'!$D$31*'Controls'!$D$38*H13/1000000</x:f>
        <x:v>0.33157279810811535</x:v>
      </x:c>
      <x:c r="O13" s="61" t="n">
        <x:f>'Controls'!$D$41</x:f>
        <x:v>2</x:v>
      </x:c>
      <x:c r="P13" s="44" t="str">
        <x:f>IF(AND(N13&lt;=O13,M13/1000&lt;='Controls'!$D$40),"PASS","FAIL")</x:f>
        <x:v>PASS</x:v>
      </x:c>
    </x:row>
  </x:sheetData>
  <x:conditionalFormatting sqref="P7:P13">
    <x:cfRule type="containsText" dxfId="55" priority="1" operator="containsText" text="FAIL"/>
    <x:cfRule type="containsText" dxfId="56" priority="2" operator="containsText" text="BLOCKED"/>
    <x:cfRule type="containsText" dxfId="57" priority="3" operator="containsText" text="OPEN"/>
    <x:cfRule type="containsText" dxfId="58" priority="4" operator="containsText" text="PASS"/>
    <x:cfRule type="containsText" dxfId="59" priority="5" operator="containsText" text="PLANN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17" hidden="0" customWidth="1"/>
    <x:col min="8" max="8" width="16" hidden="0" customWidth="1"/>
    <x:col min="9" max="9" width="23" hidden="0" customWidth="1"/>
    <x:col min="10" max="10" width="22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</x:cols>
  <x:sheetData>
    <x:row r="2">
      <x:c r="B2" s="41" t="str">
        <x:v>Tube and joint pressure screen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B3" s="43" t="str">
        <x:v>The 2 MPa boundary contains the conservative unarrested surge screen. The 3 MPa proof uses liquid only.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25" customHeight="1">
      <x:c r="B6" s="6" t="str">
        <x:v>Lineage</x:v>
      </x:c>
      <x:c r="C6" s="6" t="str">
        <x:v>Bore m</x:v>
      </x:c>
      <x:c r="D6" s="6" t="str">
        <x:v>Wall m</x:v>
      </x:c>
      <x:c r="E6" s="6" t="str">
        <x:v>OD m</x:v>
      </x:c>
      <x:c r="F6" s="6" t="str">
        <x:v>Density kg/m3</x:v>
      </x:c>
      <x:c r="G6" s="6" t="str">
        <x:v>Design MPa</x:v>
      </x:c>
      <x:c r="H6" s="6" t="str">
        <x:v>Proof MPa</x:v>
      </x:c>
      <x:c r="I6" s="6" t="str">
        <x:v>Hoop at design MPa</x:v>
      </x:c>
      <x:c r="J6" s="6" t="str">
        <x:v>Hoop at proof MPa</x:v>
      </x:c>
      <x:c r="K6" s="6" t="str">
        <x:v>Tube mass kg</x:v>
      </x:c>
      <x:c r="L6" s="6" t="str">
        <x:v>Proof thrust kN</x:v>
      </x:c>
      <x:c r="M6" s="6" t="str">
        <x:v>Retention factor</x:v>
      </x:c>
      <x:c r="N6" s="6" t="str">
        <x:v>State</x:v>
      </x:c>
    </x:row>
    <x:row r="7">
      <x:c r="B7" s="44" t="str">
        <x:v>BL-X</x:v>
      </x:c>
      <x:c r="C7" s="56" t="n">
        <x:v>0.04</x:v>
      </x:c>
      <x:c r="D7" s="56" t="n">
        <x:v>0.002</x:v>
      </x:c>
      <x:c r="E7" s="56" t="n">
        <x:f>C7+2*D7</x:f>
        <x:v>0.044</x:v>
      </x:c>
      <x:c r="F7" s="56" t="n">
        <x:v>8000</x:v>
      </x:c>
      <x:c r="G7" s="56" t="n">
        <x:f>'Controls'!$D$41</x:f>
        <x:v>2</x:v>
      </x:c>
      <x:c r="H7" s="56" t="n">
        <x:f>'Controls'!$D$42</x:f>
        <x:v>3</x:v>
      </x:c>
      <x:c r="I7" s="56" t="n">
        <x:f>G7*C7/(2*D7)</x:f>
        <x:v>20</x:v>
      </x:c>
      <x:c r="J7" s="56" t="n">
        <x:f>H7*C7/(2*D7)</x:f>
        <x:v>30</x:v>
      </x:c>
      <x:c r="K7" s="56" t="n">
        <x:f>PI()*(E7^2-C7^2)/4*'Controls'!$D$14*F7</x:f>
        <x:v>25.33380315854807</x:v>
      </x:c>
      <x:c r="L7" s="56" t="n">
        <x:f>H7*1000000*PI()*C7^2/4/1000</x:f>
        <x:v>3.769911184307752</x:v>
      </x:c>
      <x:c r="M7" s="56" t="n">
        <x:f>'Controls'!$D$43/L7</x:f>
        <x:v>3.978873577297383</x:v>
      </x:c>
      <x:c r="N7" s="44" t="str">
        <x:f>IF(AND(M7&gt;=3,G7&gt;='Controls'!$D$41,H7&gt;=1.5*G7),"PASS","FAIL")</x:f>
        <x:v>PASS</x:v>
      </x:c>
    </x:row>
    <x:row r="8">
      <x:c r="B8" s="44" t="str">
        <x:v>BL-Y</x:v>
      </x:c>
      <x:c r="C8" s="56" t="n">
        <x:v>0.04</x:v>
      </x:c>
      <x:c r="D8" s="56" t="n">
        <x:v>0.0025</x:v>
      </x:c>
      <x:c r="E8" s="56" t="n">
        <x:f>C8+2*D8</x:f>
        <x:v>0.045</x:v>
      </x:c>
      <x:c r="F8" s="56" t="n">
        <x:v>7800</x:v>
      </x:c>
      <x:c r="G8" s="56" t="n">
        <x:f>'Controls'!$D$41</x:f>
        <x:v>2</x:v>
      </x:c>
      <x:c r="H8" s="56" t="n">
        <x:f>'Controls'!$D$42</x:f>
        <x:v>3</x:v>
      </x:c>
      <x:c r="I8" s="56" t="n">
        <x:f>G8*C8/(2*D8)</x:f>
        <x:v>16</x:v>
      </x:c>
      <x:c r="J8" s="56" t="n">
        <x:f>H8*C8/(2*D8)</x:f>
        <x:v>24</x:v>
      </x:c>
      <x:c r="K8" s="56" t="n">
        <x:f>PI()*(E8^2-C8^2)/4*'Controls'!$D$14*F8</x:f>
        <x:v>31.243138939950473</x:v>
      </x:c>
      <x:c r="L8" s="56" t="n">
        <x:f>H8*1000000*PI()*C8^2/4/1000</x:f>
        <x:v>3.769911184307752</x:v>
      </x:c>
      <x:c r="M8" s="56" t="n">
        <x:f>'Controls'!$D$43/L8</x:f>
        <x:v>3.978873577297383</x:v>
      </x:c>
      <x:c r="N8" s="44" t="str">
        <x:f>IF(AND(M8&gt;=3,G8&gt;='Controls'!$D$41,H8&gt;=1.5*G8),"PASS","FAIL")</x:f>
        <x:v>PASS</x:v>
      </x:c>
    </x:row>
  </x:sheetData>
  <x:conditionalFormatting sqref="N7:N8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OPEN"/>
    <x:cfRule type="containsText" dxfId="63" priority="4" operator="containsText" text="PASS"/>
    <x:cfRule type="containsText" dxfId="64" priority="5" operator="containsText" text="PLANNE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20" hidden="0" customWidth="1"/>
    <x:col min="5" max="5" width="19" hidden="0" customWidth="1"/>
    <x:col min="6" max="6" width="20" hidden="0" customWidth="1"/>
    <x:col min="7" max="7" width="24" hidden="0" customWidth="1"/>
    <x:col min="8" max="8" width="24" hidden="0" customWidth="1"/>
    <x:col min="9" max="9" width="21" hidden="0" customWidth="1"/>
    <x:col min="10" max="10" width="20" hidden="0" customWidth="1"/>
    <x:col min="11" max="11" width="14" hidden="0" customWidth="1"/>
  </x:cols>
  <x:sheetData>
    <x:row r="2">
      <x:c r="B2" s="41" t="str">
        <x:v>Extreme-temperature free-growth screen</x:v>
      </x:c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B3" s="43" t="str">
        <x:v>Reference dimensions close at 20 deg C. One midpoint anchor divides free growth between two sliding ends.</x:v>
      </x:c>
      <x:c r="C3" s="42"/>
      <x:c r="D3" s="42"/>
      <x:c r="E3" s="42"/>
      <x:c r="F3" s="42"/>
      <x:c r="G3" s="42"/>
      <x:c r="H3" s="42"/>
      <x:c r="I3" s="42"/>
      <x:c r="J3" s="42"/>
      <x:c r="K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</x:row>
    <x:row r="6" ht="25" customHeight="1">
      <x:c r="B6" s="6" t="str">
        <x:v>Lineage</x:v>
      </x:c>
      <x:c r="C6" s="6" t="str">
        <x:v>Expansion 1/K</x:v>
      </x:c>
      <x:c r="D6" s="6" t="str">
        <x:v>Cold change mm</x:v>
      </x:c>
      <x:c r="E6" s="6" t="str">
        <x:v>Hot change mm</x:v>
      </x:c>
      <x:c r="F6" s="6" t="str">
        <x:v>Extreme span mm</x:v>
      </x:c>
      <x:c r="G6" s="6" t="str">
        <x:v>Required end travel mm</x:v>
      </x:c>
      <x:c r="H6" s="6" t="str">
        <x:v>Installed end travel mm</x:v>
      </x:c>
      <x:c r="I6" s="6" t="str">
        <x:v>Travel margin mm</x:v>
      </x:c>
      <x:c r="J6" s="6" t="str">
        <x:v>Fixed datum</x:v>
      </x:c>
      <x:c r="K6" s="6" t="str">
        <x:v>State</x:v>
      </x:c>
    </x:row>
    <x:row r="7">
      <x:c r="B7" s="44" t="str">
        <x:v>BL-X</x:v>
      </x:c>
      <x:c r="C7" s="56" t="n">
        <x:v>0.000016</x:v>
      </x:c>
      <x:c r="D7" s="56" t="n">
        <x:f>'Controls'!$D$26*'Controls'!$D$14*('Controls'!$D$24-'Controls'!$D$23)*1000</x:f>
        <x:v>-7.680000000000001</x:v>
      </x:c>
      <x:c r="E7" s="56" t="n">
        <x:f>'Controls'!$D$26*'Controls'!$D$14*('Controls'!$D$25-'Controls'!$D$23)*1000</x:f>
        <x:v>5.760000000000001</x:v>
      </x:c>
      <x:c r="F7" s="56" t="n">
        <x:f>E7-D7</x:f>
        <x:v>13.440000000000001</x:v>
      </x:c>
      <x:c r="G7" s="56" t="n">
        <x:f>F7/2</x:f>
        <x:v>6.720000000000001</x:v>
      </x:c>
      <x:c r="H7" s="56" t="n">
        <x:v>15</x:v>
      </x:c>
      <x:c r="I7" s="56" t="n">
        <x:f>H7-G7</x:f>
        <x:v>8.28</x:v>
      </x:c>
      <x:c r="J7" s="44" t="str">
        <x:v>D04 midpoint</x:v>
      </x:c>
      <x:c r="K7" s="44" t="str">
        <x:f>IF(I7&gt;=3,"PASS","FAIL")</x:f>
        <x:v>PASS</x:v>
      </x:c>
    </x:row>
    <x:row r="8">
      <x:c r="B8" s="44" t="str">
        <x:v>BL-Y</x:v>
      </x:c>
      <x:c r="C8" s="56" t="n">
        <x:v>0.000013</x:v>
      </x:c>
      <x:c r="D8" s="56" t="n">
        <x:f>'Controls'!$D$27*'Controls'!$D$14*('Controls'!$D$24-'Controls'!$D$23)*1000</x:f>
        <x:v>-6.24</x:v>
      </x:c>
      <x:c r="E8" s="56" t="n">
        <x:f>'Controls'!$D$27*'Controls'!$D$14*('Controls'!$D$25-'Controls'!$D$23)*1000</x:f>
        <x:v>4.68</x:v>
      </x:c>
      <x:c r="F8" s="56" t="n">
        <x:f>E8-D8</x:f>
        <x:v>10.92</x:v>
      </x:c>
      <x:c r="G8" s="56" t="n">
        <x:f>F8/2</x:f>
        <x:v>5.46</x:v>
      </x:c>
      <x:c r="H8" s="56" t="n">
        <x:v>15</x:v>
      </x:c>
      <x:c r="I8" s="56" t="n">
        <x:f>H8-G8</x:f>
        <x:v>9.54</x:v>
      </x:c>
      <x:c r="J8" s="44" t="str">
        <x:v>D04 midpoint</x:v>
      </x:c>
      <x:c r="K8" s="44" t="str">
        <x:f>IF(I8&gt;=3,"PASS","FAIL")</x:f>
        <x:v>PASS</x:v>
      </x:c>
    </x:row>
  </x:sheetData>
  <x:conditionalFormatting sqref="K7:K8">
    <x:cfRule type="containsText" dxfId="65" priority="1" operator="containsText" text="FAIL"/>
    <x:cfRule type="containsText" dxfId="66" priority="2" operator="containsText" text="BLOCKED"/>
    <x:cfRule type="containsText" dxfId="67" priority="3" operator="containsText" text="OPEN"/>
    <x:cfRule type="containsText" dxfId="68" priority="4" operator="containsText" text="PASS"/>
    <x:cfRule type="containsText" dxfId="69" priority="5" operator="containsText" text="PLANNE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1" hidden="0" customWidth="1"/>
    <x:col min="4" max="4" width="23" hidden="0" customWidth="1"/>
    <x:col min="5" max="5" width="28" hidden="0" customWidth="1"/>
    <x:col min="6" max="6" width="34" hidden="0" customWidth="1"/>
    <x:col min="7" max="7" width="30" hidden="0" customWidth="1"/>
    <x:col min="8" max="8" width="15" hidden="0" customWidth="1"/>
    <x:col min="9" max="9" width="37" hidden="0" customWidth="1"/>
  </x:cols>
  <x:sheetData>
    <x:row r="2">
      <x:c r="B2" s="41" t="str">
        <x:v>Twelve final control assemblies</x:v>
      </x:c>
      <x:c r="C2" s="42"/>
      <x:c r="D2" s="42"/>
      <x:c r="E2" s="42"/>
      <x:c r="F2" s="42"/>
      <x:c r="G2" s="42"/>
      <x:c r="H2" s="42"/>
      <x:c r="I2" s="42"/>
    </x:row>
    <x:row r="3">
      <x:c r="B3" s="43" t="str">
        <x:v>Each assembly has a primary, unlike diverse and local manual or passive route. Final state needs a direct physical witness.</x:v>
      </x:c>
      <x:c r="C3" s="42"/>
      <x:c r="D3" s="42"/>
      <x:c r="E3" s="42"/>
      <x:c r="F3" s="42"/>
      <x:c r="G3" s="42"/>
      <x:c r="H3" s="42"/>
      <x:c r="I3" s="42"/>
    </x:row>
    <x:row r="4">
      <x:c r="B4" s="42"/>
      <x:c r="C4" s="42"/>
      <x:c r="D4" s="42"/>
      <x:c r="E4" s="42"/>
      <x:c r="F4" s="42"/>
      <x:c r="G4" s="42"/>
      <x:c r="H4" s="42"/>
      <x:c r="I4" s="42"/>
    </x:row>
    <x:row r="5">
      <x:c r="B5" s="42"/>
      <x:c r="C5" s="42"/>
      <x:c r="D5" s="42"/>
      <x:c r="E5" s="42"/>
      <x:c r="F5" s="42"/>
      <x:c r="G5" s="42"/>
      <x:c r="H5" s="42"/>
      <x:c r="I5" s="42"/>
    </x:row>
    <x:row r="6" ht="25" customHeight="1">
      <x:c r="B6" s="6" t="str">
        <x:v>Element</x:v>
      </x:c>
      <x:c r="C6" s="6" t="str">
        <x:v>Boundary</x:v>
      </x:c>
      <x:c r="D6" s="6" t="str">
        <x:v>Safe state</x:v>
      </x:c>
      <x:c r="E6" s="6" t="str">
        <x:v>Primary route</x:v>
      </x:c>
      <x:c r="F6" s="6" t="str">
        <x:v>Diverse route</x:v>
      </x:c>
      <x:c r="G6" s="6" t="str">
        <x:v>Manual or passive route</x:v>
      </x:c>
      <x:c r="H6" s="6" t="str">
        <x:v>Target s</x:v>
      </x:c>
      <x:c r="I6" s="6" t="str">
        <x:v>Direct witness</x:v>
      </x:c>
    </x:row>
    <x:row r="7" ht="42" customHeight="1">
      <x:c r="B7" s="44" t="str">
        <x:v>FE-01</x:v>
      </x:c>
      <x:c r="C7" s="44" t="str">
        <x:v>source inlet isolation</x:v>
      </x:c>
      <x:c r="D7" s="44" t="str">
        <x:v>CLOSED</x:v>
      </x:c>
      <x:c r="E7" s="45" t="str">
        <x:v>pneumatic release</x:v>
      </x:c>
      <x:c r="F7" s="45" t="str">
        <x:v>hardwired undervoltage release</x:v>
      </x:c>
      <x:c r="G7" s="45" t="str">
        <x:v>local lever</x:v>
      </x:c>
      <x:c r="H7" s="44" t="n">
        <x:v>1</x:v>
      </x:c>
      <x:c r="I7" s="45" t="str">
        <x:v>dual stem and seat</x:v>
      </x:c>
    </x:row>
    <x:row r="8" ht="42" customHeight="1">
      <x:c r="B8" s="44" t="str">
        <x:v>FE-02</x:v>
      </x:c>
      <x:c r="C8" s="44" t="str">
        <x:v>dispenser isolation</x:v>
      </x:c>
      <x:c r="D8" s="44" t="str">
        <x:v>CLOSED</x:v>
      </x:c>
      <x:c r="E8" s="45" t="str">
        <x:v>pneumatic release</x:v>
      </x:c>
      <x:c r="F8" s="45" t="str">
        <x:v>local overspeed release</x:v>
      </x:c>
      <x:c r="G8" s="45" t="str">
        <x:v>local lever</x:v>
      </x:c>
      <x:c r="H8" s="44" t="n">
        <x:v>1</x:v>
      </x:c>
      <x:c r="I8" s="45" t="str">
        <x:v>dual stem and seat</x:v>
      </x:c>
    </x:row>
    <x:row r="9" ht="42" customHeight="1">
      <x:c r="B9" s="44" t="str">
        <x:v>FE-03</x:v>
      </x:c>
      <x:c r="C9" s="44" t="str">
        <x:v>gravity diversion</x:v>
      </x:c>
      <x:c r="D9" s="44" t="str">
        <x:v>OPEN TO CASUALTY</x:v>
      </x:c>
      <x:c r="E9" s="45" t="str">
        <x:v>spring latch release</x:v>
      </x:c>
      <x:c r="F9" s="45" t="str">
        <x:v>independent float trip</x:v>
      </x:c>
      <x:c r="G9" s="45" t="str">
        <x:v>manual pull</x:v>
      </x:c>
      <x:c r="H9" s="44" t="n">
        <x:v>5</x:v>
      </x:c>
      <x:c r="I9" s="45" t="str">
        <x:v>blade and flow witness</x:v>
      </x:c>
    </x:row>
    <x:row r="10" ht="42" customHeight="1">
      <x:c r="B10" s="44" t="str">
        <x:v>FE-04</x:v>
      </x:c>
      <x:c r="C10" s="44" t="str">
        <x:v>normal receiver isolation</x:v>
      </x:c>
      <x:c r="D10" s="44" t="str">
        <x:v>CLOSED</x:v>
      </x:c>
      <x:c r="E10" s="45" t="str">
        <x:v>pneumatic release</x:v>
      </x:c>
      <x:c r="F10" s="45" t="str">
        <x:v>local mass-limit release</x:v>
      </x:c>
      <x:c r="G10" s="45" t="str">
        <x:v>local lever</x:v>
      </x:c>
      <x:c r="H10" s="44" t="n">
        <x:v>5</x:v>
      </x:c>
      <x:c r="I10" s="45" t="str">
        <x:v>stem and receiver witness</x:v>
      </x:c>
    </x:row>
    <x:row r="11" ht="42" customHeight="1">
      <x:c r="B11" s="44" t="str">
        <x:v>FE-05</x:v>
      </x:c>
      <x:c r="C11" s="44" t="str">
        <x:v>casualty diversion</x:v>
      </x:c>
      <x:c r="D11" s="44" t="str">
        <x:v>OPEN</x:v>
      </x:c>
      <x:c r="E11" s="45" t="str">
        <x:v>spring latch release</x:v>
      </x:c>
      <x:c r="F11" s="45" t="str">
        <x:v>independent high-level trip</x:v>
      </x:c>
      <x:c r="G11" s="45" t="str">
        <x:v>manual pull</x:v>
      </x:c>
      <x:c r="H11" s="44" t="n">
        <x:v>5</x:v>
      </x:c>
      <x:c r="I11" s="45" t="str">
        <x:v>blade and receiver witness</x:v>
      </x:c>
    </x:row>
    <x:row r="12" ht="42" customHeight="1">
      <x:c r="B12" s="44" t="str">
        <x:v>FE-06</x:v>
      </x:c>
      <x:c r="C12" s="44" t="str">
        <x:v>ignition energy removal</x:v>
      </x:c>
      <x:c r="D12" s="44" t="str">
        <x:v>OPEN CIRCUIT</x:v>
      </x:c>
      <x:c r="E12" s="45" t="str">
        <x:v>contactor dropout</x:v>
      </x:c>
      <x:c r="F12" s="45" t="str">
        <x:v>mechanical shunt trip</x:v>
      </x:c>
      <x:c r="G12" s="45" t="str">
        <x:v>manual disconnect</x:v>
      </x:c>
      <x:c r="H12" s="44" t="n">
        <x:v>1</x:v>
      </x:c>
      <x:c r="I12" s="45" t="str">
        <x:v>contact and voltage witness</x:v>
      </x:c>
    </x:row>
    <x:row r="13" ht="42" customHeight="1">
      <x:c r="B13" s="44" t="str">
        <x:v>FE-07</x:v>
      </x:c>
      <x:c r="C13" s="44" t="str">
        <x:v>public-water isolation</x:v>
      </x:c>
      <x:c r="D13" s="44" t="str">
        <x:v>CLOSED</x:v>
      </x:c>
      <x:c r="E13" s="45" t="str">
        <x:v>pneumatic release</x:v>
      </x:c>
      <x:c r="F13" s="45" t="str">
        <x:v>local ancestry trip</x:v>
      </x:c>
      <x:c r="G13" s="45" t="str">
        <x:v>local lever</x:v>
      </x:c>
      <x:c r="H13" s="44" t="n">
        <x:v>1</x:v>
      </x:c>
      <x:c r="I13" s="45" t="str">
        <x:v>dual stem and seat</x:v>
      </x:c>
    </x:row>
    <x:row r="14" ht="42" customHeight="1">
      <x:c r="B14" s="44" t="str">
        <x:v>FE-08</x:v>
      </x:c>
      <x:c r="C14" s="44" t="str">
        <x:v>casualty-water diversion</x:v>
      </x:c>
      <x:c r="D14" s="44" t="str">
        <x:v>OPEN</x:v>
      </x:c>
      <x:c r="E14" s="45" t="str">
        <x:v>spring latch release</x:v>
      </x:c>
      <x:c r="F14" s="45" t="str">
        <x:v>independent level trip</x:v>
      </x:c>
      <x:c r="G14" s="45" t="str">
        <x:v>manual pull</x:v>
      </x:c>
      <x:c r="H14" s="44" t="n">
        <x:v>5</x:v>
      </x:c>
      <x:c r="I14" s="45" t="str">
        <x:v>blade and receiver witness</x:v>
      </x:c>
    </x:row>
    <x:row r="15" ht="42" customHeight="1">
      <x:c r="B15" s="44" t="str">
        <x:v>FE-09</x:v>
      </x:c>
      <x:c r="C15" s="44" t="str">
        <x:v>normal electrical isolation</x:v>
      </x:c>
      <x:c r="D15" s="44" t="str">
        <x:v>OPEN CIRCUIT</x:v>
      </x:c>
      <x:c r="E15" s="45" t="str">
        <x:v>contactor dropout</x:v>
      </x:c>
      <x:c r="F15" s="45" t="str">
        <x:v>stored spring trip</x:v>
      </x:c>
      <x:c r="G15" s="45" t="str">
        <x:v>manual disconnect</x:v>
      </x:c>
      <x:c r="H15" s="44" t="n">
        <x:v>1</x:v>
      </x:c>
      <x:c r="I15" s="45" t="str">
        <x:v>contact and voltage witness</x:v>
      </x:c>
    </x:row>
    <x:row r="16" ht="42" customHeight="1">
      <x:c r="B16" s="44" t="str">
        <x:v>FE-10</x:v>
      </x:c>
      <x:c r="C16" s="44" t="str">
        <x:v>independent safety energy</x:v>
      </x:c>
      <x:c r="D16" s="44" t="str">
        <x:v>ISOLATED SAFE BUS</x:v>
      </x:c>
      <x:c r="E16" s="45" t="str">
        <x:v>solid-state opening</x:v>
      </x:c>
      <x:c r="F16" s="45" t="str">
        <x:v>mechanical fuse link</x:v>
      </x:c>
      <x:c r="G16" s="45" t="str">
        <x:v>manual disconnect</x:v>
      </x:c>
      <x:c r="H16" s="44" t="n">
        <x:v>1</x:v>
      </x:c>
      <x:c r="I16" s="45" t="str">
        <x:v>current and isolation witness</x:v>
      </x:c>
    </x:row>
    <x:row r="17" ht="42" customHeight="1">
      <x:c r="B17" s="44" t="str">
        <x:v>FE-11</x:v>
      </x:c>
      <x:c r="C17" s="44" t="str">
        <x:v>environment boundary and vent</x:v>
      </x:c>
      <x:c r="D17" s="44" t="str">
        <x:v>OPEN TO CAPTURE</x:v>
      </x:c>
      <x:c r="E17" s="45" t="str">
        <x:v>spring latch release</x:v>
      </x:c>
      <x:c r="F17" s="45" t="str">
        <x:v>independent pressure trip</x:v>
      </x:c>
      <x:c r="G17" s="45" t="str">
        <x:v>manual pull</x:v>
      </x:c>
      <x:c r="H17" s="44" t="n">
        <x:v>10</x:v>
      </x:c>
      <x:c r="I17" s="45" t="str">
        <x:v>position and capture witness</x:v>
      </x:c>
    </x:row>
    <x:row r="18" ht="42" customHeight="1">
      <x:c r="B18" s="44" t="str">
        <x:v>FE-12</x:v>
      </x:c>
      <x:c r="C18" s="44" t="str">
        <x:v>evidence safe-state latch</x:v>
      </x:c>
      <x:c r="D18" s="44" t="str">
        <x:v>SEALED</x:v>
      </x:c>
      <x:c r="E18" s="45" t="str">
        <x:v>local close command</x:v>
      </x:c>
      <x:c r="F18" s="45" t="str">
        <x:v>mechanical loss-of-power latch</x:v>
      </x:c>
      <x:c r="G18" s="45" t="str">
        <x:v>manual seal</x:v>
      </x:c>
      <x:c r="H18" s="44" t="n">
        <x:v>2</x:v>
      </x:c>
      <x:c r="I18" s="45" t="str">
        <x:v>physical seal and hash witness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8" hidden="0" customWidth="1"/>
    <x:col min="4" max="4" width="16" hidden="0" customWidth="1"/>
    <x:col min="5" max="5" width="16" hidden="0" customWidth="1"/>
    <x:col min="6" max="6" width="21" hidden="0" customWidth="1"/>
    <x:col min="7" max="7" width="22" hidden="0" customWidth="1"/>
    <x:col min="8" max="8" width="21" hidden="0" customWidth="1"/>
    <x:col min="9" max="9" width="27" hidden="0" customWidth="1"/>
    <x:col min="10" max="10" width="17" hidden="0" customWidth="1"/>
    <x:col min="11" max="11" width="14" hidden="0" customWidth="1"/>
  </x:cols>
  <x:sheetData>
    <x:row r="2">
      <x:c r="B2" s="41" t="str">
        <x:v>Mechanical final-action energy</x:v>
      </x:c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B3" s="43" t="str">
        <x:v>Required work includes a 2.5 load factor. Installed spring energy is sized so the 60 percent stored-energy state still exceeds that work.</x:v>
      </x:c>
      <x:c r="C3" s="42"/>
      <x:c r="D3" s="42"/>
      <x:c r="E3" s="42"/>
      <x:c r="F3" s="42"/>
      <x:c r="G3" s="42"/>
      <x:c r="H3" s="42"/>
      <x:c r="I3" s="42"/>
      <x:c r="J3" s="42"/>
      <x:c r="K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</x:row>
    <x:row r="6" ht="25" customHeight="1">
      <x:c r="B6" s="6" t="str">
        <x:v>Element</x:v>
      </x:c>
      <x:c r="C6" s="6" t="str">
        <x:v>Torque N m</x:v>
      </x:c>
      <x:c r="D6" s="6" t="str">
        <x:v>Travel deg</x:v>
      </x:c>
      <x:c r="E6" s="6" t="str">
        <x:v>Load factor</x:v>
      </x:c>
      <x:c r="F6" s="6" t="str">
        <x:v>Required work J</x:v>
      </x:c>
      <x:c r="G6" s="6" t="str">
        <x:v>Installed spring J</x:v>
      </x:c>
      <x:c r="H6" s="6" t="str">
        <x:v>Low-energy fraction</x:v>
      </x:c>
      <x:c r="I6" s="6" t="str">
        <x:v>Available at low state J</x:v>
      </x:c>
      <x:c r="J6" s="6" t="str">
        <x:v>Margin J</x:v>
      </x:c>
      <x:c r="K6" s="6" t="str">
        <x:v>State</x:v>
      </x:c>
    </x:row>
    <x:row r="7">
      <x:c r="B7" s="44" t="str">
        <x:v>FE-01</x:v>
      </x:c>
      <x:c r="C7" s="57" t="n">
        <x:v>18</x:v>
      </x:c>
      <x:c r="D7" s="57" t="n">
        <x:v>90</x:v>
      </x:c>
      <x:c r="E7" s="57" t="n">
        <x:v>2.5</x:v>
      </x:c>
      <x:c r="F7" s="57" t="n">
        <x:f>C7*D7*PI()/180*E7</x:f>
        <x:v>70.68583470577033</x:v>
      </x:c>
      <x:c r="G7" s="57" t="n">
        <x:f>F7*'Controls'!$D$57</x:f>
        <x:v>141.37166941154067</x:v>
      </x:c>
      <x:c r="H7" s="57" t="n">
        <x:v>0.6</x:v>
      </x:c>
      <x:c r="I7" s="57" t="n">
        <x:f>G7*H7</x:f>
        <x:v>84.8230016469244</x:v>
      </x:c>
      <x:c r="J7" s="57" t="n">
        <x:f>I7-F7</x:f>
        <x:v>14.137166941154064</x:v>
      </x:c>
      <x:c r="K7" s="44" t="str">
        <x:f>IF(J7&gt;=0,"PASS","FAIL")</x:f>
        <x:v>PASS</x:v>
      </x:c>
    </x:row>
    <x:row r="8">
      <x:c r="B8" s="44" t="str">
        <x:v>FE-02</x:v>
      </x:c>
      <x:c r="C8" s="57" t="n">
        <x:v>18</x:v>
      </x:c>
      <x:c r="D8" s="57" t="n">
        <x:v>90</x:v>
      </x:c>
      <x:c r="E8" s="57" t="n">
        <x:v>2.5</x:v>
      </x:c>
      <x:c r="F8" s="57" t="n">
        <x:f>C8*D8*PI()/180*E8</x:f>
        <x:v>70.68583470577033</x:v>
      </x:c>
      <x:c r="G8" s="57" t="n">
        <x:f>F8*'Controls'!$D$57</x:f>
        <x:v>141.37166941154067</x:v>
      </x:c>
      <x:c r="H8" s="57" t="n">
        <x:v>0.6</x:v>
      </x:c>
      <x:c r="I8" s="57" t="n">
        <x:f>G8*H8</x:f>
        <x:v>84.8230016469244</x:v>
      </x:c>
      <x:c r="J8" s="57" t="n">
        <x:f>I8-F8</x:f>
        <x:v>14.137166941154064</x:v>
      </x:c>
      <x:c r="K8" s="44" t="str">
        <x:f>IF(J8&gt;=0,"PASS","FAIL")</x:f>
        <x:v>PASS</x:v>
      </x:c>
    </x:row>
    <x:row r="9">
      <x:c r="B9" s="44" t="str">
        <x:v>FE-03</x:v>
      </x:c>
      <x:c r="C9" s="57" t="n">
        <x:v>25</x:v>
      </x:c>
      <x:c r="D9" s="57" t="n">
        <x:v>90</x:v>
      </x:c>
      <x:c r="E9" s="57" t="n">
        <x:v>2.5</x:v>
      </x:c>
      <x:c r="F9" s="57" t="n">
        <x:f>C9*D9*PI()/180*E9</x:f>
        <x:v>98.17477042468104</x:v>
      </x:c>
      <x:c r="G9" s="57" t="n">
        <x:f>F9*'Controls'!$D$57</x:f>
        <x:v>196.34954084936209</x:v>
      </x:c>
      <x:c r="H9" s="57" t="n">
        <x:v>0.6</x:v>
      </x:c>
      <x:c r="I9" s="57" t="n">
        <x:f>G9*H9</x:f>
        <x:v>117.80972450961724</x:v>
      </x:c>
      <x:c r="J9" s="57" t="n">
        <x:f>I9-F9</x:f>
        <x:v>19.634954084936197</x:v>
      </x:c>
      <x:c r="K9" s="44" t="str">
        <x:f>IF(J9&gt;=0,"PASS","FAIL")</x:f>
        <x:v>PASS</x:v>
      </x:c>
    </x:row>
    <x:row r="10">
      <x:c r="B10" s="44" t="str">
        <x:v>FE-04</x:v>
      </x:c>
      <x:c r="C10" s="57" t="n">
        <x:v>14</x:v>
      </x:c>
      <x:c r="D10" s="57" t="n">
        <x:v>90</x:v>
      </x:c>
      <x:c r="E10" s="57" t="n">
        <x:v>2.5</x:v>
      </x:c>
      <x:c r="F10" s="57" t="n">
        <x:f>C10*D10*PI()/180*E10</x:f>
        <x:v>54.97787143782138</x:v>
      </x:c>
      <x:c r="G10" s="57" t="n">
        <x:f>F10*'Controls'!$D$57</x:f>
        <x:v>109.95574287564276</x:v>
      </x:c>
      <x:c r="H10" s="57" t="n">
        <x:v>0.6</x:v>
      </x:c>
      <x:c r="I10" s="57" t="n">
        <x:f>G10*H10</x:f>
        <x:v>65.97344572538564</x:v>
      </x:c>
      <x:c r="J10" s="57" t="n">
        <x:f>I10-F10</x:f>
        <x:v>10.995574287564267</x:v>
      </x:c>
      <x:c r="K10" s="44" t="str">
        <x:f>IF(J10&gt;=0,"PASS","FAIL")</x:f>
        <x:v>PASS</x:v>
      </x:c>
    </x:row>
    <x:row r="11">
      <x:c r="B11" s="44" t="str">
        <x:v>FE-05</x:v>
      </x:c>
      <x:c r="C11" s="57" t="n">
        <x:v>25</x:v>
      </x:c>
      <x:c r="D11" s="57" t="n">
        <x:v>90</x:v>
      </x:c>
      <x:c r="E11" s="57" t="n">
        <x:v>2.5</x:v>
      </x:c>
      <x:c r="F11" s="57" t="n">
        <x:f>C11*D11*PI()/180*E11</x:f>
        <x:v>98.17477042468104</x:v>
      </x:c>
      <x:c r="G11" s="57" t="n">
        <x:f>F11*'Controls'!$D$57</x:f>
        <x:v>196.34954084936209</x:v>
      </x:c>
      <x:c r="H11" s="57" t="n">
        <x:v>0.6</x:v>
      </x:c>
      <x:c r="I11" s="57" t="n">
        <x:f>G11*H11</x:f>
        <x:v>117.80972450961724</x:v>
      </x:c>
      <x:c r="J11" s="57" t="n">
        <x:f>I11-F11</x:f>
        <x:v>19.634954084936197</x:v>
      </x:c>
      <x:c r="K11" s="44" t="str">
        <x:f>IF(J11&gt;=0,"PASS","FAIL")</x:f>
        <x:v>PASS</x:v>
      </x:c>
    </x:row>
    <x:row r="12">
      <x:c r="B12" s="44" t="str">
        <x:v>FE-06</x:v>
      </x:c>
      <x:c r="C12" s="57" t="n">
        <x:v>3</x:v>
      </x:c>
      <x:c r="D12" s="57" t="n">
        <x:v>60</x:v>
      </x:c>
      <x:c r="E12" s="57" t="n">
        <x:v>2.5</x:v>
      </x:c>
      <x:c r="F12" s="57" t="n">
        <x:f>C12*D12*PI()/180*E12</x:f>
        <x:v>7.853981633974483</x:v>
      </x:c>
      <x:c r="G12" s="57" t="n">
        <x:f>F12*'Controls'!$D$57</x:f>
        <x:v>15.707963267948966</x:v>
      </x:c>
      <x:c r="H12" s="57" t="n">
        <x:v>0.6</x:v>
      </x:c>
      <x:c r="I12" s="57" t="n">
        <x:f>G12*H12</x:f>
        <x:v>9.42477796076938</x:v>
      </x:c>
      <x:c r="J12" s="57" t="n">
        <x:f>I12-F12</x:f>
        <x:v>1.5707963267948966</x:v>
      </x:c>
      <x:c r="K12" s="44" t="str">
        <x:f>IF(J12&gt;=0,"PASS","FAIL")</x:f>
        <x:v>PASS</x:v>
      </x:c>
    </x:row>
    <x:row r="13">
      <x:c r="B13" s="44" t="str">
        <x:v>FE-07</x:v>
      </x:c>
      <x:c r="C13" s="57" t="n">
        <x:v>18</x:v>
      </x:c>
      <x:c r="D13" s="57" t="n">
        <x:v>90</x:v>
      </x:c>
      <x:c r="E13" s="57" t="n">
        <x:v>2.5</x:v>
      </x:c>
      <x:c r="F13" s="57" t="n">
        <x:f>C13*D13*PI()/180*E13</x:f>
        <x:v>70.68583470577033</x:v>
      </x:c>
      <x:c r="G13" s="57" t="n">
        <x:f>F13*'Controls'!$D$57</x:f>
        <x:v>141.37166941154067</x:v>
      </x:c>
      <x:c r="H13" s="57" t="n">
        <x:v>0.6</x:v>
      </x:c>
      <x:c r="I13" s="57" t="n">
        <x:f>G13*H13</x:f>
        <x:v>84.8230016469244</x:v>
      </x:c>
      <x:c r="J13" s="57" t="n">
        <x:f>I13-F13</x:f>
        <x:v>14.137166941154064</x:v>
      </x:c>
      <x:c r="K13" s="44" t="str">
        <x:f>IF(J13&gt;=0,"PASS","FAIL")</x:f>
        <x:v>PASS</x:v>
      </x:c>
    </x:row>
    <x:row r="14">
      <x:c r="B14" s="44" t="str">
        <x:v>FE-08</x:v>
      </x:c>
      <x:c r="C14" s="57" t="n">
        <x:v>25</x:v>
      </x:c>
      <x:c r="D14" s="57" t="n">
        <x:v>90</x:v>
      </x:c>
      <x:c r="E14" s="57" t="n">
        <x:v>2.5</x:v>
      </x:c>
      <x:c r="F14" s="57" t="n">
        <x:f>C14*D14*PI()/180*E14</x:f>
        <x:v>98.17477042468104</x:v>
      </x:c>
      <x:c r="G14" s="57" t="n">
        <x:f>F14*'Controls'!$D$57</x:f>
        <x:v>196.34954084936209</x:v>
      </x:c>
      <x:c r="H14" s="57" t="n">
        <x:v>0.6</x:v>
      </x:c>
      <x:c r="I14" s="57" t="n">
        <x:f>G14*H14</x:f>
        <x:v>117.80972450961724</x:v>
      </x:c>
      <x:c r="J14" s="57" t="n">
        <x:f>I14-F14</x:f>
        <x:v>19.634954084936197</x:v>
      </x:c>
      <x:c r="K14" s="44" t="str">
        <x:f>IF(J14&gt;=0,"PASS","FAIL")</x:f>
        <x:v>PASS</x:v>
      </x:c>
    </x:row>
    <x:row r="15">
      <x:c r="B15" s="44" t="str">
        <x:v>FE-09</x:v>
      </x:c>
      <x:c r="C15" s="57" t="n">
        <x:v>5</x:v>
      </x:c>
      <x:c r="D15" s="57" t="n">
        <x:v>60</x:v>
      </x:c>
      <x:c r="E15" s="57" t="n">
        <x:v>2.5</x:v>
      </x:c>
      <x:c r="F15" s="57" t="n">
        <x:f>C15*D15*PI()/180*E15</x:f>
        <x:v>13.089969389957473</x:v>
      </x:c>
      <x:c r="G15" s="57" t="n">
        <x:f>F15*'Controls'!$D$57</x:f>
        <x:v>26.179938779914945</x:v>
      </x:c>
      <x:c r="H15" s="57" t="n">
        <x:v>0.6</x:v>
      </x:c>
      <x:c r="I15" s="57" t="n">
        <x:f>G15*H15</x:f>
        <x:v>15.707963267948966</x:v>
      </x:c>
      <x:c r="J15" s="57" t="n">
        <x:f>I15-F15</x:f>
        <x:v>2.617993877991493</x:v>
      </x:c>
      <x:c r="K15" s="44" t="str">
        <x:f>IF(J15&gt;=0,"PASS","FAIL")</x:f>
        <x:v>PASS</x:v>
      </x:c>
    </x:row>
    <x:row r="16">
      <x:c r="B16" s="44" t="str">
        <x:v>FE-10</x:v>
      </x:c>
      <x:c r="C16" s="57" t="n">
        <x:v>2</x:v>
      </x:c>
      <x:c r="D16" s="57" t="n">
        <x:v>45</x:v>
      </x:c>
      <x:c r="E16" s="57" t="n">
        <x:v>2.5</x:v>
      </x:c>
      <x:c r="F16" s="57" t="n">
        <x:f>C16*D16*PI()/180*E16</x:f>
        <x:v>3.9269908169872414</x:v>
      </x:c>
      <x:c r="G16" s="57" t="n">
        <x:f>F16*'Controls'!$D$57</x:f>
        <x:v>7.853981633974483</x:v>
      </x:c>
      <x:c r="H16" s="57" t="n">
        <x:v>0.6</x:v>
      </x:c>
      <x:c r="I16" s="57" t="n">
        <x:f>G16*H16</x:f>
        <x:v>4.71238898038469</x:v>
      </x:c>
      <x:c r="J16" s="57" t="n">
        <x:f>I16-F16</x:f>
        <x:v>0.7853981633974483</x:v>
      </x:c>
      <x:c r="K16" s="44" t="str">
        <x:f>IF(J16&gt;=0,"PASS","FAIL")</x:f>
        <x:v>PASS</x:v>
      </x:c>
    </x:row>
    <x:row r="17">
      <x:c r="B17" s="44" t="str">
        <x:v>FE-11</x:v>
      </x:c>
      <x:c r="C17" s="57" t="n">
        <x:v>20</x:v>
      </x:c>
      <x:c r="D17" s="57" t="n">
        <x:v>90</x:v>
      </x:c>
      <x:c r="E17" s="57" t="n">
        <x:v>2.5</x:v>
      </x:c>
      <x:c r="F17" s="57" t="n">
        <x:f>C17*D17*PI()/180*E17</x:f>
        <x:v>78.53981633974483</x:v>
      </x:c>
      <x:c r="G17" s="57" t="n">
        <x:f>F17*'Controls'!$D$57</x:f>
        <x:v>157.07963267948966</x:v>
      </x:c>
      <x:c r="H17" s="57" t="n">
        <x:v>0.6</x:v>
      </x:c>
      <x:c r="I17" s="57" t="n">
        <x:f>G17*H17</x:f>
        <x:v>94.2477796076938</x:v>
      </x:c>
      <x:c r="J17" s="57" t="n">
        <x:f>I17-F17</x:f>
        <x:v>15.70796326794897</x:v>
      </x:c>
      <x:c r="K17" s="44" t="str">
        <x:f>IF(J17&gt;=0,"PASS","FAIL")</x:f>
        <x:v>PASS</x:v>
      </x:c>
    </x:row>
    <x:row r="18">
      <x:c r="B18" s="44" t="str">
        <x:v>FE-12</x:v>
      </x:c>
      <x:c r="C18" s="57" t="n">
        <x:v>1</x:v>
      </x:c>
      <x:c r="D18" s="57" t="n">
        <x:v>30</x:v>
      </x:c>
      <x:c r="E18" s="57" t="n">
        <x:v>2.5</x:v>
      </x:c>
      <x:c r="F18" s="57" t="n">
        <x:f>C18*D18*PI()/180*E18</x:f>
        <x:v>1.308996938995747</x:v>
      </x:c>
      <x:c r="G18" s="57" t="n">
        <x:f>F18*'Controls'!$D$57</x:f>
        <x:v>2.617993877991494</x:v>
      </x:c>
      <x:c r="H18" s="57" t="n">
        <x:v>0.6</x:v>
      </x:c>
      <x:c r="I18" s="57" t="n">
        <x:f>G18*H18</x:f>
        <x:v>1.5707963267948963</x:v>
      </x:c>
      <x:c r="J18" s="57" t="n">
        <x:f>I18-F18</x:f>
        <x:v>0.26179938779914935</x:v>
      </x:c>
      <x:c r="K18" s="44" t="str">
        <x:f>IF(J18&gt;=0,"PASS","FAIL")</x:f>
        <x:v>PASS</x:v>
      </x:c>
    </x:row>
  </x:sheetData>
  <x:conditionalFormatting sqref="K7:K18">
    <x:cfRule type="containsText" dxfId="70" priority="1" operator="containsText" text="FAIL"/>
    <x:cfRule type="containsText" dxfId="71" priority="2" operator="containsText" text="BLOCKED"/>
    <x:cfRule type="containsText" dxfId="72" priority="3" operator="containsText" text="OPEN"/>
    <x:cfRule type="containsText" dxfId="73" priority="4" operator="containsText" text="PASS"/>
    <x:cfRule type="containsText" dxfId="74" priority="5" operator="containsText" text="PLANNE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17" hidden="0" customWidth="1"/>
    <x:col min="4" max="4" width="17" hidden="0" customWidth="1"/>
    <x:col min="5" max="5" width="18" hidden="0" customWidth="1"/>
  </x:cols>
  <x:sheetData>
    <x:row r="2">
      <x:c r="B2" s="41" t="str">
        <x:v>Independent electrical survival budget</x:v>
      </x:c>
      <x:c r="C2" s="42"/>
      <x:c r="D2" s="42"/>
      <x:c r="E2" s="42"/>
    </x:row>
    <x:row r="3">
      <x:c r="B3" s="43" t="str">
        <x:v>The shared pack must support all declared services concurrently and retain margin at 60 percent stored energy.</x:v>
      </x:c>
      <x:c r="C3" s="42"/>
      <x:c r="D3" s="42"/>
      <x:c r="E3" s="42"/>
    </x:row>
    <x:row r="4">
      <x:c r="B4" s="42"/>
      <x:c r="C4" s="42"/>
      <x:c r="D4" s="42"/>
      <x:c r="E4" s="42"/>
    </x:row>
    <x:row r="5">
      <x:c r="B5" s="42"/>
      <x:c r="C5" s="42"/>
      <x:c r="D5" s="42"/>
      <x:c r="E5" s="42"/>
    </x:row>
    <x:row r="6" ht="25" customHeight="1">
      <x:c r="B6" s="6" t="str">
        <x:v>Load</x:v>
      </x:c>
      <x:c r="C6" s="6" t="str">
        <x:v>Power W</x:v>
      </x:c>
      <x:c r="D6" s="6" t="str">
        <x:v>Interval s</x:v>
      </x:c>
      <x:c r="E6" s="6" t="str">
        <x:v>Energy Wh</x:v>
      </x:c>
    </x:row>
    <x:row r="7">
      <x:c r="B7" s="44" t="str">
        <x:v>state and boundary sensing</x:v>
      </x:c>
      <x:c r="C7" s="57" t="n">
        <x:v>80</x:v>
      </x:c>
      <x:c r="D7" s="57" t="n">
        <x:v>900</x:v>
      </x:c>
      <x:c r="E7" s="57" t="n">
        <x:f>C7*D7/3600</x:f>
        <x:v>20</x:v>
      </x:c>
    </x:row>
    <x:row r="8">
      <x:c r="B8" s="44" t="str">
        <x:v>local evidence recorder</x:v>
      </x:c>
      <x:c r="C8" s="57" t="n">
        <x:v>120</x:v>
      </x:c>
      <x:c r="D8" s="57" t="n">
        <x:v>900</x:v>
      </x:c>
      <x:c r="E8" s="57" t="n">
        <x:f>C8*D8/3600</x:f>
        <x:v>30</x:v>
      </x:c>
    </x:row>
    <x:row r="9">
      <x:c r="B9" s="44" t="str">
        <x:v>causal-time root</x:v>
      </x:c>
      <x:c r="C9" s="57" t="n">
        <x:v>25</x:v>
      </x:c>
      <x:c r="D9" s="57" t="n">
        <x:v>14400</x:v>
      </x:c>
      <x:c r="E9" s="57" t="n">
        <x:f>C9*D9/3600</x:f>
        <x:v>100</x:v>
      </x:c>
    </x:row>
    <x:row r="10">
      <x:c r="B10" s="44" t="str">
        <x:v>release electronics</x:v>
      </x:c>
      <x:c r="C10" s="57" t="n">
        <x:v>25</x:v>
      </x:c>
      <x:c r="D10" s="57" t="n">
        <x:v>900</x:v>
      </x:c>
      <x:c r="E10" s="57" t="n">
        <x:f>C10*D10/3600</x:f>
        <x:v>6.25</x:v>
      </x:c>
    </x:row>
    <x:row r="11">
      <x:c r="B11" s="42"/>
      <x:c r="C11" s="58"/>
      <x:c r="D11" s="58"/>
      <x:c r="E11" s="58"/>
    </x:row>
    <x:row r="12">
      <x:c r="B12" s="46" t="str">
        <x:v>BASE REQUIREMENT</x:v>
      </x:c>
      <x:c r="C12" s="59" t="n">
        <x:f>SUM(E7:E10)</x:f>
        <x:v>156.25</x:v>
      </x:c>
      <x:c r="D12" s="59" t="str">
        <x:v>Wh</x:v>
      </x:c>
      <x:c r="E12" s="62" t="str">
        <x:f>IF(C12&gt;0,"PASS","FAIL")</x:f>
        <x:v>PASS</x:v>
      </x:c>
    </x:row>
    <x:row r="13">
      <x:c r="B13" s="49" t="str">
        <x:v>WITH RESERVE</x:v>
      </x:c>
      <x:c r="C13" s="63" t="n">
        <x:f>C12*'Controls'!$D$61</x:f>
        <x:v>203.125</x:v>
      </x:c>
      <x:c r="D13" s="63" t="str">
        <x:v>Wh</x:v>
      </x:c>
      <x:c r="E13" s="64" t="str">
        <x:f>IF(C13&gt;=C12,"PASS","FAIL")</x:f>
        <x:v>PASS</x:v>
      </x:c>
    </x:row>
    <x:row r="14">
      <x:c r="B14" s="49" t="str">
        <x:v>INSTALLED</x:v>
      </x:c>
      <x:c r="C14" s="63" t="n">
        <x:f>'Controls'!$D$62</x:f>
        <x:v>400</x:v>
      </x:c>
      <x:c r="D14" s="63" t="str">
        <x:v>Wh</x:v>
      </x:c>
      <x:c r="E14" s="64" t="str">
        <x:f>IF(C14&gt;=C13,"PASS","FAIL")</x:f>
        <x:v>PASS</x:v>
      </x:c>
    </x:row>
    <x:row r="15">
      <x:c r="B15" s="49" t="str">
        <x:v>AVAILABLE AT LOW STATE</x:v>
      </x:c>
      <x:c r="C15" s="63" t="n">
        <x:f>C14*'Controls'!$D$58</x:f>
        <x:v>240</x:v>
      </x:c>
      <x:c r="D15" s="63" t="str">
        <x:v>Wh</x:v>
      </x:c>
      <x:c r="E15" s="64" t="str">
        <x:f>IF(C15&gt;=C13,"PASS","FAIL")</x:f>
        <x:v>PASS</x:v>
      </x:c>
    </x:row>
    <x:row r="16">
      <x:c r="B16" s="52" t="str">
        <x:v>MARGIN</x:v>
      </x:c>
      <x:c r="C16" s="60" t="n">
        <x:f>C15-C13</x:f>
        <x:v>36.875</x:v>
      </x:c>
      <x:c r="D16" s="60" t="str">
        <x:v>Wh</x:v>
      </x:c>
      <x:c r="E16" s="65" t="str">
        <x:f>IF(C16&gt;=0,"PASS","FAIL")</x:f>
        <x:v>PASS</x:v>
      </x:c>
    </x:row>
  </x:sheetData>
  <x:conditionalFormatting sqref="E12:E16">
    <x:cfRule type="containsText" dxfId="75" priority="1" operator="containsText" text="FAIL"/>
    <x:cfRule type="containsText" dxfId="76" priority="2" operator="containsText" text="BLOCKED"/>
    <x:cfRule type="containsText" dxfId="77" priority="3" operator="containsText" text="OPEN"/>
    <x:cfRule type="containsText" dxfId="78" priority="4" operator="containsText" text="PASS"/>
    <x:cfRule type="containsText" dxfId="79" priority="5" operator="containsText" text="PLANNED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19" hidden="0" customWidth="1"/>
    <x:col min="5" max="5" width="22" hidden="0" customWidth="1"/>
    <x:col min="6" max="6" width="20" hidden="0" customWidth="1"/>
    <x:col min="7" max="7" width="21" hidden="0" customWidth="1"/>
    <x:col min="8" max="8" width="16" hidden="0" customWidth="1"/>
    <x:col min="9" max="9" width="27" hidden="0" customWidth="1"/>
    <x:col min="10" max="10" width="25" hidden="0" customWidth="1"/>
    <x:col min="11" max="11" width="14" hidden="0" customWidth="1"/>
  </x:cols>
  <x:sheetData>
    <x:row r="2">
      <x:c r="B2" s="41" t="str">
        <x:v>Twenty-four physical instrument families</x:v>
      </x:c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B3" s="43" t="str">
        <x:v>Each family has six article instances in RAP-1. RAC-1 defines mounting, power, time and evidence interfaces.</x:v>
      </x:c>
      <x:c r="C3" s="42"/>
      <x:c r="D3" s="42"/>
      <x:c r="E3" s="42"/>
      <x:c r="F3" s="42"/>
      <x:c r="G3" s="42"/>
      <x:c r="H3" s="42"/>
      <x:c r="I3" s="42"/>
      <x:c r="J3" s="42"/>
      <x:c r="K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</x:row>
    <x:row r="6" ht="25" customHeight="1">
      <x:c r="B6" s="6" t="str">
        <x:v>Interface</x:v>
      </x:c>
      <x:c r="C6" s="6" t="str">
        <x:v>Family</x:v>
      </x:c>
      <x:c r="D6" s="6" t="str">
        <x:v>Instances/article</x:v>
      </x:c>
      <x:c r="E6" s="6" t="str">
        <x:v>Boundary</x:v>
      </x:c>
      <x:c r="F6" s="6" t="str">
        <x:v>Drawing station</x:v>
      </x:c>
      <x:c r="G6" s="6" t="str">
        <x:v>Maximum power W</x:v>
      </x:c>
      <x:c r="H6" s="6" t="str">
        <x:v>Update Hz</x:v>
      </x:c>
      <x:c r="I6" s="6" t="str">
        <x:v>Power class</x:v>
      </x:c>
      <x:c r="J6" s="6" t="str">
        <x:v>Evidence class</x:v>
      </x:c>
      <x:c r="K6" s="6" t="str">
        <x:v>State</x:v>
      </x:c>
    </x:row>
    <x:row r="7" ht="34" customHeight="1">
      <x:c r="B7" s="44" t="str">
        <x:v>IF-01</x:v>
      </x:c>
      <x:c r="C7" s="45" t="str">
        <x:v>source-vessel mass</x:v>
      </x:c>
      <x:c r="D7" s="44" t="n">
        <x:v>6</x:v>
      </x:c>
      <x:c r="E7" s="44" t="str">
        <x:v>wetted or clamp-on</x:v>
      </x:c>
      <x:c r="F7" s="44" t="str">
        <x:v>S2-01</x:v>
      </x:c>
      <x:c r="G7" s="44" t="n">
        <x:v>200</x:v>
      </x:c>
      <x:c r="H7" s="44" t="n">
        <x:v>1000</x:v>
      </x:c>
      <x:c r="I7" s="44" t="str">
        <x:v>two unlike power paths</x:v>
      </x:c>
      <x:c r="J7" s="44" t="str">
        <x:v>two native originals</x:v>
      </x:c>
      <x:c r="K7" s="44" t="str">
        <x:v>OPEN</x:v>
      </x:c>
    </x:row>
    <x:row r="8" ht="34" customHeight="1">
      <x:c r="B8" s="44" t="str">
        <x:v>IF-02</x:v>
      </x:c>
      <x:c r="C8" s="45" t="str">
        <x:v>integrated transfer mass</x:v>
      </x:c>
      <x:c r="D8" s="44" t="n">
        <x:v>6</x:v>
      </x:c>
      <x:c r="E8" s="44" t="str">
        <x:v>wetted or clamp-on</x:v>
      </x:c>
      <x:c r="F8" s="44" t="str">
        <x:v>S2-02</x:v>
      </x:c>
      <x:c r="G8" s="44" t="n">
        <x:v>200</x:v>
      </x:c>
      <x:c r="H8" s="44" t="n">
        <x:v>1000</x:v>
      </x:c>
      <x:c r="I8" s="44" t="str">
        <x:v>two unlike power paths</x:v>
      </x:c>
      <x:c r="J8" s="44" t="str">
        <x:v>two native originals</x:v>
      </x:c>
      <x:c r="K8" s="44" t="str">
        <x:v>OPEN</x:v>
      </x:c>
    </x:row>
    <x:row r="9" ht="34" customHeight="1">
      <x:c r="B9" s="44" t="str">
        <x:v>IF-03</x:v>
      </x:c>
      <x:c r="C9" s="45" t="str">
        <x:v>line pressure</x:v>
      </x:c>
      <x:c r="D9" s="44" t="n">
        <x:v>6</x:v>
      </x:c>
      <x:c r="E9" s="44" t="str">
        <x:v>wetted or clamp-on</x:v>
      </x:c>
      <x:c r="F9" s="44" t="str">
        <x:v>S2-03</x:v>
      </x:c>
      <x:c r="G9" s="44" t="n">
        <x:v>200</x:v>
      </x:c>
      <x:c r="H9" s="44" t="n">
        <x:v>1000</x:v>
      </x:c>
      <x:c r="I9" s="44" t="str">
        <x:v>two unlike power paths</x:v>
      </x:c>
      <x:c r="J9" s="44" t="str">
        <x:v>two native originals</x:v>
      </x:c>
      <x:c r="K9" s="44" t="str">
        <x:v>OPEN</x:v>
      </x:c>
    </x:row>
    <x:row r="10" ht="34" customHeight="1">
      <x:c r="B10" s="44" t="str">
        <x:v>IF-04</x:v>
      </x:c>
      <x:c r="C10" s="45" t="str">
        <x:v>line temperature</x:v>
      </x:c>
      <x:c r="D10" s="44" t="n">
        <x:v>6</x:v>
      </x:c>
      <x:c r="E10" s="44" t="str">
        <x:v>wetted or clamp-on</x:v>
      </x:c>
      <x:c r="F10" s="44" t="str">
        <x:v>S2-04</x:v>
      </x:c>
      <x:c r="G10" s="44" t="n">
        <x:v>200</x:v>
      </x:c>
      <x:c r="H10" s="44" t="n">
        <x:v>1000</x:v>
      </x:c>
      <x:c r="I10" s="44" t="str">
        <x:v>two unlike power paths</x:v>
      </x:c>
      <x:c r="J10" s="44" t="str">
        <x:v>two native originals</x:v>
      </x:c>
      <x:c r="K10" s="44" t="str">
        <x:v>OPEN</x:v>
      </x:c>
    </x:row>
    <x:row r="11" ht="34" customHeight="1">
      <x:c r="B11" s="44" t="str">
        <x:v>IF-05</x:v>
      </x:c>
      <x:c r="C11" s="45" t="str">
        <x:v>hold-up tomography</x:v>
      </x:c>
      <x:c r="D11" s="44" t="n">
        <x:v>6</x:v>
      </x:c>
      <x:c r="E11" s="44" t="str">
        <x:v>wetted or clamp-on</x:v>
      </x:c>
      <x:c r="F11" s="44" t="str">
        <x:v>S2-05</x:v>
      </x:c>
      <x:c r="G11" s="44" t="n">
        <x:v>200</x:v>
      </x:c>
      <x:c r="H11" s="44" t="n">
        <x:v>1000</x:v>
      </x:c>
      <x:c r="I11" s="44" t="str">
        <x:v>two unlike power paths</x:v>
      </x:c>
      <x:c r="J11" s="44" t="str">
        <x:v>two native originals</x:v>
      </x:c>
      <x:c r="K11" s="44" t="str">
        <x:v>OPEN</x:v>
      </x:c>
    </x:row>
    <x:row r="12" ht="34" customHeight="1">
      <x:c r="B12" s="44" t="str">
        <x:v>IF-06</x:v>
      </x:c>
      <x:c r="C12" s="45" t="str">
        <x:v>pan level</x:v>
      </x:c>
      <x:c r="D12" s="44" t="n">
        <x:v>6</x:v>
      </x:c>
      <x:c r="E12" s="44" t="str">
        <x:v>dry</x:v>
      </x:c>
      <x:c r="F12" s="44" t="str">
        <x:v>S3</x:v>
      </x:c>
      <x:c r="G12" s="44" t="n">
        <x:v>200</x:v>
      </x:c>
      <x:c r="H12" s="44" t="n">
        <x:v>1000</x:v>
      </x:c>
      <x:c r="I12" s="44" t="str">
        <x:v>two unlike power paths</x:v>
      </x:c>
      <x:c r="J12" s="44" t="str">
        <x:v>two native originals</x:v>
      </x:c>
      <x:c r="K12" s="44" t="str">
        <x:v>OPEN</x:v>
      </x:c>
    </x:row>
    <x:row r="13" ht="34" customHeight="1">
      <x:c r="B13" s="44" t="str">
        <x:v>IF-07</x:v>
      </x:c>
      <x:c r="C13" s="45" t="str">
        <x:v>normal receiver mass</x:v>
      </x:c>
      <x:c r="D13" s="44" t="n">
        <x:v>6</x:v>
      </x:c>
      <x:c r="E13" s="44" t="str">
        <x:v>dry</x:v>
      </x:c>
      <x:c r="F13" s="44" t="str">
        <x:v>S3</x:v>
      </x:c>
      <x:c r="G13" s="44" t="n">
        <x:v>200</x:v>
      </x:c>
      <x:c r="H13" s="44" t="n">
        <x:v>1000</x:v>
      </x:c>
      <x:c r="I13" s="44" t="str">
        <x:v>two unlike power paths</x:v>
      </x:c>
      <x:c r="J13" s="44" t="str">
        <x:v>two native originals</x:v>
      </x:c>
      <x:c r="K13" s="44" t="str">
        <x:v>OPEN</x:v>
      </x:c>
    </x:row>
    <x:row r="14" ht="34" customHeight="1">
      <x:c r="B14" s="44" t="str">
        <x:v>IF-08</x:v>
      </x:c>
      <x:c r="C14" s="45" t="str">
        <x:v>casualty receiver mass</x:v>
      </x:c>
      <x:c r="D14" s="44" t="n">
        <x:v>6</x:v>
      </x:c>
      <x:c r="E14" s="44" t="str">
        <x:v>dry</x:v>
      </x:c>
      <x:c r="F14" s="44" t="str">
        <x:v>S3</x:v>
      </x:c>
      <x:c r="G14" s="44" t="n">
        <x:v>200</x:v>
      </x:c>
      <x:c r="H14" s="44" t="n">
        <x:v>1000</x:v>
      </x:c>
      <x:c r="I14" s="44" t="str">
        <x:v>two unlike power paths</x:v>
      </x:c>
      <x:c r="J14" s="44" t="str">
        <x:v>two native originals</x:v>
      </x:c>
      <x:c r="K14" s="44" t="str">
        <x:v>OPEN</x:v>
      </x:c>
    </x:row>
    <x:row r="15" ht="34" customHeight="1">
      <x:c r="B15" s="44" t="str">
        <x:v>IF-09</x:v>
      </x:c>
      <x:c r="C15" s="45" t="str">
        <x:v>geometry and slope</x:v>
      </x:c>
      <x:c r="D15" s="44" t="n">
        <x:v>6</x:v>
      </x:c>
      <x:c r="E15" s="44" t="str">
        <x:v>dry</x:v>
      </x:c>
      <x:c r="F15" s="44" t="str">
        <x:v>S3</x:v>
      </x:c>
      <x:c r="G15" s="44" t="n">
        <x:v>200</x:v>
      </x:c>
      <x:c r="H15" s="44" t="n">
        <x:v>1000</x:v>
      </x:c>
      <x:c r="I15" s="44" t="str">
        <x:v>two unlike power paths</x:v>
      </x:c>
      <x:c r="J15" s="44" t="str">
        <x:v>two native originals</x:v>
      </x:c>
      <x:c r="K15" s="44" t="str">
        <x:v>OPEN</x:v>
      </x:c>
    </x:row>
    <x:row r="16" ht="34" customHeight="1">
      <x:c r="B16" s="44" t="str">
        <x:v>IF-10</x:v>
      </x:c>
      <x:c r="C16" s="45" t="str">
        <x:v>primary state witness</x:v>
      </x:c>
      <x:c r="D16" s="44" t="n">
        <x:v>6</x:v>
      </x:c>
      <x:c r="E16" s="44" t="str">
        <x:v>dry</x:v>
      </x:c>
      <x:c r="F16" s="44" t="str">
        <x:v>S4</x:v>
      </x:c>
      <x:c r="G16" s="44" t="n">
        <x:v>200</x:v>
      </x:c>
      <x:c r="H16" s="44" t="n">
        <x:v>1000</x:v>
      </x:c>
      <x:c r="I16" s="44" t="str">
        <x:v>two unlike power paths</x:v>
      </x:c>
      <x:c r="J16" s="44" t="str">
        <x:v>two native originals</x:v>
      </x:c>
      <x:c r="K16" s="44" t="str">
        <x:v>OPEN</x:v>
      </x:c>
    </x:row>
    <x:row r="17" ht="34" customHeight="1">
      <x:c r="B17" s="44" t="str">
        <x:v>IF-11</x:v>
      </x:c>
      <x:c r="C17" s="45" t="str">
        <x:v>diverse state witness</x:v>
      </x:c>
      <x:c r="D17" s="44" t="n">
        <x:v>6</x:v>
      </x:c>
      <x:c r="E17" s="44" t="str">
        <x:v>dry</x:v>
      </x:c>
      <x:c r="F17" s="44" t="str">
        <x:v>S4</x:v>
      </x:c>
      <x:c r="G17" s="44" t="n">
        <x:v>200</x:v>
      </x:c>
      <x:c r="H17" s="44" t="n">
        <x:v>1000</x:v>
      </x:c>
      <x:c r="I17" s="44" t="str">
        <x:v>two unlike power paths</x:v>
      </x:c>
      <x:c r="J17" s="44" t="str">
        <x:v>two native originals</x:v>
      </x:c>
      <x:c r="K17" s="44" t="str">
        <x:v>OPEN</x:v>
      </x:c>
    </x:row>
    <x:row r="18" ht="34" customHeight="1">
      <x:c r="B18" s="44" t="str">
        <x:v>IF-12</x:v>
      </x:c>
      <x:c r="C18" s="45" t="str">
        <x:v>manual state witness</x:v>
      </x:c>
      <x:c r="D18" s="44" t="n">
        <x:v>6</x:v>
      </x:c>
      <x:c r="E18" s="44" t="str">
        <x:v>dry</x:v>
      </x:c>
      <x:c r="F18" s="44" t="str">
        <x:v>S4</x:v>
      </x:c>
      <x:c r="G18" s="44" t="n">
        <x:v>200</x:v>
      </x:c>
      <x:c r="H18" s="44" t="n">
        <x:v>1000</x:v>
      </x:c>
      <x:c r="I18" s="44" t="str">
        <x:v>two unlike power paths</x:v>
      </x:c>
      <x:c r="J18" s="44" t="str">
        <x:v>two native originals</x:v>
      </x:c>
      <x:c r="K18" s="44" t="str">
        <x:v>OPEN</x:v>
      </x:c>
    </x:row>
    <x:row r="19" ht="34" customHeight="1">
      <x:c r="B19" s="44" t="str">
        <x:v>IF-13</x:v>
      </x:c>
      <x:c r="C19" s="45" t="str">
        <x:v>final-element reference</x:v>
      </x:c>
      <x:c r="D19" s="44" t="n">
        <x:v>6</x:v>
      </x:c>
      <x:c r="E19" s="44" t="str">
        <x:v>dry</x:v>
      </x:c>
      <x:c r="F19" s="44" t="str">
        <x:v>S4</x:v>
      </x:c>
      <x:c r="G19" s="44" t="n">
        <x:v>200</x:v>
      </x:c>
      <x:c r="H19" s="44" t="n">
        <x:v>1000</x:v>
      </x:c>
      <x:c r="I19" s="44" t="str">
        <x:v>two unlike power paths</x:v>
      </x:c>
      <x:c r="J19" s="44" t="str">
        <x:v>two native originals</x:v>
      </x:c>
      <x:c r="K19" s="44" t="str">
        <x:v>OPEN</x:v>
      </x:c>
    </x:row>
    <x:row r="20" ht="34" customHeight="1">
      <x:c r="B20" s="44" t="str">
        <x:v>IF-14</x:v>
      </x:c>
      <x:c r="C20" s="45" t="str">
        <x:v>causal time</x:v>
      </x:c>
      <x:c r="D20" s="44" t="n">
        <x:v>6</x:v>
      </x:c>
      <x:c r="E20" s="44" t="str">
        <x:v>dry</x:v>
      </x:c>
      <x:c r="F20" s="44" t="str">
        <x:v>S4</x:v>
      </x:c>
      <x:c r="G20" s="44" t="n">
        <x:v>5</x:v>
      </x:c>
      <x:c r="H20" s="44" t="n">
        <x:v>1000000</x:v>
      </x:c>
      <x:c r="I20" s="44" t="str">
        <x:v>two unlike power paths</x:v>
      </x:c>
      <x:c r="J20" s="44" t="str">
        <x:v>two native originals</x:v>
      </x:c>
      <x:c r="K20" s="44" t="str">
        <x:v>OPEN</x:v>
      </x:c>
    </x:row>
    <x:row r="21" ht="34" customHeight="1">
      <x:c r="B21" s="44" t="str">
        <x:v>IF-15</x:v>
      </x:c>
      <x:c r="C21" s="45" t="str">
        <x:v>primary motive energy</x:v>
      </x:c>
      <x:c r="D21" s="44" t="n">
        <x:v>6</x:v>
      </x:c>
      <x:c r="E21" s="44" t="str">
        <x:v>dry</x:v>
      </x:c>
      <x:c r="F21" s="44" t="str">
        <x:v>S4</x:v>
      </x:c>
      <x:c r="G21" s="44" t="n">
        <x:v>50</x:v>
      </x:c>
      <x:c r="H21" s="44" t="n">
        <x:v>100</x:v>
      </x:c>
      <x:c r="I21" s="44" t="str">
        <x:v>two unlike power paths</x:v>
      </x:c>
      <x:c r="J21" s="44" t="str">
        <x:v>two native originals</x:v>
      </x:c>
      <x:c r="K21" s="44" t="str">
        <x:v>OPEN</x:v>
      </x:c>
    </x:row>
    <x:row r="22" ht="34" customHeight="1">
      <x:c r="B22" s="44" t="str">
        <x:v>IF-16</x:v>
      </x:c>
      <x:c r="C22" s="45" t="str">
        <x:v>diverse motive energy</x:v>
      </x:c>
      <x:c r="D22" s="44" t="n">
        <x:v>6</x:v>
      </x:c>
      <x:c r="E22" s="44" t="str">
        <x:v>dry</x:v>
      </x:c>
      <x:c r="F22" s="44" t="str">
        <x:v>S4</x:v>
      </x:c>
      <x:c r="G22" s="44" t="n">
        <x:v>50</x:v>
      </x:c>
      <x:c r="H22" s="44" t="n">
        <x:v>100</x:v>
      </x:c>
      <x:c r="I22" s="44" t="str">
        <x:v>two unlike power paths</x:v>
      </x:c>
      <x:c r="J22" s="44" t="str">
        <x:v>two native originals</x:v>
      </x:c>
      <x:c r="K22" s="44" t="str">
        <x:v>OPEN</x:v>
      </x:c>
    </x:row>
    <x:row r="23" ht="34" customHeight="1">
      <x:c r="B23" s="44" t="str">
        <x:v>IF-17</x:v>
      </x:c>
      <x:c r="C23" s="45" t="str">
        <x:v>normal power</x:v>
      </x:c>
      <x:c r="D23" s="44" t="n">
        <x:v>6</x:v>
      </x:c>
      <x:c r="E23" s="44" t="str">
        <x:v>dry</x:v>
      </x:c>
      <x:c r="F23" s="44" t="str">
        <x:v>S4</x:v>
      </x:c>
      <x:c r="G23" s="44" t="n">
        <x:v>50</x:v>
      </x:c>
      <x:c r="H23" s="44" t="n">
        <x:v>100</x:v>
      </x:c>
      <x:c r="I23" s="44" t="str">
        <x:v>two unlike power paths</x:v>
      </x:c>
      <x:c r="J23" s="44" t="str">
        <x:v>two native originals</x:v>
      </x:c>
      <x:c r="K23" s="44" t="str">
        <x:v>OPEN</x:v>
      </x:c>
    </x:row>
    <x:row r="24" ht="34" customHeight="1">
      <x:c r="B24" s="44" t="str">
        <x:v>IF-18</x:v>
      </x:c>
      <x:c r="C24" s="45" t="str">
        <x:v>independent power</x:v>
      </x:c>
      <x:c r="D24" s="44" t="n">
        <x:v>6</x:v>
      </x:c>
      <x:c r="E24" s="44" t="str">
        <x:v>dry</x:v>
      </x:c>
      <x:c r="F24" s="44" t="str">
        <x:v>S6</x:v>
      </x:c>
      <x:c r="G24" s="44" t="n">
        <x:v>50</x:v>
      </x:c>
      <x:c r="H24" s="44" t="n">
        <x:v>100</x:v>
      </x:c>
      <x:c r="I24" s="44" t="str">
        <x:v>two unlike power paths</x:v>
      </x:c>
      <x:c r="J24" s="44" t="str">
        <x:v>two native originals</x:v>
      </x:c>
      <x:c r="K24" s="44" t="str">
        <x:v>OPEN</x:v>
      </x:c>
    </x:row>
    <x:row r="25" ht="34" customHeight="1">
      <x:c r="B25" s="44" t="str">
        <x:v>IF-19</x:v>
      </x:c>
      <x:c r="C25" s="45" t="str">
        <x:v>leak collection</x:v>
      </x:c>
      <x:c r="D25" s="44" t="n">
        <x:v>6</x:v>
      </x:c>
      <x:c r="E25" s="44" t="str">
        <x:v>dry</x:v>
      </x:c>
      <x:c r="F25" s="44" t="str">
        <x:v>S6</x:v>
      </x:c>
      <x:c r="G25" s="44" t="n">
        <x:v>50</x:v>
      </x:c>
      <x:c r="H25" s="44" t="n">
        <x:v>100</x:v>
      </x:c>
      <x:c r="I25" s="44" t="str">
        <x:v>two unlike power paths</x:v>
      </x:c>
      <x:c r="J25" s="44" t="str">
        <x:v>two native originals</x:v>
      </x:c>
      <x:c r="K25" s="44" t="str">
        <x:v>OPEN</x:v>
      </x:c>
    </x:row>
    <x:row r="26" ht="34" customHeight="1">
      <x:c r="B26" s="44" t="str">
        <x:v>IF-20</x:v>
      </x:c>
      <x:c r="C26" s="45" t="str">
        <x:v>occupied-area state</x:v>
      </x:c>
      <x:c r="D26" s="44" t="n">
        <x:v>6</x:v>
      </x:c>
      <x:c r="E26" s="44" t="str">
        <x:v>dry</x:v>
      </x:c>
      <x:c r="F26" s="44" t="str">
        <x:v>S6</x:v>
      </x:c>
      <x:c r="G26" s="44" t="n">
        <x:v>50</x:v>
      </x:c>
      <x:c r="H26" s="44" t="n">
        <x:v>100</x:v>
      </x:c>
      <x:c r="I26" s="44" t="str">
        <x:v>two unlike power paths</x:v>
      </x:c>
      <x:c r="J26" s="44" t="str">
        <x:v>two native originals</x:v>
      </x:c>
      <x:c r="K26" s="44" t="str">
        <x:v>OPEN</x:v>
      </x:c>
    </x:row>
    <x:row r="27" ht="34" customHeight="1">
      <x:c r="B27" s="44" t="str">
        <x:v>IF-21</x:v>
      </x:c>
      <x:c r="C27" s="45" t="str">
        <x:v>public-water flow</x:v>
      </x:c>
      <x:c r="D27" s="44" t="n">
        <x:v>6</x:v>
      </x:c>
      <x:c r="E27" s="44" t="str">
        <x:v>wetted or clamp-on</x:v>
      </x:c>
      <x:c r="F27" s="44" t="str">
        <x:v>S6</x:v>
      </x:c>
      <x:c r="G27" s="44" t="n">
        <x:v>50</x:v>
      </x:c>
      <x:c r="H27" s="44" t="n">
        <x:v>100</x:v>
      </x:c>
      <x:c r="I27" s="44" t="str">
        <x:v>two unlike power paths</x:v>
      </x:c>
      <x:c r="J27" s="44" t="str">
        <x:v>two native originals</x:v>
      </x:c>
      <x:c r="K27" s="44" t="str">
        <x:v>OPEN</x:v>
      </x:c>
    </x:row>
    <x:row r="28" ht="34" customHeight="1">
      <x:c r="B28" s="44" t="str">
        <x:v>IF-22</x:v>
      </x:c>
      <x:c r="C28" s="45" t="str">
        <x:v>ancestry root A</x:v>
      </x:c>
      <x:c r="D28" s="44" t="n">
        <x:v>6</x:v>
      </x:c>
      <x:c r="E28" s="44" t="str">
        <x:v>wetted or clamp-on</x:v>
      </x:c>
      <x:c r="F28" s="44" t="str">
        <x:v>S6</x:v>
      </x:c>
      <x:c r="G28" s="44" t="n">
        <x:v>50</x:v>
      </x:c>
      <x:c r="H28" s="44" t="n">
        <x:v>100</x:v>
      </x:c>
      <x:c r="I28" s="44" t="str">
        <x:v>two unlike power paths</x:v>
      </x:c>
      <x:c r="J28" s="44" t="str">
        <x:v>two native originals</x:v>
      </x:c>
      <x:c r="K28" s="44" t="str">
        <x:v>OPEN</x:v>
      </x:c>
    </x:row>
    <x:row r="29" ht="34" customHeight="1">
      <x:c r="B29" s="44" t="str">
        <x:v>IF-23</x:v>
      </x:c>
      <x:c r="C29" s="45" t="str">
        <x:v>ancestry root B</x:v>
      </x:c>
      <x:c r="D29" s="44" t="n">
        <x:v>6</x:v>
      </x:c>
      <x:c r="E29" s="44" t="str">
        <x:v>wetted or clamp-on</x:v>
      </x:c>
      <x:c r="F29" s="44" t="str">
        <x:v>S6</x:v>
      </x:c>
      <x:c r="G29" s="44" t="n">
        <x:v>50</x:v>
      </x:c>
      <x:c r="H29" s="44" t="n">
        <x:v>100</x:v>
      </x:c>
      <x:c r="I29" s="44" t="str">
        <x:v>two unlike power paths</x:v>
      </x:c>
      <x:c r="J29" s="44" t="str">
        <x:v>two native originals</x:v>
      </x:c>
      <x:c r="K29" s="44" t="str">
        <x:v>OPEN</x:v>
      </x:c>
    </x:row>
    <x:row r="30" ht="34" customHeight="1">
      <x:c r="B30" s="44" t="str">
        <x:v>IF-24</x:v>
      </x:c>
      <x:c r="C30" s="45" t="str">
        <x:v>evidence health</x:v>
      </x:c>
      <x:c r="D30" s="44" t="n">
        <x:v>6</x:v>
      </x:c>
      <x:c r="E30" s="44" t="str">
        <x:v>dry</x:v>
      </x:c>
      <x:c r="F30" s="44" t="str">
        <x:v>S6</x:v>
      </x:c>
      <x:c r="G30" s="44" t="n">
        <x:v>50</x:v>
      </x:c>
      <x:c r="H30" s="44" t="n">
        <x:v>100</x:v>
      </x:c>
      <x:c r="I30" s="44" t="str">
        <x:v>two unlike power paths</x:v>
      </x:c>
      <x:c r="J30" s="44" t="str">
        <x:v>two native originals</x:v>
      </x:c>
      <x:c r="K30" s="44" t="str">
        <x:v>OPEN</x:v>
      </x:c>
    </x:row>
  </x:sheetData>
  <x:conditionalFormatting sqref="K7:K30">
    <x:cfRule type="containsText" dxfId="80" priority="1" operator="containsText" text="FAIL"/>
    <x:cfRule type="containsText" dxfId="81" priority="2" operator="containsText" text="BLOCKED"/>
    <x:cfRule type="containsText" dxfId="82" priority="3" operator="containsText" text="OPEN"/>
    <x:cfRule type="containsText" dxfId="83" priority="4" operator="containsText" text="PASS"/>
    <x:cfRule type="containsText" dxfId="84" priority="5" operator="containsText" text="PLANNE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29" hidden="0" customWidth="1"/>
    <x:col min="4" max="4" width="14" hidden="0" customWidth="1"/>
    <x:col min="5" max="5" width="21" hidden="0" customWidth="1"/>
    <x:col min="6" max="6" width="17" hidden="0" customWidth="1"/>
    <x:col min="7" max="7" width="17" hidden="0" customWidth="1"/>
    <x:col min="8" max="8" width="43" hidden="0" customWidth="1"/>
    <x:col min="9" max="9" width="14" hidden="0" customWidth="1"/>
  </x:cols>
  <x:sheetData>
    <x:row r="2">
      <x:c r="B2" s="41" t="str">
        <x:v>Wetted-port and deadleg budget</x:v>
      </x:c>
      <x:c r="C2" s="42"/>
      <x:c r="D2" s="42"/>
      <x:c r="E2" s="42"/>
      <x:c r="F2" s="42"/>
      <x:c r="G2" s="42"/>
      <x:c r="H2" s="42"/>
      <x:c r="I2" s="42"/>
    </x:row>
    <x:row r="3">
      <x:c r="B3" s="43" t="str">
        <x:v>Each port group contributes measured trapped volume. The common ceiling is 0.25 litres across the article.</x:v>
      </x:c>
      <x:c r="C3" s="42"/>
      <x:c r="D3" s="42"/>
      <x:c r="E3" s="42"/>
      <x:c r="F3" s="42"/>
      <x:c r="G3" s="42"/>
      <x:c r="H3" s="42"/>
      <x:c r="I3" s="42"/>
    </x:row>
    <x:row r="4">
      <x:c r="B4" s="42"/>
      <x:c r="C4" s="42"/>
      <x:c r="D4" s="42"/>
      <x:c r="E4" s="42"/>
      <x:c r="F4" s="42"/>
      <x:c r="G4" s="42"/>
      <x:c r="H4" s="42"/>
      <x:c r="I4" s="42"/>
    </x:row>
    <x:row r="5">
      <x:c r="B5" s="42"/>
      <x:c r="C5" s="42"/>
      <x:c r="D5" s="42"/>
      <x:c r="E5" s="42"/>
      <x:c r="F5" s="42"/>
      <x:c r="G5" s="42"/>
      <x:c r="H5" s="42"/>
      <x:c r="I5" s="42"/>
    </x:row>
    <x:row r="6" ht="25" customHeight="1">
      <x:c r="B6" s="6" t="str">
        <x:v>Port group</x:v>
      </x:c>
      <x:c r="C6" s="6" t="str">
        <x:v>Function</x:v>
      </x:c>
      <x:c r="D6" s="6" t="str">
        <x:v>Count</x:v>
      </x:c>
      <x:c r="E6" s="6" t="str">
        <x:v>Volume each mL</x:v>
      </x:c>
      <x:c r="F6" s="6" t="str">
        <x:v>Total mL</x:v>
      </x:c>
      <x:c r="G6" s="6" t="str">
        <x:v>Total kg</x:v>
      </x:c>
      <x:c r="H6" s="6" t="str">
        <x:v>Construction</x:v>
      </x:c>
      <x:c r="I6" s="6" t="str">
        <x:v>State</x:v>
      </x:c>
    </x:row>
    <x:row r="7">
      <x:c r="B7" s="44" t="str">
        <x:v>WP-01</x:v>
      </x:c>
      <x:c r="C7" s="44" t="str">
        <x:v>line pressure</x:v>
      </x:c>
      <x:c r="D7" s="56" t="n">
        <x:v>6</x:v>
      </x:c>
      <x:c r="E7" s="56" t="n">
        <x:v>2</x:v>
      </x:c>
      <x:c r="F7" s="56" t="n">
        <x:f>D7*E7</x:f>
        <x:v>12</x:v>
      </x:c>
      <x:c r="G7" s="56" t="n">
        <x:f>F7/1000000*'Controls'!$D$31</x:f>
        <x:v>0.009600000000000001</x:v>
      </x:c>
      <x:c r="H7" s="44" t="str">
        <x:v>flush diaphragm or swept tee</x:v>
      </x:c>
      <x:c r="I7" s="44" t="str"/>
    </x:row>
    <x:row r="8">
      <x:c r="B8" s="44" t="str">
        <x:v>WP-02</x:v>
      </x:c>
      <x:c r="C8" s="44" t="str">
        <x:v>line temperature</x:v>
      </x:c>
      <x:c r="D8" s="56" t="n">
        <x:v>6</x:v>
      </x:c>
      <x:c r="E8" s="56" t="n">
        <x:v>2</x:v>
      </x:c>
      <x:c r="F8" s="56" t="n">
        <x:f>D8*E8</x:f>
        <x:v>12</x:v>
      </x:c>
      <x:c r="G8" s="56" t="n">
        <x:f>F8/1000000*'Controls'!$D$31</x:f>
        <x:v>0.009600000000000001</x:v>
      </x:c>
      <x:c r="H8" s="44" t="str">
        <x:v>flush diaphragm or swept tee</x:v>
      </x:c>
      <x:c r="I8" s="44" t="str"/>
    </x:row>
    <x:row r="9">
      <x:c r="B9" s="44" t="str">
        <x:v>WP-03</x:v>
      </x:c>
      <x:c r="C9" s="44" t="str">
        <x:v>surrogate sample</x:v>
      </x:c>
      <x:c r="D9" s="56" t="n">
        <x:v>6</x:v>
      </x:c>
      <x:c r="E9" s="56" t="n">
        <x:v>3</x:v>
      </x:c>
      <x:c r="F9" s="56" t="n">
        <x:f>D9*E9</x:f>
        <x:v>18</x:v>
      </x:c>
      <x:c r="G9" s="56" t="n">
        <x:f>F9/1000000*'Controls'!$D$31</x:f>
        <x:v>0.0144</x:v>
      </x:c>
      <x:c r="H9" s="44" t="str">
        <x:v>sealed low-volume valve</x:v>
      </x:c>
      <x:c r="I9" s="44" t="str"/>
    </x:row>
    <x:row r="10">
      <x:c r="B10" s="44" t="str">
        <x:v>WP-04</x:v>
      </x:c>
      <x:c r="C10" s="44" t="str">
        <x:v>water sample</x:v>
      </x:c>
      <x:c r="D10" s="56" t="n">
        <x:v>6</x:v>
      </x:c>
      <x:c r="E10" s="56" t="n">
        <x:v>3</x:v>
      </x:c>
      <x:c r="F10" s="56" t="n">
        <x:f>D10*E10</x:f>
        <x:v>18</x:v>
      </x:c>
      <x:c r="G10" s="56" t="n">
        <x:f>F10/1000000*'Controls'!$D$31</x:f>
        <x:v>0.0144</x:v>
      </x:c>
      <x:c r="H10" s="44" t="str">
        <x:v>sealed low-volume valve</x:v>
      </x:c>
      <x:c r="I10" s="44" t="str"/>
    </x:row>
    <x:row r="11">
      <x:c r="B11" s="44" t="str">
        <x:v>WP-05</x:v>
      </x:c>
      <x:c r="C11" s="44" t="str">
        <x:v>ancestry root A</x:v>
      </x:c>
      <x:c r="D11" s="56" t="n">
        <x:v>6</x:v>
      </x:c>
      <x:c r="E11" s="56" t="n">
        <x:v>3</x:v>
      </x:c>
      <x:c r="F11" s="56" t="n">
        <x:f>D11*E11</x:f>
        <x:v>18</x:v>
      </x:c>
      <x:c r="G11" s="56" t="n">
        <x:f>F11/1000000*'Controls'!$D$31</x:f>
        <x:v>0.0144</x:v>
      </x:c>
      <x:c r="H11" s="44" t="str">
        <x:v>flush diaphragm or swept tee</x:v>
      </x:c>
      <x:c r="I11" s="44" t="str"/>
    </x:row>
    <x:row r="12">
      <x:c r="B12" s="44" t="str">
        <x:v>WP-06</x:v>
      </x:c>
      <x:c r="C12" s="44" t="str">
        <x:v>ancestry root B</x:v>
      </x:c>
      <x:c r="D12" s="56" t="n">
        <x:v>6</x:v>
      </x:c>
      <x:c r="E12" s="56" t="n">
        <x:v>3</x:v>
      </x:c>
      <x:c r="F12" s="56" t="n">
        <x:f>D12*E12</x:f>
        <x:v>18</x:v>
      </x:c>
      <x:c r="G12" s="56" t="n">
        <x:f>F12/1000000*'Controls'!$D$31</x:f>
        <x:v>0.0144</x:v>
      </x:c>
      <x:c r="H12" s="44" t="str">
        <x:v>flush diaphragm or swept tee</x:v>
      </x:c>
      <x:c r="I12" s="44" t="str"/>
    </x:row>
    <x:row r="13">
      <x:c r="B13" s="44" t="str">
        <x:v>WP-07</x:v>
      </x:c>
      <x:c r="C13" s="44" t="str">
        <x:v>drain verification</x:v>
      </x:c>
      <x:c r="D13" s="56" t="n">
        <x:v>6</x:v>
      </x:c>
      <x:c r="E13" s="56" t="n">
        <x:v>1</x:v>
      </x:c>
      <x:c r="F13" s="56" t="n">
        <x:f>D13*E13</x:f>
        <x:v>6</x:v>
      </x:c>
      <x:c r="G13" s="56" t="n">
        <x:f>F13/1000000*'Controls'!$D$31</x:f>
        <x:v>0.0048000000000000004</x:v>
      </x:c>
      <x:c r="H13" s="44" t="str">
        <x:v>flush diaphragm or swept tee</x:v>
      </x:c>
      <x:c r="I13" s="44" t="str"/>
    </x:row>
    <x:row r="14">
      <x:c r="B14" s="44" t="str">
        <x:v>WP-08</x:v>
      </x:c>
      <x:c r="C14" s="44" t="str">
        <x:v>fill verification</x:v>
      </x:c>
      <x:c r="D14" s="56" t="n">
        <x:v>6</x:v>
      </x:c>
      <x:c r="E14" s="56" t="n">
        <x:v>1</x:v>
      </x:c>
      <x:c r="F14" s="56" t="n">
        <x:f>D14*E14</x:f>
        <x:v>6</x:v>
      </x:c>
      <x:c r="G14" s="56" t="n">
        <x:f>F14/1000000*'Controls'!$D$31</x:f>
        <x:v>0.0048000000000000004</x:v>
      </x:c>
      <x:c r="H14" s="44" t="str">
        <x:v>flush diaphragm or swept tee</x:v>
      </x:c>
      <x:c r="I14" s="44" t="str"/>
    </x:row>
    <x:row r="15">
      <x:c r="B15" s="44" t="str">
        <x:v>WP-09</x:v>
      </x:c>
      <x:c r="C15" s="44" t="str">
        <x:v>normal receiver sample</x:v>
      </x:c>
      <x:c r="D15" s="56" t="n">
        <x:v>2</x:v>
      </x:c>
      <x:c r="E15" s="56" t="n">
        <x:v>1</x:v>
      </x:c>
      <x:c r="F15" s="56" t="n">
        <x:f>D15*E15</x:f>
        <x:v>2</x:v>
      </x:c>
      <x:c r="G15" s="56" t="n">
        <x:f>F15/1000000*'Controls'!$D$31</x:f>
        <x:v>0.0015999999999999999</x:v>
      </x:c>
      <x:c r="H15" s="44" t="str">
        <x:v>sealed low-volume valve</x:v>
      </x:c>
      <x:c r="I15" s="44" t="str"/>
    </x:row>
    <x:row r="16">
      <x:c r="B16" s="44" t="str">
        <x:v>WP-10</x:v>
      </x:c>
      <x:c r="C16" s="44" t="str">
        <x:v>casualty receiver sample</x:v>
      </x:c>
      <x:c r="D16" s="56" t="n">
        <x:v>2</x:v>
      </x:c>
      <x:c r="E16" s="56" t="n">
        <x:v>1</x:v>
      </x:c>
      <x:c r="F16" s="56" t="n">
        <x:f>D16*E16</x:f>
        <x:v>2</x:v>
      </x:c>
      <x:c r="G16" s="56" t="n">
        <x:f>F16/1000000*'Controls'!$D$31</x:f>
        <x:v>0.0015999999999999999</x:v>
      </x:c>
      <x:c r="H16" s="44" t="str">
        <x:v>sealed low-volume valve</x:v>
      </x:c>
      <x:c r="I16" s="44" t="str"/>
    </x:row>
    <x:row r="17">
      <x:c r="B17" s="44" t="str">
        <x:v>WP-11</x:v>
      </x:c>
      <x:c r="C17" s="44" t="str">
        <x:v>surface witness port</x:v>
      </x:c>
      <x:c r="D17" s="56" t="n">
        <x:v>2</x:v>
      </x:c>
      <x:c r="E17" s="56" t="n">
        <x:v>1</x:v>
      </x:c>
      <x:c r="F17" s="56" t="n">
        <x:f>D17*E17</x:f>
        <x:v>2</x:v>
      </x:c>
      <x:c r="G17" s="56" t="n">
        <x:f>F17/1000000*'Controls'!$D$31</x:f>
        <x:v>0.0015999999999999999</x:v>
      </x:c>
      <x:c r="H17" s="44" t="str">
        <x:v>flush diaphragm or swept tee</x:v>
      </x:c>
      <x:c r="I17" s="44" t="str"/>
    </x:row>
    <x:row r="18">
      <x:c r="B18" s="44" t="str">
        <x:v>WP-12</x:v>
      </x:c>
      <x:c r="C18" s="44" t="str">
        <x:v>cleanout verification</x:v>
      </x:c>
      <x:c r="D18" s="56" t="n">
        <x:v>2</x:v>
      </x:c>
      <x:c r="E18" s="56" t="n">
        <x:v>1</x:v>
      </x:c>
      <x:c r="F18" s="56" t="n">
        <x:f>D18*E18</x:f>
        <x:v>2</x:v>
      </x:c>
      <x:c r="G18" s="56" t="n">
        <x:f>F18/1000000*'Controls'!$D$31</x:f>
        <x:v>0.0015999999999999999</x:v>
      </x:c>
      <x:c r="H18" s="44" t="str">
        <x:v>flush diaphragm or swept tee</x:v>
      </x:c>
      <x:c r="I18" s="44" t="str"/>
    </x:row>
    <x:row r="19">
      <x:c r="B19" s="42"/>
      <x:c r="C19" s="42"/>
      <x:c r="D19" s="66"/>
      <x:c r="E19" s="66"/>
      <x:c r="F19" s="66"/>
      <x:c r="G19" s="66"/>
      <x:c r="H19" s="42"/>
      <x:c r="I19" s="42"/>
    </x:row>
    <x:row r="20">
      <x:c r="B20" s="67" t="str">
        <x:v>TOTAL</x:v>
      </x:c>
      <x:c r="C20" s="68" t="str"/>
      <x:c r="D20" s="69" t="str"/>
      <x:c r="E20" s="69" t="n">
        <x:v>0</x:v>
      </x:c>
      <x:c r="F20" s="69" t="n">
        <x:f>SUM(F7:F18)</x:f>
        <x:v>116</x:v>
      </x:c>
      <x:c r="G20" s="69" t="n">
        <x:f>F20/1000000*'Controls'!$D$31</x:f>
        <x:v>0.0928</x:v>
      </x:c>
      <x:c r="H20" s="68" t="str"/>
      <x:c r="I20" s="70" t="str">
        <x:f>IF(F20/1000000&lt;='Controls'!$D$56,"PASS","FAIL")</x:f>
        <x:v>PASS</x:v>
      </x:c>
    </x:row>
  </x:sheetData>
  <x:conditionalFormatting sqref="I20:I20">
    <x:cfRule type="containsText" dxfId="85" priority="1" operator="containsText" text="FAIL"/>
    <x:cfRule type="containsText" dxfId="86" priority="2" operator="containsText" text="BLOCKED"/>
    <x:cfRule type="containsText" dxfId="87" priority="3" operator="containsText" text="OPEN"/>
    <x:cfRule type="containsText" dxfId="88" priority="4" operator="containsText" text="PASS"/>
    <x:cfRule type="containsText" dxfId="89" priority="5" operator="containsText" text="PLANNED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34" hidden="0" customWidth="1"/>
    <x:col min="5" max="5" width="15" hidden="0" customWidth="1"/>
    <x:col min="6" max="6" width="22" hidden="0" customWidth="1"/>
    <x:col min="7" max="7" width="21" hidden="0" customWidth="1"/>
    <x:col min="8" max="8" width="20" hidden="0" customWidth="1"/>
    <x:col min="9" max="9" width="18" hidden="0" customWidth="1"/>
    <x:col min="10" max="10" width="18" hidden="0" customWidth="1"/>
    <x:col min="11" max="11" width="14" hidden="0" customWidth="1"/>
  </x:cols>
  <x:sheetData>
    <x:row r="2">
      <x:c r="B2" s="41" t="str">
        <x:v>Forty-eight worst-case tolerance closures</x:v>
      </x:c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B3" s="43" t="str">
        <x:v>The same twenty-four functional results are allocated separately to each lineage.</x:v>
      </x:c>
      <x:c r="C3" s="42"/>
      <x:c r="D3" s="42"/>
      <x:c r="E3" s="42"/>
      <x:c r="F3" s="42"/>
      <x:c r="G3" s="42"/>
      <x:c r="H3" s="42"/>
      <x:c r="I3" s="42"/>
      <x:c r="J3" s="42"/>
      <x:c r="K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</x:row>
    <x:row r="6" ht="25" customHeight="1">
      <x:c r="B6" s="6" t="str">
        <x:v>Stack</x:v>
      </x:c>
      <x:c r="C6" s="6" t="str">
        <x:v>Lineage</x:v>
      </x:c>
      <x:c r="D6" s="6" t="str">
        <x:v>Functional result</x:v>
      </x:c>
      <x:c r="E6" s="6" t="str">
        <x:v>Unit</x:v>
      </x:c>
      <x:c r="F6" s="6" t="str">
        <x:v>Allowable deviation</x:v>
      </x:c>
      <x:c r="G6" s="6" t="str">
        <x:v>Worst-case used</x:v>
      </x:c>
      <x:c r="H6" s="6" t="str">
        <x:v>RSS diagnostic</x:v>
      </x:c>
      <x:c r="I6" s="6" t="str">
        <x:v>Margin</x:v>
      </x:c>
      <x:c r="J6" s="6" t="str">
        <x:v>Utilization</x:v>
      </x:c>
      <x:c r="K6" s="6" t="str">
        <x:v>State</x:v>
      </x:c>
    </x:row>
    <x:row r="7">
      <x:c r="B7" s="44" t="str">
        <x:v>BL-X-TS-01</x:v>
      </x:c>
      <x:c r="C7" s="44" t="str">
        <x:v>BL-X</x:v>
      </x:c>
      <x:c r="D7" s="44" t="str">
        <x:v>deployed length</x:v>
      </x:c>
      <x:c r="E7" s="44" t="str">
        <x:v>mm</x:v>
      </x:c>
      <x:c r="F7" s="61" t="n">
        <x:v>2</x:v>
      </x:c>
      <x:c r="G7" s="61" t="n">
        <x:f>SUMIF('Tolerance Contributors'!$C$7:$C$198,B7,'Tolerance Contributors'!$F$7:$F$198)</x:f>
        <x:v>1.5</x:v>
      </x:c>
      <x:c r="H7" s="61" t="n">
        <x:f>SQRT(SUMIF('Tolerance Contributors'!$C$7:$C$198,B7,'Tolerance Contributors'!$H$7:$H$198))</x:f>
        <x:v>0.7681145747868608</x:v>
      </x:c>
      <x:c r="I7" s="61" t="n">
        <x:f>F7-G7</x:f>
        <x:v>0.5</x:v>
      </x:c>
      <x:c r="J7" s="61" t="n">
        <x:f>IF(F7=0,0,G7/F7)</x:f>
        <x:v>0.75</x:v>
      </x:c>
      <x:c r="K7" s="44" t="str">
        <x:f>IF(I7&gt;=0,"PASS","FAIL")</x:f>
        <x:v>PASS</x:v>
      </x:c>
    </x:row>
    <x:row r="8">
      <x:c r="B8" s="44" t="str">
        <x:v>BL-X-TS-02</x:v>
      </x:c>
      <x:c r="C8" s="44" t="str">
        <x:v>BL-X</x:v>
      </x:c>
      <x:c r="D8" s="44" t="str">
        <x:v>bore diameter</x:v>
      </x:c>
      <x:c r="E8" s="44" t="str">
        <x:v>mm</x:v>
      </x:c>
      <x:c r="F8" s="61" t="n">
        <x:v>0.05</x:v>
      </x:c>
      <x:c r="G8" s="61" t="n">
        <x:f>SUMIF('Tolerance Contributors'!$C$7:$C$198,B8,'Tolerance Contributors'!$F$7:$F$198)</x:f>
        <x:v>0.04</x:v>
      </x:c>
      <x:c r="H8" s="61" t="n">
        <x:f>SQRT(SUMIF('Tolerance Contributors'!$C$7:$C$198,B8,'Tolerance Contributors'!$H$7:$H$198))</x:f>
        <x:v>0.020199009876724155</x:v>
      </x:c>
      <x:c r="I8" s="61" t="n">
        <x:f>F8-G8</x:f>
        <x:v>0.010000000000000002</x:v>
      </x:c>
      <x:c r="J8" s="61" t="n">
        <x:f>IF(F8=0,0,G8/F8)</x:f>
        <x:v>0.7999999999999999</x:v>
      </x:c>
      <x:c r="K8" s="44" t="str">
        <x:f>IF(I8&gt;=0,"PASS","FAIL")</x:f>
        <x:v>PASS</x:v>
      </x:c>
    </x:row>
    <x:row r="9">
      <x:c r="B9" s="44" t="str">
        <x:v>BL-X-TS-03</x:v>
      </x:c>
      <x:c r="C9" s="44" t="str">
        <x:v>BL-X</x:v>
      </x:c>
      <x:c r="D9" s="44" t="str">
        <x:v>endpoint coaxiality</x:v>
      </x:c>
      <x:c r="E9" s="44" t="str">
        <x:v>mm</x:v>
      </x:c>
      <x:c r="F9" s="61" t="n">
        <x:v>0.5</x:v>
      </x:c>
      <x:c r="G9" s="61" t="n">
        <x:f>SUMIF('Tolerance Contributors'!$C$7:$C$198,B9,'Tolerance Contributors'!$F$7:$F$198)</x:f>
        <x:v>0.4</x:v>
      </x:c>
      <x:c r="H9" s="61" t="n">
        <x:f>SQRT(SUMIF('Tolerance Contributors'!$C$7:$C$198,B9,'Tolerance Contributors'!$H$7:$H$198))</x:f>
        <x:v>0.20199009876724155</x:v>
      </x:c>
      <x:c r="I9" s="61" t="n">
        <x:f>F9-G9</x:f>
        <x:v>0.09999999999999998</x:v>
      </x:c>
      <x:c r="J9" s="61" t="n">
        <x:f>IF(F9=0,0,G9/F9)</x:f>
        <x:v>0.8</x:v>
      </x:c>
      <x:c r="K9" s="44" t="str">
        <x:f>IF(I9&gt;=0,"PASS","FAIL")</x:f>
        <x:v>PASS</x:v>
      </x:c>
    </x:row>
    <x:row r="10">
      <x:c r="B10" s="44" t="str">
        <x:v>BL-X-TS-04</x:v>
      </x:c>
      <x:c r="C10" s="44" t="str">
        <x:v>BL-X</x:v>
      </x:c>
      <x:c r="D10" s="44" t="str">
        <x:v>internal joint step</x:v>
      </x:c>
      <x:c r="E10" s="44" t="str">
        <x:v>mm</x:v>
      </x:c>
      <x:c r="F10" s="61" t="n">
        <x:v>0.1</x:v>
      </x:c>
      <x:c r="G10" s="61" t="n">
        <x:f>SUMIF('Tolerance Contributors'!$C$7:$C$198,B10,'Tolerance Contributors'!$F$7:$F$198)</x:f>
        <x:v>0.085</x:v>
      </x:c>
      <x:c r="H10" s="61" t="n">
        <x:f>SQRT(SUMIF('Tolerance Contributors'!$C$7:$C$198,B10,'Tolerance Contributors'!$H$7:$H$198))</x:f>
        <x:v>0.04272001872658766</x:v>
      </x:c>
      <x:c r="I10" s="61" t="n">
        <x:f>F10-G10</x:f>
        <x:v>0.015</x:v>
      </x:c>
      <x:c r="J10" s="61" t="n">
        <x:f>IF(F10=0,0,G10/F10)</x:f>
        <x:v>0.85</x:v>
      </x:c>
      <x:c r="K10" s="44" t="str">
        <x:f>IF(I10&gt;=0,"PASS","FAIL")</x:f>
        <x:v>PASS</x:v>
      </x:c>
    </x:row>
    <x:row r="11">
      <x:c r="B11" s="44" t="str">
        <x:v>BL-X-TS-05</x:v>
      </x:c>
      <x:c r="C11" s="44" t="str">
        <x:v>BL-X</x:v>
      </x:c>
      <x:c r="D11" s="44" t="str">
        <x:v>slope error</x:v>
      </x:c>
      <x:c r="E11" s="44" t="str">
        <x:v>deg</x:v>
      </x:c>
      <x:c r="F11" s="61" t="n">
        <x:v>0.02</x:v>
      </x:c>
      <x:c r="G11" s="61" t="n">
        <x:f>SUMIF('Tolerance Contributors'!$C$7:$C$198,B11,'Tolerance Contributors'!$F$7:$F$198)</x:f>
        <x:v>0.016</x:v>
      </x:c>
      <x:c r="H11" s="61" t="n">
        <x:f>SQRT(SUMIF('Tolerance Contributors'!$C$7:$C$198,B11,'Tolerance Contributors'!$H$7:$H$198))</x:f>
        <x:v>0.00812403840463596</x:v>
      </x:c>
      <x:c r="I11" s="61" t="n">
        <x:f>F11-G11</x:f>
        <x:v>0.004</x:v>
      </x:c>
      <x:c r="J11" s="61" t="n">
        <x:f>IF(F11=0,0,G11/F11)</x:f>
        <x:v>0.8</x:v>
      </x:c>
      <x:c r="K11" s="44" t="str">
        <x:f>IF(I11&gt;=0,"PASS","FAIL")</x:f>
        <x:v>PASS</x:v>
      </x:c>
    </x:row>
    <x:row r="12">
      <x:c r="B12" s="44" t="str">
        <x:v>BL-X-TS-06</x:v>
      </x:c>
      <x:c r="C12" s="44" t="str">
        <x:v>BL-X</x:v>
      </x:c>
      <x:c r="D12" s="44" t="str">
        <x:v>instrument station position</x:v>
      </x:c>
      <x:c r="E12" s="44" t="str">
        <x:v>mm</x:v>
      </x:c>
      <x:c r="F12" s="61" t="n">
        <x:v>0.5</x:v>
      </x:c>
      <x:c r="G12" s="61" t="n">
        <x:f>SUMIF('Tolerance Contributors'!$C$7:$C$198,B12,'Tolerance Contributors'!$F$7:$F$198)</x:f>
        <x:v>0.4</x:v>
      </x:c>
      <x:c r="H12" s="61" t="n">
        <x:f>SQRT(SUMIF('Tolerance Contributors'!$C$7:$C$198,B12,'Tolerance Contributors'!$H$7:$H$198))</x:f>
        <x:v>0.2</x:v>
      </x:c>
      <x:c r="I12" s="61" t="n">
        <x:f>F12-G12</x:f>
        <x:v>0.09999999999999998</x:v>
      </x:c>
      <x:c r="J12" s="61" t="n">
        <x:f>IF(F12=0,0,G12/F12)</x:f>
        <x:v>0.8</x:v>
      </x:c>
      <x:c r="K12" s="44" t="str">
        <x:f>IF(I12&gt;=0,"PASS","FAIL")</x:f>
        <x:v>PASS</x:v>
      </x:c>
    </x:row>
    <x:row r="13">
      <x:c r="B13" s="44" t="str">
        <x:v>BL-X-TS-07</x:v>
      </x:c>
      <x:c r="C13" s="44" t="str">
        <x:v>BL-X</x:v>
      </x:c>
      <x:c r="D13" s="44" t="str">
        <x:v>port radial orientation</x:v>
      </x:c>
      <x:c r="E13" s="44" t="str">
        <x:v>deg</x:v>
      </x:c>
      <x:c r="F13" s="61" t="n">
        <x:v>0.5</x:v>
      </x:c>
      <x:c r="G13" s="61" t="n">
        <x:f>SUMIF('Tolerance Contributors'!$C$7:$C$198,B13,'Tolerance Contributors'!$F$7:$F$198)</x:f>
        <x:v>0.4</x:v>
      </x:c>
      <x:c r="H13" s="61" t="n">
        <x:f>SQRT(SUMIF('Tolerance Contributors'!$C$7:$C$198,B13,'Tolerance Contributors'!$H$7:$H$198))</x:f>
        <x:v>0.2</x:v>
      </x:c>
      <x:c r="I13" s="61" t="n">
        <x:f>F13-G13</x:f>
        <x:v>0.09999999999999998</x:v>
      </x:c>
      <x:c r="J13" s="61" t="n">
        <x:f>IF(F13=0,0,G13/F13)</x:f>
        <x:v>0.8</x:v>
      </x:c>
      <x:c r="K13" s="44" t="str">
        <x:f>IF(I13&gt;=0,"PASS","FAIL")</x:f>
        <x:v>PASS</x:v>
      </x:c>
    </x:row>
    <x:row r="14">
      <x:c r="B14" s="44" t="str">
        <x:v>BL-X-TS-08</x:v>
      </x:c>
      <x:c r="C14" s="44" t="str">
        <x:v>BL-X</x:v>
      </x:c>
      <x:c r="D14" s="44" t="str">
        <x:v>valve face alignment</x:v>
      </x:c>
      <x:c r="E14" s="44" t="str">
        <x:v>mm</x:v>
      </x:c>
      <x:c r="F14" s="61" t="n">
        <x:v>0.3</x:v>
      </x:c>
      <x:c r="G14" s="61" t="n">
        <x:f>SUMIF('Tolerance Contributors'!$C$7:$C$198,B14,'Tolerance Contributors'!$F$7:$F$198)</x:f>
        <x:v>0.24</x:v>
      </x:c>
      <x:c r="H14" s="61" t="n">
        <x:f>SQRT(SUMIF('Tolerance Contributors'!$C$7:$C$198,B14,'Tolerance Contributors'!$H$7:$H$198))</x:f>
        <x:v>0.12</x:v>
      </x:c>
      <x:c r="I14" s="61" t="n">
        <x:f>F14-G14</x:f>
        <x:v>0.06</x:v>
      </x:c>
      <x:c r="J14" s="61" t="n">
        <x:f>IF(F14=0,0,G14/F14)</x:f>
        <x:v>0.8</x:v>
      </x:c>
      <x:c r="K14" s="44" t="str">
        <x:f>IF(I14&gt;=0,"PASS","FAIL")</x:f>
        <x:v>PASS</x:v>
      </x:c>
    </x:row>
    <x:row r="15">
      <x:c r="B15" s="44" t="str">
        <x:v>BL-X-TS-09</x:v>
      </x:c>
      <x:c r="C15" s="44" t="str">
        <x:v>BL-X</x:v>
      </x:c>
      <x:c r="D15" s="44" t="str">
        <x:v>valve spindle orthogonality</x:v>
      </x:c>
      <x:c r="E15" s="44" t="str">
        <x:v>deg</x:v>
      </x:c>
      <x:c r="F15" s="61" t="n">
        <x:v>0.25</x:v>
      </x:c>
      <x:c r="G15" s="61" t="n">
        <x:f>SUMIF('Tolerance Contributors'!$C$7:$C$198,B15,'Tolerance Contributors'!$F$7:$F$198)</x:f>
        <x:v>0.2</x:v>
      </x:c>
      <x:c r="H15" s="61" t="n">
        <x:f>SQRT(SUMIF('Tolerance Contributors'!$C$7:$C$198,B15,'Tolerance Contributors'!$H$7:$H$198))</x:f>
        <x:v>0.1</x:v>
      </x:c>
      <x:c r="I15" s="61" t="n">
        <x:f>F15-G15</x:f>
        <x:v>0.04999999999999999</x:v>
      </x:c>
      <x:c r="J15" s="61" t="n">
        <x:f>IF(F15=0,0,G15/F15)</x:f>
        <x:v>0.8</x:v>
      </x:c>
      <x:c r="K15" s="44" t="str">
        <x:f>IF(I15&gt;=0,"PASS","FAIL")</x:f>
        <x:v>PASS</x:v>
      </x:c>
    </x:row>
    <x:row r="16">
      <x:c r="B16" s="44" t="str">
        <x:v>BL-X-TS-10</x:v>
      </x:c>
      <x:c r="C16" s="44" t="str">
        <x:v>BL-X</x:v>
      </x:c>
      <x:c r="D16" s="44" t="str">
        <x:v>seal compression centering</x:v>
      </x:c>
      <x:c r="E16" s="44" t="str">
        <x:v>mm</x:v>
      </x:c>
      <x:c r="F16" s="61" t="n">
        <x:v>0.2</x:v>
      </x:c>
      <x:c r="G16" s="61" t="n">
        <x:f>SUMIF('Tolerance Contributors'!$C$7:$C$198,B16,'Tolerance Contributors'!$F$7:$F$198)</x:f>
        <x:v>0.16</x:v>
      </x:c>
      <x:c r="H16" s="61" t="n">
        <x:f>SQRT(SUMIF('Tolerance Contributors'!$C$7:$C$198,B16,'Tolerance Contributors'!$H$7:$H$198))</x:f>
        <x:v>0.08</x:v>
      </x:c>
      <x:c r="I16" s="61" t="n">
        <x:f>F16-G16</x:f>
        <x:v>0.04000000000000001</x:v>
      </x:c>
      <x:c r="J16" s="61" t="n">
        <x:f>IF(F16=0,0,G16/F16)</x:f>
        <x:v>0.7999999999999999</x:v>
      </x:c>
      <x:c r="K16" s="44" t="str">
        <x:f>IF(I16&gt;=0,"PASS","FAIL")</x:f>
        <x:v>PASS</x:v>
      </x:c>
    </x:row>
    <x:row r="17">
      <x:c r="B17" s="44" t="str">
        <x:v>BL-X-TS-11</x:v>
      </x:c>
      <x:c r="C17" s="44" t="str">
        <x:v>BL-X</x:v>
      </x:c>
      <x:c r="D17" s="44" t="str">
        <x:v>gasket intrusion</x:v>
      </x:c>
      <x:c r="E17" s="44" t="str">
        <x:v>mm</x:v>
      </x:c>
      <x:c r="F17" s="61" t="n">
        <x:v>0.1</x:v>
      </x:c>
      <x:c r="G17" s="61" t="n">
        <x:f>SUMIF('Tolerance Contributors'!$C$7:$C$198,B17,'Tolerance Contributors'!$F$7:$F$198)</x:f>
        <x:v>0.08</x:v>
      </x:c>
      <x:c r="H17" s="61" t="n">
        <x:f>SQRT(SUMIF('Tolerance Contributors'!$C$7:$C$198,B17,'Tolerance Contributors'!$H$7:$H$198))</x:f>
        <x:v>0.04</x:v>
      </x:c>
      <x:c r="I17" s="61" t="n">
        <x:f>F17-G17</x:f>
        <x:v>0.020000000000000004</x:v>
      </x:c>
      <x:c r="J17" s="61" t="n">
        <x:f>IF(F17=0,0,G17/F17)</x:f>
        <x:v>0.7999999999999999</x:v>
      </x:c>
      <x:c r="K17" s="44" t="str">
        <x:f>IF(I17&gt;=0,"PASS","FAIL")</x:f>
        <x:v>PASS</x:v>
      </x:c>
    </x:row>
    <x:row r="18">
      <x:c r="B18" s="44" t="str">
        <x:v>BL-X-TS-12</x:v>
      </x:c>
      <x:c r="C18" s="44" t="str">
        <x:v>BL-X</x:v>
      </x:c>
      <x:c r="D18" s="44" t="str">
        <x:v>deadleg allocation</x:v>
      </x:c>
      <x:c r="E18" s="44" t="str">
        <x:v>mL</x:v>
      </x:c>
      <x:c r="F18" s="61" t="n">
        <x:v>250</x:v>
      </x:c>
      <x:c r="G18" s="61" t="n">
        <x:f>SUMIF('Tolerance Contributors'!$C$7:$C$198,B18,'Tolerance Contributors'!$F$7:$F$198)</x:f>
        <x:v>200</x:v>
      </x:c>
      <x:c r="H18" s="61" t="n">
        <x:f>SQRT(SUMIF('Tolerance Contributors'!$C$7:$C$198,B18,'Tolerance Contributors'!$H$7:$H$198))</x:f>
        <x:v>100</x:v>
      </x:c>
      <x:c r="I18" s="61" t="n">
        <x:f>F18-G18</x:f>
        <x:v>50</x:v>
      </x:c>
      <x:c r="J18" s="61" t="n">
        <x:f>IF(F18=0,0,G18/F18)</x:f>
        <x:v>0.8</x:v>
      </x:c>
      <x:c r="K18" s="44" t="str">
        <x:f>IF(I18&gt;=0,"PASS","FAIL")</x:f>
        <x:v>PASS</x:v>
      </x:c>
    </x:row>
    <x:row r="19">
      <x:c r="B19" s="44" t="str">
        <x:v>BL-X-TS-13</x:v>
      </x:c>
      <x:c r="C19" s="44" t="str">
        <x:v>BL-X</x:v>
      </x:c>
      <x:c r="D19" s="44" t="str">
        <x:v>pan low-point error</x:v>
      </x:c>
      <x:c r="E19" s="44" t="str">
        <x:v>mm</x:v>
      </x:c>
      <x:c r="F19" s="61" t="n">
        <x:v>1</x:v>
      </x:c>
      <x:c r="G19" s="61" t="n">
        <x:f>SUMIF('Tolerance Contributors'!$C$7:$C$198,B19,'Tolerance Contributors'!$F$7:$F$198)</x:f>
        <x:v>0.8</x:v>
      </x:c>
      <x:c r="H19" s="61" t="n">
        <x:f>SQRT(SUMIF('Tolerance Contributors'!$C$7:$C$198,B19,'Tolerance Contributors'!$H$7:$H$198))</x:f>
        <x:v>0.4</x:v>
      </x:c>
      <x:c r="I19" s="61" t="n">
        <x:f>F19-G19</x:f>
        <x:v>0.19999999999999996</x:v>
      </x:c>
      <x:c r="J19" s="61" t="n">
        <x:f>IF(F19=0,0,G19/F19)</x:f>
        <x:v>0.8</x:v>
      </x:c>
      <x:c r="K19" s="44" t="str">
        <x:f>IF(I19&gt;=0,"PASS","FAIL")</x:f>
        <x:v>PASS</x:v>
      </x:c>
    </x:row>
    <x:row r="20">
      <x:c r="B20" s="44" t="str">
        <x:v>BL-X-TS-14</x:v>
      </x:c>
      <x:c r="C20" s="44" t="str">
        <x:v>BL-X</x:v>
      </x:c>
      <x:c r="D20" s="44" t="str">
        <x:v>drain grade error</x:v>
      </x:c>
      <x:c r="E20" s="44" t="str">
        <x:v>deg</x:v>
      </x:c>
      <x:c r="F20" s="61" t="n">
        <x:v>0.1</x:v>
      </x:c>
      <x:c r="G20" s="61" t="n">
        <x:f>SUMIF('Tolerance Contributors'!$C$7:$C$198,B20,'Tolerance Contributors'!$F$7:$F$198)</x:f>
        <x:v>0.08</x:v>
      </x:c>
      <x:c r="H20" s="61" t="n">
        <x:f>SQRT(SUMIF('Tolerance Contributors'!$C$7:$C$198,B20,'Tolerance Contributors'!$H$7:$H$198))</x:f>
        <x:v>0.04</x:v>
      </x:c>
      <x:c r="I20" s="61" t="n">
        <x:f>F20-G20</x:f>
        <x:v>0.020000000000000004</x:v>
      </x:c>
      <x:c r="J20" s="61" t="n">
        <x:f>IF(F20=0,0,G20/F20)</x:f>
        <x:v>0.7999999999999999</x:v>
      </x:c>
      <x:c r="K20" s="44" t="str">
        <x:f>IF(I20&gt;=0,"PASS","FAIL")</x:f>
        <x:v>PASS</x:v>
      </x:c>
    </x:row>
    <x:row r="21">
      <x:c r="B21" s="44" t="str">
        <x:v>BL-X-TS-15</x:v>
      </x:c>
      <x:c r="C21" s="44" t="str">
        <x:v>BL-X</x:v>
      </x:c>
      <x:c r="D21" s="44" t="str">
        <x:v>receiver datum</x:v>
      </x:c>
      <x:c r="E21" s="44" t="str">
        <x:v>mm</x:v>
      </x:c>
      <x:c r="F21" s="61" t="n">
        <x:v>1</x:v>
      </x:c>
      <x:c r="G21" s="61" t="n">
        <x:f>SUMIF('Tolerance Contributors'!$C$7:$C$198,B21,'Tolerance Contributors'!$F$7:$F$198)</x:f>
        <x:v>0.7500000000000001</x:v>
      </x:c>
      <x:c r="H21" s="61" t="n">
        <x:f>SQRT(SUMIF('Tolerance Contributors'!$C$7:$C$198,B21,'Tolerance Contributors'!$H$7:$H$198))</x:f>
        <x:v>0.3774917217635375</x:v>
      </x:c>
      <x:c r="I21" s="61" t="n">
        <x:f>F21-G21</x:f>
        <x:v>0.2499999999999999</x:v>
      </x:c>
      <x:c r="J21" s="61" t="n">
        <x:f>IF(F21=0,0,G21/F21)</x:f>
        <x:v>0.7500000000000001</x:v>
      </x:c>
      <x:c r="K21" s="44" t="str">
        <x:f>IF(I21&gt;=0,"PASS","FAIL")</x:f>
        <x:v>PASS</x:v>
      </x:c>
    </x:row>
    <x:row r="22">
      <x:c r="B22" s="44" t="str">
        <x:v>BL-X-TS-16</x:v>
      </x:c>
      <x:c r="C22" s="44" t="str">
        <x:v>BL-X</x:v>
      </x:c>
      <x:c r="D22" s="44" t="str">
        <x:v>load-cell axiality</x:v>
      </x:c>
      <x:c r="E22" s="44" t="str">
        <x:v>deg</x:v>
      </x:c>
      <x:c r="F22" s="61" t="n">
        <x:v>0.25</x:v>
      </x:c>
      <x:c r="G22" s="61" t="n">
        <x:f>SUMIF('Tolerance Contributors'!$C$7:$C$198,B22,'Tolerance Contributors'!$F$7:$F$198)</x:f>
        <x:v>0.2</x:v>
      </x:c>
      <x:c r="H22" s="61" t="n">
        <x:f>SQRT(SUMIF('Tolerance Contributors'!$C$7:$C$198,B22,'Tolerance Contributors'!$H$7:$H$198))</x:f>
        <x:v>0.1</x:v>
      </x:c>
      <x:c r="I22" s="61" t="n">
        <x:f>F22-G22</x:f>
        <x:v>0.04999999999999999</x:v>
      </x:c>
      <x:c r="J22" s="61" t="n">
        <x:f>IF(F22=0,0,G22/F22)</x:f>
        <x:v>0.8</x:v>
      </x:c>
      <x:c r="K22" s="44" t="str">
        <x:f>IF(I22&gt;=0,"PASS","FAIL")</x:f>
        <x:v>PASS</x:v>
      </x:c>
    </x:row>
    <x:row r="23">
      <x:c r="B23" s="44" t="str">
        <x:v>BL-X-TS-17</x:v>
      </x:c>
      <x:c r="C23" s="44" t="str">
        <x:v>BL-X</x:v>
      </x:c>
      <x:c r="D23" s="44" t="str">
        <x:v>sensor insertion depth</x:v>
      </x:c>
      <x:c r="E23" s="44" t="str">
        <x:v>mm</x:v>
      </x:c>
      <x:c r="F23" s="61" t="n">
        <x:v>0.2</x:v>
      </x:c>
      <x:c r="G23" s="61" t="n">
        <x:f>SUMIF('Tolerance Contributors'!$C$7:$C$198,B23,'Tolerance Contributors'!$F$7:$F$198)</x:f>
        <x:v>0.16</x:v>
      </x:c>
      <x:c r="H23" s="61" t="n">
        <x:f>SQRT(SUMIF('Tolerance Contributors'!$C$7:$C$198,B23,'Tolerance Contributors'!$H$7:$H$198))</x:f>
        <x:v>0.08</x:v>
      </x:c>
      <x:c r="I23" s="61" t="n">
        <x:f>F23-G23</x:f>
        <x:v>0.04000000000000001</x:v>
      </x:c>
      <x:c r="J23" s="61" t="n">
        <x:f>IF(F23=0,0,G23/F23)</x:f>
        <x:v>0.7999999999999999</x:v>
      </x:c>
      <x:c r="K23" s="44" t="str">
        <x:f>IF(I23&gt;=0,"PASS","FAIL")</x:f>
        <x:v>PASS</x:v>
      </x:c>
    </x:row>
    <x:row r="24">
      <x:c r="B24" s="44" t="str">
        <x:v>BL-X-TS-18</x:v>
      </x:c>
      <x:c r="C24" s="44" t="str">
        <x:v>BL-X</x:v>
      </x:c>
      <x:c r="D24" s="44" t="str">
        <x:v>state-witness gap</x:v>
      </x:c>
      <x:c r="E24" s="44" t="str">
        <x:v>mm</x:v>
      </x:c>
      <x:c r="F24" s="61" t="n">
        <x:v>0.15</x:v>
      </x:c>
      <x:c r="G24" s="61" t="n">
        <x:f>SUMIF('Tolerance Contributors'!$C$7:$C$198,B24,'Tolerance Contributors'!$F$7:$F$198)</x:f>
        <x:v>0.12</x:v>
      </x:c>
      <x:c r="H24" s="61" t="n">
        <x:f>SQRT(SUMIF('Tolerance Contributors'!$C$7:$C$198,B24,'Tolerance Contributors'!$H$7:$H$198))</x:f>
        <x:v>0.06</x:v>
      </x:c>
      <x:c r="I24" s="61" t="n">
        <x:f>F24-G24</x:f>
        <x:v>0.03</x:v>
      </x:c>
      <x:c r="J24" s="61" t="n">
        <x:f>IF(F24=0,0,G24/F24)</x:f>
        <x:v>0.8</x:v>
      </x:c>
      <x:c r="K24" s="44" t="str">
        <x:f>IF(I24&gt;=0,"PASS","FAIL")</x:f>
        <x:v>PASS</x:v>
      </x:c>
    </x:row>
    <x:row r="25">
      <x:c r="B25" s="44" t="str">
        <x:v>BL-X-TS-19</x:v>
      </x:c>
      <x:c r="C25" s="44" t="str">
        <x:v>BL-X</x:v>
      </x:c>
      <x:c r="D25" s="44" t="str">
        <x:v>actuator stop position</x:v>
      </x:c>
      <x:c r="E25" s="44" t="str">
        <x:v>deg</x:v>
      </x:c>
      <x:c r="F25" s="61" t="n">
        <x:v>0.25</x:v>
      </x:c>
      <x:c r="G25" s="61" t="n">
        <x:f>SUMIF('Tolerance Contributors'!$C$7:$C$198,B25,'Tolerance Contributors'!$F$7:$F$198)</x:f>
        <x:v>0.2</x:v>
      </x:c>
      <x:c r="H25" s="61" t="n">
        <x:f>SQRT(SUMIF('Tolerance Contributors'!$C$7:$C$198,B25,'Tolerance Contributors'!$H$7:$H$198))</x:f>
        <x:v>0.1</x:v>
      </x:c>
      <x:c r="I25" s="61" t="n">
        <x:f>F25-G25</x:f>
        <x:v>0.04999999999999999</x:v>
      </x:c>
      <x:c r="J25" s="61" t="n">
        <x:f>IF(F25=0,0,G25/F25)</x:f>
        <x:v>0.8</x:v>
      </x:c>
      <x:c r="K25" s="44" t="str">
        <x:f>IF(I25&gt;=0,"PASS","FAIL")</x:f>
        <x:v>PASS</x:v>
      </x:c>
    </x:row>
    <x:row r="26">
      <x:c r="B26" s="44" t="str">
        <x:v>BL-X-TS-20</x:v>
      </x:c>
      <x:c r="C26" s="44" t="str">
        <x:v>BL-X</x:v>
      </x:c>
      <x:c r="D26" s="44" t="str">
        <x:v>manual access margin</x:v>
      </x:c>
      <x:c r="E26" s="44" t="str">
        <x:v>mm</x:v>
      </x:c>
      <x:c r="F26" s="61" t="n">
        <x:v>25</x:v>
      </x:c>
      <x:c r="G26" s="61" t="n">
        <x:f>SUMIF('Tolerance Contributors'!$C$7:$C$198,B26,'Tolerance Contributors'!$F$7:$F$198)</x:f>
        <x:v>20</x:v>
      </x:c>
      <x:c r="H26" s="61" t="n">
        <x:f>SQRT(SUMIF('Tolerance Contributors'!$C$7:$C$198,B26,'Tolerance Contributors'!$H$7:$H$198))</x:f>
        <x:v>10</x:v>
      </x:c>
      <x:c r="I26" s="61" t="n">
        <x:f>F26-G26</x:f>
        <x:v>5</x:v>
      </x:c>
      <x:c r="J26" s="61" t="n">
        <x:f>IF(F26=0,0,G26/F26)</x:f>
        <x:v>0.8</x:v>
      </x:c>
      <x:c r="K26" s="44" t="str">
        <x:f>IF(I26&gt;=0,"PASS","FAIL")</x:f>
        <x:v>PASS</x:v>
      </x:c>
    </x:row>
    <x:row r="27">
      <x:c r="B27" s="44" t="str">
        <x:v>BL-X-TS-21</x:v>
      </x:c>
      <x:c r="C27" s="44" t="str">
        <x:v>BL-X</x:v>
      </x:c>
      <x:c r="D27" s="44" t="str">
        <x:v>rescue removal margin</x:v>
      </x:c>
      <x:c r="E27" s="44" t="str">
        <x:v>mm</x:v>
      </x:c>
      <x:c r="F27" s="61" t="n">
        <x:v>50</x:v>
      </x:c>
      <x:c r="G27" s="61" t="n">
        <x:f>SUMIF('Tolerance Contributors'!$C$7:$C$198,B27,'Tolerance Contributors'!$F$7:$F$198)</x:f>
        <x:v>40</x:v>
      </x:c>
      <x:c r="H27" s="61" t="n">
        <x:f>SQRT(SUMIF('Tolerance Contributors'!$C$7:$C$198,B27,'Tolerance Contributors'!$H$7:$H$198))</x:f>
        <x:v>20</x:v>
      </x:c>
      <x:c r="I27" s="61" t="n">
        <x:f>F27-G27</x:f>
        <x:v>10</x:v>
      </x:c>
      <x:c r="J27" s="61" t="n">
        <x:f>IF(F27=0,0,G27/F27)</x:f>
        <x:v>0.8</x:v>
      </x:c>
      <x:c r="K27" s="44" t="str">
        <x:f>IF(I27&gt;=0,"PASS","FAIL")</x:f>
        <x:v>PASS</x:v>
      </x:c>
    </x:row>
    <x:row r="28">
      <x:c r="B28" s="44" t="str">
        <x:v>BL-X-TS-22</x:v>
      </x:c>
      <x:c r="C28" s="44" t="str">
        <x:v>BL-X</x:v>
      </x:c>
      <x:c r="D28" s="44" t="str">
        <x:v>lift interface position</x:v>
      </x:c>
      <x:c r="E28" s="44" t="str">
        <x:v>mm</x:v>
      </x:c>
      <x:c r="F28" s="61" t="n">
        <x:v>1</x:v>
      </x:c>
      <x:c r="G28" s="61" t="n">
        <x:f>SUMIF('Tolerance Contributors'!$C$7:$C$198,B28,'Tolerance Contributors'!$F$7:$F$198)</x:f>
        <x:v>0.8</x:v>
      </x:c>
      <x:c r="H28" s="61" t="n">
        <x:f>SQRT(SUMIF('Tolerance Contributors'!$C$7:$C$198,B28,'Tolerance Contributors'!$H$7:$H$198))</x:f>
        <x:v>0.4</x:v>
      </x:c>
      <x:c r="I28" s="61" t="n">
        <x:f>F28-G28</x:f>
        <x:v>0.19999999999999996</x:v>
      </x:c>
      <x:c r="J28" s="61" t="n">
        <x:f>IF(F28=0,0,G28/F28)</x:f>
        <x:v>0.8</x:v>
      </x:c>
      <x:c r="K28" s="44" t="str">
        <x:f>IF(I28&gt;=0,"PASS","FAIL")</x:f>
        <x:v>PASS</x:v>
      </x:c>
    </x:row>
    <x:row r="29">
      <x:c r="B29" s="44" t="str">
        <x:v>BL-X-TS-23</x:v>
      </x:c>
      <x:c r="C29" s="44" t="str">
        <x:v>BL-X</x:v>
      </x:c>
      <x:c r="D29" s="44" t="str">
        <x:v>evidence-route separation margin</x:v>
      </x:c>
      <x:c r="E29" s="44" t="str">
        <x:v>mm</x:v>
      </x:c>
      <x:c r="F29" s="61" t="n">
        <x:v>25</x:v>
      </x:c>
      <x:c r="G29" s="61" t="n">
        <x:f>SUMIF('Tolerance Contributors'!$C$7:$C$198,B29,'Tolerance Contributors'!$F$7:$F$198)</x:f>
        <x:v>20</x:v>
      </x:c>
      <x:c r="H29" s="61" t="n">
        <x:f>SQRT(SUMIF('Tolerance Contributors'!$C$7:$C$198,B29,'Tolerance Contributors'!$H$7:$H$198))</x:f>
        <x:v>10</x:v>
      </x:c>
      <x:c r="I29" s="61" t="n">
        <x:f>F29-G29</x:f>
        <x:v>5</x:v>
      </x:c>
      <x:c r="J29" s="61" t="n">
        <x:f>IF(F29=0,0,G29/F29)</x:f>
        <x:v>0.8</x:v>
      </x:c>
      <x:c r="K29" s="44" t="str">
        <x:f>IF(I29&gt;=0,"PASS","FAIL")</x:f>
        <x:v>PASS</x:v>
      </x:c>
    </x:row>
    <x:row r="30">
      <x:c r="B30" s="44" t="str">
        <x:v>BL-X-TS-24</x:v>
      </x:c>
      <x:c r="C30" s="44" t="str">
        <x:v>BL-X</x:v>
      </x:c>
      <x:c r="D30" s="44" t="str">
        <x:v>enclosure water-shed gap</x:v>
      </x:c>
      <x:c r="E30" s="44" t="str">
        <x:v>mm</x:v>
      </x:c>
      <x:c r="F30" s="61" t="n">
        <x:v>1</x:v>
      </x:c>
      <x:c r="G30" s="61" t="n">
        <x:f>SUMIF('Tolerance Contributors'!$C$7:$C$198,B30,'Tolerance Contributors'!$F$7:$F$198)</x:f>
        <x:v>0.8</x:v>
      </x:c>
      <x:c r="H30" s="61" t="n">
        <x:f>SQRT(SUMIF('Tolerance Contributors'!$C$7:$C$198,B30,'Tolerance Contributors'!$H$7:$H$198))</x:f>
        <x:v>0.4</x:v>
      </x:c>
      <x:c r="I30" s="61" t="n">
        <x:f>F30-G30</x:f>
        <x:v>0.19999999999999996</x:v>
      </x:c>
      <x:c r="J30" s="61" t="n">
        <x:f>IF(F30=0,0,G30/F30)</x:f>
        <x:v>0.8</x:v>
      </x:c>
      <x:c r="K30" s="44" t="str">
        <x:f>IF(I30&gt;=0,"PASS","FAIL")</x:f>
        <x:v>PASS</x:v>
      </x:c>
    </x:row>
    <x:row r="31">
      <x:c r="B31" s="44" t="str">
        <x:v>BL-Y-TS-01</x:v>
      </x:c>
      <x:c r="C31" s="44" t="str">
        <x:v>BL-Y</x:v>
      </x:c>
      <x:c r="D31" s="44" t="str">
        <x:v>deployed length</x:v>
      </x:c>
      <x:c r="E31" s="44" t="str">
        <x:v>mm</x:v>
      </x:c>
      <x:c r="F31" s="61" t="n">
        <x:v>2</x:v>
      </x:c>
      <x:c r="G31" s="61" t="n">
        <x:f>SUMIF('Tolerance Contributors'!$C$7:$C$198,B31,'Tolerance Contributors'!$F$7:$F$198)</x:f>
        <x:v>1.7</x:v>
      </x:c>
      <x:c r="H31" s="61" t="n">
        <x:f>SQRT(SUMIF('Tolerance Contributors'!$C$7:$C$198,B31,'Tolerance Contributors'!$H$7:$H$198))</x:f>
        <x:v>0.8660254037844386</x:v>
      </x:c>
      <x:c r="I31" s="61" t="n">
        <x:f>F31-G31</x:f>
        <x:v>0.30000000000000004</x:v>
      </x:c>
      <x:c r="J31" s="61" t="n">
        <x:f>IF(F31=0,0,G31/F31)</x:f>
        <x:v>0.85</x:v>
      </x:c>
      <x:c r="K31" s="44" t="str">
        <x:f>IF(I31&gt;=0,"PASS","FAIL")</x:f>
        <x:v>PASS</x:v>
      </x:c>
    </x:row>
    <x:row r="32">
      <x:c r="B32" s="44" t="str">
        <x:v>BL-Y-TS-02</x:v>
      </x:c>
      <x:c r="C32" s="44" t="str">
        <x:v>BL-Y</x:v>
      </x:c>
      <x:c r="D32" s="44" t="str">
        <x:v>bore diameter</x:v>
      </x:c>
      <x:c r="E32" s="44" t="str">
        <x:v>mm</x:v>
      </x:c>
      <x:c r="F32" s="61" t="n">
        <x:v>0.05</x:v>
      </x:c>
      <x:c r="G32" s="61" t="n">
        <x:f>SUMIF('Tolerance Contributors'!$C$7:$C$198,B32,'Tolerance Contributors'!$F$7:$F$198)</x:f>
        <x:v>0.045000000000000005</x:v>
      </x:c>
      <x:c r="H32" s="61" t="n">
        <x:f>SQRT(SUMIF('Tolerance Contributors'!$C$7:$C$198,B32,'Tolerance Contributors'!$H$7:$H$198))</x:f>
        <x:v>0.022825424421026655</x:v>
      </x:c>
      <x:c r="I32" s="61" t="n">
        <x:f>F32-G32</x:f>
        <x:v>0.0049999999999999975</x:v>
      </x:c>
      <x:c r="J32" s="61" t="n">
        <x:f>IF(F32=0,0,G32/F32)</x:f>
        <x:v>0.9</x:v>
      </x:c>
      <x:c r="K32" s="44" t="str">
        <x:f>IF(I32&gt;=0,"PASS","FAIL")</x:f>
        <x:v>PASS</x:v>
      </x:c>
    </x:row>
    <x:row r="33">
      <x:c r="B33" s="44" t="str">
        <x:v>BL-Y-TS-03</x:v>
      </x:c>
      <x:c r="C33" s="44" t="str">
        <x:v>BL-Y</x:v>
      </x:c>
      <x:c r="D33" s="44" t="str">
        <x:v>endpoint coaxiality</x:v>
      </x:c>
      <x:c r="E33" s="44" t="str">
        <x:v>mm</x:v>
      </x:c>
      <x:c r="F33" s="61" t="n">
        <x:v>0.5</x:v>
      </x:c>
      <x:c r="G33" s="61" t="n">
        <x:f>SUMIF('Tolerance Contributors'!$C$7:$C$198,B33,'Tolerance Contributors'!$F$7:$F$198)</x:f>
        <x:v>0.43999999999999995</x:v>
      </x:c>
      <x:c r="H33" s="61" t="n">
        <x:f>SQRT(SUMIF('Tolerance Contributors'!$C$7:$C$198,B33,'Tolerance Contributors'!$H$7:$H$198))</x:f>
        <x:v>0.22181073012818833</x:v>
      </x:c>
      <x:c r="I33" s="61" t="n">
        <x:f>F33-G33</x:f>
        <x:v>0.06000000000000005</x:v>
      </x:c>
      <x:c r="J33" s="61" t="n">
        <x:f>IF(F33=0,0,G33/F33)</x:f>
        <x:v>0.8799999999999999</x:v>
      </x:c>
      <x:c r="K33" s="44" t="str">
        <x:f>IF(I33&gt;=0,"PASS","FAIL")</x:f>
        <x:v>PASS</x:v>
      </x:c>
    </x:row>
    <x:row r="34">
      <x:c r="B34" s="44" t="str">
        <x:v>BL-Y-TS-04</x:v>
      </x:c>
      <x:c r="C34" s="44" t="str">
        <x:v>BL-Y</x:v>
      </x:c>
      <x:c r="D34" s="44" t="str">
        <x:v>internal joint step</x:v>
      </x:c>
      <x:c r="E34" s="44" t="str">
        <x:v>mm</x:v>
      </x:c>
      <x:c r="F34" s="61" t="n">
        <x:v>0.1</x:v>
      </x:c>
      <x:c r="G34" s="61" t="n">
        <x:f>SUMIF('Tolerance Contributors'!$C$7:$C$198,B34,'Tolerance Contributors'!$F$7:$F$198)</x:f>
        <x:v>0.095</x:v>
      </x:c>
      <x:c r="H34" s="61" t="n">
        <x:f>SQRT(SUMIF('Tolerance Contributors'!$C$7:$C$198,B34,'Tolerance Contributors'!$H$7:$H$198))</x:f>
        <x:v>0.04763402145525822</x:v>
      </x:c>
      <x:c r="I34" s="61" t="n">
        <x:f>F34-G34</x:f>
        <x:v>0.0050000000000000044</x:v>
      </x:c>
      <x:c r="J34" s="61" t="n">
        <x:f>IF(F34=0,0,G34/F34)</x:f>
        <x:v>0.95</x:v>
      </x:c>
      <x:c r="K34" s="44" t="str">
        <x:f>IF(I34&gt;=0,"PASS","FAIL")</x:f>
        <x:v>PASS</x:v>
      </x:c>
    </x:row>
    <x:row r="35">
      <x:c r="B35" s="44" t="str">
        <x:v>BL-Y-TS-05</x:v>
      </x:c>
      <x:c r="C35" s="44" t="str">
        <x:v>BL-Y</x:v>
      </x:c>
      <x:c r="D35" s="44" t="str">
        <x:v>slope error</x:v>
      </x:c>
      <x:c r="E35" s="44" t="str">
        <x:v>deg</x:v>
      </x:c>
      <x:c r="F35" s="61" t="n">
        <x:v>0.02</x:v>
      </x:c>
      <x:c r="G35" s="61" t="n">
        <x:f>SUMIF('Tolerance Contributors'!$C$7:$C$198,B35,'Tolerance Contributors'!$F$7:$F$198)</x:f>
        <x:v>0.018000000000000002</x:v>
      </x:c>
      <x:c r="H35" s="61" t="n">
        <x:f>SQRT(SUMIF('Tolerance Contributors'!$C$7:$C$198,B35,'Tolerance Contributors'!$H$7:$H$198))</x:f>
        <x:v>0.009055385138137417</x:v>
      </x:c>
      <x:c r="I35" s="61" t="n">
        <x:f>F35-G35</x:f>
        <x:v>0.0019999999999999983</x:v>
      </x:c>
      <x:c r="J35" s="61" t="n">
        <x:f>IF(F35=0,0,G35/F35)</x:f>
        <x:v>0.9000000000000001</x:v>
      </x:c>
      <x:c r="K35" s="44" t="str">
        <x:f>IF(I35&gt;=0,"PASS","FAIL")</x:f>
        <x:v>PASS</x:v>
      </x:c>
    </x:row>
    <x:row r="36">
      <x:c r="B36" s="44" t="str">
        <x:v>BL-Y-TS-06</x:v>
      </x:c>
      <x:c r="C36" s="44" t="str">
        <x:v>BL-Y</x:v>
      </x:c>
      <x:c r="D36" s="44" t="str">
        <x:v>instrument station position</x:v>
      </x:c>
      <x:c r="E36" s="44" t="str">
        <x:v>mm</x:v>
      </x:c>
      <x:c r="F36" s="61" t="n">
        <x:v>0.5</x:v>
      </x:c>
      <x:c r="G36" s="61" t="n">
        <x:f>SUMIF('Tolerance Contributors'!$C$7:$C$198,B36,'Tolerance Contributors'!$F$7:$F$198)</x:f>
        <x:v>0.44</x:v>
      </x:c>
      <x:c r="H36" s="61" t="n">
        <x:f>SQRT(SUMIF('Tolerance Contributors'!$C$7:$C$198,B36,'Tolerance Contributors'!$H$7:$H$198))</x:f>
        <x:v>0.22</x:v>
      </x:c>
      <x:c r="I36" s="61" t="n">
        <x:f>F36-G36</x:f>
        <x:v>0.06</x:v>
      </x:c>
      <x:c r="J36" s="61" t="n">
        <x:f>IF(F36=0,0,G36/F36)</x:f>
        <x:v>0.88</x:v>
      </x:c>
      <x:c r="K36" s="44" t="str">
        <x:f>IF(I36&gt;=0,"PASS","FAIL")</x:f>
        <x:v>PASS</x:v>
      </x:c>
    </x:row>
    <x:row r="37">
      <x:c r="B37" s="44" t="str">
        <x:v>BL-Y-TS-07</x:v>
      </x:c>
      <x:c r="C37" s="44" t="str">
        <x:v>BL-Y</x:v>
      </x:c>
      <x:c r="D37" s="44" t="str">
        <x:v>port radial orientation</x:v>
      </x:c>
      <x:c r="E37" s="44" t="str">
        <x:v>deg</x:v>
      </x:c>
      <x:c r="F37" s="61" t="n">
        <x:v>0.5</x:v>
      </x:c>
      <x:c r="G37" s="61" t="n">
        <x:f>SUMIF('Tolerance Contributors'!$C$7:$C$198,B37,'Tolerance Contributors'!$F$7:$F$198)</x:f>
        <x:v>0.44</x:v>
      </x:c>
      <x:c r="H37" s="61" t="n">
        <x:f>SQRT(SUMIF('Tolerance Contributors'!$C$7:$C$198,B37,'Tolerance Contributors'!$H$7:$H$198))</x:f>
        <x:v>0.22</x:v>
      </x:c>
      <x:c r="I37" s="61" t="n">
        <x:f>F37-G37</x:f>
        <x:v>0.06</x:v>
      </x:c>
      <x:c r="J37" s="61" t="n">
        <x:f>IF(F37=0,0,G37/F37)</x:f>
        <x:v>0.88</x:v>
      </x:c>
      <x:c r="K37" s="44" t="str">
        <x:f>IF(I37&gt;=0,"PASS","FAIL")</x:f>
        <x:v>PASS</x:v>
      </x:c>
    </x:row>
    <x:row r="38">
      <x:c r="B38" s="44" t="str">
        <x:v>BL-Y-TS-08</x:v>
      </x:c>
      <x:c r="C38" s="44" t="str">
        <x:v>BL-Y</x:v>
      </x:c>
      <x:c r="D38" s="44" t="str">
        <x:v>valve face alignment</x:v>
      </x:c>
      <x:c r="E38" s="44" t="str">
        <x:v>mm</x:v>
      </x:c>
      <x:c r="F38" s="61" t="n">
        <x:v>0.3</x:v>
      </x:c>
      <x:c r="G38" s="61" t="n">
        <x:f>SUMIF('Tolerance Contributors'!$C$7:$C$198,B38,'Tolerance Contributors'!$F$7:$F$198)</x:f>
        <x:v>0.26</x:v>
      </x:c>
      <x:c r="H38" s="61" t="n">
        <x:f>SQRT(SUMIF('Tolerance Contributors'!$C$7:$C$198,B38,'Tolerance Contributors'!$H$7:$H$198))</x:f>
        <x:v>0.13</x:v>
      </x:c>
      <x:c r="I38" s="61" t="n">
        <x:f>F38-G38</x:f>
        <x:v>0.03999999999999998</x:v>
      </x:c>
      <x:c r="J38" s="61" t="n">
        <x:f>IF(F38=0,0,G38/F38)</x:f>
        <x:v>0.8666666666666667</x:v>
      </x:c>
      <x:c r="K38" s="44" t="str">
        <x:f>IF(I38&gt;=0,"PASS","FAIL")</x:f>
        <x:v>PASS</x:v>
      </x:c>
    </x:row>
    <x:row r="39">
      <x:c r="B39" s="44" t="str">
        <x:v>BL-Y-TS-09</x:v>
      </x:c>
      <x:c r="C39" s="44" t="str">
        <x:v>BL-Y</x:v>
      </x:c>
      <x:c r="D39" s="44" t="str">
        <x:v>valve spindle orthogonality</x:v>
      </x:c>
      <x:c r="E39" s="44" t="str">
        <x:v>deg</x:v>
      </x:c>
      <x:c r="F39" s="61" t="n">
        <x:v>0.25</x:v>
      </x:c>
      <x:c r="G39" s="61" t="n">
        <x:f>SUMIF('Tolerance Contributors'!$C$7:$C$198,B39,'Tolerance Contributors'!$F$7:$F$198)</x:f>
        <x:v>0.22</x:v>
      </x:c>
      <x:c r="H39" s="61" t="n">
        <x:f>SQRT(SUMIF('Tolerance Contributors'!$C$7:$C$198,B39,'Tolerance Contributors'!$H$7:$H$198))</x:f>
        <x:v>0.11</x:v>
      </x:c>
      <x:c r="I39" s="61" t="n">
        <x:f>F39-G39</x:f>
        <x:v>0.03</x:v>
      </x:c>
      <x:c r="J39" s="61" t="n">
        <x:f>IF(F39=0,0,G39/F39)</x:f>
        <x:v>0.88</x:v>
      </x:c>
      <x:c r="K39" s="44" t="str">
        <x:f>IF(I39&gt;=0,"PASS","FAIL")</x:f>
        <x:v>PASS</x:v>
      </x:c>
    </x:row>
    <x:row r="40">
      <x:c r="B40" s="44" t="str">
        <x:v>BL-Y-TS-10</x:v>
      </x:c>
      <x:c r="C40" s="44" t="str">
        <x:v>BL-Y</x:v>
      </x:c>
      <x:c r="D40" s="44" t="str">
        <x:v>seal compression centering</x:v>
      </x:c>
      <x:c r="E40" s="44" t="str">
        <x:v>mm</x:v>
      </x:c>
      <x:c r="F40" s="61" t="n">
        <x:v>0.2</x:v>
      </x:c>
      <x:c r="G40" s="61" t="n">
        <x:f>SUMIF('Tolerance Contributors'!$C$7:$C$198,B40,'Tolerance Contributors'!$F$7:$F$198)</x:f>
        <x:v>0.18</x:v>
      </x:c>
      <x:c r="H40" s="61" t="n">
        <x:f>SQRT(SUMIF('Tolerance Contributors'!$C$7:$C$198,B40,'Tolerance Contributors'!$H$7:$H$198))</x:f>
        <x:v>0.09</x:v>
      </x:c>
      <x:c r="I40" s="61" t="n">
        <x:f>F40-G40</x:f>
        <x:v>0.020000000000000018</x:v>
      </x:c>
      <x:c r="J40" s="61" t="n">
        <x:f>IF(F40=0,0,G40/F40)</x:f>
        <x:v>0.8999999999999999</x:v>
      </x:c>
      <x:c r="K40" s="44" t="str">
        <x:f>IF(I40&gt;=0,"PASS","FAIL")</x:f>
        <x:v>PASS</x:v>
      </x:c>
    </x:row>
    <x:row r="41">
      <x:c r="B41" s="44" t="str">
        <x:v>BL-Y-TS-11</x:v>
      </x:c>
      <x:c r="C41" s="44" t="str">
        <x:v>BL-Y</x:v>
      </x:c>
      <x:c r="D41" s="44" t="str">
        <x:v>gasket intrusion</x:v>
      </x:c>
      <x:c r="E41" s="44" t="str">
        <x:v>mm</x:v>
      </x:c>
      <x:c r="F41" s="61" t="n">
        <x:v>0.1</x:v>
      </x:c>
      <x:c r="G41" s="61" t="n">
        <x:f>SUMIF('Tolerance Contributors'!$C$7:$C$198,B41,'Tolerance Contributors'!$F$7:$F$198)</x:f>
        <x:v>0.088</x:v>
      </x:c>
      <x:c r="H41" s="61" t="n">
        <x:f>SQRT(SUMIF('Tolerance Contributors'!$C$7:$C$198,B41,'Tolerance Contributors'!$H$7:$H$198))</x:f>
        <x:v>0.044</x:v>
      </x:c>
      <x:c r="I41" s="61" t="n">
        <x:f>F41-G41</x:f>
        <x:v>0.01200000000000001</x:v>
      </x:c>
      <x:c r="J41" s="61" t="n">
        <x:f>IF(F41=0,0,G41/F41)</x:f>
        <x:v>0.8799999999999999</x:v>
      </x:c>
      <x:c r="K41" s="44" t="str">
        <x:f>IF(I41&gt;=0,"PASS","FAIL")</x:f>
        <x:v>PASS</x:v>
      </x:c>
    </x:row>
    <x:row r="42">
      <x:c r="B42" s="44" t="str">
        <x:v>BL-Y-TS-12</x:v>
      </x:c>
      <x:c r="C42" s="44" t="str">
        <x:v>BL-Y</x:v>
      </x:c>
      <x:c r="D42" s="44" t="str">
        <x:v>deadleg allocation</x:v>
      </x:c>
      <x:c r="E42" s="44" t="str">
        <x:v>mL</x:v>
      </x:c>
      <x:c r="F42" s="61" t="n">
        <x:v>250</x:v>
      </x:c>
      <x:c r="G42" s="61" t="n">
        <x:f>SUMIF('Tolerance Contributors'!$C$7:$C$198,B42,'Tolerance Contributors'!$F$7:$F$198)</x:f>
        <x:v>220</x:v>
      </x:c>
      <x:c r="H42" s="61" t="n">
        <x:f>SQRT(SUMIF('Tolerance Contributors'!$C$7:$C$198,B42,'Tolerance Contributors'!$H$7:$H$198))</x:f>
        <x:v>110</x:v>
      </x:c>
      <x:c r="I42" s="61" t="n">
        <x:f>F42-G42</x:f>
        <x:v>30</x:v>
      </x:c>
      <x:c r="J42" s="61" t="n">
        <x:f>IF(F42=0,0,G42/F42)</x:f>
        <x:v>0.88</x:v>
      </x:c>
      <x:c r="K42" s="44" t="str">
        <x:f>IF(I42&gt;=0,"PASS","FAIL")</x:f>
        <x:v>PASS</x:v>
      </x:c>
    </x:row>
    <x:row r="43">
      <x:c r="B43" s="44" t="str">
        <x:v>BL-Y-TS-13</x:v>
      </x:c>
      <x:c r="C43" s="44" t="str">
        <x:v>BL-Y</x:v>
      </x:c>
      <x:c r="D43" s="44" t="str">
        <x:v>pan low-point error</x:v>
      </x:c>
      <x:c r="E43" s="44" t="str">
        <x:v>mm</x:v>
      </x:c>
      <x:c r="F43" s="61" t="n">
        <x:v>1</x:v>
      </x:c>
      <x:c r="G43" s="61" t="n">
        <x:f>SUMIF('Tolerance Contributors'!$C$7:$C$198,B43,'Tolerance Contributors'!$F$7:$F$198)</x:f>
        <x:v>0.88</x:v>
      </x:c>
      <x:c r="H43" s="61" t="n">
        <x:f>SQRT(SUMIF('Tolerance Contributors'!$C$7:$C$198,B43,'Tolerance Contributors'!$H$7:$H$198))</x:f>
        <x:v>0.44</x:v>
      </x:c>
      <x:c r="I43" s="61" t="n">
        <x:f>F43-G43</x:f>
        <x:v>0.12</x:v>
      </x:c>
      <x:c r="J43" s="61" t="n">
        <x:f>IF(F43=0,0,G43/F43)</x:f>
        <x:v>0.88</x:v>
      </x:c>
      <x:c r="K43" s="44" t="str">
        <x:f>IF(I43&gt;=0,"PASS","FAIL")</x:f>
        <x:v>PASS</x:v>
      </x:c>
    </x:row>
    <x:row r="44">
      <x:c r="B44" s="44" t="str">
        <x:v>BL-Y-TS-14</x:v>
      </x:c>
      <x:c r="C44" s="44" t="str">
        <x:v>BL-Y</x:v>
      </x:c>
      <x:c r="D44" s="44" t="str">
        <x:v>drain grade error</x:v>
      </x:c>
      <x:c r="E44" s="44" t="str">
        <x:v>deg</x:v>
      </x:c>
      <x:c r="F44" s="61" t="n">
        <x:v>0.1</x:v>
      </x:c>
      <x:c r="G44" s="61" t="n">
        <x:f>SUMIF('Tolerance Contributors'!$C$7:$C$198,B44,'Tolerance Contributors'!$F$7:$F$198)</x:f>
        <x:v>0.088</x:v>
      </x:c>
      <x:c r="H44" s="61" t="n">
        <x:f>SQRT(SUMIF('Tolerance Contributors'!$C$7:$C$198,B44,'Tolerance Contributors'!$H$7:$H$198))</x:f>
        <x:v>0.044</x:v>
      </x:c>
      <x:c r="I44" s="61" t="n">
        <x:f>F44-G44</x:f>
        <x:v>0.01200000000000001</x:v>
      </x:c>
      <x:c r="J44" s="61" t="n">
        <x:f>IF(F44=0,0,G44/F44)</x:f>
        <x:v>0.8799999999999999</x:v>
      </x:c>
      <x:c r="K44" s="44" t="str">
        <x:f>IF(I44&gt;=0,"PASS","FAIL")</x:f>
        <x:v>PASS</x:v>
      </x:c>
    </x:row>
    <x:row r="45">
      <x:c r="B45" s="44" t="str">
        <x:v>BL-Y-TS-15</x:v>
      </x:c>
      <x:c r="C45" s="44" t="str">
        <x:v>BL-Y</x:v>
      </x:c>
      <x:c r="D45" s="44" t="str">
        <x:v>receiver datum</x:v>
      </x:c>
      <x:c r="E45" s="44" t="str">
        <x:v>mm</x:v>
      </x:c>
      <x:c r="F45" s="61" t="n">
        <x:v>1</x:v>
      </x:c>
      <x:c r="G45" s="61" t="n">
        <x:f>SUMIF('Tolerance Contributors'!$C$7:$C$198,B45,'Tolerance Contributors'!$F$7:$F$198)</x:f>
        <x:v>0.8200000000000001</x:v>
      </x:c>
      <x:c r="H45" s="61" t="n">
        <x:f>SQRT(SUMIF('Tolerance Contributors'!$C$7:$C$198,B45,'Tolerance Contributors'!$H$7:$H$198))</x:f>
        <x:v>0.41133927602406267</x:v>
      </x:c>
      <x:c r="I45" s="61" t="n">
        <x:f>F45-G45</x:f>
        <x:v>0.17999999999999994</x:v>
      </x:c>
      <x:c r="J45" s="61" t="n">
        <x:f>IF(F45=0,0,G45/F45)</x:f>
        <x:v>0.8200000000000001</x:v>
      </x:c>
      <x:c r="K45" s="44" t="str">
        <x:f>IF(I45&gt;=0,"PASS","FAIL")</x:f>
        <x:v>PASS</x:v>
      </x:c>
    </x:row>
    <x:row r="46">
      <x:c r="B46" s="44" t="str">
        <x:v>BL-Y-TS-16</x:v>
      </x:c>
      <x:c r="C46" s="44" t="str">
        <x:v>BL-Y</x:v>
      </x:c>
      <x:c r="D46" s="44" t="str">
        <x:v>load-cell axiality</x:v>
      </x:c>
      <x:c r="E46" s="44" t="str">
        <x:v>deg</x:v>
      </x:c>
      <x:c r="F46" s="61" t="n">
        <x:v>0.25</x:v>
      </x:c>
      <x:c r="G46" s="61" t="n">
        <x:f>SUMIF('Tolerance Contributors'!$C$7:$C$198,B46,'Tolerance Contributors'!$F$7:$F$198)</x:f>
        <x:v>0.22</x:v>
      </x:c>
      <x:c r="H46" s="61" t="n">
        <x:f>SQRT(SUMIF('Tolerance Contributors'!$C$7:$C$198,B46,'Tolerance Contributors'!$H$7:$H$198))</x:f>
        <x:v>0.11</x:v>
      </x:c>
      <x:c r="I46" s="61" t="n">
        <x:f>F46-G46</x:f>
        <x:v>0.03</x:v>
      </x:c>
      <x:c r="J46" s="61" t="n">
        <x:f>IF(F46=0,0,G46/F46)</x:f>
        <x:v>0.88</x:v>
      </x:c>
      <x:c r="K46" s="44" t="str">
        <x:f>IF(I46&gt;=0,"PASS","FAIL")</x:f>
        <x:v>PASS</x:v>
      </x:c>
    </x:row>
    <x:row r="47">
      <x:c r="B47" s="44" t="str">
        <x:v>BL-Y-TS-17</x:v>
      </x:c>
      <x:c r="C47" s="44" t="str">
        <x:v>BL-Y</x:v>
      </x:c>
      <x:c r="D47" s="44" t="str">
        <x:v>sensor insertion depth</x:v>
      </x:c>
      <x:c r="E47" s="44" t="str">
        <x:v>mm</x:v>
      </x:c>
      <x:c r="F47" s="61" t="n">
        <x:v>0.2</x:v>
      </x:c>
      <x:c r="G47" s="61" t="n">
        <x:f>SUMIF('Tolerance Contributors'!$C$7:$C$198,B47,'Tolerance Contributors'!$F$7:$F$198)</x:f>
        <x:v>0.18</x:v>
      </x:c>
      <x:c r="H47" s="61" t="n">
        <x:f>SQRT(SUMIF('Tolerance Contributors'!$C$7:$C$198,B47,'Tolerance Contributors'!$H$7:$H$198))</x:f>
        <x:v>0.09</x:v>
      </x:c>
      <x:c r="I47" s="61" t="n">
        <x:f>F47-G47</x:f>
        <x:v>0.020000000000000018</x:v>
      </x:c>
      <x:c r="J47" s="61" t="n">
        <x:f>IF(F47=0,0,G47/F47)</x:f>
        <x:v>0.8999999999999999</x:v>
      </x:c>
      <x:c r="K47" s="44" t="str">
        <x:f>IF(I47&gt;=0,"PASS","FAIL")</x:f>
        <x:v>PASS</x:v>
      </x:c>
    </x:row>
    <x:row r="48">
      <x:c r="B48" s="44" t="str">
        <x:v>BL-Y-TS-18</x:v>
      </x:c>
      <x:c r="C48" s="44" t="str">
        <x:v>BL-Y</x:v>
      </x:c>
      <x:c r="D48" s="44" t="str">
        <x:v>state-witness gap</x:v>
      </x:c>
      <x:c r="E48" s="44" t="str">
        <x:v>mm</x:v>
      </x:c>
      <x:c r="F48" s="61" t="n">
        <x:v>0.15</x:v>
      </x:c>
      <x:c r="G48" s="61" t="n">
        <x:f>SUMIF('Tolerance Contributors'!$C$7:$C$198,B48,'Tolerance Contributors'!$F$7:$F$198)</x:f>
        <x:v>0.128</x:v>
      </x:c>
      <x:c r="H48" s="61" t="n">
        <x:f>SQRT(SUMIF('Tolerance Contributors'!$C$7:$C$198,B48,'Tolerance Contributors'!$H$7:$H$198))</x:f>
        <x:v>0.064</x:v>
      </x:c>
      <x:c r="I48" s="61" t="n">
        <x:f>F48-G48</x:f>
        <x:v>0.021999999999999992</x:v>
      </x:c>
      <x:c r="J48" s="61" t="n">
        <x:f>IF(F48=0,0,G48/F48)</x:f>
        <x:v>0.8533333333333334</x:v>
      </x:c>
      <x:c r="K48" s="44" t="str">
        <x:f>IF(I48&gt;=0,"PASS","FAIL")</x:f>
        <x:v>PASS</x:v>
      </x:c>
    </x:row>
    <x:row r="49">
      <x:c r="B49" s="44" t="str">
        <x:v>BL-Y-TS-19</x:v>
      </x:c>
      <x:c r="C49" s="44" t="str">
        <x:v>BL-Y</x:v>
      </x:c>
      <x:c r="D49" s="44" t="str">
        <x:v>actuator stop position</x:v>
      </x:c>
      <x:c r="E49" s="44" t="str">
        <x:v>deg</x:v>
      </x:c>
      <x:c r="F49" s="61" t="n">
        <x:v>0.25</x:v>
      </x:c>
      <x:c r="G49" s="61" t="n">
        <x:f>SUMIF('Tolerance Contributors'!$C$7:$C$198,B49,'Tolerance Contributors'!$F$7:$F$198)</x:f>
        <x:v>0.22</x:v>
      </x:c>
      <x:c r="H49" s="61" t="n">
        <x:f>SQRT(SUMIF('Tolerance Contributors'!$C$7:$C$198,B49,'Tolerance Contributors'!$H$7:$H$198))</x:f>
        <x:v>0.11</x:v>
      </x:c>
      <x:c r="I49" s="61" t="n">
        <x:f>F49-G49</x:f>
        <x:v>0.03</x:v>
      </x:c>
      <x:c r="J49" s="61" t="n">
        <x:f>IF(F49=0,0,G49/F49)</x:f>
        <x:v>0.88</x:v>
      </x:c>
      <x:c r="K49" s="44" t="str">
        <x:f>IF(I49&gt;=0,"PASS","FAIL")</x:f>
        <x:v>PASS</x:v>
      </x:c>
    </x:row>
    <x:row r="50">
      <x:c r="B50" s="44" t="str">
        <x:v>BL-Y-TS-20</x:v>
      </x:c>
      <x:c r="C50" s="44" t="str">
        <x:v>BL-Y</x:v>
      </x:c>
      <x:c r="D50" s="44" t="str">
        <x:v>manual access margin</x:v>
      </x:c>
      <x:c r="E50" s="44" t="str">
        <x:v>mm</x:v>
      </x:c>
      <x:c r="F50" s="61" t="n">
        <x:v>25</x:v>
      </x:c>
      <x:c r="G50" s="61" t="n">
        <x:f>SUMIF('Tolerance Contributors'!$C$7:$C$198,B50,'Tolerance Contributors'!$F$7:$F$198)</x:f>
        <x:v>22</x:v>
      </x:c>
      <x:c r="H50" s="61" t="n">
        <x:f>SQRT(SUMIF('Tolerance Contributors'!$C$7:$C$198,B50,'Tolerance Contributors'!$H$7:$H$198))</x:f>
        <x:v>11</x:v>
      </x:c>
      <x:c r="I50" s="61" t="n">
        <x:f>F50-G50</x:f>
        <x:v>3</x:v>
      </x:c>
      <x:c r="J50" s="61" t="n">
        <x:f>IF(F50=0,0,G50/F50)</x:f>
        <x:v>0.88</x:v>
      </x:c>
      <x:c r="K50" s="44" t="str">
        <x:f>IF(I50&gt;=0,"PASS","FAIL")</x:f>
        <x:v>PASS</x:v>
      </x:c>
    </x:row>
    <x:row r="51">
      <x:c r="B51" s="44" t="str">
        <x:v>BL-Y-TS-21</x:v>
      </x:c>
      <x:c r="C51" s="44" t="str">
        <x:v>BL-Y</x:v>
      </x:c>
      <x:c r="D51" s="44" t="str">
        <x:v>rescue removal margin</x:v>
      </x:c>
      <x:c r="E51" s="44" t="str">
        <x:v>mm</x:v>
      </x:c>
      <x:c r="F51" s="61" t="n">
        <x:v>50</x:v>
      </x:c>
      <x:c r="G51" s="61" t="n">
        <x:f>SUMIF('Tolerance Contributors'!$C$7:$C$198,B51,'Tolerance Contributors'!$F$7:$F$198)</x:f>
        <x:v>44</x:v>
      </x:c>
      <x:c r="H51" s="61" t="n">
        <x:f>SQRT(SUMIF('Tolerance Contributors'!$C$7:$C$198,B51,'Tolerance Contributors'!$H$7:$H$198))</x:f>
        <x:v>22</x:v>
      </x:c>
      <x:c r="I51" s="61" t="n">
        <x:f>F51-G51</x:f>
        <x:v>6</x:v>
      </x:c>
      <x:c r="J51" s="61" t="n">
        <x:f>IF(F51=0,0,G51/F51)</x:f>
        <x:v>0.88</x:v>
      </x:c>
      <x:c r="K51" s="44" t="str">
        <x:f>IF(I51&gt;=0,"PASS","FAIL")</x:f>
        <x:v>PASS</x:v>
      </x:c>
    </x:row>
    <x:row r="52">
      <x:c r="B52" s="44" t="str">
        <x:v>BL-Y-TS-22</x:v>
      </x:c>
      <x:c r="C52" s="44" t="str">
        <x:v>BL-Y</x:v>
      </x:c>
      <x:c r="D52" s="44" t="str">
        <x:v>lift interface position</x:v>
      </x:c>
      <x:c r="E52" s="44" t="str">
        <x:v>mm</x:v>
      </x:c>
      <x:c r="F52" s="61" t="n">
        <x:v>1</x:v>
      </x:c>
      <x:c r="G52" s="61" t="n">
        <x:f>SUMIF('Tolerance Contributors'!$C$7:$C$198,B52,'Tolerance Contributors'!$F$7:$F$198)</x:f>
        <x:v>0.88</x:v>
      </x:c>
      <x:c r="H52" s="61" t="n">
        <x:f>SQRT(SUMIF('Tolerance Contributors'!$C$7:$C$198,B52,'Tolerance Contributors'!$H$7:$H$198))</x:f>
        <x:v>0.44</x:v>
      </x:c>
      <x:c r="I52" s="61" t="n">
        <x:f>F52-G52</x:f>
        <x:v>0.12</x:v>
      </x:c>
      <x:c r="J52" s="61" t="n">
        <x:f>IF(F52=0,0,G52/F52)</x:f>
        <x:v>0.88</x:v>
      </x:c>
      <x:c r="K52" s="44" t="str">
        <x:f>IF(I52&gt;=0,"PASS","FAIL")</x:f>
        <x:v>PASS</x:v>
      </x:c>
    </x:row>
    <x:row r="53">
      <x:c r="B53" s="44" t="str">
        <x:v>BL-Y-TS-23</x:v>
      </x:c>
      <x:c r="C53" s="44" t="str">
        <x:v>BL-Y</x:v>
      </x:c>
      <x:c r="D53" s="44" t="str">
        <x:v>evidence-route separation margin</x:v>
      </x:c>
      <x:c r="E53" s="44" t="str">
        <x:v>mm</x:v>
      </x:c>
      <x:c r="F53" s="61" t="n">
        <x:v>25</x:v>
      </x:c>
      <x:c r="G53" s="61" t="n">
        <x:f>SUMIF('Tolerance Contributors'!$C$7:$C$198,B53,'Tolerance Contributors'!$F$7:$F$198)</x:f>
        <x:v>22</x:v>
      </x:c>
      <x:c r="H53" s="61" t="n">
        <x:f>SQRT(SUMIF('Tolerance Contributors'!$C$7:$C$198,B53,'Tolerance Contributors'!$H$7:$H$198))</x:f>
        <x:v>11</x:v>
      </x:c>
      <x:c r="I53" s="61" t="n">
        <x:f>F53-G53</x:f>
        <x:v>3</x:v>
      </x:c>
      <x:c r="J53" s="61" t="n">
        <x:f>IF(F53=0,0,G53/F53)</x:f>
        <x:v>0.88</x:v>
      </x:c>
      <x:c r="K53" s="44" t="str">
        <x:f>IF(I53&gt;=0,"PASS","FAIL")</x:f>
        <x:v>PASS</x:v>
      </x:c>
    </x:row>
    <x:row r="54">
      <x:c r="B54" s="44" t="str">
        <x:v>BL-Y-TS-24</x:v>
      </x:c>
      <x:c r="C54" s="44" t="str">
        <x:v>BL-Y</x:v>
      </x:c>
      <x:c r="D54" s="44" t="str">
        <x:v>enclosure water-shed gap</x:v>
      </x:c>
      <x:c r="E54" s="44" t="str">
        <x:v>mm</x:v>
      </x:c>
      <x:c r="F54" s="61" t="n">
        <x:v>1</x:v>
      </x:c>
      <x:c r="G54" s="61" t="n">
        <x:f>SUMIF('Tolerance Contributors'!$C$7:$C$198,B54,'Tolerance Contributors'!$F$7:$F$198)</x:f>
        <x:v>0.88</x:v>
      </x:c>
      <x:c r="H54" s="61" t="n">
        <x:f>SQRT(SUMIF('Tolerance Contributors'!$C$7:$C$198,B54,'Tolerance Contributors'!$H$7:$H$198))</x:f>
        <x:v>0.44</x:v>
      </x:c>
      <x:c r="I54" s="61" t="n">
        <x:f>F54-G54</x:f>
        <x:v>0.12</x:v>
      </x:c>
      <x:c r="J54" s="61" t="n">
        <x:f>IF(F54=0,0,G54/F54)</x:f>
        <x:v>0.88</x:v>
      </x:c>
      <x:c r="K54" s="44" t="str">
        <x:f>IF(I54&gt;=0,"PASS","FAIL")</x:f>
        <x:v>PASS</x:v>
      </x:c>
    </x:row>
  </x:sheetData>
  <x:conditionalFormatting sqref="K7:K54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OPEN"/>
    <x:cfRule type="containsText" dxfId="93" priority="4" operator="containsText" text="PASS"/>
    <x:cfRule type="containsText" dxfId="94" priority="5" operator="containsText" text="PLANNED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8" hidden="0" customWidth="1"/>
    <x:col min="4" max="4" width="14" hidden="0" customWidth="1"/>
    <x:col min="5" max="5" width="18" hidden="0" customWidth="1"/>
    <x:col min="6" max="6" width="22" hidden="0" customWidth="1"/>
    <x:col min="7" max="7" width="15" hidden="0" customWidth="1"/>
    <x:col min="8" max="8" width="22" hidden="0" customWidth="1"/>
    <x:col min="9" max="9" width="25" hidden="0" customWidth="1"/>
    <x:col min="10" max="10" width="18" hidden="0" customWidth="1"/>
  </x:cols>
  <x:sheetData>
    <x:row r="2">
      <x:c r="B2" s="41" t="str">
        <x:v>One hundred ninety-two signed-absolute contributors</x:v>
      </x:c>
      <x:c r="C2" s="42"/>
      <x:c r="D2" s="42"/>
      <x:c r="E2" s="42"/>
      <x:c r="F2" s="42"/>
      <x:c r="G2" s="42"/>
      <x:c r="H2" s="42"/>
      <x:c r="I2" s="42"/>
      <x:c r="J2" s="42"/>
    </x:row>
    <x:row r="3">
      <x:c r="B3" s="43" t="str">
        <x:v>Worst-case closure governs. Squared terms provide an RSS diagnostic but cannot rescue a failed worst-case boundary.</x:v>
      </x:c>
      <x:c r="C3" s="42"/>
      <x:c r="D3" s="42"/>
      <x:c r="E3" s="42"/>
      <x:c r="F3" s="42"/>
      <x:c r="G3" s="42"/>
      <x:c r="H3" s="42"/>
      <x:c r="I3" s="42"/>
      <x:c r="J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</x:row>
    <x:row r="6" ht="25" customHeight="1">
      <x:c r="B6" s="6" t="str">
        <x:v>Contributor</x:v>
      </x:c>
      <x:c r="C6" s="6" t="str">
        <x:v>Stack</x:v>
      </x:c>
      <x:c r="D6" s="6" t="str">
        <x:v>Lineage</x:v>
      </x:c>
      <x:c r="E6" s="6" t="str">
        <x:v>Source</x:v>
      </x:c>
      <x:c r="F6" s="6" t="str">
        <x:v>Absolute tolerance</x:v>
      </x:c>
      <x:c r="G6" s="6" t="str">
        <x:v>Unit</x:v>
      </x:c>
      <x:c r="H6" s="6" t="str">
        <x:v>Squared tolerance</x:v>
      </x:c>
      <x:c r="I6" s="6" t="str">
        <x:v>Evidence</x:v>
      </x:c>
      <x:c r="J6" s="6" t="str">
        <x:v>Change class</x:v>
      </x:c>
    </x:row>
    <x:row r="7">
      <x:c r="B7" s="44" t="str">
        <x:v>TC-001</x:v>
      </x:c>
      <x:c r="C7" s="44" t="str">
        <x:v>BL-X-TS-01</x:v>
      </x:c>
      <x:c r="D7" s="44" t="str">
        <x:v>BL-X</x:v>
      </x:c>
      <x:c r="E7" s="44" t="str">
        <x:v>material</x:v>
      </x:c>
      <x:c r="F7" s="61" t="n">
        <x:v>0.3</x:v>
      </x:c>
      <x:c r="G7" s="61" t="str">
        <x:v>mm</x:v>
      </x:c>
      <x:c r="H7" s="61" t="n">
        <x:f>F7^2</x:f>
        <x:v>0.09</x:v>
      </x:c>
      <x:c r="I7" s="44" t="str">
        <x:v>receipt map</x:v>
      </x:c>
      <x:c r="J7" s="44" t="str">
        <x:v>major</x:v>
      </x:c>
    </x:row>
    <x:row r="8">
      <x:c r="B8" s="44" t="str">
        <x:v>TC-002</x:v>
      </x:c>
      <x:c r="C8" s="44" t="str">
        <x:v>BL-X-TS-01</x:v>
      </x:c>
      <x:c r="D8" s="44" t="str">
        <x:v>BL-X</x:v>
      </x:c>
      <x:c r="E8" s="44" t="str">
        <x:v>process</x:v>
      </x:c>
      <x:c r="F8" s="61" t="n">
        <x:v>0.3</x:v>
      </x:c>
      <x:c r="G8" s="61" t="str">
        <x:v>mm</x:v>
      </x:c>
      <x:c r="H8" s="61" t="n">
        <x:f>F8^2</x:f>
        <x:v>0.09</x:v>
      </x:c>
      <x:c r="I8" s="44" t="str">
        <x:v>in-process record</x:v>
      </x:c>
      <x:c r="J8" s="44" t="str">
        <x:v>major</x:v>
      </x:c>
    </x:row>
    <x:row r="9">
      <x:c r="B9" s="44" t="str">
        <x:v>TC-003</x:v>
      </x:c>
      <x:c r="C9" s="44" t="str">
        <x:v>BL-X-TS-01</x:v>
      </x:c>
      <x:c r="D9" s="44" t="str">
        <x:v>BL-X</x:v>
      </x:c>
      <x:c r="E9" s="44" t="str">
        <x:v>assembly</x:v>
      </x:c>
      <x:c r="F9" s="61" t="n">
        <x:v>0.4</x:v>
      </x:c>
      <x:c r="G9" s="61" t="str">
        <x:v>mm</x:v>
      </x:c>
      <x:c r="H9" s="61" t="n">
        <x:f>F9^2</x:f>
        <x:v>0.16000000000000003</x:v>
      </x:c>
      <x:c r="I9" s="44" t="str">
        <x:v>assembly survey</x:v>
      </x:c>
      <x:c r="J9" s="44" t="str">
        <x:v>minor</x:v>
      </x:c>
    </x:row>
    <x:row r="10">
      <x:c r="B10" s="44" t="str">
        <x:v>TC-004</x:v>
      </x:c>
      <x:c r="C10" s="44" t="str">
        <x:v>BL-X-TS-01</x:v>
      </x:c>
      <x:c r="D10" s="44" t="str">
        <x:v>BL-X</x:v>
      </x:c>
      <x:c r="E10" s="44" t="str">
        <x:v>measurement</x:v>
      </x:c>
      <x:c r="F10" s="61" t="n">
        <x:v>0.5</x:v>
      </x:c>
      <x:c r="G10" s="61" t="str">
        <x:v>mm</x:v>
      </x:c>
      <x:c r="H10" s="61" t="n">
        <x:f>F10^2</x:f>
        <x:v>0.25</x:v>
      </x:c>
      <x:c r="I10" s="44" t="str">
        <x:v>independent metrology</x:v>
      </x:c>
      <x:c r="J10" s="44" t="str">
        <x:v>minor</x:v>
      </x:c>
    </x:row>
    <x:row r="11">
      <x:c r="B11" s="44" t="str">
        <x:v>TC-005</x:v>
      </x:c>
      <x:c r="C11" s="44" t="str">
        <x:v>BL-X-TS-02</x:v>
      </x:c>
      <x:c r="D11" s="44" t="str">
        <x:v>BL-X</x:v>
      </x:c>
      <x:c r="E11" s="44" t="str">
        <x:v>material</x:v>
      </x:c>
      <x:c r="F11" s="61" t="n">
        <x:v>0.012</x:v>
      </x:c>
      <x:c r="G11" s="61" t="str">
        <x:v>mm</x:v>
      </x:c>
      <x:c r="H11" s="61" t="n">
        <x:f>F11^2</x:f>
        <x:v>0.000144</x:v>
      </x:c>
      <x:c r="I11" s="44" t="str">
        <x:v>receipt map</x:v>
      </x:c>
      <x:c r="J11" s="44" t="str">
        <x:v>major</x:v>
      </x:c>
    </x:row>
    <x:row r="12">
      <x:c r="B12" s="44" t="str">
        <x:v>TC-006</x:v>
      </x:c>
      <x:c r="C12" s="44" t="str">
        <x:v>BL-X-TS-02</x:v>
      </x:c>
      <x:c r="D12" s="44" t="str">
        <x:v>BL-X</x:v>
      </x:c>
      <x:c r="E12" s="44" t="str">
        <x:v>process</x:v>
      </x:c>
      <x:c r="F12" s="61" t="n">
        <x:v>0.01</x:v>
      </x:c>
      <x:c r="G12" s="61" t="str">
        <x:v>mm</x:v>
      </x:c>
      <x:c r="H12" s="61" t="n">
        <x:f>F12^2</x:f>
        <x:v>0.0001</x:v>
      </x:c>
      <x:c r="I12" s="44" t="str">
        <x:v>in-process record</x:v>
      </x:c>
      <x:c r="J12" s="44" t="str">
        <x:v>major</x:v>
      </x:c>
    </x:row>
    <x:row r="13">
      <x:c r="B13" s="44" t="str">
        <x:v>TC-007</x:v>
      </x:c>
      <x:c r="C13" s="44" t="str">
        <x:v>BL-X-TS-02</x:v>
      </x:c>
      <x:c r="D13" s="44" t="str">
        <x:v>BL-X</x:v>
      </x:c>
      <x:c r="E13" s="44" t="str">
        <x:v>assembly</x:v>
      </x:c>
      <x:c r="F13" s="61" t="n">
        <x:v>0.01</x:v>
      </x:c>
      <x:c r="G13" s="61" t="str">
        <x:v>mm</x:v>
      </x:c>
      <x:c r="H13" s="61" t="n">
        <x:f>F13^2</x:f>
        <x:v>0.0001</x:v>
      </x:c>
      <x:c r="I13" s="44" t="str">
        <x:v>assembly survey</x:v>
      </x:c>
      <x:c r="J13" s="44" t="str">
        <x:v>minor</x:v>
      </x:c>
    </x:row>
    <x:row r="14">
      <x:c r="B14" s="44" t="str">
        <x:v>TC-008</x:v>
      </x:c>
      <x:c r="C14" s="44" t="str">
        <x:v>BL-X-TS-02</x:v>
      </x:c>
      <x:c r="D14" s="44" t="str">
        <x:v>BL-X</x:v>
      </x:c>
      <x:c r="E14" s="44" t="str">
        <x:v>measurement</x:v>
      </x:c>
      <x:c r="F14" s="61" t="n">
        <x:v>0.008</x:v>
      </x:c>
      <x:c r="G14" s="61" t="str">
        <x:v>mm</x:v>
      </x:c>
      <x:c r="H14" s="61" t="n">
        <x:f>F14^2</x:f>
        <x:v>0.000064</x:v>
      </x:c>
      <x:c r="I14" s="44" t="str">
        <x:v>independent metrology</x:v>
      </x:c>
      <x:c r="J14" s="44" t="str">
        <x:v>minor</x:v>
      </x:c>
    </x:row>
    <x:row r="15">
      <x:c r="B15" s="44" t="str">
        <x:v>TC-009</x:v>
      </x:c>
      <x:c r="C15" s="44" t="str">
        <x:v>BL-X-TS-03</x:v>
      </x:c>
      <x:c r="D15" s="44" t="str">
        <x:v>BL-X</x:v>
      </x:c>
      <x:c r="E15" s="44" t="str">
        <x:v>material</x:v>
      </x:c>
      <x:c r="F15" s="61" t="n">
        <x:v>0.1</x:v>
      </x:c>
      <x:c r="G15" s="61" t="str">
        <x:v>mm</x:v>
      </x:c>
      <x:c r="H15" s="61" t="n">
        <x:f>F15^2</x:f>
        <x:v>0.010000000000000002</x:v>
      </x:c>
      <x:c r="I15" s="44" t="str">
        <x:v>receipt map</x:v>
      </x:c>
      <x:c r="J15" s="44" t="str">
        <x:v>major</x:v>
      </x:c>
    </x:row>
    <x:row r="16">
      <x:c r="B16" s="44" t="str">
        <x:v>TC-010</x:v>
      </x:c>
      <x:c r="C16" s="44" t="str">
        <x:v>BL-X-TS-03</x:v>
      </x:c>
      <x:c r="D16" s="44" t="str">
        <x:v>BL-X</x:v>
      </x:c>
      <x:c r="E16" s="44" t="str">
        <x:v>process</x:v>
      </x:c>
      <x:c r="F16" s="61" t="n">
        <x:v>0.1</x:v>
      </x:c>
      <x:c r="G16" s="61" t="str">
        <x:v>mm</x:v>
      </x:c>
      <x:c r="H16" s="61" t="n">
        <x:f>F16^2</x:f>
        <x:v>0.010000000000000002</x:v>
      </x:c>
      <x:c r="I16" s="44" t="str">
        <x:v>in-process record</x:v>
      </x:c>
      <x:c r="J16" s="44" t="str">
        <x:v>major</x:v>
      </x:c>
    </x:row>
    <x:row r="17">
      <x:c r="B17" s="44" t="str">
        <x:v>TC-011</x:v>
      </x:c>
      <x:c r="C17" s="44" t="str">
        <x:v>BL-X-TS-03</x:v>
      </x:c>
      <x:c r="D17" s="44" t="str">
        <x:v>BL-X</x:v>
      </x:c>
      <x:c r="E17" s="44" t="str">
        <x:v>assembly</x:v>
      </x:c>
      <x:c r="F17" s="61" t="n">
        <x:v>0.12</x:v>
      </x:c>
      <x:c r="G17" s="61" t="str">
        <x:v>mm</x:v>
      </x:c>
      <x:c r="H17" s="61" t="n">
        <x:f>F17^2</x:f>
        <x:v>0.0144</x:v>
      </x:c>
      <x:c r="I17" s="44" t="str">
        <x:v>assembly survey</x:v>
      </x:c>
      <x:c r="J17" s="44" t="str">
        <x:v>minor</x:v>
      </x:c>
    </x:row>
    <x:row r="18">
      <x:c r="B18" s="44" t="str">
        <x:v>TC-012</x:v>
      </x:c>
      <x:c r="C18" s="44" t="str">
        <x:v>BL-X-TS-03</x:v>
      </x:c>
      <x:c r="D18" s="44" t="str">
        <x:v>BL-X</x:v>
      </x:c>
      <x:c r="E18" s="44" t="str">
        <x:v>measurement</x:v>
      </x:c>
      <x:c r="F18" s="61" t="n">
        <x:v>0.08</x:v>
      </x:c>
      <x:c r="G18" s="61" t="str">
        <x:v>mm</x:v>
      </x:c>
      <x:c r="H18" s="61" t="n">
        <x:f>F18^2</x:f>
        <x:v>0.0064</x:v>
      </x:c>
      <x:c r="I18" s="44" t="str">
        <x:v>independent metrology</x:v>
      </x:c>
      <x:c r="J18" s="44" t="str">
        <x:v>minor</x:v>
      </x:c>
    </x:row>
    <x:row r="19">
      <x:c r="B19" s="44" t="str">
        <x:v>TC-013</x:v>
      </x:c>
      <x:c r="C19" s="44" t="str">
        <x:v>BL-X-TS-04</x:v>
      </x:c>
      <x:c r="D19" s="44" t="str">
        <x:v>BL-X</x:v>
      </x:c>
      <x:c r="E19" s="44" t="str">
        <x:v>material</x:v>
      </x:c>
      <x:c r="F19" s="61" t="n">
        <x:v>0.02</x:v>
      </x:c>
      <x:c r="G19" s="61" t="str">
        <x:v>mm</x:v>
      </x:c>
      <x:c r="H19" s="61" t="n">
        <x:f>F19^2</x:f>
        <x:v>0.0004</x:v>
      </x:c>
      <x:c r="I19" s="44" t="str">
        <x:v>receipt map</x:v>
      </x:c>
      <x:c r="J19" s="44" t="str">
        <x:v>major</x:v>
      </x:c>
    </x:row>
    <x:row r="20">
      <x:c r="B20" s="44" t="str">
        <x:v>TC-014</x:v>
      </x:c>
      <x:c r="C20" s="44" t="str">
        <x:v>BL-X-TS-04</x:v>
      </x:c>
      <x:c r="D20" s="44" t="str">
        <x:v>BL-X</x:v>
      </x:c>
      <x:c r="E20" s="44" t="str">
        <x:v>process</x:v>
      </x:c>
      <x:c r="F20" s="61" t="n">
        <x:v>0.02</x:v>
      </x:c>
      <x:c r="G20" s="61" t="str">
        <x:v>mm</x:v>
      </x:c>
      <x:c r="H20" s="61" t="n">
        <x:f>F20^2</x:f>
        <x:v>0.0004</x:v>
      </x:c>
      <x:c r="I20" s="44" t="str">
        <x:v>in-process record</x:v>
      </x:c>
      <x:c r="J20" s="44" t="str">
        <x:v>major</x:v>
      </x:c>
    </x:row>
    <x:row r="21">
      <x:c r="B21" s="44" t="str">
        <x:v>TC-015</x:v>
      </x:c>
      <x:c r="C21" s="44" t="str">
        <x:v>BL-X-TS-04</x:v>
      </x:c>
      <x:c r="D21" s="44" t="str">
        <x:v>BL-X</x:v>
      </x:c>
      <x:c r="E21" s="44" t="str">
        <x:v>assembly</x:v>
      </x:c>
      <x:c r="F21" s="61" t="n">
        <x:v>0.025</x:v>
      </x:c>
      <x:c r="G21" s="61" t="str">
        <x:v>mm</x:v>
      </x:c>
      <x:c r="H21" s="61" t="n">
        <x:f>F21^2</x:f>
        <x:v>0.0006250000000000001</x:v>
      </x:c>
      <x:c r="I21" s="44" t="str">
        <x:v>assembly survey</x:v>
      </x:c>
      <x:c r="J21" s="44" t="str">
        <x:v>minor</x:v>
      </x:c>
    </x:row>
    <x:row r="22">
      <x:c r="B22" s="44" t="str">
        <x:v>TC-016</x:v>
      </x:c>
      <x:c r="C22" s="44" t="str">
        <x:v>BL-X-TS-04</x:v>
      </x:c>
      <x:c r="D22" s="44" t="str">
        <x:v>BL-X</x:v>
      </x:c>
      <x:c r="E22" s="44" t="str">
        <x:v>measurement</x:v>
      </x:c>
      <x:c r="F22" s="61" t="n">
        <x:v>0.02</x:v>
      </x:c>
      <x:c r="G22" s="61" t="str">
        <x:v>mm</x:v>
      </x:c>
      <x:c r="H22" s="61" t="n">
        <x:f>F22^2</x:f>
        <x:v>0.0004</x:v>
      </x:c>
      <x:c r="I22" s="44" t="str">
        <x:v>independent metrology</x:v>
      </x:c>
      <x:c r="J22" s="44" t="str">
        <x:v>minor</x:v>
      </x:c>
    </x:row>
    <x:row r="23">
      <x:c r="B23" s="44" t="str">
        <x:v>TC-017</x:v>
      </x:c>
      <x:c r="C23" s="44" t="str">
        <x:v>BL-X-TS-05</x:v>
      </x:c>
      <x:c r="D23" s="44" t="str">
        <x:v>BL-X</x:v>
      </x:c>
      <x:c r="E23" s="44" t="str">
        <x:v>material</x:v>
      </x:c>
      <x:c r="F23" s="61" t="n">
        <x:v>0.004</x:v>
      </x:c>
      <x:c r="G23" s="61" t="str">
        <x:v>deg</x:v>
      </x:c>
      <x:c r="H23" s="61" t="n">
        <x:f>F23^2</x:f>
        <x:v>0.000016</x:v>
      </x:c>
      <x:c r="I23" s="44" t="str">
        <x:v>receipt map</x:v>
      </x:c>
      <x:c r="J23" s="44" t="str">
        <x:v>major</x:v>
      </x:c>
    </x:row>
    <x:row r="24">
      <x:c r="B24" s="44" t="str">
        <x:v>TC-018</x:v>
      </x:c>
      <x:c r="C24" s="44" t="str">
        <x:v>BL-X-TS-05</x:v>
      </x:c>
      <x:c r="D24" s="44" t="str">
        <x:v>BL-X</x:v>
      </x:c>
      <x:c r="E24" s="44" t="str">
        <x:v>process</x:v>
      </x:c>
      <x:c r="F24" s="61" t="n">
        <x:v>0.005</x:v>
      </x:c>
      <x:c r="G24" s="61" t="str">
        <x:v>deg</x:v>
      </x:c>
      <x:c r="H24" s="61" t="n">
        <x:f>F24^2</x:f>
        <x:v>0.000025</x:v>
      </x:c>
      <x:c r="I24" s="44" t="str">
        <x:v>in-process record</x:v>
      </x:c>
      <x:c r="J24" s="44" t="str">
        <x:v>major</x:v>
      </x:c>
    </x:row>
    <x:row r="25">
      <x:c r="B25" s="44" t="str">
        <x:v>TC-019</x:v>
      </x:c>
      <x:c r="C25" s="44" t="str">
        <x:v>BL-X-TS-05</x:v>
      </x:c>
      <x:c r="D25" s="44" t="str">
        <x:v>BL-X</x:v>
      </x:c>
      <x:c r="E25" s="44" t="str">
        <x:v>assembly</x:v>
      </x:c>
      <x:c r="F25" s="61" t="n">
        <x:v>0.004</x:v>
      </x:c>
      <x:c r="G25" s="61" t="str">
        <x:v>deg</x:v>
      </x:c>
      <x:c r="H25" s="61" t="n">
        <x:f>F25^2</x:f>
        <x:v>0.000016</x:v>
      </x:c>
      <x:c r="I25" s="44" t="str">
        <x:v>assembly survey</x:v>
      </x:c>
      <x:c r="J25" s="44" t="str">
        <x:v>minor</x:v>
      </x:c>
    </x:row>
    <x:row r="26">
      <x:c r="B26" s="44" t="str">
        <x:v>TC-020</x:v>
      </x:c>
      <x:c r="C26" s="44" t="str">
        <x:v>BL-X-TS-05</x:v>
      </x:c>
      <x:c r="D26" s="44" t="str">
        <x:v>BL-X</x:v>
      </x:c>
      <x:c r="E26" s="44" t="str">
        <x:v>measurement</x:v>
      </x:c>
      <x:c r="F26" s="61" t="n">
        <x:v>0.003</x:v>
      </x:c>
      <x:c r="G26" s="61" t="str">
        <x:v>deg</x:v>
      </x:c>
      <x:c r="H26" s="61" t="n">
        <x:f>F26^2</x:f>
        <x:v>0.000009</x:v>
      </x:c>
      <x:c r="I26" s="44" t="str">
        <x:v>independent metrology</x:v>
      </x:c>
      <x:c r="J26" s="44" t="str">
        <x:v>minor</x:v>
      </x:c>
    </x:row>
    <x:row r="27">
      <x:c r="B27" s="44" t="str">
        <x:v>TC-021</x:v>
      </x:c>
      <x:c r="C27" s="44" t="str">
        <x:v>BL-X-TS-06</x:v>
      </x:c>
      <x:c r="D27" s="44" t="str">
        <x:v>BL-X</x:v>
      </x:c>
      <x:c r="E27" s="44" t="str">
        <x:v>material</x:v>
      </x:c>
      <x:c r="F27" s="61" t="n">
        <x:v>0.1</x:v>
      </x:c>
      <x:c r="G27" s="61" t="str">
        <x:v>mm</x:v>
      </x:c>
      <x:c r="H27" s="61" t="n">
        <x:f>F27^2</x:f>
        <x:v>0.010000000000000002</x:v>
      </x:c>
      <x:c r="I27" s="44" t="str">
        <x:v>receipt map</x:v>
      </x:c>
      <x:c r="J27" s="44" t="str">
        <x:v>major</x:v>
      </x:c>
    </x:row>
    <x:row r="28">
      <x:c r="B28" s="44" t="str">
        <x:v>TC-022</x:v>
      </x:c>
      <x:c r="C28" s="44" t="str">
        <x:v>BL-X-TS-06</x:v>
      </x:c>
      <x:c r="D28" s="44" t="str">
        <x:v>BL-X</x:v>
      </x:c>
      <x:c r="E28" s="44" t="str">
        <x:v>process</x:v>
      </x:c>
      <x:c r="F28" s="61" t="n">
        <x:v>0.1</x:v>
      </x:c>
      <x:c r="G28" s="61" t="str">
        <x:v>mm</x:v>
      </x:c>
      <x:c r="H28" s="61" t="n">
        <x:f>F28^2</x:f>
        <x:v>0.010000000000000002</x:v>
      </x:c>
      <x:c r="I28" s="44" t="str">
        <x:v>in-process record</x:v>
      </x:c>
      <x:c r="J28" s="44" t="str">
        <x:v>major</x:v>
      </x:c>
    </x:row>
    <x:row r="29">
      <x:c r="B29" s="44" t="str">
        <x:v>TC-023</x:v>
      </x:c>
      <x:c r="C29" s="44" t="str">
        <x:v>BL-X-TS-06</x:v>
      </x:c>
      <x:c r="D29" s="44" t="str">
        <x:v>BL-X</x:v>
      </x:c>
      <x:c r="E29" s="44" t="str">
        <x:v>assembly</x:v>
      </x:c>
      <x:c r="F29" s="61" t="n">
        <x:v>0.1</x:v>
      </x:c>
      <x:c r="G29" s="61" t="str">
        <x:v>mm</x:v>
      </x:c>
      <x:c r="H29" s="61" t="n">
        <x:f>F29^2</x:f>
        <x:v>0.010000000000000002</x:v>
      </x:c>
      <x:c r="I29" s="44" t="str">
        <x:v>assembly survey</x:v>
      </x:c>
      <x:c r="J29" s="44" t="str">
        <x:v>minor</x:v>
      </x:c>
    </x:row>
    <x:row r="30">
      <x:c r="B30" s="44" t="str">
        <x:v>TC-024</x:v>
      </x:c>
      <x:c r="C30" s="44" t="str">
        <x:v>BL-X-TS-06</x:v>
      </x:c>
      <x:c r="D30" s="44" t="str">
        <x:v>BL-X</x:v>
      </x:c>
      <x:c r="E30" s="44" t="str">
        <x:v>measurement</x:v>
      </x:c>
      <x:c r="F30" s="61" t="n">
        <x:v>0.1</x:v>
      </x:c>
      <x:c r="G30" s="61" t="str">
        <x:v>mm</x:v>
      </x:c>
      <x:c r="H30" s="61" t="n">
        <x:f>F30^2</x:f>
        <x:v>0.010000000000000002</x:v>
      </x:c>
      <x:c r="I30" s="44" t="str">
        <x:v>independent metrology</x:v>
      </x:c>
      <x:c r="J30" s="44" t="str">
        <x:v>minor</x:v>
      </x:c>
    </x:row>
    <x:row r="31">
      <x:c r="B31" s="44" t="str">
        <x:v>TC-025</x:v>
      </x:c>
      <x:c r="C31" s="44" t="str">
        <x:v>BL-X-TS-07</x:v>
      </x:c>
      <x:c r="D31" s="44" t="str">
        <x:v>BL-X</x:v>
      </x:c>
      <x:c r="E31" s="44" t="str">
        <x:v>material</x:v>
      </x:c>
      <x:c r="F31" s="61" t="n">
        <x:v>0.1</x:v>
      </x:c>
      <x:c r="G31" s="61" t="str">
        <x:v>deg</x:v>
      </x:c>
      <x:c r="H31" s="61" t="n">
        <x:f>F31^2</x:f>
        <x:v>0.010000000000000002</x:v>
      </x:c>
      <x:c r="I31" s="44" t="str">
        <x:v>receipt map</x:v>
      </x:c>
      <x:c r="J31" s="44" t="str">
        <x:v>major</x:v>
      </x:c>
    </x:row>
    <x:row r="32">
      <x:c r="B32" s="44" t="str">
        <x:v>TC-026</x:v>
      </x:c>
      <x:c r="C32" s="44" t="str">
        <x:v>BL-X-TS-07</x:v>
      </x:c>
      <x:c r="D32" s="44" t="str">
        <x:v>BL-X</x:v>
      </x:c>
      <x:c r="E32" s="44" t="str">
        <x:v>process</x:v>
      </x:c>
      <x:c r="F32" s="61" t="n">
        <x:v>0.1</x:v>
      </x:c>
      <x:c r="G32" s="61" t="str">
        <x:v>deg</x:v>
      </x:c>
      <x:c r="H32" s="61" t="n">
        <x:f>F32^2</x:f>
        <x:v>0.010000000000000002</x:v>
      </x:c>
      <x:c r="I32" s="44" t="str">
        <x:v>in-process record</x:v>
      </x:c>
      <x:c r="J32" s="44" t="str">
        <x:v>major</x:v>
      </x:c>
    </x:row>
    <x:row r="33">
      <x:c r="B33" s="44" t="str">
        <x:v>TC-027</x:v>
      </x:c>
      <x:c r="C33" s="44" t="str">
        <x:v>BL-X-TS-07</x:v>
      </x:c>
      <x:c r="D33" s="44" t="str">
        <x:v>BL-X</x:v>
      </x:c>
      <x:c r="E33" s="44" t="str">
        <x:v>assembly</x:v>
      </x:c>
      <x:c r="F33" s="61" t="n">
        <x:v>0.1</x:v>
      </x:c>
      <x:c r="G33" s="61" t="str">
        <x:v>deg</x:v>
      </x:c>
      <x:c r="H33" s="61" t="n">
        <x:f>F33^2</x:f>
        <x:v>0.010000000000000002</x:v>
      </x:c>
      <x:c r="I33" s="44" t="str">
        <x:v>assembly survey</x:v>
      </x:c>
      <x:c r="J33" s="44" t="str">
        <x:v>minor</x:v>
      </x:c>
    </x:row>
    <x:row r="34">
      <x:c r="B34" s="44" t="str">
        <x:v>TC-028</x:v>
      </x:c>
      <x:c r="C34" s="44" t="str">
        <x:v>BL-X-TS-07</x:v>
      </x:c>
      <x:c r="D34" s="44" t="str">
        <x:v>BL-X</x:v>
      </x:c>
      <x:c r="E34" s="44" t="str">
        <x:v>measurement</x:v>
      </x:c>
      <x:c r="F34" s="61" t="n">
        <x:v>0.1</x:v>
      </x:c>
      <x:c r="G34" s="61" t="str">
        <x:v>deg</x:v>
      </x:c>
      <x:c r="H34" s="61" t="n">
        <x:f>F34^2</x:f>
        <x:v>0.010000000000000002</x:v>
      </x:c>
      <x:c r="I34" s="44" t="str">
        <x:v>independent metrology</x:v>
      </x:c>
      <x:c r="J34" s="44" t="str">
        <x:v>minor</x:v>
      </x:c>
    </x:row>
    <x:row r="35">
      <x:c r="B35" s="44" t="str">
        <x:v>TC-029</x:v>
      </x:c>
      <x:c r="C35" s="44" t="str">
        <x:v>BL-X-TS-08</x:v>
      </x:c>
      <x:c r="D35" s="44" t="str">
        <x:v>BL-X</x:v>
      </x:c>
      <x:c r="E35" s="44" t="str">
        <x:v>material</x:v>
      </x:c>
      <x:c r="F35" s="61" t="n">
        <x:v>0.06</x:v>
      </x:c>
      <x:c r="G35" s="61" t="str">
        <x:v>mm</x:v>
      </x:c>
      <x:c r="H35" s="61" t="n">
        <x:f>F35^2</x:f>
        <x:v>0.0036</x:v>
      </x:c>
      <x:c r="I35" s="44" t="str">
        <x:v>receipt map</x:v>
      </x:c>
      <x:c r="J35" s="44" t="str">
        <x:v>major</x:v>
      </x:c>
    </x:row>
    <x:row r="36">
      <x:c r="B36" s="44" t="str">
        <x:v>TC-030</x:v>
      </x:c>
      <x:c r="C36" s="44" t="str">
        <x:v>BL-X-TS-08</x:v>
      </x:c>
      <x:c r="D36" s="44" t="str">
        <x:v>BL-X</x:v>
      </x:c>
      <x:c r="E36" s="44" t="str">
        <x:v>process</x:v>
      </x:c>
      <x:c r="F36" s="61" t="n">
        <x:v>0.06</x:v>
      </x:c>
      <x:c r="G36" s="61" t="str">
        <x:v>mm</x:v>
      </x:c>
      <x:c r="H36" s="61" t="n">
        <x:f>F36^2</x:f>
        <x:v>0.0036</x:v>
      </x:c>
      <x:c r="I36" s="44" t="str">
        <x:v>in-process record</x:v>
      </x:c>
      <x:c r="J36" s="44" t="str">
        <x:v>major</x:v>
      </x:c>
    </x:row>
    <x:row r="37">
      <x:c r="B37" s="44" t="str">
        <x:v>TC-031</x:v>
      </x:c>
      <x:c r="C37" s="44" t="str">
        <x:v>BL-X-TS-08</x:v>
      </x:c>
      <x:c r="D37" s="44" t="str">
        <x:v>BL-X</x:v>
      </x:c>
      <x:c r="E37" s="44" t="str">
        <x:v>assembly</x:v>
      </x:c>
      <x:c r="F37" s="61" t="n">
        <x:v>0.06</x:v>
      </x:c>
      <x:c r="G37" s="61" t="str">
        <x:v>mm</x:v>
      </x:c>
      <x:c r="H37" s="61" t="n">
        <x:f>F37^2</x:f>
        <x:v>0.0036</x:v>
      </x:c>
      <x:c r="I37" s="44" t="str">
        <x:v>assembly survey</x:v>
      </x:c>
      <x:c r="J37" s="44" t="str">
        <x:v>minor</x:v>
      </x:c>
    </x:row>
    <x:row r="38">
      <x:c r="B38" s="44" t="str">
        <x:v>TC-032</x:v>
      </x:c>
      <x:c r="C38" s="44" t="str">
        <x:v>BL-X-TS-08</x:v>
      </x:c>
      <x:c r="D38" s="44" t="str">
        <x:v>BL-X</x:v>
      </x:c>
      <x:c r="E38" s="44" t="str">
        <x:v>measurement</x:v>
      </x:c>
      <x:c r="F38" s="61" t="n">
        <x:v>0.06</x:v>
      </x:c>
      <x:c r="G38" s="61" t="str">
        <x:v>mm</x:v>
      </x:c>
      <x:c r="H38" s="61" t="n">
        <x:f>F38^2</x:f>
        <x:v>0.0036</x:v>
      </x:c>
      <x:c r="I38" s="44" t="str">
        <x:v>independent metrology</x:v>
      </x:c>
      <x:c r="J38" s="44" t="str">
        <x:v>minor</x:v>
      </x:c>
    </x:row>
    <x:row r="39">
      <x:c r="B39" s="44" t="str">
        <x:v>TC-033</x:v>
      </x:c>
      <x:c r="C39" s="44" t="str">
        <x:v>BL-X-TS-09</x:v>
      </x:c>
      <x:c r="D39" s="44" t="str">
        <x:v>BL-X</x:v>
      </x:c>
      <x:c r="E39" s="44" t="str">
        <x:v>material</x:v>
      </x:c>
      <x:c r="F39" s="61" t="n">
        <x:v>0.05</x:v>
      </x:c>
      <x:c r="G39" s="61" t="str">
        <x:v>deg</x:v>
      </x:c>
      <x:c r="H39" s="61" t="n">
        <x:f>F39^2</x:f>
        <x:v>0.0025000000000000005</x:v>
      </x:c>
      <x:c r="I39" s="44" t="str">
        <x:v>receipt map</x:v>
      </x:c>
      <x:c r="J39" s="44" t="str">
        <x:v>major</x:v>
      </x:c>
    </x:row>
    <x:row r="40">
      <x:c r="B40" s="44" t="str">
        <x:v>TC-034</x:v>
      </x:c>
      <x:c r="C40" s="44" t="str">
        <x:v>BL-X-TS-09</x:v>
      </x:c>
      <x:c r="D40" s="44" t="str">
        <x:v>BL-X</x:v>
      </x:c>
      <x:c r="E40" s="44" t="str">
        <x:v>process</x:v>
      </x:c>
      <x:c r="F40" s="61" t="n">
        <x:v>0.05</x:v>
      </x:c>
      <x:c r="G40" s="61" t="str">
        <x:v>deg</x:v>
      </x:c>
      <x:c r="H40" s="61" t="n">
        <x:f>F40^2</x:f>
        <x:v>0.0025000000000000005</x:v>
      </x:c>
      <x:c r="I40" s="44" t="str">
        <x:v>in-process record</x:v>
      </x:c>
      <x:c r="J40" s="44" t="str">
        <x:v>major</x:v>
      </x:c>
    </x:row>
    <x:row r="41">
      <x:c r="B41" s="44" t="str">
        <x:v>TC-035</x:v>
      </x:c>
      <x:c r="C41" s="44" t="str">
        <x:v>BL-X-TS-09</x:v>
      </x:c>
      <x:c r="D41" s="44" t="str">
        <x:v>BL-X</x:v>
      </x:c>
      <x:c r="E41" s="44" t="str">
        <x:v>assembly</x:v>
      </x:c>
      <x:c r="F41" s="61" t="n">
        <x:v>0.05</x:v>
      </x:c>
      <x:c r="G41" s="61" t="str">
        <x:v>deg</x:v>
      </x:c>
      <x:c r="H41" s="61" t="n">
        <x:f>F41^2</x:f>
        <x:v>0.0025000000000000005</x:v>
      </x:c>
      <x:c r="I41" s="44" t="str">
        <x:v>assembly survey</x:v>
      </x:c>
      <x:c r="J41" s="44" t="str">
        <x:v>minor</x:v>
      </x:c>
    </x:row>
    <x:row r="42">
      <x:c r="B42" s="44" t="str">
        <x:v>TC-036</x:v>
      </x:c>
      <x:c r="C42" s="44" t="str">
        <x:v>BL-X-TS-09</x:v>
      </x:c>
      <x:c r="D42" s="44" t="str">
        <x:v>BL-X</x:v>
      </x:c>
      <x:c r="E42" s="44" t="str">
        <x:v>measurement</x:v>
      </x:c>
      <x:c r="F42" s="61" t="n">
        <x:v>0.05</x:v>
      </x:c>
      <x:c r="G42" s="61" t="str">
        <x:v>deg</x:v>
      </x:c>
      <x:c r="H42" s="61" t="n">
        <x:f>F42^2</x:f>
        <x:v>0.0025000000000000005</x:v>
      </x:c>
      <x:c r="I42" s="44" t="str">
        <x:v>independent metrology</x:v>
      </x:c>
      <x:c r="J42" s="44" t="str">
        <x:v>minor</x:v>
      </x:c>
    </x:row>
    <x:row r="43">
      <x:c r="B43" s="44" t="str">
        <x:v>TC-037</x:v>
      </x:c>
      <x:c r="C43" s="44" t="str">
        <x:v>BL-X-TS-10</x:v>
      </x:c>
      <x:c r="D43" s="44" t="str">
        <x:v>BL-X</x:v>
      </x:c>
      <x:c r="E43" s="44" t="str">
        <x:v>material</x:v>
      </x:c>
      <x:c r="F43" s="61" t="n">
        <x:v>0.04</x:v>
      </x:c>
      <x:c r="G43" s="61" t="str">
        <x:v>mm</x:v>
      </x:c>
      <x:c r="H43" s="61" t="n">
        <x:f>F43^2</x:f>
        <x:v>0.0016</x:v>
      </x:c>
      <x:c r="I43" s="44" t="str">
        <x:v>receipt map</x:v>
      </x:c>
      <x:c r="J43" s="44" t="str">
        <x:v>major</x:v>
      </x:c>
    </x:row>
    <x:row r="44">
      <x:c r="B44" s="44" t="str">
        <x:v>TC-038</x:v>
      </x:c>
      <x:c r="C44" s="44" t="str">
        <x:v>BL-X-TS-10</x:v>
      </x:c>
      <x:c r="D44" s="44" t="str">
        <x:v>BL-X</x:v>
      </x:c>
      <x:c r="E44" s="44" t="str">
        <x:v>process</x:v>
      </x:c>
      <x:c r="F44" s="61" t="n">
        <x:v>0.04</x:v>
      </x:c>
      <x:c r="G44" s="61" t="str">
        <x:v>mm</x:v>
      </x:c>
      <x:c r="H44" s="61" t="n">
        <x:f>F44^2</x:f>
        <x:v>0.0016</x:v>
      </x:c>
      <x:c r="I44" s="44" t="str">
        <x:v>in-process record</x:v>
      </x:c>
      <x:c r="J44" s="44" t="str">
        <x:v>major</x:v>
      </x:c>
    </x:row>
    <x:row r="45">
      <x:c r="B45" s="44" t="str">
        <x:v>TC-039</x:v>
      </x:c>
      <x:c r="C45" s="44" t="str">
        <x:v>BL-X-TS-10</x:v>
      </x:c>
      <x:c r="D45" s="44" t="str">
        <x:v>BL-X</x:v>
      </x:c>
      <x:c r="E45" s="44" t="str">
        <x:v>assembly</x:v>
      </x:c>
      <x:c r="F45" s="61" t="n">
        <x:v>0.04</x:v>
      </x:c>
      <x:c r="G45" s="61" t="str">
        <x:v>mm</x:v>
      </x:c>
      <x:c r="H45" s="61" t="n">
        <x:f>F45^2</x:f>
        <x:v>0.0016</x:v>
      </x:c>
      <x:c r="I45" s="44" t="str">
        <x:v>assembly survey</x:v>
      </x:c>
      <x:c r="J45" s="44" t="str">
        <x:v>minor</x:v>
      </x:c>
    </x:row>
    <x:row r="46">
      <x:c r="B46" s="44" t="str">
        <x:v>TC-040</x:v>
      </x:c>
      <x:c r="C46" s="44" t="str">
        <x:v>BL-X-TS-10</x:v>
      </x:c>
      <x:c r="D46" s="44" t="str">
        <x:v>BL-X</x:v>
      </x:c>
      <x:c r="E46" s="44" t="str">
        <x:v>measurement</x:v>
      </x:c>
      <x:c r="F46" s="61" t="n">
        <x:v>0.04</x:v>
      </x:c>
      <x:c r="G46" s="61" t="str">
        <x:v>mm</x:v>
      </x:c>
      <x:c r="H46" s="61" t="n">
        <x:f>F46^2</x:f>
        <x:v>0.0016</x:v>
      </x:c>
      <x:c r="I46" s="44" t="str">
        <x:v>independent metrology</x:v>
      </x:c>
      <x:c r="J46" s="44" t="str">
        <x:v>minor</x:v>
      </x:c>
    </x:row>
    <x:row r="47">
      <x:c r="B47" s="44" t="str">
        <x:v>TC-041</x:v>
      </x:c>
      <x:c r="C47" s="44" t="str">
        <x:v>BL-X-TS-11</x:v>
      </x:c>
      <x:c r="D47" s="44" t="str">
        <x:v>BL-X</x:v>
      </x:c>
      <x:c r="E47" s="44" t="str">
        <x:v>material</x:v>
      </x:c>
      <x:c r="F47" s="61" t="n">
        <x:v>0.02</x:v>
      </x:c>
      <x:c r="G47" s="61" t="str">
        <x:v>mm</x:v>
      </x:c>
      <x:c r="H47" s="61" t="n">
        <x:f>F47^2</x:f>
        <x:v>0.0004</x:v>
      </x:c>
      <x:c r="I47" s="44" t="str">
        <x:v>receipt map</x:v>
      </x:c>
      <x:c r="J47" s="44" t="str">
        <x:v>major</x:v>
      </x:c>
    </x:row>
    <x:row r="48">
      <x:c r="B48" s="44" t="str">
        <x:v>TC-042</x:v>
      </x:c>
      <x:c r="C48" s="44" t="str">
        <x:v>BL-X-TS-11</x:v>
      </x:c>
      <x:c r="D48" s="44" t="str">
        <x:v>BL-X</x:v>
      </x:c>
      <x:c r="E48" s="44" t="str">
        <x:v>process</x:v>
      </x:c>
      <x:c r="F48" s="61" t="n">
        <x:v>0.02</x:v>
      </x:c>
      <x:c r="G48" s="61" t="str">
        <x:v>mm</x:v>
      </x:c>
      <x:c r="H48" s="61" t="n">
        <x:f>F48^2</x:f>
        <x:v>0.0004</x:v>
      </x:c>
      <x:c r="I48" s="44" t="str">
        <x:v>in-process record</x:v>
      </x:c>
      <x:c r="J48" s="44" t="str">
        <x:v>major</x:v>
      </x:c>
    </x:row>
    <x:row r="49">
      <x:c r="B49" s="44" t="str">
        <x:v>TC-043</x:v>
      </x:c>
      <x:c r="C49" s="44" t="str">
        <x:v>BL-X-TS-11</x:v>
      </x:c>
      <x:c r="D49" s="44" t="str">
        <x:v>BL-X</x:v>
      </x:c>
      <x:c r="E49" s="44" t="str">
        <x:v>assembly</x:v>
      </x:c>
      <x:c r="F49" s="61" t="n">
        <x:v>0.02</x:v>
      </x:c>
      <x:c r="G49" s="61" t="str">
        <x:v>mm</x:v>
      </x:c>
      <x:c r="H49" s="61" t="n">
        <x:f>F49^2</x:f>
        <x:v>0.0004</x:v>
      </x:c>
      <x:c r="I49" s="44" t="str">
        <x:v>assembly survey</x:v>
      </x:c>
      <x:c r="J49" s="44" t="str">
        <x:v>minor</x:v>
      </x:c>
    </x:row>
    <x:row r="50">
      <x:c r="B50" s="44" t="str">
        <x:v>TC-044</x:v>
      </x:c>
      <x:c r="C50" s="44" t="str">
        <x:v>BL-X-TS-11</x:v>
      </x:c>
      <x:c r="D50" s="44" t="str">
        <x:v>BL-X</x:v>
      </x:c>
      <x:c r="E50" s="44" t="str">
        <x:v>measurement</x:v>
      </x:c>
      <x:c r="F50" s="61" t="n">
        <x:v>0.02</x:v>
      </x:c>
      <x:c r="G50" s="61" t="str">
        <x:v>mm</x:v>
      </x:c>
      <x:c r="H50" s="61" t="n">
        <x:f>F50^2</x:f>
        <x:v>0.0004</x:v>
      </x:c>
      <x:c r="I50" s="44" t="str">
        <x:v>independent metrology</x:v>
      </x:c>
      <x:c r="J50" s="44" t="str">
        <x:v>minor</x:v>
      </x:c>
    </x:row>
    <x:row r="51">
      <x:c r="B51" s="44" t="str">
        <x:v>TC-045</x:v>
      </x:c>
      <x:c r="C51" s="44" t="str">
        <x:v>BL-X-TS-12</x:v>
      </x:c>
      <x:c r="D51" s="44" t="str">
        <x:v>BL-X</x:v>
      </x:c>
      <x:c r="E51" s="44" t="str">
        <x:v>material</x:v>
      </x:c>
      <x:c r="F51" s="61" t="n">
        <x:v>50</x:v>
      </x:c>
      <x:c r="G51" s="61" t="str">
        <x:v>mL</x:v>
      </x:c>
      <x:c r="H51" s="61" t="n">
        <x:f>F51^2</x:f>
        <x:v>2500</x:v>
      </x:c>
      <x:c r="I51" s="44" t="str">
        <x:v>receipt map</x:v>
      </x:c>
      <x:c r="J51" s="44" t="str">
        <x:v>major</x:v>
      </x:c>
    </x:row>
    <x:row r="52">
      <x:c r="B52" s="44" t="str">
        <x:v>TC-046</x:v>
      </x:c>
      <x:c r="C52" s="44" t="str">
        <x:v>BL-X-TS-12</x:v>
      </x:c>
      <x:c r="D52" s="44" t="str">
        <x:v>BL-X</x:v>
      </x:c>
      <x:c r="E52" s="44" t="str">
        <x:v>process</x:v>
      </x:c>
      <x:c r="F52" s="61" t="n">
        <x:v>50</x:v>
      </x:c>
      <x:c r="G52" s="61" t="str">
        <x:v>mL</x:v>
      </x:c>
      <x:c r="H52" s="61" t="n">
        <x:f>F52^2</x:f>
        <x:v>2500</x:v>
      </x:c>
      <x:c r="I52" s="44" t="str">
        <x:v>in-process record</x:v>
      </x:c>
      <x:c r="J52" s="44" t="str">
        <x:v>major</x:v>
      </x:c>
    </x:row>
    <x:row r="53">
      <x:c r="B53" s="44" t="str">
        <x:v>TC-047</x:v>
      </x:c>
      <x:c r="C53" s="44" t="str">
        <x:v>BL-X-TS-12</x:v>
      </x:c>
      <x:c r="D53" s="44" t="str">
        <x:v>BL-X</x:v>
      </x:c>
      <x:c r="E53" s="44" t="str">
        <x:v>assembly</x:v>
      </x:c>
      <x:c r="F53" s="61" t="n">
        <x:v>50</x:v>
      </x:c>
      <x:c r="G53" s="61" t="str">
        <x:v>mL</x:v>
      </x:c>
      <x:c r="H53" s="61" t="n">
        <x:f>F53^2</x:f>
        <x:v>2500</x:v>
      </x:c>
      <x:c r="I53" s="44" t="str">
        <x:v>assembly survey</x:v>
      </x:c>
      <x:c r="J53" s="44" t="str">
        <x:v>minor</x:v>
      </x:c>
    </x:row>
    <x:row r="54">
      <x:c r="B54" s="44" t="str">
        <x:v>TC-048</x:v>
      </x:c>
      <x:c r="C54" s="44" t="str">
        <x:v>BL-X-TS-12</x:v>
      </x:c>
      <x:c r="D54" s="44" t="str">
        <x:v>BL-X</x:v>
      </x:c>
      <x:c r="E54" s="44" t="str">
        <x:v>measurement</x:v>
      </x:c>
      <x:c r="F54" s="61" t="n">
        <x:v>50</x:v>
      </x:c>
      <x:c r="G54" s="61" t="str">
        <x:v>mL</x:v>
      </x:c>
      <x:c r="H54" s="61" t="n">
        <x:f>F54^2</x:f>
        <x:v>2500</x:v>
      </x:c>
      <x:c r="I54" s="44" t="str">
        <x:v>independent metrology</x:v>
      </x:c>
      <x:c r="J54" s="44" t="str">
        <x:v>minor</x:v>
      </x:c>
    </x:row>
    <x:row r="55">
      <x:c r="B55" s="44" t="str">
        <x:v>TC-049</x:v>
      </x:c>
      <x:c r="C55" s="44" t="str">
        <x:v>BL-X-TS-13</x:v>
      </x:c>
      <x:c r="D55" s="44" t="str">
        <x:v>BL-X</x:v>
      </x:c>
      <x:c r="E55" s="44" t="str">
        <x:v>material</x:v>
      </x:c>
      <x:c r="F55" s="61" t="n">
        <x:v>0.2</x:v>
      </x:c>
      <x:c r="G55" s="61" t="str">
        <x:v>mm</x:v>
      </x:c>
      <x:c r="H55" s="61" t="n">
        <x:f>F55^2</x:f>
        <x:v>0.04000000000000001</x:v>
      </x:c>
      <x:c r="I55" s="44" t="str">
        <x:v>receipt map</x:v>
      </x:c>
      <x:c r="J55" s="44" t="str">
        <x:v>major</x:v>
      </x:c>
    </x:row>
    <x:row r="56">
      <x:c r="B56" s="44" t="str">
        <x:v>TC-050</x:v>
      </x:c>
      <x:c r="C56" s="44" t="str">
        <x:v>BL-X-TS-13</x:v>
      </x:c>
      <x:c r="D56" s="44" t="str">
        <x:v>BL-X</x:v>
      </x:c>
      <x:c r="E56" s="44" t="str">
        <x:v>process</x:v>
      </x:c>
      <x:c r="F56" s="61" t="n">
        <x:v>0.2</x:v>
      </x:c>
      <x:c r="G56" s="61" t="str">
        <x:v>mm</x:v>
      </x:c>
      <x:c r="H56" s="61" t="n">
        <x:f>F56^2</x:f>
        <x:v>0.04000000000000001</x:v>
      </x:c>
      <x:c r="I56" s="44" t="str">
        <x:v>in-process record</x:v>
      </x:c>
      <x:c r="J56" s="44" t="str">
        <x:v>major</x:v>
      </x:c>
    </x:row>
    <x:row r="57">
      <x:c r="B57" s="44" t="str">
        <x:v>TC-051</x:v>
      </x:c>
      <x:c r="C57" s="44" t="str">
        <x:v>BL-X-TS-13</x:v>
      </x:c>
      <x:c r="D57" s="44" t="str">
        <x:v>BL-X</x:v>
      </x:c>
      <x:c r="E57" s="44" t="str">
        <x:v>assembly</x:v>
      </x:c>
      <x:c r="F57" s="61" t="n">
        <x:v>0.2</x:v>
      </x:c>
      <x:c r="G57" s="61" t="str">
        <x:v>mm</x:v>
      </x:c>
      <x:c r="H57" s="61" t="n">
        <x:f>F57^2</x:f>
        <x:v>0.04000000000000001</x:v>
      </x:c>
      <x:c r="I57" s="44" t="str">
        <x:v>assembly survey</x:v>
      </x:c>
      <x:c r="J57" s="44" t="str">
        <x:v>minor</x:v>
      </x:c>
    </x:row>
    <x:row r="58">
      <x:c r="B58" s="44" t="str">
        <x:v>TC-052</x:v>
      </x:c>
      <x:c r="C58" s="44" t="str">
        <x:v>BL-X-TS-13</x:v>
      </x:c>
      <x:c r="D58" s="44" t="str">
        <x:v>BL-X</x:v>
      </x:c>
      <x:c r="E58" s="44" t="str">
        <x:v>measurement</x:v>
      </x:c>
      <x:c r="F58" s="61" t="n">
        <x:v>0.2</x:v>
      </x:c>
      <x:c r="G58" s="61" t="str">
        <x:v>mm</x:v>
      </x:c>
      <x:c r="H58" s="61" t="n">
        <x:f>F58^2</x:f>
        <x:v>0.04000000000000001</x:v>
      </x:c>
      <x:c r="I58" s="44" t="str">
        <x:v>independent metrology</x:v>
      </x:c>
      <x:c r="J58" s="44" t="str">
        <x:v>minor</x:v>
      </x:c>
    </x:row>
    <x:row r="59">
      <x:c r="B59" s="44" t="str">
        <x:v>TC-053</x:v>
      </x:c>
      <x:c r="C59" s="44" t="str">
        <x:v>BL-X-TS-14</x:v>
      </x:c>
      <x:c r="D59" s="44" t="str">
        <x:v>BL-X</x:v>
      </x:c>
      <x:c r="E59" s="44" t="str">
        <x:v>material</x:v>
      </x:c>
      <x:c r="F59" s="61" t="n">
        <x:v>0.02</x:v>
      </x:c>
      <x:c r="G59" s="61" t="str">
        <x:v>deg</x:v>
      </x:c>
      <x:c r="H59" s="61" t="n">
        <x:f>F59^2</x:f>
        <x:v>0.0004</x:v>
      </x:c>
      <x:c r="I59" s="44" t="str">
        <x:v>receipt map</x:v>
      </x:c>
      <x:c r="J59" s="44" t="str">
        <x:v>major</x:v>
      </x:c>
    </x:row>
    <x:row r="60">
      <x:c r="B60" s="44" t="str">
        <x:v>TC-054</x:v>
      </x:c>
      <x:c r="C60" s="44" t="str">
        <x:v>BL-X-TS-14</x:v>
      </x:c>
      <x:c r="D60" s="44" t="str">
        <x:v>BL-X</x:v>
      </x:c>
      <x:c r="E60" s="44" t="str">
        <x:v>process</x:v>
      </x:c>
      <x:c r="F60" s="61" t="n">
        <x:v>0.02</x:v>
      </x:c>
      <x:c r="G60" s="61" t="str">
        <x:v>deg</x:v>
      </x:c>
      <x:c r="H60" s="61" t="n">
        <x:f>F60^2</x:f>
        <x:v>0.0004</x:v>
      </x:c>
      <x:c r="I60" s="44" t="str">
        <x:v>in-process record</x:v>
      </x:c>
      <x:c r="J60" s="44" t="str">
        <x:v>major</x:v>
      </x:c>
    </x:row>
    <x:row r="61">
      <x:c r="B61" s="44" t="str">
        <x:v>TC-055</x:v>
      </x:c>
      <x:c r="C61" s="44" t="str">
        <x:v>BL-X-TS-14</x:v>
      </x:c>
      <x:c r="D61" s="44" t="str">
        <x:v>BL-X</x:v>
      </x:c>
      <x:c r="E61" s="44" t="str">
        <x:v>assembly</x:v>
      </x:c>
      <x:c r="F61" s="61" t="n">
        <x:v>0.02</x:v>
      </x:c>
      <x:c r="G61" s="61" t="str">
        <x:v>deg</x:v>
      </x:c>
      <x:c r="H61" s="61" t="n">
        <x:f>F61^2</x:f>
        <x:v>0.0004</x:v>
      </x:c>
      <x:c r="I61" s="44" t="str">
        <x:v>assembly survey</x:v>
      </x:c>
      <x:c r="J61" s="44" t="str">
        <x:v>minor</x:v>
      </x:c>
    </x:row>
    <x:row r="62">
      <x:c r="B62" s="44" t="str">
        <x:v>TC-056</x:v>
      </x:c>
      <x:c r="C62" s="44" t="str">
        <x:v>BL-X-TS-14</x:v>
      </x:c>
      <x:c r="D62" s="44" t="str">
        <x:v>BL-X</x:v>
      </x:c>
      <x:c r="E62" s="44" t="str">
        <x:v>measurement</x:v>
      </x:c>
      <x:c r="F62" s="61" t="n">
        <x:v>0.02</x:v>
      </x:c>
      <x:c r="G62" s="61" t="str">
        <x:v>deg</x:v>
      </x:c>
      <x:c r="H62" s="61" t="n">
        <x:f>F62^2</x:f>
        <x:v>0.0004</x:v>
      </x:c>
      <x:c r="I62" s="44" t="str">
        <x:v>independent metrology</x:v>
      </x:c>
      <x:c r="J62" s="44" t="str">
        <x:v>minor</x:v>
      </x:c>
    </x:row>
    <x:row r="63">
      <x:c r="B63" s="44" t="str">
        <x:v>TC-057</x:v>
      </x:c>
      <x:c r="C63" s="44" t="str">
        <x:v>BL-X-TS-15</x:v>
      </x:c>
      <x:c r="D63" s="44" t="str">
        <x:v>BL-X</x:v>
      </x:c>
      <x:c r="E63" s="44" t="str">
        <x:v>material</x:v>
      </x:c>
      <x:c r="F63" s="61" t="n">
        <x:v>0.2</x:v>
      </x:c>
      <x:c r="G63" s="61" t="str">
        <x:v>mm</x:v>
      </x:c>
      <x:c r="H63" s="61" t="n">
        <x:f>F63^2</x:f>
        <x:v>0.04000000000000001</x:v>
      </x:c>
      <x:c r="I63" s="44" t="str">
        <x:v>receipt map</x:v>
      </x:c>
      <x:c r="J63" s="44" t="str">
        <x:v>major</x:v>
      </x:c>
    </x:row>
    <x:row r="64">
      <x:c r="B64" s="44" t="str">
        <x:v>TC-058</x:v>
      </x:c>
      <x:c r="C64" s="44" t="str">
        <x:v>BL-X-TS-15</x:v>
      </x:c>
      <x:c r="D64" s="44" t="str">
        <x:v>BL-X</x:v>
      </x:c>
      <x:c r="E64" s="44" t="str">
        <x:v>process</x:v>
      </x:c>
      <x:c r="F64" s="61" t="n">
        <x:v>0.2</x:v>
      </x:c>
      <x:c r="G64" s="61" t="str">
        <x:v>mm</x:v>
      </x:c>
      <x:c r="H64" s="61" t="n">
        <x:f>F64^2</x:f>
        <x:v>0.04000000000000001</x:v>
      </x:c>
      <x:c r="I64" s="44" t="str">
        <x:v>in-process record</x:v>
      </x:c>
      <x:c r="J64" s="44" t="str">
        <x:v>major</x:v>
      </x:c>
    </x:row>
    <x:row r="65">
      <x:c r="B65" s="44" t="str">
        <x:v>TC-059</x:v>
      </x:c>
      <x:c r="C65" s="44" t="str">
        <x:v>BL-X-TS-15</x:v>
      </x:c>
      <x:c r="D65" s="44" t="str">
        <x:v>BL-X</x:v>
      </x:c>
      <x:c r="E65" s="44" t="str">
        <x:v>assembly</x:v>
      </x:c>
      <x:c r="F65" s="61" t="n">
        <x:v>0.2</x:v>
      </x:c>
      <x:c r="G65" s="61" t="str">
        <x:v>mm</x:v>
      </x:c>
      <x:c r="H65" s="61" t="n">
        <x:f>F65^2</x:f>
        <x:v>0.04000000000000001</x:v>
      </x:c>
      <x:c r="I65" s="44" t="str">
        <x:v>assembly survey</x:v>
      </x:c>
      <x:c r="J65" s="44" t="str">
        <x:v>minor</x:v>
      </x:c>
    </x:row>
    <x:row r="66">
      <x:c r="B66" s="44" t="str">
        <x:v>TC-060</x:v>
      </x:c>
      <x:c r="C66" s="44" t="str">
        <x:v>BL-X-TS-15</x:v>
      </x:c>
      <x:c r="D66" s="44" t="str">
        <x:v>BL-X</x:v>
      </x:c>
      <x:c r="E66" s="44" t="str">
        <x:v>measurement</x:v>
      </x:c>
      <x:c r="F66" s="61" t="n">
        <x:v>0.15</x:v>
      </x:c>
      <x:c r="G66" s="61" t="str">
        <x:v>mm</x:v>
      </x:c>
      <x:c r="H66" s="61" t="n">
        <x:f>F66^2</x:f>
        <x:v>0.0225</x:v>
      </x:c>
      <x:c r="I66" s="44" t="str">
        <x:v>independent metrology</x:v>
      </x:c>
      <x:c r="J66" s="44" t="str">
        <x:v>minor</x:v>
      </x:c>
    </x:row>
    <x:row r="67">
      <x:c r="B67" s="44" t="str">
        <x:v>TC-061</x:v>
      </x:c>
      <x:c r="C67" s="44" t="str">
        <x:v>BL-X-TS-16</x:v>
      </x:c>
      <x:c r="D67" s="44" t="str">
        <x:v>BL-X</x:v>
      </x:c>
      <x:c r="E67" s="44" t="str">
        <x:v>material</x:v>
      </x:c>
      <x:c r="F67" s="61" t="n">
        <x:v>0.05</x:v>
      </x:c>
      <x:c r="G67" s="61" t="str">
        <x:v>deg</x:v>
      </x:c>
      <x:c r="H67" s="61" t="n">
        <x:f>F67^2</x:f>
        <x:v>0.0025000000000000005</x:v>
      </x:c>
      <x:c r="I67" s="44" t="str">
        <x:v>receipt map</x:v>
      </x:c>
      <x:c r="J67" s="44" t="str">
        <x:v>major</x:v>
      </x:c>
    </x:row>
    <x:row r="68">
      <x:c r="B68" s="44" t="str">
        <x:v>TC-062</x:v>
      </x:c>
      <x:c r="C68" s="44" t="str">
        <x:v>BL-X-TS-16</x:v>
      </x:c>
      <x:c r="D68" s="44" t="str">
        <x:v>BL-X</x:v>
      </x:c>
      <x:c r="E68" s="44" t="str">
        <x:v>process</x:v>
      </x:c>
      <x:c r="F68" s="61" t="n">
        <x:v>0.05</x:v>
      </x:c>
      <x:c r="G68" s="61" t="str">
        <x:v>deg</x:v>
      </x:c>
      <x:c r="H68" s="61" t="n">
        <x:f>F68^2</x:f>
        <x:v>0.0025000000000000005</x:v>
      </x:c>
      <x:c r="I68" s="44" t="str">
        <x:v>in-process record</x:v>
      </x:c>
      <x:c r="J68" s="44" t="str">
        <x:v>major</x:v>
      </x:c>
    </x:row>
    <x:row r="69">
      <x:c r="B69" s="44" t="str">
        <x:v>TC-063</x:v>
      </x:c>
      <x:c r="C69" s="44" t="str">
        <x:v>BL-X-TS-16</x:v>
      </x:c>
      <x:c r="D69" s="44" t="str">
        <x:v>BL-X</x:v>
      </x:c>
      <x:c r="E69" s="44" t="str">
        <x:v>assembly</x:v>
      </x:c>
      <x:c r="F69" s="61" t="n">
        <x:v>0.05</x:v>
      </x:c>
      <x:c r="G69" s="61" t="str">
        <x:v>deg</x:v>
      </x:c>
      <x:c r="H69" s="61" t="n">
        <x:f>F69^2</x:f>
        <x:v>0.0025000000000000005</x:v>
      </x:c>
      <x:c r="I69" s="44" t="str">
        <x:v>assembly survey</x:v>
      </x:c>
      <x:c r="J69" s="44" t="str">
        <x:v>minor</x:v>
      </x:c>
    </x:row>
    <x:row r="70">
      <x:c r="B70" s="44" t="str">
        <x:v>TC-064</x:v>
      </x:c>
      <x:c r="C70" s="44" t="str">
        <x:v>BL-X-TS-16</x:v>
      </x:c>
      <x:c r="D70" s="44" t="str">
        <x:v>BL-X</x:v>
      </x:c>
      <x:c r="E70" s="44" t="str">
        <x:v>measurement</x:v>
      </x:c>
      <x:c r="F70" s="61" t="n">
        <x:v>0.05</x:v>
      </x:c>
      <x:c r="G70" s="61" t="str">
        <x:v>deg</x:v>
      </x:c>
      <x:c r="H70" s="61" t="n">
        <x:f>F70^2</x:f>
        <x:v>0.0025000000000000005</x:v>
      </x:c>
      <x:c r="I70" s="44" t="str">
        <x:v>independent metrology</x:v>
      </x:c>
      <x:c r="J70" s="44" t="str">
        <x:v>minor</x:v>
      </x:c>
    </x:row>
    <x:row r="71">
      <x:c r="B71" s="44" t="str">
        <x:v>TC-065</x:v>
      </x:c>
      <x:c r="C71" s="44" t="str">
        <x:v>BL-X-TS-17</x:v>
      </x:c>
      <x:c r="D71" s="44" t="str">
        <x:v>BL-X</x:v>
      </x:c>
      <x:c r="E71" s="44" t="str">
        <x:v>material</x:v>
      </x:c>
      <x:c r="F71" s="61" t="n">
        <x:v>0.04</x:v>
      </x:c>
      <x:c r="G71" s="61" t="str">
        <x:v>mm</x:v>
      </x:c>
      <x:c r="H71" s="61" t="n">
        <x:f>F71^2</x:f>
        <x:v>0.0016</x:v>
      </x:c>
      <x:c r="I71" s="44" t="str">
        <x:v>receipt map</x:v>
      </x:c>
      <x:c r="J71" s="44" t="str">
        <x:v>major</x:v>
      </x:c>
    </x:row>
    <x:row r="72">
      <x:c r="B72" s="44" t="str">
        <x:v>TC-066</x:v>
      </x:c>
      <x:c r="C72" s="44" t="str">
        <x:v>BL-X-TS-17</x:v>
      </x:c>
      <x:c r="D72" s="44" t="str">
        <x:v>BL-X</x:v>
      </x:c>
      <x:c r="E72" s="44" t="str">
        <x:v>process</x:v>
      </x:c>
      <x:c r="F72" s="61" t="n">
        <x:v>0.04</x:v>
      </x:c>
      <x:c r="G72" s="61" t="str">
        <x:v>mm</x:v>
      </x:c>
      <x:c r="H72" s="61" t="n">
        <x:f>F72^2</x:f>
        <x:v>0.0016</x:v>
      </x:c>
      <x:c r="I72" s="44" t="str">
        <x:v>in-process record</x:v>
      </x:c>
      <x:c r="J72" s="44" t="str">
        <x:v>major</x:v>
      </x:c>
    </x:row>
    <x:row r="73">
      <x:c r="B73" s="44" t="str">
        <x:v>TC-067</x:v>
      </x:c>
      <x:c r="C73" s="44" t="str">
        <x:v>BL-X-TS-17</x:v>
      </x:c>
      <x:c r="D73" s="44" t="str">
        <x:v>BL-X</x:v>
      </x:c>
      <x:c r="E73" s="44" t="str">
        <x:v>assembly</x:v>
      </x:c>
      <x:c r="F73" s="61" t="n">
        <x:v>0.04</x:v>
      </x:c>
      <x:c r="G73" s="61" t="str">
        <x:v>mm</x:v>
      </x:c>
      <x:c r="H73" s="61" t="n">
        <x:f>F73^2</x:f>
        <x:v>0.0016</x:v>
      </x:c>
      <x:c r="I73" s="44" t="str">
        <x:v>assembly survey</x:v>
      </x:c>
      <x:c r="J73" s="44" t="str">
        <x:v>minor</x:v>
      </x:c>
    </x:row>
    <x:row r="74">
      <x:c r="B74" s="44" t="str">
        <x:v>TC-068</x:v>
      </x:c>
      <x:c r="C74" s="44" t="str">
        <x:v>BL-X-TS-17</x:v>
      </x:c>
      <x:c r="D74" s="44" t="str">
        <x:v>BL-X</x:v>
      </x:c>
      <x:c r="E74" s="44" t="str">
        <x:v>measurement</x:v>
      </x:c>
      <x:c r="F74" s="61" t="n">
        <x:v>0.04</x:v>
      </x:c>
      <x:c r="G74" s="61" t="str">
        <x:v>mm</x:v>
      </x:c>
      <x:c r="H74" s="61" t="n">
        <x:f>F74^2</x:f>
        <x:v>0.0016</x:v>
      </x:c>
      <x:c r="I74" s="44" t="str">
        <x:v>independent metrology</x:v>
      </x:c>
      <x:c r="J74" s="44" t="str">
        <x:v>minor</x:v>
      </x:c>
    </x:row>
    <x:row r="75">
      <x:c r="B75" s="44" t="str">
        <x:v>TC-069</x:v>
      </x:c>
      <x:c r="C75" s="44" t="str">
        <x:v>BL-X-TS-18</x:v>
      </x:c>
      <x:c r="D75" s="44" t="str">
        <x:v>BL-X</x:v>
      </x:c>
      <x:c r="E75" s="44" t="str">
        <x:v>material</x:v>
      </x:c>
      <x:c r="F75" s="61" t="n">
        <x:v>0.03</x:v>
      </x:c>
      <x:c r="G75" s="61" t="str">
        <x:v>mm</x:v>
      </x:c>
      <x:c r="H75" s="61" t="n">
        <x:f>F75^2</x:f>
        <x:v>0.0009</x:v>
      </x:c>
      <x:c r="I75" s="44" t="str">
        <x:v>receipt map</x:v>
      </x:c>
      <x:c r="J75" s="44" t="str">
        <x:v>major</x:v>
      </x:c>
    </x:row>
    <x:row r="76">
      <x:c r="B76" s="44" t="str">
        <x:v>TC-070</x:v>
      </x:c>
      <x:c r="C76" s="44" t="str">
        <x:v>BL-X-TS-18</x:v>
      </x:c>
      <x:c r="D76" s="44" t="str">
        <x:v>BL-X</x:v>
      </x:c>
      <x:c r="E76" s="44" t="str">
        <x:v>process</x:v>
      </x:c>
      <x:c r="F76" s="61" t="n">
        <x:v>0.03</x:v>
      </x:c>
      <x:c r="G76" s="61" t="str">
        <x:v>mm</x:v>
      </x:c>
      <x:c r="H76" s="61" t="n">
        <x:f>F76^2</x:f>
        <x:v>0.0009</x:v>
      </x:c>
      <x:c r="I76" s="44" t="str">
        <x:v>in-process record</x:v>
      </x:c>
      <x:c r="J76" s="44" t="str">
        <x:v>major</x:v>
      </x:c>
    </x:row>
    <x:row r="77">
      <x:c r="B77" s="44" t="str">
        <x:v>TC-071</x:v>
      </x:c>
      <x:c r="C77" s="44" t="str">
        <x:v>BL-X-TS-18</x:v>
      </x:c>
      <x:c r="D77" s="44" t="str">
        <x:v>BL-X</x:v>
      </x:c>
      <x:c r="E77" s="44" t="str">
        <x:v>assembly</x:v>
      </x:c>
      <x:c r="F77" s="61" t="n">
        <x:v>0.03</x:v>
      </x:c>
      <x:c r="G77" s="61" t="str">
        <x:v>mm</x:v>
      </x:c>
      <x:c r="H77" s="61" t="n">
        <x:f>F77^2</x:f>
        <x:v>0.0009</x:v>
      </x:c>
      <x:c r="I77" s="44" t="str">
        <x:v>assembly survey</x:v>
      </x:c>
      <x:c r="J77" s="44" t="str">
        <x:v>minor</x:v>
      </x:c>
    </x:row>
    <x:row r="78">
      <x:c r="B78" s="44" t="str">
        <x:v>TC-072</x:v>
      </x:c>
      <x:c r="C78" s="44" t="str">
        <x:v>BL-X-TS-18</x:v>
      </x:c>
      <x:c r="D78" s="44" t="str">
        <x:v>BL-X</x:v>
      </x:c>
      <x:c r="E78" s="44" t="str">
        <x:v>measurement</x:v>
      </x:c>
      <x:c r="F78" s="61" t="n">
        <x:v>0.03</x:v>
      </x:c>
      <x:c r="G78" s="61" t="str">
        <x:v>mm</x:v>
      </x:c>
      <x:c r="H78" s="61" t="n">
        <x:f>F78^2</x:f>
        <x:v>0.0009</x:v>
      </x:c>
      <x:c r="I78" s="44" t="str">
        <x:v>independent metrology</x:v>
      </x:c>
      <x:c r="J78" s="44" t="str">
        <x:v>minor</x:v>
      </x:c>
    </x:row>
    <x:row r="79">
      <x:c r="B79" s="44" t="str">
        <x:v>TC-073</x:v>
      </x:c>
      <x:c r="C79" s="44" t="str">
        <x:v>BL-X-TS-19</x:v>
      </x:c>
      <x:c r="D79" s="44" t="str">
        <x:v>BL-X</x:v>
      </x:c>
      <x:c r="E79" s="44" t="str">
        <x:v>material</x:v>
      </x:c>
      <x:c r="F79" s="61" t="n">
        <x:v>0.05</x:v>
      </x:c>
      <x:c r="G79" s="61" t="str">
        <x:v>deg</x:v>
      </x:c>
      <x:c r="H79" s="61" t="n">
        <x:f>F79^2</x:f>
        <x:v>0.0025000000000000005</x:v>
      </x:c>
      <x:c r="I79" s="44" t="str">
        <x:v>receipt map</x:v>
      </x:c>
      <x:c r="J79" s="44" t="str">
        <x:v>major</x:v>
      </x:c>
    </x:row>
    <x:row r="80">
      <x:c r="B80" s="44" t="str">
        <x:v>TC-074</x:v>
      </x:c>
      <x:c r="C80" s="44" t="str">
        <x:v>BL-X-TS-19</x:v>
      </x:c>
      <x:c r="D80" s="44" t="str">
        <x:v>BL-X</x:v>
      </x:c>
      <x:c r="E80" s="44" t="str">
        <x:v>process</x:v>
      </x:c>
      <x:c r="F80" s="61" t="n">
        <x:v>0.05</x:v>
      </x:c>
      <x:c r="G80" s="61" t="str">
        <x:v>deg</x:v>
      </x:c>
      <x:c r="H80" s="61" t="n">
        <x:f>F80^2</x:f>
        <x:v>0.0025000000000000005</x:v>
      </x:c>
      <x:c r="I80" s="44" t="str">
        <x:v>in-process record</x:v>
      </x:c>
      <x:c r="J80" s="44" t="str">
        <x:v>major</x:v>
      </x:c>
    </x:row>
    <x:row r="81">
      <x:c r="B81" s="44" t="str">
        <x:v>TC-075</x:v>
      </x:c>
      <x:c r="C81" s="44" t="str">
        <x:v>BL-X-TS-19</x:v>
      </x:c>
      <x:c r="D81" s="44" t="str">
        <x:v>BL-X</x:v>
      </x:c>
      <x:c r="E81" s="44" t="str">
        <x:v>assembly</x:v>
      </x:c>
      <x:c r="F81" s="61" t="n">
        <x:v>0.05</x:v>
      </x:c>
      <x:c r="G81" s="61" t="str">
        <x:v>deg</x:v>
      </x:c>
      <x:c r="H81" s="61" t="n">
        <x:f>F81^2</x:f>
        <x:v>0.0025000000000000005</x:v>
      </x:c>
      <x:c r="I81" s="44" t="str">
        <x:v>assembly survey</x:v>
      </x:c>
      <x:c r="J81" s="44" t="str">
        <x:v>minor</x:v>
      </x:c>
    </x:row>
    <x:row r="82">
      <x:c r="B82" s="44" t="str">
        <x:v>TC-076</x:v>
      </x:c>
      <x:c r="C82" s="44" t="str">
        <x:v>BL-X-TS-19</x:v>
      </x:c>
      <x:c r="D82" s="44" t="str">
        <x:v>BL-X</x:v>
      </x:c>
      <x:c r="E82" s="44" t="str">
        <x:v>measurement</x:v>
      </x:c>
      <x:c r="F82" s="61" t="n">
        <x:v>0.05</x:v>
      </x:c>
      <x:c r="G82" s="61" t="str">
        <x:v>deg</x:v>
      </x:c>
      <x:c r="H82" s="61" t="n">
        <x:f>F82^2</x:f>
        <x:v>0.0025000000000000005</x:v>
      </x:c>
      <x:c r="I82" s="44" t="str">
        <x:v>independent metrology</x:v>
      </x:c>
      <x:c r="J82" s="44" t="str">
        <x:v>minor</x:v>
      </x:c>
    </x:row>
    <x:row r="83">
      <x:c r="B83" s="44" t="str">
        <x:v>TC-077</x:v>
      </x:c>
      <x:c r="C83" s="44" t="str">
        <x:v>BL-X-TS-20</x:v>
      </x:c>
      <x:c r="D83" s="44" t="str">
        <x:v>BL-X</x:v>
      </x:c>
      <x:c r="E83" s="44" t="str">
        <x:v>material</x:v>
      </x:c>
      <x:c r="F83" s="61" t="n">
        <x:v>5</x:v>
      </x:c>
      <x:c r="G83" s="61" t="str">
        <x:v>mm</x:v>
      </x:c>
      <x:c r="H83" s="61" t="n">
        <x:f>F83^2</x:f>
        <x:v>25</x:v>
      </x:c>
      <x:c r="I83" s="44" t="str">
        <x:v>receipt map</x:v>
      </x:c>
      <x:c r="J83" s="44" t="str">
        <x:v>major</x:v>
      </x:c>
    </x:row>
    <x:row r="84">
      <x:c r="B84" s="44" t="str">
        <x:v>TC-078</x:v>
      </x:c>
      <x:c r="C84" s="44" t="str">
        <x:v>BL-X-TS-20</x:v>
      </x:c>
      <x:c r="D84" s="44" t="str">
        <x:v>BL-X</x:v>
      </x:c>
      <x:c r="E84" s="44" t="str">
        <x:v>process</x:v>
      </x:c>
      <x:c r="F84" s="61" t="n">
        <x:v>5</x:v>
      </x:c>
      <x:c r="G84" s="61" t="str">
        <x:v>mm</x:v>
      </x:c>
      <x:c r="H84" s="61" t="n">
        <x:f>F84^2</x:f>
        <x:v>25</x:v>
      </x:c>
      <x:c r="I84" s="44" t="str">
        <x:v>in-process record</x:v>
      </x:c>
      <x:c r="J84" s="44" t="str">
        <x:v>major</x:v>
      </x:c>
    </x:row>
    <x:row r="85">
      <x:c r="B85" s="44" t="str">
        <x:v>TC-079</x:v>
      </x:c>
      <x:c r="C85" s="44" t="str">
        <x:v>BL-X-TS-20</x:v>
      </x:c>
      <x:c r="D85" s="44" t="str">
        <x:v>BL-X</x:v>
      </x:c>
      <x:c r="E85" s="44" t="str">
        <x:v>assembly</x:v>
      </x:c>
      <x:c r="F85" s="61" t="n">
        <x:v>5</x:v>
      </x:c>
      <x:c r="G85" s="61" t="str">
        <x:v>mm</x:v>
      </x:c>
      <x:c r="H85" s="61" t="n">
        <x:f>F85^2</x:f>
        <x:v>25</x:v>
      </x:c>
      <x:c r="I85" s="44" t="str">
        <x:v>assembly survey</x:v>
      </x:c>
      <x:c r="J85" s="44" t="str">
        <x:v>minor</x:v>
      </x:c>
    </x:row>
    <x:row r="86">
      <x:c r="B86" s="44" t="str">
        <x:v>TC-080</x:v>
      </x:c>
      <x:c r="C86" s="44" t="str">
        <x:v>BL-X-TS-20</x:v>
      </x:c>
      <x:c r="D86" s="44" t="str">
        <x:v>BL-X</x:v>
      </x:c>
      <x:c r="E86" s="44" t="str">
        <x:v>measurement</x:v>
      </x:c>
      <x:c r="F86" s="61" t="n">
        <x:v>5</x:v>
      </x:c>
      <x:c r="G86" s="61" t="str">
        <x:v>mm</x:v>
      </x:c>
      <x:c r="H86" s="61" t="n">
        <x:f>F86^2</x:f>
        <x:v>25</x:v>
      </x:c>
      <x:c r="I86" s="44" t="str">
        <x:v>independent metrology</x:v>
      </x:c>
      <x:c r="J86" s="44" t="str">
        <x:v>minor</x:v>
      </x:c>
    </x:row>
    <x:row r="87">
      <x:c r="B87" s="44" t="str">
        <x:v>TC-081</x:v>
      </x:c>
      <x:c r="C87" s="44" t="str">
        <x:v>BL-X-TS-21</x:v>
      </x:c>
      <x:c r="D87" s="44" t="str">
        <x:v>BL-X</x:v>
      </x:c>
      <x:c r="E87" s="44" t="str">
        <x:v>material</x:v>
      </x:c>
      <x:c r="F87" s="61" t="n">
        <x:v>10</x:v>
      </x:c>
      <x:c r="G87" s="61" t="str">
        <x:v>mm</x:v>
      </x:c>
      <x:c r="H87" s="61" t="n">
        <x:f>F87^2</x:f>
        <x:v>100</x:v>
      </x:c>
      <x:c r="I87" s="44" t="str">
        <x:v>receipt map</x:v>
      </x:c>
      <x:c r="J87" s="44" t="str">
        <x:v>major</x:v>
      </x:c>
    </x:row>
    <x:row r="88">
      <x:c r="B88" s="44" t="str">
        <x:v>TC-082</x:v>
      </x:c>
      <x:c r="C88" s="44" t="str">
        <x:v>BL-X-TS-21</x:v>
      </x:c>
      <x:c r="D88" s="44" t="str">
        <x:v>BL-X</x:v>
      </x:c>
      <x:c r="E88" s="44" t="str">
        <x:v>process</x:v>
      </x:c>
      <x:c r="F88" s="61" t="n">
        <x:v>10</x:v>
      </x:c>
      <x:c r="G88" s="61" t="str">
        <x:v>mm</x:v>
      </x:c>
      <x:c r="H88" s="61" t="n">
        <x:f>F88^2</x:f>
        <x:v>100</x:v>
      </x:c>
      <x:c r="I88" s="44" t="str">
        <x:v>in-process record</x:v>
      </x:c>
      <x:c r="J88" s="44" t="str">
        <x:v>major</x:v>
      </x:c>
    </x:row>
    <x:row r="89">
      <x:c r="B89" s="44" t="str">
        <x:v>TC-083</x:v>
      </x:c>
      <x:c r="C89" s="44" t="str">
        <x:v>BL-X-TS-21</x:v>
      </x:c>
      <x:c r="D89" s="44" t="str">
        <x:v>BL-X</x:v>
      </x:c>
      <x:c r="E89" s="44" t="str">
        <x:v>assembly</x:v>
      </x:c>
      <x:c r="F89" s="61" t="n">
        <x:v>10</x:v>
      </x:c>
      <x:c r="G89" s="61" t="str">
        <x:v>mm</x:v>
      </x:c>
      <x:c r="H89" s="61" t="n">
        <x:f>F89^2</x:f>
        <x:v>100</x:v>
      </x:c>
      <x:c r="I89" s="44" t="str">
        <x:v>assembly survey</x:v>
      </x:c>
      <x:c r="J89" s="44" t="str">
        <x:v>minor</x:v>
      </x:c>
    </x:row>
    <x:row r="90">
      <x:c r="B90" s="44" t="str">
        <x:v>TC-084</x:v>
      </x:c>
      <x:c r="C90" s="44" t="str">
        <x:v>BL-X-TS-21</x:v>
      </x:c>
      <x:c r="D90" s="44" t="str">
        <x:v>BL-X</x:v>
      </x:c>
      <x:c r="E90" s="44" t="str">
        <x:v>measurement</x:v>
      </x:c>
      <x:c r="F90" s="61" t="n">
        <x:v>10</x:v>
      </x:c>
      <x:c r="G90" s="61" t="str">
        <x:v>mm</x:v>
      </x:c>
      <x:c r="H90" s="61" t="n">
        <x:f>F90^2</x:f>
        <x:v>100</x:v>
      </x:c>
      <x:c r="I90" s="44" t="str">
        <x:v>independent metrology</x:v>
      </x:c>
      <x:c r="J90" s="44" t="str">
        <x:v>minor</x:v>
      </x:c>
    </x:row>
    <x:row r="91">
      <x:c r="B91" s="44" t="str">
        <x:v>TC-085</x:v>
      </x:c>
      <x:c r="C91" s="44" t="str">
        <x:v>BL-X-TS-22</x:v>
      </x:c>
      <x:c r="D91" s="44" t="str">
        <x:v>BL-X</x:v>
      </x:c>
      <x:c r="E91" s="44" t="str">
        <x:v>material</x:v>
      </x:c>
      <x:c r="F91" s="61" t="n">
        <x:v>0.2</x:v>
      </x:c>
      <x:c r="G91" s="61" t="str">
        <x:v>mm</x:v>
      </x:c>
      <x:c r="H91" s="61" t="n">
        <x:f>F91^2</x:f>
        <x:v>0.04000000000000001</x:v>
      </x:c>
      <x:c r="I91" s="44" t="str">
        <x:v>receipt map</x:v>
      </x:c>
      <x:c r="J91" s="44" t="str">
        <x:v>major</x:v>
      </x:c>
    </x:row>
    <x:row r="92">
      <x:c r="B92" s="44" t="str">
        <x:v>TC-086</x:v>
      </x:c>
      <x:c r="C92" s="44" t="str">
        <x:v>BL-X-TS-22</x:v>
      </x:c>
      <x:c r="D92" s="44" t="str">
        <x:v>BL-X</x:v>
      </x:c>
      <x:c r="E92" s="44" t="str">
        <x:v>process</x:v>
      </x:c>
      <x:c r="F92" s="61" t="n">
        <x:v>0.2</x:v>
      </x:c>
      <x:c r="G92" s="61" t="str">
        <x:v>mm</x:v>
      </x:c>
      <x:c r="H92" s="61" t="n">
        <x:f>F92^2</x:f>
        <x:v>0.04000000000000001</x:v>
      </x:c>
      <x:c r="I92" s="44" t="str">
        <x:v>in-process record</x:v>
      </x:c>
      <x:c r="J92" s="44" t="str">
        <x:v>major</x:v>
      </x:c>
    </x:row>
    <x:row r="93">
      <x:c r="B93" s="44" t="str">
        <x:v>TC-087</x:v>
      </x:c>
      <x:c r="C93" s="44" t="str">
        <x:v>BL-X-TS-22</x:v>
      </x:c>
      <x:c r="D93" s="44" t="str">
        <x:v>BL-X</x:v>
      </x:c>
      <x:c r="E93" s="44" t="str">
        <x:v>assembly</x:v>
      </x:c>
      <x:c r="F93" s="61" t="n">
        <x:v>0.2</x:v>
      </x:c>
      <x:c r="G93" s="61" t="str">
        <x:v>mm</x:v>
      </x:c>
      <x:c r="H93" s="61" t="n">
        <x:f>F93^2</x:f>
        <x:v>0.04000000000000001</x:v>
      </x:c>
      <x:c r="I93" s="44" t="str">
        <x:v>assembly survey</x:v>
      </x:c>
      <x:c r="J93" s="44" t="str">
        <x:v>minor</x:v>
      </x:c>
    </x:row>
    <x:row r="94">
      <x:c r="B94" s="44" t="str">
        <x:v>TC-088</x:v>
      </x:c>
      <x:c r="C94" s="44" t="str">
        <x:v>BL-X-TS-22</x:v>
      </x:c>
      <x:c r="D94" s="44" t="str">
        <x:v>BL-X</x:v>
      </x:c>
      <x:c r="E94" s="44" t="str">
        <x:v>measurement</x:v>
      </x:c>
      <x:c r="F94" s="61" t="n">
        <x:v>0.2</x:v>
      </x:c>
      <x:c r="G94" s="61" t="str">
        <x:v>mm</x:v>
      </x:c>
      <x:c r="H94" s="61" t="n">
        <x:f>F94^2</x:f>
        <x:v>0.04000000000000001</x:v>
      </x:c>
      <x:c r="I94" s="44" t="str">
        <x:v>independent metrology</x:v>
      </x:c>
      <x:c r="J94" s="44" t="str">
        <x:v>minor</x:v>
      </x:c>
    </x:row>
    <x:row r="95">
      <x:c r="B95" s="44" t="str">
        <x:v>TC-089</x:v>
      </x:c>
      <x:c r="C95" s="44" t="str">
        <x:v>BL-X-TS-23</x:v>
      </x:c>
      <x:c r="D95" s="44" t="str">
        <x:v>BL-X</x:v>
      </x:c>
      <x:c r="E95" s="44" t="str">
        <x:v>material</x:v>
      </x:c>
      <x:c r="F95" s="61" t="n">
        <x:v>5</x:v>
      </x:c>
      <x:c r="G95" s="61" t="str">
        <x:v>mm</x:v>
      </x:c>
      <x:c r="H95" s="61" t="n">
        <x:f>F95^2</x:f>
        <x:v>25</x:v>
      </x:c>
      <x:c r="I95" s="44" t="str">
        <x:v>receipt map</x:v>
      </x:c>
      <x:c r="J95" s="44" t="str">
        <x:v>major</x:v>
      </x:c>
    </x:row>
    <x:row r="96">
      <x:c r="B96" s="44" t="str">
        <x:v>TC-090</x:v>
      </x:c>
      <x:c r="C96" s="44" t="str">
        <x:v>BL-X-TS-23</x:v>
      </x:c>
      <x:c r="D96" s="44" t="str">
        <x:v>BL-X</x:v>
      </x:c>
      <x:c r="E96" s="44" t="str">
        <x:v>process</x:v>
      </x:c>
      <x:c r="F96" s="61" t="n">
        <x:v>5</x:v>
      </x:c>
      <x:c r="G96" s="61" t="str">
        <x:v>mm</x:v>
      </x:c>
      <x:c r="H96" s="61" t="n">
        <x:f>F96^2</x:f>
        <x:v>25</x:v>
      </x:c>
      <x:c r="I96" s="44" t="str">
        <x:v>in-process record</x:v>
      </x:c>
      <x:c r="J96" s="44" t="str">
        <x:v>major</x:v>
      </x:c>
    </x:row>
    <x:row r="97">
      <x:c r="B97" s="44" t="str">
        <x:v>TC-091</x:v>
      </x:c>
      <x:c r="C97" s="44" t="str">
        <x:v>BL-X-TS-23</x:v>
      </x:c>
      <x:c r="D97" s="44" t="str">
        <x:v>BL-X</x:v>
      </x:c>
      <x:c r="E97" s="44" t="str">
        <x:v>assembly</x:v>
      </x:c>
      <x:c r="F97" s="61" t="n">
        <x:v>5</x:v>
      </x:c>
      <x:c r="G97" s="61" t="str">
        <x:v>mm</x:v>
      </x:c>
      <x:c r="H97" s="61" t="n">
        <x:f>F97^2</x:f>
        <x:v>25</x:v>
      </x:c>
      <x:c r="I97" s="44" t="str">
        <x:v>assembly survey</x:v>
      </x:c>
      <x:c r="J97" s="44" t="str">
        <x:v>minor</x:v>
      </x:c>
    </x:row>
    <x:row r="98">
      <x:c r="B98" s="44" t="str">
        <x:v>TC-092</x:v>
      </x:c>
      <x:c r="C98" s="44" t="str">
        <x:v>BL-X-TS-23</x:v>
      </x:c>
      <x:c r="D98" s="44" t="str">
        <x:v>BL-X</x:v>
      </x:c>
      <x:c r="E98" s="44" t="str">
        <x:v>measurement</x:v>
      </x:c>
      <x:c r="F98" s="61" t="n">
        <x:v>5</x:v>
      </x:c>
      <x:c r="G98" s="61" t="str">
        <x:v>mm</x:v>
      </x:c>
      <x:c r="H98" s="61" t="n">
        <x:f>F98^2</x:f>
        <x:v>25</x:v>
      </x:c>
      <x:c r="I98" s="44" t="str">
        <x:v>independent metrology</x:v>
      </x:c>
      <x:c r="J98" s="44" t="str">
        <x:v>minor</x:v>
      </x:c>
    </x:row>
    <x:row r="99">
      <x:c r="B99" s="44" t="str">
        <x:v>TC-093</x:v>
      </x:c>
      <x:c r="C99" s="44" t="str">
        <x:v>BL-X-TS-24</x:v>
      </x:c>
      <x:c r="D99" s="44" t="str">
        <x:v>BL-X</x:v>
      </x:c>
      <x:c r="E99" s="44" t="str">
        <x:v>material</x:v>
      </x:c>
      <x:c r="F99" s="61" t="n">
        <x:v>0.2</x:v>
      </x:c>
      <x:c r="G99" s="61" t="str">
        <x:v>mm</x:v>
      </x:c>
      <x:c r="H99" s="61" t="n">
        <x:f>F99^2</x:f>
        <x:v>0.04000000000000001</x:v>
      </x:c>
      <x:c r="I99" s="44" t="str">
        <x:v>receipt map</x:v>
      </x:c>
      <x:c r="J99" s="44" t="str">
        <x:v>major</x:v>
      </x:c>
    </x:row>
    <x:row r="100">
      <x:c r="B100" s="44" t="str">
        <x:v>TC-094</x:v>
      </x:c>
      <x:c r="C100" s="44" t="str">
        <x:v>BL-X-TS-24</x:v>
      </x:c>
      <x:c r="D100" s="44" t="str">
        <x:v>BL-X</x:v>
      </x:c>
      <x:c r="E100" s="44" t="str">
        <x:v>process</x:v>
      </x:c>
      <x:c r="F100" s="61" t="n">
        <x:v>0.2</x:v>
      </x:c>
      <x:c r="G100" s="61" t="str">
        <x:v>mm</x:v>
      </x:c>
      <x:c r="H100" s="61" t="n">
        <x:f>F100^2</x:f>
        <x:v>0.04000000000000001</x:v>
      </x:c>
      <x:c r="I100" s="44" t="str">
        <x:v>in-process record</x:v>
      </x:c>
      <x:c r="J100" s="44" t="str">
        <x:v>major</x:v>
      </x:c>
    </x:row>
    <x:row r="101">
      <x:c r="B101" s="44" t="str">
        <x:v>TC-095</x:v>
      </x:c>
      <x:c r="C101" s="44" t="str">
        <x:v>BL-X-TS-24</x:v>
      </x:c>
      <x:c r="D101" s="44" t="str">
        <x:v>BL-X</x:v>
      </x:c>
      <x:c r="E101" s="44" t="str">
        <x:v>assembly</x:v>
      </x:c>
      <x:c r="F101" s="61" t="n">
        <x:v>0.2</x:v>
      </x:c>
      <x:c r="G101" s="61" t="str">
        <x:v>mm</x:v>
      </x:c>
      <x:c r="H101" s="61" t="n">
        <x:f>F101^2</x:f>
        <x:v>0.04000000000000001</x:v>
      </x:c>
      <x:c r="I101" s="44" t="str">
        <x:v>assembly survey</x:v>
      </x:c>
      <x:c r="J101" s="44" t="str">
        <x:v>minor</x:v>
      </x:c>
    </x:row>
    <x:row r="102">
      <x:c r="B102" s="44" t="str">
        <x:v>TC-096</x:v>
      </x:c>
      <x:c r="C102" s="44" t="str">
        <x:v>BL-X-TS-24</x:v>
      </x:c>
      <x:c r="D102" s="44" t="str">
        <x:v>BL-X</x:v>
      </x:c>
      <x:c r="E102" s="44" t="str">
        <x:v>measurement</x:v>
      </x:c>
      <x:c r="F102" s="61" t="n">
        <x:v>0.2</x:v>
      </x:c>
      <x:c r="G102" s="61" t="str">
        <x:v>mm</x:v>
      </x:c>
      <x:c r="H102" s="61" t="n">
        <x:f>F102^2</x:f>
        <x:v>0.04000000000000001</x:v>
      </x:c>
      <x:c r="I102" s="44" t="str">
        <x:v>independent metrology</x:v>
      </x:c>
      <x:c r="J102" s="44" t="str">
        <x:v>minor</x:v>
      </x:c>
    </x:row>
    <x:row r="103">
      <x:c r="B103" s="44" t="str">
        <x:v>TC-097</x:v>
      </x:c>
      <x:c r="C103" s="44" t="str">
        <x:v>BL-Y-TS-01</x:v>
      </x:c>
      <x:c r="D103" s="44" t="str">
        <x:v>BL-Y</x:v>
      </x:c>
      <x:c r="E103" s="44" t="str">
        <x:v>material</x:v>
      </x:c>
      <x:c r="F103" s="61" t="n">
        <x:v>0.35</x:v>
      </x:c>
      <x:c r="G103" s="61" t="str">
        <x:v>mm</x:v>
      </x:c>
      <x:c r="H103" s="61" t="n">
        <x:f>F103^2</x:f>
        <x:v>0.12249999999999998</x:v>
      </x:c>
      <x:c r="I103" s="44" t="str">
        <x:v>receipt map</x:v>
      </x:c>
      <x:c r="J103" s="44" t="str">
        <x:v>major</x:v>
      </x:c>
    </x:row>
    <x:row r="104">
      <x:c r="B104" s="44" t="str">
        <x:v>TC-098</x:v>
      </x:c>
      <x:c r="C104" s="44" t="str">
        <x:v>BL-Y-TS-01</x:v>
      </x:c>
      <x:c r="D104" s="44" t="str">
        <x:v>BL-Y</x:v>
      </x:c>
      <x:c r="E104" s="44" t="str">
        <x:v>process</x:v>
      </x:c>
      <x:c r="F104" s="61" t="n">
        <x:v>0.35</x:v>
      </x:c>
      <x:c r="G104" s="61" t="str">
        <x:v>mm</x:v>
      </x:c>
      <x:c r="H104" s="61" t="n">
        <x:f>F104^2</x:f>
        <x:v>0.12249999999999998</x:v>
      </x:c>
      <x:c r="I104" s="44" t="str">
        <x:v>in-process record</x:v>
      </x:c>
      <x:c r="J104" s="44" t="str">
        <x:v>major</x:v>
      </x:c>
    </x:row>
    <x:row r="105">
      <x:c r="B105" s="44" t="str">
        <x:v>TC-099</x:v>
      </x:c>
      <x:c r="C105" s="44" t="str">
        <x:v>BL-Y-TS-01</x:v>
      </x:c>
      <x:c r="D105" s="44" t="str">
        <x:v>BL-Y</x:v>
      </x:c>
      <x:c r="E105" s="44" t="str">
        <x:v>assembly</x:v>
      </x:c>
      <x:c r="F105" s="61" t="n">
        <x:v>0.45</x:v>
      </x:c>
      <x:c r="G105" s="61" t="str">
        <x:v>mm</x:v>
      </x:c>
      <x:c r="H105" s="61" t="n">
        <x:f>F105^2</x:f>
        <x:v>0.2025</x:v>
      </x:c>
      <x:c r="I105" s="44" t="str">
        <x:v>assembly survey</x:v>
      </x:c>
      <x:c r="J105" s="44" t="str">
        <x:v>minor</x:v>
      </x:c>
    </x:row>
    <x:row r="106">
      <x:c r="B106" s="44" t="str">
        <x:v>TC-100</x:v>
      </x:c>
      <x:c r="C106" s="44" t="str">
        <x:v>BL-Y-TS-01</x:v>
      </x:c>
      <x:c r="D106" s="44" t="str">
        <x:v>BL-Y</x:v>
      </x:c>
      <x:c r="E106" s="44" t="str">
        <x:v>measurement</x:v>
      </x:c>
      <x:c r="F106" s="61" t="n">
        <x:v>0.55</x:v>
      </x:c>
      <x:c r="G106" s="61" t="str">
        <x:v>mm</x:v>
      </x:c>
      <x:c r="H106" s="61" t="n">
        <x:f>F106^2</x:f>
        <x:v>0.30250000000000005</x:v>
      </x:c>
      <x:c r="I106" s="44" t="str">
        <x:v>independent metrology</x:v>
      </x:c>
      <x:c r="J106" s="44" t="str">
        <x:v>minor</x:v>
      </x:c>
    </x:row>
    <x:row r="107">
      <x:c r="B107" s="44" t="str">
        <x:v>TC-101</x:v>
      </x:c>
      <x:c r="C107" s="44" t="str">
        <x:v>BL-Y-TS-02</x:v>
      </x:c>
      <x:c r="D107" s="44" t="str">
        <x:v>BL-Y</x:v>
      </x:c>
      <x:c r="E107" s="44" t="str">
        <x:v>material</x:v>
      </x:c>
      <x:c r="F107" s="61" t="n">
        <x:v>0.014</x:v>
      </x:c>
      <x:c r="G107" s="61" t="str">
        <x:v>mm</x:v>
      </x:c>
      <x:c r="H107" s="61" t="n">
        <x:f>F107^2</x:f>
        <x:v>0.00019600000000000002</x:v>
      </x:c>
      <x:c r="I107" s="44" t="str">
        <x:v>receipt map</x:v>
      </x:c>
      <x:c r="J107" s="44" t="str">
        <x:v>major</x:v>
      </x:c>
    </x:row>
    <x:row r="108">
      <x:c r="B108" s="44" t="str">
        <x:v>TC-102</x:v>
      </x:c>
      <x:c r="C108" s="44" t="str">
        <x:v>BL-Y-TS-02</x:v>
      </x:c>
      <x:c r="D108" s="44" t="str">
        <x:v>BL-Y</x:v>
      </x:c>
      <x:c r="E108" s="44" t="str">
        <x:v>process</x:v>
      </x:c>
      <x:c r="F108" s="61" t="n">
        <x:v>0.012</x:v>
      </x:c>
      <x:c r="G108" s="61" t="str">
        <x:v>mm</x:v>
      </x:c>
      <x:c r="H108" s="61" t="n">
        <x:f>F108^2</x:f>
        <x:v>0.000144</x:v>
      </x:c>
      <x:c r="I108" s="44" t="str">
        <x:v>in-process record</x:v>
      </x:c>
      <x:c r="J108" s="44" t="str">
        <x:v>major</x:v>
      </x:c>
    </x:row>
    <x:row r="109">
      <x:c r="B109" s="44" t="str">
        <x:v>TC-103</x:v>
      </x:c>
      <x:c r="C109" s="44" t="str">
        <x:v>BL-Y-TS-02</x:v>
      </x:c>
      <x:c r="D109" s="44" t="str">
        <x:v>BL-Y</x:v>
      </x:c>
      <x:c r="E109" s="44" t="str">
        <x:v>assembly</x:v>
      </x:c>
      <x:c r="F109" s="61" t="n">
        <x:v>0.01</x:v>
      </x:c>
      <x:c r="G109" s="61" t="str">
        <x:v>mm</x:v>
      </x:c>
      <x:c r="H109" s="61" t="n">
        <x:f>F109^2</x:f>
        <x:v>0.0001</x:v>
      </x:c>
      <x:c r="I109" s="44" t="str">
        <x:v>assembly survey</x:v>
      </x:c>
      <x:c r="J109" s="44" t="str">
        <x:v>minor</x:v>
      </x:c>
    </x:row>
    <x:row r="110">
      <x:c r="B110" s="44" t="str">
        <x:v>TC-104</x:v>
      </x:c>
      <x:c r="C110" s="44" t="str">
        <x:v>BL-Y-TS-02</x:v>
      </x:c>
      <x:c r="D110" s="44" t="str">
        <x:v>BL-Y</x:v>
      </x:c>
      <x:c r="E110" s="44" t="str">
        <x:v>measurement</x:v>
      </x:c>
      <x:c r="F110" s="61" t="n">
        <x:v>0.009</x:v>
      </x:c>
      <x:c r="G110" s="61" t="str">
        <x:v>mm</x:v>
      </x:c>
      <x:c r="H110" s="61" t="n">
        <x:f>F110^2</x:f>
        <x:v>0.00008099999999999999</x:v>
      </x:c>
      <x:c r="I110" s="44" t="str">
        <x:v>independent metrology</x:v>
      </x:c>
      <x:c r="J110" s="44" t="str">
        <x:v>minor</x:v>
      </x:c>
    </x:row>
    <x:row r="111">
      <x:c r="B111" s="44" t="str">
        <x:v>TC-105</x:v>
      </x:c>
      <x:c r="C111" s="44" t="str">
        <x:v>BL-Y-TS-03</x:v>
      </x:c>
      <x:c r="D111" s="44" t="str">
        <x:v>BL-Y</x:v>
      </x:c>
      <x:c r="E111" s="44" t="str">
        <x:v>material</x:v>
      </x:c>
      <x:c r="F111" s="61" t="n">
        <x:v>0.11</x:v>
      </x:c>
      <x:c r="G111" s="61" t="str">
        <x:v>mm</x:v>
      </x:c>
      <x:c r="H111" s="61" t="n">
        <x:f>F111^2</x:f>
        <x:v>0.0121</x:v>
      </x:c>
      <x:c r="I111" s="44" t="str">
        <x:v>receipt map</x:v>
      </x:c>
      <x:c r="J111" s="44" t="str">
        <x:v>major</x:v>
      </x:c>
    </x:row>
    <x:row r="112">
      <x:c r="B112" s="44" t="str">
        <x:v>TC-106</x:v>
      </x:c>
      <x:c r="C112" s="44" t="str">
        <x:v>BL-Y-TS-03</x:v>
      </x:c>
      <x:c r="D112" s="44" t="str">
        <x:v>BL-Y</x:v>
      </x:c>
      <x:c r="E112" s="44" t="str">
        <x:v>process</x:v>
      </x:c>
      <x:c r="F112" s="61" t="n">
        <x:v>0.11</x:v>
      </x:c>
      <x:c r="G112" s="61" t="str">
        <x:v>mm</x:v>
      </x:c>
      <x:c r="H112" s="61" t="n">
        <x:f>F112^2</x:f>
        <x:v>0.0121</x:v>
      </x:c>
      <x:c r="I112" s="44" t="str">
        <x:v>in-process record</x:v>
      </x:c>
      <x:c r="J112" s="44" t="str">
        <x:v>major</x:v>
      </x:c>
    </x:row>
    <x:row r="113">
      <x:c r="B113" s="44" t="str">
        <x:v>TC-107</x:v>
      </x:c>
      <x:c r="C113" s="44" t="str">
        <x:v>BL-Y-TS-03</x:v>
      </x:c>
      <x:c r="D113" s="44" t="str">
        <x:v>BL-Y</x:v>
      </x:c>
      <x:c r="E113" s="44" t="str">
        <x:v>assembly</x:v>
      </x:c>
      <x:c r="F113" s="61" t="n">
        <x:v>0.13</x:v>
      </x:c>
      <x:c r="G113" s="61" t="str">
        <x:v>mm</x:v>
      </x:c>
      <x:c r="H113" s="61" t="n">
        <x:f>F113^2</x:f>
        <x:v>0.016900000000000002</x:v>
      </x:c>
      <x:c r="I113" s="44" t="str">
        <x:v>assembly survey</x:v>
      </x:c>
      <x:c r="J113" s="44" t="str">
        <x:v>minor</x:v>
      </x:c>
    </x:row>
    <x:row r="114">
      <x:c r="B114" s="44" t="str">
        <x:v>TC-108</x:v>
      </x:c>
      <x:c r="C114" s="44" t="str">
        <x:v>BL-Y-TS-03</x:v>
      </x:c>
      <x:c r="D114" s="44" t="str">
        <x:v>BL-Y</x:v>
      </x:c>
      <x:c r="E114" s="44" t="str">
        <x:v>measurement</x:v>
      </x:c>
      <x:c r="F114" s="61" t="n">
        <x:v>0.09</x:v>
      </x:c>
      <x:c r="G114" s="61" t="str">
        <x:v>mm</x:v>
      </x:c>
      <x:c r="H114" s="61" t="n">
        <x:f>F114^2</x:f>
        <x:v>0.0081</x:v>
      </x:c>
      <x:c r="I114" s="44" t="str">
        <x:v>independent metrology</x:v>
      </x:c>
      <x:c r="J114" s="44" t="str">
        <x:v>minor</x:v>
      </x:c>
    </x:row>
    <x:row r="115">
      <x:c r="B115" s="44" t="str">
        <x:v>TC-109</x:v>
      </x:c>
      <x:c r="C115" s="44" t="str">
        <x:v>BL-Y-TS-04</x:v>
      </x:c>
      <x:c r="D115" s="44" t="str">
        <x:v>BL-Y</x:v>
      </x:c>
      <x:c r="E115" s="44" t="str">
        <x:v>material</x:v>
      </x:c>
      <x:c r="F115" s="61" t="n">
        <x:v>0.022</x:v>
      </x:c>
      <x:c r="G115" s="61" t="str">
        <x:v>mm</x:v>
      </x:c>
      <x:c r="H115" s="61" t="n">
        <x:f>F115^2</x:f>
        <x:v>0.00048399999999999995</x:v>
      </x:c>
      <x:c r="I115" s="44" t="str">
        <x:v>receipt map</x:v>
      </x:c>
      <x:c r="J115" s="44" t="str">
        <x:v>major</x:v>
      </x:c>
    </x:row>
    <x:row r="116">
      <x:c r="B116" s="44" t="str">
        <x:v>TC-110</x:v>
      </x:c>
      <x:c r="C116" s="44" t="str">
        <x:v>BL-Y-TS-04</x:v>
      </x:c>
      <x:c r="D116" s="44" t="str">
        <x:v>BL-Y</x:v>
      </x:c>
      <x:c r="E116" s="44" t="str">
        <x:v>process</x:v>
      </x:c>
      <x:c r="F116" s="61" t="n">
        <x:v>0.022</x:v>
      </x:c>
      <x:c r="G116" s="61" t="str">
        <x:v>mm</x:v>
      </x:c>
      <x:c r="H116" s="61" t="n">
        <x:f>F116^2</x:f>
        <x:v>0.00048399999999999995</x:v>
      </x:c>
      <x:c r="I116" s="44" t="str">
        <x:v>in-process record</x:v>
      </x:c>
      <x:c r="J116" s="44" t="str">
        <x:v>major</x:v>
      </x:c>
    </x:row>
    <x:row r="117">
      <x:c r="B117" s="44" t="str">
        <x:v>TC-111</x:v>
      </x:c>
      <x:c r="C117" s="44" t="str">
        <x:v>BL-Y-TS-04</x:v>
      </x:c>
      <x:c r="D117" s="44" t="str">
        <x:v>BL-Y</x:v>
      </x:c>
      <x:c r="E117" s="44" t="str">
        <x:v>assembly</x:v>
      </x:c>
      <x:c r="F117" s="61" t="n">
        <x:v>0.026</x:v>
      </x:c>
      <x:c r="G117" s="61" t="str">
        <x:v>mm</x:v>
      </x:c>
      <x:c r="H117" s="61" t="n">
        <x:f>F117^2</x:f>
        <x:v>0.000676</x:v>
      </x:c>
      <x:c r="I117" s="44" t="str">
        <x:v>assembly survey</x:v>
      </x:c>
      <x:c r="J117" s="44" t="str">
        <x:v>minor</x:v>
      </x:c>
    </x:row>
    <x:row r="118">
      <x:c r="B118" s="44" t="str">
        <x:v>TC-112</x:v>
      </x:c>
      <x:c r="C118" s="44" t="str">
        <x:v>BL-Y-TS-04</x:v>
      </x:c>
      <x:c r="D118" s="44" t="str">
        <x:v>BL-Y</x:v>
      </x:c>
      <x:c r="E118" s="44" t="str">
        <x:v>measurement</x:v>
      </x:c>
      <x:c r="F118" s="61" t="n">
        <x:v>0.025</x:v>
      </x:c>
      <x:c r="G118" s="61" t="str">
        <x:v>mm</x:v>
      </x:c>
      <x:c r="H118" s="61" t="n">
        <x:f>F118^2</x:f>
        <x:v>0.0006250000000000001</x:v>
      </x:c>
      <x:c r="I118" s="44" t="str">
        <x:v>independent metrology</x:v>
      </x:c>
      <x:c r="J118" s="44" t="str">
        <x:v>minor</x:v>
      </x:c>
    </x:row>
    <x:row r="119">
      <x:c r="B119" s="44" t="str">
        <x:v>TC-113</x:v>
      </x:c>
      <x:c r="C119" s="44" t="str">
        <x:v>BL-Y-TS-05</x:v>
      </x:c>
      <x:c r="D119" s="44" t="str">
        <x:v>BL-Y</x:v>
      </x:c>
      <x:c r="E119" s="44" t="str">
        <x:v>material</x:v>
      </x:c>
      <x:c r="F119" s="61" t="n">
        <x:v>0.005</x:v>
      </x:c>
      <x:c r="G119" s="61" t="str">
        <x:v>deg</x:v>
      </x:c>
      <x:c r="H119" s="61" t="n">
        <x:f>F119^2</x:f>
        <x:v>0.000025</x:v>
      </x:c>
      <x:c r="I119" s="44" t="str">
        <x:v>receipt map</x:v>
      </x:c>
      <x:c r="J119" s="44" t="str">
        <x:v>major</x:v>
      </x:c>
    </x:row>
    <x:row r="120">
      <x:c r="B120" s="44" t="str">
        <x:v>TC-114</x:v>
      </x:c>
      <x:c r="C120" s="44" t="str">
        <x:v>BL-Y-TS-05</x:v>
      </x:c>
      <x:c r="D120" s="44" t="str">
        <x:v>BL-Y</x:v>
      </x:c>
      <x:c r="E120" s="44" t="str">
        <x:v>process</x:v>
      </x:c>
      <x:c r="F120" s="61" t="n">
        <x:v>0.005</x:v>
      </x:c>
      <x:c r="G120" s="61" t="str">
        <x:v>deg</x:v>
      </x:c>
      <x:c r="H120" s="61" t="n">
        <x:f>F120^2</x:f>
        <x:v>0.000025</x:v>
      </x:c>
      <x:c r="I120" s="44" t="str">
        <x:v>in-process record</x:v>
      </x:c>
      <x:c r="J120" s="44" t="str">
        <x:v>major</x:v>
      </x:c>
    </x:row>
    <x:row r="121">
      <x:c r="B121" s="44" t="str">
        <x:v>TC-115</x:v>
      </x:c>
      <x:c r="C121" s="44" t="str">
        <x:v>BL-Y-TS-05</x:v>
      </x:c>
      <x:c r="D121" s="44" t="str">
        <x:v>BL-Y</x:v>
      </x:c>
      <x:c r="E121" s="44" t="str">
        <x:v>assembly</x:v>
      </x:c>
      <x:c r="F121" s="61" t="n">
        <x:v>0.004</x:v>
      </x:c>
      <x:c r="G121" s="61" t="str">
        <x:v>deg</x:v>
      </x:c>
      <x:c r="H121" s="61" t="n">
        <x:f>F121^2</x:f>
        <x:v>0.000016</x:v>
      </x:c>
      <x:c r="I121" s="44" t="str">
        <x:v>assembly survey</x:v>
      </x:c>
      <x:c r="J121" s="44" t="str">
        <x:v>minor</x:v>
      </x:c>
    </x:row>
    <x:row r="122">
      <x:c r="B122" s="44" t="str">
        <x:v>TC-116</x:v>
      </x:c>
      <x:c r="C122" s="44" t="str">
        <x:v>BL-Y-TS-05</x:v>
      </x:c>
      <x:c r="D122" s="44" t="str">
        <x:v>BL-Y</x:v>
      </x:c>
      <x:c r="E122" s="44" t="str">
        <x:v>measurement</x:v>
      </x:c>
      <x:c r="F122" s="61" t="n">
        <x:v>0.004</x:v>
      </x:c>
      <x:c r="G122" s="61" t="str">
        <x:v>deg</x:v>
      </x:c>
      <x:c r="H122" s="61" t="n">
        <x:f>F122^2</x:f>
        <x:v>0.000016</x:v>
      </x:c>
      <x:c r="I122" s="44" t="str">
        <x:v>independent metrology</x:v>
      </x:c>
      <x:c r="J122" s="44" t="str">
        <x:v>minor</x:v>
      </x:c>
    </x:row>
    <x:row r="123">
      <x:c r="B123" s="44" t="str">
        <x:v>TC-117</x:v>
      </x:c>
      <x:c r="C123" s="44" t="str">
        <x:v>BL-Y-TS-06</x:v>
      </x:c>
      <x:c r="D123" s="44" t="str">
        <x:v>BL-Y</x:v>
      </x:c>
      <x:c r="E123" s="44" t="str">
        <x:v>material</x:v>
      </x:c>
      <x:c r="F123" s="61" t="n">
        <x:v>0.11</x:v>
      </x:c>
      <x:c r="G123" s="61" t="str">
        <x:v>mm</x:v>
      </x:c>
      <x:c r="H123" s="61" t="n">
        <x:f>F123^2</x:f>
        <x:v>0.0121</x:v>
      </x:c>
      <x:c r="I123" s="44" t="str">
        <x:v>receipt map</x:v>
      </x:c>
      <x:c r="J123" s="44" t="str">
        <x:v>major</x:v>
      </x:c>
    </x:row>
    <x:row r="124">
      <x:c r="B124" s="44" t="str">
        <x:v>TC-118</x:v>
      </x:c>
      <x:c r="C124" s="44" t="str">
        <x:v>BL-Y-TS-06</x:v>
      </x:c>
      <x:c r="D124" s="44" t="str">
        <x:v>BL-Y</x:v>
      </x:c>
      <x:c r="E124" s="44" t="str">
        <x:v>process</x:v>
      </x:c>
      <x:c r="F124" s="61" t="n">
        <x:v>0.11</x:v>
      </x:c>
      <x:c r="G124" s="61" t="str">
        <x:v>mm</x:v>
      </x:c>
      <x:c r="H124" s="61" t="n">
        <x:f>F124^2</x:f>
        <x:v>0.0121</x:v>
      </x:c>
      <x:c r="I124" s="44" t="str">
        <x:v>in-process record</x:v>
      </x:c>
      <x:c r="J124" s="44" t="str">
        <x:v>major</x:v>
      </x:c>
    </x:row>
    <x:row r="125">
      <x:c r="B125" s="44" t="str">
        <x:v>TC-119</x:v>
      </x:c>
      <x:c r="C125" s="44" t="str">
        <x:v>BL-Y-TS-06</x:v>
      </x:c>
      <x:c r="D125" s="44" t="str">
        <x:v>BL-Y</x:v>
      </x:c>
      <x:c r="E125" s="44" t="str">
        <x:v>assembly</x:v>
      </x:c>
      <x:c r="F125" s="61" t="n">
        <x:v>0.11</x:v>
      </x:c>
      <x:c r="G125" s="61" t="str">
        <x:v>mm</x:v>
      </x:c>
      <x:c r="H125" s="61" t="n">
        <x:f>F125^2</x:f>
        <x:v>0.0121</x:v>
      </x:c>
      <x:c r="I125" s="44" t="str">
        <x:v>assembly survey</x:v>
      </x:c>
      <x:c r="J125" s="44" t="str">
        <x:v>minor</x:v>
      </x:c>
    </x:row>
    <x:row r="126">
      <x:c r="B126" s="44" t="str">
        <x:v>TC-120</x:v>
      </x:c>
      <x:c r="C126" s="44" t="str">
        <x:v>BL-Y-TS-06</x:v>
      </x:c>
      <x:c r="D126" s="44" t="str">
        <x:v>BL-Y</x:v>
      </x:c>
      <x:c r="E126" s="44" t="str">
        <x:v>measurement</x:v>
      </x:c>
      <x:c r="F126" s="61" t="n">
        <x:v>0.11</x:v>
      </x:c>
      <x:c r="G126" s="61" t="str">
        <x:v>mm</x:v>
      </x:c>
      <x:c r="H126" s="61" t="n">
        <x:f>F126^2</x:f>
        <x:v>0.0121</x:v>
      </x:c>
      <x:c r="I126" s="44" t="str">
        <x:v>independent metrology</x:v>
      </x:c>
      <x:c r="J126" s="44" t="str">
        <x:v>minor</x:v>
      </x:c>
    </x:row>
    <x:row r="127">
      <x:c r="B127" s="44" t="str">
        <x:v>TC-121</x:v>
      </x:c>
      <x:c r="C127" s="44" t="str">
        <x:v>BL-Y-TS-07</x:v>
      </x:c>
      <x:c r="D127" s="44" t="str">
        <x:v>BL-Y</x:v>
      </x:c>
      <x:c r="E127" s="44" t="str">
        <x:v>material</x:v>
      </x:c>
      <x:c r="F127" s="61" t="n">
        <x:v>0.11</x:v>
      </x:c>
      <x:c r="G127" s="61" t="str">
        <x:v>deg</x:v>
      </x:c>
      <x:c r="H127" s="61" t="n">
        <x:f>F127^2</x:f>
        <x:v>0.0121</x:v>
      </x:c>
      <x:c r="I127" s="44" t="str">
        <x:v>receipt map</x:v>
      </x:c>
      <x:c r="J127" s="44" t="str">
        <x:v>major</x:v>
      </x:c>
    </x:row>
    <x:row r="128">
      <x:c r="B128" s="44" t="str">
        <x:v>TC-122</x:v>
      </x:c>
      <x:c r="C128" s="44" t="str">
        <x:v>BL-Y-TS-07</x:v>
      </x:c>
      <x:c r="D128" s="44" t="str">
        <x:v>BL-Y</x:v>
      </x:c>
      <x:c r="E128" s="44" t="str">
        <x:v>process</x:v>
      </x:c>
      <x:c r="F128" s="61" t="n">
        <x:v>0.11</x:v>
      </x:c>
      <x:c r="G128" s="61" t="str">
        <x:v>deg</x:v>
      </x:c>
      <x:c r="H128" s="61" t="n">
        <x:f>F128^2</x:f>
        <x:v>0.0121</x:v>
      </x:c>
      <x:c r="I128" s="44" t="str">
        <x:v>in-process record</x:v>
      </x:c>
      <x:c r="J128" s="44" t="str">
        <x:v>major</x:v>
      </x:c>
    </x:row>
    <x:row r="129">
      <x:c r="B129" s="44" t="str">
        <x:v>TC-123</x:v>
      </x:c>
      <x:c r="C129" s="44" t="str">
        <x:v>BL-Y-TS-07</x:v>
      </x:c>
      <x:c r="D129" s="44" t="str">
        <x:v>BL-Y</x:v>
      </x:c>
      <x:c r="E129" s="44" t="str">
        <x:v>assembly</x:v>
      </x:c>
      <x:c r="F129" s="61" t="n">
        <x:v>0.11</x:v>
      </x:c>
      <x:c r="G129" s="61" t="str">
        <x:v>deg</x:v>
      </x:c>
      <x:c r="H129" s="61" t="n">
        <x:f>F129^2</x:f>
        <x:v>0.0121</x:v>
      </x:c>
      <x:c r="I129" s="44" t="str">
        <x:v>assembly survey</x:v>
      </x:c>
      <x:c r="J129" s="44" t="str">
        <x:v>minor</x:v>
      </x:c>
    </x:row>
    <x:row r="130">
      <x:c r="B130" s="44" t="str">
        <x:v>TC-124</x:v>
      </x:c>
      <x:c r="C130" s="44" t="str">
        <x:v>BL-Y-TS-07</x:v>
      </x:c>
      <x:c r="D130" s="44" t="str">
        <x:v>BL-Y</x:v>
      </x:c>
      <x:c r="E130" s="44" t="str">
        <x:v>measurement</x:v>
      </x:c>
      <x:c r="F130" s="61" t="n">
        <x:v>0.11</x:v>
      </x:c>
      <x:c r="G130" s="61" t="str">
        <x:v>deg</x:v>
      </x:c>
      <x:c r="H130" s="61" t="n">
        <x:f>F130^2</x:f>
        <x:v>0.0121</x:v>
      </x:c>
      <x:c r="I130" s="44" t="str">
        <x:v>independent metrology</x:v>
      </x:c>
      <x:c r="J130" s="44" t="str">
        <x:v>minor</x:v>
      </x:c>
    </x:row>
    <x:row r="131">
      <x:c r="B131" s="44" t="str">
        <x:v>TC-125</x:v>
      </x:c>
      <x:c r="C131" s="44" t="str">
        <x:v>BL-Y-TS-08</x:v>
      </x:c>
      <x:c r="D131" s="44" t="str">
        <x:v>BL-Y</x:v>
      </x:c>
      <x:c r="E131" s="44" t="str">
        <x:v>material</x:v>
      </x:c>
      <x:c r="F131" s="61" t="n">
        <x:v>0.065</x:v>
      </x:c>
      <x:c r="G131" s="61" t="str">
        <x:v>mm</x:v>
      </x:c>
      <x:c r="H131" s="61" t="n">
        <x:f>F131^2</x:f>
        <x:v>0.0042250000000000005</x:v>
      </x:c>
      <x:c r="I131" s="44" t="str">
        <x:v>receipt map</x:v>
      </x:c>
      <x:c r="J131" s="44" t="str">
        <x:v>major</x:v>
      </x:c>
    </x:row>
    <x:row r="132">
      <x:c r="B132" s="44" t="str">
        <x:v>TC-126</x:v>
      </x:c>
      <x:c r="C132" s="44" t="str">
        <x:v>BL-Y-TS-08</x:v>
      </x:c>
      <x:c r="D132" s="44" t="str">
        <x:v>BL-Y</x:v>
      </x:c>
      <x:c r="E132" s="44" t="str">
        <x:v>process</x:v>
      </x:c>
      <x:c r="F132" s="61" t="n">
        <x:v>0.065</x:v>
      </x:c>
      <x:c r="G132" s="61" t="str">
        <x:v>mm</x:v>
      </x:c>
      <x:c r="H132" s="61" t="n">
        <x:f>F132^2</x:f>
        <x:v>0.0042250000000000005</x:v>
      </x:c>
      <x:c r="I132" s="44" t="str">
        <x:v>in-process record</x:v>
      </x:c>
      <x:c r="J132" s="44" t="str">
        <x:v>major</x:v>
      </x:c>
    </x:row>
    <x:row r="133">
      <x:c r="B133" s="44" t="str">
        <x:v>TC-127</x:v>
      </x:c>
      <x:c r="C133" s="44" t="str">
        <x:v>BL-Y-TS-08</x:v>
      </x:c>
      <x:c r="D133" s="44" t="str">
        <x:v>BL-Y</x:v>
      </x:c>
      <x:c r="E133" s="44" t="str">
        <x:v>assembly</x:v>
      </x:c>
      <x:c r="F133" s="61" t="n">
        <x:v>0.065</x:v>
      </x:c>
      <x:c r="G133" s="61" t="str">
        <x:v>mm</x:v>
      </x:c>
      <x:c r="H133" s="61" t="n">
        <x:f>F133^2</x:f>
        <x:v>0.0042250000000000005</x:v>
      </x:c>
      <x:c r="I133" s="44" t="str">
        <x:v>assembly survey</x:v>
      </x:c>
      <x:c r="J133" s="44" t="str">
        <x:v>minor</x:v>
      </x:c>
    </x:row>
    <x:row r="134">
      <x:c r="B134" s="44" t="str">
        <x:v>TC-128</x:v>
      </x:c>
      <x:c r="C134" s="44" t="str">
        <x:v>BL-Y-TS-08</x:v>
      </x:c>
      <x:c r="D134" s="44" t="str">
        <x:v>BL-Y</x:v>
      </x:c>
      <x:c r="E134" s="44" t="str">
        <x:v>measurement</x:v>
      </x:c>
      <x:c r="F134" s="61" t="n">
        <x:v>0.065</x:v>
      </x:c>
      <x:c r="G134" s="61" t="str">
        <x:v>mm</x:v>
      </x:c>
      <x:c r="H134" s="61" t="n">
        <x:f>F134^2</x:f>
        <x:v>0.0042250000000000005</x:v>
      </x:c>
      <x:c r="I134" s="44" t="str">
        <x:v>independent metrology</x:v>
      </x:c>
      <x:c r="J134" s="44" t="str">
        <x:v>minor</x:v>
      </x:c>
    </x:row>
    <x:row r="135">
      <x:c r="B135" s="44" t="str">
        <x:v>TC-129</x:v>
      </x:c>
      <x:c r="C135" s="44" t="str">
        <x:v>BL-Y-TS-09</x:v>
      </x:c>
      <x:c r="D135" s="44" t="str">
        <x:v>BL-Y</x:v>
      </x:c>
      <x:c r="E135" s="44" t="str">
        <x:v>material</x:v>
      </x:c>
      <x:c r="F135" s="61" t="n">
        <x:v>0.055</x:v>
      </x:c>
      <x:c r="G135" s="61" t="str">
        <x:v>deg</x:v>
      </x:c>
      <x:c r="H135" s="61" t="n">
        <x:f>F135^2</x:f>
        <x:v>0.003025</x:v>
      </x:c>
      <x:c r="I135" s="44" t="str">
        <x:v>receipt map</x:v>
      </x:c>
      <x:c r="J135" s="44" t="str">
        <x:v>major</x:v>
      </x:c>
    </x:row>
    <x:row r="136">
      <x:c r="B136" s="44" t="str">
        <x:v>TC-130</x:v>
      </x:c>
      <x:c r="C136" s="44" t="str">
        <x:v>BL-Y-TS-09</x:v>
      </x:c>
      <x:c r="D136" s="44" t="str">
        <x:v>BL-Y</x:v>
      </x:c>
      <x:c r="E136" s="44" t="str">
        <x:v>process</x:v>
      </x:c>
      <x:c r="F136" s="61" t="n">
        <x:v>0.055</x:v>
      </x:c>
      <x:c r="G136" s="61" t="str">
        <x:v>deg</x:v>
      </x:c>
      <x:c r="H136" s="61" t="n">
        <x:f>F136^2</x:f>
        <x:v>0.003025</x:v>
      </x:c>
      <x:c r="I136" s="44" t="str">
        <x:v>in-process record</x:v>
      </x:c>
      <x:c r="J136" s="44" t="str">
        <x:v>major</x:v>
      </x:c>
    </x:row>
    <x:row r="137">
      <x:c r="B137" s="44" t="str">
        <x:v>TC-131</x:v>
      </x:c>
      <x:c r="C137" s="44" t="str">
        <x:v>BL-Y-TS-09</x:v>
      </x:c>
      <x:c r="D137" s="44" t="str">
        <x:v>BL-Y</x:v>
      </x:c>
      <x:c r="E137" s="44" t="str">
        <x:v>assembly</x:v>
      </x:c>
      <x:c r="F137" s="61" t="n">
        <x:v>0.055</x:v>
      </x:c>
      <x:c r="G137" s="61" t="str">
        <x:v>deg</x:v>
      </x:c>
      <x:c r="H137" s="61" t="n">
        <x:f>F137^2</x:f>
        <x:v>0.003025</x:v>
      </x:c>
      <x:c r="I137" s="44" t="str">
        <x:v>assembly survey</x:v>
      </x:c>
      <x:c r="J137" s="44" t="str">
        <x:v>minor</x:v>
      </x:c>
    </x:row>
    <x:row r="138">
      <x:c r="B138" s="44" t="str">
        <x:v>TC-132</x:v>
      </x:c>
      <x:c r="C138" s="44" t="str">
        <x:v>BL-Y-TS-09</x:v>
      </x:c>
      <x:c r="D138" s="44" t="str">
        <x:v>BL-Y</x:v>
      </x:c>
      <x:c r="E138" s="44" t="str">
        <x:v>measurement</x:v>
      </x:c>
      <x:c r="F138" s="61" t="n">
        <x:v>0.055</x:v>
      </x:c>
      <x:c r="G138" s="61" t="str">
        <x:v>deg</x:v>
      </x:c>
      <x:c r="H138" s="61" t="n">
        <x:f>F138^2</x:f>
        <x:v>0.003025</x:v>
      </x:c>
      <x:c r="I138" s="44" t="str">
        <x:v>independent metrology</x:v>
      </x:c>
      <x:c r="J138" s="44" t="str">
        <x:v>minor</x:v>
      </x:c>
    </x:row>
    <x:row r="139">
      <x:c r="B139" s="44" t="str">
        <x:v>TC-133</x:v>
      </x:c>
      <x:c r="C139" s="44" t="str">
        <x:v>BL-Y-TS-10</x:v>
      </x:c>
      <x:c r="D139" s="44" t="str">
        <x:v>BL-Y</x:v>
      </x:c>
      <x:c r="E139" s="44" t="str">
        <x:v>material</x:v>
      </x:c>
      <x:c r="F139" s="61" t="n">
        <x:v>0.045</x:v>
      </x:c>
      <x:c r="G139" s="61" t="str">
        <x:v>mm</x:v>
      </x:c>
      <x:c r="H139" s="61" t="n">
        <x:f>F139^2</x:f>
        <x:v>0.002025</x:v>
      </x:c>
      <x:c r="I139" s="44" t="str">
        <x:v>receipt map</x:v>
      </x:c>
      <x:c r="J139" s="44" t="str">
        <x:v>major</x:v>
      </x:c>
    </x:row>
    <x:row r="140">
      <x:c r="B140" s="44" t="str">
        <x:v>TC-134</x:v>
      </x:c>
      <x:c r="C140" s="44" t="str">
        <x:v>BL-Y-TS-10</x:v>
      </x:c>
      <x:c r="D140" s="44" t="str">
        <x:v>BL-Y</x:v>
      </x:c>
      <x:c r="E140" s="44" t="str">
        <x:v>process</x:v>
      </x:c>
      <x:c r="F140" s="61" t="n">
        <x:v>0.045</x:v>
      </x:c>
      <x:c r="G140" s="61" t="str">
        <x:v>mm</x:v>
      </x:c>
      <x:c r="H140" s="61" t="n">
        <x:f>F140^2</x:f>
        <x:v>0.002025</x:v>
      </x:c>
      <x:c r="I140" s="44" t="str">
        <x:v>in-process record</x:v>
      </x:c>
      <x:c r="J140" s="44" t="str">
        <x:v>major</x:v>
      </x:c>
    </x:row>
    <x:row r="141">
      <x:c r="B141" s="44" t="str">
        <x:v>TC-135</x:v>
      </x:c>
      <x:c r="C141" s="44" t="str">
        <x:v>BL-Y-TS-10</x:v>
      </x:c>
      <x:c r="D141" s="44" t="str">
        <x:v>BL-Y</x:v>
      </x:c>
      <x:c r="E141" s="44" t="str">
        <x:v>assembly</x:v>
      </x:c>
      <x:c r="F141" s="61" t="n">
        <x:v>0.045</x:v>
      </x:c>
      <x:c r="G141" s="61" t="str">
        <x:v>mm</x:v>
      </x:c>
      <x:c r="H141" s="61" t="n">
        <x:f>F141^2</x:f>
        <x:v>0.002025</x:v>
      </x:c>
      <x:c r="I141" s="44" t="str">
        <x:v>assembly survey</x:v>
      </x:c>
      <x:c r="J141" s="44" t="str">
        <x:v>minor</x:v>
      </x:c>
    </x:row>
    <x:row r="142">
      <x:c r="B142" s="44" t="str">
        <x:v>TC-136</x:v>
      </x:c>
      <x:c r="C142" s="44" t="str">
        <x:v>BL-Y-TS-10</x:v>
      </x:c>
      <x:c r="D142" s="44" t="str">
        <x:v>BL-Y</x:v>
      </x:c>
      <x:c r="E142" s="44" t="str">
        <x:v>measurement</x:v>
      </x:c>
      <x:c r="F142" s="61" t="n">
        <x:v>0.045</x:v>
      </x:c>
      <x:c r="G142" s="61" t="str">
        <x:v>mm</x:v>
      </x:c>
      <x:c r="H142" s="61" t="n">
        <x:f>F142^2</x:f>
        <x:v>0.002025</x:v>
      </x:c>
      <x:c r="I142" s="44" t="str">
        <x:v>independent metrology</x:v>
      </x:c>
      <x:c r="J142" s="44" t="str">
        <x:v>minor</x:v>
      </x:c>
    </x:row>
    <x:row r="143">
      <x:c r="B143" s="44" t="str">
        <x:v>TC-137</x:v>
      </x:c>
      <x:c r="C143" s="44" t="str">
        <x:v>BL-Y-TS-11</x:v>
      </x:c>
      <x:c r="D143" s="44" t="str">
        <x:v>BL-Y</x:v>
      </x:c>
      <x:c r="E143" s="44" t="str">
        <x:v>material</x:v>
      </x:c>
      <x:c r="F143" s="61" t="n">
        <x:v>0.022</x:v>
      </x:c>
      <x:c r="G143" s="61" t="str">
        <x:v>mm</x:v>
      </x:c>
      <x:c r="H143" s="61" t="n">
        <x:f>F143^2</x:f>
        <x:v>0.00048399999999999995</x:v>
      </x:c>
      <x:c r="I143" s="44" t="str">
        <x:v>receipt map</x:v>
      </x:c>
      <x:c r="J143" s="44" t="str">
        <x:v>major</x:v>
      </x:c>
    </x:row>
    <x:row r="144">
      <x:c r="B144" s="44" t="str">
        <x:v>TC-138</x:v>
      </x:c>
      <x:c r="C144" s="44" t="str">
        <x:v>BL-Y-TS-11</x:v>
      </x:c>
      <x:c r="D144" s="44" t="str">
        <x:v>BL-Y</x:v>
      </x:c>
      <x:c r="E144" s="44" t="str">
        <x:v>process</x:v>
      </x:c>
      <x:c r="F144" s="61" t="n">
        <x:v>0.022</x:v>
      </x:c>
      <x:c r="G144" s="61" t="str">
        <x:v>mm</x:v>
      </x:c>
      <x:c r="H144" s="61" t="n">
        <x:f>F144^2</x:f>
        <x:v>0.00048399999999999995</x:v>
      </x:c>
      <x:c r="I144" s="44" t="str">
        <x:v>in-process record</x:v>
      </x:c>
      <x:c r="J144" s="44" t="str">
        <x:v>major</x:v>
      </x:c>
    </x:row>
    <x:row r="145">
      <x:c r="B145" s="44" t="str">
        <x:v>TC-139</x:v>
      </x:c>
      <x:c r="C145" s="44" t="str">
        <x:v>BL-Y-TS-11</x:v>
      </x:c>
      <x:c r="D145" s="44" t="str">
        <x:v>BL-Y</x:v>
      </x:c>
      <x:c r="E145" s="44" t="str">
        <x:v>assembly</x:v>
      </x:c>
      <x:c r="F145" s="61" t="n">
        <x:v>0.022</x:v>
      </x:c>
      <x:c r="G145" s="61" t="str">
        <x:v>mm</x:v>
      </x:c>
      <x:c r="H145" s="61" t="n">
        <x:f>F145^2</x:f>
        <x:v>0.00048399999999999995</x:v>
      </x:c>
      <x:c r="I145" s="44" t="str">
        <x:v>assembly survey</x:v>
      </x:c>
      <x:c r="J145" s="44" t="str">
        <x:v>minor</x:v>
      </x:c>
    </x:row>
    <x:row r="146">
      <x:c r="B146" s="44" t="str">
        <x:v>TC-140</x:v>
      </x:c>
      <x:c r="C146" s="44" t="str">
        <x:v>BL-Y-TS-11</x:v>
      </x:c>
      <x:c r="D146" s="44" t="str">
        <x:v>BL-Y</x:v>
      </x:c>
      <x:c r="E146" s="44" t="str">
        <x:v>measurement</x:v>
      </x:c>
      <x:c r="F146" s="61" t="n">
        <x:v>0.022</x:v>
      </x:c>
      <x:c r="G146" s="61" t="str">
        <x:v>mm</x:v>
      </x:c>
      <x:c r="H146" s="61" t="n">
        <x:f>F146^2</x:f>
        <x:v>0.00048399999999999995</x:v>
      </x:c>
      <x:c r="I146" s="44" t="str">
        <x:v>independent metrology</x:v>
      </x:c>
      <x:c r="J146" s="44" t="str">
        <x:v>minor</x:v>
      </x:c>
    </x:row>
    <x:row r="147">
      <x:c r="B147" s="44" t="str">
        <x:v>TC-141</x:v>
      </x:c>
      <x:c r="C147" s="44" t="str">
        <x:v>BL-Y-TS-12</x:v>
      </x:c>
      <x:c r="D147" s="44" t="str">
        <x:v>BL-Y</x:v>
      </x:c>
      <x:c r="E147" s="44" t="str">
        <x:v>material</x:v>
      </x:c>
      <x:c r="F147" s="61" t="n">
        <x:v>55</x:v>
      </x:c>
      <x:c r="G147" s="61" t="str">
        <x:v>mL</x:v>
      </x:c>
      <x:c r="H147" s="61" t="n">
        <x:f>F147^2</x:f>
        <x:v>3025</x:v>
      </x:c>
      <x:c r="I147" s="44" t="str">
        <x:v>receipt map</x:v>
      </x:c>
      <x:c r="J147" s="44" t="str">
        <x:v>major</x:v>
      </x:c>
    </x:row>
    <x:row r="148">
      <x:c r="B148" s="44" t="str">
        <x:v>TC-142</x:v>
      </x:c>
      <x:c r="C148" s="44" t="str">
        <x:v>BL-Y-TS-12</x:v>
      </x:c>
      <x:c r="D148" s="44" t="str">
        <x:v>BL-Y</x:v>
      </x:c>
      <x:c r="E148" s="44" t="str">
        <x:v>process</x:v>
      </x:c>
      <x:c r="F148" s="61" t="n">
        <x:v>55</x:v>
      </x:c>
      <x:c r="G148" s="61" t="str">
        <x:v>mL</x:v>
      </x:c>
      <x:c r="H148" s="61" t="n">
        <x:f>F148^2</x:f>
        <x:v>3025</x:v>
      </x:c>
      <x:c r="I148" s="44" t="str">
        <x:v>in-process record</x:v>
      </x:c>
      <x:c r="J148" s="44" t="str">
        <x:v>major</x:v>
      </x:c>
    </x:row>
    <x:row r="149">
      <x:c r="B149" s="44" t="str">
        <x:v>TC-143</x:v>
      </x:c>
      <x:c r="C149" s="44" t="str">
        <x:v>BL-Y-TS-12</x:v>
      </x:c>
      <x:c r="D149" s="44" t="str">
        <x:v>BL-Y</x:v>
      </x:c>
      <x:c r="E149" s="44" t="str">
        <x:v>assembly</x:v>
      </x:c>
      <x:c r="F149" s="61" t="n">
        <x:v>55</x:v>
      </x:c>
      <x:c r="G149" s="61" t="str">
        <x:v>mL</x:v>
      </x:c>
      <x:c r="H149" s="61" t="n">
        <x:f>F149^2</x:f>
        <x:v>3025</x:v>
      </x:c>
      <x:c r="I149" s="44" t="str">
        <x:v>assembly survey</x:v>
      </x:c>
      <x:c r="J149" s="44" t="str">
        <x:v>minor</x:v>
      </x:c>
    </x:row>
    <x:row r="150">
      <x:c r="B150" s="44" t="str">
        <x:v>TC-144</x:v>
      </x:c>
      <x:c r="C150" s="44" t="str">
        <x:v>BL-Y-TS-12</x:v>
      </x:c>
      <x:c r="D150" s="44" t="str">
        <x:v>BL-Y</x:v>
      </x:c>
      <x:c r="E150" s="44" t="str">
        <x:v>measurement</x:v>
      </x:c>
      <x:c r="F150" s="61" t="n">
        <x:v>55</x:v>
      </x:c>
      <x:c r="G150" s="61" t="str">
        <x:v>mL</x:v>
      </x:c>
      <x:c r="H150" s="61" t="n">
        <x:f>F150^2</x:f>
        <x:v>3025</x:v>
      </x:c>
      <x:c r="I150" s="44" t="str">
        <x:v>independent metrology</x:v>
      </x:c>
      <x:c r="J150" s="44" t="str">
        <x:v>minor</x:v>
      </x:c>
    </x:row>
    <x:row r="151">
      <x:c r="B151" s="44" t="str">
        <x:v>TC-145</x:v>
      </x:c>
      <x:c r="C151" s="44" t="str">
        <x:v>BL-Y-TS-13</x:v>
      </x:c>
      <x:c r="D151" s="44" t="str">
        <x:v>BL-Y</x:v>
      </x:c>
      <x:c r="E151" s="44" t="str">
        <x:v>material</x:v>
      </x:c>
      <x:c r="F151" s="61" t="n">
        <x:v>0.22</x:v>
      </x:c>
      <x:c r="G151" s="61" t="str">
        <x:v>mm</x:v>
      </x:c>
      <x:c r="H151" s="61" t="n">
        <x:f>F151^2</x:f>
        <x:v>0.0484</x:v>
      </x:c>
      <x:c r="I151" s="44" t="str">
        <x:v>receipt map</x:v>
      </x:c>
      <x:c r="J151" s="44" t="str">
        <x:v>major</x:v>
      </x:c>
    </x:row>
    <x:row r="152">
      <x:c r="B152" s="44" t="str">
        <x:v>TC-146</x:v>
      </x:c>
      <x:c r="C152" s="44" t="str">
        <x:v>BL-Y-TS-13</x:v>
      </x:c>
      <x:c r="D152" s="44" t="str">
        <x:v>BL-Y</x:v>
      </x:c>
      <x:c r="E152" s="44" t="str">
        <x:v>process</x:v>
      </x:c>
      <x:c r="F152" s="61" t="n">
        <x:v>0.22</x:v>
      </x:c>
      <x:c r="G152" s="61" t="str">
        <x:v>mm</x:v>
      </x:c>
      <x:c r="H152" s="61" t="n">
        <x:f>F152^2</x:f>
        <x:v>0.0484</x:v>
      </x:c>
      <x:c r="I152" s="44" t="str">
        <x:v>in-process record</x:v>
      </x:c>
      <x:c r="J152" s="44" t="str">
        <x:v>major</x:v>
      </x:c>
    </x:row>
    <x:row r="153">
      <x:c r="B153" s="44" t="str">
        <x:v>TC-147</x:v>
      </x:c>
      <x:c r="C153" s="44" t="str">
        <x:v>BL-Y-TS-13</x:v>
      </x:c>
      <x:c r="D153" s="44" t="str">
        <x:v>BL-Y</x:v>
      </x:c>
      <x:c r="E153" s="44" t="str">
        <x:v>assembly</x:v>
      </x:c>
      <x:c r="F153" s="61" t="n">
        <x:v>0.22</x:v>
      </x:c>
      <x:c r="G153" s="61" t="str">
        <x:v>mm</x:v>
      </x:c>
      <x:c r="H153" s="61" t="n">
        <x:f>F153^2</x:f>
        <x:v>0.0484</x:v>
      </x:c>
      <x:c r="I153" s="44" t="str">
        <x:v>assembly survey</x:v>
      </x:c>
      <x:c r="J153" s="44" t="str">
        <x:v>minor</x:v>
      </x:c>
    </x:row>
    <x:row r="154">
      <x:c r="B154" s="44" t="str">
        <x:v>TC-148</x:v>
      </x:c>
      <x:c r="C154" s="44" t="str">
        <x:v>BL-Y-TS-13</x:v>
      </x:c>
      <x:c r="D154" s="44" t="str">
        <x:v>BL-Y</x:v>
      </x:c>
      <x:c r="E154" s="44" t="str">
        <x:v>measurement</x:v>
      </x:c>
      <x:c r="F154" s="61" t="n">
        <x:v>0.22</x:v>
      </x:c>
      <x:c r="G154" s="61" t="str">
        <x:v>mm</x:v>
      </x:c>
      <x:c r="H154" s="61" t="n">
        <x:f>F154^2</x:f>
        <x:v>0.0484</x:v>
      </x:c>
      <x:c r="I154" s="44" t="str">
        <x:v>independent metrology</x:v>
      </x:c>
      <x:c r="J154" s="44" t="str">
        <x:v>minor</x:v>
      </x:c>
    </x:row>
    <x:row r="155">
      <x:c r="B155" s="44" t="str">
        <x:v>TC-149</x:v>
      </x:c>
      <x:c r="C155" s="44" t="str">
        <x:v>BL-Y-TS-14</x:v>
      </x:c>
      <x:c r="D155" s="44" t="str">
        <x:v>BL-Y</x:v>
      </x:c>
      <x:c r="E155" s="44" t="str">
        <x:v>material</x:v>
      </x:c>
      <x:c r="F155" s="61" t="n">
        <x:v>0.022</x:v>
      </x:c>
      <x:c r="G155" s="61" t="str">
        <x:v>deg</x:v>
      </x:c>
      <x:c r="H155" s="61" t="n">
        <x:f>F155^2</x:f>
        <x:v>0.00048399999999999995</x:v>
      </x:c>
      <x:c r="I155" s="44" t="str">
        <x:v>receipt map</x:v>
      </x:c>
      <x:c r="J155" s="44" t="str">
        <x:v>major</x:v>
      </x:c>
    </x:row>
    <x:row r="156">
      <x:c r="B156" s="44" t="str">
        <x:v>TC-150</x:v>
      </x:c>
      <x:c r="C156" s="44" t="str">
        <x:v>BL-Y-TS-14</x:v>
      </x:c>
      <x:c r="D156" s="44" t="str">
        <x:v>BL-Y</x:v>
      </x:c>
      <x:c r="E156" s="44" t="str">
        <x:v>process</x:v>
      </x:c>
      <x:c r="F156" s="61" t="n">
        <x:v>0.022</x:v>
      </x:c>
      <x:c r="G156" s="61" t="str">
        <x:v>deg</x:v>
      </x:c>
      <x:c r="H156" s="61" t="n">
        <x:f>F156^2</x:f>
        <x:v>0.00048399999999999995</x:v>
      </x:c>
      <x:c r="I156" s="44" t="str">
        <x:v>in-process record</x:v>
      </x:c>
      <x:c r="J156" s="44" t="str">
        <x:v>major</x:v>
      </x:c>
    </x:row>
    <x:row r="157">
      <x:c r="B157" s="44" t="str">
        <x:v>TC-151</x:v>
      </x:c>
      <x:c r="C157" s="44" t="str">
        <x:v>BL-Y-TS-14</x:v>
      </x:c>
      <x:c r="D157" s="44" t="str">
        <x:v>BL-Y</x:v>
      </x:c>
      <x:c r="E157" s="44" t="str">
        <x:v>assembly</x:v>
      </x:c>
      <x:c r="F157" s="61" t="n">
        <x:v>0.022</x:v>
      </x:c>
      <x:c r="G157" s="61" t="str">
        <x:v>deg</x:v>
      </x:c>
      <x:c r="H157" s="61" t="n">
        <x:f>F157^2</x:f>
        <x:v>0.00048399999999999995</x:v>
      </x:c>
      <x:c r="I157" s="44" t="str">
        <x:v>assembly survey</x:v>
      </x:c>
      <x:c r="J157" s="44" t="str">
        <x:v>minor</x:v>
      </x:c>
    </x:row>
    <x:row r="158">
      <x:c r="B158" s="44" t="str">
        <x:v>TC-152</x:v>
      </x:c>
      <x:c r="C158" s="44" t="str">
        <x:v>BL-Y-TS-14</x:v>
      </x:c>
      <x:c r="D158" s="44" t="str">
        <x:v>BL-Y</x:v>
      </x:c>
      <x:c r="E158" s="44" t="str">
        <x:v>measurement</x:v>
      </x:c>
      <x:c r="F158" s="61" t="n">
        <x:v>0.022</x:v>
      </x:c>
      <x:c r="G158" s="61" t="str">
        <x:v>deg</x:v>
      </x:c>
      <x:c r="H158" s="61" t="n">
        <x:f>F158^2</x:f>
        <x:v>0.00048399999999999995</x:v>
      </x:c>
      <x:c r="I158" s="44" t="str">
        <x:v>independent metrology</x:v>
      </x:c>
      <x:c r="J158" s="44" t="str">
        <x:v>minor</x:v>
      </x:c>
    </x:row>
    <x:row r="159">
      <x:c r="B159" s="44" t="str">
        <x:v>TC-153</x:v>
      </x:c>
      <x:c r="C159" s="44" t="str">
        <x:v>BL-Y-TS-15</x:v>
      </x:c>
      <x:c r="D159" s="44" t="str">
        <x:v>BL-Y</x:v>
      </x:c>
      <x:c r="E159" s="44" t="str">
        <x:v>material</x:v>
      </x:c>
      <x:c r="F159" s="61" t="n">
        <x:v>0.22</x:v>
      </x:c>
      <x:c r="G159" s="61" t="str">
        <x:v>mm</x:v>
      </x:c>
      <x:c r="H159" s="61" t="n">
        <x:f>F159^2</x:f>
        <x:v>0.0484</x:v>
      </x:c>
      <x:c r="I159" s="44" t="str">
        <x:v>receipt map</x:v>
      </x:c>
      <x:c r="J159" s="44" t="str">
        <x:v>major</x:v>
      </x:c>
    </x:row>
    <x:row r="160">
      <x:c r="B160" s="44" t="str">
        <x:v>TC-154</x:v>
      </x:c>
      <x:c r="C160" s="44" t="str">
        <x:v>BL-Y-TS-15</x:v>
      </x:c>
      <x:c r="D160" s="44" t="str">
        <x:v>BL-Y</x:v>
      </x:c>
      <x:c r="E160" s="44" t="str">
        <x:v>process</x:v>
      </x:c>
      <x:c r="F160" s="61" t="n">
        <x:v>0.22</x:v>
      </x:c>
      <x:c r="G160" s="61" t="str">
        <x:v>mm</x:v>
      </x:c>
      <x:c r="H160" s="61" t="n">
        <x:f>F160^2</x:f>
        <x:v>0.0484</x:v>
      </x:c>
      <x:c r="I160" s="44" t="str">
        <x:v>in-process record</x:v>
      </x:c>
      <x:c r="J160" s="44" t="str">
        <x:v>major</x:v>
      </x:c>
    </x:row>
    <x:row r="161">
      <x:c r="B161" s="44" t="str">
        <x:v>TC-155</x:v>
      </x:c>
      <x:c r="C161" s="44" t="str">
        <x:v>BL-Y-TS-15</x:v>
      </x:c>
      <x:c r="D161" s="44" t="str">
        <x:v>BL-Y</x:v>
      </x:c>
      <x:c r="E161" s="44" t="str">
        <x:v>assembly</x:v>
      </x:c>
      <x:c r="F161" s="61" t="n">
        <x:v>0.2</x:v>
      </x:c>
      <x:c r="G161" s="61" t="str">
        <x:v>mm</x:v>
      </x:c>
      <x:c r="H161" s="61" t="n">
        <x:f>F161^2</x:f>
        <x:v>0.04000000000000001</x:v>
      </x:c>
      <x:c r="I161" s="44" t="str">
        <x:v>assembly survey</x:v>
      </x:c>
      <x:c r="J161" s="44" t="str">
        <x:v>minor</x:v>
      </x:c>
    </x:row>
    <x:row r="162">
      <x:c r="B162" s="44" t="str">
        <x:v>TC-156</x:v>
      </x:c>
      <x:c r="C162" s="44" t="str">
        <x:v>BL-Y-TS-15</x:v>
      </x:c>
      <x:c r="D162" s="44" t="str">
        <x:v>BL-Y</x:v>
      </x:c>
      <x:c r="E162" s="44" t="str">
        <x:v>measurement</x:v>
      </x:c>
      <x:c r="F162" s="61" t="n">
        <x:v>0.18</x:v>
      </x:c>
      <x:c r="G162" s="61" t="str">
        <x:v>mm</x:v>
      </x:c>
      <x:c r="H162" s="61" t="n">
        <x:f>F162^2</x:f>
        <x:v>0.0324</x:v>
      </x:c>
      <x:c r="I162" s="44" t="str">
        <x:v>independent metrology</x:v>
      </x:c>
      <x:c r="J162" s="44" t="str">
        <x:v>minor</x:v>
      </x:c>
    </x:row>
    <x:row r="163">
      <x:c r="B163" s="44" t="str">
        <x:v>TC-157</x:v>
      </x:c>
      <x:c r="C163" s="44" t="str">
        <x:v>BL-Y-TS-16</x:v>
      </x:c>
      <x:c r="D163" s="44" t="str">
        <x:v>BL-Y</x:v>
      </x:c>
      <x:c r="E163" s="44" t="str">
        <x:v>material</x:v>
      </x:c>
      <x:c r="F163" s="61" t="n">
        <x:v>0.055</x:v>
      </x:c>
      <x:c r="G163" s="61" t="str">
        <x:v>deg</x:v>
      </x:c>
      <x:c r="H163" s="61" t="n">
        <x:f>F163^2</x:f>
        <x:v>0.003025</x:v>
      </x:c>
      <x:c r="I163" s="44" t="str">
        <x:v>receipt map</x:v>
      </x:c>
      <x:c r="J163" s="44" t="str">
        <x:v>major</x:v>
      </x:c>
    </x:row>
    <x:row r="164">
      <x:c r="B164" s="44" t="str">
        <x:v>TC-158</x:v>
      </x:c>
      <x:c r="C164" s="44" t="str">
        <x:v>BL-Y-TS-16</x:v>
      </x:c>
      <x:c r="D164" s="44" t="str">
        <x:v>BL-Y</x:v>
      </x:c>
      <x:c r="E164" s="44" t="str">
        <x:v>process</x:v>
      </x:c>
      <x:c r="F164" s="61" t="n">
        <x:v>0.055</x:v>
      </x:c>
      <x:c r="G164" s="61" t="str">
        <x:v>deg</x:v>
      </x:c>
      <x:c r="H164" s="61" t="n">
        <x:f>F164^2</x:f>
        <x:v>0.003025</x:v>
      </x:c>
      <x:c r="I164" s="44" t="str">
        <x:v>in-process record</x:v>
      </x:c>
      <x:c r="J164" s="44" t="str">
        <x:v>major</x:v>
      </x:c>
    </x:row>
    <x:row r="165">
      <x:c r="B165" s="44" t="str">
        <x:v>TC-159</x:v>
      </x:c>
      <x:c r="C165" s="44" t="str">
        <x:v>BL-Y-TS-16</x:v>
      </x:c>
      <x:c r="D165" s="44" t="str">
        <x:v>BL-Y</x:v>
      </x:c>
      <x:c r="E165" s="44" t="str">
        <x:v>assembly</x:v>
      </x:c>
      <x:c r="F165" s="61" t="n">
        <x:v>0.055</x:v>
      </x:c>
      <x:c r="G165" s="61" t="str">
        <x:v>deg</x:v>
      </x:c>
      <x:c r="H165" s="61" t="n">
        <x:f>F165^2</x:f>
        <x:v>0.003025</x:v>
      </x:c>
      <x:c r="I165" s="44" t="str">
        <x:v>assembly survey</x:v>
      </x:c>
      <x:c r="J165" s="44" t="str">
        <x:v>minor</x:v>
      </x:c>
    </x:row>
    <x:row r="166">
      <x:c r="B166" s="44" t="str">
        <x:v>TC-160</x:v>
      </x:c>
      <x:c r="C166" s="44" t="str">
        <x:v>BL-Y-TS-16</x:v>
      </x:c>
      <x:c r="D166" s="44" t="str">
        <x:v>BL-Y</x:v>
      </x:c>
      <x:c r="E166" s="44" t="str">
        <x:v>measurement</x:v>
      </x:c>
      <x:c r="F166" s="61" t="n">
        <x:v>0.055</x:v>
      </x:c>
      <x:c r="G166" s="61" t="str">
        <x:v>deg</x:v>
      </x:c>
      <x:c r="H166" s="61" t="n">
        <x:f>F166^2</x:f>
        <x:v>0.003025</x:v>
      </x:c>
      <x:c r="I166" s="44" t="str">
        <x:v>independent metrology</x:v>
      </x:c>
      <x:c r="J166" s="44" t="str">
        <x:v>minor</x:v>
      </x:c>
    </x:row>
    <x:row r="167">
      <x:c r="B167" s="44" t="str">
        <x:v>TC-161</x:v>
      </x:c>
      <x:c r="C167" s="44" t="str">
        <x:v>BL-Y-TS-17</x:v>
      </x:c>
      <x:c r="D167" s="44" t="str">
        <x:v>BL-Y</x:v>
      </x:c>
      <x:c r="E167" s="44" t="str">
        <x:v>material</x:v>
      </x:c>
      <x:c r="F167" s="61" t="n">
        <x:v>0.045</x:v>
      </x:c>
      <x:c r="G167" s="61" t="str">
        <x:v>mm</x:v>
      </x:c>
      <x:c r="H167" s="61" t="n">
        <x:f>F167^2</x:f>
        <x:v>0.002025</x:v>
      </x:c>
      <x:c r="I167" s="44" t="str">
        <x:v>receipt map</x:v>
      </x:c>
      <x:c r="J167" s="44" t="str">
        <x:v>major</x:v>
      </x:c>
    </x:row>
    <x:row r="168">
      <x:c r="B168" s="44" t="str">
        <x:v>TC-162</x:v>
      </x:c>
      <x:c r="C168" s="44" t="str">
        <x:v>BL-Y-TS-17</x:v>
      </x:c>
      <x:c r="D168" s="44" t="str">
        <x:v>BL-Y</x:v>
      </x:c>
      <x:c r="E168" s="44" t="str">
        <x:v>process</x:v>
      </x:c>
      <x:c r="F168" s="61" t="n">
        <x:v>0.045</x:v>
      </x:c>
      <x:c r="G168" s="61" t="str">
        <x:v>mm</x:v>
      </x:c>
      <x:c r="H168" s="61" t="n">
        <x:f>F168^2</x:f>
        <x:v>0.002025</x:v>
      </x:c>
      <x:c r="I168" s="44" t="str">
        <x:v>in-process record</x:v>
      </x:c>
      <x:c r="J168" s="44" t="str">
        <x:v>major</x:v>
      </x:c>
    </x:row>
    <x:row r="169">
      <x:c r="B169" s="44" t="str">
        <x:v>TC-163</x:v>
      </x:c>
      <x:c r="C169" s="44" t="str">
        <x:v>BL-Y-TS-17</x:v>
      </x:c>
      <x:c r="D169" s="44" t="str">
        <x:v>BL-Y</x:v>
      </x:c>
      <x:c r="E169" s="44" t="str">
        <x:v>assembly</x:v>
      </x:c>
      <x:c r="F169" s="61" t="n">
        <x:v>0.045</x:v>
      </x:c>
      <x:c r="G169" s="61" t="str">
        <x:v>mm</x:v>
      </x:c>
      <x:c r="H169" s="61" t="n">
        <x:f>F169^2</x:f>
        <x:v>0.002025</x:v>
      </x:c>
      <x:c r="I169" s="44" t="str">
        <x:v>assembly survey</x:v>
      </x:c>
      <x:c r="J169" s="44" t="str">
        <x:v>minor</x:v>
      </x:c>
    </x:row>
    <x:row r="170">
      <x:c r="B170" s="44" t="str">
        <x:v>TC-164</x:v>
      </x:c>
      <x:c r="C170" s="44" t="str">
        <x:v>BL-Y-TS-17</x:v>
      </x:c>
      <x:c r="D170" s="44" t="str">
        <x:v>BL-Y</x:v>
      </x:c>
      <x:c r="E170" s="44" t="str">
        <x:v>measurement</x:v>
      </x:c>
      <x:c r="F170" s="61" t="n">
        <x:v>0.045</x:v>
      </x:c>
      <x:c r="G170" s="61" t="str">
        <x:v>mm</x:v>
      </x:c>
      <x:c r="H170" s="61" t="n">
        <x:f>F170^2</x:f>
        <x:v>0.002025</x:v>
      </x:c>
      <x:c r="I170" s="44" t="str">
        <x:v>independent metrology</x:v>
      </x:c>
      <x:c r="J170" s="44" t="str">
        <x:v>minor</x:v>
      </x:c>
    </x:row>
    <x:row r="171">
      <x:c r="B171" s="44" t="str">
        <x:v>TC-165</x:v>
      </x:c>
      <x:c r="C171" s="44" t="str">
        <x:v>BL-Y-TS-18</x:v>
      </x:c>
      <x:c r="D171" s="44" t="str">
        <x:v>BL-Y</x:v>
      </x:c>
      <x:c r="E171" s="44" t="str">
        <x:v>material</x:v>
      </x:c>
      <x:c r="F171" s="61" t="n">
        <x:v>0.032</x:v>
      </x:c>
      <x:c r="G171" s="61" t="str">
        <x:v>mm</x:v>
      </x:c>
      <x:c r="H171" s="61" t="n">
        <x:f>F171^2</x:f>
        <x:v>0.001024</x:v>
      </x:c>
      <x:c r="I171" s="44" t="str">
        <x:v>receipt map</x:v>
      </x:c>
      <x:c r="J171" s="44" t="str">
        <x:v>major</x:v>
      </x:c>
    </x:row>
    <x:row r="172">
      <x:c r="B172" s="44" t="str">
        <x:v>TC-166</x:v>
      </x:c>
      <x:c r="C172" s="44" t="str">
        <x:v>BL-Y-TS-18</x:v>
      </x:c>
      <x:c r="D172" s="44" t="str">
        <x:v>BL-Y</x:v>
      </x:c>
      <x:c r="E172" s="44" t="str">
        <x:v>process</x:v>
      </x:c>
      <x:c r="F172" s="61" t="n">
        <x:v>0.032</x:v>
      </x:c>
      <x:c r="G172" s="61" t="str">
        <x:v>mm</x:v>
      </x:c>
      <x:c r="H172" s="61" t="n">
        <x:f>F172^2</x:f>
        <x:v>0.001024</x:v>
      </x:c>
      <x:c r="I172" s="44" t="str">
        <x:v>in-process record</x:v>
      </x:c>
      <x:c r="J172" s="44" t="str">
        <x:v>major</x:v>
      </x:c>
    </x:row>
    <x:row r="173">
      <x:c r="B173" s="44" t="str">
        <x:v>TC-167</x:v>
      </x:c>
      <x:c r="C173" s="44" t="str">
        <x:v>BL-Y-TS-18</x:v>
      </x:c>
      <x:c r="D173" s="44" t="str">
        <x:v>BL-Y</x:v>
      </x:c>
      <x:c r="E173" s="44" t="str">
        <x:v>assembly</x:v>
      </x:c>
      <x:c r="F173" s="61" t="n">
        <x:v>0.032</x:v>
      </x:c>
      <x:c r="G173" s="61" t="str">
        <x:v>mm</x:v>
      </x:c>
      <x:c r="H173" s="61" t="n">
        <x:f>F173^2</x:f>
        <x:v>0.001024</x:v>
      </x:c>
      <x:c r="I173" s="44" t="str">
        <x:v>assembly survey</x:v>
      </x:c>
      <x:c r="J173" s="44" t="str">
        <x:v>minor</x:v>
      </x:c>
    </x:row>
    <x:row r="174">
      <x:c r="B174" s="44" t="str">
        <x:v>TC-168</x:v>
      </x:c>
      <x:c r="C174" s="44" t="str">
        <x:v>BL-Y-TS-18</x:v>
      </x:c>
      <x:c r="D174" s="44" t="str">
        <x:v>BL-Y</x:v>
      </x:c>
      <x:c r="E174" s="44" t="str">
        <x:v>measurement</x:v>
      </x:c>
      <x:c r="F174" s="61" t="n">
        <x:v>0.032</x:v>
      </x:c>
      <x:c r="G174" s="61" t="str">
        <x:v>mm</x:v>
      </x:c>
      <x:c r="H174" s="61" t="n">
        <x:f>F174^2</x:f>
        <x:v>0.001024</x:v>
      </x:c>
      <x:c r="I174" s="44" t="str">
        <x:v>independent metrology</x:v>
      </x:c>
      <x:c r="J174" s="44" t="str">
        <x:v>minor</x:v>
      </x:c>
    </x:row>
    <x:row r="175">
      <x:c r="B175" s="44" t="str">
        <x:v>TC-169</x:v>
      </x:c>
      <x:c r="C175" s="44" t="str">
        <x:v>BL-Y-TS-19</x:v>
      </x:c>
      <x:c r="D175" s="44" t="str">
        <x:v>BL-Y</x:v>
      </x:c>
      <x:c r="E175" s="44" t="str">
        <x:v>material</x:v>
      </x:c>
      <x:c r="F175" s="61" t="n">
        <x:v>0.055</x:v>
      </x:c>
      <x:c r="G175" s="61" t="str">
        <x:v>deg</x:v>
      </x:c>
      <x:c r="H175" s="61" t="n">
        <x:f>F175^2</x:f>
        <x:v>0.003025</x:v>
      </x:c>
      <x:c r="I175" s="44" t="str">
        <x:v>receipt map</x:v>
      </x:c>
      <x:c r="J175" s="44" t="str">
        <x:v>major</x:v>
      </x:c>
    </x:row>
    <x:row r="176">
      <x:c r="B176" s="44" t="str">
        <x:v>TC-170</x:v>
      </x:c>
      <x:c r="C176" s="44" t="str">
        <x:v>BL-Y-TS-19</x:v>
      </x:c>
      <x:c r="D176" s="44" t="str">
        <x:v>BL-Y</x:v>
      </x:c>
      <x:c r="E176" s="44" t="str">
        <x:v>process</x:v>
      </x:c>
      <x:c r="F176" s="61" t="n">
        <x:v>0.055</x:v>
      </x:c>
      <x:c r="G176" s="61" t="str">
        <x:v>deg</x:v>
      </x:c>
      <x:c r="H176" s="61" t="n">
        <x:f>F176^2</x:f>
        <x:v>0.003025</x:v>
      </x:c>
      <x:c r="I176" s="44" t="str">
        <x:v>in-process record</x:v>
      </x:c>
      <x:c r="J176" s="44" t="str">
        <x:v>major</x:v>
      </x:c>
    </x:row>
    <x:row r="177">
      <x:c r="B177" s="44" t="str">
        <x:v>TC-171</x:v>
      </x:c>
      <x:c r="C177" s="44" t="str">
        <x:v>BL-Y-TS-19</x:v>
      </x:c>
      <x:c r="D177" s="44" t="str">
        <x:v>BL-Y</x:v>
      </x:c>
      <x:c r="E177" s="44" t="str">
        <x:v>assembly</x:v>
      </x:c>
      <x:c r="F177" s="61" t="n">
        <x:v>0.055</x:v>
      </x:c>
      <x:c r="G177" s="61" t="str">
        <x:v>deg</x:v>
      </x:c>
      <x:c r="H177" s="61" t="n">
        <x:f>F177^2</x:f>
        <x:v>0.003025</x:v>
      </x:c>
      <x:c r="I177" s="44" t="str">
        <x:v>assembly survey</x:v>
      </x:c>
      <x:c r="J177" s="44" t="str">
        <x:v>minor</x:v>
      </x:c>
    </x:row>
    <x:row r="178">
      <x:c r="B178" s="44" t="str">
        <x:v>TC-172</x:v>
      </x:c>
      <x:c r="C178" s="44" t="str">
        <x:v>BL-Y-TS-19</x:v>
      </x:c>
      <x:c r="D178" s="44" t="str">
        <x:v>BL-Y</x:v>
      </x:c>
      <x:c r="E178" s="44" t="str">
        <x:v>measurement</x:v>
      </x:c>
      <x:c r="F178" s="61" t="n">
        <x:v>0.055</x:v>
      </x:c>
      <x:c r="G178" s="61" t="str">
        <x:v>deg</x:v>
      </x:c>
      <x:c r="H178" s="61" t="n">
        <x:f>F178^2</x:f>
        <x:v>0.003025</x:v>
      </x:c>
      <x:c r="I178" s="44" t="str">
        <x:v>independent metrology</x:v>
      </x:c>
      <x:c r="J178" s="44" t="str">
        <x:v>minor</x:v>
      </x:c>
    </x:row>
    <x:row r="179">
      <x:c r="B179" s="44" t="str">
        <x:v>TC-173</x:v>
      </x:c>
      <x:c r="C179" s="44" t="str">
        <x:v>BL-Y-TS-20</x:v>
      </x:c>
      <x:c r="D179" s="44" t="str">
        <x:v>BL-Y</x:v>
      </x:c>
      <x:c r="E179" s="44" t="str">
        <x:v>material</x:v>
      </x:c>
      <x:c r="F179" s="61" t="n">
        <x:v>5.5</x:v>
      </x:c>
      <x:c r="G179" s="61" t="str">
        <x:v>mm</x:v>
      </x:c>
      <x:c r="H179" s="61" t="n">
        <x:f>F179^2</x:f>
        <x:v>30.25</x:v>
      </x:c>
      <x:c r="I179" s="44" t="str">
        <x:v>receipt map</x:v>
      </x:c>
      <x:c r="J179" s="44" t="str">
        <x:v>major</x:v>
      </x:c>
    </x:row>
    <x:row r="180">
      <x:c r="B180" s="44" t="str">
        <x:v>TC-174</x:v>
      </x:c>
      <x:c r="C180" s="44" t="str">
        <x:v>BL-Y-TS-20</x:v>
      </x:c>
      <x:c r="D180" s="44" t="str">
        <x:v>BL-Y</x:v>
      </x:c>
      <x:c r="E180" s="44" t="str">
        <x:v>process</x:v>
      </x:c>
      <x:c r="F180" s="61" t="n">
        <x:v>5.5</x:v>
      </x:c>
      <x:c r="G180" s="61" t="str">
        <x:v>mm</x:v>
      </x:c>
      <x:c r="H180" s="61" t="n">
        <x:f>F180^2</x:f>
        <x:v>30.25</x:v>
      </x:c>
      <x:c r="I180" s="44" t="str">
        <x:v>in-process record</x:v>
      </x:c>
      <x:c r="J180" s="44" t="str">
        <x:v>major</x:v>
      </x:c>
    </x:row>
    <x:row r="181">
      <x:c r="B181" s="44" t="str">
        <x:v>TC-175</x:v>
      </x:c>
      <x:c r="C181" s="44" t="str">
        <x:v>BL-Y-TS-20</x:v>
      </x:c>
      <x:c r="D181" s="44" t="str">
        <x:v>BL-Y</x:v>
      </x:c>
      <x:c r="E181" s="44" t="str">
        <x:v>assembly</x:v>
      </x:c>
      <x:c r="F181" s="61" t="n">
        <x:v>5.5</x:v>
      </x:c>
      <x:c r="G181" s="61" t="str">
        <x:v>mm</x:v>
      </x:c>
      <x:c r="H181" s="61" t="n">
        <x:f>F181^2</x:f>
        <x:v>30.25</x:v>
      </x:c>
      <x:c r="I181" s="44" t="str">
        <x:v>assembly survey</x:v>
      </x:c>
      <x:c r="J181" s="44" t="str">
        <x:v>minor</x:v>
      </x:c>
    </x:row>
    <x:row r="182">
      <x:c r="B182" s="44" t="str">
        <x:v>TC-176</x:v>
      </x:c>
      <x:c r="C182" s="44" t="str">
        <x:v>BL-Y-TS-20</x:v>
      </x:c>
      <x:c r="D182" s="44" t="str">
        <x:v>BL-Y</x:v>
      </x:c>
      <x:c r="E182" s="44" t="str">
        <x:v>measurement</x:v>
      </x:c>
      <x:c r="F182" s="61" t="n">
        <x:v>5.5</x:v>
      </x:c>
      <x:c r="G182" s="61" t="str">
        <x:v>mm</x:v>
      </x:c>
      <x:c r="H182" s="61" t="n">
        <x:f>F182^2</x:f>
        <x:v>30.25</x:v>
      </x:c>
      <x:c r="I182" s="44" t="str">
        <x:v>independent metrology</x:v>
      </x:c>
      <x:c r="J182" s="44" t="str">
        <x:v>minor</x:v>
      </x:c>
    </x:row>
    <x:row r="183">
      <x:c r="B183" s="44" t="str">
        <x:v>TC-177</x:v>
      </x:c>
      <x:c r="C183" s="44" t="str">
        <x:v>BL-Y-TS-21</x:v>
      </x:c>
      <x:c r="D183" s="44" t="str">
        <x:v>BL-Y</x:v>
      </x:c>
      <x:c r="E183" s="44" t="str">
        <x:v>material</x:v>
      </x:c>
      <x:c r="F183" s="61" t="n">
        <x:v>11</x:v>
      </x:c>
      <x:c r="G183" s="61" t="str">
        <x:v>mm</x:v>
      </x:c>
      <x:c r="H183" s="61" t="n">
        <x:f>F183^2</x:f>
        <x:v>121</x:v>
      </x:c>
      <x:c r="I183" s="44" t="str">
        <x:v>receipt map</x:v>
      </x:c>
      <x:c r="J183" s="44" t="str">
        <x:v>major</x:v>
      </x:c>
    </x:row>
    <x:row r="184">
      <x:c r="B184" s="44" t="str">
        <x:v>TC-178</x:v>
      </x:c>
      <x:c r="C184" s="44" t="str">
        <x:v>BL-Y-TS-21</x:v>
      </x:c>
      <x:c r="D184" s="44" t="str">
        <x:v>BL-Y</x:v>
      </x:c>
      <x:c r="E184" s="44" t="str">
        <x:v>process</x:v>
      </x:c>
      <x:c r="F184" s="61" t="n">
        <x:v>11</x:v>
      </x:c>
      <x:c r="G184" s="61" t="str">
        <x:v>mm</x:v>
      </x:c>
      <x:c r="H184" s="61" t="n">
        <x:f>F184^2</x:f>
        <x:v>121</x:v>
      </x:c>
      <x:c r="I184" s="44" t="str">
        <x:v>in-process record</x:v>
      </x:c>
      <x:c r="J184" s="44" t="str">
        <x:v>major</x:v>
      </x:c>
    </x:row>
    <x:row r="185">
      <x:c r="B185" s="44" t="str">
        <x:v>TC-179</x:v>
      </x:c>
      <x:c r="C185" s="44" t="str">
        <x:v>BL-Y-TS-21</x:v>
      </x:c>
      <x:c r="D185" s="44" t="str">
        <x:v>BL-Y</x:v>
      </x:c>
      <x:c r="E185" s="44" t="str">
        <x:v>assembly</x:v>
      </x:c>
      <x:c r="F185" s="61" t="n">
        <x:v>11</x:v>
      </x:c>
      <x:c r="G185" s="61" t="str">
        <x:v>mm</x:v>
      </x:c>
      <x:c r="H185" s="61" t="n">
        <x:f>F185^2</x:f>
        <x:v>121</x:v>
      </x:c>
      <x:c r="I185" s="44" t="str">
        <x:v>assembly survey</x:v>
      </x:c>
      <x:c r="J185" s="44" t="str">
        <x:v>minor</x:v>
      </x:c>
    </x:row>
    <x:row r="186">
      <x:c r="B186" s="44" t="str">
        <x:v>TC-180</x:v>
      </x:c>
      <x:c r="C186" s="44" t="str">
        <x:v>BL-Y-TS-21</x:v>
      </x:c>
      <x:c r="D186" s="44" t="str">
        <x:v>BL-Y</x:v>
      </x:c>
      <x:c r="E186" s="44" t="str">
        <x:v>measurement</x:v>
      </x:c>
      <x:c r="F186" s="61" t="n">
        <x:v>11</x:v>
      </x:c>
      <x:c r="G186" s="61" t="str">
        <x:v>mm</x:v>
      </x:c>
      <x:c r="H186" s="61" t="n">
        <x:f>F186^2</x:f>
        <x:v>121</x:v>
      </x:c>
      <x:c r="I186" s="44" t="str">
        <x:v>independent metrology</x:v>
      </x:c>
      <x:c r="J186" s="44" t="str">
        <x:v>minor</x:v>
      </x:c>
    </x:row>
    <x:row r="187">
      <x:c r="B187" s="44" t="str">
        <x:v>TC-181</x:v>
      </x:c>
      <x:c r="C187" s="44" t="str">
        <x:v>BL-Y-TS-22</x:v>
      </x:c>
      <x:c r="D187" s="44" t="str">
        <x:v>BL-Y</x:v>
      </x:c>
      <x:c r="E187" s="44" t="str">
        <x:v>material</x:v>
      </x:c>
      <x:c r="F187" s="61" t="n">
        <x:v>0.22</x:v>
      </x:c>
      <x:c r="G187" s="61" t="str">
        <x:v>mm</x:v>
      </x:c>
      <x:c r="H187" s="61" t="n">
        <x:f>F187^2</x:f>
        <x:v>0.0484</x:v>
      </x:c>
      <x:c r="I187" s="44" t="str">
        <x:v>receipt map</x:v>
      </x:c>
      <x:c r="J187" s="44" t="str">
        <x:v>major</x:v>
      </x:c>
    </x:row>
    <x:row r="188">
      <x:c r="B188" s="44" t="str">
        <x:v>TC-182</x:v>
      </x:c>
      <x:c r="C188" s="44" t="str">
        <x:v>BL-Y-TS-22</x:v>
      </x:c>
      <x:c r="D188" s="44" t="str">
        <x:v>BL-Y</x:v>
      </x:c>
      <x:c r="E188" s="44" t="str">
        <x:v>process</x:v>
      </x:c>
      <x:c r="F188" s="61" t="n">
        <x:v>0.22</x:v>
      </x:c>
      <x:c r="G188" s="61" t="str">
        <x:v>mm</x:v>
      </x:c>
      <x:c r="H188" s="61" t="n">
        <x:f>F188^2</x:f>
        <x:v>0.0484</x:v>
      </x:c>
      <x:c r="I188" s="44" t="str">
        <x:v>in-process record</x:v>
      </x:c>
      <x:c r="J188" s="44" t="str">
        <x:v>major</x:v>
      </x:c>
    </x:row>
    <x:row r="189">
      <x:c r="B189" s="44" t="str">
        <x:v>TC-183</x:v>
      </x:c>
      <x:c r="C189" s="44" t="str">
        <x:v>BL-Y-TS-22</x:v>
      </x:c>
      <x:c r="D189" s="44" t="str">
        <x:v>BL-Y</x:v>
      </x:c>
      <x:c r="E189" s="44" t="str">
        <x:v>assembly</x:v>
      </x:c>
      <x:c r="F189" s="61" t="n">
        <x:v>0.22</x:v>
      </x:c>
      <x:c r="G189" s="61" t="str">
        <x:v>mm</x:v>
      </x:c>
      <x:c r="H189" s="61" t="n">
        <x:f>F189^2</x:f>
        <x:v>0.0484</x:v>
      </x:c>
      <x:c r="I189" s="44" t="str">
        <x:v>assembly survey</x:v>
      </x:c>
      <x:c r="J189" s="44" t="str">
        <x:v>minor</x:v>
      </x:c>
    </x:row>
    <x:row r="190">
      <x:c r="B190" s="44" t="str">
        <x:v>TC-184</x:v>
      </x:c>
      <x:c r="C190" s="44" t="str">
        <x:v>BL-Y-TS-22</x:v>
      </x:c>
      <x:c r="D190" s="44" t="str">
        <x:v>BL-Y</x:v>
      </x:c>
      <x:c r="E190" s="44" t="str">
        <x:v>measurement</x:v>
      </x:c>
      <x:c r="F190" s="61" t="n">
        <x:v>0.22</x:v>
      </x:c>
      <x:c r="G190" s="61" t="str">
        <x:v>mm</x:v>
      </x:c>
      <x:c r="H190" s="61" t="n">
        <x:f>F190^2</x:f>
        <x:v>0.0484</x:v>
      </x:c>
      <x:c r="I190" s="44" t="str">
        <x:v>independent metrology</x:v>
      </x:c>
      <x:c r="J190" s="44" t="str">
        <x:v>minor</x:v>
      </x:c>
    </x:row>
    <x:row r="191">
      <x:c r="B191" s="44" t="str">
        <x:v>TC-185</x:v>
      </x:c>
      <x:c r="C191" s="44" t="str">
        <x:v>BL-Y-TS-23</x:v>
      </x:c>
      <x:c r="D191" s="44" t="str">
        <x:v>BL-Y</x:v>
      </x:c>
      <x:c r="E191" s="44" t="str">
        <x:v>material</x:v>
      </x:c>
      <x:c r="F191" s="61" t="n">
        <x:v>5.5</x:v>
      </x:c>
      <x:c r="G191" s="61" t="str">
        <x:v>mm</x:v>
      </x:c>
      <x:c r="H191" s="61" t="n">
        <x:f>F191^2</x:f>
        <x:v>30.25</x:v>
      </x:c>
      <x:c r="I191" s="44" t="str">
        <x:v>receipt map</x:v>
      </x:c>
      <x:c r="J191" s="44" t="str">
        <x:v>major</x:v>
      </x:c>
    </x:row>
    <x:row r="192">
      <x:c r="B192" s="44" t="str">
        <x:v>TC-186</x:v>
      </x:c>
      <x:c r="C192" s="44" t="str">
        <x:v>BL-Y-TS-23</x:v>
      </x:c>
      <x:c r="D192" s="44" t="str">
        <x:v>BL-Y</x:v>
      </x:c>
      <x:c r="E192" s="44" t="str">
        <x:v>process</x:v>
      </x:c>
      <x:c r="F192" s="61" t="n">
        <x:v>5.5</x:v>
      </x:c>
      <x:c r="G192" s="61" t="str">
        <x:v>mm</x:v>
      </x:c>
      <x:c r="H192" s="61" t="n">
        <x:f>F192^2</x:f>
        <x:v>30.25</x:v>
      </x:c>
      <x:c r="I192" s="44" t="str">
        <x:v>in-process record</x:v>
      </x:c>
      <x:c r="J192" s="44" t="str">
        <x:v>major</x:v>
      </x:c>
    </x:row>
    <x:row r="193">
      <x:c r="B193" s="44" t="str">
        <x:v>TC-187</x:v>
      </x:c>
      <x:c r="C193" s="44" t="str">
        <x:v>BL-Y-TS-23</x:v>
      </x:c>
      <x:c r="D193" s="44" t="str">
        <x:v>BL-Y</x:v>
      </x:c>
      <x:c r="E193" s="44" t="str">
        <x:v>assembly</x:v>
      </x:c>
      <x:c r="F193" s="61" t="n">
        <x:v>5.5</x:v>
      </x:c>
      <x:c r="G193" s="61" t="str">
        <x:v>mm</x:v>
      </x:c>
      <x:c r="H193" s="61" t="n">
        <x:f>F193^2</x:f>
        <x:v>30.25</x:v>
      </x:c>
      <x:c r="I193" s="44" t="str">
        <x:v>assembly survey</x:v>
      </x:c>
      <x:c r="J193" s="44" t="str">
        <x:v>minor</x:v>
      </x:c>
    </x:row>
    <x:row r="194">
      <x:c r="B194" s="44" t="str">
        <x:v>TC-188</x:v>
      </x:c>
      <x:c r="C194" s="44" t="str">
        <x:v>BL-Y-TS-23</x:v>
      </x:c>
      <x:c r="D194" s="44" t="str">
        <x:v>BL-Y</x:v>
      </x:c>
      <x:c r="E194" s="44" t="str">
        <x:v>measurement</x:v>
      </x:c>
      <x:c r="F194" s="61" t="n">
        <x:v>5.5</x:v>
      </x:c>
      <x:c r="G194" s="61" t="str">
        <x:v>mm</x:v>
      </x:c>
      <x:c r="H194" s="61" t="n">
        <x:f>F194^2</x:f>
        <x:v>30.25</x:v>
      </x:c>
      <x:c r="I194" s="44" t="str">
        <x:v>independent metrology</x:v>
      </x:c>
      <x:c r="J194" s="44" t="str">
        <x:v>minor</x:v>
      </x:c>
    </x:row>
    <x:row r="195">
      <x:c r="B195" s="44" t="str">
        <x:v>TC-189</x:v>
      </x:c>
      <x:c r="C195" s="44" t="str">
        <x:v>BL-Y-TS-24</x:v>
      </x:c>
      <x:c r="D195" s="44" t="str">
        <x:v>BL-Y</x:v>
      </x:c>
      <x:c r="E195" s="44" t="str">
        <x:v>material</x:v>
      </x:c>
      <x:c r="F195" s="61" t="n">
        <x:v>0.22</x:v>
      </x:c>
      <x:c r="G195" s="61" t="str">
        <x:v>mm</x:v>
      </x:c>
      <x:c r="H195" s="61" t="n">
        <x:f>F195^2</x:f>
        <x:v>0.0484</x:v>
      </x:c>
      <x:c r="I195" s="44" t="str">
        <x:v>receipt map</x:v>
      </x:c>
      <x:c r="J195" s="44" t="str">
        <x:v>major</x:v>
      </x:c>
    </x:row>
    <x:row r="196">
      <x:c r="B196" s="44" t="str">
        <x:v>TC-190</x:v>
      </x:c>
      <x:c r="C196" s="44" t="str">
        <x:v>BL-Y-TS-24</x:v>
      </x:c>
      <x:c r="D196" s="44" t="str">
        <x:v>BL-Y</x:v>
      </x:c>
      <x:c r="E196" s="44" t="str">
        <x:v>process</x:v>
      </x:c>
      <x:c r="F196" s="61" t="n">
        <x:v>0.22</x:v>
      </x:c>
      <x:c r="G196" s="61" t="str">
        <x:v>mm</x:v>
      </x:c>
      <x:c r="H196" s="61" t="n">
        <x:f>F196^2</x:f>
        <x:v>0.0484</x:v>
      </x:c>
      <x:c r="I196" s="44" t="str">
        <x:v>in-process record</x:v>
      </x:c>
      <x:c r="J196" s="44" t="str">
        <x:v>major</x:v>
      </x:c>
    </x:row>
    <x:row r="197">
      <x:c r="B197" s="44" t="str">
        <x:v>TC-191</x:v>
      </x:c>
      <x:c r="C197" s="44" t="str">
        <x:v>BL-Y-TS-24</x:v>
      </x:c>
      <x:c r="D197" s="44" t="str">
        <x:v>BL-Y</x:v>
      </x:c>
      <x:c r="E197" s="44" t="str">
        <x:v>assembly</x:v>
      </x:c>
      <x:c r="F197" s="61" t="n">
        <x:v>0.22</x:v>
      </x:c>
      <x:c r="G197" s="61" t="str">
        <x:v>mm</x:v>
      </x:c>
      <x:c r="H197" s="61" t="n">
        <x:f>F197^2</x:f>
        <x:v>0.0484</x:v>
      </x:c>
      <x:c r="I197" s="44" t="str">
        <x:v>assembly survey</x:v>
      </x:c>
      <x:c r="J197" s="44" t="str">
        <x:v>minor</x:v>
      </x:c>
    </x:row>
    <x:row r="198">
      <x:c r="B198" s="44" t="str">
        <x:v>TC-192</x:v>
      </x:c>
      <x:c r="C198" s="44" t="str">
        <x:v>BL-Y-TS-24</x:v>
      </x:c>
      <x:c r="D198" s="44" t="str">
        <x:v>BL-Y</x:v>
      </x:c>
      <x:c r="E198" s="44" t="str">
        <x:v>measurement</x:v>
      </x:c>
      <x:c r="F198" s="61" t="n">
        <x:v>0.22</x:v>
      </x:c>
      <x:c r="G198" s="61" t="str">
        <x:v>mm</x:v>
      </x:c>
      <x:c r="H198" s="61" t="n">
        <x:f>F198^2</x:f>
        <x:v>0.0484</x:v>
      </x:c>
      <x:c r="I198" s="44" t="str">
        <x:v>independent metrology</x:v>
      </x:c>
      <x:c r="J198" s="44" t="str">
        <x:v>minor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24" hidden="0" customWidth="1"/>
    <x:col min="4" max="4" width="16" hidden="0" customWidth="1"/>
    <x:col min="5" max="5" width="16" hidden="0" customWidth="1"/>
    <x:col min="6" max="6" width="28" hidden="0" customWidth="1"/>
    <x:col min="7" max="7" width="67" hidden="0" customWidth="1"/>
  </x:cols>
  <x:sheetData>
    <x:row r="2">
      <x:c r="B2" s="41" t="str">
        <x:v>Construction evidence population</x:v>
      </x:c>
      <x:c r="C2" s="42"/>
      <x:c r="D2" s="42"/>
      <x:c r="E2" s="42"/>
      <x:c r="F2" s="42"/>
      <x:c r="G2" s="42"/>
    </x:row>
    <x:row r="3">
      <x:c r="B3" s="43" t="str">
        <x:v>RAC-1 carries forward RAP-1 physical populations and adds the build-release objects needed to create them.</x:v>
      </x:c>
      <x:c r="C3" s="42"/>
      <x:c r="D3" s="42"/>
      <x:c r="E3" s="42"/>
      <x:c r="F3" s="42"/>
      <x:c r="G3" s="42"/>
    </x:row>
    <x:row r="4">
      <x:c r="B4" s="42"/>
      <x:c r="C4" s="42"/>
      <x:c r="D4" s="42"/>
      <x:c r="E4" s="42"/>
      <x:c r="F4" s="42"/>
      <x:c r="G4" s="42"/>
    </x:row>
    <x:row r="5">
      <x:c r="B5" s="42"/>
      <x:c r="C5" s="42"/>
      <x:c r="D5" s="42"/>
      <x:c r="E5" s="42"/>
      <x:c r="F5" s="42"/>
      <x:c r="G5" s="42"/>
    </x:row>
    <x:row r="6" ht="25" customHeight="1">
      <x:c r="B6" s="6" t="str">
        <x:v>Evidence class</x:v>
      </x:c>
      <x:c r="C6" s="6" t="str">
        <x:v>Per article or lineage</x:v>
      </x:c>
      <x:c r="D6" s="6" t="str">
        <x:v>Population</x:v>
      </x:c>
      <x:c r="E6" s="6" t="str">
        <x:v>Total</x:v>
      </x:c>
      <x:c r="F6" s="6" t="str">
        <x:v>Scope</x:v>
      </x:c>
      <x:c r="G6" s="6" t="str">
        <x:v>Acceptance meaning</x:v>
      </x:c>
    </x:row>
    <x:row r="7" ht="40" customHeight="1">
      <x:c r="B7" s="44" t="str">
        <x:v>construction travelers</x:v>
      </x:c>
      <x:c r="C7" s="44" t="n">
        <x:v>20</x:v>
      </x:c>
      <x:c r="D7" s="44" t="n">
        <x:v>18</x:v>
      </x:c>
      <x:c r="E7" s="44" t="n">
        <x:f>C7*D7</x:f>
        <x:v>360</x:v>
      </x:c>
      <x:c r="F7" s="44" t="str">
        <x:v>all roles</x:v>
      </x:c>
      <x:c r="G7" s="45" t="str">
        <x:v>one record per controlled article section</x:v>
      </x:c>
    </x:row>
    <x:row r="8" ht="40" customHeight="1">
      <x:c r="B8" s="44" t="str">
        <x:v>adjacent-process coupons</x:v>
      </x:c>
      <x:c r="C8" s="44" t="n">
        <x:v>40</x:v>
      </x:c>
      <x:c r="D8" s="44" t="n">
        <x:v>18</x:v>
      </x:c>
      <x:c r="E8" s="44" t="n">
        <x:f>C8*D8</x:f>
        <x:v>720</x:v>
      </x:c>
      <x:c r="F8" s="44" t="str">
        <x:v>all roles</x:v>
      </x:c>
      <x:c r="G8" s="45" t="str">
        <x:v>eight each across five coupon classes</x:v>
      </x:c>
    </x:row>
    <x:row r="9" ht="40" customHeight="1">
      <x:c r="B9" s="44" t="str">
        <x:v>section NDE records</x:v>
      </x:c>
      <x:c r="C9" s="44" t="n">
        <x:v>20</x:v>
      </x:c>
      <x:c r="D9" s="44" t="n">
        <x:v>18</x:v>
      </x:c>
      <x:c r="E9" s="44" t="n">
        <x:f>C9*D9</x:f>
        <x:v>360</x:v>
      </x:c>
      <x:c r="F9" s="44" t="str">
        <x:v>all roles</x:v>
      </x:c>
      <x:c r="G9" s="45" t="str">
        <x:v>article observation cannot be replaced by coupon result</x:v>
      </x:c>
    </x:row>
    <x:row r="10" ht="40" customHeight="1">
      <x:c r="B10" s="44" t="str">
        <x:v>destructive cuts</x:v>
      </x:c>
      <x:c r="C10" s="44" t="n">
        <x:v>24</x:v>
      </x:c>
      <x:c r="D10" s="44" t="n">
        <x:v>3</x:v>
      </x:c>
      <x:c r="E10" s="44" t="n">
        <x:f>C10*D10</x:f>
        <x:v>72</x:v>
      </x:c>
      <x:c r="F10" s="44" t="str">
        <x:v>destructive witnesses</x:v>
      </x:c>
      <x:c r="G10" s="45" t="str">
        <x:v>frozen before result review</x:v>
      </x:c>
    </x:row>
    <x:row r="11" ht="40" customHeight="1">
      <x:c r="B11" s="44" t="str">
        <x:v>segment surface records</x:v>
      </x:c>
      <x:c r="C11" s="44" t="n">
        <x:v>6</x:v>
      </x:c>
      <x:c r="D11" s="44" t="n">
        <x:v>12</x:v>
      </x:c>
      <x:c r="E11" s="44" t="n">
        <x:f>C11*D11</x:f>
        <x:v>72</x:v>
      </x:c>
      <x:c r="F11" s="44" t="str">
        <x:v>fluid-capable articles</x:v>
      </x:c>
      <x:c r="G11" s="45" t="str">
        <x:v>roughness, contact angle and drained residual</x:v>
      </x:c>
    </x:row>
    <x:row r="12" ht="40" customHeight="1">
      <x:c r="B12" s="44" t="str">
        <x:v>liquid pressure proofs</x:v>
      </x:c>
      <x:c r="C12" s="44" t="n">
        <x:v>1</x:v>
      </x:c>
      <x:c r="D12" s="44" t="n">
        <x:v>12</x:v>
      </x:c>
      <x:c r="E12" s="44" t="n">
        <x:f>C12*D12</x:f>
        <x:v>12</x:v>
      </x:c>
      <x:c r="F12" s="44" t="str">
        <x:v>fluid-capable articles</x:v>
      </x:c>
      <x:c r="G12" s="45" t="str">
        <x:v>3 MPa liquid proof; no pneumatic substitution</x:v>
      </x:c>
    </x:row>
    <x:row r="13" ht="40" customHeight="1">
      <x:c r="B13" s="44" t="str">
        <x:v>mass and CG closures</x:v>
      </x:c>
      <x:c r="C13" s="44" t="n">
        <x:v>1</x:v>
      </x:c>
      <x:c r="D13" s="44" t="n">
        <x:v>18</x:v>
      </x:c>
      <x:c r="E13" s="44" t="n">
        <x:f>C13*D13</x:f>
        <x:v>18</x:v>
      </x:c>
      <x:c r="F13" s="44" t="str">
        <x:v>all roles</x:v>
      </x:c>
      <x:c r="G13" s="45" t="str">
        <x:v>stowed handling state</x:v>
      </x:c>
    </x:row>
    <x:row r="14" ht="40" customHeight="1">
      <x:c r="B14" s="44" t="str">
        <x:v>safeing-path build records</x:v>
      </x:c>
      <x:c r="C14" s="44" t="n">
        <x:v>36</x:v>
      </x:c>
      <x:c r="D14" s="44" t="n">
        <x:v>18</x:v>
      </x:c>
      <x:c r="E14" s="44" t="n">
        <x:f>C14*D14</x:f>
        <x:v>648</x:v>
      </x:c>
      <x:c r="F14" s="44" t="str">
        <x:v>all roles</x:v>
      </x:c>
      <x:c r="G14" s="45" t="str">
        <x:v>three paths for each of twelve final elements</x:v>
      </x:c>
    </x:row>
    <x:row r="15" ht="40" customHeight="1">
      <x:c r="B15" s="44" t="str">
        <x:v>instrument interface records</x:v>
      </x:c>
      <x:c r="C15" s="44" t="n">
        <x:v>144</x:v>
      </x:c>
      <x:c r="D15" s="44" t="n">
        <x:v>18</x:v>
      </x:c>
      <x:c r="E15" s="44" t="n">
        <x:f>C15*D15</x:f>
        <x:v>2592</x:v>
      </x:c>
      <x:c r="F15" s="44" t="str">
        <x:v>all roles</x:v>
      </x:c>
      <x:c r="G15" s="45" t="str">
        <x:v>six instances from twenty-four families</x:v>
      </x:c>
    </x:row>
    <x:row r="16" ht="40" customHeight="1">
      <x:c r="B16" s="44" t="str">
        <x:v>joint-family route records</x:v>
      </x:c>
      <x:c r="C16" s="44" t="n">
        <x:v>12</x:v>
      </x:c>
      <x:c r="D16" s="44" t="n">
        <x:v>18</x:v>
      </x:c>
      <x:c r="E16" s="44" t="n">
        <x:f>C16*D16</x:f>
        <x:v>216</x:v>
      </x:c>
      <x:c r="F16" s="44" t="str">
        <x:v>all roles</x:v>
      </x:c>
      <x:c r="G16" s="45" t="str">
        <x:v>lineage-specific process identity</x:v>
      </x:c>
    </x:row>
    <x:row r="17" ht="40" customHeight="1">
      <x:c r="B17" s="44" t="str">
        <x:v>lot split records</x:v>
      </x:c>
      <x:c r="C17" s="44" t="n">
        <x:v>36</x:v>
      </x:c>
      <x:c r="D17" s="44" t="n">
        <x:v>2</x:v>
      </x:c>
      <x:c r="E17" s="44" t="n">
        <x:f>C17*D17</x:f>
        <x:v>72</x:v>
      </x:c>
      <x:c r="F17" s="44" t="str">
        <x:v>two lineages</x:v>
      </x:c>
      <x:c r="G17" s="45" t="str">
        <x:v>article, adjacent evidence and archive</x:v>
      </x:c>
    </x:row>
    <x:row r="18" ht="40" customHeight="1">
      <x:c r="B18" s="44" t="str">
        <x:v>build-release gates</x:v>
      </x:c>
      <x:c r="C18" s="44" t="n">
        <x:v>16</x:v>
      </x:c>
      <x:c r="D18" s="44" t="n">
        <x:v>18</x:v>
      </x:c>
      <x:c r="E18" s="44" t="n">
        <x:f>C18*D18</x:f>
        <x:v>288</x:v>
      </x:c>
      <x:c r="F18" s="44" t="str">
        <x:v>all roles</x:v>
      </x:c>
      <x:c r="G18" s="45" t="str">
        <x:v>all predicates close before release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0" hidden="0" customWidth="1"/>
    <x:col min="4" max="4" width="54" hidden="0" customWidth="1"/>
    <x:col min="5" max="5" width="25" hidden="0" customWidth="1"/>
    <x:col min="6" max="6" width="50" hidden="0" customWidth="1"/>
    <x:col min="7" max="7" width="31" hidden="0" customWidth="1"/>
  </x:cols>
  <x:sheetData>
    <x:row r="2">
      <x:c r="B2" s="41" t="str">
        <x:v>Twelve automatic branch conditions</x:v>
      </x:c>
      <x:c r="C2" s="42"/>
      <x:c r="D2" s="42"/>
      <x:c r="E2" s="42"/>
      <x:c r="F2" s="42"/>
      <x:c r="G2" s="42"/>
    </x:row>
    <x:row r="3">
      <x:c r="B3" s="43" t="str">
        <x:v>A nonconformance changes configuration and evidence eligibility. It cannot be closed by narrative.</x:v>
      </x:c>
      <x:c r="C3" s="42"/>
      <x:c r="D3" s="42"/>
      <x:c r="E3" s="42"/>
      <x:c r="F3" s="42"/>
      <x:c r="G3" s="42"/>
    </x:row>
    <x:row r="4">
      <x:c r="B4" s="42"/>
      <x:c r="C4" s="42"/>
      <x:c r="D4" s="42"/>
      <x:c r="E4" s="42"/>
      <x:c r="F4" s="42"/>
      <x:c r="G4" s="42"/>
    </x:row>
    <x:row r="5">
      <x:c r="B5" s="42"/>
      <x:c r="C5" s="42"/>
      <x:c r="D5" s="42"/>
      <x:c r="E5" s="42"/>
      <x:c r="F5" s="42"/>
      <x:c r="G5" s="42"/>
    </x:row>
    <x:row r="6" ht="25" customHeight="1">
      <x:c r="B6" s="6" t="str">
        <x:v>Class</x:v>
      </x:c>
      <x:c r="C6" s="6" t="str">
        <x:v>Trigger</x:v>
      </x:c>
      <x:c r="D6" s="6" t="str">
        <x:v>Immediate action</x:v>
      </x:c>
      <x:c r="E6" s="6" t="str">
        <x:v>Decision owner</x:v>
      </x:c>
      <x:c r="F6" s="6" t="str">
        <x:v>Permitted branch</x:v>
      </x:c>
      <x:c r="G6" s="6" t="str">
        <x:v>Affected claim</x:v>
      </x:c>
    </x:row>
    <x:row r="7" ht="42" customHeight="1">
      <x:c r="B7" s="44" t="str">
        <x:v>NC-01</x:v>
      </x:c>
      <x:c r="C7" s="44" t="str">
        <x:v>material identity mismatch</x:v>
      </x:c>
      <x:c r="D7" s="45" t="str">
        <x:v>quarantine lot, descendants and sibling splits</x:v>
      </x:c>
      <x:c r="E7" s="44" t="str">
        <x:v>material authority</x:v>
      </x:c>
      <x:c r="F7" s="45" t="str">
        <x:v>new lot branch or reject</x:v>
      </x:c>
      <x:c r="G7" s="44" t="str">
        <x:v>all downstream sections</x:v>
      </x:c>
    </x:row>
    <x:row r="8" ht="42" customHeight="1">
      <x:c r="B8" s="44" t="str">
        <x:v>NC-02</x:v>
      </x:c>
      <x:c r="C8" s="44" t="str">
        <x:v>bore outside band</x:v>
      </x:c>
      <x:c r="D8" s="45" t="str">
        <x:v>freeze segment before blend or replacement</x:v>
      </x:c>
      <x:c r="E8" s="44" t="str">
        <x:v>geometry authority</x:v>
      </x:c>
      <x:c r="F8" s="45" t="str">
        <x:v>repair branch with new internal map</x:v>
      </x:c>
      <x:c r="G8" s="44" t="str">
        <x:v>hydraulic and surface evidence</x:v>
      </x:c>
    </x:row>
    <x:row r="9" ht="42" customHeight="1">
      <x:c r="B9" s="44" t="str">
        <x:v>NC-03</x:v>
      </x:c>
      <x:c r="C9" s="44" t="str">
        <x:v>weld root intrusion</x:v>
      </x:c>
      <x:c r="D9" s="45" t="str">
        <x:v>retain native image and stop joining sequence</x:v>
      </x:c>
      <x:c r="E9" s="44" t="str">
        <x:v>joint authority</x:v>
      </x:c>
      <x:c r="F9" s="45" t="str">
        <x:v>section, repair or reject</x:v>
      </x:c>
      <x:c r="G9" s="44" t="str">
        <x:v>BL-X path identity</x:v>
      </x:c>
    </x:row>
    <x:row r="10" ht="42" customHeight="1">
      <x:c r="B10" s="44" t="str">
        <x:v>NC-04</x:v>
      </x:c>
      <x:c r="C10" s="44" t="str">
        <x:v>clamp step or gap</x:v>
      </x:c>
      <x:c r="D10" s="45" t="str">
        <x:v>freeze preload and seal state</x:v>
      </x:c>
      <x:c r="E10" s="44" t="str">
        <x:v>joint authority</x:v>
      </x:c>
      <x:c r="F10" s="45" t="str">
        <x:v>reassemble once under new configuration</x:v>
      </x:c>
      <x:c r="G10" s="44" t="str">
        <x:v>BL-Y path identity</x:v>
      </x:c>
    </x:row>
    <x:row r="11" ht="42" customHeight="1">
      <x:c r="B11" s="44" t="str">
        <x:v>NC-05</x:v>
      </x:c>
      <x:c r="C11" s="44" t="str">
        <x:v>surface band miss</x:v>
      </x:c>
      <x:c r="D11" s="45" t="str">
        <x:v>preserve coupon and article condition</x:v>
      </x:c>
      <x:c r="E11" s="44" t="str">
        <x:v>surface authority</x:v>
      </x:c>
      <x:c r="F11" s="45" t="str">
        <x:v>reprocess both evidence and article</x:v>
      </x:c>
      <x:c r="G11" s="44" t="str">
        <x:v>recovery claim</x:v>
      </x:c>
    </x:row>
    <x:row r="12" ht="42" customHeight="1">
      <x:c r="B12" s="44" t="str">
        <x:v>NC-06</x:v>
      </x:c>
      <x:c r="C12" s="44" t="str">
        <x:v>proof leak</x:v>
      </x:c>
      <x:c r="D12" s="45" t="str">
        <x:v>isolate liquid and retain leak location</x:v>
      </x:c>
      <x:c r="E12" s="44" t="str">
        <x:v>pressure authority</x:v>
      </x:c>
      <x:c r="F12" s="45" t="str">
        <x:v>repair qualification or reject</x:v>
      </x:c>
      <x:c r="G12" s="44" t="str">
        <x:v>pressure and custody</x:v>
      </x:c>
    </x:row>
    <x:row r="13" ht="42" customHeight="1">
      <x:c r="B13" s="44" t="str">
        <x:v>NC-07</x:v>
      </x:c>
      <x:c r="C13" s="44" t="str">
        <x:v>safeing work margin miss</x:v>
      </x:c>
      <x:c r="D13" s="45" t="str">
        <x:v>remove energy credit</x:v>
      </x:c>
      <x:c r="E13" s="44" t="str">
        <x:v>safeing authority</x:v>
      </x:c>
      <x:c r="F13" s="45" t="str">
        <x:v>resize spring or reduce friction</x:v>
      </x:c>
      <x:c r="G13" s="44" t="str">
        <x:v>path eligibility</x:v>
      </x:c>
    </x:row>
    <x:row r="14" ht="42" customHeight="1">
      <x:c r="B14" s="44" t="str">
        <x:v>NC-08</x:v>
      </x:c>
      <x:c r="C14" s="44" t="str">
        <x:v>battery low-state miss</x:v>
      </x:c>
      <x:c r="D14" s="45" t="str">
        <x:v>remove independent-energy credit</x:v>
      </x:c>
      <x:c r="E14" s="44" t="str">
        <x:v>electrical authority</x:v>
      </x:c>
      <x:c r="F14" s="45" t="str">
        <x:v>resize pack or reduce declared service</x:v>
      </x:c>
      <x:c r="G14" s="44" t="str">
        <x:v>denial eligibility</x:v>
      </x:c>
    </x:row>
    <x:row r="15" ht="42" customHeight="1">
      <x:c r="B15" s="44" t="str">
        <x:v>NC-09</x:v>
      </x:c>
      <x:c r="C15" s="44" t="str">
        <x:v>instrument interface drift</x:v>
      </x:c>
      <x:c r="D15" s="45" t="str">
        <x:v>freeze affected channel family</x:v>
      </x:c>
      <x:c r="E15" s="44" t="str">
        <x:v>metrology authority</x:v>
      </x:c>
      <x:c r="F15" s="45" t="str">
        <x:v>remount and recalibrate</x:v>
      </x:c>
      <x:c r="G15" s="44" t="str">
        <x:v>measurement eligibility</x:v>
      </x:c>
    </x:row>
    <x:row r="16" ht="42" customHeight="1">
      <x:c r="B16" s="44" t="str">
        <x:v>NC-10</x:v>
      </x:c>
      <x:c r="C16" s="44" t="str">
        <x:v>mass or CG miss</x:v>
      </x:c>
      <x:c r="D16" s="45" t="str">
        <x:v>prohibit lift and transport</x:v>
      </x:c>
      <x:c r="E16" s="44" t="str">
        <x:v>handling authority</x:v>
      </x:c>
      <x:c r="F16" s="45" t="str">
        <x:v>physical redistribution and new lift case</x:v>
      </x:c>
      <x:c r="G16" s="44" t="str">
        <x:v>all campus assignment</x:v>
      </x:c>
    </x:row>
    <x:row r="17" ht="42" customHeight="1">
      <x:c r="B17" s="44" t="str">
        <x:v>NC-11</x:v>
      </x:c>
      <x:c r="C17" s="44" t="str">
        <x:v>evidence discontinuity</x:v>
      </x:c>
      <x:c r="D17" s="45" t="str">
        <x:v>stop release even if hardware passes</x:v>
      </x:c>
      <x:c r="E17" s="44" t="str">
        <x:v>evidence authority</x:v>
      </x:c>
      <x:c r="F17" s="45" t="str">
        <x:v>reconstruct only from accepted native records</x:v>
      </x:c>
      <x:c r="G17" s="44" t="str">
        <x:v>configuration identity</x:v>
      </x:c>
    </x:row>
    <x:row r="18" ht="42" customHeight="1">
      <x:c r="B18" s="44" t="str">
        <x:v>NC-12</x:v>
      </x:c>
      <x:c r="C18" s="44" t="str">
        <x:v>unauthorized drawing change</x:v>
      </x:c>
      <x:c r="D18" s="45" t="str">
        <x:v>quarantine affected work since last accepted state</x:v>
      </x:c>
      <x:c r="E18" s="44" t="str">
        <x:v>configuration authority</x:v>
      </x:c>
      <x:c r="F18" s="45" t="str">
        <x:v>effect assessment and new baseline</x:v>
      </x:c>
      <x:c r="G18" s="44" t="str">
        <x:v>all descendant evidence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17" hidden="0" customWidth="1"/>
    <x:col min="4" max="4" width="14" hidden="0" customWidth="1"/>
    <x:col min="5" max="5" width="12" hidden="0" customWidth="1"/>
    <x:col min="6" max="6" width="27" hidden="0" customWidth="1"/>
    <x:col min="7" max="7" width="70" hidden="0" customWidth="1"/>
    <x:col min="8" max="8" width="24" hidden="0" customWidth="1"/>
    <x:col min="9" max="9" width="17" hidden="0" customWidth="1"/>
    <x:col min="10" max="10" width="20" hidden="0" customWidth="1"/>
    <x:col min="11" max="11" width="14" hidden="0" customWidth="1"/>
  </x:cols>
  <x:sheetData>
    <x:row r="2">
      <x:c r="B2" s="41" t="str">
        <x:v>Two hundred eighty-eight article build gates</x:v>
      </x:c>
      <x:c r="C2" s="42"/>
      <x:c r="D2" s="42"/>
      <x:c r="E2" s="42"/>
      <x:c r="F2" s="42"/>
      <x:c r="G2" s="42"/>
      <x:c r="H2" s="42"/>
      <x:c r="I2" s="42"/>
      <x:c r="J2" s="42"/>
      <x:c r="K2" s="42"/>
    </x:row>
    <x:row r="3">
      <x:c r="B3" s="43" t="str">
        <x:v>An accepted timestamp beside any outcome other than PASS produces FAIL. Missing acceptance remains OPEN.</x:v>
      </x:c>
      <x:c r="C3" s="42"/>
      <x:c r="D3" s="42"/>
      <x:c r="E3" s="42"/>
      <x:c r="F3" s="42"/>
      <x:c r="G3" s="42"/>
      <x:c r="H3" s="42"/>
      <x:c r="I3" s="42"/>
      <x:c r="J3" s="42"/>
      <x:c r="K3" s="42"/>
    </x:row>
    <x:row r="4"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B5" s="42"/>
      <x:c r="C5" s="42"/>
      <x:c r="D5" s="42"/>
      <x:c r="E5" s="42"/>
      <x:c r="F5" s="42"/>
      <x:c r="G5" s="42"/>
      <x:c r="H5" s="42"/>
      <x:c r="I5" s="42"/>
      <x:c r="J5" s="42"/>
      <x:c r="K5" s="42"/>
    </x:row>
    <x:row r="6" ht="25" customHeight="1">
      <x:c r="B6" s="6" t="str">
        <x:v>Gate</x:v>
      </x:c>
      <x:c r="C6" s="6" t="str">
        <x:v>Article</x:v>
      </x:c>
      <x:c r="D6" s="6" t="str">
        <x:v>Lineage</x:v>
      </x:c>
      <x:c r="E6" s="6" t="str">
        <x:v>Class</x:v>
      </x:c>
      <x:c r="F6" s="6" t="str">
        <x:v>Subject</x:v>
      </x:c>
      <x:c r="G6" s="6" t="str">
        <x:v>Predicate</x:v>
      </x:c>
      <x:c r="H6" s="6" t="str">
        <x:v>Owner</x:v>
      </x:c>
      <x:c r="I6" s="6" t="str">
        <x:v>Outcome</x:v>
      </x:c>
      <x:c r="J6" s="6" t="str">
        <x:v>Accepted UTC</x:v>
      </x:c>
      <x:c r="K6" s="6" t="str">
        <x:v>State</x:v>
      </x:c>
    </x:row>
    <x:row r="7" ht="38" customHeight="1">
      <x:c r="B7" s="44" t="str">
        <x:v>RAC-BG-0001</x:v>
      </x:c>
      <x:c r="C7" s="44" t="str">
        <x:v>REA-O-A1</x:v>
      </x:c>
      <x:c r="D7" s="44" t="str">
        <x:v>BL-X</x:v>
      </x:c>
      <x:c r="E7" s="44" t="str">
        <x:v>G01</x:v>
      </x:c>
      <x:c r="F7" s="44" t="str">
        <x:v>authority</x:v>
      </x:c>
      <x:c r="G7" s="45" t="str">
        <x:v>named work, configuration and acceptance authorities</x:v>
      </x:c>
      <x:c r="H7" s="44" t="str">
        <x:v>article board</x:v>
      </x:c>
      <x:c r="I7" s="44" t="str"/>
      <x:c r="J7" s="44" t="str"/>
      <x:c r="K7" s="44" t="str">
        <x:f>IF(J7="","OPEN",IF(I7="PASS","PASS","FAIL"))</x:f>
        <x:v>OPEN</x:v>
      </x:c>
    </x:row>
    <x:row r="8" ht="38" customHeight="1">
      <x:c r="B8" s="44" t="str">
        <x:v>RAC-BG-0002</x:v>
      </x:c>
      <x:c r="C8" s="44" t="str">
        <x:v>REA-O-A1</x:v>
      </x:c>
      <x:c r="D8" s="44" t="str">
        <x:v>BL-X</x:v>
      </x:c>
      <x:c r="E8" s="44" t="str">
        <x:v>G02</x:v>
      </x:c>
      <x:c r="F8" s="44" t="str">
        <x:v>drawing baseline</x:v>
      </x:c>
      <x:c r="G8" s="45" t="str">
        <x:v>all applicable controlled sheets accepted</x:v>
      </x:c>
      <x:c r="H8" s="44" t="str">
        <x:v>configuration board</x:v>
      </x:c>
      <x:c r="I8" s="44" t="str"/>
      <x:c r="J8" s="44" t="str"/>
      <x:c r="K8" s="44" t="str">
        <x:f>IF(J8="","OPEN",IF(I8="PASS","PASS","FAIL"))</x:f>
        <x:v>OPEN</x:v>
      </x:c>
    </x:row>
    <x:row r="9" ht="38" customHeight="1">
      <x:c r="B9" s="44" t="str">
        <x:v>RAC-BG-0003</x:v>
      </x:c>
      <x:c r="C9" s="44" t="str">
        <x:v>REA-O-A1</x:v>
      </x:c>
      <x:c r="D9" s="44" t="str">
        <x:v>BL-X</x:v>
      </x:c>
      <x:c r="E9" s="44" t="str">
        <x:v>G03</x:v>
      </x:c>
      <x:c r="F9" s="44" t="str">
        <x:v>material ancestry</x:v>
      </x:c>
      <x:c r="G9" s="45" t="str">
        <x:v>article lots and sibling evidence conserved</x:v>
      </x:c>
      <x:c r="H9" s="44" t="str">
        <x:v>article board</x:v>
      </x:c>
      <x:c r="I9" s="44" t="str"/>
      <x:c r="J9" s="44" t="str"/>
      <x:c r="K9" s="44" t="str">
        <x:f>IF(J9="","OPEN",IF(I9="PASS","PASS","FAIL"))</x:f>
        <x:v>OPEN</x:v>
      </x:c>
    </x:row>
    <x:row r="10" ht="38" customHeight="1">
      <x:c r="B10" s="44" t="str">
        <x:v>RAC-BG-0004</x:v>
      </x:c>
      <x:c r="C10" s="44" t="str">
        <x:v>REA-O-A1</x:v>
      </x:c>
      <x:c r="D10" s="44" t="str">
        <x:v>BL-X</x:v>
      </x:c>
      <x:c r="E10" s="44" t="str">
        <x:v>G04</x:v>
      </x:c>
      <x:c r="F10" s="44" t="str">
        <x:v>coupon evidence</x:v>
      </x:c>
      <x:c r="G10" s="45" t="str">
        <x:v>adjacent-process population accepted</x:v>
      </x:c>
      <x:c r="H10" s="44" t="str">
        <x:v>article board</x:v>
      </x:c>
      <x:c r="I10" s="44" t="str"/>
      <x:c r="J10" s="44" t="str"/>
      <x:c r="K10" s="44" t="str">
        <x:f>IF(J10="","OPEN",IF(I10="PASS","PASS","FAIL"))</x:f>
        <x:v>OPEN</x:v>
      </x:c>
    </x:row>
    <x:row r="11" ht="38" customHeight="1">
      <x:c r="B11" s="44" t="str">
        <x:v>RAC-BG-0005</x:v>
      </x:c>
      <x:c r="C11" s="44" t="str">
        <x:v>REA-O-A1</x:v>
      </x:c>
      <x:c r="D11" s="44" t="str">
        <x:v>BL-X</x:v>
      </x:c>
      <x:c r="E11" s="44" t="str">
        <x:v>G05</x:v>
      </x:c>
      <x:c r="F11" s="44" t="str">
        <x:v>process route</x:v>
      </x:c>
      <x:c r="G11" s="45" t="str">
        <x:v>lineage route and predecessor states accepted</x:v>
      </x:c>
      <x:c r="H11" s="44" t="str">
        <x:v>article board</x:v>
      </x:c>
      <x:c r="I11" s="44" t="str"/>
      <x:c r="J11" s="44" t="str"/>
      <x:c r="K11" s="44" t="str">
        <x:f>IF(J11="","OPEN",IF(I11="PASS","PASS","FAIL"))</x:f>
        <x:v>OPEN</x:v>
      </x:c>
    </x:row>
    <x:row r="12" ht="38" customHeight="1">
      <x:c r="B12" s="44" t="str">
        <x:v>RAC-BG-0006</x:v>
      </x:c>
      <x:c r="C12" s="44" t="str">
        <x:v>REA-O-A1</x:v>
      </x:c>
      <x:c r="D12" s="44" t="str">
        <x:v>BL-X</x:v>
      </x:c>
      <x:c r="E12" s="44" t="str">
        <x:v>G06</x:v>
      </x:c>
      <x:c r="F12" s="44" t="str">
        <x:v>as-built geometry</x:v>
      </x:c>
      <x:c r="G12" s="45" t="str">
        <x:v>datums, bore, length and port stations observed</x:v>
      </x:c>
      <x:c r="H12" s="44" t="str">
        <x:v>article board</x:v>
      </x:c>
      <x:c r="I12" s="44" t="str"/>
      <x:c r="J12" s="44" t="str"/>
      <x:c r="K12" s="44" t="str">
        <x:f>IF(J12="","OPEN",IF(I12="PASS","PASS","FAIL"))</x:f>
        <x:v>OPEN</x:v>
      </x:c>
    </x:row>
    <x:row r="13" ht="38" customHeight="1">
      <x:c r="B13" s="44" t="str">
        <x:v>RAC-BG-0007</x:v>
      </x:c>
      <x:c r="C13" s="44" t="str">
        <x:v>REA-O-A1</x:v>
      </x:c>
      <x:c r="D13" s="44" t="str">
        <x:v>BL-X</x:v>
      </x:c>
      <x:c r="E13" s="44" t="str">
        <x:v>G07</x:v>
      </x:c>
      <x:c r="F13" s="44" t="str">
        <x:v>joint evidence</x:v>
      </x:c>
      <x:c r="G13" s="45" t="str">
        <x:v>joint mechanism, NDE and terminal witness eligible</x:v>
      </x:c>
      <x:c r="H13" s="44" t="str">
        <x:v>article board</x:v>
      </x:c>
      <x:c r="I13" s="44" t="str"/>
      <x:c r="J13" s="44" t="str"/>
      <x:c r="K13" s="44" t="str">
        <x:f>IF(J13="","OPEN",IF(I13="PASS","PASS","FAIL"))</x:f>
        <x:v>OPEN</x:v>
      </x:c>
    </x:row>
    <x:row r="14" ht="38" customHeight="1">
      <x:c r="B14" s="44" t="str">
        <x:v>RAC-BG-0008</x:v>
      </x:c>
      <x:c r="C14" s="44" t="str">
        <x:v>REA-O-A1</x:v>
      </x:c>
      <x:c r="D14" s="44" t="str">
        <x:v>BL-X</x:v>
      </x:c>
      <x:c r="E14" s="44" t="str">
        <x:v>G08</x:v>
      </x:c>
      <x:c r="F14" s="44" t="str">
        <x:v>pressure and leak</x:v>
      </x:c>
      <x:c r="G14" s="45" t="str">
        <x:v>liquid proof and leak map accepted</x:v>
      </x:c>
      <x:c r="H14" s="44" t="str">
        <x:v>article board</x:v>
      </x:c>
      <x:c r="I14" s="44" t="str"/>
      <x:c r="J14" s="44" t="str"/>
      <x:c r="K14" s="44" t="str">
        <x:f>IF(J14="","OPEN",IF(I14="PASS","PASS","FAIL"))</x:f>
        <x:v>OPEN</x:v>
      </x:c>
    </x:row>
    <x:row r="15" ht="38" customHeight="1">
      <x:c r="B15" s="44" t="str">
        <x:v>RAC-BG-0009</x:v>
      </x:c>
      <x:c r="C15" s="44" t="str">
        <x:v>REA-O-A1</x:v>
      </x:c>
      <x:c r="D15" s="44" t="str">
        <x:v>BL-X</x:v>
      </x:c>
      <x:c r="E15" s="44" t="str">
        <x:v>G09</x:v>
      </x:c>
      <x:c r="F15" s="44" t="str">
        <x:v>surface and recovery</x:v>
      </x:c>
      <x:c r="G15" s="45" t="str">
        <x:v>roughness, contact angle, deadleg and residual accepted</x:v>
      </x:c>
      <x:c r="H15" s="44" t="str">
        <x:v>article board</x:v>
      </x:c>
      <x:c r="I15" s="44" t="str"/>
      <x:c r="J15" s="44" t="str"/>
      <x:c r="K15" s="44" t="str">
        <x:f>IF(J15="","OPEN",IF(I15="PASS","PASS","FAIL"))</x:f>
        <x:v>OPEN</x:v>
      </x:c>
    </x:row>
    <x:row r="16" ht="38" customHeight="1">
      <x:c r="B16" s="44" t="str">
        <x:v>RAC-BG-0010</x:v>
      </x:c>
      <x:c r="C16" s="44" t="str">
        <x:v>REA-O-A1</x:v>
      </x:c>
      <x:c r="D16" s="44" t="str">
        <x:v>BL-X</x:v>
      </x:c>
      <x:c r="E16" s="44" t="str">
        <x:v>G10</x:v>
      </x:c>
      <x:c r="F16" s="44" t="str">
        <x:v>safeing work</x:v>
      </x:c>
      <x:c r="G16" s="45" t="str">
        <x:v>spring work and direct witness interfaces accepted</x:v>
      </x:c>
      <x:c r="H16" s="44" t="str">
        <x:v>safeing authority</x:v>
      </x:c>
      <x:c r="I16" s="44" t="str"/>
      <x:c r="J16" s="44" t="str"/>
      <x:c r="K16" s="44" t="str">
        <x:f>IF(J16="","OPEN",IF(I16="PASS","PASS","FAIL"))</x:f>
        <x:v>OPEN</x:v>
      </x:c>
    </x:row>
    <x:row r="17" ht="38" customHeight="1">
      <x:c r="B17" s="44" t="str">
        <x:v>RAC-BG-0011</x:v>
      </x:c>
      <x:c r="C17" s="44" t="str">
        <x:v>REA-O-A1</x:v>
      </x:c>
      <x:c r="D17" s="44" t="str">
        <x:v>BL-X</x:v>
      </x:c>
      <x:c r="E17" s="44" t="str">
        <x:v>G11</x:v>
      </x:c>
      <x:c r="F17" s="44" t="str">
        <x:v>independent energy</x:v>
      </x:c>
      <x:c r="G17" s="45" t="str">
        <x:v>critical services close at low stored state</x:v>
      </x:c>
      <x:c r="H17" s="44" t="str">
        <x:v>safeing authority</x:v>
      </x:c>
      <x:c r="I17" s="44" t="str"/>
      <x:c r="J17" s="44" t="str"/>
      <x:c r="K17" s="44" t="str">
        <x:f>IF(J17="","OPEN",IF(I17="PASS","PASS","FAIL"))</x:f>
        <x:v>OPEN</x:v>
      </x:c>
    </x:row>
    <x:row r="18" ht="38" customHeight="1">
      <x:c r="B18" s="44" t="str">
        <x:v>RAC-BG-0012</x:v>
      </x:c>
      <x:c r="C18" s="44" t="str">
        <x:v>REA-O-A1</x:v>
      </x:c>
      <x:c r="D18" s="44" t="str">
        <x:v>BL-X</x:v>
      </x:c>
      <x:c r="E18" s="44" t="str">
        <x:v>G12</x:v>
      </x:c>
      <x:c r="F18" s="44" t="str">
        <x:v>instrumentation</x:v>
      </x:c>
      <x:c r="G18" s="45" t="str">
        <x:v>mount, range, power, time and evidence interfaces accepted</x:v>
      </x:c>
      <x:c r="H18" s="44" t="str">
        <x:v>article board</x:v>
      </x:c>
      <x:c r="I18" s="44" t="str"/>
      <x:c r="J18" s="44" t="str"/>
      <x:c r="K18" s="44" t="str">
        <x:f>IF(J18="","OPEN",IF(I18="PASS","PASS","FAIL"))</x:f>
        <x:v>OPEN</x:v>
      </x:c>
    </x:row>
    <x:row r="19" ht="38" customHeight="1">
      <x:c r="B19" s="44" t="str">
        <x:v>RAC-BG-0013</x:v>
      </x:c>
      <x:c r="C19" s="44" t="str">
        <x:v>REA-O-A1</x:v>
      </x:c>
      <x:c r="D19" s="44" t="str">
        <x:v>BL-X</x:v>
      </x:c>
      <x:c r="E19" s="44" t="str">
        <x:v>G13</x:v>
      </x:c>
      <x:c r="F19" s="44" t="str">
        <x:v>mass and CG</x:v>
      </x:c>
      <x:c r="G19" s="45" t="str">
        <x:v>stowed mass, CG, lift and restraints accepted</x:v>
      </x:c>
      <x:c r="H19" s="44" t="str">
        <x:v>article board</x:v>
      </x:c>
      <x:c r="I19" s="44" t="str"/>
      <x:c r="J19" s="44" t="str"/>
      <x:c r="K19" s="44" t="str">
        <x:f>IF(J19="","OPEN",IF(I19="PASS","PASS","FAIL"))</x:f>
        <x:v>OPEN</x:v>
      </x:c>
    </x:row>
    <x:row r="20" ht="38" customHeight="1">
      <x:c r="B20" s="44" t="str">
        <x:v>RAC-BG-0014</x:v>
      </x:c>
      <x:c r="C20" s="44" t="str">
        <x:v>REA-O-A1</x:v>
      </x:c>
      <x:c r="D20" s="44" t="str">
        <x:v>BL-X</x:v>
      </x:c>
      <x:c r="E20" s="44" t="str">
        <x:v>G14</x:v>
      </x:c>
      <x:c r="F20" s="44" t="str">
        <x:v>access and rescue</x:v>
      </x:c>
      <x:c r="G20" s="45" t="str">
        <x:v>manual action, isolation and removal volumes accepted</x:v>
      </x:c>
      <x:c r="H20" s="44" t="str">
        <x:v>article board</x:v>
      </x:c>
      <x:c r="I20" s="44" t="str"/>
      <x:c r="J20" s="44" t="str"/>
      <x:c r="K20" s="44" t="str">
        <x:f>IF(J20="","OPEN",IF(I20="PASS","PASS","FAIL"))</x:f>
        <x:v>OPEN</x:v>
      </x:c>
    </x:row>
    <x:row r="21" ht="38" customHeight="1">
      <x:c r="B21" s="44" t="str">
        <x:v>RAC-BG-0015</x:v>
      </x:c>
      <x:c r="C21" s="44" t="str">
        <x:v>REA-O-A1</x:v>
      </x:c>
      <x:c r="D21" s="44" t="str">
        <x:v>BL-X</x:v>
      </x:c>
      <x:c r="E21" s="44" t="str">
        <x:v>G15</x:v>
      </x:c>
      <x:c r="F21" s="44" t="str">
        <x:v>nonconformance closure</x:v>
      </x:c>
      <x:c r="G21" s="45" t="str">
        <x:v>all branches have disposition and effect assessment</x:v>
      </x:c>
      <x:c r="H21" s="44" t="str">
        <x:v>article board</x:v>
      </x:c>
      <x:c r="I21" s="44" t="str"/>
      <x:c r="J21" s="44" t="str"/>
      <x:c r="K21" s="44" t="str">
        <x:f>IF(J21="","OPEN",IF(I21="PASS","PASS","FAIL"))</x:f>
        <x:v>OPEN</x:v>
      </x:c>
    </x:row>
    <x:row r="22" ht="38" customHeight="1">
      <x:c r="B22" s="44" t="str">
        <x:v>RAC-BG-0016</x:v>
      </x:c>
      <x:c r="C22" s="44" t="str">
        <x:v>REA-O-A1</x:v>
      </x:c>
      <x:c r="D22" s="44" t="str">
        <x:v>BL-X</x:v>
      </x:c>
      <x:c r="E22" s="44" t="str">
        <x:v>G16</x:v>
      </x:c>
      <x:c r="F22" s="44" t="str">
        <x:v>configuration freeze</x:v>
      </x:c>
      <x:c r="G22" s="45" t="str">
        <x:v>physical state, evidence hashes and release baseline co-signed</x:v>
      </x:c>
      <x:c r="H22" s="44" t="str">
        <x:v>configuration board</x:v>
      </x:c>
      <x:c r="I22" s="44" t="str"/>
      <x:c r="J22" s="44" t="str"/>
      <x:c r="K22" s="44" t="str">
        <x:f>IF(J22="","OPEN",IF(I22="PASS","PASS","FAIL"))</x:f>
        <x:v>OPEN</x:v>
      </x:c>
    </x:row>
    <x:row r="23" ht="38" customHeight="1">
      <x:c r="B23" s="44" t="str">
        <x:v>RAC-BG-0017</x:v>
      </x:c>
      <x:c r="C23" s="44" t="str">
        <x:v>REA-O-A2</x:v>
      </x:c>
      <x:c r="D23" s="44" t="str">
        <x:v>BL-Y</x:v>
      </x:c>
      <x:c r="E23" s="44" t="str">
        <x:v>G01</x:v>
      </x:c>
      <x:c r="F23" s="44" t="str">
        <x:v>authority</x:v>
      </x:c>
      <x:c r="G23" s="45" t="str">
        <x:v>named work, configuration and acceptance authorities</x:v>
      </x:c>
      <x:c r="H23" s="44" t="str">
        <x:v>article board</x:v>
      </x:c>
      <x:c r="I23" s="44" t="str"/>
      <x:c r="J23" s="44" t="str"/>
      <x:c r="K23" s="44" t="str">
        <x:f>IF(J23="","OPEN",IF(I23="PASS","PASS","FAIL"))</x:f>
        <x:v>OPEN</x:v>
      </x:c>
    </x:row>
    <x:row r="24" ht="38" customHeight="1">
      <x:c r="B24" s="44" t="str">
        <x:v>RAC-BG-0018</x:v>
      </x:c>
      <x:c r="C24" s="44" t="str">
        <x:v>REA-O-A2</x:v>
      </x:c>
      <x:c r="D24" s="44" t="str">
        <x:v>BL-Y</x:v>
      </x:c>
      <x:c r="E24" s="44" t="str">
        <x:v>G02</x:v>
      </x:c>
      <x:c r="F24" s="44" t="str">
        <x:v>drawing baseline</x:v>
      </x:c>
      <x:c r="G24" s="45" t="str">
        <x:v>all applicable controlled sheets accepted</x:v>
      </x:c>
      <x:c r="H24" s="44" t="str">
        <x:v>configuration board</x:v>
      </x:c>
      <x:c r="I24" s="44" t="str"/>
      <x:c r="J24" s="44" t="str"/>
      <x:c r="K24" s="44" t="str">
        <x:f>IF(J24="","OPEN",IF(I24="PASS","PASS","FAIL"))</x:f>
        <x:v>OPEN</x:v>
      </x:c>
    </x:row>
    <x:row r="25" ht="38" customHeight="1">
      <x:c r="B25" s="44" t="str">
        <x:v>RAC-BG-0019</x:v>
      </x:c>
      <x:c r="C25" s="44" t="str">
        <x:v>REA-O-A2</x:v>
      </x:c>
      <x:c r="D25" s="44" t="str">
        <x:v>BL-Y</x:v>
      </x:c>
      <x:c r="E25" s="44" t="str">
        <x:v>G03</x:v>
      </x:c>
      <x:c r="F25" s="44" t="str">
        <x:v>material ancestry</x:v>
      </x:c>
      <x:c r="G25" s="45" t="str">
        <x:v>article lots and sibling evidence conserved</x:v>
      </x:c>
      <x:c r="H25" s="44" t="str">
        <x:v>article board</x:v>
      </x:c>
      <x:c r="I25" s="44" t="str"/>
      <x:c r="J25" s="44" t="str"/>
      <x:c r="K25" s="44" t="str">
        <x:f>IF(J25="","OPEN",IF(I25="PASS","PASS","FAIL"))</x:f>
        <x:v>OPEN</x:v>
      </x:c>
    </x:row>
    <x:row r="26" ht="38" customHeight="1">
      <x:c r="B26" s="44" t="str">
        <x:v>RAC-BG-0020</x:v>
      </x:c>
      <x:c r="C26" s="44" t="str">
        <x:v>REA-O-A2</x:v>
      </x:c>
      <x:c r="D26" s="44" t="str">
        <x:v>BL-Y</x:v>
      </x:c>
      <x:c r="E26" s="44" t="str">
        <x:v>G04</x:v>
      </x:c>
      <x:c r="F26" s="44" t="str">
        <x:v>coupon evidence</x:v>
      </x:c>
      <x:c r="G26" s="45" t="str">
        <x:v>adjacent-process population accepted</x:v>
      </x:c>
      <x:c r="H26" s="44" t="str">
        <x:v>article board</x:v>
      </x:c>
      <x:c r="I26" s="44" t="str"/>
      <x:c r="J26" s="44" t="str"/>
      <x:c r="K26" s="44" t="str">
        <x:f>IF(J26="","OPEN",IF(I26="PASS","PASS","FAIL"))</x:f>
        <x:v>OPEN</x:v>
      </x:c>
    </x:row>
    <x:row r="27" ht="38" customHeight="1">
      <x:c r="B27" s="44" t="str">
        <x:v>RAC-BG-0021</x:v>
      </x:c>
      <x:c r="C27" s="44" t="str">
        <x:v>REA-O-A2</x:v>
      </x:c>
      <x:c r="D27" s="44" t="str">
        <x:v>BL-Y</x:v>
      </x:c>
      <x:c r="E27" s="44" t="str">
        <x:v>G05</x:v>
      </x:c>
      <x:c r="F27" s="44" t="str">
        <x:v>process route</x:v>
      </x:c>
      <x:c r="G27" s="45" t="str">
        <x:v>lineage route and predecessor states accepted</x:v>
      </x:c>
      <x:c r="H27" s="44" t="str">
        <x:v>article board</x:v>
      </x:c>
      <x:c r="I27" s="44" t="str"/>
      <x:c r="J27" s="44" t="str"/>
      <x:c r="K27" s="44" t="str">
        <x:f>IF(J27="","OPEN",IF(I27="PASS","PASS","FAIL"))</x:f>
        <x:v>OPEN</x:v>
      </x:c>
    </x:row>
    <x:row r="28" ht="38" customHeight="1">
      <x:c r="B28" s="44" t="str">
        <x:v>RAC-BG-0022</x:v>
      </x:c>
      <x:c r="C28" s="44" t="str">
        <x:v>REA-O-A2</x:v>
      </x:c>
      <x:c r="D28" s="44" t="str">
        <x:v>BL-Y</x:v>
      </x:c>
      <x:c r="E28" s="44" t="str">
        <x:v>G06</x:v>
      </x:c>
      <x:c r="F28" s="44" t="str">
        <x:v>as-built geometry</x:v>
      </x:c>
      <x:c r="G28" s="45" t="str">
        <x:v>datums, bore, length and port stations observed</x:v>
      </x:c>
      <x:c r="H28" s="44" t="str">
        <x:v>article board</x:v>
      </x:c>
      <x:c r="I28" s="44" t="str"/>
      <x:c r="J28" s="44" t="str"/>
      <x:c r="K28" s="44" t="str">
        <x:f>IF(J28="","OPEN",IF(I28="PASS","PASS","FAIL"))</x:f>
        <x:v>OPEN</x:v>
      </x:c>
    </x:row>
    <x:row r="29" ht="38" customHeight="1">
      <x:c r="B29" s="44" t="str">
        <x:v>RAC-BG-0023</x:v>
      </x:c>
      <x:c r="C29" s="44" t="str">
        <x:v>REA-O-A2</x:v>
      </x:c>
      <x:c r="D29" s="44" t="str">
        <x:v>BL-Y</x:v>
      </x:c>
      <x:c r="E29" s="44" t="str">
        <x:v>G07</x:v>
      </x:c>
      <x:c r="F29" s="44" t="str">
        <x:v>joint evidence</x:v>
      </x:c>
      <x:c r="G29" s="45" t="str">
        <x:v>joint mechanism, NDE and terminal witness eligible</x:v>
      </x:c>
      <x:c r="H29" s="44" t="str">
        <x:v>article board</x:v>
      </x:c>
      <x:c r="I29" s="44" t="str"/>
      <x:c r="J29" s="44" t="str"/>
      <x:c r="K29" s="44" t="str">
        <x:f>IF(J29="","OPEN",IF(I29="PASS","PASS","FAIL"))</x:f>
        <x:v>OPEN</x:v>
      </x:c>
    </x:row>
    <x:row r="30" ht="38" customHeight="1">
      <x:c r="B30" s="44" t="str">
        <x:v>RAC-BG-0024</x:v>
      </x:c>
      <x:c r="C30" s="44" t="str">
        <x:v>REA-O-A2</x:v>
      </x:c>
      <x:c r="D30" s="44" t="str">
        <x:v>BL-Y</x:v>
      </x:c>
      <x:c r="E30" s="44" t="str">
        <x:v>G08</x:v>
      </x:c>
      <x:c r="F30" s="44" t="str">
        <x:v>pressure and leak</x:v>
      </x:c>
      <x:c r="G30" s="45" t="str">
        <x:v>liquid proof and leak map accepted</x:v>
      </x:c>
      <x:c r="H30" s="44" t="str">
        <x:v>article board</x:v>
      </x:c>
      <x:c r="I30" s="44" t="str"/>
      <x:c r="J30" s="44" t="str"/>
      <x:c r="K30" s="44" t="str">
        <x:f>IF(J30="","OPEN",IF(I30="PASS","PASS","FAIL"))</x:f>
        <x:v>OPEN</x:v>
      </x:c>
    </x:row>
    <x:row r="31" ht="38" customHeight="1">
      <x:c r="B31" s="44" t="str">
        <x:v>RAC-BG-0025</x:v>
      </x:c>
      <x:c r="C31" s="44" t="str">
        <x:v>REA-O-A2</x:v>
      </x:c>
      <x:c r="D31" s="44" t="str">
        <x:v>BL-Y</x:v>
      </x:c>
      <x:c r="E31" s="44" t="str">
        <x:v>G09</x:v>
      </x:c>
      <x:c r="F31" s="44" t="str">
        <x:v>surface and recovery</x:v>
      </x:c>
      <x:c r="G31" s="45" t="str">
        <x:v>roughness, contact angle, deadleg and residual accepted</x:v>
      </x:c>
      <x:c r="H31" s="44" t="str">
        <x:v>article board</x:v>
      </x:c>
      <x:c r="I31" s="44" t="str"/>
      <x:c r="J31" s="44" t="str"/>
      <x:c r="K31" s="44" t="str">
        <x:f>IF(J31="","OPEN",IF(I31="PASS","PASS","FAIL"))</x:f>
        <x:v>OPEN</x:v>
      </x:c>
    </x:row>
    <x:row r="32" ht="38" customHeight="1">
      <x:c r="B32" s="44" t="str">
        <x:v>RAC-BG-0026</x:v>
      </x:c>
      <x:c r="C32" s="44" t="str">
        <x:v>REA-O-A2</x:v>
      </x:c>
      <x:c r="D32" s="44" t="str">
        <x:v>BL-Y</x:v>
      </x:c>
      <x:c r="E32" s="44" t="str">
        <x:v>G10</x:v>
      </x:c>
      <x:c r="F32" s="44" t="str">
        <x:v>safeing work</x:v>
      </x:c>
      <x:c r="G32" s="45" t="str">
        <x:v>spring work and direct witness interfaces accepted</x:v>
      </x:c>
      <x:c r="H32" s="44" t="str">
        <x:v>safeing authority</x:v>
      </x:c>
      <x:c r="I32" s="44" t="str"/>
      <x:c r="J32" s="44" t="str"/>
      <x:c r="K32" s="44" t="str">
        <x:f>IF(J32="","OPEN",IF(I32="PASS","PASS","FAIL"))</x:f>
        <x:v>OPEN</x:v>
      </x:c>
    </x:row>
    <x:row r="33" ht="38" customHeight="1">
      <x:c r="B33" s="44" t="str">
        <x:v>RAC-BG-0027</x:v>
      </x:c>
      <x:c r="C33" s="44" t="str">
        <x:v>REA-O-A2</x:v>
      </x:c>
      <x:c r="D33" s="44" t="str">
        <x:v>BL-Y</x:v>
      </x:c>
      <x:c r="E33" s="44" t="str">
        <x:v>G11</x:v>
      </x:c>
      <x:c r="F33" s="44" t="str">
        <x:v>independent energy</x:v>
      </x:c>
      <x:c r="G33" s="45" t="str">
        <x:v>critical services close at low stored state</x:v>
      </x:c>
      <x:c r="H33" s="44" t="str">
        <x:v>safeing authority</x:v>
      </x:c>
      <x:c r="I33" s="44" t="str"/>
      <x:c r="J33" s="44" t="str"/>
      <x:c r="K33" s="44" t="str">
        <x:f>IF(J33="","OPEN",IF(I33="PASS","PASS","FAIL"))</x:f>
        <x:v>OPEN</x:v>
      </x:c>
    </x:row>
    <x:row r="34" ht="38" customHeight="1">
      <x:c r="B34" s="44" t="str">
        <x:v>RAC-BG-0028</x:v>
      </x:c>
      <x:c r="C34" s="44" t="str">
        <x:v>REA-O-A2</x:v>
      </x:c>
      <x:c r="D34" s="44" t="str">
        <x:v>BL-Y</x:v>
      </x:c>
      <x:c r="E34" s="44" t="str">
        <x:v>G12</x:v>
      </x:c>
      <x:c r="F34" s="44" t="str">
        <x:v>instrumentation</x:v>
      </x:c>
      <x:c r="G34" s="45" t="str">
        <x:v>mount, range, power, time and evidence interfaces accepted</x:v>
      </x:c>
      <x:c r="H34" s="44" t="str">
        <x:v>article board</x:v>
      </x:c>
      <x:c r="I34" s="44" t="str"/>
      <x:c r="J34" s="44" t="str"/>
      <x:c r="K34" s="44" t="str">
        <x:f>IF(J34="","OPEN",IF(I34="PASS","PASS","FAIL"))</x:f>
        <x:v>OPEN</x:v>
      </x:c>
    </x:row>
    <x:row r="35" ht="38" customHeight="1">
      <x:c r="B35" s="44" t="str">
        <x:v>RAC-BG-0029</x:v>
      </x:c>
      <x:c r="C35" s="44" t="str">
        <x:v>REA-O-A2</x:v>
      </x:c>
      <x:c r="D35" s="44" t="str">
        <x:v>BL-Y</x:v>
      </x:c>
      <x:c r="E35" s="44" t="str">
        <x:v>G13</x:v>
      </x:c>
      <x:c r="F35" s="44" t="str">
        <x:v>mass and CG</x:v>
      </x:c>
      <x:c r="G35" s="45" t="str">
        <x:v>stowed mass, CG, lift and restraints accepted</x:v>
      </x:c>
      <x:c r="H35" s="44" t="str">
        <x:v>article board</x:v>
      </x:c>
      <x:c r="I35" s="44" t="str"/>
      <x:c r="J35" s="44" t="str"/>
      <x:c r="K35" s="44" t="str">
        <x:f>IF(J35="","OPEN",IF(I35="PASS","PASS","FAIL"))</x:f>
        <x:v>OPEN</x:v>
      </x:c>
    </x:row>
    <x:row r="36" ht="38" customHeight="1">
      <x:c r="B36" s="44" t="str">
        <x:v>RAC-BG-0030</x:v>
      </x:c>
      <x:c r="C36" s="44" t="str">
        <x:v>REA-O-A2</x:v>
      </x:c>
      <x:c r="D36" s="44" t="str">
        <x:v>BL-Y</x:v>
      </x:c>
      <x:c r="E36" s="44" t="str">
        <x:v>G14</x:v>
      </x:c>
      <x:c r="F36" s="44" t="str">
        <x:v>access and rescue</x:v>
      </x:c>
      <x:c r="G36" s="45" t="str">
        <x:v>manual action, isolation and removal volumes accepted</x:v>
      </x:c>
      <x:c r="H36" s="44" t="str">
        <x:v>article board</x:v>
      </x:c>
      <x:c r="I36" s="44" t="str"/>
      <x:c r="J36" s="44" t="str"/>
      <x:c r="K36" s="44" t="str">
        <x:f>IF(J36="","OPEN",IF(I36="PASS","PASS","FAIL"))</x:f>
        <x:v>OPEN</x:v>
      </x:c>
    </x:row>
    <x:row r="37" ht="38" customHeight="1">
      <x:c r="B37" s="44" t="str">
        <x:v>RAC-BG-0031</x:v>
      </x:c>
      <x:c r="C37" s="44" t="str">
        <x:v>REA-O-A2</x:v>
      </x:c>
      <x:c r="D37" s="44" t="str">
        <x:v>BL-Y</x:v>
      </x:c>
      <x:c r="E37" s="44" t="str">
        <x:v>G15</x:v>
      </x:c>
      <x:c r="F37" s="44" t="str">
        <x:v>nonconformance closure</x:v>
      </x:c>
      <x:c r="G37" s="45" t="str">
        <x:v>all branches have disposition and effect assessment</x:v>
      </x:c>
      <x:c r="H37" s="44" t="str">
        <x:v>article board</x:v>
      </x:c>
      <x:c r="I37" s="44" t="str"/>
      <x:c r="J37" s="44" t="str"/>
      <x:c r="K37" s="44" t="str">
        <x:f>IF(J37="","OPEN",IF(I37="PASS","PASS","FAIL"))</x:f>
        <x:v>OPEN</x:v>
      </x:c>
    </x:row>
    <x:row r="38" ht="38" customHeight="1">
      <x:c r="B38" s="44" t="str">
        <x:v>RAC-BG-0032</x:v>
      </x:c>
      <x:c r="C38" s="44" t="str">
        <x:v>REA-O-A2</x:v>
      </x:c>
      <x:c r="D38" s="44" t="str">
        <x:v>BL-Y</x:v>
      </x:c>
      <x:c r="E38" s="44" t="str">
        <x:v>G16</x:v>
      </x:c>
      <x:c r="F38" s="44" t="str">
        <x:v>configuration freeze</x:v>
      </x:c>
      <x:c r="G38" s="45" t="str">
        <x:v>physical state, evidence hashes and release baseline co-signed</x:v>
      </x:c>
      <x:c r="H38" s="44" t="str">
        <x:v>configuration board</x:v>
      </x:c>
      <x:c r="I38" s="44" t="str"/>
      <x:c r="J38" s="44" t="str"/>
      <x:c r="K38" s="44" t="str">
        <x:f>IF(J38="","OPEN",IF(I38="PASS","PASS","FAIL"))</x:f>
        <x:v>OPEN</x:v>
      </x:c>
    </x:row>
    <x:row r="39" ht="38" customHeight="1">
      <x:c r="B39" s="44" t="str">
        <x:v>RAC-BG-0033</x:v>
      </x:c>
      <x:c r="C39" s="44" t="str">
        <x:v>REA-O-B1</x:v>
      </x:c>
      <x:c r="D39" s="44" t="str">
        <x:v>BL-X</x:v>
      </x:c>
      <x:c r="E39" s="44" t="str">
        <x:v>G01</x:v>
      </x:c>
      <x:c r="F39" s="44" t="str">
        <x:v>authority</x:v>
      </x:c>
      <x:c r="G39" s="45" t="str">
        <x:v>named work, configuration and acceptance authorities</x:v>
      </x:c>
      <x:c r="H39" s="44" t="str">
        <x:v>article board</x:v>
      </x:c>
      <x:c r="I39" s="44" t="str"/>
      <x:c r="J39" s="44" t="str"/>
      <x:c r="K39" s="44" t="str">
        <x:f>IF(J39="","OPEN",IF(I39="PASS","PASS","FAIL"))</x:f>
        <x:v>OPEN</x:v>
      </x:c>
    </x:row>
    <x:row r="40" ht="38" customHeight="1">
      <x:c r="B40" s="44" t="str">
        <x:v>RAC-BG-0034</x:v>
      </x:c>
      <x:c r="C40" s="44" t="str">
        <x:v>REA-O-B1</x:v>
      </x:c>
      <x:c r="D40" s="44" t="str">
        <x:v>BL-X</x:v>
      </x:c>
      <x:c r="E40" s="44" t="str">
        <x:v>G02</x:v>
      </x:c>
      <x:c r="F40" s="44" t="str">
        <x:v>drawing baseline</x:v>
      </x:c>
      <x:c r="G40" s="45" t="str">
        <x:v>all applicable controlled sheets accepted</x:v>
      </x:c>
      <x:c r="H40" s="44" t="str">
        <x:v>configuration board</x:v>
      </x:c>
      <x:c r="I40" s="44" t="str"/>
      <x:c r="J40" s="44" t="str"/>
      <x:c r="K40" s="44" t="str">
        <x:f>IF(J40="","OPEN",IF(I40="PASS","PASS","FAIL"))</x:f>
        <x:v>OPEN</x:v>
      </x:c>
    </x:row>
    <x:row r="41" ht="38" customHeight="1">
      <x:c r="B41" s="44" t="str">
        <x:v>RAC-BG-0035</x:v>
      </x:c>
      <x:c r="C41" s="44" t="str">
        <x:v>REA-O-B1</x:v>
      </x:c>
      <x:c r="D41" s="44" t="str">
        <x:v>BL-X</x:v>
      </x:c>
      <x:c r="E41" s="44" t="str">
        <x:v>G03</x:v>
      </x:c>
      <x:c r="F41" s="44" t="str">
        <x:v>material ancestry</x:v>
      </x:c>
      <x:c r="G41" s="45" t="str">
        <x:v>article lots and sibling evidence conserved</x:v>
      </x:c>
      <x:c r="H41" s="44" t="str">
        <x:v>article board</x:v>
      </x:c>
      <x:c r="I41" s="44" t="str"/>
      <x:c r="J41" s="44" t="str"/>
      <x:c r="K41" s="44" t="str">
        <x:f>IF(J41="","OPEN",IF(I41="PASS","PASS","FAIL"))</x:f>
        <x:v>OPEN</x:v>
      </x:c>
    </x:row>
    <x:row r="42" ht="38" customHeight="1">
      <x:c r="B42" s="44" t="str">
        <x:v>RAC-BG-0036</x:v>
      </x:c>
      <x:c r="C42" s="44" t="str">
        <x:v>REA-O-B1</x:v>
      </x:c>
      <x:c r="D42" s="44" t="str">
        <x:v>BL-X</x:v>
      </x:c>
      <x:c r="E42" s="44" t="str">
        <x:v>G04</x:v>
      </x:c>
      <x:c r="F42" s="44" t="str">
        <x:v>coupon evidence</x:v>
      </x:c>
      <x:c r="G42" s="45" t="str">
        <x:v>adjacent-process population accepted</x:v>
      </x:c>
      <x:c r="H42" s="44" t="str">
        <x:v>article board</x:v>
      </x:c>
      <x:c r="I42" s="44" t="str"/>
      <x:c r="J42" s="44" t="str"/>
      <x:c r="K42" s="44" t="str">
        <x:f>IF(J42="","OPEN",IF(I42="PASS","PASS","FAIL"))</x:f>
        <x:v>OPEN</x:v>
      </x:c>
    </x:row>
    <x:row r="43" ht="38" customHeight="1">
      <x:c r="B43" s="44" t="str">
        <x:v>RAC-BG-0037</x:v>
      </x:c>
      <x:c r="C43" s="44" t="str">
        <x:v>REA-O-B1</x:v>
      </x:c>
      <x:c r="D43" s="44" t="str">
        <x:v>BL-X</x:v>
      </x:c>
      <x:c r="E43" s="44" t="str">
        <x:v>G05</x:v>
      </x:c>
      <x:c r="F43" s="44" t="str">
        <x:v>process route</x:v>
      </x:c>
      <x:c r="G43" s="45" t="str">
        <x:v>lineage route and predecessor states accepted</x:v>
      </x:c>
      <x:c r="H43" s="44" t="str">
        <x:v>article board</x:v>
      </x:c>
      <x:c r="I43" s="44" t="str"/>
      <x:c r="J43" s="44" t="str"/>
      <x:c r="K43" s="44" t="str">
        <x:f>IF(J43="","OPEN",IF(I43="PASS","PASS","FAIL"))</x:f>
        <x:v>OPEN</x:v>
      </x:c>
    </x:row>
    <x:row r="44" ht="38" customHeight="1">
      <x:c r="B44" s="44" t="str">
        <x:v>RAC-BG-0038</x:v>
      </x:c>
      <x:c r="C44" s="44" t="str">
        <x:v>REA-O-B1</x:v>
      </x:c>
      <x:c r="D44" s="44" t="str">
        <x:v>BL-X</x:v>
      </x:c>
      <x:c r="E44" s="44" t="str">
        <x:v>G06</x:v>
      </x:c>
      <x:c r="F44" s="44" t="str">
        <x:v>as-built geometry</x:v>
      </x:c>
      <x:c r="G44" s="45" t="str">
        <x:v>datums, bore, length and port stations observed</x:v>
      </x:c>
      <x:c r="H44" s="44" t="str">
        <x:v>article board</x:v>
      </x:c>
      <x:c r="I44" s="44" t="str"/>
      <x:c r="J44" s="44" t="str"/>
      <x:c r="K44" s="44" t="str">
        <x:f>IF(J44="","OPEN",IF(I44="PASS","PASS","FAIL"))</x:f>
        <x:v>OPEN</x:v>
      </x:c>
    </x:row>
    <x:row r="45" ht="38" customHeight="1">
      <x:c r="B45" s="44" t="str">
        <x:v>RAC-BG-0039</x:v>
      </x:c>
      <x:c r="C45" s="44" t="str">
        <x:v>REA-O-B1</x:v>
      </x:c>
      <x:c r="D45" s="44" t="str">
        <x:v>BL-X</x:v>
      </x:c>
      <x:c r="E45" s="44" t="str">
        <x:v>G07</x:v>
      </x:c>
      <x:c r="F45" s="44" t="str">
        <x:v>joint evidence</x:v>
      </x:c>
      <x:c r="G45" s="45" t="str">
        <x:v>joint mechanism, NDE and terminal witness eligible</x:v>
      </x:c>
      <x:c r="H45" s="44" t="str">
        <x:v>article board</x:v>
      </x:c>
      <x:c r="I45" s="44" t="str"/>
      <x:c r="J45" s="44" t="str"/>
      <x:c r="K45" s="44" t="str">
        <x:f>IF(J45="","OPEN",IF(I45="PASS","PASS","FAIL"))</x:f>
        <x:v>OPEN</x:v>
      </x:c>
    </x:row>
    <x:row r="46" ht="38" customHeight="1">
      <x:c r="B46" s="44" t="str">
        <x:v>RAC-BG-0040</x:v>
      </x:c>
      <x:c r="C46" s="44" t="str">
        <x:v>REA-O-B1</x:v>
      </x:c>
      <x:c r="D46" s="44" t="str">
        <x:v>BL-X</x:v>
      </x:c>
      <x:c r="E46" s="44" t="str">
        <x:v>G08</x:v>
      </x:c>
      <x:c r="F46" s="44" t="str">
        <x:v>pressure and leak</x:v>
      </x:c>
      <x:c r="G46" s="45" t="str">
        <x:v>liquid proof and leak map accepted</x:v>
      </x:c>
      <x:c r="H46" s="44" t="str">
        <x:v>article board</x:v>
      </x:c>
      <x:c r="I46" s="44" t="str"/>
      <x:c r="J46" s="44" t="str"/>
      <x:c r="K46" s="44" t="str">
        <x:f>IF(J46="","OPEN",IF(I46="PASS","PASS","FAIL"))</x:f>
        <x:v>OPEN</x:v>
      </x:c>
    </x:row>
    <x:row r="47" ht="38" customHeight="1">
      <x:c r="B47" s="44" t="str">
        <x:v>RAC-BG-0041</x:v>
      </x:c>
      <x:c r="C47" s="44" t="str">
        <x:v>REA-O-B1</x:v>
      </x:c>
      <x:c r="D47" s="44" t="str">
        <x:v>BL-X</x:v>
      </x:c>
      <x:c r="E47" s="44" t="str">
        <x:v>G09</x:v>
      </x:c>
      <x:c r="F47" s="44" t="str">
        <x:v>surface and recovery</x:v>
      </x:c>
      <x:c r="G47" s="45" t="str">
        <x:v>roughness, contact angle, deadleg and residual accepted</x:v>
      </x:c>
      <x:c r="H47" s="44" t="str">
        <x:v>article board</x:v>
      </x:c>
      <x:c r="I47" s="44" t="str"/>
      <x:c r="J47" s="44" t="str"/>
      <x:c r="K47" s="44" t="str">
        <x:f>IF(J47="","OPEN",IF(I47="PASS","PASS","FAIL"))</x:f>
        <x:v>OPEN</x:v>
      </x:c>
    </x:row>
    <x:row r="48" ht="38" customHeight="1">
      <x:c r="B48" s="44" t="str">
        <x:v>RAC-BG-0042</x:v>
      </x:c>
      <x:c r="C48" s="44" t="str">
        <x:v>REA-O-B1</x:v>
      </x:c>
      <x:c r="D48" s="44" t="str">
        <x:v>BL-X</x:v>
      </x:c>
      <x:c r="E48" s="44" t="str">
        <x:v>G10</x:v>
      </x:c>
      <x:c r="F48" s="44" t="str">
        <x:v>safeing work</x:v>
      </x:c>
      <x:c r="G48" s="45" t="str">
        <x:v>spring work and direct witness interfaces accepted</x:v>
      </x:c>
      <x:c r="H48" s="44" t="str">
        <x:v>safeing authority</x:v>
      </x:c>
      <x:c r="I48" s="44" t="str"/>
      <x:c r="J48" s="44" t="str"/>
      <x:c r="K48" s="44" t="str">
        <x:f>IF(J48="","OPEN",IF(I48="PASS","PASS","FAIL"))</x:f>
        <x:v>OPEN</x:v>
      </x:c>
    </x:row>
    <x:row r="49" ht="38" customHeight="1">
      <x:c r="B49" s="44" t="str">
        <x:v>RAC-BG-0043</x:v>
      </x:c>
      <x:c r="C49" s="44" t="str">
        <x:v>REA-O-B1</x:v>
      </x:c>
      <x:c r="D49" s="44" t="str">
        <x:v>BL-X</x:v>
      </x:c>
      <x:c r="E49" s="44" t="str">
        <x:v>G11</x:v>
      </x:c>
      <x:c r="F49" s="44" t="str">
        <x:v>independent energy</x:v>
      </x:c>
      <x:c r="G49" s="45" t="str">
        <x:v>critical services close at low stored state</x:v>
      </x:c>
      <x:c r="H49" s="44" t="str">
        <x:v>safeing authority</x:v>
      </x:c>
      <x:c r="I49" s="44" t="str"/>
      <x:c r="J49" s="44" t="str"/>
      <x:c r="K49" s="44" t="str">
        <x:f>IF(J49="","OPEN",IF(I49="PASS","PASS","FAIL"))</x:f>
        <x:v>OPEN</x:v>
      </x:c>
    </x:row>
    <x:row r="50" ht="38" customHeight="1">
      <x:c r="B50" s="44" t="str">
        <x:v>RAC-BG-0044</x:v>
      </x:c>
      <x:c r="C50" s="44" t="str">
        <x:v>REA-O-B1</x:v>
      </x:c>
      <x:c r="D50" s="44" t="str">
        <x:v>BL-X</x:v>
      </x:c>
      <x:c r="E50" s="44" t="str">
        <x:v>G12</x:v>
      </x:c>
      <x:c r="F50" s="44" t="str">
        <x:v>instrumentation</x:v>
      </x:c>
      <x:c r="G50" s="45" t="str">
        <x:v>mount, range, power, time and evidence interfaces accepted</x:v>
      </x:c>
      <x:c r="H50" s="44" t="str">
        <x:v>article board</x:v>
      </x:c>
      <x:c r="I50" s="44" t="str"/>
      <x:c r="J50" s="44" t="str"/>
      <x:c r="K50" s="44" t="str">
        <x:f>IF(J50="","OPEN",IF(I50="PASS","PASS","FAIL"))</x:f>
        <x:v>OPEN</x:v>
      </x:c>
    </x:row>
    <x:row r="51" ht="38" customHeight="1">
      <x:c r="B51" s="44" t="str">
        <x:v>RAC-BG-0045</x:v>
      </x:c>
      <x:c r="C51" s="44" t="str">
        <x:v>REA-O-B1</x:v>
      </x:c>
      <x:c r="D51" s="44" t="str">
        <x:v>BL-X</x:v>
      </x:c>
      <x:c r="E51" s="44" t="str">
        <x:v>G13</x:v>
      </x:c>
      <x:c r="F51" s="44" t="str">
        <x:v>mass and CG</x:v>
      </x:c>
      <x:c r="G51" s="45" t="str">
        <x:v>stowed mass, CG, lift and restraints accepted</x:v>
      </x:c>
      <x:c r="H51" s="44" t="str">
        <x:v>article board</x:v>
      </x:c>
      <x:c r="I51" s="44" t="str"/>
      <x:c r="J51" s="44" t="str"/>
      <x:c r="K51" s="44" t="str">
        <x:f>IF(J51="","OPEN",IF(I51="PASS","PASS","FAIL"))</x:f>
        <x:v>OPEN</x:v>
      </x:c>
    </x:row>
    <x:row r="52" ht="38" customHeight="1">
      <x:c r="B52" s="44" t="str">
        <x:v>RAC-BG-0046</x:v>
      </x:c>
      <x:c r="C52" s="44" t="str">
        <x:v>REA-O-B1</x:v>
      </x:c>
      <x:c r="D52" s="44" t="str">
        <x:v>BL-X</x:v>
      </x:c>
      <x:c r="E52" s="44" t="str">
        <x:v>G14</x:v>
      </x:c>
      <x:c r="F52" s="44" t="str">
        <x:v>access and rescue</x:v>
      </x:c>
      <x:c r="G52" s="45" t="str">
        <x:v>manual action, isolation and removal volumes accepted</x:v>
      </x:c>
      <x:c r="H52" s="44" t="str">
        <x:v>article board</x:v>
      </x:c>
      <x:c r="I52" s="44" t="str"/>
      <x:c r="J52" s="44" t="str"/>
      <x:c r="K52" s="44" t="str">
        <x:f>IF(J52="","OPEN",IF(I52="PASS","PASS","FAIL"))</x:f>
        <x:v>OPEN</x:v>
      </x:c>
    </x:row>
    <x:row r="53" ht="38" customHeight="1">
      <x:c r="B53" s="44" t="str">
        <x:v>RAC-BG-0047</x:v>
      </x:c>
      <x:c r="C53" s="44" t="str">
        <x:v>REA-O-B1</x:v>
      </x:c>
      <x:c r="D53" s="44" t="str">
        <x:v>BL-X</x:v>
      </x:c>
      <x:c r="E53" s="44" t="str">
        <x:v>G15</x:v>
      </x:c>
      <x:c r="F53" s="44" t="str">
        <x:v>nonconformance closure</x:v>
      </x:c>
      <x:c r="G53" s="45" t="str">
        <x:v>all branches have disposition and effect assessment</x:v>
      </x:c>
      <x:c r="H53" s="44" t="str">
        <x:v>article board</x:v>
      </x:c>
      <x:c r="I53" s="44" t="str"/>
      <x:c r="J53" s="44" t="str"/>
      <x:c r="K53" s="44" t="str">
        <x:f>IF(J53="","OPEN",IF(I53="PASS","PASS","FAIL"))</x:f>
        <x:v>OPEN</x:v>
      </x:c>
    </x:row>
    <x:row r="54" ht="38" customHeight="1">
      <x:c r="B54" s="44" t="str">
        <x:v>RAC-BG-0048</x:v>
      </x:c>
      <x:c r="C54" s="44" t="str">
        <x:v>REA-O-B1</x:v>
      </x:c>
      <x:c r="D54" s="44" t="str">
        <x:v>BL-X</x:v>
      </x:c>
      <x:c r="E54" s="44" t="str">
        <x:v>G16</x:v>
      </x:c>
      <x:c r="F54" s="44" t="str">
        <x:v>configuration freeze</x:v>
      </x:c>
      <x:c r="G54" s="45" t="str">
        <x:v>physical state, evidence hashes and release baseline co-signed</x:v>
      </x:c>
      <x:c r="H54" s="44" t="str">
        <x:v>configuration board</x:v>
      </x:c>
      <x:c r="I54" s="44" t="str"/>
      <x:c r="J54" s="44" t="str"/>
      <x:c r="K54" s="44" t="str">
        <x:f>IF(J54="","OPEN",IF(I54="PASS","PASS","FAIL"))</x:f>
        <x:v>OPEN</x:v>
      </x:c>
    </x:row>
    <x:row r="55" ht="38" customHeight="1">
      <x:c r="B55" s="44" t="str">
        <x:v>RAC-BG-0049</x:v>
      </x:c>
      <x:c r="C55" s="44" t="str">
        <x:v>REA-O-B2</x:v>
      </x:c>
      <x:c r="D55" s="44" t="str">
        <x:v>BL-Y</x:v>
      </x:c>
      <x:c r="E55" s="44" t="str">
        <x:v>G01</x:v>
      </x:c>
      <x:c r="F55" s="44" t="str">
        <x:v>authority</x:v>
      </x:c>
      <x:c r="G55" s="45" t="str">
        <x:v>named work, configuration and acceptance authorities</x:v>
      </x:c>
      <x:c r="H55" s="44" t="str">
        <x:v>article board</x:v>
      </x:c>
      <x:c r="I55" s="44" t="str"/>
      <x:c r="J55" s="44" t="str"/>
      <x:c r="K55" s="44" t="str">
        <x:f>IF(J55="","OPEN",IF(I55="PASS","PASS","FAIL"))</x:f>
        <x:v>OPEN</x:v>
      </x:c>
    </x:row>
    <x:row r="56" ht="38" customHeight="1">
      <x:c r="B56" s="44" t="str">
        <x:v>RAC-BG-0050</x:v>
      </x:c>
      <x:c r="C56" s="44" t="str">
        <x:v>REA-O-B2</x:v>
      </x:c>
      <x:c r="D56" s="44" t="str">
        <x:v>BL-Y</x:v>
      </x:c>
      <x:c r="E56" s="44" t="str">
        <x:v>G02</x:v>
      </x:c>
      <x:c r="F56" s="44" t="str">
        <x:v>drawing baseline</x:v>
      </x:c>
      <x:c r="G56" s="45" t="str">
        <x:v>all applicable controlled sheets accepted</x:v>
      </x:c>
      <x:c r="H56" s="44" t="str">
        <x:v>configuration board</x:v>
      </x:c>
      <x:c r="I56" s="44" t="str"/>
      <x:c r="J56" s="44" t="str"/>
      <x:c r="K56" s="44" t="str">
        <x:f>IF(J56="","OPEN",IF(I56="PASS","PASS","FAIL"))</x:f>
        <x:v>OPEN</x:v>
      </x:c>
    </x:row>
    <x:row r="57" ht="38" customHeight="1">
      <x:c r="B57" s="44" t="str">
        <x:v>RAC-BG-0051</x:v>
      </x:c>
      <x:c r="C57" s="44" t="str">
        <x:v>REA-O-B2</x:v>
      </x:c>
      <x:c r="D57" s="44" t="str">
        <x:v>BL-Y</x:v>
      </x:c>
      <x:c r="E57" s="44" t="str">
        <x:v>G03</x:v>
      </x:c>
      <x:c r="F57" s="44" t="str">
        <x:v>material ancestry</x:v>
      </x:c>
      <x:c r="G57" s="45" t="str">
        <x:v>article lots and sibling evidence conserved</x:v>
      </x:c>
      <x:c r="H57" s="44" t="str">
        <x:v>article board</x:v>
      </x:c>
      <x:c r="I57" s="44" t="str"/>
      <x:c r="J57" s="44" t="str"/>
      <x:c r="K57" s="44" t="str">
        <x:f>IF(J57="","OPEN",IF(I57="PASS","PASS","FAIL"))</x:f>
        <x:v>OPEN</x:v>
      </x:c>
    </x:row>
    <x:row r="58" ht="38" customHeight="1">
      <x:c r="B58" s="44" t="str">
        <x:v>RAC-BG-0052</x:v>
      </x:c>
      <x:c r="C58" s="44" t="str">
        <x:v>REA-O-B2</x:v>
      </x:c>
      <x:c r="D58" s="44" t="str">
        <x:v>BL-Y</x:v>
      </x:c>
      <x:c r="E58" s="44" t="str">
        <x:v>G04</x:v>
      </x:c>
      <x:c r="F58" s="44" t="str">
        <x:v>coupon evidence</x:v>
      </x:c>
      <x:c r="G58" s="45" t="str">
        <x:v>adjacent-process population accepted</x:v>
      </x:c>
      <x:c r="H58" s="44" t="str">
        <x:v>article board</x:v>
      </x:c>
      <x:c r="I58" s="44" t="str"/>
      <x:c r="J58" s="44" t="str"/>
      <x:c r="K58" s="44" t="str">
        <x:f>IF(J58="","OPEN",IF(I58="PASS","PASS","FAIL"))</x:f>
        <x:v>OPEN</x:v>
      </x:c>
    </x:row>
    <x:row r="59" ht="38" customHeight="1">
      <x:c r="B59" s="44" t="str">
        <x:v>RAC-BG-0053</x:v>
      </x:c>
      <x:c r="C59" s="44" t="str">
        <x:v>REA-O-B2</x:v>
      </x:c>
      <x:c r="D59" s="44" t="str">
        <x:v>BL-Y</x:v>
      </x:c>
      <x:c r="E59" s="44" t="str">
        <x:v>G05</x:v>
      </x:c>
      <x:c r="F59" s="44" t="str">
        <x:v>process route</x:v>
      </x:c>
      <x:c r="G59" s="45" t="str">
        <x:v>lineage route and predecessor states accepted</x:v>
      </x:c>
      <x:c r="H59" s="44" t="str">
        <x:v>article board</x:v>
      </x:c>
      <x:c r="I59" s="44" t="str"/>
      <x:c r="J59" s="44" t="str"/>
      <x:c r="K59" s="44" t="str">
        <x:f>IF(J59="","OPEN",IF(I59="PASS","PASS","FAIL"))</x:f>
        <x:v>OPEN</x:v>
      </x:c>
    </x:row>
    <x:row r="60" ht="38" customHeight="1">
      <x:c r="B60" s="44" t="str">
        <x:v>RAC-BG-0054</x:v>
      </x:c>
      <x:c r="C60" s="44" t="str">
        <x:v>REA-O-B2</x:v>
      </x:c>
      <x:c r="D60" s="44" t="str">
        <x:v>BL-Y</x:v>
      </x:c>
      <x:c r="E60" s="44" t="str">
        <x:v>G06</x:v>
      </x:c>
      <x:c r="F60" s="44" t="str">
        <x:v>as-built geometry</x:v>
      </x:c>
      <x:c r="G60" s="45" t="str">
        <x:v>datums, bore, length and port stations observed</x:v>
      </x:c>
      <x:c r="H60" s="44" t="str">
        <x:v>article board</x:v>
      </x:c>
      <x:c r="I60" s="44" t="str"/>
      <x:c r="J60" s="44" t="str"/>
      <x:c r="K60" s="44" t="str">
        <x:f>IF(J60="","OPEN",IF(I60="PASS","PASS","FAIL"))</x:f>
        <x:v>OPEN</x:v>
      </x:c>
    </x:row>
    <x:row r="61" ht="38" customHeight="1">
      <x:c r="B61" s="44" t="str">
        <x:v>RAC-BG-0055</x:v>
      </x:c>
      <x:c r="C61" s="44" t="str">
        <x:v>REA-O-B2</x:v>
      </x:c>
      <x:c r="D61" s="44" t="str">
        <x:v>BL-Y</x:v>
      </x:c>
      <x:c r="E61" s="44" t="str">
        <x:v>G07</x:v>
      </x:c>
      <x:c r="F61" s="44" t="str">
        <x:v>joint evidence</x:v>
      </x:c>
      <x:c r="G61" s="45" t="str">
        <x:v>joint mechanism, NDE and terminal witness eligible</x:v>
      </x:c>
      <x:c r="H61" s="44" t="str">
        <x:v>article board</x:v>
      </x:c>
      <x:c r="I61" s="44" t="str"/>
      <x:c r="J61" s="44" t="str"/>
      <x:c r="K61" s="44" t="str">
        <x:f>IF(J61="","OPEN",IF(I61="PASS","PASS","FAIL"))</x:f>
        <x:v>OPEN</x:v>
      </x:c>
    </x:row>
    <x:row r="62" ht="38" customHeight="1">
      <x:c r="B62" s="44" t="str">
        <x:v>RAC-BG-0056</x:v>
      </x:c>
      <x:c r="C62" s="44" t="str">
        <x:v>REA-O-B2</x:v>
      </x:c>
      <x:c r="D62" s="44" t="str">
        <x:v>BL-Y</x:v>
      </x:c>
      <x:c r="E62" s="44" t="str">
        <x:v>G08</x:v>
      </x:c>
      <x:c r="F62" s="44" t="str">
        <x:v>pressure and leak</x:v>
      </x:c>
      <x:c r="G62" s="45" t="str">
        <x:v>liquid proof and leak map accepted</x:v>
      </x:c>
      <x:c r="H62" s="44" t="str">
        <x:v>article board</x:v>
      </x:c>
      <x:c r="I62" s="44" t="str"/>
      <x:c r="J62" s="44" t="str"/>
      <x:c r="K62" s="44" t="str">
        <x:f>IF(J62="","OPEN",IF(I62="PASS","PASS","FAIL"))</x:f>
        <x:v>OPEN</x:v>
      </x:c>
    </x:row>
    <x:row r="63" ht="38" customHeight="1">
      <x:c r="B63" s="44" t="str">
        <x:v>RAC-BG-0057</x:v>
      </x:c>
      <x:c r="C63" s="44" t="str">
        <x:v>REA-O-B2</x:v>
      </x:c>
      <x:c r="D63" s="44" t="str">
        <x:v>BL-Y</x:v>
      </x:c>
      <x:c r="E63" s="44" t="str">
        <x:v>G09</x:v>
      </x:c>
      <x:c r="F63" s="44" t="str">
        <x:v>surface and recovery</x:v>
      </x:c>
      <x:c r="G63" s="45" t="str">
        <x:v>roughness, contact angle, deadleg and residual accepted</x:v>
      </x:c>
      <x:c r="H63" s="44" t="str">
        <x:v>article board</x:v>
      </x:c>
      <x:c r="I63" s="44" t="str"/>
      <x:c r="J63" s="44" t="str"/>
      <x:c r="K63" s="44" t="str">
        <x:f>IF(J63="","OPEN",IF(I63="PASS","PASS","FAIL"))</x:f>
        <x:v>OPEN</x:v>
      </x:c>
    </x:row>
    <x:row r="64" ht="38" customHeight="1">
      <x:c r="B64" s="44" t="str">
        <x:v>RAC-BG-0058</x:v>
      </x:c>
      <x:c r="C64" s="44" t="str">
        <x:v>REA-O-B2</x:v>
      </x:c>
      <x:c r="D64" s="44" t="str">
        <x:v>BL-Y</x:v>
      </x:c>
      <x:c r="E64" s="44" t="str">
        <x:v>G10</x:v>
      </x:c>
      <x:c r="F64" s="44" t="str">
        <x:v>safeing work</x:v>
      </x:c>
      <x:c r="G64" s="45" t="str">
        <x:v>spring work and direct witness interfaces accepted</x:v>
      </x:c>
      <x:c r="H64" s="44" t="str">
        <x:v>safeing authority</x:v>
      </x:c>
      <x:c r="I64" s="44" t="str"/>
      <x:c r="J64" s="44" t="str"/>
      <x:c r="K64" s="44" t="str">
        <x:f>IF(J64="","OPEN",IF(I64="PASS","PASS","FAIL"))</x:f>
        <x:v>OPEN</x:v>
      </x:c>
    </x:row>
    <x:row r="65" ht="38" customHeight="1">
      <x:c r="B65" s="44" t="str">
        <x:v>RAC-BG-0059</x:v>
      </x:c>
      <x:c r="C65" s="44" t="str">
        <x:v>REA-O-B2</x:v>
      </x:c>
      <x:c r="D65" s="44" t="str">
        <x:v>BL-Y</x:v>
      </x:c>
      <x:c r="E65" s="44" t="str">
        <x:v>G11</x:v>
      </x:c>
      <x:c r="F65" s="44" t="str">
        <x:v>independent energy</x:v>
      </x:c>
      <x:c r="G65" s="45" t="str">
        <x:v>critical services close at low stored state</x:v>
      </x:c>
      <x:c r="H65" s="44" t="str">
        <x:v>safeing authority</x:v>
      </x:c>
      <x:c r="I65" s="44" t="str"/>
      <x:c r="J65" s="44" t="str"/>
      <x:c r="K65" s="44" t="str">
        <x:f>IF(J65="","OPEN",IF(I65="PASS","PASS","FAIL"))</x:f>
        <x:v>OPEN</x:v>
      </x:c>
    </x:row>
    <x:row r="66" ht="38" customHeight="1">
      <x:c r="B66" s="44" t="str">
        <x:v>RAC-BG-0060</x:v>
      </x:c>
      <x:c r="C66" s="44" t="str">
        <x:v>REA-O-B2</x:v>
      </x:c>
      <x:c r="D66" s="44" t="str">
        <x:v>BL-Y</x:v>
      </x:c>
      <x:c r="E66" s="44" t="str">
        <x:v>G12</x:v>
      </x:c>
      <x:c r="F66" s="44" t="str">
        <x:v>instrumentation</x:v>
      </x:c>
      <x:c r="G66" s="45" t="str">
        <x:v>mount, range, power, time and evidence interfaces accepted</x:v>
      </x:c>
      <x:c r="H66" s="44" t="str">
        <x:v>article board</x:v>
      </x:c>
      <x:c r="I66" s="44" t="str"/>
      <x:c r="J66" s="44" t="str"/>
      <x:c r="K66" s="44" t="str">
        <x:f>IF(J66="","OPEN",IF(I66="PASS","PASS","FAIL"))</x:f>
        <x:v>OPEN</x:v>
      </x:c>
    </x:row>
    <x:row r="67" ht="38" customHeight="1">
      <x:c r="B67" s="44" t="str">
        <x:v>RAC-BG-0061</x:v>
      </x:c>
      <x:c r="C67" s="44" t="str">
        <x:v>REA-O-B2</x:v>
      </x:c>
      <x:c r="D67" s="44" t="str">
        <x:v>BL-Y</x:v>
      </x:c>
      <x:c r="E67" s="44" t="str">
        <x:v>G13</x:v>
      </x:c>
      <x:c r="F67" s="44" t="str">
        <x:v>mass and CG</x:v>
      </x:c>
      <x:c r="G67" s="45" t="str">
        <x:v>stowed mass, CG, lift and restraints accepted</x:v>
      </x:c>
      <x:c r="H67" s="44" t="str">
        <x:v>article board</x:v>
      </x:c>
      <x:c r="I67" s="44" t="str"/>
      <x:c r="J67" s="44" t="str"/>
      <x:c r="K67" s="44" t="str">
        <x:f>IF(J67="","OPEN",IF(I67="PASS","PASS","FAIL"))</x:f>
        <x:v>OPEN</x:v>
      </x:c>
    </x:row>
    <x:row r="68" ht="38" customHeight="1">
      <x:c r="B68" s="44" t="str">
        <x:v>RAC-BG-0062</x:v>
      </x:c>
      <x:c r="C68" s="44" t="str">
        <x:v>REA-O-B2</x:v>
      </x:c>
      <x:c r="D68" s="44" t="str">
        <x:v>BL-Y</x:v>
      </x:c>
      <x:c r="E68" s="44" t="str">
        <x:v>G14</x:v>
      </x:c>
      <x:c r="F68" s="44" t="str">
        <x:v>access and rescue</x:v>
      </x:c>
      <x:c r="G68" s="45" t="str">
        <x:v>manual action, isolation and removal volumes accepted</x:v>
      </x:c>
      <x:c r="H68" s="44" t="str">
        <x:v>article board</x:v>
      </x:c>
      <x:c r="I68" s="44" t="str"/>
      <x:c r="J68" s="44" t="str"/>
      <x:c r="K68" s="44" t="str">
        <x:f>IF(J68="","OPEN",IF(I68="PASS","PASS","FAIL"))</x:f>
        <x:v>OPEN</x:v>
      </x:c>
    </x:row>
    <x:row r="69" ht="38" customHeight="1">
      <x:c r="B69" s="44" t="str">
        <x:v>RAC-BG-0063</x:v>
      </x:c>
      <x:c r="C69" s="44" t="str">
        <x:v>REA-O-B2</x:v>
      </x:c>
      <x:c r="D69" s="44" t="str">
        <x:v>BL-Y</x:v>
      </x:c>
      <x:c r="E69" s="44" t="str">
        <x:v>G15</x:v>
      </x:c>
      <x:c r="F69" s="44" t="str">
        <x:v>nonconformance closure</x:v>
      </x:c>
      <x:c r="G69" s="45" t="str">
        <x:v>all branches have disposition and effect assessment</x:v>
      </x:c>
      <x:c r="H69" s="44" t="str">
        <x:v>article board</x:v>
      </x:c>
      <x:c r="I69" s="44" t="str"/>
      <x:c r="J69" s="44" t="str"/>
      <x:c r="K69" s="44" t="str">
        <x:f>IF(J69="","OPEN",IF(I69="PASS","PASS","FAIL"))</x:f>
        <x:v>OPEN</x:v>
      </x:c>
    </x:row>
    <x:row r="70" ht="38" customHeight="1">
      <x:c r="B70" s="44" t="str">
        <x:v>RAC-BG-0064</x:v>
      </x:c>
      <x:c r="C70" s="44" t="str">
        <x:v>REA-O-B2</x:v>
      </x:c>
      <x:c r="D70" s="44" t="str">
        <x:v>BL-Y</x:v>
      </x:c>
      <x:c r="E70" s="44" t="str">
        <x:v>G16</x:v>
      </x:c>
      <x:c r="F70" s="44" t="str">
        <x:v>configuration freeze</x:v>
      </x:c>
      <x:c r="G70" s="45" t="str">
        <x:v>physical state, evidence hashes and release baseline co-signed</x:v>
      </x:c>
      <x:c r="H70" s="44" t="str">
        <x:v>configuration board</x:v>
      </x:c>
      <x:c r="I70" s="44" t="str"/>
      <x:c r="J70" s="44" t="str"/>
      <x:c r="K70" s="44" t="str">
        <x:f>IF(J70="","OPEN",IF(I70="PASS","PASS","FAIL"))</x:f>
        <x:v>OPEN</x:v>
      </x:c>
    </x:row>
    <x:row r="71" ht="38" customHeight="1">
      <x:c r="B71" s="44" t="str">
        <x:v>RAC-BG-0065</x:v>
      </x:c>
      <x:c r="C71" s="44" t="str">
        <x:v>REA-O-C1</x:v>
      </x:c>
      <x:c r="D71" s="44" t="str">
        <x:v>BL-X</x:v>
      </x:c>
      <x:c r="E71" s="44" t="str">
        <x:v>G01</x:v>
      </x:c>
      <x:c r="F71" s="44" t="str">
        <x:v>authority</x:v>
      </x:c>
      <x:c r="G71" s="45" t="str">
        <x:v>named work, configuration and acceptance authorities</x:v>
      </x:c>
      <x:c r="H71" s="44" t="str">
        <x:v>article board</x:v>
      </x:c>
      <x:c r="I71" s="44" t="str"/>
      <x:c r="J71" s="44" t="str"/>
      <x:c r="K71" s="44" t="str">
        <x:f>IF(J71="","OPEN",IF(I71="PASS","PASS","FAIL"))</x:f>
        <x:v>OPEN</x:v>
      </x:c>
    </x:row>
    <x:row r="72" ht="38" customHeight="1">
      <x:c r="B72" s="44" t="str">
        <x:v>RAC-BG-0066</x:v>
      </x:c>
      <x:c r="C72" s="44" t="str">
        <x:v>REA-O-C1</x:v>
      </x:c>
      <x:c r="D72" s="44" t="str">
        <x:v>BL-X</x:v>
      </x:c>
      <x:c r="E72" s="44" t="str">
        <x:v>G02</x:v>
      </x:c>
      <x:c r="F72" s="44" t="str">
        <x:v>drawing baseline</x:v>
      </x:c>
      <x:c r="G72" s="45" t="str">
        <x:v>all applicable controlled sheets accepted</x:v>
      </x:c>
      <x:c r="H72" s="44" t="str">
        <x:v>configuration board</x:v>
      </x:c>
      <x:c r="I72" s="44" t="str"/>
      <x:c r="J72" s="44" t="str"/>
      <x:c r="K72" s="44" t="str">
        <x:f>IF(J72="","OPEN",IF(I72="PASS","PASS","FAIL"))</x:f>
        <x:v>OPEN</x:v>
      </x:c>
    </x:row>
    <x:row r="73" ht="38" customHeight="1">
      <x:c r="B73" s="44" t="str">
        <x:v>RAC-BG-0067</x:v>
      </x:c>
      <x:c r="C73" s="44" t="str">
        <x:v>REA-O-C1</x:v>
      </x:c>
      <x:c r="D73" s="44" t="str">
        <x:v>BL-X</x:v>
      </x:c>
      <x:c r="E73" s="44" t="str">
        <x:v>G03</x:v>
      </x:c>
      <x:c r="F73" s="44" t="str">
        <x:v>material ancestry</x:v>
      </x:c>
      <x:c r="G73" s="45" t="str">
        <x:v>article lots and sibling evidence conserved</x:v>
      </x:c>
      <x:c r="H73" s="44" t="str">
        <x:v>article board</x:v>
      </x:c>
      <x:c r="I73" s="44" t="str"/>
      <x:c r="J73" s="44" t="str"/>
      <x:c r="K73" s="44" t="str">
        <x:f>IF(J73="","OPEN",IF(I73="PASS","PASS","FAIL"))</x:f>
        <x:v>OPEN</x:v>
      </x:c>
    </x:row>
    <x:row r="74" ht="38" customHeight="1">
      <x:c r="B74" s="44" t="str">
        <x:v>RAC-BG-0068</x:v>
      </x:c>
      <x:c r="C74" s="44" t="str">
        <x:v>REA-O-C1</x:v>
      </x:c>
      <x:c r="D74" s="44" t="str">
        <x:v>BL-X</x:v>
      </x:c>
      <x:c r="E74" s="44" t="str">
        <x:v>G04</x:v>
      </x:c>
      <x:c r="F74" s="44" t="str">
        <x:v>coupon evidence</x:v>
      </x:c>
      <x:c r="G74" s="45" t="str">
        <x:v>adjacent-process population accepted</x:v>
      </x:c>
      <x:c r="H74" s="44" t="str">
        <x:v>article board</x:v>
      </x:c>
      <x:c r="I74" s="44" t="str"/>
      <x:c r="J74" s="44" t="str"/>
      <x:c r="K74" s="44" t="str">
        <x:f>IF(J74="","OPEN",IF(I74="PASS","PASS","FAIL"))</x:f>
        <x:v>OPEN</x:v>
      </x:c>
    </x:row>
    <x:row r="75" ht="38" customHeight="1">
      <x:c r="B75" s="44" t="str">
        <x:v>RAC-BG-0069</x:v>
      </x:c>
      <x:c r="C75" s="44" t="str">
        <x:v>REA-O-C1</x:v>
      </x:c>
      <x:c r="D75" s="44" t="str">
        <x:v>BL-X</x:v>
      </x:c>
      <x:c r="E75" s="44" t="str">
        <x:v>G05</x:v>
      </x:c>
      <x:c r="F75" s="44" t="str">
        <x:v>process route</x:v>
      </x:c>
      <x:c r="G75" s="45" t="str">
        <x:v>lineage route and predecessor states accepted</x:v>
      </x:c>
      <x:c r="H75" s="44" t="str">
        <x:v>article board</x:v>
      </x:c>
      <x:c r="I75" s="44" t="str"/>
      <x:c r="J75" s="44" t="str"/>
      <x:c r="K75" s="44" t="str">
        <x:f>IF(J75="","OPEN",IF(I75="PASS","PASS","FAIL"))</x:f>
        <x:v>OPEN</x:v>
      </x:c>
    </x:row>
    <x:row r="76" ht="38" customHeight="1">
      <x:c r="B76" s="44" t="str">
        <x:v>RAC-BG-0070</x:v>
      </x:c>
      <x:c r="C76" s="44" t="str">
        <x:v>REA-O-C1</x:v>
      </x:c>
      <x:c r="D76" s="44" t="str">
        <x:v>BL-X</x:v>
      </x:c>
      <x:c r="E76" s="44" t="str">
        <x:v>G06</x:v>
      </x:c>
      <x:c r="F76" s="44" t="str">
        <x:v>as-built geometry</x:v>
      </x:c>
      <x:c r="G76" s="45" t="str">
        <x:v>datums, bore, length and port stations observed</x:v>
      </x:c>
      <x:c r="H76" s="44" t="str">
        <x:v>article board</x:v>
      </x:c>
      <x:c r="I76" s="44" t="str"/>
      <x:c r="J76" s="44" t="str"/>
      <x:c r="K76" s="44" t="str">
        <x:f>IF(J76="","OPEN",IF(I76="PASS","PASS","FAIL"))</x:f>
        <x:v>OPEN</x:v>
      </x:c>
    </x:row>
    <x:row r="77" ht="38" customHeight="1">
      <x:c r="B77" s="44" t="str">
        <x:v>RAC-BG-0071</x:v>
      </x:c>
      <x:c r="C77" s="44" t="str">
        <x:v>REA-O-C1</x:v>
      </x:c>
      <x:c r="D77" s="44" t="str">
        <x:v>BL-X</x:v>
      </x:c>
      <x:c r="E77" s="44" t="str">
        <x:v>G07</x:v>
      </x:c>
      <x:c r="F77" s="44" t="str">
        <x:v>joint evidence</x:v>
      </x:c>
      <x:c r="G77" s="45" t="str">
        <x:v>joint mechanism, NDE and terminal witness eligible</x:v>
      </x:c>
      <x:c r="H77" s="44" t="str">
        <x:v>article board</x:v>
      </x:c>
      <x:c r="I77" s="44" t="str"/>
      <x:c r="J77" s="44" t="str"/>
      <x:c r="K77" s="44" t="str">
        <x:f>IF(J77="","OPEN",IF(I77="PASS","PASS","FAIL"))</x:f>
        <x:v>OPEN</x:v>
      </x:c>
    </x:row>
    <x:row r="78" ht="38" customHeight="1">
      <x:c r="B78" s="44" t="str">
        <x:v>RAC-BG-0072</x:v>
      </x:c>
      <x:c r="C78" s="44" t="str">
        <x:v>REA-O-C1</x:v>
      </x:c>
      <x:c r="D78" s="44" t="str">
        <x:v>BL-X</x:v>
      </x:c>
      <x:c r="E78" s="44" t="str">
        <x:v>G08</x:v>
      </x:c>
      <x:c r="F78" s="44" t="str">
        <x:v>pressure and leak</x:v>
      </x:c>
      <x:c r="G78" s="45" t="str">
        <x:v>liquid proof and leak map accepted</x:v>
      </x:c>
      <x:c r="H78" s="44" t="str">
        <x:v>article board</x:v>
      </x:c>
      <x:c r="I78" s="44" t="str"/>
      <x:c r="J78" s="44" t="str"/>
      <x:c r="K78" s="44" t="str">
        <x:f>IF(J78="","OPEN",IF(I78="PASS","PASS","FAIL"))</x:f>
        <x:v>OPEN</x:v>
      </x:c>
    </x:row>
    <x:row r="79" ht="38" customHeight="1">
      <x:c r="B79" s="44" t="str">
        <x:v>RAC-BG-0073</x:v>
      </x:c>
      <x:c r="C79" s="44" t="str">
        <x:v>REA-O-C1</x:v>
      </x:c>
      <x:c r="D79" s="44" t="str">
        <x:v>BL-X</x:v>
      </x:c>
      <x:c r="E79" s="44" t="str">
        <x:v>G09</x:v>
      </x:c>
      <x:c r="F79" s="44" t="str">
        <x:v>surface and recovery</x:v>
      </x:c>
      <x:c r="G79" s="45" t="str">
        <x:v>roughness, contact angle, deadleg and residual accepted</x:v>
      </x:c>
      <x:c r="H79" s="44" t="str">
        <x:v>article board</x:v>
      </x:c>
      <x:c r="I79" s="44" t="str"/>
      <x:c r="J79" s="44" t="str"/>
      <x:c r="K79" s="44" t="str">
        <x:f>IF(J79="","OPEN",IF(I79="PASS","PASS","FAIL"))</x:f>
        <x:v>OPEN</x:v>
      </x:c>
    </x:row>
    <x:row r="80" ht="38" customHeight="1">
      <x:c r="B80" s="44" t="str">
        <x:v>RAC-BG-0074</x:v>
      </x:c>
      <x:c r="C80" s="44" t="str">
        <x:v>REA-O-C1</x:v>
      </x:c>
      <x:c r="D80" s="44" t="str">
        <x:v>BL-X</x:v>
      </x:c>
      <x:c r="E80" s="44" t="str">
        <x:v>G10</x:v>
      </x:c>
      <x:c r="F80" s="44" t="str">
        <x:v>safeing work</x:v>
      </x:c>
      <x:c r="G80" s="45" t="str">
        <x:v>spring work and direct witness interfaces accepted</x:v>
      </x:c>
      <x:c r="H80" s="44" t="str">
        <x:v>safeing authority</x:v>
      </x:c>
      <x:c r="I80" s="44" t="str"/>
      <x:c r="J80" s="44" t="str"/>
      <x:c r="K80" s="44" t="str">
        <x:f>IF(J80="","OPEN",IF(I80="PASS","PASS","FAIL"))</x:f>
        <x:v>OPEN</x:v>
      </x:c>
    </x:row>
    <x:row r="81" ht="38" customHeight="1">
      <x:c r="B81" s="44" t="str">
        <x:v>RAC-BG-0075</x:v>
      </x:c>
      <x:c r="C81" s="44" t="str">
        <x:v>REA-O-C1</x:v>
      </x:c>
      <x:c r="D81" s="44" t="str">
        <x:v>BL-X</x:v>
      </x:c>
      <x:c r="E81" s="44" t="str">
        <x:v>G11</x:v>
      </x:c>
      <x:c r="F81" s="44" t="str">
        <x:v>independent energy</x:v>
      </x:c>
      <x:c r="G81" s="45" t="str">
        <x:v>critical services close at low stored state</x:v>
      </x:c>
      <x:c r="H81" s="44" t="str">
        <x:v>safeing authority</x:v>
      </x:c>
      <x:c r="I81" s="44" t="str"/>
      <x:c r="J81" s="44" t="str"/>
      <x:c r="K81" s="44" t="str">
        <x:f>IF(J81="","OPEN",IF(I81="PASS","PASS","FAIL"))</x:f>
        <x:v>OPEN</x:v>
      </x:c>
    </x:row>
    <x:row r="82" ht="38" customHeight="1">
      <x:c r="B82" s="44" t="str">
        <x:v>RAC-BG-0076</x:v>
      </x:c>
      <x:c r="C82" s="44" t="str">
        <x:v>REA-O-C1</x:v>
      </x:c>
      <x:c r="D82" s="44" t="str">
        <x:v>BL-X</x:v>
      </x:c>
      <x:c r="E82" s="44" t="str">
        <x:v>G12</x:v>
      </x:c>
      <x:c r="F82" s="44" t="str">
        <x:v>instrumentation</x:v>
      </x:c>
      <x:c r="G82" s="45" t="str">
        <x:v>mount, range, power, time and evidence interfaces accepted</x:v>
      </x:c>
      <x:c r="H82" s="44" t="str">
        <x:v>article board</x:v>
      </x:c>
      <x:c r="I82" s="44" t="str"/>
      <x:c r="J82" s="44" t="str"/>
      <x:c r="K82" s="44" t="str">
        <x:f>IF(J82="","OPEN",IF(I82="PASS","PASS","FAIL"))</x:f>
        <x:v>OPEN</x:v>
      </x:c>
    </x:row>
    <x:row r="83" ht="38" customHeight="1">
      <x:c r="B83" s="44" t="str">
        <x:v>RAC-BG-0077</x:v>
      </x:c>
      <x:c r="C83" s="44" t="str">
        <x:v>REA-O-C1</x:v>
      </x:c>
      <x:c r="D83" s="44" t="str">
        <x:v>BL-X</x:v>
      </x:c>
      <x:c r="E83" s="44" t="str">
        <x:v>G13</x:v>
      </x:c>
      <x:c r="F83" s="44" t="str">
        <x:v>mass and CG</x:v>
      </x:c>
      <x:c r="G83" s="45" t="str">
        <x:v>stowed mass, CG, lift and restraints accepted</x:v>
      </x:c>
      <x:c r="H83" s="44" t="str">
        <x:v>article board</x:v>
      </x:c>
      <x:c r="I83" s="44" t="str"/>
      <x:c r="J83" s="44" t="str"/>
      <x:c r="K83" s="44" t="str">
        <x:f>IF(J83="","OPEN",IF(I83="PASS","PASS","FAIL"))</x:f>
        <x:v>OPEN</x:v>
      </x:c>
    </x:row>
    <x:row r="84" ht="38" customHeight="1">
      <x:c r="B84" s="44" t="str">
        <x:v>RAC-BG-0078</x:v>
      </x:c>
      <x:c r="C84" s="44" t="str">
        <x:v>REA-O-C1</x:v>
      </x:c>
      <x:c r="D84" s="44" t="str">
        <x:v>BL-X</x:v>
      </x:c>
      <x:c r="E84" s="44" t="str">
        <x:v>G14</x:v>
      </x:c>
      <x:c r="F84" s="44" t="str">
        <x:v>access and rescue</x:v>
      </x:c>
      <x:c r="G84" s="45" t="str">
        <x:v>manual action, isolation and removal volumes accepted</x:v>
      </x:c>
      <x:c r="H84" s="44" t="str">
        <x:v>article board</x:v>
      </x:c>
      <x:c r="I84" s="44" t="str"/>
      <x:c r="J84" s="44" t="str"/>
      <x:c r="K84" s="44" t="str">
        <x:f>IF(J84="","OPEN",IF(I84="PASS","PASS","FAIL"))</x:f>
        <x:v>OPEN</x:v>
      </x:c>
    </x:row>
    <x:row r="85" ht="38" customHeight="1">
      <x:c r="B85" s="44" t="str">
        <x:v>RAC-BG-0079</x:v>
      </x:c>
      <x:c r="C85" s="44" t="str">
        <x:v>REA-O-C1</x:v>
      </x:c>
      <x:c r="D85" s="44" t="str">
        <x:v>BL-X</x:v>
      </x:c>
      <x:c r="E85" s="44" t="str">
        <x:v>G15</x:v>
      </x:c>
      <x:c r="F85" s="44" t="str">
        <x:v>nonconformance closure</x:v>
      </x:c>
      <x:c r="G85" s="45" t="str">
        <x:v>all branches have disposition and effect assessment</x:v>
      </x:c>
      <x:c r="H85" s="44" t="str">
        <x:v>article board</x:v>
      </x:c>
      <x:c r="I85" s="44" t="str"/>
      <x:c r="J85" s="44" t="str"/>
      <x:c r="K85" s="44" t="str">
        <x:f>IF(J85="","OPEN",IF(I85="PASS","PASS","FAIL"))</x:f>
        <x:v>OPEN</x:v>
      </x:c>
    </x:row>
    <x:row r="86" ht="38" customHeight="1">
      <x:c r="B86" s="44" t="str">
        <x:v>RAC-BG-0080</x:v>
      </x:c>
      <x:c r="C86" s="44" t="str">
        <x:v>REA-O-C1</x:v>
      </x:c>
      <x:c r="D86" s="44" t="str">
        <x:v>BL-X</x:v>
      </x:c>
      <x:c r="E86" s="44" t="str">
        <x:v>G16</x:v>
      </x:c>
      <x:c r="F86" s="44" t="str">
        <x:v>configuration freeze</x:v>
      </x:c>
      <x:c r="G86" s="45" t="str">
        <x:v>physical state, evidence hashes and release baseline co-signed</x:v>
      </x:c>
      <x:c r="H86" s="44" t="str">
        <x:v>configuration board</x:v>
      </x:c>
      <x:c r="I86" s="44" t="str"/>
      <x:c r="J86" s="44" t="str"/>
      <x:c r="K86" s="44" t="str">
        <x:f>IF(J86="","OPEN",IF(I86="PASS","PASS","FAIL"))</x:f>
        <x:v>OPEN</x:v>
      </x:c>
    </x:row>
    <x:row r="87" ht="38" customHeight="1">
      <x:c r="B87" s="44" t="str">
        <x:v>RAC-BG-0081</x:v>
      </x:c>
      <x:c r="C87" s="44" t="str">
        <x:v>REA-O-C2</x:v>
      </x:c>
      <x:c r="D87" s="44" t="str">
        <x:v>BL-Y</x:v>
      </x:c>
      <x:c r="E87" s="44" t="str">
        <x:v>G01</x:v>
      </x:c>
      <x:c r="F87" s="44" t="str">
        <x:v>authority</x:v>
      </x:c>
      <x:c r="G87" s="45" t="str">
        <x:v>named work, configuration and acceptance authorities</x:v>
      </x:c>
      <x:c r="H87" s="44" t="str">
        <x:v>article board</x:v>
      </x:c>
      <x:c r="I87" s="44" t="str"/>
      <x:c r="J87" s="44" t="str"/>
      <x:c r="K87" s="44" t="str">
        <x:f>IF(J87="","OPEN",IF(I87="PASS","PASS","FAIL"))</x:f>
        <x:v>OPEN</x:v>
      </x:c>
    </x:row>
    <x:row r="88" ht="38" customHeight="1">
      <x:c r="B88" s="44" t="str">
        <x:v>RAC-BG-0082</x:v>
      </x:c>
      <x:c r="C88" s="44" t="str">
        <x:v>REA-O-C2</x:v>
      </x:c>
      <x:c r="D88" s="44" t="str">
        <x:v>BL-Y</x:v>
      </x:c>
      <x:c r="E88" s="44" t="str">
        <x:v>G02</x:v>
      </x:c>
      <x:c r="F88" s="44" t="str">
        <x:v>drawing baseline</x:v>
      </x:c>
      <x:c r="G88" s="45" t="str">
        <x:v>all applicable controlled sheets accepted</x:v>
      </x:c>
      <x:c r="H88" s="44" t="str">
        <x:v>configuration board</x:v>
      </x:c>
      <x:c r="I88" s="44" t="str"/>
      <x:c r="J88" s="44" t="str"/>
      <x:c r="K88" s="44" t="str">
        <x:f>IF(J88="","OPEN",IF(I88="PASS","PASS","FAIL"))</x:f>
        <x:v>OPEN</x:v>
      </x:c>
    </x:row>
    <x:row r="89" ht="38" customHeight="1">
      <x:c r="B89" s="44" t="str">
        <x:v>RAC-BG-0083</x:v>
      </x:c>
      <x:c r="C89" s="44" t="str">
        <x:v>REA-O-C2</x:v>
      </x:c>
      <x:c r="D89" s="44" t="str">
        <x:v>BL-Y</x:v>
      </x:c>
      <x:c r="E89" s="44" t="str">
        <x:v>G03</x:v>
      </x:c>
      <x:c r="F89" s="44" t="str">
        <x:v>material ancestry</x:v>
      </x:c>
      <x:c r="G89" s="45" t="str">
        <x:v>article lots and sibling evidence conserved</x:v>
      </x:c>
      <x:c r="H89" s="44" t="str">
        <x:v>article board</x:v>
      </x:c>
      <x:c r="I89" s="44" t="str"/>
      <x:c r="J89" s="44" t="str"/>
      <x:c r="K89" s="44" t="str">
        <x:f>IF(J89="","OPEN",IF(I89="PASS","PASS","FAIL"))</x:f>
        <x:v>OPEN</x:v>
      </x:c>
    </x:row>
    <x:row r="90" ht="38" customHeight="1">
      <x:c r="B90" s="44" t="str">
        <x:v>RAC-BG-0084</x:v>
      </x:c>
      <x:c r="C90" s="44" t="str">
        <x:v>REA-O-C2</x:v>
      </x:c>
      <x:c r="D90" s="44" t="str">
        <x:v>BL-Y</x:v>
      </x:c>
      <x:c r="E90" s="44" t="str">
        <x:v>G04</x:v>
      </x:c>
      <x:c r="F90" s="44" t="str">
        <x:v>coupon evidence</x:v>
      </x:c>
      <x:c r="G90" s="45" t="str">
        <x:v>adjacent-process population accepted</x:v>
      </x:c>
      <x:c r="H90" s="44" t="str">
        <x:v>article board</x:v>
      </x:c>
      <x:c r="I90" s="44" t="str"/>
      <x:c r="J90" s="44" t="str"/>
      <x:c r="K90" s="44" t="str">
        <x:f>IF(J90="","OPEN",IF(I90="PASS","PASS","FAIL"))</x:f>
        <x:v>OPEN</x:v>
      </x:c>
    </x:row>
    <x:row r="91" ht="38" customHeight="1">
      <x:c r="B91" s="44" t="str">
        <x:v>RAC-BG-0085</x:v>
      </x:c>
      <x:c r="C91" s="44" t="str">
        <x:v>REA-O-C2</x:v>
      </x:c>
      <x:c r="D91" s="44" t="str">
        <x:v>BL-Y</x:v>
      </x:c>
      <x:c r="E91" s="44" t="str">
        <x:v>G05</x:v>
      </x:c>
      <x:c r="F91" s="44" t="str">
        <x:v>process route</x:v>
      </x:c>
      <x:c r="G91" s="45" t="str">
        <x:v>lineage route and predecessor states accepted</x:v>
      </x:c>
      <x:c r="H91" s="44" t="str">
        <x:v>article board</x:v>
      </x:c>
      <x:c r="I91" s="44" t="str"/>
      <x:c r="J91" s="44" t="str"/>
      <x:c r="K91" s="44" t="str">
        <x:f>IF(J91="","OPEN",IF(I91="PASS","PASS","FAIL"))</x:f>
        <x:v>OPEN</x:v>
      </x:c>
    </x:row>
    <x:row r="92" ht="38" customHeight="1">
      <x:c r="B92" s="44" t="str">
        <x:v>RAC-BG-0086</x:v>
      </x:c>
      <x:c r="C92" s="44" t="str">
        <x:v>REA-O-C2</x:v>
      </x:c>
      <x:c r="D92" s="44" t="str">
        <x:v>BL-Y</x:v>
      </x:c>
      <x:c r="E92" s="44" t="str">
        <x:v>G06</x:v>
      </x:c>
      <x:c r="F92" s="44" t="str">
        <x:v>as-built geometry</x:v>
      </x:c>
      <x:c r="G92" s="45" t="str">
        <x:v>datums, bore, length and port stations observed</x:v>
      </x:c>
      <x:c r="H92" s="44" t="str">
        <x:v>article board</x:v>
      </x:c>
      <x:c r="I92" s="44" t="str"/>
      <x:c r="J92" s="44" t="str"/>
      <x:c r="K92" s="44" t="str">
        <x:f>IF(J92="","OPEN",IF(I92="PASS","PASS","FAIL"))</x:f>
        <x:v>OPEN</x:v>
      </x:c>
    </x:row>
    <x:row r="93" ht="38" customHeight="1">
      <x:c r="B93" s="44" t="str">
        <x:v>RAC-BG-0087</x:v>
      </x:c>
      <x:c r="C93" s="44" t="str">
        <x:v>REA-O-C2</x:v>
      </x:c>
      <x:c r="D93" s="44" t="str">
        <x:v>BL-Y</x:v>
      </x:c>
      <x:c r="E93" s="44" t="str">
        <x:v>G07</x:v>
      </x:c>
      <x:c r="F93" s="44" t="str">
        <x:v>joint evidence</x:v>
      </x:c>
      <x:c r="G93" s="45" t="str">
        <x:v>joint mechanism, NDE and terminal witness eligible</x:v>
      </x:c>
      <x:c r="H93" s="44" t="str">
        <x:v>article board</x:v>
      </x:c>
      <x:c r="I93" s="44" t="str"/>
      <x:c r="J93" s="44" t="str"/>
      <x:c r="K93" s="44" t="str">
        <x:f>IF(J93="","OPEN",IF(I93="PASS","PASS","FAIL"))</x:f>
        <x:v>OPEN</x:v>
      </x:c>
    </x:row>
    <x:row r="94" ht="38" customHeight="1">
      <x:c r="B94" s="44" t="str">
        <x:v>RAC-BG-0088</x:v>
      </x:c>
      <x:c r="C94" s="44" t="str">
        <x:v>REA-O-C2</x:v>
      </x:c>
      <x:c r="D94" s="44" t="str">
        <x:v>BL-Y</x:v>
      </x:c>
      <x:c r="E94" s="44" t="str">
        <x:v>G08</x:v>
      </x:c>
      <x:c r="F94" s="44" t="str">
        <x:v>pressure and leak</x:v>
      </x:c>
      <x:c r="G94" s="45" t="str">
        <x:v>liquid proof and leak map accepted</x:v>
      </x:c>
      <x:c r="H94" s="44" t="str">
        <x:v>article board</x:v>
      </x:c>
      <x:c r="I94" s="44" t="str"/>
      <x:c r="J94" s="44" t="str"/>
      <x:c r="K94" s="44" t="str">
        <x:f>IF(J94="","OPEN",IF(I94="PASS","PASS","FAIL"))</x:f>
        <x:v>OPEN</x:v>
      </x:c>
    </x:row>
    <x:row r="95" ht="38" customHeight="1">
      <x:c r="B95" s="44" t="str">
        <x:v>RAC-BG-0089</x:v>
      </x:c>
      <x:c r="C95" s="44" t="str">
        <x:v>REA-O-C2</x:v>
      </x:c>
      <x:c r="D95" s="44" t="str">
        <x:v>BL-Y</x:v>
      </x:c>
      <x:c r="E95" s="44" t="str">
        <x:v>G09</x:v>
      </x:c>
      <x:c r="F95" s="44" t="str">
        <x:v>surface and recovery</x:v>
      </x:c>
      <x:c r="G95" s="45" t="str">
        <x:v>roughness, contact angle, deadleg and residual accepted</x:v>
      </x:c>
      <x:c r="H95" s="44" t="str">
        <x:v>article board</x:v>
      </x:c>
      <x:c r="I95" s="44" t="str"/>
      <x:c r="J95" s="44" t="str"/>
      <x:c r="K95" s="44" t="str">
        <x:f>IF(J95="","OPEN",IF(I95="PASS","PASS","FAIL"))</x:f>
        <x:v>OPEN</x:v>
      </x:c>
    </x:row>
    <x:row r="96" ht="38" customHeight="1">
      <x:c r="B96" s="44" t="str">
        <x:v>RAC-BG-0090</x:v>
      </x:c>
      <x:c r="C96" s="44" t="str">
        <x:v>REA-O-C2</x:v>
      </x:c>
      <x:c r="D96" s="44" t="str">
        <x:v>BL-Y</x:v>
      </x:c>
      <x:c r="E96" s="44" t="str">
        <x:v>G10</x:v>
      </x:c>
      <x:c r="F96" s="44" t="str">
        <x:v>safeing work</x:v>
      </x:c>
      <x:c r="G96" s="45" t="str">
        <x:v>spring work and direct witness interfaces accepted</x:v>
      </x:c>
      <x:c r="H96" s="44" t="str">
        <x:v>safeing authority</x:v>
      </x:c>
      <x:c r="I96" s="44" t="str"/>
      <x:c r="J96" s="44" t="str"/>
      <x:c r="K96" s="44" t="str">
        <x:f>IF(J96="","OPEN",IF(I96="PASS","PASS","FAIL"))</x:f>
        <x:v>OPEN</x:v>
      </x:c>
    </x:row>
    <x:row r="97" ht="38" customHeight="1">
      <x:c r="B97" s="44" t="str">
        <x:v>RAC-BG-0091</x:v>
      </x:c>
      <x:c r="C97" s="44" t="str">
        <x:v>REA-O-C2</x:v>
      </x:c>
      <x:c r="D97" s="44" t="str">
        <x:v>BL-Y</x:v>
      </x:c>
      <x:c r="E97" s="44" t="str">
        <x:v>G11</x:v>
      </x:c>
      <x:c r="F97" s="44" t="str">
        <x:v>independent energy</x:v>
      </x:c>
      <x:c r="G97" s="45" t="str">
        <x:v>critical services close at low stored state</x:v>
      </x:c>
      <x:c r="H97" s="44" t="str">
        <x:v>safeing authority</x:v>
      </x:c>
      <x:c r="I97" s="44" t="str"/>
      <x:c r="J97" s="44" t="str"/>
      <x:c r="K97" s="44" t="str">
        <x:f>IF(J97="","OPEN",IF(I97="PASS","PASS","FAIL"))</x:f>
        <x:v>OPEN</x:v>
      </x:c>
    </x:row>
    <x:row r="98" ht="38" customHeight="1">
      <x:c r="B98" s="44" t="str">
        <x:v>RAC-BG-0092</x:v>
      </x:c>
      <x:c r="C98" s="44" t="str">
        <x:v>REA-O-C2</x:v>
      </x:c>
      <x:c r="D98" s="44" t="str">
        <x:v>BL-Y</x:v>
      </x:c>
      <x:c r="E98" s="44" t="str">
        <x:v>G12</x:v>
      </x:c>
      <x:c r="F98" s="44" t="str">
        <x:v>instrumentation</x:v>
      </x:c>
      <x:c r="G98" s="45" t="str">
        <x:v>mount, range, power, time and evidence interfaces accepted</x:v>
      </x:c>
      <x:c r="H98" s="44" t="str">
        <x:v>article board</x:v>
      </x:c>
      <x:c r="I98" s="44" t="str"/>
      <x:c r="J98" s="44" t="str"/>
      <x:c r="K98" s="44" t="str">
        <x:f>IF(J98="","OPEN",IF(I98="PASS","PASS","FAIL"))</x:f>
        <x:v>OPEN</x:v>
      </x:c>
    </x:row>
    <x:row r="99" ht="38" customHeight="1">
      <x:c r="B99" s="44" t="str">
        <x:v>RAC-BG-0093</x:v>
      </x:c>
      <x:c r="C99" s="44" t="str">
        <x:v>REA-O-C2</x:v>
      </x:c>
      <x:c r="D99" s="44" t="str">
        <x:v>BL-Y</x:v>
      </x:c>
      <x:c r="E99" s="44" t="str">
        <x:v>G13</x:v>
      </x:c>
      <x:c r="F99" s="44" t="str">
        <x:v>mass and CG</x:v>
      </x:c>
      <x:c r="G99" s="45" t="str">
        <x:v>stowed mass, CG, lift and restraints accepted</x:v>
      </x:c>
      <x:c r="H99" s="44" t="str">
        <x:v>article board</x:v>
      </x:c>
      <x:c r="I99" s="44" t="str"/>
      <x:c r="J99" s="44" t="str"/>
      <x:c r="K99" s="44" t="str">
        <x:f>IF(J99="","OPEN",IF(I99="PASS","PASS","FAIL"))</x:f>
        <x:v>OPEN</x:v>
      </x:c>
    </x:row>
    <x:row r="100" ht="38" customHeight="1">
      <x:c r="B100" s="44" t="str">
        <x:v>RAC-BG-0094</x:v>
      </x:c>
      <x:c r="C100" s="44" t="str">
        <x:v>REA-O-C2</x:v>
      </x:c>
      <x:c r="D100" s="44" t="str">
        <x:v>BL-Y</x:v>
      </x:c>
      <x:c r="E100" s="44" t="str">
        <x:v>G14</x:v>
      </x:c>
      <x:c r="F100" s="44" t="str">
        <x:v>access and rescue</x:v>
      </x:c>
      <x:c r="G100" s="45" t="str">
        <x:v>manual action, isolation and removal volumes accepted</x:v>
      </x:c>
      <x:c r="H100" s="44" t="str">
        <x:v>article board</x:v>
      </x:c>
      <x:c r="I100" s="44" t="str"/>
      <x:c r="J100" s="44" t="str"/>
      <x:c r="K100" s="44" t="str">
        <x:f>IF(J100="","OPEN",IF(I100="PASS","PASS","FAIL"))</x:f>
        <x:v>OPEN</x:v>
      </x:c>
    </x:row>
    <x:row r="101" ht="38" customHeight="1">
      <x:c r="B101" s="44" t="str">
        <x:v>RAC-BG-0095</x:v>
      </x:c>
      <x:c r="C101" s="44" t="str">
        <x:v>REA-O-C2</x:v>
      </x:c>
      <x:c r="D101" s="44" t="str">
        <x:v>BL-Y</x:v>
      </x:c>
      <x:c r="E101" s="44" t="str">
        <x:v>G15</x:v>
      </x:c>
      <x:c r="F101" s="44" t="str">
        <x:v>nonconformance closure</x:v>
      </x:c>
      <x:c r="G101" s="45" t="str">
        <x:v>all branches have disposition and effect assessment</x:v>
      </x:c>
      <x:c r="H101" s="44" t="str">
        <x:v>article board</x:v>
      </x:c>
      <x:c r="I101" s="44" t="str"/>
      <x:c r="J101" s="44" t="str"/>
      <x:c r="K101" s="44" t="str">
        <x:f>IF(J101="","OPEN",IF(I101="PASS","PASS","FAIL"))</x:f>
        <x:v>OPEN</x:v>
      </x:c>
    </x:row>
    <x:row r="102" ht="38" customHeight="1">
      <x:c r="B102" s="44" t="str">
        <x:v>RAC-BG-0096</x:v>
      </x:c>
      <x:c r="C102" s="44" t="str">
        <x:v>REA-O-C2</x:v>
      </x:c>
      <x:c r="D102" s="44" t="str">
        <x:v>BL-Y</x:v>
      </x:c>
      <x:c r="E102" s="44" t="str">
        <x:v>G16</x:v>
      </x:c>
      <x:c r="F102" s="44" t="str">
        <x:v>configuration freeze</x:v>
      </x:c>
      <x:c r="G102" s="45" t="str">
        <x:v>physical state, evidence hashes and release baseline co-signed</x:v>
      </x:c>
      <x:c r="H102" s="44" t="str">
        <x:v>configuration board</x:v>
      </x:c>
      <x:c r="I102" s="44" t="str"/>
      <x:c r="J102" s="44" t="str"/>
      <x:c r="K102" s="44" t="str">
        <x:f>IF(J102="","OPEN",IF(I102="PASS","PASS","FAIL"))</x:f>
        <x:v>OPEN</x:v>
      </x:c>
    </x:row>
    <x:row r="103" ht="38" customHeight="1">
      <x:c r="B103" s="44" t="str">
        <x:v>RAC-BG-0097</x:v>
      </x:c>
      <x:c r="C103" s="44" t="str">
        <x:v>REA-T-A1</x:v>
      </x:c>
      <x:c r="D103" s="44" t="str">
        <x:v>BL-X</x:v>
      </x:c>
      <x:c r="E103" s="44" t="str">
        <x:v>G01</x:v>
      </x:c>
      <x:c r="F103" s="44" t="str">
        <x:v>authority</x:v>
      </x:c>
      <x:c r="G103" s="45" t="str">
        <x:v>named work, configuration and acceptance authorities</x:v>
      </x:c>
      <x:c r="H103" s="44" t="str">
        <x:v>article board</x:v>
      </x:c>
      <x:c r="I103" s="44" t="str"/>
      <x:c r="J103" s="44" t="str"/>
      <x:c r="K103" s="44" t="str">
        <x:f>IF(J103="","OPEN",IF(I103="PASS","PASS","FAIL"))</x:f>
        <x:v>OPEN</x:v>
      </x:c>
    </x:row>
    <x:row r="104" ht="38" customHeight="1">
      <x:c r="B104" s="44" t="str">
        <x:v>RAC-BG-0098</x:v>
      </x:c>
      <x:c r="C104" s="44" t="str">
        <x:v>REA-T-A1</x:v>
      </x:c>
      <x:c r="D104" s="44" t="str">
        <x:v>BL-X</x:v>
      </x:c>
      <x:c r="E104" s="44" t="str">
        <x:v>G02</x:v>
      </x:c>
      <x:c r="F104" s="44" t="str">
        <x:v>drawing baseline</x:v>
      </x:c>
      <x:c r="G104" s="45" t="str">
        <x:v>all applicable controlled sheets accepted</x:v>
      </x:c>
      <x:c r="H104" s="44" t="str">
        <x:v>configuration board</x:v>
      </x:c>
      <x:c r="I104" s="44" t="str"/>
      <x:c r="J104" s="44" t="str"/>
      <x:c r="K104" s="44" t="str">
        <x:f>IF(J104="","OPEN",IF(I104="PASS","PASS","FAIL"))</x:f>
        <x:v>OPEN</x:v>
      </x:c>
    </x:row>
    <x:row r="105" ht="38" customHeight="1">
      <x:c r="B105" s="44" t="str">
        <x:v>RAC-BG-0099</x:v>
      </x:c>
      <x:c r="C105" s="44" t="str">
        <x:v>REA-T-A1</x:v>
      </x:c>
      <x:c r="D105" s="44" t="str">
        <x:v>BL-X</x:v>
      </x:c>
      <x:c r="E105" s="44" t="str">
        <x:v>G03</x:v>
      </x:c>
      <x:c r="F105" s="44" t="str">
        <x:v>material ancestry</x:v>
      </x:c>
      <x:c r="G105" s="45" t="str">
        <x:v>article lots and sibling evidence conserved</x:v>
      </x:c>
      <x:c r="H105" s="44" t="str">
        <x:v>article board</x:v>
      </x:c>
      <x:c r="I105" s="44" t="str"/>
      <x:c r="J105" s="44" t="str"/>
      <x:c r="K105" s="44" t="str">
        <x:f>IF(J105="","OPEN",IF(I105="PASS","PASS","FAIL"))</x:f>
        <x:v>OPEN</x:v>
      </x:c>
    </x:row>
    <x:row r="106" ht="38" customHeight="1">
      <x:c r="B106" s="44" t="str">
        <x:v>RAC-BG-0100</x:v>
      </x:c>
      <x:c r="C106" s="44" t="str">
        <x:v>REA-T-A1</x:v>
      </x:c>
      <x:c r="D106" s="44" t="str">
        <x:v>BL-X</x:v>
      </x:c>
      <x:c r="E106" s="44" t="str">
        <x:v>G04</x:v>
      </x:c>
      <x:c r="F106" s="44" t="str">
        <x:v>coupon evidence</x:v>
      </x:c>
      <x:c r="G106" s="45" t="str">
        <x:v>adjacent-process population accepted</x:v>
      </x:c>
      <x:c r="H106" s="44" t="str">
        <x:v>article board</x:v>
      </x:c>
      <x:c r="I106" s="44" t="str"/>
      <x:c r="J106" s="44" t="str"/>
      <x:c r="K106" s="44" t="str">
        <x:f>IF(J106="","OPEN",IF(I106="PASS","PASS","FAIL"))</x:f>
        <x:v>OPEN</x:v>
      </x:c>
    </x:row>
    <x:row r="107" ht="38" customHeight="1">
      <x:c r="B107" s="44" t="str">
        <x:v>RAC-BG-0101</x:v>
      </x:c>
      <x:c r="C107" s="44" t="str">
        <x:v>REA-T-A1</x:v>
      </x:c>
      <x:c r="D107" s="44" t="str">
        <x:v>BL-X</x:v>
      </x:c>
      <x:c r="E107" s="44" t="str">
        <x:v>G05</x:v>
      </x:c>
      <x:c r="F107" s="44" t="str">
        <x:v>process route</x:v>
      </x:c>
      <x:c r="G107" s="45" t="str">
        <x:v>lineage route and predecessor states accepted</x:v>
      </x:c>
      <x:c r="H107" s="44" t="str">
        <x:v>article board</x:v>
      </x:c>
      <x:c r="I107" s="44" t="str"/>
      <x:c r="J107" s="44" t="str"/>
      <x:c r="K107" s="44" t="str">
        <x:f>IF(J107="","OPEN",IF(I107="PASS","PASS","FAIL"))</x:f>
        <x:v>OPEN</x:v>
      </x:c>
    </x:row>
    <x:row r="108" ht="38" customHeight="1">
      <x:c r="B108" s="44" t="str">
        <x:v>RAC-BG-0102</x:v>
      </x:c>
      <x:c r="C108" s="44" t="str">
        <x:v>REA-T-A1</x:v>
      </x:c>
      <x:c r="D108" s="44" t="str">
        <x:v>BL-X</x:v>
      </x:c>
      <x:c r="E108" s="44" t="str">
        <x:v>G06</x:v>
      </x:c>
      <x:c r="F108" s="44" t="str">
        <x:v>as-built geometry</x:v>
      </x:c>
      <x:c r="G108" s="45" t="str">
        <x:v>datums, bore, length and port stations observed</x:v>
      </x:c>
      <x:c r="H108" s="44" t="str">
        <x:v>article board</x:v>
      </x:c>
      <x:c r="I108" s="44" t="str"/>
      <x:c r="J108" s="44" t="str"/>
      <x:c r="K108" s="44" t="str">
        <x:f>IF(J108="","OPEN",IF(I108="PASS","PASS","FAIL"))</x:f>
        <x:v>OPEN</x:v>
      </x:c>
    </x:row>
    <x:row r="109" ht="38" customHeight="1">
      <x:c r="B109" s="44" t="str">
        <x:v>RAC-BG-0103</x:v>
      </x:c>
      <x:c r="C109" s="44" t="str">
        <x:v>REA-T-A1</x:v>
      </x:c>
      <x:c r="D109" s="44" t="str">
        <x:v>BL-X</x:v>
      </x:c>
      <x:c r="E109" s="44" t="str">
        <x:v>G07</x:v>
      </x:c>
      <x:c r="F109" s="44" t="str">
        <x:v>joint evidence</x:v>
      </x:c>
      <x:c r="G109" s="45" t="str">
        <x:v>joint mechanism, NDE and terminal witness eligible</x:v>
      </x:c>
      <x:c r="H109" s="44" t="str">
        <x:v>article board</x:v>
      </x:c>
      <x:c r="I109" s="44" t="str"/>
      <x:c r="J109" s="44" t="str"/>
      <x:c r="K109" s="44" t="str">
        <x:f>IF(J109="","OPEN",IF(I109="PASS","PASS","FAIL"))</x:f>
        <x:v>OPEN</x:v>
      </x:c>
    </x:row>
    <x:row r="110" ht="38" customHeight="1">
      <x:c r="B110" s="44" t="str">
        <x:v>RAC-BG-0104</x:v>
      </x:c>
      <x:c r="C110" s="44" t="str">
        <x:v>REA-T-A1</x:v>
      </x:c>
      <x:c r="D110" s="44" t="str">
        <x:v>BL-X</x:v>
      </x:c>
      <x:c r="E110" s="44" t="str">
        <x:v>G08</x:v>
      </x:c>
      <x:c r="F110" s="44" t="str">
        <x:v>pressure and leak</x:v>
      </x:c>
      <x:c r="G110" s="45" t="str">
        <x:v>liquid proof and leak map accepted</x:v>
      </x:c>
      <x:c r="H110" s="44" t="str">
        <x:v>article board</x:v>
      </x:c>
      <x:c r="I110" s="44" t="str"/>
      <x:c r="J110" s="44" t="str"/>
      <x:c r="K110" s="44" t="str">
        <x:f>IF(J110="","OPEN",IF(I110="PASS","PASS","FAIL"))</x:f>
        <x:v>OPEN</x:v>
      </x:c>
    </x:row>
    <x:row r="111" ht="38" customHeight="1">
      <x:c r="B111" s="44" t="str">
        <x:v>RAC-BG-0105</x:v>
      </x:c>
      <x:c r="C111" s="44" t="str">
        <x:v>REA-T-A1</x:v>
      </x:c>
      <x:c r="D111" s="44" t="str">
        <x:v>BL-X</x:v>
      </x:c>
      <x:c r="E111" s="44" t="str">
        <x:v>G09</x:v>
      </x:c>
      <x:c r="F111" s="44" t="str">
        <x:v>surface and recovery</x:v>
      </x:c>
      <x:c r="G111" s="45" t="str">
        <x:v>roughness, contact angle, deadleg and residual accepted</x:v>
      </x:c>
      <x:c r="H111" s="44" t="str">
        <x:v>article board</x:v>
      </x:c>
      <x:c r="I111" s="44" t="str"/>
      <x:c r="J111" s="44" t="str"/>
      <x:c r="K111" s="44" t="str">
        <x:f>IF(J111="","OPEN",IF(I111="PASS","PASS","FAIL"))</x:f>
        <x:v>OPEN</x:v>
      </x:c>
    </x:row>
    <x:row r="112" ht="38" customHeight="1">
      <x:c r="B112" s="44" t="str">
        <x:v>RAC-BG-0106</x:v>
      </x:c>
      <x:c r="C112" s="44" t="str">
        <x:v>REA-T-A1</x:v>
      </x:c>
      <x:c r="D112" s="44" t="str">
        <x:v>BL-X</x:v>
      </x:c>
      <x:c r="E112" s="44" t="str">
        <x:v>G10</x:v>
      </x:c>
      <x:c r="F112" s="44" t="str">
        <x:v>safeing work</x:v>
      </x:c>
      <x:c r="G112" s="45" t="str">
        <x:v>spring work and direct witness interfaces accepted</x:v>
      </x:c>
      <x:c r="H112" s="44" t="str">
        <x:v>safeing authority</x:v>
      </x:c>
      <x:c r="I112" s="44" t="str"/>
      <x:c r="J112" s="44" t="str"/>
      <x:c r="K112" s="44" t="str">
        <x:f>IF(J112="","OPEN",IF(I112="PASS","PASS","FAIL"))</x:f>
        <x:v>OPEN</x:v>
      </x:c>
    </x:row>
    <x:row r="113" ht="38" customHeight="1">
      <x:c r="B113" s="44" t="str">
        <x:v>RAC-BG-0107</x:v>
      </x:c>
      <x:c r="C113" s="44" t="str">
        <x:v>REA-T-A1</x:v>
      </x:c>
      <x:c r="D113" s="44" t="str">
        <x:v>BL-X</x:v>
      </x:c>
      <x:c r="E113" s="44" t="str">
        <x:v>G11</x:v>
      </x:c>
      <x:c r="F113" s="44" t="str">
        <x:v>independent energy</x:v>
      </x:c>
      <x:c r="G113" s="45" t="str">
        <x:v>critical services close at low stored state</x:v>
      </x:c>
      <x:c r="H113" s="44" t="str">
        <x:v>safeing authority</x:v>
      </x:c>
      <x:c r="I113" s="44" t="str"/>
      <x:c r="J113" s="44" t="str"/>
      <x:c r="K113" s="44" t="str">
        <x:f>IF(J113="","OPEN",IF(I113="PASS","PASS","FAIL"))</x:f>
        <x:v>OPEN</x:v>
      </x:c>
    </x:row>
    <x:row r="114" ht="38" customHeight="1">
      <x:c r="B114" s="44" t="str">
        <x:v>RAC-BG-0108</x:v>
      </x:c>
      <x:c r="C114" s="44" t="str">
        <x:v>REA-T-A1</x:v>
      </x:c>
      <x:c r="D114" s="44" t="str">
        <x:v>BL-X</x:v>
      </x:c>
      <x:c r="E114" s="44" t="str">
        <x:v>G12</x:v>
      </x:c>
      <x:c r="F114" s="44" t="str">
        <x:v>instrumentation</x:v>
      </x:c>
      <x:c r="G114" s="45" t="str">
        <x:v>mount, range, power, time and evidence interfaces accepted</x:v>
      </x:c>
      <x:c r="H114" s="44" t="str">
        <x:v>article board</x:v>
      </x:c>
      <x:c r="I114" s="44" t="str"/>
      <x:c r="J114" s="44" t="str"/>
      <x:c r="K114" s="44" t="str">
        <x:f>IF(J114="","OPEN",IF(I114="PASS","PASS","FAIL"))</x:f>
        <x:v>OPEN</x:v>
      </x:c>
    </x:row>
    <x:row r="115" ht="38" customHeight="1">
      <x:c r="B115" s="44" t="str">
        <x:v>RAC-BG-0109</x:v>
      </x:c>
      <x:c r="C115" s="44" t="str">
        <x:v>REA-T-A1</x:v>
      </x:c>
      <x:c r="D115" s="44" t="str">
        <x:v>BL-X</x:v>
      </x:c>
      <x:c r="E115" s="44" t="str">
        <x:v>G13</x:v>
      </x:c>
      <x:c r="F115" s="44" t="str">
        <x:v>mass and CG</x:v>
      </x:c>
      <x:c r="G115" s="45" t="str">
        <x:v>stowed mass, CG, lift and restraints accepted</x:v>
      </x:c>
      <x:c r="H115" s="44" t="str">
        <x:v>article board</x:v>
      </x:c>
      <x:c r="I115" s="44" t="str"/>
      <x:c r="J115" s="44" t="str"/>
      <x:c r="K115" s="44" t="str">
        <x:f>IF(J115="","OPEN",IF(I115="PASS","PASS","FAIL"))</x:f>
        <x:v>OPEN</x:v>
      </x:c>
    </x:row>
    <x:row r="116" ht="38" customHeight="1">
      <x:c r="B116" s="44" t="str">
        <x:v>RAC-BG-0110</x:v>
      </x:c>
      <x:c r="C116" s="44" t="str">
        <x:v>REA-T-A1</x:v>
      </x:c>
      <x:c r="D116" s="44" t="str">
        <x:v>BL-X</x:v>
      </x:c>
      <x:c r="E116" s="44" t="str">
        <x:v>G14</x:v>
      </x:c>
      <x:c r="F116" s="44" t="str">
        <x:v>access and rescue</x:v>
      </x:c>
      <x:c r="G116" s="45" t="str">
        <x:v>manual action, isolation and removal volumes accepted</x:v>
      </x:c>
      <x:c r="H116" s="44" t="str">
        <x:v>article board</x:v>
      </x:c>
      <x:c r="I116" s="44" t="str"/>
      <x:c r="J116" s="44" t="str"/>
      <x:c r="K116" s="44" t="str">
        <x:f>IF(J116="","OPEN",IF(I116="PASS","PASS","FAIL"))</x:f>
        <x:v>OPEN</x:v>
      </x:c>
    </x:row>
    <x:row r="117" ht="38" customHeight="1">
      <x:c r="B117" s="44" t="str">
        <x:v>RAC-BG-0111</x:v>
      </x:c>
      <x:c r="C117" s="44" t="str">
        <x:v>REA-T-A1</x:v>
      </x:c>
      <x:c r="D117" s="44" t="str">
        <x:v>BL-X</x:v>
      </x:c>
      <x:c r="E117" s="44" t="str">
        <x:v>G15</x:v>
      </x:c>
      <x:c r="F117" s="44" t="str">
        <x:v>nonconformance closure</x:v>
      </x:c>
      <x:c r="G117" s="45" t="str">
        <x:v>all branches have disposition and effect assessment</x:v>
      </x:c>
      <x:c r="H117" s="44" t="str">
        <x:v>article board</x:v>
      </x:c>
      <x:c r="I117" s="44" t="str"/>
      <x:c r="J117" s="44" t="str"/>
      <x:c r="K117" s="44" t="str">
        <x:f>IF(J117="","OPEN",IF(I117="PASS","PASS","FAIL"))</x:f>
        <x:v>OPEN</x:v>
      </x:c>
    </x:row>
    <x:row r="118" ht="38" customHeight="1">
      <x:c r="B118" s="44" t="str">
        <x:v>RAC-BG-0112</x:v>
      </x:c>
      <x:c r="C118" s="44" t="str">
        <x:v>REA-T-A1</x:v>
      </x:c>
      <x:c r="D118" s="44" t="str">
        <x:v>BL-X</x:v>
      </x:c>
      <x:c r="E118" s="44" t="str">
        <x:v>G16</x:v>
      </x:c>
      <x:c r="F118" s="44" t="str">
        <x:v>configuration freeze</x:v>
      </x:c>
      <x:c r="G118" s="45" t="str">
        <x:v>physical state, evidence hashes and release baseline co-signed</x:v>
      </x:c>
      <x:c r="H118" s="44" t="str">
        <x:v>configuration board</x:v>
      </x:c>
      <x:c r="I118" s="44" t="str"/>
      <x:c r="J118" s="44" t="str"/>
      <x:c r="K118" s="44" t="str">
        <x:f>IF(J118="","OPEN",IF(I118="PASS","PASS","FAIL"))</x:f>
        <x:v>OPEN</x:v>
      </x:c>
    </x:row>
    <x:row r="119" ht="38" customHeight="1">
      <x:c r="B119" s="44" t="str">
        <x:v>RAC-BG-0113</x:v>
      </x:c>
      <x:c r="C119" s="44" t="str">
        <x:v>REA-T-A2</x:v>
      </x:c>
      <x:c r="D119" s="44" t="str">
        <x:v>BL-Y</x:v>
      </x:c>
      <x:c r="E119" s="44" t="str">
        <x:v>G01</x:v>
      </x:c>
      <x:c r="F119" s="44" t="str">
        <x:v>authority</x:v>
      </x:c>
      <x:c r="G119" s="45" t="str">
        <x:v>named work, configuration and acceptance authorities</x:v>
      </x:c>
      <x:c r="H119" s="44" t="str">
        <x:v>article board</x:v>
      </x:c>
      <x:c r="I119" s="44" t="str"/>
      <x:c r="J119" s="44" t="str"/>
      <x:c r="K119" s="44" t="str">
        <x:f>IF(J119="","OPEN",IF(I119="PASS","PASS","FAIL"))</x:f>
        <x:v>OPEN</x:v>
      </x:c>
    </x:row>
    <x:row r="120" ht="38" customHeight="1">
      <x:c r="B120" s="44" t="str">
        <x:v>RAC-BG-0114</x:v>
      </x:c>
      <x:c r="C120" s="44" t="str">
        <x:v>REA-T-A2</x:v>
      </x:c>
      <x:c r="D120" s="44" t="str">
        <x:v>BL-Y</x:v>
      </x:c>
      <x:c r="E120" s="44" t="str">
        <x:v>G02</x:v>
      </x:c>
      <x:c r="F120" s="44" t="str">
        <x:v>drawing baseline</x:v>
      </x:c>
      <x:c r="G120" s="45" t="str">
        <x:v>all applicable controlled sheets accepted</x:v>
      </x:c>
      <x:c r="H120" s="44" t="str">
        <x:v>configuration board</x:v>
      </x:c>
      <x:c r="I120" s="44" t="str"/>
      <x:c r="J120" s="44" t="str"/>
      <x:c r="K120" s="44" t="str">
        <x:f>IF(J120="","OPEN",IF(I120="PASS","PASS","FAIL"))</x:f>
        <x:v>OPEN</x:v>
      </x:c>
    </x:row>
    <x:row r="121" ht="38" customHeight="1">
      <x:c r="B121" s="44" t="str">
        <x:v>RAC-BG-0115</x:v>
      </x:c>
      <x:c r="C121" s="44" t="str">
        <x:v>REA-T-A2</x:v>
      </x:c>
      <x:c r="D121" s="44" t="str">
        <x:v>BL-Y</x:v>
      </x:c>
      <x:c r="E121" s="44" t="str">
        <x:v>G03</x:v>
      </x:c>
      <x:c r="F121" s="44" t="str">
        <x:v>material ancestry</x:v>
      </x:c>
      <x:c r="G121" s="45" t="str">
        <x:v>article lots and sibling evidence conserved</x:v>
      </x:c>
      <x:c r="H121" s="44" t="str">
        <x:v>article board</x:v>
      </x:c>
      <x:c r="I121" s="44" t="str"/>
      <x:c r="J121" s="44" t="str"/>
      <x:c r="K121" s="44" t="str">
        <x:f>IF(J121="","OPEN",IF(I121="PASS","PASS","FAIL"))</x:f>
        <x:v>OPEN</x:v>
      </x:c>
    </x:row>
    <x:row r="122" ht="38" customHeight="1">
      <x:c r="B122" s="44" t="str">
        <x:v>RAC-BG-0116</x:v>
      </x:c>
      <x:c r="C122" s="44" t="str">
        <x:v>REA-T-A2</x:v>
      </x:c>
      <x:c r="D122" s="44" t="str">
        <x:v>BL-Y</x:v>
      </x:c>
      <x:c r="E122" s="44" t="str">
        <x:v>G04</x:v>
      </x:c>
      <x:c r="F122" s="44" t="str">
        <x:v>coupon evidence</x:v>
      </x:c>
      <x:c r="G122" s="45" t="str">
        <x:v>adjacent-process population accepted</x:v>
      </x:c>
      <x:c r="H122" s="44" t="str">
        <x:v>article board</x:v>
      </x:c>
      <x:c r="I122" s="44" t="str"/>
      <x:c r="J122" s="44" t="str"/>
      <x:c r="K122" s="44" t="str">
        <x:f>IF(J122="","OPEN",IF(I122="PASS","PASS","FAIL"))</x:f>
        <x:v>OPEN</x:v>
      </x:c>
    </x:row>
    <x:row r="123" ht="38" customHeight="1">
      <x:c r="B123" s="44" t="str">
        <x:v>RAC-BG-0117</x:v>
      </x:c>
      <x:c r="C123" s="44" t="str">
        <x:v>REA-T-A2</x:v>
      </x:c>
      <x:c r="D123" s="44" t="str">
        <x:v>BL-Y</x:v>
      </x:c>
      <x:c r="E123" s="44" t="str">
        <x:v>G05</x:v>
      </x:c>
      <x:c r="F123" s="44" t="str">
        <x:v>process route</x:v>
      </x:c>
      <x:c r="G123" s="45" t="str">
        <x:v>lineage route and predecessor states accepted</x:v>
      </x:c>
      <x:c r="H123" s="44" t="str">
        <x:v>article board</x:v>
      </x:c>
      <x:c r="I123" s="44" t="str"/>
      <x:c r="J123" s="44" t="str"/>
      <x:c r="K123" s="44" t="str">
        <x:f>IF(J123="","OPEN",IF(I123="PASS","PASS","FAIL"))</x:f>
        <x:v>OPEN</x:v>
      </x:c>
    </x:row>
    <x:row r="124" ht="38" customHeight="1">
      <x:c r="B124" s="44" t="str">
        <x:v>RAC-BG-0118</x:v>
      </x:c>
      <x:c r="C124" s="44" t="str">
        <x:v>REA-T-A2</x:v>
      </x:c>
      <x:c r="D124" s="44" t="str">
        <x:v>BL-Y</x:v>
      </x:c>
      <x:c r="E124" s="44" t="str">
        <x:v>G06</x:v>
      </x:c>
      <x:c r="F124" s="44" t="str">
        <x:v>as-built geometry</x:v>
      </x:c>
      <x:c r="G124" s="45" t="str">
        <x:v>datums, bore, length and port stations observed</x:v>
      </x:c>
      <x:c r="H124" s="44" t="str">
        <x:v>article board</x:v>
      </x:c>
      <x:c r="I124" s="44" t="str"/>
      <x:c r="J124" s="44" t="str"/>
      <x:c r="K124" s="44" t="str">
        <x:f>IF(J124="","OPEN",IF(I124="PASS","PASS","FAIL"))</x:f>
        <x:v>OPEN</x:v>
      </x:c>
    </x:row>
    <x:row r="125" ht="38" customHeight="1">
      <x:c r="B125" s="44" t="str">
        <x:v>RAC-BG-0119</x:v>
      </x:c>
      <x:c r="C125" s="44" t="str">
        <x:v>REA-T-A2</x:v>
      </x:c>
      <x:c r="D125" s="44" t="str">
        <x:v>BL-Y</x:v>
      </x:c>
      <x:c r="E125" s="44" t="str">
        <x:v>G07</x:v>
      </x:c>
      <x:c r="F125" s="44" t="str">
        <x:v>joint evidence</x:v>
      </x:c>
      <x:c r="G125" s="45" t="str">
        <x:v>joint mechanism, NDE and terminal witness eligible</x:v>
      </x:c>
      <x:c r="H125" s="44" t="str">
        <x:v>article board</x:v>
      </x:c>
      <x:c r="I125" s="44" t="str"/>
      <x:c r="J125" s="44" t="str"/>
      <x:c r="K125" s="44" t="str">
        <x:f>IF(J125="","OPEN",IF(I125="PASS","PASS","FAIL"))</x:f>
        <x:v>OPEN</x:v>
      </x:c>
    </x:row>
    <x:row r="126" ht="38" customHeight="1">
      <x:c r="B126" s="44" t="str">
        <x:v>RAC-BG-0120</x:v>
      </x:c>
      <x:c r="C126" s="44" t="str">
        <x:v>REA-T-A2</x:v>
      </x:c>
      <x:c r="D126" s="44" t="str">
        <x:v>BL-Y</x:v>
      </x:c>
      <x:c r="E126" s="44" t="str">
        <x:v>G08</x:v>
      </x:c>
      <x:c r="F126" s="44" t="str">
        <x:v>pressure and leak</x:v>
      </x:c>
      <x:c r="G126" s="45" t="str">
        <x:v>liquid proof and leak map accepted</x:v>
      </x:c>
      <x:c r="H126" s="44" t="str">
        <x:v>article board</x:v>
      </x:c>
      <x:c r="I126" s="44" t="str"/>
      <x:c r="J126" s="44" t="str"/>
      <x:c r="K126" s="44" t="str">
        <x:f>IF(J126="","OPEN",IF(I126="PASS","PASS","FAIL"))</x:f>
        <x:v>OPEN</x:v>
      </x:c>
    </x:row>
    <x:row r="127" ht="38" customHeight="1">
      <x:c r="B127" s="44" t="str">
        <x:v>RAC-BG-0121</x:v>
      </x:c>
      <x:c r="C127" s="44" t="str">
        <x:v>REA-T-A2</x:v>
      </x:c>
      <x:c r="D127" s="44" t="str">
        <x:v>BL-Y</x:v>
      </x:c>
      <x:c r="E127" s="44" t="str">
        <x:v>G09</x:v>
      </x:c>
      <x:c r="F127" s="44" t="str">
        <x:v>surface and recovery</x:v>
      </x:c>
      <x:c r="G127" s="45" t="str">
        <x:v>roughness, contact angle, deadleg and residual accepted</x:v>
      </x:c>
      <x:c r="H127" s="44" t="str">
        <x:v>article board</x:v>
      </x:c>
      <x:c r="I127" s="44" t="str"/>
      <x:c r="J127" s="44" t="str"/>
      <x:c r="K127" s="44" t="str">
        <x:f>IF(J127="","OPEN",IF(I127="PASS","PASS","FAIL"))</x:f>
        <x:v>OPEN</x:v>
      </x:c>
    </x:row>
    <x:row r="128" ht="38" customHeight="1">
      <x:c r="B128" s="44" t="str">
        <x:v>RAC-BG-0122</x:v>
      </x:c>
      <x:c r="C128" s="44" t="str">
        <x:v>REA-T-A2</x:v>
      </x:c>
      <x:c r="D128" s="44" t="str">
        <x:v>BL-Y</x:v>
      </x:c>
      <x:c r="E128" s="44" t="str">
        <x:v>G10</x:v>
      </x:c>
      <x:c r="F128" s="44" t="str">
        <x:v>safeing work</x:v>
      </x:c>
      <x:c r="G128" s="45" t="str">
        <x:v>spring work and direct witness interfaces accepted</x:v>
      </x:c>
      <x:c r="H128" s="44" t="str">
        <x:v>safeing authority</x:v>
      </x:c>
      <x:c r="I128" s="44" t="str"/>
      <x:c r="J128" s="44" t="str"/>
      <x:c r="K128" s="44" t="str">
        <x:f>IF(J128="","OPEN",IF(I128="PASS","PASS","FAIL"))</x:f>
        <x:v>OPEN</x:v>
      </x:c>
    </x:row>
    <x:row r="129" ht="38" customHeight="1">
      <x:c r="B129" s="44" t="str">
        <x:v>RAC-BG-0123</x:v>
      </x:c>
      <x:c r="C129" s="44" t="str">
        <x:v>REA-T-A2</x:v>
      </x:c>
      <x:c r="D129" s="44" t="str">
        <x:v>BL-Y</x:v>
      </x:c>
      <x:c r="E129" s="44" t="str">
        <x:v>G11</x:v>
      </x:c>
      <x:c r="F129" s="44" t="str">
        <x:v>independent energy</x:v>
      </x:c>
      <x:c r="G129" s="45" t="str">
        <x:v>critical services close at low stored state</x:v>
      </x:c>
      <x:c r="H129" s="44" t="str">
        <x:v>safeing authority</x:v>
      </x:c>
      <x:c r="I129" s="44" t="str"/>
      <x:c r="J129" s="44" t="str"/>
      <x:c r="K129" s="44" t="str">
        <x:f>IF(J129="","OPEN",IF(I129="PASS","PASS","FAIL"))</x:f>
        <x:v>OPEN</x:v>
      </x:c>
    </x:row>
    <x:row r="130" ht="38" customHeight="1">
      <x:c r="B130" s="44" t="str">
        <x:v>RAC-BG-0124</x:v>
      </x:c>
      <x:c r="C130" s="44" t="str">
        <x:v>REA-T-A2</x:v>
      </x:c>
      <x:c r="D130" s="44" t="str">
        <x:v>BL-Y</x:v>
      </x:c>
      <x:c r="E130" s="44" t="str">
        <x:v>G12</x:v>
      </x:c>
      <x:c r="F130" s="44" t="str">
        <x:v>instrumentation</x:v>
      </x:c>
      <x:c r="G130" s="45" t="str">
        <x:v>mount, range, power, time and evidence interfaces accepted</x:v>
      </x:c>
      <x:c r="H130" s="44" t="str">
        <x:v>article board</x:v>
      </x:c>
      <x:c r="I130" s="44" t="str"/>
      <x:c r="J130" s="44" t="str"/>
      <x:c r="K130" s="44" t="str">
        <x:f>IF(J130="","OPEN",IF(I130="PASS","PASS","FAIL"))</x:f>
        <x:v>OPEN</x:v>
      </x:c>
    </x:row>
    <x:row r="131" ht="38" customHeight="1">
      <x:c r="B131" s="44" t="str">
        <x:v>RAC-BG-0125</x:v>
      </x:c>
      <x:c r="C131" s="44" t="str">
        <x:v>REA-T-A2</x:v>
      </x:c>
      <x:c r="D131" s="44" t="str">
        <x:v>BL-Y</x:v>
      </x:c>
      <x:c r="E131" s="44" t="str">
        <x:v>G13</x:v>
      </x:c>
      <x:c r="F131" s="44" t="str">
        <x:v>mass and CG</x:v>
      </x:c>
      <x:c r="G131" s="45" t="str">
        <x:v>stowed mass, CG, lift and restraints accepted</x:v>
      </x:c>
      <x:c r="H131" s="44" t="str">
        <x:v>article board</x:v>
      </x:c>
      <x:c r="I131" s="44" t="str"/>
      <x:c r="J131" s="44" t="str"/>
      <x:c r="K131" s="44" t="str">
        <x:f>IF(J131="","OPEN",IF(I131="PASS","PASS","FAIL"))</x:f>
        <x:v>OPEN</x:v>
      </x:c>
    </x:row>
    <x:row r="132" ht="38" customHeight="1">
      <x:c r="B132" s="44" t="str">
        <x:v>RAC-BG-0126</x:v>
      </x:c>
      <x:c r="C132" s="44" t="str">
        <x:v>REA-T-A2</x:v>
      </x:c>
      <x:c r="D132" s="44" t="str">
        <x:v>BL-Y</x:v>
      </x:c>
      <x:c r="E132" s="44" t="str">
        <x:v>G14</x:v>
      </x:c>
      <x:c r="F132" s="44" t="str">
        <x:v>access and rescue</x:v>
      </x:c>
      <x:c r="G132" s="45" t="str">
        <x:v>manual action, isolation and removal volumes accepted</x:v>
      </x:c>
      <x:c r="H132" s="44" t="str">
        <x:v>article board</x:v>
      </x:c>
      <x:c r="I132" s="44" t="str"/>
      <x:c r="J132" s="44" t="str"/>
      <x:c r="K132" s="44" t="str">
        <x:f>IF(J132="","OPEN",IF(I132="PASS","PASS","FAIL"))</x:f>
        <x:v>OPEN</x:v>
      </x:c>
    </x:row>
    <x:row r="133" ht="38" customHeight="1">
      <x:c r="B133" s="44" t="str">
        <x:v>RAC-BG-0127</x:v>
      </x:c>
      <x:c r="C133" s="44" t="str">
        <x:v>REA-T-A2</x:v>
      </x:c>
      <x:c r="D133" s="44" t="str">
        <x:v>BL-Y</x:v>
      </x:c>
      <x:c r="E133" s="44" t="str">
        <x:v>G15</x:v>
      </x:c>
      <x:c r="F133" s="44" t="str">
        <x:v>nonconformance closure</x:v>
      </x:c>
      <x:c r="G133" s="45" t="str">
        <x:v>all branches have disposition and effect assessment</x:v>
      </x:c>
      <x:c r="H133" s="44" t="str">
        <x:v>article board</x:v>
      </x:c>
      <x:c r="I133" s="44" t="str"/>
      <x:c r="J133" s="44" t="str"/>
      <x:c r="K133" s="44" t="str">
        <x:f>IF(J133="","OPEN",IF(I133="PASS","PASS","FAIL"))</x:f>
        <x:v>OPEN</x:v>
      </x:c>
    </x:row>
    <x:row r="134" ht="38" customHeight="1">
      <x:c r="B134" s="44" t="str">
        <x:v>RAC-BG-0128</x:v>
      </x:c>
      <x:c r="C134" s="44" t="str">
        <x:v>REA-T-A2</x:v>
      </x:c>
      <x:c r="D134" s="44" t="str">
        <x:v>BL-Y</x:v>
      </x:c>
      <x:c r="E134" s="44" t="str">
        <x:v>G16</x:v>
      </x:c>
      <x:c r="F134" s="44" t="str">
        <x:v>configuration freeze</x:v>
      </x:c>
      <x:c r="G134" s="45" t="str">
        <x:v>physical state, evidence hashes and release baseline co-signed</x:v>
      </x:c>
      <x:c r="H134" s="44" t="str">
        <x:v>configuration board</x:v>
      </x:c>
      <x:c r="I134" s="44" t="str"/>
      <x:c r="J134" s="44" t="str"/>
      <x:c r="K134" s="44" t="str">
        <x:f>IF(J134="","OPEN",IF(I134="PASS","PASS","FAIL"))</x:f>
        <x:v>OPEN</x:v>
      </x:c>
    </x:row>
    <x:row r="135" ht="38" customHeight="1">
      <x:c r="B135" s="44" t="str">
        <x:v>RAC-BG-0129</x:v>
      </x:c>
      <x:c r="C135" s="44" t="str">
        <x:v>REA-T-B1</x:v>
      </x:c>
      <x:c r="D135" s="44" t="str">
        <x:v>BL-X</x:v>
      </x:c>
      <x:c r="E135" s="44" t="str">
        <x:v>G01</x:v>
      </x:c>
      <x:c r="F135" s="44" t="str">
        <x:v>authority</x:v>
      </x:c>
      <x:c r="G135" s="45" t="str">
        <x:v>named work, configuration and acceptance authorities</x:v>
      </x:c>
      <x:c r="H135" s="44" t="str">
        <x:v>article board</x:v>
      </x:c>
      <x:c r="I135" s="44" t="str"/>
      <x:c r="J135" s="44" t="str"/>
      <x:c r="K135" s="44" t="str">
        <x:f>IF(J135="","OPEN",IF(I135="PASS","PASS","FAIL"))</x:f>
        <x:v>OPEN</x:v>
      </x:c>
    </x:row>
    <x:row r="136" ht="38" customHeight="1">
      <x:c r="B136" s="44" t="str">
        <x:v>RAC-BG-0130</x:v>
      </x:c>
      <x:c r="C136" s="44" t="str">
        <x:v>REA-T-B1</x:v>
      </x:c>
      <x:c r="D136" s="44" t="str">
        <x:v>BL-X</x:v>
      </x:c>
      <x:c r="E136" s="44" t="str">
        <x:v>G02</x:v>
      </x:c>
      <x:c r="F136" s="44" t="str">
        <x:v>drawing baseline</x:v>
      </x:c>
      <x:c r="G136" s="45" t="str">
        <x:v>all applicable controlled sheets accepted</x:v>
      </x:c>
      <x:c r="H136" s="44" t="str">
        <x:v>configuration board</x:v>
      </x:c>
      <x:c r="I136" s="44" t="str"/>
      <x:c r="J136" s="44" t="str"/>
      <x:c r="K136" s="44" t="str">
        <x:f>IF(J136="","OPEN",IF(I136="PASS","PASS","FAIL"))</x:f>
        <x:v>OPEN</x:v>
      </x:c>
    </x:row>
    <x:row r="137" ht="38" customHeight="1">
      <x:c r="B137" s="44" t="str">
        <x:v>RAC-BG-0131</x:v>
      </x:c>
      <x:c r="C137" s="44" t="str">
        <x:v>REA-T-B1</x:v>
      </x:c>
      <x:c r="D137" s="44" t="str">
        <x:v>BL-X</x:v>
      </x:c>
      <x:c r="E137" s="44" t="str">
        <x:v>G03</x:v>
      </x:c>
      <x:c r="F137" s="44" t="str">
        <x:v>material ancestry</x:v>
      </x:c>
      <x:c r="G137" s="45" t="str">
        <x:v>article lots and sibling evidence conserved</x:v>
      </x:c>
      <x:c r="H137" s="44" t="str">
        <x:v>article board</x:v>
      </x:c>
      <x:c r="I137" s="44" t="str"/>
      <x:c r="J137" s="44" t="str"/>
      <x:c r="K137" s="44" t="str">
        <x:f>IF(J137="","OPEN",IF(I137="PASS","PASS","FAIL"))</x:f>
        <x:v>OPEN</x:v>
      </x:c>
    </x:row>
    <x:row r="138" ht="38" customHeight="1">
      <x:c r="B138" s="44" t="str">
        <x:v>RAC-BG-0132</x:v>
      </x:c>
      <x:c r="C138" s="44" t="str">
        <x:v>REA-T-B1</x:v>
      </x:c>
      <x:c r="D138" s="44" t="str">
        <x:v>BL-X</x:v>
      </x:c>
      <x:c r="E138" s="44" t="str">
        <x:v>G04</x:v>
      </x:c>
      <x:c r="F138" s="44" t="str">
        <x:v>coupon evidence</x:v>
      </x:c>
      <x:c r="G138" s="45" t="str">
        <x:v>adjacent-process population accepted</x:v>
      </x:c>
      <x:c r="H138" s="44" t="str">
        <x:v>article board</x:v>
      </x:c>
      <x:c r="I138" s="44" t="str"/>
      <x:c r="J138" s="44" t="str"/>
      <x:c r="K138" s="44" t="str">
        <x:f>IF(J138="","OPEN",IF(I138="PASS","PASS","FAIL"))</x:f>
        <x:v>OPEN</x:v>
      </x:c>
    </x:row>
    <x:row r="139" ht="38" customHeight="1">
      <x:c r="B139" s="44" t="str">
        <x:v>RAC-BG-0133</x:v>
      </x:c>
      <x:c r="C139" s="44" t="str">
        <x:v>REA-T-B1</x:v>
      </x:c>
      <x:c r="D139" s="44" t="str">
        <x:v>BL-X</x:v>
      </x:c>
      <x:c r="E139" s="44" t="str">
        <x:v>G05</x:v>
      </x:c>
      <x:c r="F139" s="44" t="str">
        <x:v>process route</x:v>
      </x:c>
      <x:c r="G139" s="45" t="str">
        <x:v>lineage route and predecessor states accepted</x:v>
      </x:c>
      <x:c r="H139" s="44" t="str">
        <x:v>article board</x:v>
      </x:c>
      <x:c r="I139" s="44" t="str"/>
      <x:c r="J139" s="44" t="str"/>
      <x:c r="K139" s="44" t="str">
        <x:f>IF(J139="","OPEN",IF(I139="PASS","PASS","FAIL"))</x:f>
        <x:v>OPEN</x:v>
      </x:c>
    </x:row>
    <x:row r="140" ht="38" customHeight="1">
      <x:c r="B140" s="44" t="str">
        <x:v>RAC-BG-0134</x:v>
      </x:c>
      <x:c r="C140" s="44" t="str">
        <x:v>REA-T-B1</x:v>
      </x:c>
      <x:c r="D140" s="44" t="str">
        <x:v>BL-X</x:v>
      </x:c>
      <x:c r="E140" s="44" t="str">
        <x:v>G06</x:v>
      </x:c>
      <x:c r="F140" s="44" t="str">
        <x:v>as-built geometry</x:v>
      </x:c>
      <x:c r="G140" s="45" t="str">
        <x:v>datums, bore, length and port stations observed</x:v>
      </x:c>
      <x:c r="H140" s="44" t="str">
        <x:v>article board</x:v>
      </x:c>
      <x:c r="I140" s="44" t="str"/>
      <x:c r="J140" s="44" t="str"/>
      <x:c r="K140" s="44" t="str">
        <x:f>IF(J140="","OPEN",IF(I140="PASS","PASS","FAIL"))</x:f>
        <x:v>OPEN</x:v>
      </x:c>
    </x:row>
    <x:row r="141" ht="38" customHeight="1">
      <x:c r="B141" s="44" t="str">
        <x:v>RAC-BG-0135</x:v>
      </x:c>
      <x:c r="C141" s="44" t="str">
        <x:v>REA-T-B1</x:v>
      </x:c>
      <x:c r="D141" s="44" t="str">
        <x:v>BL-X</x:v>
      </x:c>
      <x:c r="E141" s="44" t="str">
        <x:v>G07</x:v>
      </x:c>
      <x:c r="F141" s="44" t="str">
        <x:v>joint evidence</x:v>
      </x:c>
      <x:c r="G141" s="45" t="str">
        <x:v>joint mechanism, NDE and terminal witness eligible</x:v>
      </x:c>
      <x:c r="H141" s="44" t="str">
        <x:v>article board</x:v>
      </x:c>
      <x:c r="I141" s="44" t="str"/>
      <x:c r="J141" s="44" t="str"/>
      <x:c r="K141" s="44" t="str">
        <x:f>IF(J141="","OPEN",IF(I141="PASS","PASS","FAIL"))</x:f>
        <x:v>OPEN</x:v>
      </x:c>
    </x:row>
    <x:row r="142" ht="38" customHeight="1">
      <x:c r="B142" s="44" t="str">
        <x:v>RAC-BG-0136</x:v>
      </x:c>
      <x:c r="C142" s="44" t="str">
        <x:v>REA-T-B1</x:v>
      </x:c>
      <x:c r="D142" s="44" t="str">
        <x:v>BL-X</x:v>
      </x:c>
      <x:c r="E142" s="44" t="str">
        <x:v>G08</x:v>
      </x:c>
      <x:c r="F142" s="44" t="str">
        <x:v>pressure and leak</x:v>
      </x:c>
      <x:c r="G142" s="45" t="str">
        <x:v>liquid proof and leak map accepted</x:v>
      </x:c>
      <x:c r="H142" s="44" t="str">
        <x:v>article board</x:v>
      </x:c>
      <x:c r="I142" s="44" t="str"/>
      <x:c r="J142" s="44" t="str"/>
      <x:c r="K142" s="44" t="str">
        <x:f>IF(J142="","OPEN",IF(I142="PASS","PASS","FAIL"))</x:f>
        <x:v>OPEN</x:v>
      </x:c>
    </x:row>
    <x:row r="143" ht="38" customHeight="1">
      <x:c r="B143" s="44" t="str">
        <x:v>RAC-BG-0137</x:v>
      </x:c>
      <x:c r="C143" s="44" t="str">
        <x:v>REA-T-B1</x:v>
      </x:c>
      <x:c r="D143" s="44" t="str">
        <x:v>BL-X</x:v>
      </x:c>
      <x:c r="E143" s="44" t="str">
        <x:v>G09</x:v>
      </x:c>
      <x:c r="F143" s="44" t="str">
        <x:v>surface and recovery</x:v>
      </x:c>
      <x:c r="G143" s="45" t="str">
        <x:v>roughness, contact angle, deadleg and residual accepted</x:v>
      </x:c>
      <x:c r="H143" s="44" t="str">
        <x:v>article board</x:v>
      </x:c>
      <x:c r="I143" s="44" t="str"/>
      <x:c r="J143" s="44" t="str"/>
      <x:c r="K143" s="44" t="str">
        <x:f>IF(J143="","OPEN",IF(I143="PASS","PASS","FAIL"))</x:f>
        <x:v>OPEN</x:v>
      </x:c>
    </x:row>
    <x:row r="144" ht="38" customHeight="1">
      <x:c r="B144" s="44" t="str">
        <x:v>RAC-BG-0138</x:v>
      </x:c>
      <x:c r="C144" s="44" t="str">
        <x:v>REA-T-B1</x:v>
      </x:c>
      <x:c r="D144" s="44" t="str">
        <x:v>BL-X</x:v>
      </x:c>
      <x:c r="E144" s="44" t="str">
        <x:v>G10</x:v>
      </x:c>
      <x:c r="F144" s="44" t="str">
        <x:v>safeing work</x:v>
      </x:c>
      <x:c r="G144" s="45" t="str">
        <x:v>spring work and direct witness interfaces accepted</x:v>
      </x:c>
      <x:c r="H144" s="44" t="str">
        <x:v>safeing authority</x:v>
      </x:c>
      <x:c r="I144" s="44" t="str"/>
      <x:c r="J144" s="44" t="str"/>
      <x:c r="K144" s="44" t="str">
        <x:f>IF(J144="","OPEN",IF(I144="PASS","PASS","FAIL"))</x:f>
        <x:v>OPEN</x:v>
      </x:c>
    </x:row>
    <x:row r="145" ht="38" customHeight="1">
      <x:c r="B145" s="44" t="str">
        <x:v>RAC-BG-0139</x:v>
      </x:c>
      <x:c r="C145" s="44" t="str">
        <x:v>REA-T-B1</x:v>
      </x:c>
      <x:c r="D145" s="44" t="str">
        <x:v>BL-X</x:v>
      </x:c>
      <x:c r="E145" s="44" t="str">
        <x:v>G11</x:v>
      </x:c>
      <x:c r="F145" s="44" t="str">
        <x:v>independent energy</x:v>
      </x:c>
      <x:c r="G145" s="45" t="str">
        <x:v>critical services close at low stored state</x:v>
      </x:c>
      <x:c r="H145" s="44" t="str">
        <x:v>safeing authority</x:v>
      </x:c>
      <x:c r="I145" s="44" t="str"/>
      <x:c r="J145" s="44" t="str"/>
      <x:c r="K145" s="44" t="str">
        <x:f>IF(J145="","OPEN",IF(I145="PASS","PASS","FAIL"))</x:f>
        <x:v>OPEN</x:v>
      </x:c>
    </x:row>
    <x:row r="146" ht="38" customHeight="1">
      <x:c r="B146" s="44" t="str">
        <x:v>RAC-BG-0140</x:v>
      </x:c>
      <x:c r="C146" s="44" t="str">
        <x:v>REA-T-B1</x:v>
      </x:c>
      <x:c r="D146" s="44" t="str">
        <x:v>BL-X</x:v>
      </x:c>
      <x:c r="E146" s="44" t="str">
        <x:v>G12</x:v>
      </x:c>
      <x:c r="F146" s="44" t="str">
        <x:v>instrumentation</x:v>
      </x:c>
      <x:c r="G146" s="45" t="str">
        <x:v>mount, range, power, time and evidence interfaces accepted</x:v>
      </x:c>
      <x:c r="H146" s="44" t="str">
        <x:v>article board</x:v>
      </x:c>
      <x:c r="I146" s="44" t="str"/>
      <x:c r="J146" s="44" t="str"/>
      <x:c r="K146" s="44" t="str">
        <x:f>IF(J146="","OPEN",IF(I146="PASS","PASS","FAIL"))</x:f>
        <x:v>OPEN</x:v>
      </x:c>
    </x:row>
    <x:row r="147" ht="38" customHeight="1">
      <x:c r="B147" s="44" t="str">
        <x:v>RAC-BG-0141</x:v>
      </x:c>
      <x:c r="C147" s="44" t="str">
        <x:v>REA-T-B1</x:v>
      </x:c>
      <x:c r="D147" s="44" t="str">
        <x:v>BL-X</x:v>
      </x:c>
      <x:c r="E147" s="44" t="str">
        <x:v>G13</x:v>
      </x:c>
      <x:c r="F147" s="44" t="str">
        <x:v>mass and CG</x:v>
      </x:c>
      <x:c r="G147" s="45" t="str">
        <x:v>stowed mass, CG, lift and restraints accepted</x:v>
      </x:c>
      <x:c r="H147" s="44" t="str">
        <x:v>article board</x:v>
      </x:c>
      <x:c r="I147" s="44" t="str"/>
      <x:c r="J147" s="44" t="str"/>
      <x:c r="K147" s="44" t="str">
        <x:f>IF(J147="","OPEN",IF(I147="PASS","PASS","FAIL"))</x:f>
        <x:v>OPEN</x:v>
      </x:c>
    </x:row>
    <x:row r="148" ht="38" customHeight="1">
      <x:c r="B148" s="44" t="str">
        <x:v>RAC-BG-0142</x:v>
      </x:c>
      <x:c r="C148" s="44" t="str">
        <x:v>REA-T-B1</x:v>
      </x:c>
      <x:c r="D148" s="44" t="str">
        <x:v>BL-X</x:v>
      </x:c>
      <x:c r="E148" s="44" t="str">
        <x:v>G14</x:v>
      </x:c>
      <x:c r="F148" s="44" t="str">
        <x:v>access and rescue</x:v>
      </x:c>
      <x:c r="G148" s="45" t="str">
        <x:v>manual action, isolation and removal volumes accepted</x:v>
      </x:c>
      <x:c r="H148" s="44" t="str">
        <x:v>article board</x:v>
      </x:c>
      <x:c r="I148" s="44" t="str"/>
      <x:c r="J148" s="44" t="str"/>
      <x:c r="K148" s="44" t="str">
        <x:f>IF(J148="","OPEN",IF(I148="PASS","PASS","FAIL"))</x:f>
        <x:v>OPEN</x:v>
      </x:c>
    </x:row>
    <x:row r="149" ht="38" customHeight="1">
      <x:c r="B149" s="44" t="str">
        <x:v>RAC-BG-0143</x:v>
      </x:c>
      <x:c r="C149" s="44" t="str">
        <x:v>REA-T-B1</x:v>
      </x:c>
      <x:c r="D149" s="44" t="str">
        <x:v>BL-X</x:v>
      </x:c>
      <x:c r="E149" s="44" t="str">
        <x:v>G15</x:v>
      </x:c>
      <x:c r="F149" s="44" t="str">
        <x:v>nonconformance closure</x:v>
      </x:c>
      <x:c r="G149" s="45" t="str">
        <x:v>all branches have disposition and effect assessment</x:v>
      </x:c>
      <x:c r="H149" s="44" t="str">
        <x:v>article board</x:v>
      </x:c>
      <x:c r="I149" s="44" t="str"/>
      <x:c r="J149" s="44" t="str"/>
      <x:c r="K149" s="44" t="str">
        <x:f>IF(J149="","OPEN",IF(I149="PASS","PASS","FAIL"))</x:f>
        <x:v>OPEN</x:v>
      </x:c>
    </x:row>
    <x:row r="150" ht="38" customHeight="1">
      <x:c r="B150" s="44" t="str">
        <x:v>RAC-BG-0144</x:v>
      </x:c>
      <x:c r="C150" s="44" t="str">
        <x:v>REA-T-B1</x:v>
      </x:c>
      <x:c r="D150" s="44" t="str">
        <x:v>BL-X</x:v>
      </x:c>
      <x:c r="E150" s="44" t="str">
        <x:v>G16</x:v>
      </x:c>
      <x:c r="F150" s="44" t="str">
        <x:v>configuration freeze</x:v>
      </x:c>
      <x:c r="G150" s="45" t="str">
        <x:v>physical state, evidence hashes and release baseline co-signed</x:v>
      </x:c>
      <x:c r="H150" s="44" t="str">
        <x:v>configuration board</x:v>
      </x:c>
      <x:c r="I150" s="44" t="str"/>
      <x:c r="J150" s="44" t="str"/>
      <x:c r="K150" s="44" t="str">
        <x:f>IF(J150="","OPEN",IF(I150="PASS","PASS","FAIL"))</x:f>
        <x:v>OPEN</x:v>
      </x:c>
    </x:row>
    <x:row r="151" ht="38" customHeight="1">
      <x:c r="B151" s="44" t="str">
        <x:v>RAC-BG-0145</x:v>
      </x:c>
      <x:c r="C151" s="44" t="str">
        <x:v>REA-T-B2</x:v>
      </x:c>
      <x:c r="D151" s="44" t="str">
        <x:v>BL-Y</x:v>
      </x:c>
      <x:c r="E151" s="44" t="str">
        <x:v>G01</x:v>
      </x:c>
      <x:c r="F151" s="44" t="str">
        <x:v>authority</x:v>
      </x:c>
      <x:c r="G151" s="45" t="str">
        <x:v>named work, configuration and acceptance authorities</x:v>
      </x:c>
      <x:c r="H151" s="44" t="str">
        <x:v>article board</x:v>
      </x:c>
      <x:c r="I151" s="44" t="str"/>
      <x:c r="J151" s="44" t="str"/>
      <x:c r="K151" s="44" t="str">
        <x:f>IF(J151="","OPEN",IF(I151="PASS","PASS","FAIL"))</x:f>
        <x:v>OPEN</x:v>
      </x:c>
    </x:row>
    <x:row r="152" ht="38" customHeight="1">
      <x:c r="B152" s="44" t="str">
        <x:v>RAC-BG-0146</x:v>
      </x:c>
      <x:c r="C152" s="44" t="str">
        <x:v>REA-T-B2</x:v>
      </x:c>
      <x:c r="D152" s="44" t="str">
        <x:v>BL-Y</x:v>
      </x:c>
      <x:c r="E152" s="44" t="str">
        <x:v>G02</x:v>
      </x:c>
      <x:c r="F152" s="44" t="str">
        <x:v>drawing baseline</x:v>
      </x:c>
      <x:c r="G152" s="45" t="str">
        <x:v>all applicable controlled sheets accepted</x:v>
      </x:c>
      <x:c r="H152" s="44" t="str">
        <x:v>configuration board</x:v>
      </x:c>
      <x:c r="I152" s="44" t="str"/>
      <x:c r="J152" s="44" t="str"/>
      <x:c r="K152" s="44" t="str">
        <x:f>IF(J152="","OPEN",IF(I152="PASS","PASS","FAIL"))</x:f>
        <x:v>OPEN</x:v>
      </x:c>
    </x:row>
    <x:row r="153" ht="38" customHeight="1">
      <x:c r="B153" s="44" t="str">
        <x:v>RAC-BG-0147</x:v>
      </x:c>
      <x:c r="C153" s="44" t="str">
        <x:v>REA-T-B2</x:v>
      </x:c>
      <x:c r="D153" s="44" t="str">
        <x:v>BL-Y</x:v>
      </x:c>
      <x:c r="E153" s="44" t="str">
        <x:v>G03</x:v>
      </x:c>
      <x:c r="F153" s="44" t="str">
        <x:v>material ancestry</x:v>
      </x:c>
      <x:c r="G153" s="45" t="str">
        <x:v>article lots and sibling evidence conserved</x:v>
      </x:c>
      <x:c r="H153" s="44" t="str">
        <x:v>article board</x:v>
      </x:c>
      <x:c r="I153" s="44" t="str"/>
      <x:c r="J153" s="44" t="str"/>
      <x:c r="K153" s="44" t="str">
        <x:f>IF(J153="","OPEN",IF(I153="PASS","PASS","FAIL"))</x:f>
        <x:v>OPEN</x:v>
      </x:c>
    </x:row>
    <x:row r="154" ht="38" customHeight="1">
      <x:c r="B154" s="44" t="str">
        <x:v>RAC-BG-0148</x:v>
      </x:c>
      <x:c r="C154" s="44" t="str">
        <x:v>REA-T-B2</x:v>
      </x:c>
      <x:c r="D154" s="44" t="str">
        <x:v>BL-Y</x:v>
      </x:c>
      <x:c r="E154" s="44" t="str">
        <x:v>G04</x:v>
      </x:c>
      <x:c r="F154" s="44" t="str">
        <x:v>coupon evidence</x:v>
      </x:c>
      <x:c r="G154" s="45" t="str">
        <x:v>adjacent-process population accepted</x:v>
      </x:c>
      <x:c r="H154" s="44" t="str">
        <x:v>article board</x:v>
      </x:c>
      <x:c r="I154" s="44" t="str"/>
      <x:c r="J154" s="44" t="str"/>
      <x:c r="K154" s="44" t="str">
        <x:f>IF(J154="","OPEN",IF(I154="PASS","PASS","FAIL"))</x:f>
        <x:v>OPEN</x:v>
      </x:c>
    </x:row>
    <x:row r="155" ht="38" customHeight="1">
      <x:c r="B155" s="44" t="str">
        <x:v>RAC-BG-0149</x:v>
      </x:c>
      <x:c r="C155" s="44" t="str">
        <x:v>REA-T-B2</x:v>
      </x:c>
      <x:c r="D155" s="44" t="str">
        <x:v>BL-Y</x:v>
      </x:c>
      <x:c r="E155" s="44" t="str">
        <x:v>G05</x:v>
      </x:c>
      <x:c r="F155" s="44" t="str">
        <x:v>process route</x:v>
      </x:c>
      <x:c r="G155" s="45" t="str">
        <x:v>lineage route and predecessor states accepted</x:v>
      </x:c>
      <x:c r="H155" s="44" t="str">
        <x:v>article board</x:v>
      </x:c>
      <x:c r="I155" s="44" t="str"/>
      <x:c r="J155" s="44" t="str"/>
      <x:c r="K155" s="44" t="str">
        <x:f>IF(J155="","OPEN",IF(I155="PASS","PASS","FAIL"))</x:f>
        <x:v>OPEN</x:v>
      </x:c>
    </x:row>
    <x:row r="156" ht="38" customHeight="1">
      <x:c r="B156" s="44" t="str">
        <x:v>RAC-BG-0150</x:v>
      </x:c>
      <x:c r="C156" s="44" t="str">
        <x:v>REA-T-B2</x:v>
      </x:c>
      <x:c r="D156" s="44" t="str">
        <x:v>BL-Y</x:v>
      </x:c>
      <x:c r="E156" s="44" t="str">
        <x:v>G06</x:v>
      </x:c>
      <x:c r="F156" s="44" t="str">
        <x:v>as-built geometry</x:v>
      </x:c>
      <x:c r="G156" s="45" t="str">
        <x:v>datums, bore, length and port stations observed</x:v>
      </x:c>
      <x:c r="H156" s="44" t="str">
        <x:v>article board</x:v>
      </x:c>
      <x:c r="I156" s="44" t="str"/>
      <x:c r="J156" s="44" t="str"/>
      <x:c r="K156" s="44" t="str">
        <x:f>IF(J156="","OPEN",IF(I156="PASS","PASS","FAIL"))</x:f>
        <x:v>OPEN</x:v>
      </x:c>
    </x:row>
    <x:row r="157" ht="38" customHeight="1">
      <x:c r="B157" s="44" t="str">
        <x:v>RAC-BG-0151</x:v>
      </x:c>
      <x:c r="C157" s="44" t="str">
        <x:v>REA-T-B2</x:v>
      </x:c>
      <x:c r="D157" s="44" t="str">
        <x:v>BL-Y</x:v>
      </x:c>
      <x:c r="E157" s="44" t="str">
        <x:v>G07</x:v>
      </x:c>
      <x:c r="F157" s="44" t="str">
        <x:v>joint evidence</x:v>
      </x:c>
      <x:c r="G157" s="45" t="str">
        <x:v>joint mechanism, NDE and terminal witness eligible</x:v>
      </x:c>
      <x:c r="H157" s="44" t="str">
        <x:v>article board</x:v>
      </x:c>
      <x:c r="I157" s="44" t="str"/>
      <x:c r="J157" s="44" t="str"/>
      <x:c r="K157" s="44" t="str">
        <x:f>IF(J157="","OPEN",IF(I157="PASS","PASS","FAIL"))</x:f>
        <x:v>OPEN</x:v>
      </x:c>
    </x:row>
    <x:row r="158" ht="38" customHeight="1">
      <x:c r="B158" s="44" t="str">
        <x:v>RAC-BG-0152</x:v>
      </x:c>
      <x:c r="C158" s="44" t="str">
        <x:v>REA-T-B2</x:v>
      </x:c>
      <x:c r="D158" s="44" t="str">
        <x:v>BL-Y</x:v>
      </x:c>
      <x:c r="E158" s="44" t="str">
        <x:v>G08</x:v>
      </x:c>
      <x:c r="F158" s="44" t="str">
        <x:v>pressure and leak</x:v>
      </x:c>
      <x:c r="G158" s="45" t="str">
        <x:v>liquid proof and leak map accepted</x:v>
      </x:c>
      <x:c r="H158" s="44" t="str">
        <x:v>article board</x:v>
      </x:c>
      <x:c r="I158" s="44" t="str"/>
      <x:c r="J158" s="44" t="str"/>
      <x:c r="K158" s="44" t="str">
        <x:f>IF(J158="","OPEN",IF(I158="PASS","PASS","FAIL"))</x:f>
        <x:v>OPEN</x:v>
      </x:c>
    </x:row>
    <x:row r="159" ht="38" customHeight="1">
      <x:c r="B159" s="44" t="str">
        <x:v>RAC-BG-0153</x:v>
      </x:c>
      <x:c r="C159" s="44" t="str">
        <x:v>REA-T-B2</x:v>
      </x:c>
      <x:c r="D159" s="44" t="str">
        <x:v>BL-Y</x:v>
      </x:c>
      <x:c r="E159" s="44" t="str">
        <x:v>G09</x:v>
      </x:c>
      <x:c r="F159" s="44" t="str">
        <x:v>surface and recovery</x:v>
      </x:c>
      <x:c r="G159" s="45" t="str">
        <x:v>roughness, contact angle, deadleg and residual accepted</x:v>
      </x:c>
      <x:c r="H159" s="44" t="str">
        <x:v>article board</x:v>
      </x:c>
      <x:c r="I159" s="44" t="str"/>
      <x:c r="J159" s="44" t="str"/>
      <x:c r="K159" s="44" t="str">
        <x:f>IF(J159="","OPEN",IF(I159="PASS","PASS","FAIL"))</x:f>
        <x:v>OPEN</x:v>
      </x:c>
    </x:row>
    <x:row r="160" ht="38" customHeight="1">
      <x:c r="B160" s="44" t="str">
        <x:v>RAC-BG-0154</x:v>
      </x:c>
      <x:c r="C160" s="44" t="str">
        <x:v>REA-T-B2</x:v>
      </x:c>
      <x:c r="D160" s="44" t="str">
        <x:v>BL-Y</x:v>
      </x:c>
      <x:c r="E160" s="44" t="str">
        <x:v>G10</x:v>
      </x:c>
      <x:c r="F160" s="44" t="str">
        <x:v>safeing work</x:v>
      </x:c>
      <x:c r="G160" s="45" t="str">
        <x:v>spring work and direct witness interfaces accepted</x:v>
      </x:c>
      <x:c r="H160" s="44" t="str">
        <x:v>safeing authority</x:v>
      </x:c>
      <x:c r="I160" s="44" t="str"/>
      <x:c r="J160" s="44" t="str"/>
      <x:c r="K160" s="44" t="str">
        <x:f>IF(J160="","OPEN",IF(I160="PASS","PASS","FAIL"))</x:f>
        <x:v>OPEN</x:v>
      </x:c>
    </x:row>
    <x:row r="161" ht="38" customHeight="1">
      <x:c r="B161" s="44" t="str">
        <x:v>RAC-BG-0155</x:v>
      </x:c>
      <x:c r="C161" s="44" t="str">
        <x:v>REA-T-B2</x:v>
      </x:c>
      <x:c r="D161" s="44" t="str">
        <x:v>BL-Y</x:v>
      </x:c>
      <x:c r="E161" s="44" t="str">
        <x:v>G11</x:v>
      </x:c>
      <x:c r="F161" s="44" t="str">
        <x:v>independent energy</x:v>
      </x:c>
      <x:c r="G161" s="45" t="str">
        <x:v>critical services close at low stored state</x:v>
      </x:c>
      <x:c r="H161" s="44" t="str">
        <x:v>safeing authority</x:v>
      </x:c>
      <x:c r="I161" s="44" t="str"/>
      <x:c r="J161" s="44" t="str"/>
      <x:c r="K161" s="44" t="str">
        <x:f>IF(J161="","OPEN",IF(I161="PASS","PASS","FAIL"))</x:f>
        <x:v>OPEN</x:v>
      </x:c>
    </x:row>
    <x:row r="162" ht="38" customHeight="1">
      <x:c r="B162" s="44" t="str">
        <x:v>RAC-BG-0156</x:v>
      </x:c>
      <x:c r="C162" s="44" t="str">
        <x:v>REA-T-B2</x:v>
      </x:c>
      <x:c r="D162" s="44" t="str">
        <x:v>BL-Y</x:v>
      </x:c>
      <x:c r="E162" s="44" t="str">
        <x:v>G12</x:v>
      </x:c>
      <x:c r="F162" s="44" t="str">
        <x:v>instrumentation</x:v>
      </x:c>
      <x:c r="G162" s="45" t="str">
        <x:v>mount, range, power, time and evidence interfaces accepted</x:v>
      </x:c>
      <x:c r="H162" s="44" t="str">
        <x:v>article board</x:v>
      </x:c>
      <x:c r="I162" s="44" t="str"/>
      <x:c r="J162" s="44" t="str"/>
      <x:c r="K162" s="44" t="str">
        <x:f>IF(J162="","OPEN",IF(I162="PASS","PASS","FAIL"))</x:f>
        <x:v>OPEN</x:v>
      </x:c>
    </x:row>
    <x:row r="163" ht="38" customHeight="1">
      <x:c r="B163" s="44" t="str">
        <x:v>RAC-BG-0157</x:v>
      </x:c>
      <x:c r="C163" s="44" t="str">
        <x:v>REA-T-B2</x:v>
      </x:c>
      <x:c r="D163" s="44" t="str">
        <x:v>BL-Y</x:v>
      </x:c>
      <x:c r="E163" s="44" t="str">
        <x:v>G13</x:v>
      </x:c>
      <x:c r="F163" s="44" t="str">
        <x:v>mass and CG</x:v>
      </x:c>
      <x:c r="G163" s="45" t="str">
        <x:v>stowed mass, CG, lift and restraints accepted</x:v>
      </x:c>
      <x:c r="H163" s="44" t="str">
        <x:v>article board</x:v>
      </x:c>
      <x:c r="I163" s="44" t="str"/>
      <x:c r="J163" s="44" t="str"/>
      <x:c r="K163" s="44" t="str">
        <x:f>IF(J163="","OPEN",IF(I163="PASS","PASS","FAIL"))</x:f>
        <x:v>OPEN</x:v>
      </x:c>
    </x:row>
    <x:row r="164" ht="38" customHeight="1">
      <x:c r="B164" s="44" t="str">
        <x:v>RAC-BG-0158</x:v>
      </x:c>
      <x:c r="C164" s="44" t="str">
        <x:v>REA-T-B2</x:v>
      </x:c>
      <x:c r="D164" s="44" t="str">
        <x:v>BL-Y</x:v>
      </x:c>
      <x:c r="E164" s="44" t="str">
        <x:v>G14</x:v>
      </x:c>
      <x:c r="F164" s="44" t="str">
        <x:v>access and rescue</x:v>
      </x:c>
      <x:c r="G164" s="45" t="str">
        <x:v>manual action, isolation and removal volumes accepted</x:v>
      </x:c>
      <x:c r="H164" s="44" t="str">
        <x:v>article board</x:v>
      </x:c>
      <x:c r="I164" s="44" t="str"/>
      <x:c r="J164" s="44" t="str"/>
      <x:c r="K164" s="44" t="str">
        <x:f>IF(J164="","OPEN",IF(I164="PASS","PASS","FAIL"))</x:f>
        <x:v>OPEN</x:v>
      </x:c>
    </x:row>
    <x:row r="165" ht="38" customHeight="1">
      <x:c r="B165" s="44" t="str">
        <x:v>RAC-BG-0159</x:v>
      </x:c>
      <x:c r="C165" s="44" t="str">
        <x:v>REA-T-B2</x:v>
      </x:c>
      <x:c r="D165" s="44" t="str">
        <x:v>BL-Y</x:v>
      </x:c>
      <x:c r="E165" s="44" t="str">
        <x:v>G15</x:v>
      </x:c>
      <x:c r="F165" s="44" t="str">
        <x:v>nonconformance closure</x:v>
      </x:c>
      <x:c r="G165" s="45" t="str">
        <x:v>all branches have disposition and effect assessment</x:v>
      </x:c>
      <x:c r="H165" s="44" t="str">
        <x:v>article board</x:v>
      </x:c>
      <x:c r="I165" s="44" t="str"/>
      <x:c r="J165" s="44" t="str"/>
      <x:c r="K165" s="44" t="str">
        <x:f>IF(J165="","OPEN",IF(I165="PASS","PASS","FAIL"))</x:f>
        <x:v>OPEN</x:v>
      </x:c>
    </x:row>
    <x:row r="166" ht="38" customHeight="1">
      <x:c r="B166" s="44" t="str">
        <x:v>RAC-BG-0160</x:v>
      </x:c>
      <x:c r="C166" s="44" t="str">
        <x:v>REA-T-B2</x:v>
      </x:c>
      <x:c r="D166" s="44" t="str">
        <x:v>BL-Y</x:v>
      </x:c>
      <x:c r="E166" s="44" t="str">
        <x:v>G16</x:v>
      </x:c>
      <x:c r="F166" s="44" t="str">
        <x:v>configuration freeze</x:v>
      </x:c>
      <x:c r="G166" s="45" t="str">
        <x:v>physical state, evidence hashes and release baseline co-signed</x:v>
      </x:c>
      <x:c r="H166" s="44" t="str">
        <x:v>configuration board</x:v>
      </x:c>
      <x:c r="I166" s="44" t="str"/>
      <x:c r="J166" s="44" t="str"/>
      <x:c r="K166" s="44" t="str">
        <x:f>IF(J166="","OPEN",IF(I166="PASS","PASS","FAIL"))</x:f>
        <x:v>OPEN</x:v>
      </x:c>
    </x:row>
    <x:row r="167" ht="38" customHeight="1">
      <x:c r="B167" s="44" t="str">
        <x:v>RAC-BG-0161</x:v>
      </x:c>
      <x:c r="C167" s="44" t="str">
        <x:v>REA-T-C1</x:v>
      </x:c>
      <x:c r="D167" s="44" t="str">
        <x:v>BL-X</x:v>
      </x:c>
      <x:c r="E167" s="44" t="str">
        <x:v>G01</x:v>
      </x:c>
      <x:c r="F167" s="44" t="str">
        <x:v>authority</x:v>
      </x:c>
      <x:c r="G167" s="45" t="str">
        <x:v>named work, configuration and acceptance authorities</x:v>
      </x:c>
      <x:c r="H167" s="44" t="str">
        <x:v>article board</x:v>
      </x:c>
      <x:c r="I167" s="44" t="str"/>
      <x:c r="J167" s="44" t="str"/>
      <x:c r="K167" s="44" t="str">
        <x:f>IF(J167="","OPEN",IF(I167="PASS","PASS","FAIL"))</x:f>
        <x:v>OPEN</x:v>
      </x:c>
    </x:row>
    <x:row r="168" ht="38" customHeight="1">
      <x:c r="B168" s="44" t="str">
        <x:v>RAC-BG-0162</x:v>
      </x:c>
      <x:c r="C168" s="44" t="str">
        <x:v>REA-T-C1</x:v>
      </x:c>
      <x:c r="D168" s="44" t="str">
        <x:v>BL-X</x:v>
      </x:c>
      <x:c r="E168" s="44" t="str">
        <x:v>G02</x:v>
      </x:c>
      <x:c r="F168" s="44" t="str">
        <x:v>drawing baseline</x:v>
      </x:c>
      <x:c r="G168" s="45" t="str">
        <x:v>all applicable controlled sheets accepted</x:v>
      </x:c>
      <x:c r="H168" s="44" t="str">
        <x:v>configuration board</x:v>
      </x:c>
      <x:c r="I168" s="44" t="str"/>
      <x:c r="J168" s="44" t="str"/>
      <x:c r="K168" s="44" t="str">
        <x:f>IF(J168="","OPEN",IF(I168="PASS","PASS","FAIL"))</x:f>
        <x:v>OPEN</x:v>
      </x:c>
    </x:row>
    <x:row r="169" ht="38" customHeight="1">
      <x:c r="B169" s="44" t="str">
        <x:v>RAC-BG-0163</x:v>
      </x:c>
      <x:c r="C169" s="44" t="str">
        <x:v>REA-T-C1</x:v>
      </x:c>
      <x:c r="D169" s="44" t="str">
        <x:v>BL-X</x:v>
      </x:c>
      <x:c r="E169" s="44" t="str">
        <x:v>G03</x:v>
      </x:c>
      <x:c r="F169" s="44" t="str">
        <x:v>material ancestry</x:v>
      </x:c>
      <x:c r="G169" s="45" t="str">
        <x:v>article lots and sibling evidence conserved</x:v>
      </x:c>
      <x:c r="H169" s="44" t="str">
        <x:v>article board</x:v>
      </x:c>
      <x:c r="I169" s="44" t="str"/>
      <x:c r="J169" s="44" t="str"/>
      <x:c r="K169" s="44" t="str">
        <x:f>IF(J169="","OPEN",IF(I169="PASS","PASS","FAIL"))</x:f>
        <x:v>OPEN</x:v>
      </x:c>
    </x:row>
    <x:row r="170" ht="38" customHeight="1">
      <x:c r="B170" s="44" t="str">
        <x:v>RAC-BG-0164</x:v>
      </x:c>
      <x:c r="C170" s="44" t="str">
        <x:v>REA-T-C1</x:v>
      </x:c>
      <x:c r="D170" s="44" t="str">
        <x:v>BL-X</x:v>
      </x:c>
      <x:c r="E170" s="44" t="str">
        <x:v>G04</x:v>
      </x:c>
      <x:c r="F170" s="44" t="str">
        <x:v>coupon evidence</x:v>
      </x:c>
      <x:c r="G170" s="45" t="str">
        <x:v>adjacent-process population accepted</x:v>
      </x:c>
      <x:c r="H170" s="44" t="str">
        <x:v>article board</x:v>
      </x:c>
      <x:c r="I170" s="44" t="str"/>
      <x:c r="J170" s="44" t="str"/>
      <x:c r="K170" s="44" t="str">
        <x:f>IF(J170="","OPEN",IF(I170="PASS","PASS","FAIL"))</x:f>
        <x:v>OPEN</x:v>
      </x:c>
    </x:row>
    <x:row r="171" ht="38" customHeight="1">
      <x:c r="B171" s="44" t="str">
        <x:v>RAC-BG-0165</x:v>
      </x:c>
      <x:c r="C171" s="44" t="str">
        <x:v>REA-T-C1</x:v>
      </x:c>
      <x:c r="D171" s="44" t="str">
        <x:v>BL-X</x:v>
      </x:c>
      <x:c r="E171" s="44" t="str">
        <x:v>G05</x:v>
      </x:c>
      <x:c r="F171" s="44" t="str">
        <x:v>process route</x:v>
      </x:c>
      <x:c r="G171" s="45" t="str">
        <x:v>lineage route and predecessor states accepted</x:v>
      </x:c>
      <x:c r="H171" s="44" t="str">
        <x:v>article board</x:v>
      </x:c>
      <x:c r="I171" s="44" t="str"/>
      <x:c r="J171" s="44" t="str"/>
      <x:c r="K171" s="44" t="str">
        <x:f>IF(J171="","OPEN",IF(I171="PASS","PASS","FAIL"))</x:f>
        <x:v>OPEN</x:v>
      </x:c>
    </x:row>
    <x:row r="172" ht="38" customHeight="1">
      <x:c r="B172" s="44" t="str">
        <x:v>RAC-BG-0166</x:v>
      </x:c>
      <x:c r="C172" s="44" t="str">
        <x:v>REA-T-C1</x:v>
      </x:c>
      <x:c r="D172" s="44" t="str">
        <x:v>BL-X</x:v>
      </x:c>
      <x:c r="E172" s="44" t="str">
        <x:v>G06</x:v>
      </x:c>
      <x:c r="F172" s="44" t="str">
        <x:v>as-built geometry</x:v>
      </x:c>
      <x:c r="G172" s="45" t="str">
        <x:v>datums, bore, length and port stations observed</x:v>
      </x:c>
      <x:c r="H172" s="44" t="str">
        <x:v>article board</x:v>
      </x:c>
      <x:c r="I172" s="44" t="str"/>
      <x:c r="J172" s="44" t="str"/>
      <x:c r="K172" s="44" t="str">
        <x:f>IF(J172="","OPEN",IF(I172="PASS","PASS","FAIL"))</x:f>
        <x:v>OPEN</x:v>
      </x:c>
    </x:row>
    <x:row r="173" ht="38" customHeight="1">
      <x:c r="B173" s="44" t="str">
        <x:v>RAC-BG-0167</x:v>
      </x:c>
      <x:c r="C173" s="44" t="str">
        <x:v>REA-T-C1</x:v>
      </x:c>
      <x:c r="D173" s="44" t="str">
        <x:v>BL-X</x:v>
      </x:c>
      <x:c r="E173" s="44" t="str">
        <x:v>G07</x:v>
      </x:c>
      <x:c r="F173" s="44" t="str">
        <x:v>joint evidence</x:v>
      </x:c>
      <x:c r="G173" s="45" t="str">
        <x:v>joint mechanism, NDE and terminal witness eligible</x:v>
      </x:c>
      <x:c r="H173" s="44" t="str">
        <x:v>article board</x:v>
      </x:c>
      <x:c r="I173" s="44" t="str"/>
      <x:c r="J173" s="44" t="str"/>
      <x:c r="K173" s="44" t="str">
        <x:f>IF(J173="","OPEN",IF(I173="PASS","PASS","FAIL"))</x:f>
        <x:v>OPEN</x:v>
      </x:c>
    </x:row>
    <x:row r="174" ht="38" customHeight="1">
      <x:c r="B174" s="44" t="str">
        <x:v>RAC-BG-0168</x:v>
      </x:c>
      <x:c r="C174" s="44" t="str">
        <x:v>REA-T-C1</x:v>
      </x:c>
      <x:c r="D174" s="44" t="str">
        <x:v>BL-X</x:v>
      </x:c>
      <x:c r="E174" s="44" t="str">
        <x:v>G08</x:v>
      </x:c>
      <x:c r="F174" s="44" t="str">
        <x:v>pressure and leak</x:v>
      </x:c>
      <x:c r="G174" s="45" t="str">
        <x:v>liquid proof and leak map accepted</x:v>
      </x:c>
      <x:c r="H174" s="44" t="str">
        <x:v>article board</x:v>
      </x:c>
      <x:c r="I174" s="44" t="str"/>
      <x:c r="J174" s="44" t="str"/>
      <x:c r="K174" s="44" t="str">
        <x:f>IF(J174="","OPEN",IF(I174="PASS","PASS","FAIL"))</x:f>
        <x:v>OPEN</x:v>
      </x:c>
    </x:row>
    <x:row r="175" ht="38" customHeight="1">
      <x:c r="B175" s="44" t="str">
        <x:v>RAC-BG-0169</x:v>
      </x:c>
      <x:c r="C175" s="44" t="str">
        <x:v>REA-T-C1</x:v>
      </x:c>
      <x:c r="D175" s="44" t="str">
        <x:v>BL-X</x:v>
      </x:c>
      <x:c r="E175" s="44" t="str">
        <x:v>G09</x:v>
      </x:c>
      <x:c r="F175" s="44" t="str">
        <x:v>surface and recovery</x:v>
      </x:c>
      <x:c r="G175" s="45" t="str">
        <x:v>roughness, contact angle, deadleg and residual accepted</x:v>
      </x:c>
      <x:c r="H175" s="44" t="str">
        <x:v>article board</x:v>
      </x:c>
      <x:c r="I175" s="44" t="str"/>
      <x:c r="J175" s="44" t="str"/>
      <x:c r="K175" s="44" t="str">
        <x:f>IF(J175="","OPEN",IF(I175="PASS","PASS","FAIL"))</x:f>
        <x:v>OPEN</x:v>
      </x:c>
    </x:row>
    <x:row r="176" ht="38" customHeight="1">
      <x:c r="B176" s="44" t="str">
        <x:v>RAC-BG-0170</x:v>
      </x:c>
      <x:c r="C176" s="44" t="str">
        <x:v>REA-T-C1</x:v>
      </x:c>
      <x:c r="D176" s="44" t="str">
        <x:v>BL-X</x:v>
      </x:c>
      <x:c r="E176" s="44" t="str">
        <x:v>G10</x:v>
      </x:c>
      <x:c r="F176" s="44" t="str">
        <x:v>safeing work</x:v>
      </x:c>
      <x:c r="G176" s="45" t="str">
        <x:v>spring work and direct witness interfaces accepted</x:v>
      </x:c>
      <x:c r="H176" s="44" t="str">
        <x:v>safeing authority</x:v>
      </x:c>
      <x:c r="I176" s="44" t="str"/>
      <x:c r="J176" s="44" t="str"/>
      <x:c r="K176" s="44" t="str">
        <x:f>IF(J176="","OPEN",IF(I176="PASS","PASS","FAIL"))</x:f>
        <x:v>OPEN</x:v>
      </x:c>
    </x:row>
    <x:row r="177" ht="38" customHeight="1">
      <x:c r="B177" s="44" t="str">
        <x:v>RAC-BG-0171</x:v>
      </x:c>
      <x:c r="C177" s="44" t="str">
        <x:v>REA-T-C1</x:v>
      </x:c>
      <x:c r="D177" s="44" t="str">
        <x:v>BL-X</x:v>
      </x:c>
      <x:c r="E177" s="44" t="str">
        <x:v>G11</x:v>
      </x:c>
      <x:c r="F177" s="44" t="str">
        <x:v>independent energy</x:v>
      </x:c>
      <x:c r="G177" s="45" t="str">
        <x:v>critical services close at low stored state</x:v>
      </x:c>
      <x:c r="H177" s="44" t="str">
        <x:v>safeing authority</x:v>
      </x:c>
      <x:c r="I177" s="44" t="str"/>
      <x:c r="J177" s="44" t="str"/>
      <x:c r="K177" s="44" t="str">
        <x:f>IF(J177="","OPEN",IF(I177="PASS","PASS","FAIL"))</x:f>
        <x:v>OPEN</x:v>
      </x:c>
    </x:row>
    <x:row r="178" ht="38" customHeight="1">
      <x:c r="B178" s="44" t="str">
        <x:v>RAC-BG-0172</x:v>
      </x:c>
      <x:c r="C178" s="44" t="str">
        <x:v>REA-T-C1</x:v>
      </x:c>
      <x:c r="D178" s="44" t="str">
        <x:v>BL-X</x:v>
      </x:c>
      <x:c r="E178" s="44" t="str">
        <x:v>G12</x:v>
      </x:c>
      <x:c r="F178" s="44" t="str">
        <x:v>instrumentation</x:v>
      </x:c>
      <x:c r="G178" s="45" t="str">
        <x:v>mount, range, power, time and evidence interfaces accepted</x:v>
      </x:c>
      <x:c r="H178" s="44" t="str">
        <x:v>article board</x:v>
      </x:c>
      <x:c r="I178" s="44" t="str"/>
      <x:c r="J178" s="44" t="str"/>
      <x:c r="K178" s="44" t="str">
        <x:f>IF(J178="","OPEN",IF(I178="PASS","PASS","FAIL"))</x:f>
        <x:v>OPEN</x:v>
      </x:c>
    </x:row>
    <x:row r="179" ht="38" customHeight="1">
      <x:c r="B179" s="44" t="str">
        <x:v>RAC-BG-0173</x:v>
      </x:c>
      <x:c r="C179" s="44" t="str">
        <x:v>REA-T-C1</x:v>
      </x:c>
      <x:c r="D179" s="44" t="str">
        <x:v>BL-X</x:v>
      </x:c>
      <x:c r="E179" s="44" t="str">
        <x:v>G13</x:v>
      </x:c>
      <x:c r="F179" s="44" t="str">
        <x:v>mass and CG</x:v>
      </x:c>
      <x:c r="G179" s="45" t="str">
        <x:v>stowed mass, CG, lift and restraints accepted</x:v>
      </x:c>
      <x:c r="H179" s="44" t="str">
        <x:v>article board</x:v>
      </x:c>
      <x:c r="I179" s="44" t="str"/>
      <x:c r="J179" s="44" t="str"/>
      <x:c r="K179" s="44" t="str">
        <x:f>IF(J179="","OPEN",IF(I179="PASS","PASS","FAIL"))</x:f>
        <x:v>OPEN</x:v>
      </x:c>
    </x:row>
    <x:row r="180" ht="38" customHeight="1">
      <x:c r="B180" s="44" t="str">
        <x:v>RAC-BG-0174</x:v>
      </x:c>
      <x:c r="C180" s="44" t="str">
        <x:v>REA-T-C1</x:v>
      </x:c>
      <x:c r="D180" s="44" t="str">
        <x:v>BL-X</x:v>
      </x:c>
      <x:c r="E180" s="44" t="str">
        <x:v>G14</x:v>
      </x:c>
      <x:c r="F180" s="44" t="str">
        <x:v>access and rescue</x:v>
      </x:c>
      <x:c r="G180" s="45" t="str">
        <x:v>manual action, isolation and removal volumes accepted</x:v>
      </x:c>
      <x:c r="H180" s="44" t="str">
        <x:v>article board</x:v>
      </x:c>
      <x:c r="I180" s="44" t="str"/>
      <x:c r="J180" s="44" t="str"/>
      <x:c r="K180" s="44" t="str">
        <x:f>IF(J180="","OPEN",IF(I180="PASS","PASS","FAIL"))</x:f>
        <x:v>OPEN</x:v>
      </x:c>
    </x:row>
    <x:row r="181" ht="38" customHeight="1">
      <x:c r="B181" s="44" t="str">
        <x:v>RAC-BG-0175</x:v>
      </x:c>
      <x:c r="C181" s="44" t="str">
        <x:v>REA-T-C1</x:v>
      </x:c>
      <x:c r="D181" s="44" t="str">
        <x:v>BL-X</x:v>
      </x:c>
      <x:c r="E181" s="44" t="str">
        <x:v>G15</x:v>
      </x:c>
      <x:c r="F181" s="44" t="str">
        <x:v>nonconformance closure</x:v>
      </x:c>
      <x:c r="G181" s="45" t="str">
        <x:v>all branches have disposition and effect assessment</x:v>
      </x:c>
      <x:c r="H181" s="44" t="str">
        <x:v>article board</x:v>
      </x:c>
      <x:c r="I181" s="44" t="str"/>
      <x:c r="J181" s="44" t="str"/>
      <x:c r="K181" s="44" t="str">
        <x:f>IF(J181="","OPEN",IF(I181="PASS","PASS","FAIL"))</x:f>
        <x:v>OPEN</x:v>
      </x:c>
    </x:row>
    <x:row r="182" ht="38" customHeight="1">
      <x:c r="B182" s="44" t="str">
        <x:v>RAC-BG-0176</x:v>
      </x:c>
      <x:c r="C182" s="44" t="str">
        <x:v>REA-T-C1</x:v>
      </x:c>
      <x:c r="D182" s="44" t="str">
        <x:v>BL-X</x:v>
      </x:c>
      <x:c r="E182" s="44" t="str">
        <x:v>G16</x:v>
      </x:c>
      <x:c r="F182" s="44" t="str">
        <x:v>configuration freeze</x:v>
      </x:c>
      <x:c r="G182" s="45" t="str">
        <x:v>physical state, evidence hashes and release baseline co-signed</x:v>
      </x:c>
      <x:c r="H182" s="44" t="str">
        <x:v>configuration board</x:v>
      </x:c>
      <x:c r="I182" s="44" t="str"/>
      <x:c r="J182" s="44" t="str"/>
      <x:c r="K182" s="44" t="str">
        <x:f>IF(J182="","OPEN",IF(I182="PASS","PASS","FAIL"))</x:f>
        <x:v>OPEN</x:v>
      </x:c>
    </x:row>
    <x:row r="183" ht="38" customHeight="1">
      <x:c r="B183" s="44" t="str">
        <x:v>RAC-BG-0177</x:v>
      </x:c>
      <x:c r="C183" s="44" t="str">
        <x:v>REA-T-C2</x:v>
      </x:c>
      <x:c r="D183" s="44" t="str">
        <x:v>BL-Y</x:v>
      </x:c>
      <x:c r="E183" s="44" t="str">
        <x:v>G01</x:v>
      </x:c>
      <x:c r="F183" s="44" t="str">
        <x:v>authority</x:v>
      </x:c>
      <x:c r="G183" s="45" t="str">
        <x:v>named work, configuration and acceptance authorities</x:v>
      </x:c>
      <x:c r="H183" s="44" t="str">
        <x:v>article board</x:v>
      </x:c>
      <x:c r="I183" s="44" t="str"/>
      <x:c r="J183" s="44" t="str"/>
      <x:c r="K183" s="44" t="str">
        <x:f>IF(J183="","OPEN",IF(I183="PASS","PASS","FAIL"))</x:f>
        <x:v>OPEN</x:v>
      </x:c>
    </x:row>
    <x:row r="184" ht="38" customHeight="1">
      <x:c r="B184" s="44" t="str">
        <x:v>RAC-BG-0178</x:v>
      </x:c>
      <x:c r="C184" s="44" t="str">
        <x:v>REA-T-C2</x:v>
      </x:c>
      <x:c r="D184" s="44" t="str">
        <x:v>BL-Y</x:v>
      </x:c>
      <x:c r="E184" s="44" t="str">
        <x:v>G02</x:v>
      </x:c>
      <x:c r="F184" s="44" t="str">
        <x:v>drawing baseline</x:v>
      </x:c>
      <x:c r="G184" s="45" t="str">
        <x:v>all applicable controlled sheets accepted</x:v>
      </x:c>
      <x:c r="H184" s="44" t="str">
        <x:v>configuration board</x:v>
      </x:c>
      <x:c r="I184" s="44" t="str"/>
      <x:c r="J184" s="44" t="str"/>
      <x:c r="K184" s="44" t="str">
        <x:f>IF(J184="","OPEN",IF(I184="PASS","PASS","FAIL"))</x:f>
        <x:v>OPEN</x:v>
      </x:c>
    </x:row>
    <x:row r="185" ht="38" customHeight="1">
      <x:c r="B185" s="44" t="str">
        <x:v>RAC-BG-0179</x:v>
      </x:c>
      <x:c r="C185" s="44" t="str">
        <x:v>REA-T-C2</x:v>
      </x:c>
      <x:c r="D185" s="44" t="str">
        <x:v>BL-Y</x:v>
      </x:c>
      <x:c r="E185" s="44" t="str">
        <x:v>G03</x:v>
      </x:c>
      <x:c r="F185" s="44" t="str">
        <x:v>material ancestry</x:v>
      </x:c>
      <x:c r="G185" s="45" t="str">
        <x:v>article lots and sibling evidence conserved</x:v>
      </x:c>
      <x:c r="H185" s="44" t="str">
        <x:v>article board</x:v>
      </x:c>
      <x:c r="I185" s="44" t="str"/>
      <x:c r="J185" s="44" t="str"/>
      <x:c r="K185" s="44" t="str">
        <x:f>IF(J185="","OPEN",IF(I185="PASS","PASS","FAIL"))</x:f>
        <x:v>OPEN</x:v>
      </x:c>
    </x:row>
    <x:row r="186" ht="38" customHeight="1">
      <x:c r="B186" s="44" t="str">
        <x:v>RAC-BG-0180</x:v>
      </x:c>
      <x:c r="C186" s="44" t="str">
        <x:v>REA-T-C2</x:v>
      </x:c>
      <x:c r="D186" s="44" t="str">
        <x:v>BL-Y</x:v>
      </x:c>
      <x:c r="E186" s="44" t="str">
        <x:v>G04</x:v>
      </x:c>
      <x:c r="F186" s="44" t="str">
        <x:v>coupon evidence</x:v>
      </x:c>
      <x:c r="G186" s="45" t="str">
        <x:v>adjacent-process population accepted</x:v>
      </x:c>
      <x:c r="H186" s="44" t="str">
        <x:v>article board</x:v>
      </x:c>
      <x:c r="I186" s="44" t="str"/>
      <x:c r="J186" s="44" t="str"/>
      <x:c r="K186" s="44" t="str">
        <x:f>IF(J186="","OPEN",IF(I186="PASS","PASS","FAIL"))</x:f>
        <x:v>OPEN</x:v>
      </x:c>
    </x:row>
    <x:row r="187" ht="38" customHeight="1">
      <x:c r="B187" s="44" t="str">
        <x:v>RAC-BG-0181</x:v>
      </x:c>
      <x:c r="C187" s="44" t="str">
        <x:v>REA-T-C2</x:v>
      </x:c>
      <x:c r="D187" s="44" t="str">
        <x:v>BL-Y</x:v>
      </x:c>
      <x:c r="E187" s="44" t="str">
        <x:v>G05</x:v>
      </x:c>
      <x:c r="F187" s="44" t="str">
        <x:v>process route</x:v>
      </x:c>
      <x:c r="G187" s="45" t="str">
        <x:v>lineage route and predecessor states accepted</x:v>
      </x:c>
      <x:c r="H187" s="44" t="str">
        <x:v>article board</x:v>
      </x:c>
      <x:c r="I187" s="44" t="str"/>
      <x:c r="J187" s="44" t="str"/>
      <x:c r="K187" s="44" t="str">
        <x:f>IF(J187="","OPEN",IF(I187="PASS","PASS","FAIL"))</x:f>
        <x:v>OPEN</x:v>
      </x:c>
    </x:row>
    <x:row r="188" ht="38" customHeight="1">
      <x:c r="B188" s="44" t="str">
        <x:v>RAC-BG-0182</x:v>
      </x:c>
      <x:c r="C188" s="44" t="str">
        <x:v>REA-T-C2</x:v>
      </x:c>
      <x:c r="D188" s="44" t="str">
        <x:v>BL-Y</x:v>
      </x:c>
      <x:c r="E188" s="44" t="str">
        <x:v>G06</x:v>
      </x:c>
      <x:c r="F188" s="44" t="str">
        <x:v>as-built geometry</x:v>
      </x:c>
      <x:c r="G188" s="45" t="str">
        <x:v>datums, bore, length and port stations observed</x:v>
      </x:c>
      <x:c r="H188" s="44" t="str">
        <x:v>article board</x:v>
      </x:c>
      <x:c r="I188" s="44" t="str"/>
      <x:c r="J188" s="44" t="str"/>
      <x:c r="K188" s="44" t="str">
        <x:f>IF(J188="","OPEN",IF(I188="PASS","PASS","FAIL"))</x:f>
        <x:v>OPEN</x:v>
      </x:c>
    </x:row>
    <x:row r="189" ht="38" customHeight="1">
      <x:c r="B189" s="44" t="str">
        <x:v>RAC-BG-0183</x:v>
      </x:c>
      <x:c r="C189" s="44" t="str">
        <x:v>REA-T-C2</x:v>
      </x:c>
      <x:c r="D189" s="44" t="str">
        <x:v>BL-Y</x:v>
      </x:c>
      <x:c r="E189" s="44" t="str">
        <x:v>G07</x:v>
      </x:c>
      <x:c r="F189" s="44" t="str">
        <x:v>joint evidence</x:v>
      </x:c>
      <x:c r="G189" s="45" t="str">
        <x:v>joint mechanism, NDE and terminal witness eligible</x:v>
      </x:c>
      <x:c r="H189" s="44" t="str">
        <x:v>article board</x:v>
      </x:c>
      <x:c r="I189" s="44" t="str"/>
      <x:c r="J189" s="44" t="str"/>
      <x:c r="K189" s="44" t="str">
        <x:f>IF(J189="","OPEN",IF(I189="PASS","PASS","FAIL"))</x:f>
        <x:v>OPEN</x:v>
      </x:c>
    </x:row>
    <x:row r="190" ht="38" customHeight="1">
      <x:c r="B190" s="44" t="str">
        <x:v>RAC-BG-0184</x:v>
      </x:c>
      <x:c r="C190" s="44" t="str">
        <x:v>REA-T-C2</x:v>
      </x:c>
      <x:c r="D190" s="44" t="str">
        <x:v>BL-Y</x:v>
      </x:c>
      <x:c r="E190" s="44" t="str">
        <x:v>G08</x:v>
      </x:c>
      <x:c r="F190" s="44" t="str">
        <x:v>pressure and leak</x:v>
      </x:c>
      <x:c r="G190" s="45" t="str">
        <x:v>liquid proof and leak map accepted</x:v>
      </x:c>
      <x:c r="H190" s="44" t="str">
        <x:v>article board</x:v>
      </x:c>
      <x:c r="I190" s="44" t="str"/>
      <x:c r="J190" s="44" t="str"/>
      <x:c r="K190" s="44" t="str">
        <x:f>IF(J190="","OPEN",IF(I190="PASS","PASS","FAIL"))</x:f>
        <x:v>OPEN</x:v>
      </x:c>
    </x:row>
    <x:row r="191" ht="38" customHeight="1">
      <x:c r="B191" s="44" t="str">
        <x:v>RAC-BG-0185</x:v>
      </x:c>
      <x:c r="C191" s="44" t="str">
        <x:v>REA-T-C2</x:v>
      </x:c>
      <x:c r="D191" s="44" t="str">
        <x:v>BL-Y</x:v>
      </x:c>
      <x:c r="E191" s="44" t="str">
        <x:v>G09</x:v>
      </x:c>
      <x:c r="F191" s="44" t="str">
        <x:v>surface and recovery</x:v>
      </x:c>
      <x:c r="G191" s="45" t="str">
        <x:v>roughness, contact angle, deadleg and residual accepted</x:v>
      </x:c>
      <x:c r="H191" s="44" t="str">
        <x:v>article board</x:v>
      </x:c>
      <x:c r="I191" s="44" t="str"/>
      <x:c r="J191" s="44" t="str"/>
      <x:c r="K191" s="44" t="str">
        <x:f>IF(J191="","OPEN",IF(I191="PASS","PASS","FAIL"))</x:f>
        <x:v>OPEN</x:v>
      </x:c>
    </x:row>
    <x:row r="192" ht="38" customHeight="1">
      <x:c r="B192" s="44" t="str">
        <x:v>RAC-BG-0186</x:v>
      </x:c>
      <x:c r="C192" s="44" t="str">
        <x:v>REA-T-C2</x:v>
      </x:c>
      <x:c r="D192" s="44" t="str">
        <x:v>BL-Y</x:v>
      </x:c>
      <x:c r="E192" s="44" t="str">
        <x:v>G10</x:v>
      </x:c>
      <x:c r="F192" s="44" t="str">
        <x:v>safeing work</x:v>
      </x:c>
      <x:c r="G192" s="45" t="str">
        <x:v>spring work and direct witness interfaces accepted</x:v>
      </x:c>
      <x:c r="H192" s="44" t="str">
        <x:v>safeing authority</x:v>
      </x:c>
      <x:c r="I192" s="44" t="str"/>
      <x:c r="J192" s="44" t="str"/>
      <x:c r="K192" s="44" t="str">
        <x:f>IF(J192="","OPEN",IF(I192="PASS","PASS","FAIL"))</x:f>
        <x:v>OPEN</x:v>
      </x:c>
    </x:row>
    <x:row r="193" ht="38" customHeight="1">
      <x:c r="B193" s="44" t="str">
        <x:v>RAC-BG-0187</x:v>
      </x:c>
      <x:c r="C193" s="44" t="str">
        <x:v>REA-T-C2</x:v>
      </x:c>
      <x:c r="D193" s="44" t="str">
        <x:v>BL-Y</x:v>
      </x:c>
      <x:c r="E193" s="44" t="str">
        <x:v>G11</x:v>
      </x:c>
      <x:c r="F193" s="44" t="str">
        <x:v>independent energy</x:v>
      </x:c>
      <x:c r="G193" s="45" t="str">
        <x:v>critical services close at low stored state</x:v>
      </x:c>
      <x:c r="H193" s="44" t="str">
        <x:v>safeing authority</x:v>
      </x:c>
      <x:c r="I193" s="44" t="str"/>
      <x:c r="J193" s="44" t="str"/>
      <x:c r="K193" s="44" t="str">
        <x:f>IF(J193="","OPEN",IF(I193="PASS","PASS","FAIL"))</x:f>
        <x:v>OPEN</x:v>
      </x:c>
    </x:row>
    <x:row r="194" ht="38" customHeight="1">
      <x:c r="B194" s="44" t="str">
        <x:v>RAC-BG-0188</x:v>
      </x:c>
      <x:c r="C194" s="44" t="str">
        <x:v>REA-T-C2</x:v>
      </x:c>
      <x:c r="D194" s="44" t="str">
        <x:v>BL-Y</x:v>
      </x:c>
      <x:c r="E194" s="44" t="str">
        <x:v>G12</x:v>
      </x:c>
      <x:c r="F194" s="44" t="str">
        <x:v>instrumentation</x:v>
      </x:c>
      <x:c r="G194" s="45" t="str">
        <x:v>mount, range, power, time and evidence interfaces accepted</x:v>
      </x:c>
      <x:c r="H194" s="44" t="str">
        <x:v>article board</x:v>
      </x:c>
      <x:c r="I194" s="44" t="str"/>
      <x:c r="J194" s="44" t="str"/>
      <x:c r="K194" s="44" t="str">
        <x:f>IF(J194="","OPEN",IF(I194="PASS","PASS","FAIL"))</x:f>
        <x:v>OPEN</x:v>
      </x:c>
    </x:row>
    <x:row r="195" ht="38" customHeight="1">
      <x:c r="B195" s="44" t="str">
        <x:v>RAC-BG-0189</x:v>
      </x:c>
      <x:c r="C195" s="44" t="str">
        <x:v>REA-T-C2</x:v>
      </x:c>
      <x:c r="D195" s="44" t="str">
        <x:v>BL-Y</x:v>
      </x:c>
      <x:c r="E195" s="44" t="str">
        <x:v>G13</x:v>
      </x:c>
      <x:c r="F195" s="44" t="str">
        <x:v>mass and CG</x:v>
      </x:c>
      <x:c r="G195" s="45" t="str">
        <x:v>stowed mass, CG, lift and restraints accepted</x:v>
      </x:c>
      <x:c r="H195" s="44" t="str">
        <x:v>article board</x:v>
      </x:c>
      <x:c r="I195" s="44" t="str"/>
      <x:c r="J195" s="44" t="str"/>
      <x:c r="K195" s="44" t="str">
        <x:f>IF(J195="","OPEN",IF(I195="PASS","PASS","FAIL"))</x:f>
        <x:v>OPEN</x:v>
      </x:c>
    </x:row>
    <x:row r="196" ht="38" customHeight="1">
      <x:c r="B196" s="44" t="str">
        <x:v>RAC-BG-0190</x:v>
      </x:c>
      <x:c r="C196" s="44" t="str">
        <x:v>REA-T-C2</x:v>
      </x:c>
      <x:c r="D196" s="44" t="str">
        <x:v>BL-Y</x:v>
      </x:c>
      <x:c r="E196" s="44" t="str">
        <x:v>G14</x:v>
      </x:c>
      <x:c r="F196" s="44" t="str">
        <x:v>access and rescue</x:v>
      </x:c>
      <x:c r="G196" s="45" t="str">
        <x:v>manual action, isolation and removal volumes accepted</x:v>
      </x:c>
      <x:c r="H196" s="44" t="str">
        <x:v>article board</x:v>
      </x:c>
      <x:c r="I196" s="44" t="str"/>
      <x:c r="J196" s="44" t="str"/>
      <x:c r="K196" s="44" t="str">
        <x:f>IF(J196="","OPEN",IF(I196="PASS","PASS","FAIL"))</x:f>
        <x:v>OPEN</x:v>
      </x:c>
    </x:row>
    <x:row r="197" ht="38" customHeight="1">
      <x:c r="B197" s="44" t="str">
        <x:v>RAC-BG-0191</x:v>
      </x:c>
      <x:c r="C197" s="44" t="str">
        <x:v>REA-T-C2</x:v>
      </x:c>
      <x:c r="D197" s="44" t="str">
        <x:v>BL-Y</x:v>
      </x:c>
      <x:c r="E197" s="44" t="str">
        <x:v>G15</x:v>
      </x:c>
      <x:c r="F197" s="44" t="str">
        <x:v>nonconformance closure</x:v>
      </x:c>
      <x:c r="G197" s="45" t="str">
        <x:v>all branches have disposition and effect assessment</x:v>
      </x:c>
      <x:c r="H197" s="44" t="str">
        <x:v>article board</x:v>
      </x:c>
      <x:c r="I197" s="44" t="str"/>
      <x:c r="J197" s="44" t="str"/>
      <x:c r="K197" s="44" t="str">
        <x:f>IF(J197="","OPEN",IF(I197="PASS","PASS","FAIL"))</x:f>
        <x:v>OPEN</x:v>
      </x:c>
    </x:row>
    <x:row r="198" ht="38" customHeight="1">
      <x:c r="B198" s="44" t="str">
        <x:v>RAC-BG-0192</x:v>
      </x:c>
      <x:c r="C198" s="44" t="str">
        <x:v>REA-T-C2</x:v>
      </x:c>
      <x:c r="D198" s="44" t="str">
        <x:v>BL-Y</x:v>
      </x:c>
      <x:c r="E198" s="44" t="str">
        <x:v>G16</x:v>
      </x:c>
      <x:c r="F198" s="44" t="str">
        <x:v>configuration freeze</x:v>
      </x:c>
      <x:c r="G198" s="45" t="str">
        <x:v>physical state, evidence hashes and release baseline co-signed</x:v>
      </x:c>
      <x:c r="H198" s="44" t="str">
        <x:v>configuration board</x:v>
      </x:c>
      <x:c r="I198" s="44" t="str"/>
      <x:c r="J198" s="44" t="str"/>
      <x:c r="K198" s="44" t="str">
        <x:f>IF(J198="","OPEN",IF(I198="PASS","PASS","FAIL"))</x:f>
        <x:v>OPEN</x:v>
      </x:c>
    </x:row>
    <x:row r="199" ht="38" customHeight="1">
      <x:c r="B199" s="44" t="str">
        <x:v>RAC-BG-0193</x:v>
      </x:c>
      <x:c r="C199" s="44" t="str">
        <x:v>REA-M-A</x:v>
      </x:c>
      <x:c r="D199" s="44" t="str">
        <x:v>BL-X</x:v>
      </x:c>
      <x:c r="E199" s="44" t="str">
        <x:v>G01</x:v>
      </x:c>
      <x:c r="F199" s="44" t="str">
        <x:v>authority</x:v>
      </x:c>
      <x:c r="G199" s="45" t="str">
        <x:v>named work, configuration and acceptance authorities</x:v>
      </x:c>
      <x:c r="H199" s="44" t="str">
        <x:v>article board</x:v>
      </x:c>
      <x:c r="I199" s="44" t="str"/>
      <x:c r="J199" s="44" t="str"/>
      <x:c r="K199" s="44" t="str">
        <x:f>IF(J199="","OPEN",IF(I199="PASS","PASS","FAIL"))</x:f>
        <x:v>OPEN</x:v>
      </x:c>
    </x:row>
    <x:row r="200" ht="38" customHeight="1">
      <x:c r="B200" s="44" t="str">
        <x:v>RAC-BG-0194</x:v>
      </x:c>
      <x:c r="C200" s="44" t="str">
        <x:v>REA-M-A</x:v>
      </x:c>
      <x:c r="D200" s="44" t="str">
        <x:v>BL-X</x:v>
      </x:c>
      <x:c r="E200" s="44" t="str">
        <x:v>G02</x:v>
      </x:c>
      <x:c r="F200" s="44" t="str">
        <x:v>drawing baseline</x:v>
      </x:c>
      <x:c r="G200" s="45" t="str">
        <x:v>all applicable controlled sheets accepted</x:v>
      </x:c>
      <x:c r="H200" s="44" t="str">
        <x:v>configuration board</x:v>
      </x:c>
      <x:c r="I200" s="44" t="str"/>
      <x:c r="J200" s="44" t="str"/>
      <x:c r="K200" s="44" t="str">
        <x:f>IF(J200="","OPEN",IF(I200="PASS","PASS","FAIL"))</x:f>
        <x:v>OPEN</x:v>
      </x:c>
    </x:row>
    <x:row r="201" ht="38" customHeight="1">
      <x:c r="B201" s="44" t="str">
        <x:v>RAC-BG-0195</x:v>
      </x:c>
      <x:c r="C201" s="44" t="str">
        <x:v>REA-M-A</x:v>
      </x:c>
      <x:c r="D201" s="44" t="str">
        <x:v>BL-X</x:v>
      </x:c>
      <x:c r="E201" s="44" t="str">
        <x:v>G03</x:v>
      </x:c>
      <x:c r="F201" s="44" t="str">
        <x:v>material ancestry</x:v>
      </x:c>
      <x:c r="G201" s="45" t="str">
        <x:v>article lots and sibling evidence conserved</x:v>
      </x:c>
      <x:c r="H201" s="44" t="str">
        <x:v>article board</x:v>
      </x:c>
      <x:c r="I201" s="44" t="str"/>
      <x:c r="J201" s="44" t="str"/>
      <x:c r="K201" s="44" t="str">
        <x:f>IF(J201="","OPEN",IF(I201="PASS","PASS","FAIL"))</x:f>
        <x:v>OPEN</x:v>
      </x:c>
    </x:row>
    <x:row r="202" ht="38" customHeight="1">
      <x:c r="B202" s="44" t="str">
        <x:v>RAC-BG-0196</x:v>
      </x:c>
      <x:c r="C202" s="44" t="str">
        <x:v>REA-M-A</x:v>
      </x:c>
      <x:c r="D202" s="44" t="str">
        <x:v>BL-X</x:v>
      </x:c>
      <x:c r="E202" s="44" t="str">
        <x:v>G04</x:v>
      </x:c>
      <x:c r="F202" s="44" t="str">
        <x:v>coupon evidence</x:v>
      </x:c>
      <x:c r="G202" s="45" t="str">
        <x:v>adjacent-process population accepted</x:v>
      </x:c>
      <x:c r="H202" s="44" t="str">
        <x:v>article board</x:v>
      </x:c>
      <x:c r="I202" s="44" t="str"/>
      <x:c r="J202" s="44" t="str"/>
      <x:c r="K202" s="44" t="str">
        <x:f>IF(J202="","OPEN",IF(I202="PASS","PASS","FAIL"))</x:f>
        <x:v>OPEN</x:v>
      </x:c>
    </x:row>
    <x:row r="203" ht="38" customHeight="1">
      <x:c r="B203" s="44" t="str">
        <x:v>RAC-BG-0197</x:v>
      </x:c>
      <x:c r="C203" s="44" t="str">
        <x:v>REA-M-A</x:v>
      </x:c>
      <x:c r="D203" s="44" t="str">
        <x:v>BL-X</x:v>
      </x:c>
      <x:c r="E203" s="44" t="str">
        <x:v>G05</x:v>
      </x:c>
      <x:c r="F203" s="44" t="str">
        <x:v>process route</x:v>
      </x:c>
      <x:c r="G203" s="45" t="str">
        <x:v>lineage route and predecessor states accepted</x:v>
      </x:c>
      <x:c r="H203" s="44" t="str">
        <x:v>article board</x:v>
      </x:c>
      <x:c r="I203" s="44" t="str"/>
      <x:c r="J203" s="44" t="str"/>
      <x:c r="K203" s="44" t="str">
        <x:f>IF(J203="","OPEN",IF(I203="PASS","PASS","FAIL"))</x:f>
        <x:v>OPEN</x:v>
      </x:c>
    </x:row>
    <x:row r="204" ht="38" customHeight="1">
      <x:c r="B204" s="44" t="str">
        <x:v>RAC-BG-0198</x:v>
      </x:c>
      <x:c r="C204" s="44" t="str">
        <x:v>REA-M-A</x:v>
      </x:c>
      <x:c r="D204" s="44" t="str">
        <x:v>BL-X</x:v>
      </x:c>
      <x:c r="E204" s="44" t="str">
        <x:v>G06</x:v>
      </x:c>
      <x:c r="F204" s="44" t="str">
        <x:v>as-built geometry</x:v>
      </x:c>
      <x:c r="G204" s="45" t="str">
        <x:v>datums, bore, length and port stations observed</x:v>
      </x:c>
      <x:c r="H204" s="44" t="str">
        <x:v>article board</x:v>
      </x:c>
      <x:c r="I204" s="44" t="str"/>
      <x:c r="J204" s="44" t="str"/>
      <x:c r="K204" s="44" t="str">
        <x:f>IF(J204="","OPEN",IF(I204="PASS","PASS","FAIL"))</x:f>
        <x:v>OPEN</x:v>
      </x:c>
    </x:row>
    <x:row r="205" ht="38" customHeight="1">
      <x:c r="B205" s="44" t="str">
        <x:v>RAC-BG-0199</x:v>
      </x:c>
      <x:c r="C205" s="44" t="str">
        <x:v>REA-M-A</x:v>
      </x:c>
      <x:c r="D205" s="44" t="str">
        <x:v>BL-X</x:v>
      </x:c>
      <x:c r="E205" s="44" t="str">
        <x:v>G07</x:v>
      </x:c>
      <x:c r="F205" s="44" t="str">
        <x:v>joint evidence</x:v>
      </x:c>
      <x:c r="G205" s="45" t="str">
        <x:v>joint mechanism, NDE and terminal witness eligible</x:v>
      </x:c>
      <x:c r="H205" s="44" t="str">
        <x:v>article board</x:v>
      </x:c>
      <x:c r="I205" s="44" t="str"/>
      <x:c r="J205" s="44" t="str"/>
      <x:c r="K205" s="44" t="str">
        <x:f>IF(J205="","OPEN",IF(I205="PASS","PASS","FAIL"))</x:f>
        <x:v>OPEN</x:v>
      </x:c>
    </x:row>
    <x:row r="206" ht="38" customHeight="1">
      <x:c r="B206" s="44" t="str">
        <x:v>RAC-BG-0200</x:v>
      </x:c>
      <x:c r="C206" s="44" t="str">
        <x:v>REA-M-A</x:v>
      </x:c>
      <x:c r="D206" s="44" t="str">
        <x:v>BL-X</x:v>
      </x:c>
      <x:c r="E206" s="44" t="str">
        <x:v>G08</x:v>
      </x:c>
      <x:c r="F206" s="44" t="str">
        <x:v>pressure and leak</x:v>
      </x:c>
      <x:c r="G206" s="45" t="str">
        <x:v>liquid proof and leak map accepted</x:v>
      </x:c>
      <x:c r="H206" s="44" t="str">
        <x:v>article board</x:v>
      </x:c>
      <x:c r="I206" s="44" t="str"/>
      <x:c r="J206" s="44" t="str"/>
      <x:c r="K206" s="44" t="str">
        <x:f>IF(J206="","OPEN",IF(I206="PASS","PASS","FAIL"))</x:f>
        <x:v>OPEN</x:v>
      </x:c>
    </x:row>
    <x:row r="207" ht="38" customHeight="1">
      <x:c r="B207" s="44" t="str">
        <x:v>RAC-BG-0201</x:v>
      </x:c>
      <x:c r="C207" s="44" t="str">
        <x:v>REA-M-A</x:v>
      </x:c>
      <x:c r="D207" s="44" t="str">
        <x:v>BL-X</x:v>
      </x:c>
      <x:c r="E207" s="44" t="str">
        <x:v>G09</x:v>
      </x:c>
      <x:c r="F207" s="44" t="str">
        <x:v>surface and recovery</x:v>
      </x:c>
      <x:c r="G207" s="45" t="str">
        <x:v>roughness, contact angle, deadleg and residual accepted</x:v>
      </x:c>
      <x:c r="H207" s="44" t="str">
        <x:v>article board</x:v>
      </x:c>
      <x:c r="I207" s="44" t="str"/>
      <x:c r="J207" s="44" t="str"/>
      <x:c r="K207" s="44" t="str">
        <x:f>IF(J207="","OPEN",IF(I207="PASS","PASS","FAIL"))</x:f>
        <x:v>OPEN</x:v>
      </x:c>
    </x:row>
    <x:row r="208" ht="38" customHeight="1">
      <x:c r="B208" s="44" t="str">
        <x:v>RAC-BG-0202</x:v>
      </x:c>
      <x:c r="C208" s="44" t="str">
        <x:v>REA-M-A</x:v>
      </x:c>
      <x:c r="D208" s="44" t="str">
        <x:v>BL-X</x:v>
      </x:c>
      <x:c r="E208" s="44" t="str">
        <x:v>G10</x:v>
      </x:c>
      <x:c r="F208" s="44" t="str">
        <x:v>safeing work</x:v>
      </x:c>
      <x:c r="G208" s="45" t="str">
        <x:v>spring work and direct witness interfaces accepted</x:v>
      </x:c>
      <x:c r="H208" s="44" t="str">
        <x:v>safeing authority</x:v>
      </x:c>
      <x:c r="I208" s="44" t="str"/>
      <x:c r="J208" s="44" t="str"/>
      <x:c r="K208" s="44" t="str">
        <x:f>IF(J208="","OPEN",IF(I208="PASS","PASS","FAIL"))</x:f>
        <x:v>OPEN</x:v>
      </x:c>
    </x:row>
    <x:row r="209" ht="38" customHeight="1">
      <x:c r="B209" s="44" t="str">
        <x:v>RAC-BG-0203</x:v>
      </x:c>
      <x:c r="C209" s="44" t="str">
        <x:v>REA-M-A</x:v>
      </x:c>
      <x:c r="D209" s="44" t="str">
        <x:v>BL-X</x:v>
      </x:c>
      <x:c r="E209" s="44" t="str">
        <x:v>G11</x:v>
      </x:c>
      <x:c r="F209" s="44" t="str">
        <x:v>independent energy</x:v>
      </x:c>
      <x:c r="G209" s="45" t="str">
        <x:v>critical services close at low stored state</x:v>
      </x:c>
      <x:c r="H209" s="44" t="str">
        <x:v>safeing authority</x:v>
      </x:c>
      <x:c r="I209" s="44" t="str"/>
      <x:c r="J209" s="44" t="str"/>
      <x:c r="K209" s="44" t="str">
        <x:f>IF(J209="","OPEN",IF(I209="PASS","PASS","FAIL"))</x:f>
        <x:v>OPEN</x:v>
      </x:c>
    </x:row>
    <x:row r="210" ht="38" customHeight="1">
      <x:c r="B210" s="44" t="str">
        <x:v>RAC-BG-0204</x:v>
      </x:c>
      <x:c r="C210" s="44" t="str">
        <x:v>REA-M-A</x:v>
      </x:c>
      <x:c r="D210" s="44" t="str">
        <x:v>BL-X</x:v>
      </x:c>
      <x:c r="E210" s="44" t="str">
        <x:v>G12</x:v>
      </x:c>
      <x:c r="F210" s="44" t="str">
        <x:v>instrumentation</x:v>
      </x:c>
      <x:c r="G210" s="45" t="str">
        <x:v>mount, range, power, time and evidence interfaces accepted</x:v>
      </x:c>
      <x:c r="H210" s="44" t="str">
        <x:v>article board</x:v>
      </x:c>
      <x:c r="I210" s="44" t="str"/>
      <x:c r="J210" s="44" t="str"/>
      <x:c r="K210" s="44" t="str">
        <x:f>IF(J210="","OPEN",IF(I210="PASS","PASS","FAIL"))</x:f>
        <x:v>OPEN</x:v>
      </x:c>
    </x:row>
    <x:row r="211" ht="38" customHeight="1">
      <x:c r="B211" s="44" t="str">
        <x:v>RAC-BG-0205</x:v>
      </x:c>
      <x:c r="C211" s="44" t="str">
        <x:v>REA-M-A</x:v>
      </x:c>
      <x:c r="D211" s="44" t="str">
        <x:v>BL-X</x:v>
      </x:c>
      <x:c r="E211" s="44" t="str">
        <x:v>G13</x:v>
      </x:c>
      <x:c r="F211" s="44" t="str">
        <x:v>mass and CG</x:v>
      </x:c>
      <x:c r="G211" s="45" t="str">
        <x:v>stowed mass, CG, lift and restraints accepted</x:v>
      </x:c>
      <x:c r="H211" s="44" t="str">
        <x:v>article board</x:v>
      </x:c>
      <x:c r="I211" s="44" t="str"/>
      <x:c r="J211" s="44" t="str"/>
      <x:c r="K211" s="44" t="str">
        <x:f>IF(J211="","OPEN",IF(I211="PASS","PASS","FAIL"))</x:f>
        <x:v>OPEN</x:v>
      </x:c>
    </x:row>
    <x:row r="212" ht="38" customHeight="1">
      <x:c r="B212" s="44" t="str">
        <x:v>RAC-BG-0206</x:v>
      </x:c>
      <x:c r="C212" s="44" t="str">
        <x:v>REA-M-A</x:v>
      </x:c>
      <x:c r="D212" s="44" t="str">
        <x:v>BL-X</x:v>
      </x:c>
      <x:c r="E212" s="44" t="str">
        <x:v>G14</x:v>
      </x:c>
      <x:c r="F212" s="44" t="str">
        <x:v>access and rescue</x:v>
      </x:c>
      <x:c r="G212" s="45" t="str">
        <x:v>manual action, isolation and removal volumes accepted</x:v>
      </x:c>
      <x:c r="H212" s="44" t="str">
        <x:v>article board</x:v>
      </x:c>
      <x:c r="I212" s="44" t="str"/>
      <x:c r="J212" s="44" t="str"/>
      <x:c r="K212" s="44" t="str">
        <x:f>IF(J212="","OPEN",IF(I212="PASS","PASS","FAIL"))</x:f>
        <x:v>OPEN</x:v>
      </x:c>
    </x:row>
    <x:row r="213" ht="38" customHeight="1">
      <x:c r="B213" s="44" t="str">
        <x:v>RAC-BG-0207</x:v>
      </x:c>
      <x:c r="C213" s="44" t="str">
        <x:v>REA-M-A</x:v>
      </x:c>
      <x:c r="D213" s="44" t="str">
        <x:v>BL-X</x:v>
      </x:c>
      <x:c r="E213" s="44" t="str">
        <x:v>G15</x:v>
      </x:c>
      <x:c r="F213" s="44" t="str">
        <x:v>nonconformance closure</x:v>
      </x:c>
      <x:c r="G213" s="45" t="str">
        <x:v>all branches have disposition and effect assessment</x:v>
      </x:c>
      <x:c r="H213" s="44" t="str">
        <x:v>article board</x:v>
      </x:c>
      <x:c r="I213" s="44" t="str"/>
      <x:c r="J213" s="44" t="str"/>
      <x:c r="K213" s="44" t="str">
        <x:f>IF(J213="","OPEN",IF(I213="PASS","PASS","FAIL"))</x:f>
        <x:v>OPEN</x:v>
      </x:c>
    </x:row>
    <x:row r="214" ht="38" customHeight="1">
      <x:c r="B214" s="44" t="str">
        <x:v>RAC-BG-0208</x:v>
      </x:c>
      <x:c r="C214" s="44" t="str">
        <x:v>REA-M-A</x:v>
      </x:c>
      <x:c r="D214" s="44" t="str">
        <x:v>BL-X</x:v>
      </x:c>
      <x:c r="E214" s="44" t="str">
        <x:v>G16</x:v>
      </x:c>
      <x:c r="F214" s="44" t="str">
        <x:v>configuration freeze</x:v>
      </x:c>
      <x:c r="G214" s="45" t="str">
        <x:v>physical state, evidence hashes and release baseline co-signed</x:v>
      </x:c>
      <x:c r="H214" s="44" t="str">
        <x:v>configuration board</x:v>
      </x:c>
      <x:c r="I214" s="44" t="str"/>
      <x:c r="J214" s="44" t="str"/>
      <x:c r="K214" s="44" t="str">
        <x:f>IF(J214="","OPEN",IF(I214="PASS","PASS","FAIL"))</x:f>
        <x:v>OPEN</x:v>
      </x:c>
    </x:row>
    <x:row r="215" ht="38" customHeight="1">
      <x:c r="B215" s="44" t="str">
        <x:v>RAC-BG-0209</x:v>
      </x:c>
      <x:c r="C215" s="44" t="str">
        <x:v>REA-M-B</x:v>
      </x:c>
      <x:c r="D215" s="44" t="str">
        <x:v>BL-Y</x:v>
      </x:c>
      <x:c r="E215" s="44" t="str">
        <x:v>G01</x:v>
      </x:c>
      <x:c r="F215" s="44" t="str">
        <x:v>authority</x:v>
      </x:c>
      <x:c r="G215" s="45" t="str">
        <x:v>named work, configuration and acceptance authorities</x:v>
      </x:c>
      <x:c r="H215" s="44" t="str">
        <x:v>article board</x:v>
      </x:c>
      <x:c r="I215" s="44" t="str"/>
      <x:c r="J215" s="44" t="str"/>
      <x:c r="K215" s="44" t="str">
        <x:f>IF(J215="","OPEN",IF(I215="PASS","PASS","FAIL"))</x:f>
        <x:v>OPEN</x:v>
      </x:c>
    </x:row>
    <x:row r="216" ht="38" customHeight="1">
      <x:c r="B216" s="44" t="str">
        <x:v>RAC-BG-0210</x:v>
      </x:c>
      <x:c r="C216" s="44" t="str">
        <x:v>REA-M-B</x:v>
      </x:c>
      <x:c r="D216" s="44" t="str">
        <x:v>BL-Y</x:v>
      </x:c>
      <x:c r="E216" s="44" t="str">
        <x:v>G02</x:v>
      </x:c>
      <x:c r="F216" s="44" t="str">
        <x:v>drawing baseline</x:v>
      </x:c>
      <x:c r="G216" s="45" t="str">
        <x:v>all applicable controlled sheets accepted</x:v>
      </x:c>
      <x:c r="H216" s="44" t="str">
        <x:v>configuration board</x:v>
      </x:c>
      <x:c r="I216" s="44" t="str"/>
      <x:c r="J216" s="44" t="str"/>
      <x:c r="K216" s="44" t="str">
        <x:f>IF(J216="","OPEN",IF(I216="PASS","PASS","FAIL"))</x:f>
        <x:v>OPEN</x:v>
      </x:c>
    </x:row>
    <x:row r="217" ht="38" customHeight="1">
      <x:c r="B217" s="44" t="str">
        <x:v>RAC-BG-0211</x:v>
      </x:c>
      <x:c r="C217" s="44" t="str">
        <x:v>REA-M-B</x:v>
      </x:c>
      <x:c r="D217" s="44" t="str">
        <x:v>BL-Y</x:v>
      </x:c>
      <x:c r="E217" s="44" t="str">
        <x:v>G03</x:v>
      </x:c>
      <x:c r="F217" s="44" t="str">
        <x:v>material ancestry</x:v>
      </x:c>
      <x:c r="G217" s="45" t="str">
        <x:v>article lots and sibling evidence conserved</x:v>
      </x:c>
      <x:c r="H217" s="44" t="str">
        <x:v>article board</x:v>
      </x:c>
      <x:c r="I217" s="44" t="str"/>
      <x:c r="J217" s="44" t="str"/>
      <x:c r="K217" s="44" t="str">
        <x:f>IF(J217="","OPEN",IF(I217="PASS","PASS","FAIL"))</x:f>
        <x:v>OPEN</x:v>
      </x:c>
    </x:row>
    <x:row r="218" ht="38" customHeight="1">
      <x:c r="B218" s="44" t="str">
        <x:v>RAC-BG-0212</x:v>
      </x:c>
      <x:c r="C218" s="44" t="str">
        <x:v>REA-M-B</x:v>
      </x:c>
      <x:c r="D218" s="44" t="str">
        <x:v>BL-Y</x:v>
      </x:c>
      <x:c r="E218" s="44" t="str">
        <x:v>G04</x:v>
      </x:c>
      <x:c r="F218" s="44" t="str">
        <x:v>coupon evidence</x:v>
      </x:c>
      <x:c r="G218" s="45" t="str">
        <x:v>adjacent-process population accepted</x:v>
      </x:c>
      <x:c r="H218" s="44" t="str">
        <x:v>article board</x:v>
      </x:c>
      <x:c r="I218" s="44" t="str"/>
      <x:c r="J218" s="44" t="str"/>
      <x:c r="K218" s="44" t="str">
        <x:f>IF(J218="","OPEN",IF(I218="PASS","PASS","FAIL"))</x:f>
        <x:v>OPEN</x:v>
      </x:c>
    </x:row>
    <x:row r="219" ht="38" customHeight="1">
      <x:c r="B219" s="44" t="str">
        <x:v>RAC-BG-0213</x:v>
      </x:c>
      <x:c r="C219" s="44" t="str">
        <x:v>REA-M-B</x:v>
      </x:c>
      <x:c r="D219" s="44" t="str">
        <x:v>BL-Y</x:v>
      </x:c>
      <x:c r="E219" s="44" t="str">
        <x:v>G05</x:v>
      </x:c>
      <x:c r="F219" s="44" t="str">
        <x:v>process route</x:v>
      </x:c>
      <x:c r="G219" s="45" t="str">
        <x:v>lineage route and predecessor states accepted</x:v>
      </x:c>
      <x:c r="H219" s="44" t="str">
        <x:v>article board</x:v>
      </x:c>
      <x:c r="I219" s="44" t="str"/>
      <x:c r="J219" s="44" t="str"/>
      <x:c r="K219" s="44" t="str">
        <x:f>IF(J219="","OPEN",IF(I219="PASS","PASS","FAIL"))</x:f>
        <x:v>OPEN</x:v>
      </x:c>
    </x:row>
    <x:row r="220" ht="38" customHeight="1">
      <x:c r="B220" s="44" t="str">
        <x:v>RAC-BG-0214</x:v>
      </x:c>
      <x:c r="C220" s="44" t="str">
        <x:v>REA-M-B</x:v>
      </x:c>
      <x:c r="D220" s="44" t="str">
        <x:v>BL-Y</x:v>
      </x:c>
      <x:c r="E220" s="44" t="str">
        <x:v>G06</x:v>
      </x:c>
      <x:c r="F220" s="44" t="str">
        <x:v>as-built geometry</x:v>
      </x:c>
      <x:c r="G220" s="45" t="str">
        <x:v>datums, bore, length and port stations observed</x:v>
      </x:c>
      <x:c r="H220" s="44" t="str">
        <x:v>article board</x:v>
      </x:c>
      <x:c r="I220" s="44" t="str"/>
      <x:c r="J220" s="44" t="str"/>
      <x:c r="K220" s="44" t="str">
        <x:f>IF(J220="","OPEN",IF(I220="PASS","PASS","FAIL"))</x:f>
        <x:v>OPEN</x:v>
      </x:c>
    </x:row>
    <x:row r="221" ht="38" customHeight="1">
      <x:c r="B221" s="44" t="str">
        <x:v>RAC-BG-0215</x:v>
      </x:c>
      <x:c r="C221" s="44" t="str">
        <x:v>REA-M-B</x:v>
      </x:c>
      <x:c r="D221" s="44" t="str">
        <x:v>BL-Y</x:v>
      </x:c>
      <x:c r="E221" s="44" t="str">
        <x:v>G07</x:v>
      </x:c>
      <x:c r="F221" s="44" t="str">
        <x:v>joint evidence</x:v>
      </x:c>
      <x:c r="G221" s="45" t="str">
        <x:v>joint mechanism, NDE and terminal witness eligible</x:v>
      </x:c>
      <x:c r="H221" s="44" t="str">
        <x:v>article board</x:v>
      </x:c>
      <x:c r="I221" s="44" t="str"/>
      <x:c r="J221" s="44" t="str"/>
      <x:c r="K221" s="44" t="str">
        <x:f>IF(J221="","OPEN",IF(I221="PASS","PASS","FAIL"))</x:f>
        <x:v>OPEN</x:v>
      </x:c>
    </x:row>
    <x:row r="222" ht="38" customHeight="1">
      <x:c r="B222" s="44" t="str">
        <x:v>RAC-BG-0216</x:v>
      </x:c>
      <x:c r="C222" s="44" t="str">
        <x:v>REA-M-B</x:v>
      </x:c>
      <x:c r="D222" s="44" t="str">
        <x:v>BL-Y</x:v>
      </x:c>
      <x:c r="E222" s="44" t="str">
        <x:v>G08</x:v>
      </x:c>
      <x:c r="F222" s="44" t="str">
        <x:v>pressure and leak</x:v>
      </x:c>
      <x:c r="G222" s="45" t="str">
        <x:v>liquid proof and leak map accepted</x:v>
      </x:c>
      <x:c r="H222" s="44" t="str">
        <x:v>article board</x:v>
      </x:c>
      <x:c r="I222" s="44" t="str"/>
      <x:c r="J222" s="44" t="str"/>
      <x:c r="K222" s="44" t="str">
        <x:f>IF(J222="","OPEN",IF(I222="PASS","PASS","FAIL"))</x:f>
        <x:v>OPEN</x:v>
      </x:c>
    </x:row>
    <x:row r="223" ht="38" customHeight="1">
      <x:c r="B223" s="44" t="str">
        <x:v>RAC-BG-0217</x:v>
      </x:c>
      <x:c r="C223" s="44" t="str">
        <x:v>REA-M-B</x:v>
      </x:c>
      <x:c r="D223" s="44" t="str">
        <x:v>BL-Y</x:v>
      </x:c>
      <x:c r="E223" s="44" t="str">
        <x:v>G09</x:v>
      </x:c>
      <x:c r="F223" s="44" t="str">
        <x:v>surface and recovery</x:v>
      </x:c>
      <x:c r="G223" s="45" t="str">
        <x:v>roughness, contact angle, deadleg and residual accepted</x:v>
      </x:c>
      <x:c r="H223" s="44" t="str">
        <x:v>article board</x:v>
      </x:c>
      <x:c r="I223" s="44" t="str"/>
      <x:c r="J223" s="44" t="str"/>
      <x:c r="K223" s="44" t="str">
        <x:f>IF(J223="","OPEN",IF(I223="PASS","PASS","FAIL"))</x:f>
        <x:v>OPEN</x:v>
      </x:c>
    </x:row>
    <x:row r="224" ht="38" customHeight="1">
      <x:c r="B224" s="44" t="str">
        <x:v>RAC-BG-0218</x:v>
      </x:c>
      <x:c r="C224" s="44" t="str">
        <x:v>REA-M-B</x:v>
      </x:c>
      <x:c r="D224" s="44" t="str">
        <x:v>BL-Y</x:v>
      </x:c>
      <x:c r="E224" s="44" t="str">
        <x:v>G10</x:v>
      </x:c>
      <x:c r="F224" s="44" t="str">
        <x:v>safeing work</x:v>
      </x:c>
      <x:c r="G224" s="45" t="str">
        <x:v>spring work and direct witness interfaces accepted</x:v>
      </x:c>
      <x:c r="H224" s="44" t="str">
        <x:v>safeing authority</x:v>
      </x:c>
      <x:c r="I224" s="44" t="str"/>
      <x:c r="J224" s="44" t="str"/>
      <x:c r="K224" s="44" t="str">
        <x:f>IF(J224="","OPEN",IF(I224="PASS","PASS","FAIL"))</x:f>
        <x:v>OPEN</x:v>
      </x:c>
    </x:row>
    <x:row r="225" ht="38" customHeight="1">
      <x:c r="B225" s="44" t="str">
        <x:v>RAC-BG-0219</x:v>
      </x:c>
      <x:c r="C225" s="44" t="str">
        <x:v>REA-M-B</x:v>
      </x:c>
      <x:c r="D225" s="44" t="str">
        <x:v>BL-Y</x:v>
      </x:c>
      <x:c r="E225" s="44" t="str">
        <x:v>G11</x:v>
      </x:c>
      <x:c r="F225" s="44" t="str">
        <x:v>independent energy</x:v>
      </x:c>
      <x:c r="G225" s="45" t="str">
        <x:v>critical services close at low stored state</x:v>
      </x:c>
      <x:c r="H225" s="44" t="str">
        <x:v>safeing authority</x:v>
      </x:c>
      <x:c r="I225" s="44" t="str"/>
      <x:c r="J225" s="44" t="str"/>
      <x:c r="K225" s="44" t="str">
        <x:f>IF(J225="","OPEN",IF(I225="PASS","PASS","FAIL"))</x:f>
        <x:v>OPEN</x:v>
      </x:c>
    </x:row>
    <x:row r="226" ht="38" customHeight="1">
      <x:c r="B226" s="44" t="str">
        <x:v>RAC-BG-0220</x:v>
      </x:c>
      <x:c r="C226" s="44" t="str">
        <x:v>REA-M-B</x:v>
      </x:c>
      <x:c r="D226" s="44" t="str">
        <x:v>BL-Y</x:v>
      </x:c>
      <x:c r="E226" s="44" t="str">
        <x:v>G12</x:v>
      </x:c>
      <x:c r="F226" s="44" t="str">
        <x:v>instrumentation</x:v>
      </x:c>
      <x:c r="G226" s="45" t="str">
        <x:v>mount, range, power, time and evidence interfaces accepted</x:v>
      </x:c>
      <x:c r="H226" s="44" t="str">
        <x:v>article board</x:v>
      </x:c>
      <x:c r="I226" s="44" t="str"/>
      <x:c r="J226" s="44" t="str"/>
      <x:c r="K226" s="44" t="str">
        <x:f>IF(J226="","OPEN",IF(I226="PASS","PASS","FAIL"))</x:f>
        <x:v>OPEN</x:v>
      </x:c>
    </x:row>
    <x:row r="227" ht="38" customHeight="1">
      <x:c r="B227" s="44" t="str">
        <x:v>RAC-BG-0221</x:v>
      </x:c>
      <x:c r="C227" s="44" t="str">
        <x:v>REA-M-B</x:v>
      </x:c>
      <x:c r="D227" s="44" t="str">
        <x:v>BL-Y</x:v>
      </x:c>
      <x:c r="E227" s="44" t="str">
        <x:v>G13</x:v>
      </x:c>
      <x:c r="F227" s="44" t="str">
        <x:v>mass and CG</x:v>
      </x:c>
      <x:c r="G227" s="45" t="str">
        <x:v>stowed mass, CG, lift and restraints accepted</x:v>
      </x:c>
      <x:c r="H227" s="44" t="str">
        <x:v>article board</x:v>
      </x:c>
      <x:c r="I227" s="44" t="str"/>
      <x:c r="J227" s="44" t="str"/>
      <x:c r="K227" s="44" t="str">
        <x:f>IF(J227="","OPEN",IF(I227="PASS","PASS","FAIL"))</x:f>
        <x:v>OPEN</x:v>
      </x:c>
    </x:row>
    <x:row r="228" ht="38" customHeight="1">
      <x:c r="B228" s="44" t="str">
        <x:v>RAC-BG-0222</x:v>
      </x:c>
      <x:c r="C228" s="44" t="str">
        <x:v>REA-M-B</x:v>
      </x:c>
      <x:c r="D228" s="44" t="str">
        <x:v>BL-Y</x:v>
      </x:c>
      <x:c r="E228" s="44" t="str">
        <x:v>G14</x:v>
      </x:c>
      <x:c r="F228" s="44" t="str">
        <x:v>access and rescue</x:v>
      </x:c>
      <x:c r="G228" s="45" t="str">
        <x:v>manual action, isolation and removal volumes accepted</x:v>
      </x:c>
      <x:c r="H228" s="44" t="str">
        <x:v>article board</x:v>
      </x:c>
      <x:c r="I228" s="44" t="str"/>
      <x:c r="J228" s="44" t="str"/>
      <x:c r="K228" s="44" t="str">
        <x:f>IF(J228="","OPEN",IF(I228="PASS","PASS","FAIL"))</x:f>
        <x:v>OPEN</x:v>
      </x:c>
    </x:row>
    <x:row r="229" ht="38" customHeight="1">
      <x:c r="B229" s="44" t="str">
        <x:v>RAC-BG-0223</x:v>
      </x:c>
      <x:c r="C229" s="44" t="str">
        <x:v>REA-M-B</x:v>
      </x:c>
      <x:c r="D229" s="44" t="str">
        <x:v>BL-Y</x:v>
      </x:c>
      <x:c r="E229" s="44" t="str">
        <x:v>G15</x:v>
      </x:c>
      <x:c r="F229" s="44" t="str">
        <x:v>nonconformance closure</x:v>
      </x:c>
      <x:c r="G229" s="45" t="str">
        <x:v>all branches have disposition and effect assessment</x:v>
      </x:c>
      <x:c r="H229" s="44" t="str">
        <x:v>article board</x:v>
      </x:c>
      <x:c r="I229" s="44" t="str"/>
      <x:c r="J229" s="44" t="str"/>
      <x:c r="K229" s="44" t="str">
        <x:f>IF(J229="","OPEN",IF(I229="PASS","PASS","FAIL"))</x:f>
        <x:v>OPEN</x:v>
      </x:c>
    </x:row>
    <x:row r="230" ht="38" customHeight="1">
      <x:c r="B230" s="44" t="str">
        <x:v>RAC-BG-0224</x:v>
      </x:c>
      <x:c r="C230" s="44" t="str">
        <x:v>REA-M-B</x:v>
      </x:c>
      <x:c r="D230" s="44" t="str">
        <x:v>BL-Y</x:v>
      </x:c>
      <x:c r="E230" s="44" t="str">
        <x:v>G16</x:v>
      </x:c>
      <x:c r="F230" s="44" t="str">
        <x:v>configuration freeze</x:v>
      </x:c>
      <x:c r="G230" s="45" t="str">
        <x:v>physical state, evidence hashes and release baseline co-signed</x:v>
      </x:c>
      <x:c r="H230" s="44" t="str">
        <x:v>configuration board</x:v>
      </x:c>
      <x:c r="I230" s="44" t="str"/>
      <x:c r="J230" s="44" t="str"/>
      <x:c r="K230" s="44" t="str">
        <x:f>IF(J230="","OPEN",IF(I230="PASS","PASS","FAIL"))</x:f>
        <x:v>OPEN</x:v>
      </x:c>
    </x:row>
    <x:row r="231" ht="38" customHeight="1">
      <x:c r="B231" s="44" t="str">
        <x:v>RAC-BG-0225</x:v>
      </x:c>
      <x:c r="C231" s="44" t="str">
        <x:v>REA-M-C</x:v>
      </x:c>
      <x:c r="D231" s="44" t="str">
        <x:v>BL-X</x:v>
      </x:c>
      <x:c r="E231" s="44" t="str">
        <x:v>G01</x:v>
      </x:c>
      <x:c r="F231" s="44" t="str">
        <x:v>authority</x:v>
      </x:c>
      <x:c r="G231" s="45" t="str">
        <x:v>named work, configuration and acceptance authorities</x:v>
      </x:c>
      <x:c r="H231" s="44" t="str">
        <x:v>article board</x:v>
      </x:c>
      <x:c r="I231" s="44" t="str"/>
      <x:c r="J231" s="44" t="str"/>
      <x:c r="K231" s="44" t="str">
        <x:f>IF(J231="","OPEN",IF(I231="PASS","PASS","FAIL"))</x:f>
        <x:v>OPEN</x:v>
      </x:c>
    </x:row>
    <x:row r="232" ht="38" customHeight="1">
      <x:c r="B232" s="44" t="str">
        <x:v>RAC-BG-0226</x:v>
      </x:c>
      <x:c r="C232" s="44" t="str">
        <x:v>REA-M-C</x:v>
      </x:c>
      <x:c r="D232" s="44" t="str">
        <x:v>BL-X</x:v>
      </x:c>
      <x:c r="E232" s="44" t="str">
        <x:v>G02</x:v>
      </x:c>
      <x:c r="F232" s="44" t="str">
        <x:v>drawing baseline</x:v>
      </x:c>
      <x:c r="G232" s="45" t="str">
        <x:v>all applicable controlled sheets accepted</x:v>
      </x:c>
      <x:c r="H232" s="44" t="str">
        <x:v>configuration board</x:v>
      </x:c>
      <x:c r="I232" s="44" t="str"/>
      <x:c r="J232" s="44" t="str"/>
      <x:c r="K232" s="44" t="str">
        <x:f>IF(J232="","OPEN",IF(I232="PASS","PASS","FAIL"))</x:f>
        <x:v>OPEN</x:v>
      </x:c>
    </x:row>
    <x:row r="233" ht="38" customHeight="1">
      <x:c r="B233" s="44" t="str">
        <x:v>RAC-BG-0227</x:v>
      </x:c>
      <x:c r="C233" s="44" t="str">
        <x:v>REA-M-C</x:v>
      </x:c>
      <x:c r="D233" s="44" t="str">
        <x:v>BL-X</x:v>
      </x:c>
      <x:c r="E233" s="44" t="str">
        <x:v>G03</x:v>
      </x:c>
      <x:c r="F233" s="44" t="str">
        <x:v>material ancestry</x:v>
      </x:c>
      <x:c r="G233" s="45" t="str">
        <x:v>article lots and sibling evidence conserved</x:v>
      </x:c>
      <x:c r="H233" s="44" t="str">
        <x:v>article board</x:v>
      </x:c>
      <x:c r="I233" s="44" t="str"/>
      <x:c r="J233" s="44" t="str"/>
      <x:c r="K233" s="44" t="str">
        <x:f>IF(J233="","OPEN",IF(I233="PASS","PASS","FAIL"))</x:f>
        <x:v>OPEN</x:v>
      </x:c>
    </x:row>
    <x:row r="234" ht="38" customHeight="1">
      <x:c r="B234" s="44" t="str">
        <x:v>RAC-BG-0228</x:v>
      </x:c>
      <x:c r="C234" s="44" t="str">
        <x:v>REA-M-C</x:v>
      </x:c>
      <x:c r="D234" s="44" t="str">
        <x:v>BL-X</x:v>
      </x:c>
      <x:c r="E234" s="44" t="str">
        <x:v>G04</x:v>
      </x:c>
      <x:c r="F234" s="44" t="str">
        <x:v>coupon evidence</x:v>
      </x:c>
      <x:c r="G234" s="45" t="str">
        <x:v>adjacent-process population accepted</x:v>
      </x:c>
      <x:c r="H234" s="44" t="str">
        <x:v>article board</x:v>
      </x:c>
      <x:c r="I234" s="44" t="str"/>
      <x:c r="J234" s="44" t="str"/>
      <x:c r="K234" s="44" t="str">
        <x:f>IF(J234="","OPEN",IF(I234="PASS","PASS","FAIL"))</x:f>
        <x:v>OPEN</x:v>
      </x:c>
    </x:row>
    <x:row r="235" ht="38" customHeight="1">
      <x:c r="B235" s="44" t="str">
        <x:v>RAC-BG-0229</x:v>
      </x:c>
      <x:c r="C235" s="44" t="str">
        <x:v>REA-M-C</x:v>
      </x:c>
      <x:c r="D235" s="44" t="str">
        <x:v>BL-X</x:v>
      </x:c>
      <x:c r="E235" s="44" t="str">
        <x:v>G05</x:v>
      </x:c>
      <x:c r="F235" s="44" t="str">
        <x:v>process route</x:v>
      </x:c>
      <x:c r="G235" s="45" t="str">
        <x:v>lineage route and predecessor states accepted</x:v>
      </x:c>
      <x:c r="H235" s="44" t="str">
        <x:v>article board</x:v>
      </x:c>
      <x:c r="I235" s="44" t="str"/>
      <x:c r="J235" s="44" t="str"/>
      <x:c r="K235" s="44" t="str">
        <x:f>IF(J235="","OPEN",IF(I235="PASS","PASS","FAIL"))</x:f>
        <x:v>OPEN</x:v>
      </x:c>
    </x:row>
    <x:row r="236" ht="38" customHeight="1">
      <x:c r="B236" s="44" t="str">
        <x:v>RAC-BG-0230</x:v>
      </x:c>
      <x:c r="C236" s="44" t="str">
        <x:v>REA-M-C</x:v>
      </x:c>
      <x:c r="D236" s="44" t="str">
        <x:v>BL-X</x:v>
      </x:c>
      <x:c r="E236" s="44" t="str">
        <x:v>G06</x:v>
      </x:c>
      <x:c r="F236" s="44" t="str">
        <x:v>as-built geometry</x:v>
      </x:c>
      <x:c r="G236" s="45" t="str">
        <x:v>datums, bore, length and port stations observed</x:v>
      </x:c>
      <x:c r="H236" s="44" t="str">
        <x:v>article board</x:v>
      </x:c>
      <x:c r="I236" s="44" t="str"/>
      <x:c r="J236" s="44" t="str"/>
      <x:c r="K236" s="44" t="str">
        <x:f>IF(J236="","OPEN",IF(I236="PASS","PASS","FAIL"))</x:f>
        <x:v>OPEN</x:v>
      </x:c>
    </x:row>
    <x:row r="237" ht="38" customHeight="1">
      <x:c r="B237" s="44" t="str">
        <x:v>RAC-BG-0231</x:v>
      </x:c>
      <x:c r="C237" s="44" t="str">
        <x:v>REA-M-C</x:v>
      </x:c>
      <x:c r="D237" s="44" t="str">
        <x:v>BL-X</x:v>
      </x:c>
      <x:c r="E237" s="44" t="str">
        <x:v>G07</x:v>
      </x:c>
      <x:c r="F237" s="44" t="str">
        <x:v>joint evidence</x:v>
      </x:c>
      <x:c r="G237" s="45" t="str">
        <x:v>joint mechanism, NDE and terminal witness eligible</x:v>
      </x:c>
      <x:c r="H237" s="44" t="str">
        <x:v>article board</x:v>
      </x:c>
      <x:c r="I237" s="44" t="str"/>
      <x:c r="J237" s="44" t="str"/>
      <x:c r="K237" s="44" t="str">
        <x:f>IF(J237="","OPEN",IF(I237="PASS","PASS","FAIL"))</x:f>
        <x:v>OPEN</x:v>
      </x:c>
    </x:row>
    <x:row r="238" ht="38" customHeight="1">
      <x:c r="B238" s="44" t="str">
        <x:v>RAC-BG-0232</x:v>
      </x:c>
      <x:c r="C238" s="44" t="str">
        <x:v>REA-M-C</x:v>
      </x:c>
      <x:c r="D238" s="44" t="str">
        <x:v>BL-X</x:v>
      </x:c>
      <x:c r="E238" s="44" t="str">
        <x:v>G08</x:v>
      </x:c>
      <x:c r="F238" s="44" t="str">
        <x:v>pressure and leak</x:v>
      </x:c>
      <x:c r="G238" s="45" t="str">
        <x:v>liquid proof and leak map accepted</x:v>
      </x:c>
      <x:c r="H238" s="44" t="str">
        <x:v>article board</x:v>
      </x:c>
      <x:c r="I238" s="44" t="str"/>
      <x:c r="J238" s="44" t="str"/>
      <x:c r="K238" s="44" t="str">
        <x:f>IF(J238="","OPEN",IF(I238="PASS","PASS","FAIL"))</x:f>
        <x:v>OPEN</x:v>
      </x:c>
    </x:row>
    <x:row r="239" ht="38" customHeight="1">
      <x:c r="B239" s="44" t="str">
        <x:v>RAC-BG-0233</x:v>
      </x:c>
      <x:c r="C239" s="44" t="str">
        <x:v>REA-M-C</x:v>
      </x:c>
      <x:c r="D239" s="44" t="str">
        <x:v>BL-X</x:v>
      </x:c>
      <x:c r="E239" s="44" t="str">
        <x:v>G09</x:v>
      </x:c>
      <x:c r="F239" s="44" t="str">
        <x:v>surface and recovery</x:v>
      </x:c>
      <x:c r="G239" s="45" t="str">
        <x:v>roughness, contact angle, deadleg and residual accepted</x:v>
      </x:c>
      <x:c r="H239" s="44" t="str">
        <x:v>article board</x:v>
      </x:c>
      <x:c r="I239" s="44" t="str"/>
      <x:c r="J239" s="44" t="str"/>
      <x:c r="K239" s="44" t="str">
        <x:f>IF(J239="","OPEN",IF(I239="PASS","PASS","FAIL"))</x:f>
        <x:v>OPEN</x:v>
      </x:c>
    </x:row>
    <x:row r="240" ht="38" customHeight="1">
      <x:c r="B240" s="44" t="str">
        <x:v>RAC-BG-0234</x:v>
      </x:c>
      <x:c r="C240" s="44" t="str">
        <x:v>REA-M-C</x:v>
      </x:c>
      <x:c r="D240" s="44" t="str">
        <x:v>BL-X</x:v>
      </x:c>
      <x:c r="E240" s="44" t="str">
        <x:v>G10</x:v>
      </x:c>
      <x:c r="F240" s="44" t="str">
        <x:v>safeing work</x:v>
      </x:c>
      <x:c r="G240" s="45" t="str">
        <x:v>spring work and direct witness interfaces accepted</x:v>
      </x:c>
      <x:c r="H240" s="44" t="str">
        <x:v>safeing authority</x:v>
      </x:c>
      <x:c r="I240" s="44" t="str"/>
      <x:c r="J240" s="44" t="str"/>
      <x:c r="K240" s="44" t="str">
        <x:f>IF(J240="","OPEN",IF(I240="PASS","PASS","FAIL"))</x:f>
        <x:v>OPEN</x:v>
      </x:c>
    </x:row>
    <x:row r="241" ht="38" customHeight="1">
      <x:c r="B241" s="44" t="str">
        <x:v>RAC-BG-0235</x:v>
      </x:c>
      <x:c r="C241" s="44" t="str">
        <x:v>REA-M-C</x:v>
      </x:c>
      <x:c r="D241" s="44" t="str">
        <x:v>BL-X</x:v>
      </x:c>
      <x:c r="E241" s="44" t="str">
        <x:v>G11</x:v>
      </x:c>
      <x:c r="F241" s="44" t="str">
        <x:v>independent energy</x:v>
      </x:c>
      <x:c r="G241" s="45" t="str">
        <x:v>critical services close at low stored state</x:v>
      </x:c>
      <x:c r="H241" s="44" t="str">
        <x:v>safeing authority</x:v>
      </x:c>
      <x:c r="I241" s="44" t="str"/>
      <x:c r="J241" s="44" t="str"/>
      <x:c r="K241" s="44" t="str">
        <x:f>IF(J241="","OPEN",IF(I241="PASS","PASS","FAIL"))</x:f>
        <x:v>OPEN</x:v>
      </x:c>
    </x:row>
    <x:row r="242" ht="38" customHeight="1">
      <x:c r="B242" s="44" t="str">
        <x:v>RAC-BG-0236</x:v>
      </x:c>
      <x:c r="C242" s="44" t="str">
        <x:v>REA-M-C</x:v>
      </x:c>
      <x:c r="D242" s="44" t="str">
        <x:v>BL-X</x:v>
      </x:c>
      <x:c r="E242" s="44" t="str">
        <x:v>G12</x:v>
      </x:c>
      <x:c r="F242" s="44" t="str">
        <x:v>instrumentation</x:v>
      </x:c>
      <x:c r="G242" s="45" t="str">
        <x:v>mount, range, power, time and evidence interfaces accepted</x:v>
      </x:c>
      <x:c r="H242" s="44" t="str">
        <x:v>article board</x:v>
      </x:c>
      <x:c r="I242" s="44" t="str"/>
      <x:c r="J242" s="44" t="str"/>
      <x:c r="K242" s="44" t="str">
        <x:f>IF(J242="","OPEN",IF(I242="PASS","PASS","FAIL"))</x:f>
        <x:v>OPEN</x:v>
      </x:c>
    </x:row>
    <x:row r="243" ht="38" customHeight="1">
      <x:c r="B243" s="44" t="str">
        <x:v>RAC-BG-0237</x:v>
      </x:c>
      <x:c r="C243" s="44" t="str">
        <x:v>REA-M-C</x:v>
      </x:c>
      <x:c r="D243" s="44" t="str">
        <x:v>BL-X</x:v>
      </x:c>
      <x:c r="E243" s="44" t="str">
        <x:v>G13</x:v>
      </x:c>
      <x:c r="F243" s="44" t="str">
        <x:v>mass and CG</x:v>
      </x:c>
      <x:c r="G243" s="45" t="str">
        <x:v>stowed mass, CG, lift and restraints accepted</x:v>
      </x:c>
      <x:c r="H243" s="44" t="str">
        <x:v>article board</x:v>
      </x:c>
      <x:c r="I243" s="44" t="str"/>
      <x:c r="J243" s="44" t="str"/>
      <x:c r="K243" s="44" t="str">
        <x:f>IF(J243="","OPEN",IF(I243="PASS","PASS","FAIL"))</x:f>
        <x:v>OPEN</x:v>
      </x:c>
    </x:row>
    <x:row r="244" ht="38" customHeight="1">
      <x:c r="B244" s="44" t="str">
        <x:v>RAC-BG-0238</x:v>
      </x:c>
      <x:c r="C244" s="44" t="str">
        <x:v>REA-M-C</x:v>
      </x:c>
      <x:c r="D244" s="44" t="str">
        <x:v>BL-X</x:v>
      </x:c>
      <x:c r="E244" s="44" t="str">
        <x:v>G14</x:v>
      </x:c>
      <x:c r="F244" s="44" t="str">
        <x:v>access and rescue</x:v>
      </x:c>
      <x:c r="G244" s="45" t="str">
        <x:v>manual action, isolation and removal volumes accepted</x:v>
      </x:c>
      <x:c r="H244" s="44" t="str">
        <x:v>article board</x:v>
      </x:c>
      <x:c r="I244" s="44" t="str"/>
      <x:c r="J244" s="44" t="str"/>
      <x:c r="K244" s="44" t="str">
        <x:f>IF(J244="","OPEN",IF(I244="PASS","PASS","FAIL"))</x:f>
        <x:v>OPEN</x:v>
      </x:c>
    </x:row>
    <x:row r="245" ht="38" customHeight="1">
      <x:c r="B245" s="44" t="str">
        <x:v>RAC-BG-0239</x:v>
      </x:c>
      <x:c r="C245" s="44" t="str">
        <x:v>REA-M-C</x:v>
      </x:c>
      <x:c r="D245" s="44" t="str">
        <x:v>BL-X</x:v>
      </x:c>
      <x:c r="E245" s="44" t="str">
        <x:v>G15</x:v>
      </x:c>
      <x:c r="F245" s="44" t="str">
        <x:v>nonconformance closure</x:v>
      </x:c>
      <x:c r="G245" s="45" t="str">
        <x:v>all branches have disposition and effect assessment</x:v>
      </x:c>
      <x:c r="H245" s="44" t="str">
        <x:v>article board</x:v>
      </x:c>
      <x:c r="I245" s="44" t="str"/>
      <x:c r="J245" s="44" t="str"/>
      <x:c r="K245" s="44" t="str">
        <x:f>IF(J245="","OPEN",IF(I245="PASS","PASS","FAIL"))</x:f>
        <x:v>OPEN</x:v>
      </x:c>
    </x:row>
    <x:row r="246" ht="38" customHeight="1">
      <x:c r="B246" s="44" t="str">
        <x:v>RAC-BG-0240</x:v>
      </x:c>
      <x:c r="C246" s="44" t="str">
        <x:v>REA-M-C</x:v>
      </x:c>
      <x:c r="D246" s="44" t="str">
        <x:v>BL-X</x:v>
      </x:c>
      <x:c r="E246" s="44" t="str">
        <x:v>G16</x:v>
      </x:c>
      <x:c r="F246" s="44" t="str">
        <x:v>configuration freeze</x:v>
      </x:c>
      <x:c r="G246" s="45" t="str">
        <x:v>physical state, evidence hashes and release baseline co-signed</x:v>
      </x:c>
      <x:c r="H246" s="44" t="str">
        <x:v>configuration board</x:v>
      </x:c>
      <x:c r="I246" s="44" t="str"/>
      <x:c r="J246" s="44" t="str"/>
      <x:c r="K246" s="44" t="str">
        <x:f>IF(J246="","OPEN",IF(I246="PASS","PASS","FAIL"))</x:f>
        <x:v>OPEN</x:v>
      </x:c>
    </x:row>
    <x:row r="247" ht="38" customHeight="1">
      <x:c r="B247" s="44" t="str">
        <x:v>RAC-BG-0241</x:v>
      </x:c>
      <x:c r="C247" s="44" t="str">
        <x:v>REA-D-A</x:v>
      </x:c>
      <x:c r="D247" s="44" t="str">
        <x:v>BL-Y</x:v>
      </x:c>
      <x:c r="E247" s="44" t="str">
        <x:v>G01</x:v>
      </x:c>
      <x:c r="F247" s="44" t="str">
        <x:v>authority</x:v>
      </x:c>
      <x:c r="G247" s="45" t="str">
        <x:v>named work, configuration and acceptance authorities</x:v>
      </x:c>
      <x:c r="H247" s="44" t="str">
        <x:v>article board</x:v>
      </x:c>
      <x:c r="I247" s="44" t="str"/>
      <x:c r="J247" s="44" t="str"/>
      <x:c r="K247" s="44" t="str">
        <x:f>IF(J247="","OPEN",IF(I247="PASS","PASS","FAIL"))</x:f>
        <x:v>OPEN</x:v>
      </x:c>
    </x:row>
    <x:row r="248" ht="38" customHeight="1">
      <x:c r="B248" s="44" t="str">
        <x:v>RAC-BG-0242</x:v>
      </x:c>
      <x:c r="C248" s="44" t="str">
        <x:v>REA-D-A</x:v>
      </x:c>
      <x:c r="D248" s="44" t="str">
        <x:v>BL-Y</x:v>
      </x:c>
      <x:c r="E248" s="44" t="str">
        <x:v>G02</x:v>
      </x:c>
      <x:c r="F248" s="44" t="str">
        <x:v>drawing baseline</x:v>
      </x:c>
      <x:c r="G248" s="45" t="str">
        <x:v>all applicable controlled sheets accepted</x:v>
      </x:c>
      <x:c r="H248" s="44" t="str">
        <x:v>configuration board</x:v>
      </x:c>
      <x:c r="I248" s="44" t="str"/>
      <x:c r="J248" s="44" t="str"/>
      <x:c r="K248" s="44" t="str">
        <x:f>IF(J248="","OPEN",IF(I248="PASS","PASS","FAIL"))</x:f>
        <x:v>OPEN</x:v>
      </x:c>
    </x:row>
    <x:row r="249" ht="38" customHeight="1">
      <x:c r="B249" s="44" t="str">
        <x:v>RAC-BG-0243</x:v>
      </x:c>
      <x:c r="C249" s="44" t="str">
        <x:v>REA-D-A</x:v>
      </x:c>
      <x:c r="D249" s="44" t="str">
        <x:v>BL-Y</x:v>
      </x:c>
      <x:c r="E249" s="44" t="str">
        <x:v>G03</x:v>
      </x:c>
      <x:c r="F249" s="44" t="str">
        <x:v>material ancestry</x:v>
      </x:c>
      <x:c r="G249" s="45" t="str">
        <x:v>article lots and sibling evidence conserved</x:v>
      </x:c>
      <x:c r="H249" s="44" t="str">
        <x:v>article board</x:v>
      </x:c>
      <x:c r="I249" s="44" t="str"/>
      <x:c r="J249" s="44" t="str"/>
      <x:c r="K249" s="44" t="str">
        <x:f>IF(J249="","OPEN",IF(I249="PASS","PASS","FAIL"))</x:f>
        <x:v>OPEN</x:v>
      </x:c>
    </x:row>
    <x:row r="250" ht="38" customHeight="1">
      <x:c r="B250" s="44" t="str">
        <x:v>RAC-BG-0244</x:v>
      </x:c>
      <x:c r="C250" s="44" t="str">
        <x:v>REA-D-A</x:v>
      </x:c>
      <x:c r="D250" s="44" t="str">
        <x:v>BL-Y</x:v>
      </x:c>
      <x:c r="E250" s="44" t="str">
        <x:v>G04</x:v>
      </x:c>
      <x:c r="F250" s="44" t="str">
        <x:v>coupon evidence</x:v>
      </x:c>
      <x:c r="G250" s="45" t="str">
        <x:v>adjacent-process population accepted</x:v>
      </x:c>
      <x:c r="H250" s="44" t="str">
        <x:v>article board</x:v>
      </x:c>
      <x:c r="I250" s="44" t="str"/>
      <x:c r="J250" s="44" t="str"/>
      <x:c r="K250" s="44" t="str">
        <x:f>IF(J250="","OPEN",IF(I250="PASS","PASS","FAIL"))</x:f>
        <x:v>OPEN</x:v>
      </x:c>
    </x:row>
    <x:row r="251" ht="38" customHeight="1">
      <x:c r="B251" s="44" t="str">
        <x:v>RAC-BG-0245</x:v>
      </x:c>
      <x:c r="C251" s="44" t="str">
        <x:v>REA-D-A</x:v>
      </x:c>
      <x:c r="D251" s="44" t="str">
        <x:v>BL-Y</x:v>
      </x:c>
      <x:c r="E251" s="44" t="str">
        <x:v>G05</x:v>
      </x:c>
      <x:c r="F251" s="44" t="str">
        <x:v>process route</x:v>
      </x:c>
      <x:c r="G251" s="45" t="str">
        <x:v>lineage route and predecessor states accepted</x:v>
      </x:c>
      <x:c r="H251" s="44" t="str">
        <x:v>article board</x:v>
      </x:c>
      <x:c r="I251" s="44" t="str"/>
      <x:c r="J251" s="44" t="str"/>
      <x:c r="K251" s="44" t="str">
        <x:f>IF(J251="","OPEN",IF(I251="PASS","PASS","FAIL"))</x:f>
        <x:v>OPEN</x:v>
      </x:c>
    </x:row>
    <x:row r="252" ht="38" customHeight="1">
      <x:c r="B252" s="44" t="str">
        <x:v>RAC-BG-0246</x:v>
      </x:c>
      <x:c r="C252" s="44" t="str">
        <x:v>REA-D-A</x:v>
      </x:c>
      <x:c r="D252" s="44" t="str">
        <x:v>BL-Y</x:v>
      </x:c>
      <x:c r="E252" s="44" t="str">
        <x:v>G06</x:v>
      </x:c>
      <x:c r="F252" s="44" t="str">
        <x:v>as-built geometry</x:v>
      </x:c>
      <x:c r="G252" s="45" t="str">
        <x:v>datums, bore, length and port stations observed</x:v>
      </x:c>
      <x:c r="H252" s="44" t="str">
        <x:v>article board</x:v>
      </x:c>
      <x:c r="I252" s="44" t="str"/>
      <x:c r="J252" s="44" t="str"/>
      <x:c r="K252" s="44" t="str">
        <x:f>IF(J252="","OPEN",IF(I252="PASS","PASS","FAIL"))</x:f>
        <x:v>OPEN</x:v>
      </x:c>
    </x:row>
    <x:row r="253" ht="38" customHeight="1">
      <x:c r="B253" s="44" t="str">
        <x:v>RAC-BG-0247</x:v>
      </x:c>
      <x:c r="C253" s="44" t="str">
        <x:v>REA-D-A</x:v>
      </x:c>
      <x:c r="D253" s="44" t="str">
        <x:v>BL-Y</x:v>
      </x:c>
      <x:c r="E253" s="44" t="str">
        <x:v>G07</x:v>
      </x:c>
      <x:c r="F253" s="44" t="str">
        <x:v>joint evidence</x:v>
      </x:c>
      <x:c r="G253" s="45" t="str">
        <x:v>joint mechanism, NDE and terminal witness eligible</x:v>
      </x:c>
      <x:c r="H253" s="44" t="str">
        <x:v>article board</x:v>
      </x:c>
      <x:c r="I253" s="44" t="str"/>
      <x:c r="J253" s="44" t="str"/>
      <x:c r="K253" s="44" t="str">
        <x:f>IF(J253="","OPEN",IF(I253="PASS","PASS","FAIL"))</x:f>
        <x:v>OPEN</x:v>
      </x:c>
    </x:row>
    <x:row r="254" ht="38" customHeight="1">
      <x:c r="B254" s="44" t="str">
        <x:v>RAC-BG-0248</x:v>
      </x:c>
      <x:c r="C254" s="44" t="str">
        <x:v>REA-D-A</x:v>
      </x:c>
      <x:c r="D254" s="44" t="str">
        <x:v>BL-Y</x:v>
      </x:c>
      <x:c r="E254" s="44" t="str">
        <x:v>G08</x:v>
      </x:c>
      <x:c r="F254" s="44" t="str">
        <x:v>pressure and leak</x:v>
      </x:c>
      <x:c r="G254" s="45" t="str">
        <x:v>liquid proof and leak map accepted</x:v>
      </x:c>
      <x:c r="H254" s="44" t="str">
        <x:v>article board</x:v>
      </x:c>
      <x:c r="I254" s="44" t="str"/>
      <x:c r="J254" s="44" t="str"/>
      <x:c r="K254" s="44" t="str">
        <x:f>IF(J254="","OPEN",IF(I254="PASS","PASS","FAIL"))</x:f>
        <x:v>OPEN</x:v>
      </x:c>
    </x:row>
    <x:row r="255" ht="38" customHeight="1">
      <x:c r="B255" s="44" t="str">
        <x:v>RAC-BG-0249</x:v>
      </x:c>
      <x:c r="C255" s="44" t="str">
        <x:v>REA-D-A</x:v>
      </x:c>
      <x:c r="D255" s="44" t="str">
        <x:v>BL-Y</x:v>
      </x:c>
      <x:c r="E255" s="44" t="str">
        <x:v>G09</x:v>
      </x:c>
      <x:c r="F255" s="44" t="str">
        <x:v>surface and recovery</x:v>
      </x:c>
      <x:c r="G255" s="45" t="str">
        <x:v>roughness, contact angle, deadleg and residual accepted</x:v>
      </x:c>
      <x:c r="H255" s="44" t="str">
        <x:v>article board</x:v>
      </x:c>
      <x:c r="I255" s="44" t="str"/>
      <x:c r="J255" s="44" t="str"/>
      <x:c r="K255" s="44" t="str">
        <x:f>IF(J255="","OPEN",IF(I255="PASS","PASS","FAIL"))</x:f>
        <x:v>OPEN</x:v>
      </x:c>
    </x:row>
    <x:row r="256" ht="38" customHeight="1">
      <x:c r="B256" s="44" t="str">
        <x:v>RAC-BG-0250</x:v>
      </x:c>
      <x:c r="C256" s="44" t="str">
        <x:v>REA-D-A</x:v>
      </x:c>
      <x:c r="D256" s="44" t="str">
        <x:v>BL-Y</x:v>
      </x:c>
      <x:c r="E256" s="44" t="str">
        <x:v>G10</x:v>
      </x:c>
      <x:c r="F256" s="44" t="str">
        <x:v>safeing work</x:v>
      </x:c>
      <x:c r="G256" s="45" t="str">
        <x:v>spring work and direct witness interfaces accepted</x:v>
      </x:c>
      <x:c r="H256" s="44" t="str">
        <x:v>safeing authority</x:v>
      </x:c>
      <x:c r="I256" s="44" t="str"/>
      <x:c r="J256" s="44" t="str"/>
      <x:c r="K256" s="44" t="str">
        <x:f>IF(J256="","OPEN",IF(I256="PASS","PASS","FAIL"))</x:f>
        <x:v>OPEN</x:v>
      </x:c>
    </x:row>
    <x:row r="257" ht="38" customHeight="1">
      <x:c r="B257" s="44" t="str">
        <x:v>RAC-BG-0251</x:v>
      </x:c>
      <x:c r="C257" s="44" t="str">
        <x:v>REA-D-A</x:v>
      </x:c>
      <x:c r="D257" s="44" t="str">
        <x:v>BL-Y</x:v>
      </x:c>
      <x:c r="E257" s="44" t="str">
        <x:v>G11</x:v>
      </x:c>
      <x:c r="F257" s="44" t="str">
        <x:v>independent energy</x:v>
      </x:c>
      <x:c r="G257" s="45" t="str">
        <x:v>critical services close at low stored state</x:v>
      </x:c>
      <x:c r="H257" s="44" t="str">
        <x:v>safeing authority</x:v>
      </x:c>
      <x:c r="I257" s="44" t="str"/>
      <x:c r="J257" s="44" t="str"/>
      <x:c r="K257" s="44" t="str">
        <x:f>IF(J257="","OPEN",IF(I257="PASS","PASS","FAIL"))</x:f>
        <x:v>OPEN</x:v>
      </x:c>
    </x:row>
    <x:row r="258" ht="38" customHeight="1">
      <x:c r="B258" s="44" t="str">
        <x:v>RAC-BG-0252</x:v>
      </x:c>
      <x:c r="C258" s="44" t="str">
        <x:v>REA-D-A</x:v>
      </x:c>
      <x:c r="D258" s="44" t="str">
        <x:v>BL-Y</x:v>
      </x:c>
      <x:c r="E258" s="44" t="str">
        <x:v>G12</x:v>
      </x:c>
      <x:c r="F258" s="44" t="str">
        <x:v>instrumentation</x:v>
      </x:c>
      <x:c r="G258" s="45" t="str">
        <x:v>mount, range, power, time and evidence interfaces accepted</x:v>
      </x:c>
      <x:c r="H258" s="44" t="str">
        <x:v>article board</x:v>
      </x:c>
      <x:c r="I258" s="44" t="str"/>
      <x:c r="J258" s="44" t="str"/>
      <x:c r="K258" s="44" t="str">
        <x:f>IF(J258="","OPEN",IF(I258="PASS","PASS","FAIL"))</x:f>
        <x:v>OPEN</x:v>
      </x:c>
    </x:row>
    <x:row r="259" ht="38" customHeight="1">
      <x:c r="B259" s="44" t="str">
        <x:v>RAC-BG-0253</x:v>
      </x:c>
      <x:c r="C259" s="44" t="str">
        <x:v>REA-D-A</x:v>
      </x:c>
      <x:c r="D259" s="44" t="str">
        <x:v>BL-Y</x:v>
      </x:c>
      <x:c r="E259" s="44" t="str">
        <x:v>G13</x:v>
      </x:c>
      <x:c r="F259" s="44" t="str">
        <x:v>mass and CG</x:v>
      </x:c>
      <x:c r="G259" s="45" t="str">
        <x:v>stowed mass, CG, lift and restraints accepted</x:v>
      </x:c>
      <x:c r="H259" s="44" t="str">
        <x:v>article board</x:v>
      </x:c>
      <x:c r="I259" s="44" t="str"/>
      <x:c r="J259" s="44" t="str"/>
      <x:c r="K259" s="44" t="str">
        <x:f>IF(J259="","OPEN",IF(I259="PASS","PASS","FAIL"))</x:f>
        <x:v>OPEN</x:v>
      </x:c>
    </x:row>
    <x:row r="260" ht="38" customHeight="1">
      <x:c r="B260" s="44" t="str">
        <x:v>RAC-BG-0254</x:v>
      </x:c>
      <x:c r="C260" s="44" t="str">
        <x:v>REA-D-A</x:v>
      </x:c>
      <x:c r="D260" s="44" t="str">
        <x:v>BL-Y</x:v>
      </x:c>
      <x:c r="E260" s="44" t="str">
        <x:v>G14</x:v>
      </x:c>
      <x:c r="F260" s="44" t="str">
        <x:v>access and rescue</x:v>
      </x:c>
      <x:c r="G260" s="45" t="str">
        <x:v>manual action, isolation and removal volumes accepted</x:v>
      </x:c>
      <x:c r="H260" s="44" t="str">
        <x:v>article board</x:v>
      </x:c>
      <x:c r="I260" s="44" t="str"/>
      <x:c r="J260" s="44" t="str"/>
      <x:c r="K260" s="44" t="str">
        <x:f>IF(J260="","OPEN",IF(I260="PASS","PASS","FAIL"))</x:f>
        <x:v>OPEN</x:v>
      </x:c>
    </x:row>
    <x:row r="261" ht="38" customHeight="1">
      <x:c r="B261" s="44" t="str">
        <x:v>RAC-BG-0255</x:v>
      </x:c>
      <x:c r="C261" s="44" t="str">
        <x:v>REA-D-A</x:v>
      </x:c>
      <x:c r="D261" s="44" t="str">
        <x:v>BL-Y</x:v>
      </x:c>
      <x:c r="E261" s="44" t="str">
        <x:v>G15</x:v>
      </x:c>
      <x:c r="F261" s="44" t="str">
        <x:v>nonconformance closure</x:v>
      </x:c>
      <x:c r="G261" s="45" t="str">
        <x:v>all branches have disposition and effect assessment</x:v>
      </x:c>
      <x:c r="H261" s="44" t="str">
        <x:v>article board</x:v>
      </x:c>
      <x:c r="I261" s="44" t="str"/>
      <x:c r="J261" s="44" t="str"/>
      <x:c r="K261" s="44" t="str">
        <x:f>IF(J261="","OPEN",IF(I261="PASS","PASS","FAIL"))</x:f>
        <x:v>OPEN</x:v>
      </x:c>
    </x:row>
    <x:row r="262" ht="38" customHeight="1">
      <x:c r="B262" s="44" t="str">
        <x:v>RAC-BG-0256</x:v>
      </x:c>
      <x:c r="C262" s="44" t="str">
        <x:v>REA-D-A</x:v>
      </x:c>
      <x:c r="D262" s="44" t="str">
        <x:v>BL-Y</x:v>
      </x:c>
      <x:c r="E262" s="44" t="str">
        <x:v>G16</x:v>
      </x:c>
      <x:c r="F262" s="44" t="str">
        <x:v>configuration freeze</x:v>
      </x:c>
      <x:c r="G262" s="45" t="str">
        <x:v>physical state, evidence hashes and release baseline co-signed</x:v>
      </x:c>
      <x:c r="H262" s="44" t="str">
        <x:v>configuration board</x:v>
      </x:c>
      <x:c r="I262" s="44" t="str"/>
      <x:c r="J262" s="44" t="str"/>
      <x:c r="K262" s="44" t="str">
        <x:f>IF(J262="","OPEN",IF(I262="PASS","PASS","FAIL"))</x:f>
        <x:v>OPEN</x:v>
      </x:c>
    </x:row>
    <x:row r="263" ht="38" customHeight="1">
      <x:c r="B263" s="44" t="str">
        <x:v>RAC-BG-0257</x:v>
      </x:c>
      <x:c r="C263" s="44" t="str">
        <x:v>REA-D-B</x:v>
      </x:c>
      <x:c r="D263" s="44" t="str">
        <x:v>BL-X</x:v>
      </x:c>
      <x:c r="E263" s="44" t="str">
        <x:v>G01</x:v>
      </x:c>
      <x:c r="F263" s="44" t="str">
        <x:v>authority</x:v>
      </x:c>
      <x:c r="G263" s="45" t="str">
        <x:v>named work, configuration and acceptance authorities</x:v>
      </x:c>
      <x:c r="H263" s="44" t="str">
        <x:v>article board</x:v>
      </x:c>
      <x:c r="I263" s="44" t="str"/>
      <x:c r="J263" s="44" t="str"/>
      <x:c r="K263" s="44" t="str">
        <x:f>IF(J263="","OPEN",IF(I263="PASS","PASS","FAIL"))</x:f>
        <x:v>OPEN</x:v>
      </x:c>
    </x:row>
    <x:row r="264" ht="38" customHeight="1">
      <x:c r="B264" s="44" t="str">
        <x:v>RAC-BG-0258</x:v>
      </x:c>
      <x:c r="C264" s="44" t="str">
        <x:v>REA-D-B</x:v>
      </x:c>
      <x:c r="D264" s="44" t="str">
        <x:v>BL-X</x:v>
      </x:c>
      <x:c r="E264" s="44" t="str">
        <x:v>G02</x:v>
      </x:c>
      <x:c r="F264" s="44" t="str">
        <x:v>drawing baseline</x:v>
      </x:c>
      <x:c r="G264" s="45" t="str">
        <x:v>all applicable controlled sheets accepted</x:v>
      </x:c>
      <x:c r="H264" s="44" t="str">
        <x:v>configuration board</x:v>
      </x:c>
      <x:c r="I264" s="44" t="str"/>
      <x:c r="J264" s="44" t="str"/>
      <x:c r="K264" s="44" t="str">
        <x:f>IF(J264="","OPEN",IF(I264="PASS","PASS","FAIL"))</x:f>
        <x:v>OPEN</x:v>
      </x:c>
    </x:row>
    <x:row r="265" ht="38" customHeight="1">
      <x:c r="B265" s="44" t="str">
        <x:v>RAC-BG-0259</x:v>
      </x:c>
      <x:c r="C265" s="44" t="str">
        <x:v>REA-D-B</x:v>
      </x:c>
      <x:c r="D265" s="44" t="str">
        <x:v>BL-X</x:v>
      </x:c>
      <x:c r="E265" s="44" t="str">
        <x:v>G03</x:v>
      </x:c>
      <x:c r="F265" s="44" t="str">
        <x:v>material ancestry</x:v>
      </x:c>
      <x:c r="G265" s="45" t="str">
        <x:v>article lots and sibling evidence conserved</x:v>
      </x:c>
      <x:c r="H265" s="44" t="str">
        <x:v>article board</x:v>
      </x:c>
      <x:c r="I265" s="44" t="str"/>
      <x:c r="J265" s="44" t="str"/>
      <x:c r="K265" s="44" t="str">
        <x:f>IF(J265="","OPEN",IF(I265="PASS","PASS","FAIL"))</x:f>
        <x:v>OPEN</x:v>
      </x:c>
    </x:row>
    <x:row r="266" ht="38" customHeight="1">
      <x:c r="B266" s="44" t="str">
        <x:v>RAC-BG-0260</x:v>
      </x:c>
      <x:c r="C266" s="44" t="str">
        <x:v>REA-D-B</x:v>
      </x:c>
      <x:c r="D266" s="44" t="str">
        <x:v>BL-X</x:v>
      </x:c>
      <x:c r="E266" s="44" t="str">
        <x:v>G04</x:v>
      </x:c>
      <x:c r="F266" s="44" t="str">
        <x:v>coupon evidence</x:v>
      </x:c>
      <x:c r="G266" s="45" t="str">
        <x:v>adjacent-process population accepted</x:v>
      </x:c>
      <x:c r="H266" s="44" t="str">
        <x:v>article board</x:v>
      </x:c>
      <x:c r="I266" s="44" t="str"/>
      <x:c r="J266" s="44" t="str"/>
      <x:c r="K266" s="44" t="str">
        <x:f>IF(J266="","OPEN",IF(I266="PASS","PASS","FAIL"))</x:f>
        <x:v>OPEN</x:v>
      </x:c>
    </x:row>
    <x:row r="267" ht="38" customHeight="1">
      <x:c r="B267" s="44" t="str">
        <x:v>RAC-BG-0261</x:v>
      </x:c>
      <x:c r="C267" s="44" t="str">
        <x:v>REA-D-B</x:v>
      </x:c>
      <x:c r="D267" s="44" t="str">
        <x:v>BL-X</x:v>
      </x:c>
      <x:c r="E267" s="44" t="str">
        <x:v>G05</x:v>
      </x:c>
      <x:c r="F267" s="44" t="str">
        <x:v>process route</x:v>
      </x:c>
      <x:c r="G267" s="45" t="str">
        <x:v>lineage route and predecessor states accepted</x:v>
      </x:c>
      <x:c r="H267" s="44" t="str">
        <x:v>article board</x:v>
      </x:c>
      <x:c r="I267" s="44" t="str"/>
      <x:c r="J267" s="44" t="str"/>
      <x:c r="K267" s="44" t="str">
        <x:f>IF(J267="","OPEN",IF(I267="PASS","PASS","FAIL"))</x:f>
        <x:v>OPEN</x:v>
      </x:c>
    </x:row>
    <x:row r="268" ht="38" customHeight="1">
      <x:c r="B268" s="44" t="str">
        <x:v>RAC-BG-0262</x:v>
      </x:c>
      <x:c r="C268" s="44" t="str">
        <x:v>REA-D-B</x:v>
      </x:c>
      <x:c r="D268" s="44" t="str">
        <x:v>BL-X</x:v>
      </x:c>
      <x:c r="E268" s="44" t="str">
        <x:v>G06</x:v>
      </x:c>
      <x:c r="F268" s="44" t="str">
        <x:v>as-built geometry</x:v>
      </x:c>
      <x:c r="G268" s="45" t="str">
        <x:v>datums, bore, length and port stations observed</x:v>
      </x:c>
      <x:c r="H268" s="44" t="str">
        <x:v>article board</x:v>
      </x:c>
      <x:c r="I268" s="44" t="str"/>
      <x:c r="J268" s="44" t="str"/>
      <x:c r="K268" s="44" t="str">
        <x:f>IF(J268="","OPEN",IF(I268="PASS","PASS","FAIL"))</x:f>
        <x:v>OPEN</x:v>
      </x:c>
    </x:row>
    <x:row r="269" ht="38" customHeight="1">
      <x:c r="B269" s="44" t="str">
        <x:v>RAC-BG-0263</x:v>
      </x:c>
      <x:c r="C269" s="44" t="str">
        <x:v>REA-D-B</x:v>
      </x:c>
      <x:c r="D269" s="44" t="str">
        <x:v>BL-X</x:v>
      </x:c>
      <x:c r="E269" s="44" t="str">
        <x:v>G07</x:v>
      </x:c>
      <x:c r="F269" s="44" t="str">
        <x:v>joint evidence</x:v>
      </x:c>
      <x:c r="G269" s="45" t="str">
        <x:v>joint mechanism, NDE and terminal witness eligible</x:v>
      </x:c>
      <x:c r="H269" s="44" t="str">
        <x:v>article board</x:v>
      </x:c>
      <x:c r="I269" s="44" t="str"/>
      <x:c r="J269" s="44" t="str"/>
      <x:c r="K269" s="44" t="str">
        <x:f>IF(J269="","OPEN",IF(I269="PASS","PASS","FAIL"))</x:f>
        <x:v>OPEN</x:v>
      </x:c>
    </x:row>
    <x:row r="270" ht="38" customHeight="1">
      <x:c r="B270" s="44" t="str">
        <x:v>RAC-BG-0264</x:v>
      </x:c>
      <x:c r="C270" s="44" t="str">
        <x:v>REA-D-B</x:v>
      </x:c>
      <x:c r="D270" s="44" t="str">
        <x:v>BL-X</x:v>
      </x:c>
      <x:c r="E270" s="44" t="str">
        <x:v>G08</x:v>
      </x:c>
      <x:c r="F270" s="44" t="str">
        <x:v>pressure and leak</x:v>
      </x:c>
      <x:c r="G270" s="45" t="str">
        <x:v>liquid proof and leak map accepted</x:v>
      </x:c>
      <x:c r="H270" s="44" t="str">
        <x:v>article board</x:v>
      </x:c>
      <x:c r="I270" s="44" t="str"/>
      <x:c r="J270" s="44" t="str"/>
      <x:c r="K270" s="44" t="str">
        <x:f>IF(J270="","OPEN",IF(I270="PASS","PASS","FAIL"))</x:f>
        <x:v>OPEN</x:v>
      </x:c>
    </x:row>
    <x:row r="271" ht="38" customHeight="1">
      <x:c r="B271" s="44" t="str">
        <x:v>RAC-BG-0265</x:v>
      </x:c>
      <x:c r="C271" s="44" t="str">
        <x:v>REA-D-B</x:v>
      </x:c>
      <x:c r="D271" s="44" t="str">
        <x:v>BL-X</x:v>
      </x:c>
      <x:c r="E271" s="44" t="str">
        <x:v>G09</x:v>
      </x:c>
      <x:c r="F271" s="44" t="str">
        <x:v>surface and recovery</x:v>
      </x:c>
      <x:c r="G271" s="45" t="str">
        <x:v>roughness, contact angle, deadleg and residual accepted</x:v>
      </x:c>
      <x:c r="H271" s="44" t="str">
        <x:v>article board</x:v>
      </x:c>
      <x:c r="I271" s="44" t="str"/>
      <x:c r="J271" s="44" t="str"/>
      <x:c r="K271" s="44" t="str">
        <x:f>IF(J271="","OPEN",IF(I271="PASS","PASS","FAIL"))</x:f>
        <x:v>OPEN</x:v>
      </x:c>
    </x:row>
    <x:row r="272" ht="38" customHeight="1">
      <x:c r="B272" s="44" t="str">
        <x:v>RAC-BG-0266</x:v>
      </x:c>
      <x:c r="C272" s="44" t="str">
        <x:v>REA-D-B</x:v>
      </x:c>
      <x:c r="D272" s="44" t="str">
        <x:v>BL-X</x:v>
      </x:c>
      <x:c r="E272" s="44" t="str">
        <x:v>G10</x:v>
      </x:c>
      <x:c r="F272" s="44" t="str">
        <x:v>safeing work</x:v>
      </x:c>
      <x:c r="G272" s="45" t="str">
        <x:v>spring work and direct witness interfaces accepted</x:v>
      </x:c>
      <x:c r="H272" s="44" t="str">
        <x:v>safeing authority</x:v>
      </x:c>
      <x:c r="I272" s="44" t="str"/>
      <x:c r="J272" s="44" t="str"/>
      <x:c r="K272" s="44" t="str">
        <x:f>IF(J272="","OPEN",IF(I272="PASS","PASS","FAIL"))</x:f>
        <x:v>OPEN</x:v>
      </x:c>
    </x:row>
    <x:row r="273" ht="38" customHeight="1">
      <x:c r="B273" s="44" t="str">
        <x:v>RAC-BG-0267</x:v>
      </x:c>
      <x:c r="C273" s="44" t="str">
        <x:v>REA-D-B</x:v>
      </x:c>
      <x:c r="D273" s="44" t="str">
        <x:v>BL-X</x:v>
      </x:c>
      <x:c r="E273" s="44" t="str">
        <x:v>G11</x:v>
      </x:c>
      <x:c r="F273" s="44" t="str">
        <x:v>independent energy</x:v>
      </x:c>
      <x:c r="G273" s="45" t="str">
        <x:v>critical services close at low stored state</x:v>
      </x:c>
      <x:c r="H273" s="44" t="str">
        <x:v>safeing authority</x:v>
      </x:c>
      <x:c r="I273" s="44" t="str"/>
      <x:c r="J273" s="44" t="str"/>
      <x:c r="K273" s="44" t="str">
        <x:f>IF(J273="","OPEN",IF(I273="PASS","PASS","FAIL"))</x:f>
        <x:v>OPEN</x:v>
      </x:c>
    </x:row>
    <x:row r="274" ht="38" customHeight="1">
      <x:c r="B274" s="44" t="str">
        <x:v>RAC-BG-0268</x:v>
      </x:c>
      <x:c r="C274" s="44" t="str">
        <x:v>REA-D-B</x:v>
      </x:c>
      <x:c r="D274" s="44" t="str">
        <x:v>BL-X</x:v>
      </x:c>
      <x:c r="E274" s="44" t="str">
        <x:v>G12</x:v>
      </x:c>
      <x:c r="F274" s="44" t="str">
        <x:v>instrumentation</x:v>
      </x:c>
      <x:c r="G274" s="45" t="str">
        <x:v>mount, range, power, time and evidence interfaces accepted</x:v>
      </x:c>
      <x:c r="H274" s="44" t="str">
        <x:v>article board</x:v>
      </x:c>
      <x:c r="I274" s="44" t="str"/>
      <x:c r="J274" s="44" t="str"/>
      <x:c r="K274" s="44" t="str">
        <x:f>IF(J274="","OPEN",IF(I274="PASS","PASS","FAIL"))</x:f>
        <x:v>OPEN</x:v>
      </x:c>
    </x:row>
    <x:row r="275" ht="38" customHeight="1">
      <x:c r="B275" s="44" t="str">
        <x:v>RAC-BG-0269</x:v>
      </x:c>
      <x:c r="C275" s="44" t="str">
        <x:v>REA-D-B</x:v>
      </x:c>
      <x:c r="D275" s="44" t="str">
        <x:v>BL-X</x:v>
      </x:c>
      <x:c r="E275" s="44" t="str">
        <x:v>G13</x:v>
      </x:c>
      <x:c r="F275" s="44" t="str">
        <x:v>mass and CG</x:v>
      </x:c>
      <x:c r="G275" s="45" t="str">
        <x:v>stowed mass, CG, lift and restraints accepted</x:v>
      </x:c>
      <x:c r="H275" s="44" t="str">
        <x:v>article board</x:v>
      </x:c>
      <x:c r="I275" s="44" t="str"/>
      <x:c r="J275" s="44" t="str"/>
      <x:c r="K275" s="44" t="str">
        <x:f>IF(J275="","OPEN",IF(I275="PASS","PASS","FAIL"))</x:f>
        <x:v>OPEN</x:v>
      </x:c>
    </x:row>
    <x:row r="276" ht="38" customHeight="1">
      <x:c r="B276" s="44" t="str">
        <x:v>RAC-BG-0270</x:v>
      </x:c>
      <x:c r="C276" s="44" t="str">
        <x:v>REA-D-B</x:v>
      </x:c>
      <x:c r="D276" s="44" t="str">
        <x:v>BL-X</x:v>
      </x:c>
      <x:c r="E276" s="44" t="str">
        <x:v>G14</x:v>
      </x:c>
      <x:c r="F276" s="44" t="str">
        <x:v>access and rescue</x:v>
      </x:c>
      <x:c r="G276" s="45" t="str">
        <x:v>manual action, isolation and removal volumes accepted</x:v>
      </x:c>
      <x:c r="H276" s="44" t="str">
        <x:v>article board</x:v>
      </x:c>
      <x:c r="I276" s="44" t="str"/>
      <x:c r="J276" s="44" t="str"/>
      <x:c r="K276" s="44" t="str">
        <x:f>IF(J276="","OPEN",IF(I276="PASS","PASS","FAIL"))</x:f>
        <x:v>OPEN</x:v>
      </x:c>
    </x:row>
    <x:row r="277" ht="38" customHeight="1">
      <x:c r="B277" s="44" t="str">
        <x:v>RAC-BG-0271</x:v>
      </x:c>
      <x:c r="C277" s="44" t="str">
        <x:v>REA-D-B</x:v>
      </x:c>
      <x:c r="D277" s="44" t="str">
        <x:v>BL-X</x:v>
      </x:c>
      <x:c r="E277" s="44" t="str">
        <x:v>G15</x:v>
      </x:c>
      <x:c r="F277" s="44" t="str">
        <x:v>nonconformance closure</x:v>
      </x:c>
      <x:c r="G277" s="45" t="str">
        <x:v>all branches have disposition and effect assessment</x:v>
      </x:c>
      <x:c r="H277" s="44" t="str">
        <x:v>article board</x:v>
      </x:c>
      <x:c r="I277" s="44" t="str"/>
      <x:c r="J277" s="44" t="str"/>
      <x:c r="K277" s="44" t="str">
        <x:f>IF(J277="","OPEN",IF(I277="PASS","PASS","FAIL"))</x:f>
        <x:v>OPEN</x:v>
      </x:c>
    </x:row>
    <x:row r="278" ht="38" customHeight="1">
      <x:c r="B278" s="44" t="str">
        <x:v>RAC-BG-0272</x:v>
      </x:c>
      <x:c r="C278" s="44" t="str">
        <x:v>REA-D-B</x:v>
      </x:c>
      <x:c r="D278" s="44" t="str">
        <x:v>BL-X</x:v>
      </x:c>
      <x:c r="E278" s="44" t="str">
        <x:v>G16</x:v>
      </x:c>
      <x:c r="F278" s="44" t="str">
        <x:v>configuration freeze</x:v>
      </x:c>
      <x:c r="G278" s="45" t="str">
        <x:v>physical state, evidence hashes and release baseline co-signed</x:v>
      </x:c>
      <x:c r="H278" s="44" t="str">
        <x:v>configuration board</x:v>
      </x:c>
      <x:c r="I278" s="44" t="str"/>
      <x:c r="J278" s="44" t="str"/>
      <x:c r="K278" s="44" t="str">
        <x:f>IF(J278="","OPEN",IF(I278="PASS","PASS","FAIL"))</x:f>
        <x:v>OPEN</x:v>
      </x:c>
    </x:row>
    <x:row r="279" ht="38" customHeight="1">
      <x:c r="B279" s="44" t="str">
        <x:v>RAC-BG-0273</x:v>
      </x:c>
      <x:c r="C279" s="44" t="str">
        <x:v>REA-D-C</x:v>
      </x:c>
      <x:c r="D279" s="44" t="str">
        <x:v>BL-Y</x:v>
      </x:c>
      <x:c r="E279" s="44" t="str">
        <x:v>G01</x:v>
      </x:c>
      <x:c r="F279" s="44" t="str">
        <x:v>authority</x:v>
      </x:c>
      <x:c r="G279" s="45" t="str">
        <x:v>named work, configuration and acceptance authorities</x:v>
      </x:c>
      <x:c r="H279" s="44" t="str">
        <x:v>article board</x:v>
      </x:c>
      <x:c r="I279" s="44" t="str"/>
      <x:c r="J279" s="44" t="str"/>
      <x:c r="K279" s="44" t="str">
        <x:f>IF(J279="","OPEN",IF(I279="PASS","PASS","FAIL"))</x:f>
        <x:v>OPEN</x:v>
      </x:c>
    </x:row>
    <x:row r="280" ht="38" customHeight="1">
      <x:c r="B280" s="44" t="str">
        <x:v>RAC-BG-0274</x:v>
      </x:c>
      <x:c r="C280" s="44" t="str">
        <x:v>REA-D-C</x:v>
      </x:c>
      <x:c r="D280" s="44" t="str">
        <x:v>BL-Y</x:v>
      </x:c>
      <x:c r="E280" s="44" t="str">
        <x:v>G02</x:v>
      </x:c>
      <x:c r="F280" s="44" t="str">
        <x:v>drawing baseline</x:v>
      </x:c>
      <x:c r="G280" s="45" t="str">
        <x:v>all applicable controlled sheets accepted</x:v>
      </x:c>
      <x:c r="H280" s="44" t="str">
        <x:v>configuration board</x:v>
      </x:c>
      <x:c r="I280" s="44" t="str"/>
      <x:c r="J280" s="44" t="str"/>
      <x:c r="K280" s="44" t="str">
        <x:f>IF(J280="","OPEN",IF(I280="PASS","PASS","FAIL"))</x:f>
        <x:v>OPEN</x:v>
      </x:c>
    </x:row>
    <x:row r="281" ht="38" customHeight="1">
      <x:c r="B281" s="44" t="str">
        <x:v>RAC-BG-0275</x:v>
      </x:c>
      <x:c r="C281" s="44" t="str">
        <x:v>REA-D-C</x:v>
      </x:c>
      <x:c r="D281" s="44" t="str">
        <x:v>BL-Y</x:v>
      </x:c>
      <x:c r="E281" s="44" t="str">
        <x:v>G03</x:v>
      </x:c>
      <x:c r="F281" s="44" t="str">
        <x:v>material ancestry</x:v>
      </x:c>
      <x:c r="G281" s="45" t="str">
        <x:v>article lots and sibling evidence conserved</x:v>
      </x:c>
      <x:c r="H281" s="44" t="str">
        <x:v>article board</x:v>
      </x:c>
      <x:c r="I281" s="44" t="str"/>
      <x:c r="J281" s="44" t="str"/>
      <x:c r="K281" s="44" t="str">
        <x:f>IF(J281="","OPEN",IF(I281="PASS","PASS","FAIL"))</x:f>
        <x:v>OPEN</x:v>
      </x:c>
    </x:row>
    <x:row r="282" ht="38" customHeight="1">
      <x:c r="B282" s="44" t="str">
        <x:v>RAC-BG-0276</x:v>
      </x:c>
      <x:c r="C282" s="44" t="str">
        <x:v>REA-D-C</x:v>
      </x:c>
      <x:c r="D282" s="44" t="str">
        <x:v>BL-Y</x:v>
      </x:c>
      <x:c r="E282" s="44" t="str">
        <x:v>G04</x:v>
      </x:c>
      <x:c r="F282" s="44" t="str">
        <x:v>coupon evidence</x:v>
      </x:c>
      <x:c r="G282" s="45" t="str">
        <x:v>adjacent-process population accepted</x:v>
      </x:c>
      <x:c r="H282" s="44" t="str">
        <x:v>article board</x:v>
      </x:c>
      <x:c r="I282" s="44" t="str"/>
      <x:c r="J282" s="44" t="str"/>
      <x:c r="K282" s="44" t="str">
        <x:f>IF(J282="","OPEN",IF(I282="PASS","PASS","FAIL"))</x:f>
        <x:v>OPEN</x:v>
      </x:c>
    </x:row>
    <x:row r="283" ht="38" customHeight="1">
      <x:c r="B283" s="44" t="str">
        <x:v>RAC-BG-0277</x:v>
      </x:c>
      <x:c r="C283" s="44" t="str">
        <x:v>REA-D-C</x:v>
      </x:c>
      <x:c r="D283" s="44" t="str">
        <x:v>BL-Y</x:v>
      </x:c>
      <x:c r="E283" s="44" t="str">
        <x:v>G05</x:v>
      </x:c>
      <x:c r="F283" s="44" t="str">
        <x:v>process route</x:v>
      </x:c>
      <x:c r="G283" s="45" t="str">
        <x:v>lineage route and predecessor states accepted</x:v>
      </x:c>
      <x:c r="H283" s="44" t="str">
        <x:v>article board</x:v>
      </x:c>
      <x:c r="I283" s="44" t="str"/>
      <x:c r="J283" s="44" t="str"/>
      <x:c r="K283" s="44" t="str">
        <x:f>IF(J283="","OPEN",IF(I283="PASS","PASS","FAIL"))</x:f>
        <x:v>OPEN</x:v>
      </x:c>
    </x:row>
    <x:row r="284" ht="38" customHeight="1">
      <x:c r="B284" s="44" t="str">
        <x:v>RAC-BG-0278</x:v>
      </x:c>
      <x:c r="C284" s="44" t="str">
        <x:v>REA-D-C</x:v>
      </x:c>
      <x:c r="D284" s="44" t="str">
        <x:v>BL-Y</x:v>
      </x:c>
      <x:c r="E284" s="44" t="str">
        <x:v>G06</x:v>
      </x:c>
      <x:c r="F284" s="44" t="str">
        <x:v>as-built geometry</x:v>
      </x:c>
      <x:c r="G284" s="45" t="str">
        <x:v>datums, bore, length and port stations observed</x:v>
      </x:c>
      <x:c r="H284" s="44" t="str">
        <x:v>article board</x:v>
      </x:c>
      <x:c r="I284" s="44" t="str"/>
      <x:c r="J284" s="44" t="str"/>
      <x:c r="K284" s="44" t="str">
        <x:f>IF(J284="","OPEN",IF(I284="PASS","PASS","FAIL"))</x:f>
        <x:v>OPEN</x:v>
      </x:c>
    </x:row>
    <x:row r="285" ht="38" customHeight="1">
      <x:c r="B285" s="44" t="str">
        <x:v>RAC-BG-0279</x:v>
      </x:c>
      <x:c r="C285" s="44" t="str">
        <x:v>REA-D-C</x:v>
      </x:c>
      <x:c r="D285" s="44" t="str">
        <x:v>BL-Y</x:v>
      </x:c>
      <x:c r="E285" s="44" t="str">
        <x:v>G07</x:v>
      </x:c>
      <x:c r="F285" s="44" t="str">
        <x:v>joint evidence</x:v>
      </x:c>
      <x:c r="G285" s="45" t="str">
        <x:v>joint mechanism, NDE and terminal witness eligible</x:v>
      </x:c>
      <x:c r="H285" s="44" t="str">
        <x:v>article board</x:v>
      </x:c>
      <x:c r="I285" s="44" t="str"/>
      <x:c r="J285" s="44" t="str"/>
      <x:c r="K285" s="44" t="str">
        <x:f>IF(J285="","OPEN",IF(I285="PASS","PASS","FAIL"))</x:f>
        <x:v>OPEN</x:v>
      </x:c>
    </x:row>
    <x:row r="286" ht="38" customHeight="1">
      <x:c r="B286" s="44" t="str">
        <x:v>RAC-BG-0280</x:v>
      </x:c>
      <x:c r="C286" s="44" t="str">
        <x:v>REA-D-C</x:v>
      </x:c>
      <x:c r="D286" s="44" t="str">
        <x:v>BL-Y</x:v>
      </x:c>
      <x:c r="E286" s="44" t="str">
        <x:v>G08</x:v>
      </x:c>
      <x:c r="F286" s="44" t="str">
        <x:v>pressure and leak</x:v>
      </x:c>
      <x:c r="G286" s="45" t="str">
        <x:v>liquid proof and leak map accepted</x:v>
      </x:c>
      <x:c r="H286" s="44" t="str">
        <x:v>article board</x:v>
      </x:c>
      <x:c r="I286" s="44" t="str"/>
      <x:c r="J286" s="44" t="str"/>
      <x:c r="K286" s="44" t="str">
        <x:f>IF(J286="","OPEN",IF(I286="PASS","PASS","FAIL"))</x:f>
        <x:v>OPEN</x:v>
      </x:c>
    </x:row>
    <x:row r="287" ht="38" customHeight="1">
      <x:c r="B287" s="44" t="str">
        <x:v>RAC-BG-0281</x:v>
      </x:c>
      <x:c r="C287" s="44" t="str">
        <x:v>REA-D-C</x:v>
      </x:c>
      <x:c r="D287" s="44" t="str">
        <x:v>BL-Y</x:v>
      </x:c>
      <x:c r="E287" s="44" t="str">
        <x:v>G09</x:v>
      </x:c>
      <x:c r="F287" s="44" t="str">
        <x:v>surface and recovery</x:v>
      </x:c>
      <x:c r="G287" s="45" t="str">
        <x:v>roughness, contact angle, deadleg and residual accepted</x:v>
      </x:c>
      <x:c r="H287" s="44" t="str">
        <x:v>article board</x:v>
      </x:c>
      <x:c r="I287" s="44" t="str"/>
      <x:c r="J287" s="44" t="str"/>
      <x:c r="K287" s="44" t="str">
        <x:f>IF(J287="","OPEN",IF(I287="PASS","PASS","FAIL"))</x:f>
        <x:v>OPEN</x:v>
      </x:c>
    </x:row>
    <x:row r="288" ht="38" customHeight="1">
      <x:c r="B288" s="44" t="str">
        <x:v>RAC-BG-0282</x:v>
      </x:c>
      <x:c r="C288" s="44" t="str">
        <x:v>REA-D-C</x:v>
      </x:c>
      <x:c r="D288" s="44" t="str">
        <x:v>BL-Y</x:v>
      </x:c>
      <x:c r="E288" s="44" t="str">
        <x:v>G10</x:v>
      </x:c>
      <x:c r="F288" s="44" t="str">
        <x:v>safeing work</x:v>
      </x:c>
      <x:c r="G288" s="45" t="str">
        <x:v>spring work and direct witness interfaces accepted</x:v>
      </x:c>
      <x:c r="H288" s="44" t="str">
        <x:v>safeing authority</x:v>
      </x:c>
      <x:c r="I288" s="44" t="str"/>
      <x:c r="J288" s="44" t="str"/>
      <x:c r="K288" s="44" t="str">
        <x:f>IF(J288="","OPEN",IF(I288="PASS","PASS","FAIL"))</x:f>
        <x:v>OPEN</x:v>
      </x:c>
    </x:row>
    <x:row r="289" ht="38" customHeight="1">
      <x:c r="B289" s="44" t="str">
        <x:v>RAC-BG-0283</x:v>
      </x:c>
      <x:c r="C289" s="44" t="str">
        <x:v>REA-D-C</x:v>
      </x:c>
      <x:c r="D289" s="44" t="str">
        <x:v>BL-Y</x:v>
      </x:c>
      <x:c r="E289" s="44" t="str">
        <x:v>G11</x:v>
      </x:c>
      <x:c r="F289" s="44" t="str">
        <x:v>independent energy</x:v>
      </x:c>
      <x:c r="G289" s="45" t="str">
        <x:v>critical services close at low stored state</x:v>
      </x:c>
      <x:c r="H289" s="44" t="str">
        <x:v>safeing authority</x:v>
      </x:c>
      <x:c r="I289" s="44" t="str"/>
      <x:c r="J289" s="44" t="str"/>
      <x:c r="K289" s="44" t="str">
        <x:f>IF(J289="","OPEN",IF(I289="PASS","PASS","FAIL"))</x:f>
        <x:v>OPEN</x:v>
      </x:c>
    </x:row>
    <x:row r="290" ht="38" customHeight="1">
      <x:c r="B290" s="44" t="str">
        <x:v>RAC-BG-0284</x:v>
      </x:c>
      <x:c r="C290" s="44" t="str">
        <x:v>REA-D-C</x:v>
      </x:c>
      <x:c r="D290" s="44" t="str">
        <x:v>BL-Y</x:v>
      </x:c>
      <x:c r="E290" s="44" t="str">
        <x:v>G12</x:v>
      </x:c>
      <x:c r="F290" s="44" t="str">
        <x:v>instrumentation</x:v>
      </x:c>
      <x:c r="G290" s="45" t="str">
        <x:v>mount, range, power, time and evidence interfaces accepted</x:v>
      </x:c>
      <x:c r="H290" s="44" t="str">
        <x:v>article board</x:v>
      </x:c>
      <x:c r="I290" s="44" t="str"/>
      <x:c r="J290" s="44" t="str"/>
      <x:c r="K290" s="44" t="str">
        <x:f>IF(J290="","OPEN",IF(I290="PASS","PASS","FAIL"))</x:f>
        <x:v>OPEN</x:v>
      </x:c>
    </x:row>
    <x:row r="291" ht="38" customHeight="1">
      <x:c r="B291" s="44" t="str">
        <x:v>RAC-BG-0285</x:v>
      </x:c>
      <x:c r="C291" s="44" t="str">
        <x:v>REA-D-C</x:v>
      </x:c>
      <x:c r="D291" s="44" t="str">
        <x:v>BL-Y</x:v>
      </x:c>
      <x:c r="E291" s="44" t="str">
        <x:v>G13</x:v>
      </x:c>
      <x:c r="F291" s="44" t="str">
        <x:v>mass and CG</x:v>
      </x:c>
      <x:c r="G291" s="45" t="str">
        <x:v>stowed mass, CG, lift and restraints accepted</x:v>
      </x:c>
      <x:c r="H291" s="44" t="str">
        <x:v>article board</x:v>
      </x:c>
      <x:c r="I291" s="44" t="str"/>
      <x:c r="J291" s="44" t="str"/>
      <x:c r="K291" s="44" t="str">
        <x:f>IF(J291="","OPEN",IF(I291="PASS","PASS","FAIL"))</x:f>
        <x:v>OPEN</x:v>
      </x:c>
    </x:row>
    <x:row r="292" ht="38" customHeight="1">
      <x:c r="B292" s="44" t="str">
        <x:v>RAC-BG-0286</x:v>
      </x:c>
      <x:c r="C292" s="44" t="str">
        <x:v>REA-D-C</x:v>
      </x:c>
      <x:c r="D292" s="44" t="str">
        <x:v>BL-Y</x:v>
      </x:c>
      <x:c r="E292" s="44" t="str">
        <x:v>G14</x:v>
      </x:c>
      <x:c r="F292" s="44" t="str">
        <x:v>access and rescue</x:v>
      </x:c>
      <x:c r="G292" s="45" t="str">
        <x:v>manual action, isolation and removal volumes accepted</x:v>
      </x:c>
      <x:c r="H292" s="44" t="str">
        <x:v>article board</x:v>
      </x:c>
      <x:c r="I292" s="44" t="str"/>
      <x:c r="J292" s="44" t="str"/>
      <x:c r="K292" s="44" t="str">
        <x:f>IF(J292="","OPEN",IF(I292="PASS","PASS","FAIL"))</x:f>
        <x:v>OPEN</x:v>
      </x:c>
    </x:row>
    <x:row r="293" ht="38" customHeight="1">
      <x:c r="B293" s="44" t="str">
        <x:v>RAC-BG-0287</x:v>
      </x:c>
      <x:c r="C293" s="44" t="str">
        <x:v>REA-D-C</x:v>
      </x:c>
      <x:c r="D293" s="44" t="str">
        <x:v>BL-Y</x:v>
      </x:c>
      <x:c r="E293" s="44" t="str">
        <x:v>G15</x:v>
      </x:c>
      <x:c r="F293" s="44" t="str">
        <x:v>nonconformance closure</x:v>
      </x:c>
      <x:c r="G293" s="45" t="str">
        <x:v>all branches have disposition and effect assessment</x:v>
      </x:c>
      <x:c r="H293" s="44" t="str">
        <x:v>article board</x:v>
      </x:c>
      <x:c r="I293" s="44" t="str"/>
      <x:c r="J293" s="44" t="str"/>
      <x:c r="K293" s="44" t="str">
        <x:f>IF(J293="","OPEN",IF(I293="PASS","PASS","FAIL"))</x:f>
        <x:v>OPEN</x:v>
      </x:c>
    </x:row>
    <x:row r="294" ht="38" customHeight="1">
      <x:c r="B294" s="44" t="str">
        <x:v>RAC-BG-0288</x:v>
      </x:c>
      <x:c r="C294" s="44" t="str">
        <x:v>REA-D-C</x:v>
      </x:c>
      <x:c r="D294" s="44" t="str">
        <x:v>BL-Y</x:v>
      </x:c>
      <x:c r="E294" s="44" t="str">
        <x:v>G16</x:v>
      </x:c>
      <x:c r="F294" s="44" t="str">
        <x:v>configuration freeze</x:v>
      </x:c>
      <x:c r="G294" s="45" t="str">
        <x:v>physical state, evidence hashes and release baseline co-signed</x:v>
      </x:c>
      <x:c r="H294" s="44" t="str">
        <x:v>configuration board</x:v>
      </x:c>
      <x:c r="I294" s="44" t="str"/>
      <x:c r="J294" s="44" t="str"/>
      <x:c r="K294" s="44" t="str">
        <x:f>IF(J294="","OPEN",IF(I294="PASS","PASS","FAIL"))</x:f>
        <x:v>OPEN</x:v>
      </x:c>
    </x:row>
  </x:sheetData>
  <x:conditionalFormatting sqref="K7:K294">
    <x:cfRule type="containsText" dxfId="95" priority="1" operator="containsText" text="FAIL"/>
    <x:cfRule type="containsText" dxfId="96" priority="2" operator="containsText" text="BLOCKED"/>
    <x:cfRule type="containsText" dxfId="97" priority="3" operator="containsText" text="OPEN"/>
    <x:cfRule type="containsText" dxfId="98" priority="4" operator="containsText" text="PASS"/>
    <x:cfRule type="containsText" dxfId="99" priority="5" operator="containsText" text="PLANNED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4" hidden="0" customWidth="1"/>
    <x:col min="4" max="4" width="19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4" hidden="0" customWidth="1"/>
  </x:cols>
  <x:sheetData>
    <x:row r="2">
      <x:c r="B2" s="41" t="str">
        <x:v>Eighteen controlled build-release decisions</x:v>
      </x:c>
      <x:c r="C2" s="42"/>
      <x:c r="D2" s="42"/>
      <x:c r="E2" s="42"/>
      <x:c r="F2" s="42"/>
      <x:c r="G2" s="42"/>
      <x:c r="H2" s="42"/>
      <x:c r="I2" s="42"/>
    </x:row>
    <x:row r="3">
      <x:c r="B3" s="43" t="str">
        <x:v>A release timestamp without all sixteen accepted gates is an explicit failure.</x:v>
      </x:c>
      <x:c r="C3" s="42"/>
      <x:c r="D3" s="42"/>
      <x:c r="E3" s="42"/>
      <x:c r="F3" s="42"/>
      <x:c r="G3" s="42"/>
      <x:c r="H3" s="42"/>
      <x:c r="I3" s="42"/>
    </x:row>
    <x:row r="4">
      <x:c r="B4" s="42"/>
      <x:c r="C4" s="42"/>
      <x:c r="D4" s="42"/>
      <x:c r="E4" s="42"/>
      <x:c r="F4" s="42"/>
      <x:c r="G4" s="42"/>
      <x:c r="H4" s="42"/>
      <x:c r="I4" s="42"/>
    </x:row>
    <x:row r="5">
      <x:c r="B5" s="42"/>
      <x:c r="C5" s="42"/>
      <x:c r="D5" s="42"/>
      <x:c r="E5" s="42"/>
      <x:c r="F5" s="42"/>
      <x:c r="G5" s="42"/>
      <x:c r="H5" s="42"/>
      <x:c r="I5" s="42"/>
    </x:row>
    <x:row r="6" ht="25" customHeight="1">
      <x:c r="B6" s="6" t="str">
        <x:v>Article</x:v>
      </x:c>
      <x:c r="C6" s="6" t="str">
        <x:v>Lineage</x:v>
      </x:c>
      <x:c r="D6" s="6" t="str">
        <x:v>Required gates</x:v>
      </x:c>
      <x:c r="E6" s="6" t="str">
        <x:v>Pass</x:v>
      </x:c>
      <x:c r="F6" s="6" t="str">
        <x:v>Fail</x:v>
      </x:c>
      <x:c r="G6" s="6" t="str">
        <x:v>Open</x:v>
      </x:c>
      <x:c r="H6" s="6" t="str">
        <x:v>Released UTC</x:v>
      </x:c>
      <x:c r="I6" s="6" t="str">
        <x:v>State</x:v>
      </x:c>
    </x:row>
    <x:row r="7">
      <x:c r="B7" s="44" t="str">
        <x:v>REA-O-A1</x:v>
      </x:c>
      <x:c r="C7" s="44" t="str">
        <x:v>BL-X</x:v>
      </x:c>
      <x:c r="D7" s="44" t="n">
        <x:f>COUNTIF('Build Gates'!$C$7:$C$294,B7)</x:f>
        <x:v>16</x:v>
      </x:c>
      <x:c r="E7" s="44" t="n">
        <x:f>COUNTIFS('Build Gates'!$C$7:$C$294,B7,'Build Gates'!$K$7:$K$294,"PASS")</x:f>
        <x:v>0</x:v>
      </x:c>
      <x:c r="F7" s="44" t="n">
        <x:f>COUNTIFS('Build Gates'!$C$7:$C$294,B7,'Build Gates'!$K$7:$K$294,"FAIL")</x:f>
        <x:v>0</x:v>
      </x:c>
      <x:c r="G7" s="44" t="n">
        <x:f>COUNTIFS('Build Gates'!$C$7:$C$294,B7,'Build Gates'!$K$7:$K$294,"OPEN")</x:f>
        <x:v>16</x:v>
      </x:c>
      <x:c r="H7" s="44" t="str"/>
      <x:c r="I7" s="44" t="str">
        <x:f>IF(H7="","OPEN",IF(AND(E7=D7,F7=0,G7=0),"PASS","FAIL"))</x:f>
        <x:v>OPEN</x:v>
      </x:c>
    </x:row>
    <x:row r="8">
      <x:c r="B8" s="44" t="str">
        <x:v>REA-O-A2</x:v>
      </x:c>
      <x:c r="C8" s="44" t="str">
        <x:v>BL-Y</x:v>
      </x:c>
      <x:c r="D8" s="44" t="n">
        <x:f>COUNTIF('Build Gates'!$C$7:$C$294,B8)</x:f>
        <x:v>16</x:v>
      </x:c>
      <x:c r="E8" s="44" t="n">
        <x:f>COUNTIFS('Build Gates'!$C$7:$C$294,B8,'Build Gates'!$K$7:$K$294,"PASS")</x:f>
        <x:v>0</x:v>
      </x:c>
      <x:c r="F8" s="44" t="n">
        <x:f>COUNTIFS('Build Gates'!$C$7:$C$294,B8,'Build Gates'!$K$7:$K$294,"FAIL")</x:f>
        <x:v>0</x:v>
      </x:c>
      <x:c r="G8" s="44" t="n">
        <x:f>COUNTIFS('Build Gates'!$C$7:$C$294,B8,'Build Gates'!$K$7:$K$294,"OPEN")</x:f>
        <x:v>16</x:v>
      </x:c>
      <x:c r="H8" s="44" t="str"/>
      <x:c r="I8" s="44" t="str">
        <x:f>IF(H8="","OPEN",IF(AND(E8=D8,F8=0,G8=0),"PASS","FAIL"))</x:f>
        <x:v>OPEN</x:v>
      </x:c>
    </x:row>
    <x:row r="9">
      <x:c r="B9" s="44" t="str">
        <x:v>REA-O-B1</x:v>
      </x:c>
      <x:c r="C9" s="44" t="str">
        <x:v>BL-X</x:v>
      </x:c>
      <x:c r="D9" s="44" t="n">
        <x:f>COUNTIF('Build Gates'!$C$7:$C$294,B9)</x:f>
        <x:v>16</x:v>
      </x:c>
      <x:c r="E9" s="44" t="n">
        <x:f>COUNTIFS('Build Gates'!$C$7:$C$294,B9,'Build Gates'!$K$7:$K$294,"PASS")</x:f>
        <x:v>0</x:v>
      </x:c>
      <x:c r="F9" s="44" t="n">
        <x:f>COUNTIFS('Build Gates'!$C$7:$C$294,B9,'Build Gates'!$K$7:$K$294,"FAIL")</x:f>
        <x:v>0</x:v>
      </x:c>
      <x:c r="G9" s="44" t="n">
        <x:f>COUNTIFS('Build Gates'!$C$7:$C$294,B9,'Build Gates'!$K$7:$K$294,"OPEN")</x:f>
        <x:v>16</x:v>
      </x:c>
      <x:c r="H9" s="44" t="str"/>
      <x:c r="I9" s="44" t="str">
        <x:f>IF(H9="","OPEN",IF(AND(E9=D9,F9=0,G9=0),"PASS","FAIL"))</x:f>
        <x:v>OPEN</x:v>
      </x:c>
    </x:row>
    <x:row r="10">
      <x:c r="B10" s="44" t="str">
        <x:v>REA-O-B2</x:v>
      </x:c>
      <x:c r="C10" s="44" t="str">
        <x:v>BL-Y</x:v>
      </x:c>
      <x:c r="D10" s="44" t="n">
        <x:f>COUNTIF('Build Gates'!$C$7:$C$294,B10)</x:f>
        <x:v>16</x:v>
      </x:c>
      <x:c r="E10" s="44" t="n">
        <x:f>COUNTIFS('Build Gates'!$C$7:$C$294,B10,'Build Gates'!$K$7:$K$294,"PASS")</x:f>
        <x:v>0</x:v>
      </x:c>
      <x:c r="F10" s="44" t="n">
        <x:f>COUNTIFS('Build Gates'!$C$7:$C$294,B10,'Build Gates'!$K$7:$K$294,"FAIL")</x:f>
        <x:v>0</x:v>
      </x:c>
      <x:c r="G10" s="44" t="n">
        <x:f>COUNTIFS('Build Gates'!$C$7:$C$294,B10,'Build Gates'!$K$7:$K$294,"OPEN")</x:f>
        <x:v>16</x:v>
      </x:c>
      <x:c r="H10" s="44" t="str"/>
      <x:c r="I10" s="44" t="str">
        <x:f>IF(H10="","OPEN",IF(AND(E10=D10,F10=0,G10=0),"PASS","FAIL"))</x:f>
        <x:v>OPEN</x:v>
      </x:c>
    </x:row>
    <x:row r="11">
      <x:c r="B11" s="44" t="str">
        <x:v>REA-O-C1</x:v>
      </x:c>
      <x:c r="C11" s="44" t="str">
        <x:v>BL-X</x:v>
      </x:c>
      <x:c r="D11" s="44" t="n">
        <x:f>COUNTIF('Build Gates'!$C$7:$C$294,B11)</x:f>
        <x:v>16</x:v>
      </x:c>
      <x:c r="E11" s="44" t="n">
        <x:f>COUNTIFS('Build Gates'!$C$7:$C$294,B11,'Build Gates'!$K$7:$K$294,"PASS")</x:f>
        <x:v>0</x:v>
      </x:c>
      <x:c r="F11" s="44" t="n">
        <x:f>COUNTIFS('Build Gates'!$C$7:$C$294,B11,'Build Gates'!$K$7:$K$294,"FAIL")</x:f>
        <x:v>0</x:v>
      </x:c>
      <x:c r="G11" s="44" t="n">
        <x:f>COUNTIFS('Build Gates'!$C$7:$C$294,B11,'Build Gates'!$K$7:$K$294,"OPEN")</x:f>
        <x:v>16</x:v>
      </x:c>
      <x:c r="H11" s="44" t="str"/>
      <x:c r="I11" s="44" t="str">
        <x:f>IF(H11="","OPEN",IF(AND(E11=D11,F11=0,G11=0),"PASS","FAIL"))</x:f>
        <x:v>OPEN</x:v>
      </x:c>
    </x:row>
    <x:row r="12">
      <x:c r="B12" s="44" t="str">
        <x:v>REA-O-C2</x:v>
      </x:c>
      <x:c r="C12" s="44" t="str">
        <x:v>BL-Y</x:v>
      </x:c>
      <x:c r="D12" s="44" t="n">
        <x:f>COUNTIF('Build Gates'!$C$7:$C$294,B12)</x:f>
        <x:v>16</x:v>
      </x:c>
      <x:c r="E12" s="44" t="n">
        <x:f>COUNTIFS('Build Gates'!$C$7:$C$294,B12,'Build Gates'!$K$7:$K$294,"PASS")</x:f>
        <x:v>0</x:v>
      </x:c>
      <x:c r="F12" s="44" t="n">
        <x:f>COUNTIFS('Build Gates'!$C$7:$C$294,B12,'Build Gates'!$K$7:$K$294,"FAIL")</x:f>
        <x:v>0</x:v>
      </x:c>
      <x:c r="G12" s="44" t="n">
        <x:f>COUNTIFS('Build Gates'!$C$7:$C$294,B12,'Build Gates'!$K$7:$K$294,"OPEN")</x:f>
        <x:v>16</x:v>
      </x:c>
      <x:c r="H12" s="44" t="str"/>
      <x:c r="I12" s="44" t="str">
        <x:f>IF(H12="","OPEN",IF(AND(E12=D12,F12=0,G12=0),"PASS","FAIL"))</x:f>
        <x:v>OPEN</x:v>
      </x:c>
    </x:row>
    <x:row r="13">
      <x:c r="B13" s="44" t="str">
        <x:v>REA-T-A1</x:v>
      </x:c>
      <x:c r="C13" s="44" t="str">
        <x:v>BL-X</x:v>
      </x:c>
      <x:c r="D13" s="44" t="n">
        <x:f>COUNTIF('Build Gates'!$C$7:$C$294,B13)</x:f>
        <x:v>16</x:v>
      </x:c>
      <x:c r="E13" s="44" t="n">
        <x:f>COUNTIFS('Build Gates'!$C$7:$C$294,B13,'Build Gates'!$K$7:$K$294,"PASS")</x:f>
        <x:v>0</x:v>
      </x:c>
      <x:c r="F13" s="44" t="n">
        <x:f>COUNTIFS('Build Gates'!$C$7:$C$294,B13,'Build Gates'!$K$7:$K$294,"FAIL")</x:f>
        <x:v>0</x:v>
      </x:c>
      <x:c r="G13" s="44" t="n">
        <x:f>COUNTIFS('Build Gates'!$C$7:$C$294,B13,'Build Gates'!$K$7:$K$294,"OPEN")</x:f>
        <x:v>16</x:v>
      </x:c>
      <x:c r="H13" s="44" t="str"/>
      <x:c r="I13" s="44" t="str">
        <x:f>IF(H13="","OPEN",IF(AND(E13=D13,F13=0,G13=0),"PASS","FAIL"))</x:f>
        <x:v>OPEN</x:v>
      </x:c>
    </x:row>
    <x:row r="14">
      <x:c r="B14" s="44" t="str">
        <x:v>REA-T-A2</x:v>
      </x:c>
      <x:c r="C14" s="44" t="str">
        <x:v>BL-Y</x:v>
      </x:c>
      <x:c r="D14" s="44" t="n">
        <x:f>COUNTIF('Build Gates'!$C$7:$C$294,B14)</x:f>
        <x:v>16</x:v>
      </x:c>
      <x:c r="E14" s="44" t="n">
        <x:f>COUNTIFS('Build Gates'!$C$7:$C$294,B14,'Build Gates'!$K$7:$K$294,"PASS")</x:f>
        <x:v>0</x:v>
      </x:c>
      <x:c r="F14" s="44" t="n">
        <x:f>COUNTIFS('Build Gates'!$C$7:$C$294,B14,'Build Gates'!$K$7:$K$294,"FAIL")</x:f>
        <x:v>0</x:v>
      </x:c>
      <x:c r="G14" s="44" t="n">
        <x:f>COUNTIFS('Build Gates'!$C$7:$C$294,B14,'Build Gates'!$K$7:$K$294,"OPEN")</x:f>
        <x:v>16</x:v>
      </x:c>
      <x:c r="H14" s="44" t="str"/>
      <x:c r="I14" s="44" t="str">
        <x:f>IF(H14="","OPEN",IF(AND(E14=D14,F14=0,G14=0),"PASS","FAIL"))</x:f>
        <x:v>OPEN</x:v>
      </x:c>
    </x:row>
    <x:row r="15">
      <x:c r="B15" s="44" t="str">
        <x:v>REA-T-B1</x:v>
      </x:c>
      <x:c r="C15" s="44" t="str">
        <x:v>BL-X</x:v>
      </x:c>
      <x:c r="D15" s="44" t="n">
        <x:f>COUNTIF('Build Gates'!$C$7:$C$294,B15)</x:f>
        <x:v>16</x:v>
      </x:c>
      <x:c r="E15" s="44" t="n">
        <x:f>COUNTIFS('Build Gates'!$C$7:$C$294,B15,'Build Gates'!$K$7:$K$294,"PASS")</x:f>
        <x:v>0</x:v>
      </x:c>
      <x:c r="F15" s="44" t="n">
        <x:f>COUNTIFS('Build Gates'!$C$7:$C$294,B15,'Build Gates'!$K$7:$K$294,"FAIL")</x:f>
        <x:v>0</x:v>
      </x:c>
      <x:c r="G15" s="44" t="n">
        <x:f>COUNTIFS('Build Gates'!$C$7:$C$294,B15,'Build Gates'!$K$7:$K$294,"OPEN")</x:f>
        <x:v>16</x:v>
      </x:c>
      <x:c r="H15" s="44" t="str"/>
      <x:c r="I15" s="44" t="str">
        <x:f>IF(H15="","OPEN",IF(AND(E15=D15,F15=0,G15=0),"PASS","FAIL"))</x:f>
        <x:v>OPEN</x:v>
      </x:c>
    </x:row>
    <x:row r="16">
      <x:c r="B16" s="44" t="str">
        <x:v>REA-T-B2</x:v>
      </x:c>
      <x:c r="C16" s="44" t="str">
        <x:v>BL-Y</x:v>
      </x:c>
      <x:c r="D16" s="44" t="n">
        <x:f>COUNTIF('Build Gates'!$C$7:$C$294,B16)</x:f>
        <x:v>16</x:v>
      </x:c>
      <x:c r="E16" s="44" t="n">
        <x:f>COUNTIFS('Build Gates'!$C$7:$C$294,B16,'Build Gates'!$K$7:$K$294,"PASS")</x:f>
        <x:v>0</x:v>
      </x:c>
      <x:c r="F16" s="44" t="n">
        <x:f>COUNTIFS('Build Gates'!$C$7:$C$294,B16,'Build Gates'!$K$7:$K$294,"FAIL")</x:f>
        <x:v>0</x:v>
      </x:c>
      <x:c r="G16" s="44" t="n">
        <x:f>COUNTIFS('Build Gates'!$C$7:$C$294,B16,'Build Gates'!$K$7:$K$294,"OPEN")</x:f>
        <x:v>16</x:v>
      </x:c>
      <x:c r="H16" s="44" t="str"/>
      <x:c r="I16" s="44" t="str">
        <x:f>IF(H16="","OPEN",IF(AND(E16=D16,F16=0,G16=0),"PASS","FAIL"))</x:f>
        <x:v>OPEN</x:v>
      </x:c>
    </x:row>
    <x:row r="17">
      <x:c r="B17" s="44" t="str">
        <x:v>REA-T-C1</x:v>
      </x:c>
      <x:c r="C17" s="44" t="str">
        <x:v>BL-X</x:v>
      </x:c>
      <x:c r="D17" s="44" t="n">
        <x:f>COUNTIF('Build Gates'!$C$7:$C$294,B17)</x:f>
        <x:v>16</x:v>
      </x:c>
      <x:c r="E17" s="44" t="n">
        <x:f>COUNTIFS('Build Gates'!$C$7:$C$294,B17,'Build Gates'!$K$7:$K$294,"PASS")</x:f>
        <x:v>0</x:v>
      </x:c>
      <x:c r="F17" s="44" t="n">
        <x:f>COUNTIFS('Build Gates'!$C$7:$C$294,B17,'Build Gates'!$K$7:$K$294,"FAIL")</x:f>
        <x:v>0</x:v>
      </x:c>
      <x:c r="G17" s="44" t="n">
        <x:f>COUNTIFS('Build Gates'!$C$7:$C$294,B17,'Build Gates'!$K$7:$K$294,"OPEN")</x:f>
        <x:v>16</x:v>
      </x:c>
      <x:c r="H17" s="44" t="str"/>
      <x:c r="I17" s="44" t="str">
        <x:f>IF(H17="","OPEN",IF(AND(E17=D17,F17=0,G17=0),"PASS","FAIL"))</x:f>
        <x:v>OPEN</x:v>
      </x:c>
    </x:row>
    <x:row r="18">
      <x:c r="B18" s="44" t="str">
        <x:v>REA-T-C2</x:v>
      </x:c>
      <x:c r="C18" s="44" t="str">
        <x:v>BL-Y</x:v>
      </x:c>
      <x:c r="D18" s="44" t="n">
        <x:f>COUNTIF('Build Gates'!$C$7:$C$294,B18)</x:f>
        <x:v>16</x:v>
      </x:c>
      <x:c r="E18" s="44" t="n">
        <x:f>COUNTIFS('Build Gates'!$C$7:$C$294,B18,'Build Gates'!$K$7:$K$294,"PASS")</x:f>
        <x:v>0</x:v>
      </x:c>
      <x:c r="F18" s="44" t="n">
        <x:f>COUNTIFS('Build Gates'!$C$7:$C$294,B18,'Build Gates'!$K$7:$K$294,"FAIL")</x:f>
        <x:v>0</x:v>
      </x:c>
      <x:c r="G18" s="44" t="n">
        <x:f>COUNTIFS('Build Gates'!$C$7:$C$294,B18,'Build Gates'!$K$7:$K$294,"OPEN")</x:f>
        <x:v>16</x:v>
      </x:c>
      <x:c r="H18" s="44" t="str"/>
      <x:c r="I18" s="44" t="str">
        <x:f>IF(H18="","OPEN",IF(AND(E18=D18,F18=0,G18=0),"PASS","FAIL"))</x:f>
        <x:v>OPEN</x:v>
      </x:c>
    </x:row>
    <x:row r="19">
      <x:c r="B19" s="44" t="str">
        <x:v>REA-M-A</x:v>
      </x:c>
      <x:c r="C19" s="44" t="str">
        <x:v>BL-X</x:v>
      </x:c>
      <x:c r="D19" s="44" t="n">
        <x:f>COUNTIF('Build Gates'!$C$7:$C$294,B19)</x:f>
        <x:v>16</x:v>
      </x:c>
      <x:c r="E19" s="44" t="n">
        <x:f>COUNTIFS('Build Gates'!$C$7:$C$294,B19,'Build Gates'!$K$7:$K$294,"PASS")</x:f>
        <x:v>0</x:v>
      </x:c>
      <x:c r="F19" s="44" t="n">
        <x:f>COUNTIFS('Build Gates'!$C$7:$C$294,B19,'Build Gates'!$K$7:$K$294,"FAIL")</x:f>
        <x:v>0</x:v>
      </x:c>
      <x:c r="G19" s="44" t="n">
        <x:f>COUNTIFS('Build Gates'!$C$7:$C$294,B19,'Build Gates'!$K$7:$K$294,"OPEN")</x:f>
        <x:v>16</x:v>
      </x:c>
      <x:c r="H19" s="44" t="str"/>
      <x:c r="I19" s="44" t="str">
        <x:f>IF(H19="","OPEN",IF(AND(E19=D19,F19=0,G19=0),"PASS","FAIL"))</x:f>
        <x:v>OPEN</x:v>
      </x:c>
    </x:row>
    <x:row r="20">
      <x:c r="B20" s="44" t="str">
        <x:v>REA-M-B</x:v>
      </x:c>
      <x:c r="C20" s="44" t="str">
        <x:v>BL-Y</x:v>
      </x:c>
      <x:c r="D20" s="44" t="n">
        <x:f>COUNTIF('Build Gates'!$C$7:$C$294,B20)</x:f>
        <x:v>16</x:v>
      </x:c>
      <x:c r="E20" s="44" t="n">
        <x:f>COUNTIFS('Build Gates'!$C$7:$C$294,B20,'Build Gates'!$K$7:$K$294,"PASS")</x:f>
        <x:v>0</x:v>
      </x:c>
      <x:c r="F20" s="44" t="n">
        <x:f>COUNTIFS('Build Gates'!$C$7:$C$294,B20,'Build Gates'!$K$7:$K$294,"FAIL")</x:f>
        <x:v>0</x:v>
      </x:c>
      <x:c r="G20" s="44" t="n">
        <x:f>COUNTIFS('Build Gates'!$C$7:$C$294,B20,'Build Gates'!$K$7:$K$294,"OPEN")</x:f>
        <x:v>16</x:v>
      </x:c>
      <x:c r="H20" s="44" t="str"/>
      <x:c r="I20" s="44" t="str">
        <x:f>IF(H20="","OPEN",IF(AND(E20=D20,F20=0,G20=0),"PASS","FAIL"))</x:f>
        <x:v>OPEN</x:v>
      </x:c>
    </x:row>
    <x:row r="21">
      <x:c r="B21" s="44" t="str">
        <x:v>REA-M-C</x:v>
      </x:c>
      <x:c r="C21" s="44" t="str">
        <x:v>BL-X</x:v>
      </x:c>
      <x:c r="D21" s="44" t="n">
        <x:f>COUNTIF('Build Gates'!$C$7:$C$294,B21)</x:f>
        <x:v>16</x:v>
      </x:c>
      <x:c r="E21" s="44" t="n">
        <x:f>COUNTIFS('Build Gates'!$C$7:$C$294,B21,'Build Gates'!$K$7:$K$294,"PASS")</x:f>
        <x:v>0</x:v>
      </x:c>
      <x:c r="F21" s="44" t="n">
        <x:f>COUNTIFS('Build Gates'!$C$7:$C$294,B21,'Build Gates'!$K$7:$K$294,"FAIL")</x:f>
        <x:v>0</x:v>
      </x:c>
      <x:c r="G21" s="44" t="n">
        <x:f>COUNTIFS('Build Gates'!$C$7:$C$294,B21,'Build Gates'!$K$7:$K$294,"OPEN")</x:f>
        <x:v>16</x:v>
      </x:c>
      <x:c r="H21" s="44" t="str"/>
      <x:c r="I21" s="44" t="str">
        <x:f>IF(H21="","OPEN",IF(AND(E21=D21,F21=0,G21=0),"PASS","FAIL"))</x:f>
        <x:v>OPEN</x:v>
      </x:c>
    </x:row>
    <x:row r="22">
      <x:c r="B22" s="44" t="str">
        <x:v>REA-D-A</x:v>
      </x:c>
      <x:c r="C22" s="44" t="str">
        <x:v>BL-Y</x:v>
      </x:c>
      <x:c r="D22" s="44" t="n">
        <x:f>COUNTIF('Build Gates'!$C$7:$C$294,B22)</x:f>
        <x:v>16</x:v>
      </x:c>
      <x:c r="E22" s="44" t="n">
        <x:f>COUNTIFS('Build Gates'!$C$7:$C$294,B22,'Build Gates'!$K$7:$K$294,"PASS")</x:f>
        <x:v>0</x:v>
      </x:c>
      <x:c r="F22" s="44" t="n">
        <x:f>COUNTIFS('Build Gates'!$C$7:$C$294,B22,'Build Gates'!$K$7:$K$294,"FAIL")</x:f>
        <x:v>0</x:v>
      </x:c>
      <x:c r="G22" s="44" t="n">
        <x:f>COUNTIFS('Build Gates'!$C$7:$C$294,B22,'Build Gates'!$K$7:$K$294,"OPEN")</x:f>
        <x:v>16</x:v>
      </x:c>
      <x:c r="H22" s="44" t="str"/>
      <x:c r="I22" s="44" t="str">
        <x:f>IF(H22="","OPEN",IF(AND(E22=D22,F22=0,G22=0),"PASS","FAIL"))</x:f>
        <x:v>OPEN</x:v>
      </x:c>
    </x:row>
    <x:row r="23">
      <x:c r="B23" s="44" t="str">
        <x:v>REA-D-B</x:v>
      </x:c>
      <x:c r="C23" s="44" t="str">
        <x:v>BL-X</x:v>
      </x:c>
      <x:c r="D23" s="44" t="n">
        <x:f>COUNTIF('Build Gates'!$C$7:$C$294,B23)</x:f>
        <x:v>16</x:v>
      </x:c>
      <x:c r="E23" s="44" t="n">
        <x:f>COUNTIFS('Build Gates'!$C$7:$C$294,B23,'Build Gates'!$K$7:$K$294,"PASS")</x:f>
        <x:v>0</x:v>
      </x:c>
      <x:c r="F23" s="44" t="n">
        <x:f>COUNTIFS('Build Gates'!$C$7:$C$294,B23,'Build Gates'!$K$7:$K$294,"FAIL")</x:f>
        <x:v>0</x:v>
      </x:c>
      <x:c r="G23" s="44" t="n">
        <x:f>COUNTIFS('Build Gates'!$C$7:$C$294,B23,'Build Gates'!$K$7:$K$294,"OPEN")</x:f>
        <x:v>16</x:v>
      </x:c>
      <x:c r="H23" s="44" t="str"/>
      <x:c r="I23" s="44" t="str">
        <x:f>IF(H23="","OPEN",IF(AND(E23=D23,F23=0,G23=0),"PASS","FAIL"))</x:f>
        <x:v>OPEN</x:v>
      </x:c>
    </x:row>
    <x:row r="24">
      <x:c r="B24" s="44" t="str">
        <x:v>REA-D-C</x:v>
      </x:c>
      <x:c r="C24" s="44" t="str">
        <x:v>BL-Y</x:v>
      </x:c>
      <x:c r="D24" s="44" t="n">
        <x:f>COUNTIF('Build Gates'!$C$7:$C$294,B24)</x:f>
        <x:v>16</x:v>
      </x:c>
      <x:c r="E24" s="44" t="n">
        <x:f>COUNTIFS('Build Gates'!$C$7:$C$294,B24,'Build Gates'!$K$7:$K$294,"PASS")</x:f>
        <x:v>0</x:v>
      </x:c>
      <x:c r="F24" s="44" t="n">
        <x:f>COUNTIFS('Build Gates'!$C$7:$C$294,B24,'Build Gates'!$K$7:$K$294,"FAIL")</x:f>
        <x:v>0</x:v>
      </x:c>
      <x:c r="G24" s="44" t="n">
        <x:f>COUNTIFS('Build Gates'!$C$7:$C$294,B24,'Build Gates'!$K$7:$K$294,"OPEN")</x:f>
        <x:v>16</x:v>
      </x:c>
      <x:c r="H24" s="44" t="str"/>
      <x:c r="I24" s="44" t="str">
        <x:f>IF(H24="","OPEN",IF(AND(E24=D24,F24=0,G24=0),"PASS","FAIL"))</x:f>
        <x:v>OPEN</x:v>
      </x:c>
    </x:row>
  </x:sheetData>
  <x:conditionalFormatting sqref="I7:I24">
    <x:cfRule type="containsText" dxfId="100" priority="1" operator="containsText" text="FAIL"/>
    <x:cfRule type="containsText" dxfId="101" priority="2" operator="containsText" text="BLOCKED"/>
    <x:cfRule type="containsText" dxfId="102" priority="3" operator="containsText" text="OPEN"/>
    <x:cfRule type="containsText" dxfId="103" priority="4" operator="containsText" text="PASS"/>
    <x:cfRule type="containsText" dxfId="104" priority="5" operator="containsText" text="PLANNED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3" hidden="0" customWidth="1"/>
    <x:col min="3" max="3" width="19" hidden="0" customWidth="1"/>
    <x:col min="4" max="4" width="18" hidden="0" customWidth="1"/>
    <x:col min="5" max="5" width="17" hidden="0" customWidth="1"/>
    <x:col min="6" max="6" width="25" hidden="0" customWidth="1"/>
    <x:col min="7" max="7" width="17" hidden="0" customWidth="1"/>
  </x:cols>
  <x:sheetData>
    <x:row r="2">
      <x:c r="B2" s="41" t="str">
        <x:v>Eighteen-month engineering and laboratory load</x:v>
      </x:c>
      <x:c r="C2" s="42"/>
      <x:c r="D2" s="42"/>
      <x:c r="E2" s="42"/>
      <x:c r="F2" s="42"/>
      <x:c r="G2" s="42"/>
    </x:row>
    <x:row r="3">
      <x:c r="B3" s="43" t="str">
        <x:v>Hours are direct planning load. Laboratory days may overlap across the public campus network.</x:v>
      </x:c>
      <x:c r="C3" s="42"/>
      <x:c r="D3" s="42"/>
      <x:c r="E3" s="42"/>
      <x:c r="F3" s="42"/>
      <x:c r="G3" s="42"/>
    </x:row>
    <x:row r="4">
      <x:c r="B4" s="42"/>
      <x:c r="C4" s="42"/>
      <x:c r="D4" s="42"/>
      <x:c r="E4" s="42"/>
      <x:c r="F4" s="42"/>
      <x:c r="G4" s="42"/>
    </x:row>
    <x:row r="5">
      <x:c r="B5" s="42"/>
      <x:c r="C5" s="42"/>
      <x:c r="D5" s="42"/>
      <x:c r="E5" s="42"/>
      <x:c r="F5" s="42"/>
      <x:c r="G5" s="42"/>
    </x:row>
    <x:row r="6" ht="25" customHeight="1">
      <x:c r="B6" s="6" t="str">
        <x:v>Work package</x:v>
      </x:c>
      <x:c r="C6" s="6" t="str">
        <x:v>Engineering h</x:v>
      </x:c>
      <x:c r="D6" s="6" t="str">
        <x:v>Technical h</x:v>
      </x:c>
      <x:c r="E6" s="6" t="str">
        <x:v>Lab days</x:v>
      </x:c>
      <x:c r="F6" s="6" t="str">
        <x:v>Critical sequence months</x:v>
      </x:c>
      <x:c r="G6" s="6" t="str">
        <x:v>Total h</x:v>
      </x:c>
    </x:row>
    <x:row r="7">
      <x:c r="B7" s="44" t="str">
        <x:v>coordinate and deployment definition</x:v>
      </x:c>
      <x:c r="C7" s="44" t="n">
        <x:v>9000</x:v>
      </x:c>
      <x:c r="D7" s="44" t="n">
        <x:v>2500</x:v>
      </x:c>
      <x:c r="E7" s="44" t="n">
        <x:v>120</x:v>
      </x:c>
      <x:c r="F7" s="44" t="n">
        <x:v>3</x:v>
      </x:c>
      <x:c r="G7" s="44" t="n">
        <x:f>C7+D7</x:f>
        <x:v>11500</x:v>
      </x:c>
    </x:row>
    <x:row r="8">
      <x:c r="B8" s="44" t="str">
        <x:v>drawing production and checking</x:v>
      </x:c>
      <x:c r="C8" s="44" t="n">
        <x:v>18000</x:v>
      </x:c>
      <x:c r="D8" s="44" t="n">
        <x:v>4500</x:v>
      </x:c>
      <x:c r="E8" s="44" t="n">
        <x:v>180</x:v>
      </x:c>
      <x:c r="F8" s="44" t="n">
        <x:v>8</x:v>
      </x:c>
      <x:c r="G8" s="44" t="n">
        <x:f>C8+D8</x:f>
        <x:v>22500</x:v>
      </x:c>
    </x:row>
    <x:row r="9">
      <x:c r="B9" s="44" t="str">
        <x:v>lineage process definition</x:v>
      </x:c>
      <x:c r="C9" s="44" t="n">
        <x:v>12000</x:v>
      </x:c>
      <x:c r="D9" s="44" t="n">
        <x:v>8500</x:v>
      </x:c>
      <x:c r="E9" s="44" t="n">
        <x:v>220</x:v>
      </x:c>
      <x:c r="F9" s="44" t="n">
        <x:v>9</x:v>
      </x:c>
      <x:c r="G9" s="44" t="n">
        <x:f>C9+D9</x:f>
        <x:v>20500</x:v>
      </x:c>
    </x:row>
    <x:row r="10">
      <x:c r="B10" s="44" t="str">
        <x:v>material and lot qualification</x:v>
      </x:c>
      <x:c r="C10" s="44" t="n">
        <x:v>6500</x:v>
      </x:c>
      <x:c r="D10" s="44" t="n">
        <x:v>11000</x:v>
      </x:c>
      <x:c r="E10" s="44" t="n">
        <x:v>260</x:v>
      </x:c>
      <x:c r="F10" s="44" t="n">
        <x:v>10</x:v>
      </x:c>
      <x:c r="G10" s="44" t="n">
        <x:f>C10+D10</x:f>
        <x:v>17500</x:v>
      </x:c>
    </x:row>
    <x:row r="11">
      <x:c r="B11" s="44" t="str">
        <x:v>tolerance allocation and metrology</x:v>
      </x:c>
      <x:c r="C11" s="44" t="n">
        <x:v>10000</x:v>
      </x:c>
      <x:c r="D11" s="44" t="n">
        <x:v>6000</x:v>
      </x:c>
      <x:c r="E11" s="44" t="n">
        <x:v>190</x:v>
      </x:c>
      <x:c r="F11" s="44" t="n">
        <x:v>8</x:v>
      </x:c>
      <x:c r="G11" s="44" t="n">
        <x:f>C11+D11</x:f>
        <x:v>16000</x:v>
      </x:c>
    </x:row>
    <x:row r="12">
      <x:c r="B12" s="44" t="str">
        <x:v>joint and surface laboratories</x:v>
      </x:c>
      <x:c r="C12" s="44" t="n">
        <x:v>8000</x:v>
      </x:c>
      <x:c r="D12" s="44" t="n">
        <x:v>12000</x:v>
      </x:c>
      <x:c r="E12" s="44" t="n">
        <x:v>300</x:v>
      </x:c>
      <x:c r="F12" s="44" t="n">
        <x:v>12</x:v>
      </x:c>
      <x:c r="G12" s="44" t="n">
        <x:f>C12+D12</x:f>
        <x:v>20000</x:v>
      </x:c>
    </x:row>
    <x:row r="13">
      <x:c r="B13" s="44" t="str">
        <x:v>safeing mechanisms and energy</x:v>
      </x:c>
      <x:c r="C13" s="44" t="n">
        <x:v>11000</x:v>
      </x:c>
      <x:c r="D13" s="44" t="n">
        <x:v>9000</x:v>
      </x:c>
      <x:c r="E13" s="44" t="n">
        <x:v>240</x:v>
      </x:c>
      <x:c r="F13" s="44" t="n">
        <x:v>11</x:v>
      </x:c>
      <x:c r="G13" s="44" t="n">
        <x:f>C13+D13</x:f>
        <x:v>20000</x:v>
      </x:c>
    </x:row>
    <x:row r="14">
      <x:c r="B14" s="44" t="str">
        <x:v>instrument, time and evidence integration</x:v>
      </x:c>
      <x:c r="C14" s="44" t="n">
        <x:v>12000</x:v>
      </x:c>
      <x:c r="D14" s="44" t="n">
        <x:v>8000</x:v>
      </x:c>
      <x:c r="E14" s="44" t="n">
        <x:v>220</x:v>
      </x:c>
      <x:c r="F14" s="44" t="n">
        <x:v>12</x:v>
      </x:c>
      <x:c r="G14" s="44" t="n">
        <x:f>C14+D14</x:f>
        <x:v>20000</x:v>
      </x:c>
    </x:row>
    <x:row r="15">
      <x:c r="B15" s="44" t="str">
        <x:v>pressure and recovery fixtures</x:v>
      </x:c>
      <x:c r="C15" s="44" t="n">
        <x:v>6500</x:v>
      </x:c>
      <x:c r="D15" s="44" t="n">
        <x:v>9500</x:v>
      </x:c>
      <x:c r="E15" s="44" t="n">
        <x:v>230</x:v>
      </x:c>
      <x:c r="F15" s="44" t="n">
        <x:v>10</x:v>
      </x:c>
      <x:c r="G15" s="44" t="n">
        <x:f>C15+D15</x:f>
        <x:v>16000</x:v>
      </x:c>
    </x:row>
    <x:row r="16">
      <x:c r="B16" s="44" t="str">
        <x:v>traveler and configuration system</x:v>
      </x:c>
      <x:c r="C16" s="44" t="n">
        <x:v>8500</x:v>
      </x:c>
      <x:c r="D16" s="44" t="n">
        <x:v>4500</x:v>
      </x:c>
      <x:c r="E16" s="44" t="n">
        <x:v>100</x:v>
      </x:c>
      <x:c r="F16" s="44" t="n">
        <x:v>8</x:v>
      </x:c>
      <x:c r="G16" s="44" t="n">
        <x:f>C16+D16</x:f>
        <x:v>13000</x:v>
      </x:c>
    </x:row>
    <x:row r="17">
      <x:c r="B17" s="44" t="str">
        <x:v>independent design reviews</x:v>
      </x:c>
      <x:c r="C17" s="44" t="n">
        <x:v>7000</x:v>
      </x:c>
      <x:c r="D17" s="44" t="n">
        <x:v>2500</x:v>
      </x:c>
      <x:c r="E17" s="44" t="n">
        <x:v>80</x:v>
      </x:c>
      <x:c r="F17" s="44" t="n">
        <x:v>9</x:v>
      </x:c>
      <x:c r="G17" s="44" t="n">
        <x:f>C17+D17</x:f>
        <x:v>9500</x:v>
      </x:c>
    </x:row>
    <x:row r="18">
      <x:c r="B18" s="44" t="str">
        <x:v>build-release rehearsals</x:v>
      </x:c>
      <x:c r="C18" s="44" t="n">
        <x:v>5500</x:v>
      </x:c>
      <x:c r="D18" s="44" t="n">
        <x:v>7500</x:v>
      </x:c>
      <x:c r="E18" s="44" t="n">
        <x:v>160</x:v>
      </x:c>
      <x:c r="F18" s="44" t="n">
        <x:v>6</x:v>
      </x:c>
      <x:c r="G18" s="44" t="n">
        <x:f>C18+D18</x:f>
        <x:v>13000</x:v>
      </x:c>
    </x:row>
    <x:row r="19">
      <x:c r="B19" s="42"/>
      <x:c r="C19" s="42"/>
      <x:c r="D19" s="42"/>
      <x:c r="E19" s="42"/>
      <x:c r="F19" s="42"/>
      <x:c r="G19" s="42"/>
    </x:row>
    <x:row r="20">
      <x:c r="B20" s="67" t="str">
        <x:v>TOTAL</x:v>
      </x:c>
      <x:c r="C20" s="68" t="n">
        <x:f>SUM(C7:C18)</x:f>
        <x:v>114000</x:v>
      </x:c>
      <x:c r="D20" s="68" t="n">
        <x:f>SUM(D7:D18)</x:f>
        <x:v>85500</x:v>
      </x:c>
      <x:c r="E20" s="68" t="n">
        <x:f>SUM(E7:E18)</x:f>
        <x:v>2300</x:v>
      </x:c>
      <x:c r="F20" s="68" t="n">
        <x:f>MAX(F7:F18)</x:f>
        <x:v>12</x:v>
      </x:c>
      <x:c r="G20" s="70" t="n">
        <x:f>SUM(G7:G18)</x:f>
        <x:v>199500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9" hidden="0" customWidth="1"/>
    <x:col min="3" max="3" width="18" hidden="0" customWidth="1"/>
    <x:col min="4" max="4" width="74" hidden="0" customWidth="1"/>
  </x:cols>
  <x:sheetData>
    <x:row r="2">
      <x:c r="B2" s="41" t="str">
        <x:v>One hundred eighty-position construction institution</x:v>
      </x:c>
      <x:c r="C2" s="42"/>
      <x:c r="D2" s="42"/>
    </x:row>
    <x:row r="3">
      <x:c r="B3" s="43" t="str">
        <x:v>The staff creates and accepts public technical definition. It is not a temporary vendor-review team.</x:v>
      </x:c>
      <x:c r="C3" s="42"/>
      <x:c r="D3" s="42"/>
    </x:row>
    <x:row r="4">
      <x:c r="B4" s="42"/>
      <x:c r="C4" s="42"/>
      <x:c r="D4" s="42"/>
    </x:row>
    <x:row r="5">
      <x:c r="B5" s="42"/>
      <x:c r="C5" s="42"/>
      <x:c r="D5" s="42"/>
    </x:row>
    <x:row r="6" ht="25" customHeight="1">
      <x:c r="B6" s="6" t="str">
        <x:v>Function</x:v>
      </x:c>
      <x:c r="C6" s="6" t="str">
        <x:v>Positions</x:v>
      </x:c>
      <x:c r="D6" s="6" t="str">
        <x:v>Primary duty</x:v>
      </x:c>
    </x:row>
    <x:row r="7" ht="38" customHeight="1">
      <x:c r="B7" s="44" t="str">
        <x:v>configuration and drawing authority</x:v>
      </x:c>
      <x:c r="C7" s="44" t="n">
        <x:v>18</x:v>
      </x:c>
      <x:c r="D7" s="45" t="str">
        <x:v>sheet issue, change effect and baseline custody</x:v>
      </x:c>
    </x:row>
    <x:row r="8" ht="38" customHeight="1">
      <x:c r="B8" s="44" t="str">
        <x:v>fluid and mechanical design</x:v>
      </x:c>
      <x:c r="C8" s="44" t="n">
        <x:v>24</x:v>
      </x:c>
      <x:c r="D8" s="45" t="str">
        <x:v>path, pressure, joints, surface and recovery</x:v>
      </x:c>
    </x:row>
    <x:row r="9" ht="38" customHeight="1">
      <x:c r="B9" s="44" t="str">
        <x:v>safeing and controls</x:v>
      </x:c>
      <x:c r="C9" s="44" t="n">
        <x:v>22</x:v>
      </x:c>
      <x:c r="D9" s="45" t="str">
        <x:v>final elements, local energy and direct state</x:v>
      </x:c>
    </x:row>
    <x:row r="10" ht="38" customHeight="1">
      <x:c r="B10" s="44" t="str">
        <x:v>metrology and causal time</x:v>
      </x:c>
      <x:c r="C10" s="44" t="n">
        <x:v>20</x:v>
      </x:c>
      <x:c r="D10" s="45" t="str">
        <x:v>ranges, uncertainty, synchronization and calibration interfaces</x:v>
      </x:c>
    </x:row>
    <x:row r="11" ht="38" customHeight="1">
      <x:c r="B11" s="44" t="str">
        <x:v>materials and joining</x:v>
      </x:c>
      <x:c r="C11" s="44" t="n">
        <x:v>18</x:v>
      </x:c>
      <x:c r="D11" s="45" t="str">
        <x:v>lot splits, welds, clamps, seals and witness evidence</x:v>
      </x:c>
    </x:row>
    <x:row r="12" ht="38" customHeight="1">
      <x:c r="B12" s="44" t="str">
        <x:v>manufacturing engineering</x:v>
      </x:c>
      <x:c r="C12" s="44" t="n">
        <x:v>20</x:v>
      </x:c>
      <x:c r="D12" s="45" t="str">
        <x:v>process routes, fixtures and work instructions</x:v>
      </x:c>
    </x:row>
    <x:row r="13" ht="38" customHeight="1">
      <x:c r="B13" s="44" t="str">
        <x:v>quality and NDE</x:v>
      </x:c>
      <x:c r="C13" s="44" t="n">
        <x:v>18</x:v>
      </x:c>
      <x:c r="D13" s="45" t="str">
        <x:v>article observation and nonconformance branches</x:v>
      </x:c>
    </x:row>
    <x:row r="14" ht="38" customHeight="1">
      <x:c r="B14" s="44" t="str">
        <x:v>laboratory operations</x:v>
      </x:c>
      <x:c r="C14" s="44" t="n">
        <x:v>14</x:v>
      </x:c>
      <x:c r="D14" s="45" t="str">
        <x:v>joint, surface, pressure and energy rigs</x:v>
      </x:c>
    </x:row>
    <x:row r="15" ht="38" customHeight="1">
      <x:c r="B15" s="44" t="str">
        <x:v>evidence and configuration systems</x:v>
      </x:c>
      <x:c r="C15" s="44" t="n">
        <x:v>10</x:v>
      </x:c>
      <x:c r="D15" s="45" t="str">
        <x:v>native records, hashes and outside-origin reconstruction</x:v>
      </x:c>
    </x:row>
    <x:row r="16" ht="38" customHeight="1">
      <x:c r="B16" s="44" t="str">
        <x:v>safety and rescue engineering</x:v>
      </x:c>
      <x:c r="C16" s="44" t="n">
        <x:v>6</x:v>
      </x:c>
      <x:c r="D16" s="45" t="str">
        <x:v>liquid proof, stored energy, access and isolation</x:v>
      </x:c>
    </x:row>
    <x:row r="17" ht="38" customHeight="1">
      <x:c r="B17" s="44" t="str">
        <x:v>independent acceptance</x:v>
      </x:c>
      <x:c r="C17" s="44" t="n">
        <x:v>6</x:v>
      </x:c>
      <x:c r="D17" s="45" t="str">
        <x:v>hold release and build decision</x:v>
      </x:c>
    </x:row>
    <x:row r="18" ht="38" customHeight="1">
      <x:c r="B18" s="44" t="str">
        <x:v>program integration</x:v>
      </x:c>
      <x:c r="C18" s="44" t="n">
        <x:v>4</x:v>
      </x:c>
      <x:c r="D18" s="45" t="str">
        <x:v>schedule, capacity and financial control</x:v>
      </x:c>
    </x:row>
    <x:row r="19">
      <x:c r="B19" s="42"/>
      <x:c r="C19" s="42"/>
      <x:c r="D19" s="42"/>
    </x:row>
    <x:row r="20">
      <x:c r="B20" s="67" t="str">
        <x:v>TOTAL</x:v>
      </x:c>
      <x:c r="C20" s="68" t="n">
        <x:f>SUM(C7:C18)</x:f>
        <x:v>180</x:v>
      </x:c>
      <x:c r="D20" s="70" t="str">
        <x:v>full complement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9" hidden="0" customWidth="1"/>
    <x:col min="3" max="3" width="17" hidden="0" customWidth="1"/>
    <x:col min="4" max="4" width="79" hidden="0" customWidth="1"/>
  </x:cols>
  <x:sheetData>
    <x:row r="2">
      <x:c r="B2" s="41" t="str">
        <x:v>RAC-1 capital allocation</x:v>
      </x:c>
      <x:c r="C2" s="42"/>
      <x:c r="D2" s="42"/>
    </x:row>
    <x:row r="3">
      <x:c r="B3" s="43" t="str">
        <x:v>All values are planning hypotheses in USD millions and remain inside the RAP-1 capital boundary.</x:v>
      </x:c>
      <x:c r="C3" s="42"/>
      <x:c r="D3" s="42"/>
    </x:row>
    <x:row r="4">
      <x:c r="B4" s="42"/>
      <x:c r="C4" s="42"/>
      <x:c r="D4" s="42"/>
    </x:row>
    <x:row r="5">
      <x:c r="B5" s="42"/>
      <x:c r="C5" s="42"/>
      <x:c r="D5" s="42"/>
    </x:row>
    <x:row r="6" ht="25" customHeight="1">
      <x:c r="B6" s="6" t="str">
        <x:v>Line</x:v>
      </x:c>
      <x:c r="C6" s="6" t="str">
        <x:v>USD M</x:v>
      </x:c>
      <x:c r="D6" s="6" t="str">
        <x:v>Scope</x:v>
      </x:c>
    </x:row>
    <x:row r="7" ht="38" customHeight="1">
      <x:c r="B7" s="44" t="str">
        <x:v>engineering and drawing cells</x:v>
      </x:c>
      <x:c r="C7" s="76" t="n">
        <x:v>10</x:v>
      </x:c>
      <x:c r="D7" s="45" t="str">
        <x:v>public geometry, configuration and model infrastructure</x:v>
      </x:c>
    </x:row>
    <x:row r="8" ht="38" customHeight="1">
      <x:c r="B8" s="44" t="str">
        <x:v>lineage build fixtures</x:v>
      </x:c>
      <x:c r="C8" s="76" t="n">
        <x:v>12</x:v>
      </x:c>
      <x:c r="D8" s="45" t="str">
        <x:v>weld, clamp, support and deployment fixtures</x:v>
      </x:c>
    </x:row>
    <x:row r="9" ht="38" customHeight="1">
      <x:c r="B9" s="44" t="str">
        <x:v>joint and seal laboratories</x:v>
      </x:c>
      <x:c r="C9" s="76" t="n">
        <x:v>8</x:v>
      </x:c>
      <x:c r="D9" s="45" t="str">
        <x:v>pressure, preload, leakage and teardown</x:v>
      </x:c>
    </x:row>
    <x:row r="10" ht="38" customHeight="1">
      <x:c r="B10" s="44" t="str">
        <x:v>bore and surface metrology</x:v>
      </x:c>
      <x:c r="C10" s="76" t="n">
        <x:v>7</x:v>
      </x:c>
      <x:c r="D10" s="45" t="str">
        <x:v>robotic mapping, roughness and contact-state instruments</x:v>
      </x:c>
    </x:row>
    <x:row r="11" ht="38" customHeight="1">
      <x:c r="B11" s="44" t="str">
        <x:v>safeing mechanism benches</x:v>
      </x:c>
      <x:c r="C11" s="76" t="n">
        <x:v>7</x:v>
      </x:c>
      <x:c r="D11" s="45" t="str">
        <x:v>spring work, friction and direct-state challenge</x:v>
      </x:c>
    </x:row>
    <x:row r="12" ht="38" customHeight="1">
      <x:c r="B12" s="44" t="str">
        <x:v>pressure and recovery systems</x:v>
      </x:c>
      <x:c r="C12" s="76" t="n">
        <x:v>6</x:v>
      </x:c>
      <x:c r="D12" s="45" t="str">
        <x:v>liquid proof, controlled drainage and retained-volume measurement</x:v>
      </x:c>
    </x:row>
    <x:row r="13" ht="38" customHeight="1">
      <x:c r="B13" s="44" t="str">
        <x:v>instrument and time integration</x:v>
      </x:c>
      <x:c r="C13" s="76" t="n">
        <x:v>5</x:v>
      </x:c>
      <x:c r="D13" s="45" t="str">
        <x:v>channel fixtures, local clocks and power separation</x:v>
      </x:c>
    </x:row>
    <x:row r="14" ht="38" customHeight="1">
      <x:c r="B14" s="44" t="str">
        <x:v>evidence and configuration systems</x:v>
      </x:c>
      <x:c r="C14" s="76" t="n">
        <x:v>4</x:v>
      </x:c>
      <x:c r="D14" s="45" t="str">
        <x:v>native records, hashes and replay environments</x:v>
      </x:c>
    </x:row>
    <x:row r="15" ht="38" customHeight="1">
      <x:c r="B15" s="44" t="str">
        <x:v>safety and rescue equipment</x:v>
      </x:c>
      <x:c r="C15" s="76" t="n">
        <x:v>3</x:v>
      </x:c>
      <x:c r="D15" s="45" t="str">
        <x:v>remote isolation, spill recovery and access</x:v>
      </x:c>
    </x:row>
    <x:row r="16" ht="38" customHeight="1">
      <x:c r="B16" s="44" t="str">
        <x:v>contingency</x:v>
      </x:c>
      <x:c r="C16" s="76" t="n">
        <x:v>2</x:v>
      </x:c>
      <x:c r="D16" s="45" t="str">
        <x:v>bounded construction-definition allowance</x:v>
      </x:c>
    </x:row>
    <x:row r="17">
      <x:c r="B17" s="42"/>
      <x:c r="C17" s="72"/>
      <x:c r="D17" s="42"/>
    </x:row>
    <x:row r="18">
      <x:c r="B18" s="67" t="str">
        <x:v>TOTAL</x:v>
      </x:c>
      <x:c r="C18" s="77" t="n">
        <x:f>SUM(C7:C16)</x:f>
        <x:v>64</x:v>
      </x:c>
      <x:c r="D18" s="70" t="str">
        <x:v>gross capital inside RAP-1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21" hidden="0" customWidth="1"/>
    <x:col min="4" max="4" width="76" hidden="0" customWidth="1"/>
  </x:cols>
  <x:sheetData>
    <x:row r="2">
      <x:c r="B2" s="41" t="str">
        <x:v>RAC-1 annual support allocation</x:v>
      </x:c>
      <x:c r="C2" s="42"/>
      <x:c r="D2" s="42"/>
    </x:row>
    <x:row r="3">
      <x:c r="B3" s="43" t="str">
        <x:v>Annual support is a nested operating allocation in USD millions per year.</x:v>
      </x:c>
      <x:c r="C3" s="42"/>
      <x:c r="D3" s="42"/>
    </x:row>
    <x:row r="4">
      <x:c r="B4" s="42"/>
      <x:c r="C4" s="42"/>
      <x:c r="D4" s="42"/>
    </x:row>
    <x:row r="5">
      <x:c r="B5" s="42"/>
      <x:c r="C5" s="42"/>
      <x:c r="D5" s="42"/>
    </x:row>
    <x:row r="6" ht="25" customHeight="1">
      <x:c r="B6" s="6" t="str">
        <x:v>Line</x:v>
      </x:c>
      <x:c r="C6" s="6" t="str">
        <x:v>USD M/year</x:v>
      </x:c>
      <x:c r="D6" s="6" t="str">
        <x:v>Scope</x:v>
      </x:c>
    </x:row>
    <x:row r="7" ht="38" customHeight="1">
      <x:c r="B7" s="44" t="str">
        <x:v>workforce</x:v>
      </x:c>
      <x:c r="C7" s="76" t="n">
        <x:v>24</x:v>
      </x:c>
      <x:c r="D7" s="45" t="str">
        <x:v>180-position technical and acceptance complement</x:v>
      </x:c>
    </x:row>
    <x:row r="8" ht="38" customHeight="1">
      <x:c r="B8" s="44" t="str">
        <x:v>supplier qualification</x:v>
      </x:c>
      <x:c r="C8" s="76" t="n">
        <x:v>4</x:v>
      </x:c>
      <x:c r="D8" s="45" t="str">
        <x:v>two lineage supply routes and retained alternatives</x:v>
      </x:c>
    </x:row>
    <x:row r="9" ht="38" customHeight="1">
      <x:c r="B9" s="44" t="str">
        <x:v>laboratory operations</x:v>
      </x:c>
      <x:c r="C9" s="76" t="n">
        <x:v>3</x:v>
      </x:c>
      <x:c r="D9" s="45" t="str">
        <x:v>joint, surface, pressure and energy facilities</x:v>
      </x:c>
    </x:row>
    <x:row r="10" ht="38" customHeight="1">
      <x:c r="B10" s="44" t="str">
        <x:v>metrology and calibration</x:v>
      </x:c>
      <x:c r="C10" s="76" t="n">
        <x:v>2</x:v>
      </x:c>
      <x:c r="D10" s="45" t="str">
        <x:v>portable and fixed reference systems</x:v>
      </x:c>
    </x:row>
    <x:row r="11" ht="38" customHeight="1">
      <x:c r="B11" s="44" t="str">
        <x:v>digital configuration</x:v>
      </x:c>
      <x:c r="C11" s="76" t="n">
        <x:v>2</x:v>
      </x:c>
      <x:c r="D11" s="45" t="str">
        <x:v>drawing, traveler, hash and replay services</x:v>
      </x:c>
    </x:row>
    <x:row r="12" ht="38" customHeight="1">
      <x:c r="B12" s="44" t="str">
        <x:v>independent acceptance</x:v>
      </x:c>
      <x:c r="C12" s="76" t="n">
        <x:v>1</x:v>
      </x:c>
      <x:c r="D12" s="45" t="str">
        <x:v>boards, external reconstruction and hold authority</x:v>
      </x:c>
    </x:row>
    <x:row r="13" ht="38" customHeight="1">
      <x:c r="B13" s="44" t="str">
        <x:v>safety operations</x:v>
      </x:c>
      <x:c r="C13" s="76" t="n">
        <x:v>1</x:v>
      </x:c>
      <x:c r="D13" s="45" t="str">
        <x:v>liquid proof, stored energy and rescue readiness</x:v>
      </x:c>
    </x:row>
    <x:row r="14" ht="38" customHeight="1">
      <x:c r="B14" s="44" t="str">
        <x:v>contingency</x:v>
      </x:c>
      <x:c r="C14" s="76" t="n">
        <x:v>1</x:v>
      </x:c>
      <x:c r="D14" s="45" t="str">
        <x:v>bounded annual allowance</x:v>
      </x:c>
    </x:row>
    <x:row r="15">
      <x:c r="B15" s="42"/>
      <x:c r="C15" s="72"/>
      <x:c r="D15" s="42"/>
    </x:row>
    <x:row r="16">
      <x:c r="B16" s="42"/>
      <x:c r="C16" s="72"/>
      <x:c r="D16" s="42"/>
    </x:row>
    <x:row r="17">
      <x:c r="B17" s="46" t="str">
        <x:v>TOTAL</x:v>
      </x:c>
      <x:c r="C17" s="78" t="n">
        <x:f>SUM(C7:C14)</x:f>
        <x:v>38</x:v>
      </x:c>
      <x:c r="D17" s="48" t="str">
        <x:v>annual support inside RAP-1</x:v>
      </x:c>
    </x:row>
    <x:row r="18">
      <x:c r="B18" s="52" t="str">
        <x:v>18-MONTH EXPOSURE</x:v>
      </x:c>
      <x:c r="C18" s="79" t="n">
        <x:f>'Capital'!C18+1.5*C17</x:f>
        <x:v>121</x:v>
      </x:c>
      <x:c r="D18" s="54" t="str">
        <x:v>capital plus one and one-half years of annual support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9" hidden="0" customWidth="1"/>
    <x:col min="3" max="3" width="18" hidden="0" customWidth="1"/>
    <x:col min="4" max="4" width="18" hidden="0" customWidth="1"/>
    <x:col min="5" max="5" width="31" hidden="0" customWidth="1"/>
  </x:cols>
  <x:sheetData>
    <x:row r="2">
      <x:c r="B2" s="41" t="str">
        <x:v>Nested portfolio accounting</x:v>
      </x:c>
      <x:c r="C2" s="42"/>
      <x:c r="D2" s="42"/>
      <x:c r="E2" s="42"/>
    </x:row>
    <x:row r="3">
      <x:c r="B3" s="43" t="str">
        <x:v>Gross RAC-1 costs remain visible while net extension stays zero. Technology is shown separately and is not added to capital.</x:v>
      </x:c>
      <x:c r="C3" s="42"/>
      <x:c r="D3" s="42"/>
      <x:c r="E3" s="42"/>
    </x:row>
    <x:row r="4">
      <x:c r="B4" s="42"/>
      <x:c r="C4" s="42"/>
      <x:c r="D4" s="42"/>
      <x:c r="E4" s="42"/>
    </x:row>
    <x:row r="5">
      <x:c r="B5" s="42"/>
      <x:c r="C5" s="42"/>
      <x:c r="D5" s="42"/>
      <x:c r="E5" s="42"/>
    </x:row>
    <x:row r="6" ht="25" customHeight="1">
      <x:c r="B6" s="6" t="str">
        <x:v>Entry</x:v>
      </x:c>
      <x:c r="C6" s="6" t="str">
        <x:v>USD M</x:v>
      </x:c>
      <x:c r="D6" s="6" t="str">
        <x:v>Boundary</x:v>
      </x:c>
      <x:c r="E6" s="6" t="str">
        <x:v>Treatment</x:v>
      </x:c>
    </x:row>
    <x:row r="7">
      <x:c r="B7" s="44" t="str">
        <x:v>RAC-1 gross capital</x:v>
      </x:c>
      <x:c r="C7" s="80" t="n">
        <x:f>'Capital'!C18</x:f>
        <x:v>64</x:v>
      </x:c>
      <x:c r="D7" s="44" t="str">
        <x:v>RAC-1</x:v>
      </x:c>
      <x:c r="E7" s="44" t="str">
        <x:v>inside parent</x:v>
      </x:c>
    </x:row>
    <x:row r="8">
      <x:c r="B8" s="44" t="str">
        <x:v>RAC-1 annual support</x:v>
      </x:c>
      <x:c r="C8" s="80" t="n">
        <x:f>'Annual Support'!C17</x:f>
        <x:v>38</x:v>
      </x:c>
      <x:c r="D8" s="44" t="str">
        <x:v>RAC-1</x:v>
      </x:c>
      <x:c r="E8" s="44" t="str">
        <x:v>inside parent</x:v>
      </x:c>
    </x:row>
    <x:row r="9">
      <x:c r="B9" s="44" t="str">
        <x:v>RAC-1 18-month exposure</x:v>
      </x:c>
      <x:c r="C9" s="80" t="n">
        <x:f>'Annual Support'!C18</x:f>
        <x:v>121</x:v>
      </x:c>
      <x:c r="D9" s="44" t="str">
        <x:v>RAC-1</x:v>
      </x:c>
      <x:c r="E9" s="44" t="str">
        <x:v>capital plus 1.5 years</x:v>
      </x:c>
    </x:row>
    <x:row r="10">
      <x:c r="B10" s="44" t="str">
        <x:v>RAP-1 capital boundary</x:v>
      </x:c>
      <x:c r="C10" s="80" t="n">
        <x:f>'Controls'!$D$72</x:f>
        <x:v>248</x:v>
      </x:c>
      <x:c r="D10" s="44" t="str">
        <x:v>RAP-1</x:v>
      </x:c>
      <x:c r="E10" s="44" t="str">
        <x:v>inherited</x:v>
      </x:c>
    </x:row>
    <x:row r="11">
      <x:c r="B11" s="44" t="str">
        <x:v>RAP-1 annual boundary</x:v>
      </x:c>
      <x:c r="C11" s="80" t="n">
        <x:f>'Controls'!$D$73</x:f>
        <x:v>112</x:v>
      </x:c>
      <x:c r="D11" s="44" t="str">
        <x:v>RAP-1</x:v>
      </x:c>
      <x:c r="E11" s="44" t="str">
        <x:v>inherited</x:v>
      </x:c>
    </x:row>
    <x:row r="12">
      <x:c r="B12" s="44" t="str">
        <x:v>unallocated parent capital</x:v>
      </x:c>
      <x:c r="C12" s="80" t="n">
        <x:f>C10-C7</x:f>
        <x:v>184</x:v>
      </x:c>
      <x:c r="D12" s="44" t="str">
        <x:v>boundary</x:v>
      </x:c>
      <x:c r="E12" s="44" t="str">
        <x:v>not a savings claim</x:v>
      </x:c>
    </x:row>
    <x:row r="13">
      <x:c r="B13" s="44" t="str">
        <x:v>unallocated parent annual</x:v>
      </x:c>
      <x:c r="C13" s="80" t="n">
        <x:f>C11-C8</x:f>
        <x:v>74</x:v>
      </x:c>
      <x:c r="D13" s="44" t="str">
        <x:v>boundary</x:v>
      </x:c>
      <x:c r="E13" s="44" t="str">
        <x:v>not a savings claim</x:v>
      </x:c>
    </x:row>
    <x:row r="14">
      <x:c r="B14" s="44" t="str">
        <x:v>net capital extension</x:v>
      </x:c>
      <x:c r="C14" s="80" t="n">
        <x:f>0</x:f>
        <x:v>0</x:v>
      </x:c>
      <x:c r="D14" s="44" t="str">
        <x:v>portfolio</x:v>
      </x:c>
      <x:c r="E14" s="44" t="str">
        <x:v>zero</x:v>
      </x:c>
    </x:row>
    <x:row r="15">
      <x:c r="B15" s="44" t="str">
        <x:v>net annual extension</x:v>
      </x:c>
      <x:c r="C15" s="80" t="n">
        <x:f>0</x:f>
        <x:v>0</x:v>
      </x:c>
      <x:c r="D15" s="44" t="str">
        <x:v>portfolio</x:v>
      </x:c>
      <x:c r="E15" s="44" t="str">
        <x:v>zero</x:v>
      </x:c>
    </x:row>
    <x:row r="16">
      <x:c r="B16" s="44" t="str">
        <x:v>technology allocation</x:v>
      </x:c>
      <x:c r="C16" s="80" t="n">
        <x:f>'Controls'!$D$74</x:f>
        <x:v>125</x:v>
      </x:c>
      <x:c r="D16" s="44" t="str">
        <x:v>research</x:v>
      </x:c>
      <x:c r="E16" s="44" t="str">
        <x:v>cross-classified; not added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6" hidden="0" customWidth="1"/>
    <x:col min="4" max="4" width="16" hidden="0" customWidth="1"/>
    <x:col min="5" max="5" width="76" hidden="0" customWidth="1"/>
    <x:col min="6" max="6" width="20" hidden="0" customWidth="1"/>
    <x:col min="7" max="7" width="14" hidden="0" customWidth="1"/>
  </x:cols>
  <x:sheetData>
    <x:row r="2">
      <x:c r="B2" s="41" t="str">
        <x:v>Ten construction technology programs</x:v>
      </x:c>
      <x:c r="C2" s="42"/>
      <x:c r="D2" s="42"/>
      <x:c r="E2" s="42"/>
      <x:c r="F2" s="42"/>
      <x:c r="G2" s="42"/>
    </x:row>
    <x:row r="3">
      <x:c r="B3" s="43" t="str">
        <x:v>The USD 125M allocation is cross-classified within RAP-1 research and is not added to RAC-1 capital.</x:v>
      </x:c>
      <x:c r="C3" s="42"/>
      <x:c r="D3" s="42"/>
      <x:c r="E3" s="42"/>
      <x:c r="F3" s="42"/>
      <x:c r="G3" s="42"/>
    </x:row>
    <x:row r="4">
      <x:c r="B4" s="42"/>
      <x:c r="C4" s="42"/>
      <x:c r="D4" s="42"/>
      <x:c r="E4" s="42"/>
      <x:c r="F4" s="42"/>
      <x:c r="G4" s="42"/>
    </x:row>
    <x:row r="5">
      <x:c r="B5" s="42"/>
      <x:c r="C5" s="42"/>
      <x:c r="D5" s="42"/>
      <x:c r="E5" s="42"/>
      <x:c r="F5" s="42"/>
      <x:c r="G5" s="42"/>
    </x:row>
    <x:row r="6" ht="25" customHeight="1">
      <x:c r="B6" s="6" t="str">
        <x:v>Program</x:v>
      </x:c>
      <x:c r="C6" s="6" t="str">
        <x:v>Capability</x:v>
      </x:c>
      <x:c r="D6" s="6" t="str">
        <x:v>USD M</x:v>
      </x:c>
      <x:c r="E6" s="6" t="str">
        <x:v>Required advance</x:v>
      </x:c>
      <x:c r="F6" s="6" t="str">
        <x:v>Maturation</x:v>
      </x:c>
      <x:c r="G6" s="6" t="str">
        <x:v>State</x:v>
      </x:c>
    </x:row>
    <x:row r="7" ht="42" customHeight="1">
      <x:c r="B7" s="44" t="str">
        <x:v>TC-01</x:v>
      </x:c>
      <x:c r="C7" s="44" t="str">
        <x:v>automated bore metrology</x:v>
      </x:c>
      <x:c r="D7" s="71" t="n">
        <x:v>15</x:v>
      </x:c>
      <x:c r="E7" s="45" t="str">
        <x:v>map diameter, ovality, step and port depth through the complete line</x:v>
      </x:c>
      <x:c r="F7" s="44" t="str">
        <x:v>stage 3 to 6</x:v>
      </x:c>
      <x:c r="G7" s="44" t="str">
        <x:v>OPEN</x:v>
      </x:c>
    </x:row>
    <x:row r="8" ht="42" customHeight="1">
      <x:c r="B8" s="44" t="str">
        <x:v>TC-02</x:v>
      </x:c>
      <x:c r="C8" s="44" t="str">
        <x:v>surface-state mapping</x:v>
      </x:c>
      <x:c r="D8" s="71" t="n">
        <x:v>12</x:v>
      </x:c>
      <x:c r="E8" s="45" t="str">
        <x:v>measure roughness and wetting state without destructive access</x:v>
      </x:c>
      <x:c r="F8" s="44" t="str">
        <x:v>stage 2 to 5</x:v>
      </x:c>
      <x:c r="G8" s="44" t="str">
        <x:v>OPEN</x:v>
      </x:c>
    </x:row>
    <x:row r="9" ht="42" customHeight="1">
      <x:c r="B9" s="44" t="str">
        <x:v>TC-03</x:v>
      </x:c>
      <x:c r="C9" s="44" t="str">
        <x:v>double-barrier cartridge joint</x:v>
      </x:c>
      <x:c r="D9" s="71" t="n">
        <x:v>18</x:v>
      </x:c>
      <x:c r="E9" s="45" t="str">
        <x:v>reusable keyed joint with monitored interspace and low trapped volume</x:v>
      </x:c>
      <x:c r="F9" s="44" t="str">
        <x:v>stage 3 to 7</x:v>
      </x:c>
      <x:c r="G9" s="44" t="str">
        <x:v>OPEN</x:v>
      </x:c>
    </x:row>
    <x:row r="10" ht="42" customHeight="1">
      <x:c r="B10" s="44" t="str">
        <x:v>TC-04</x:v>
      </x:c>
      <x:c r="C10" s="44" t="str">
        <x:v>weld execution twin</x:v>
      </x:c>
      <x:c r="D10" s="71" t="n">
        <x:v>12</x:v>
      </x:c>
      <x:c r="E10" s="45" t="str">
        <x:v>join current, voltage, travel, purge and geometry into a predictive record</x:v>
      </x:c>
      <x:c r="F10" s="44" t="str">
        <x:v>stage 3 to 6</x:v>
      </x:c>
      <x:c r="G10" s="44" t="str">
        <x:v>OPEN</x:v>
      </x:c>
    </x:row>
    <x:row r="11" ht="42" customHeight="1">
      <x:c r="B11" s="44" t="str">
        <x:v>TC-05</x:v>
      </x:c>
      <x:c r="C11" s="44" t="str">
        <x:v>passive-safe actuation</x:v>
      </x:c>
      <x:c r="D11" s="71" t="n">
        <x:v>18</x:v>
      </x:c>
      <x:c r="E11" s="45" t="str">
        <x:v>high-cycle spring release with measurable stored-work margin</x:v>
      </x:c>
      <x:c r="F11" s="44" t="str">
        <x:v>stage 3 to 7</x:v>
      </x:c>
      <x:c r="G11" s="44" t="str">
        <x:v>OPEN</x:v>
      </x:c>
    </x:row>
    <x:row r="12" ht="42" customHeight="1">
      <x:c r="B12" s="44" t="str">
        <x:v>TC-06</x:v>
      </x:c>
      <x:c r="C12" s="44" t="str">
        <x:v>mechanical final-state memory</x:v>
      </x:c>
      <x:c r="D12" s="71" t="n">
        <x:v>10</x:v>
      </x:c>
      <x:c r="E12" s="45" t="str">
        <x:v>retain direct element state through total energy loss</x:v>
      </x:c>
      <x:c r="F12" s="44" t="str">
        <x:v>stage 3 to 6</x:v>
      </x:c>
      <x:c r="G12" s="44" t="str">
        <x:v>OPEN</x:v>
      </x:c>
    </x:row>
    <x:row r="13" ht="42" customHeight="1">
      <x:c r="B13" s="44" t="str">
        <x:v>TC-07</x:v>
      </x:c>
      <x:c r="C13" s="44" t="str">
        <x:v>low-state energy autonomy</x:v>
      </x:c>
      <x:c r="D13" s="71" t="n">
        <x:v>8</x:v>
      </x:c>
      <x:c r="E13" s="45" t="str">
        <x:v>support time, evidence and sensing at a measured partial charge</x:v>
      </x:c>
      <x:c r="F13" s="44" t="str">
        <x:v>stage 4 to 7</x:v>
      </x:c>
      <x:c r="G13" s="44" t="str">
        <x:v>OPEN</x:v>
      </x:c>
    </x:row>
    <x:row r="14" ht="42" customHeight="1">
      <x:c r="B14" s="44" t="str">
        <x:v>TC-08</x:v>
      </x:c>
      <x:c r="C14" s="44" t="str">
        <x:v>evidence-native sensor mounts</x:v>
      </x:c>
      <x:c r="D14" s="71" t="n">
        <x:v>10</x:v>
      </x:c>
      <x:c r="E14" s="45" t="str">
        <x:v>bind physical location, calibration and configuration at installation</x:v>
      </x:c>
      <x:c r="F14" s="44" t="str">
        <x:v>stage 3 to 6</x:v>
      </x:c>
      <x:c r="G14" s="44" t="str">
        <x:v>OPEN</x:v>
      </x:c>
    </x:row>
    <x:row r="15" ht="42" customHeight="1">
      <x:c r="B15" s="44" t="str">
        <x:v>TC-09</x:v>
      </x:c>
      <x:c r="C15" s="44" t="str">
        <x:v>robotic internal inspection</x:v>
      </x:c>
      <x:c r="D15" s="71" t="n">
        <x:v>12</x:v>
      </x:c>
      <x:c r="E15" s="45" t="str">
        <x:v>inspect twelve metres after joining and before service</x:v>
      </x:c>
      <x:c r="F15" s="44" t="str">
        <x:v>stage 3 to 6</x:v>
      </x:c>
      <x:c r="G15" s="44" t="str">
        <x:v>OPEN</x:v>
      </x:c>
    </x:row>
    <x:row r="16" ht="42" customHeight="1">
      <x:c r="B16" s="44" t="str">
        <x:v>TC-10</x:v>
      </x:c>
      <x:c r="C16" s="44" t="str">
        <x:v>machine-reproducible build compiler</x:v>
      </x:c>
      <x:c r="D16" s="71" t="n">
        <x:v>10</x:v>
      </x:c>
      <x:c r="E16" s="45" t="str">
        <x:v>compile drawings, lots, travelers, NDE and release predicates</x:v>
      </x:c>
      <x:c r="F16" s="44" t="str">
        <x:v>stage 2 to 6</x:v>
      </x:c>
      <x:c r="G16" s="44" t="str">
        <x:v>OPEN</x:v>
      </x:c>
    </x:row>
    <x:row r="17">
      <x:c r="B17" s="42"/>
      <x:c r="C17" s="42"/>
      <x:c r="D17" s="72"/>
      <x:c r="E17" s="42"/>
      <x:c r="F17" s="42"/>
      <x:c r="G17" s="42"/>
    </x:row>
    <x:row r="18">
      <x:c r="B18" s="67" t="str">
        <x:v>TOTAL</x:v>
      </x:c>
      <x:c r="C18" s="68" t="str"/>
      <x:c r="D18" s="73" t="n">
        <x:f>SUM(D7:D16)</x:f>
        <x:v>125</x:v>
      </x:c>
      <x:c r="E18" s="68" t="str">
        <x:v>cross-classified research allocation</x:v>
      </x:c>
      <x:c r="F18" s="68" t="str"/>
      <x:c r="G18" s="70" t="str"/>
    </x:row>
  </x:sheetData>
  <x:conditionalFormatting sqref="G7:G16">
    <x:cfRule type="containsText" dxfId="105" priority="1" operator="containsText" text="FAIL"/>
    <x:cfRule type="containsText" dxfId="106" priority="2" operator="containsText" text="BLOCKED"/>
    <x:cfRule type="containsText" dxfId="107" priority="3" operator="containsText" text="OPEN"/>
    <x:cfRule type="containsText" dxfId="108" priority="4" operator="containsText" text="PASS"/>
    <x:cfRule type="containsText" dxfId="109" priority="5" operator="containsText" text="PLANNED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0" hidden="0" customWidth="1"/>
    <x:col min="4" max="4" width="17" hidden="0" customWidth="1"/>
    <x:col min="5" max="5" width="16" hidden="0" customWidth="1"/>
    <x:col min="6" max="6" width="73" hidden="0" customWidth="1"/>
    <x:col min="7" max="7" width="15" hidden="0" customWidth="1"/>
  </x:cols>
  <x:sheetData>
    <x:row r="2">
      <x:c r="B2" s="41" t="str">
        <x:v>Eighteen-month construction-definition program</x:v>
      </x:c>
      <x:c r="C2" s="42"/>
      <x:c r="D2" s="42"/>
      <x:c r="E2" s="42"/>
      <x:c r="F2" s="42"/>
      <x:c r="G2" s="42"/>
    </x:row>
    <x:row r="3">
      <x:c r="B3" s="43" t="str">
        <x:v>Parallel work is permitted only where predecessor states remain independently observable.</x:v>
      </x:c>
      <x:c r="C3" s="42"/>
      <x:c r="D3" s="42"/>
      <x:c r="E3" s="42"/>
      <x:c r="F3" s="42"/>
      <x:c r="G3" s="42"/>
    </x:row>
    <x:row r="4">
      <x:c r="B4" s="42"/>
      <x:c r="C4" s="42"/>
      <x:c r="D4" s="42"/>
      <x:c r="E4" s="42"/>
      <x:c r="F4" s="42"/>
      <x:c r="G4" s="42"/>
    </x:row>
    <x:row r="5">
      <x:c r="B5" s="42"/>
      <x:c r="C5" s="42"/>
      <x:c r="D5" s="42"/>
      <x:c r="E5" s="42"/>
      <x:c r="F5" s="42"/>
      <x:c r="G5" s="42"/>
    </x:row>
    <x:row r="6" ht="25" customHeight="1">
      <x:c r="B6" s="6" t="str">
        <x:v>Package</x:v>
      </x:c>
      <x:c r="C6" s="6" t="str">
        <x:v>Work</x:v>
      </x:c>
      <x:c r="D6" s="6" t="str">
        <x:v>Start month</x:v>
      </x:c>
      <x:c r="E6" s="6" t="str">
        <x:v>End month</x:v>
      </x:c>
      <x:c r="F6" s="6" t="str">
        <x:v>Exit object</x:v>
      </x:c>
      <x:c r="G6" s="6" t="str">
        <x:v>State</x:v>
      </x:c>
    </x:row>
    <x:row r="7" ht="40" customHeight="1">
      <x:c r="B7" s="44" t="str">
        <x:v>WP-01</x:v>
      </x:c>
      <x:c r="C7" s="44" t="str">
        <x:v>authority and interface freeze</x:v>
      </x:c>
      <x:c r="D7" s="44" t="n">
        <x:v>1</x:v>
      </x:c>
      <x:c r="E7" s="44" t="n">
        <x:v>2</x:v>
      </x:c>
      <x:c r="F7" s="45" t="str">
        <x:v>accepted coordinate, state and authority definitions</x:v>
      </x:c>
      <x:c r="G7" s="44" t="str">
        <x:v>PLANNED</x:v>
      </x:c>
    </x:row>
    <x:row r="8" ht="40" customHeight="1">
      <x:c r="B8" s="44" t="str">
        <x:v>WP-02</x:v>
      </x:c>
      <x:c r="C8" s="44" t="str">
        <x:v>common drawing baseline</x:v>
      </x:c>
      <x:c r="D8" s="44" t="n">
        <x:v>2</x:v>
      </x:c>
      <x:c r="E8" s="44" t="n">
        <x:v>6</x:v>
      </x:c>
      <x:c r="F8" s="45" t="str">
        <x:v>S0, S1, S5, S6 and S7 controlled sheets</x:v>
      </x:c>
      <x:c r="G8" s="44" t="str">
        <x:v>PLANNED</x:v>
      </x:c>
    </x:row>
    <x:row r="9" ht="40" customHeight="1">
      <x:c r="B9" s="44" t="str">
        <x:v>WP-03</x:v>
      </x:c>
      <x:c r="C9" s="44" t="str">
        <x:v>BL-X wetted definition</x:v>
      </x:c>
      <x:c r="D9" s="44" t="n">
        <x:v>3</x:v>
      </x:c>
      <x:c r="E9" s="44" t="n">
        <x:v>8</x:v>
      </x:c>
      <x:c r="F9" s="45" t="str">
        <x:v>fused path drawings and process windows</x:v>
      </x:c>
      <x:c r="G9" s="44" t="str">
        <x:v>PLANNED</x:v>
      </x:c>
    </x:row>
    <x:row r="10" ht="40" customHeight="1">
      <x:c r="B10" s="44" t="str">
        <x:v>WP-04</x:v>
      </x:c>
      <x:c r="C10" s="44" t="str">
        <x:v>BL-Y wetted definition</x:v>
      </x:c>
      <x:c r="D10" s="44" t="n">
        <x:v>3</x:v>
      </x:c>
      <x:c r="E10" s="44" t="n">
        <x:v>9</x:v>
      </x:c>
      <x:c r="F10" s="45" t="str">
        <x:v>cartridge path drawings and preload windows</x:v>
      </x:c>
      <x:c r="G10" s="44" t="str">
        <x:v>PLANNED</x:v>
      </x:c>
    </x:row>
    <x:row r="11" ht="40" customHeight="1">
      <x:c r="B11" s="44" t="str">
        <x:v>WP-05</x:v>
      </x:c>
      <x:c r="C11" s="44" t="str">
        <x:v>joint and material qualification</x:v>
      </x:c>
      <x:c r="D11" s="44" t="n">
        <x:v>4</x:v>
      </x:c>
      <x:c r="E11" s="44" t="n">
        <x:v>12</x:v>
      </x:c>
      <x:c r="F11" s="45" t="str">
        <x:v>lot splits, coupons and joint evidence plans</x:v>
      </x:c>
      <x:c r="G11" s="44" t="str">
        <x:v>PLANNED</x:v>
      </x:c>
    </x:row>
    <x:row r="12" ht="40" customHeight="1">
      <x:c r="B12" s="44" t="str">
        <x:v>WP-06</x:v>
      </x:c>
      <x:c r="C12" s="44" t="str">
        <x:v>surface and recovery definition</x:v>
      </x:c>
      <x:c r="D12" s="44" t="n">
        <x:v>5</x:v>
      </x:c>
      <x:c r="E12" s="44" t="n">
        <x:v>12</x:v>
      </x:c>
      <x:c r="F12" s="45" t="str">
        <x:v>surface bands, port volumes and drain constitution</x:v>
      </x:c>
      <x:c r="G12" s="44" t="str">
        <x:v>PLANNED</x:v>
      </x:c>
    </x:row>
    <x:row r="13" ht="40" customHeight="1">
      <x:c r="B13" s="44" t="str">
        <x:v>WP-07</x:v>
      </x:c>
      <x:c r="C13" s="44" t="str">
        <x:v>safeing and energy definition</x:v>
      </x:c>
      <x:c r="D13" s="44" t="n">
        <x:v>5</x:v>
      </x:c>
      <x:c r="E13" s="44" t="n">
        <x:v>13</x:v>
      </x:c>
      <x:c r="F13" s="45" t="str">
        <x:v>twelve final elements and low-state energy closure</x:v>
      </x:c>
      <x:c r="G13" s="44" t="str">
        <x:v>PLANNED</x:v>
      </x:c>
    </x:row>
    <x:row r="14" ht="40" customHeight="1">
      <x:c r="B14" s="44" t="str">
        <x:v>WP-08</x:v>
      </x:c>
      <x:c r="C14" s="44" t="str">
        <x:v>measurement and time definition</x:v>
      </x:c>
      <x:c r="D14" s="44" t="n">
        <x:v>6</x:v>
      </x:c>
      <x:c r="E14" s="44" t="n">
        <x:v>13</x:v>
      </x:c>
      <x:c r="F14" s="45" t="str">
        <x:v>twenty-four interface families and evidence roots</x:v>
      </x:c>
      <x:c r="G14" s="44" t="str">
        <x:v>PLANNED</x:v>
      </x:c>
    </x:row>
    <x:row r="15" ht="40" customHeight="1">
      <x:c r="B15" s="44" t="str">
        <x:v>WP-09</x:v>
      </x:c>
      <x:c r="C15" s="44" t="str">
        <x:v>tolerance closure</x:v>
      </x:c>
      <x:c r="D15" s="44" t="n">
        <x:v>7</x:v>
      </x:c>
      <x:c r="E15" s="44" t="n">
        <x:v>14</x:v>
      </x:c>
      <x:c r="F15" s="45" t="str">
        <x:v>forty-eight accepted planning stacks</x:v>
      </x:c>
      <x:c r="G15" s="44" t="str">
        <x:v>PLANNED</x:v>
      </x:c>
    </x:row>
    <x:row r="16" ht="40" customHeight="1">
      <x:c r="B16" s="44" t="str">
        <x:v>WP-10</x:v>
      </x:c>
      <x:c r="C16" s="44" t="str">
        <x:v>traveler compiler</x:v>
      </x:c>
      <x:c r="D16" s="44" t="n">
        <x:v>8</x:v>
      </x:c>
      <x:c r="E16" s="44" t="n">
        <x:v>15</x:v>
      </x:c>
      <x:c r="F16" s="45" t="str">
        <x:v>three hundred sixty controlled section travelers</x:v>
      </x:c>
      <x:c r="G16" s="44" t="str">
        <x:v>PLANNED</x:v>
      </x:c>
    </x:row>
    <x:row r="17" ht="40" customHeight="1">
      <x:c r="B17" s="44" t="str">
        <x:v>WP-11</x:v>
      </x:c>
      <x:c r="C17" s="44" t="str">
        <x:v>build-release rehearsal</x:v>
      </x:c>
      <x:c r="D17" s="44" t="n">
        <x:v>13</x:v>
      </x:c>
      <x:c r="E17" s="44" t="n">
        <x:v>17</x:v>
      </x:c>
      <x:c r="F17" s="45" t="str">
        <x:v>two lineage mock releases and denial exercises</x:v>
      </x:c>
      <x:c r="G17" s="44" t="str">
        <x:v>PLANNED</x:v>
      </x:c>
    </x:row>
    <x:row r="18" ht="40" customHeight="1">
      <x:c r="B18" s="44" t="str">
        <x:v>WP-12</x:v>
      </x:c>
      <x:c r="C18" s="44" t="str">
        <x:v>configuration board</x:v>
      </x:c>
      <x:c r="D18" s="44" t="n">
        <x:v>18</x:v>
      </x:c>
      <x:c r="E18" s="44" t="n">
        <x:v>18</x:v>
      </x:c>
      <x:c r="F18" s="45" t="str">
        <x:v>RAC-1 package decision; physical authority remains withheld</x:v>
      </x:c>
      <x:c r="G18" s="44" t="str">
        <x:v>PLANNED</x:v>
      </x:c>
    </x:row>
  </x:sheetData>
  <x:conditionalFormatting sqref="G7:G18">
    <x:cfRule type="containsText" dxfId="110" priority="1" operator="containsText" text="FAIL"/>
    <x:cfRule type="containsText" dxfId="111" priority="2" operator="containsText" text="BLOCKED"/>
    <x:cfRule type="containsText" dxfId="112" priority="3" operator="containsText" text="OPEN"/>
    <x:cfRule type="containsText" dxfId="113" priority="4" operator="containsText" text="PASS"/>
    <x:cfRule type="containsText" dxfId="114" priority="5" operator="containsText" text="PLANNED"/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4" hidden="0" customWidth="1"/>
    <x:col min="4" max="4" width="16" hidden="0" customWidth="1"/>
    <x:col min="5" max="5" width="70" hidden="0" customWidth="1"/>
    <x:col min="6" max="6" width="15" hidden="0" customWidth="1"/>
  </x:cols>
  <x:sheetData>
    <x:row r="2">
      <x:c r="B2" s="41" t="str">
        <x:v>Eight unavailable downstream releases</x:v>
      </x:c>
      <x:c r="C2" s="42"/>
      <x:c r="D2" s="42"/>
      <x:c r="E2" s="42"/>
      <x:c r="F2" s="42"/>
    </x:row>
    <x:row r="3">
      <x:c r="B3" s="43" t="str">
        <x:v>RAC-1 provides construction definition only. No physical or downstream authority is created by planning completion.</x:v>
      </x:c>
      <x:c r="C3" s="42"/>
      <x:c r="D3" s="42"/>
      <x:c r="E3" s="42"/>
      <x:c r="F3" s="42"/>
    </x:row>
    <x:row r="4">
      <x:c r="B4" s="42"/>
      <x:c r="C4" s="42"/>
      <x:c r="D4" s="42"/>
      <x:c r="E4" s="42"/>
      <x:c r="F4" s="42"/>
    </x:row>
    <x:row r="5">
      <x:c r="B5" s="42"/>
      <x:c r="C5" s="42"/>
      <x:c r="D5" s="42"/>
      <x:c r="E5" s="42"/>
      <x:c r="F5" s="42"/>
    </x:row>
    <x:row r="6" ht="25" customHeight="1">
      <x:c r="B6" s="6" t="str">
        <x:v>Gate</x:v>
      </x:c>
      <x:c r="C6" s="6" t="str">
        <x:v>Decision</x:v>
      </x:c>
      <x:c r="D6" s="6" t="str">
        <x:v>Authority</x:v>
      </x:c>
      <x:c r="E6" s="6" t="str">
        <x:v>Required evidence</x:v>
      </x:c>
      <x:c r="F6" s="6" t="str">
        <x:v>State</x:v>
      </x:c>
    </x:row>
    <x:row r="7" ht="40" customHeight="1">
      <x:c r="B7" s="44" t="str">
        <x:v>RG-01</x:v>
      </x:c>
      <x:c r="C7" s="44" t="str">
        <x:v>controlled drawing issue</x:v>
      </x:c>
      <x:c r="D7" s="44" t="n">
        <x:f>'Controls'!$D$75</x:f>
        <x:v>0</x:v>
      </x:c>
      <x:c r="E7" s="45" t="str">
        <x:v>ninety-six accepted sheets and effect review</x:v>
      </x:c>
      <x:c r="F7" s="44" t="str">
        <x:f>IF(D7=1,"OPEN","BLOCKED")</x:f>
        <x:v>BLOCKED</x:v>
      </x:c>
    </x:row>
    <x:row r="8" ht="40" customHeight="1">
      <x:c r="B8" s="44" t="str">
        <x:v>RG-02</x:v>
      </x:c>
      <x:c r="C8" s="44" t="str">
        <x:v>first article fabrication</x:v>
      </x:c>
      <x:c r="D8" s="44" t="n">
        <x:f>'Controls'!$D$75</x:f>
        <x:v>0</x:v>
      </x:c>
      <x:c r="E8" s="45" t="str">
        <x:v>drawing, lot, process and fixture release</x:v>
      </x:c>
      <x:c r="F8" s="44" t="str">
        <x:f>IF(D8=1,"OPEN","BLOCKED")</x:f>
        <x:v>BLOCKED</x:v>
      </x:c>
    </x:row>
    <x:row r="9" ht="40" customHeight="1">
      <x:c r="B9" s="44" t="str">
        <x:v>RG-03</x:v>
      </x:c>
      <x:c r="C9" s="44" t="str">
        <x:v>article build release</x:v>
      </x:c>
      <x:c r="D9" s="44" t="n">
        <x:f>'Controls'!$D$76</x:f>
        <x:v>0</x:v>
      </x:c>
      <x:c r="E9" s="45" t="str">
        <x:v>sixteen accepted gates on one serialized article</x:v>
      </x:c>
      <x:c r="F9" s="44" t="str">
        <x:f>IF(D9=1,"OPEN","BLOCKED")</x:f>
        <x:v>BLOCKED</x:v>
      </x:c>
    </x:row>
    <x:row r="10" ht="40" customHeight="1">
      <x:c r="B10" s="44" t="str">
        <x:v>RG-04</x:v>
      </x:c>
      <x:c r="C10" s="44" t="str">
        <x:v>six-article operational set</x:v>
      </x:c>
      <x:c r="D10" s="44" t="n">
        <x:f>'Controls'!$D$77</x:f>
        <x:v>0</x:v>
      </x:c>
      <x:c r="E10" s="45" t="str">
        <x:v>six individually accepted operational articles</x:v>
      </x:c>
      <x:c r="F10" s="44" t="str">
        <x:f>IF(D10=1,"OPEN","BLOCKED")</x:f>
        <x:v>BLOCKED</x:v>
      </x:c>
    </x:row>
    <x:row r="11" ht="40" customHeight="1">
      <x:c r="B11" s="44" t="str">
        <x:v>RG-05</x:v>
      </x:c>
      <x:c r="C11" s="44" t="str">
        <x:v>RAP-1 physical campaign</x:v>
      </x:c>
      <x:c r="D11" s="44" t="n">
        <x:f>'Controls'!$D$77</x:f>
        <x:v>0</x:v>
      </x:c>
      <x:c r="E11" s="45" t="str">
        <x:v>accepted article bank, instruments and safeing paths</x:v>
      </x:c>
      <x:c r="F11" s="44" t="str">
        <x:f>IF(D11=1,"OPEN","BLOCKED")</x:f>
        <x:v>BLOCKED</x:v>
      </x:c>
    </x:row>
    <x:row r="12" ht="40" customHeight="1">
      <x:c r="B12" s="44" t="str">
        <x:v>RG-06</x:v>
      </x:c>
      <x:c r="C12" s="44" t="str">
        <x:v>QE-01 issue</x:v>
      </x:c>
      <x:c r="D12" s="44" t="n">
        <x:f>'Controls'!$D$78</x:f>
        <x:v>0</x:v>
      </x:c>
      <x:c r="E12" s="45" t="str">
        <x:v>event dossier and downstream issuer</x:v>
      </x:c>
      <x:c r="F12" s="44" t="str">
        <x:f>IF(D12=1,"OPEN","BLOCKED")</x:f>
        <x:v>BLOCKED</x:v>
      </x:c>
    </x:row>
    <x:row r="13" ht="40" customHeight="1">
      <x:c r="B13" s="44" t="str">
        <x:v>RG-07</x:v>
      </x:c>
      <x:c r="C13" s="44" t="str">
        <x:v>candidate or production entry</x:v>
      </x:c>
      <x:c r="D13" s="44" t="n">
        <x:f>'Controls'!$D$78</x:f>
        <x:v>0</x:v>
      </x:c>
      <x:c r="E13" s="45" t="str">
        <x:v>method, candidate and industrial evidence</x:v>
      </x:c>
      <x:c r="F13" s="44" t="str">
        <x:f>IF(D13=1,"OPEN","BLOCKED")</x:f>
        <x:v>BLOCKED</x:v>
      </x:c>
    </x:row>
    <x:row r="14" ht="40" customHeight="1">
      <x:c r="B14" s="44" t="str">
        <x:v>RG-08</x:v>
      </x:c>
      <x:c r="C14" s="44" t="str">
        <x:v>exterior rendering</x:v>
      </x:c>
      <x:c r="D14" s="44" t="n">
        <x:f>'Controls'!$D$79</x:f>
        <x:v>0</x:v>
      </x:c>
      <x:c r="E14" s="45" t="str">
        <x:v>candidate mobility, crew, access and field configuration</x:v>
      </x:c>
      <x:c r="F14" s="44" t="str">
        <x:f>IF(D14=1,"OPEN","BLOCKED")</x:f>
        <x:v>BLOCKED</x:v>
      </x:c>
    </x:row>
  </x:sheetData>
  <x:conditionalFormatting sqref="F7:F14">
    <x:cfRule type="containsText" dxfId="115" priority="1" operator="containsText" text="FAIL"/>
    <x:cfRule type="containsText" dxfId="116" priority="2" operator="containsText" text="BLOCKED"/>
    <x:cfRule type="containsText" dxfId="117" priority="3" operator="containsText" text="OPEN"/>
    <x:cfRule type="containsText" dxfId="118" priority="4" operator="containsText" text="PASS"/>
    <x:cfRule type="containsText" dxfId="119" priority="5" operator="containsText" text="PLANNED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4" hidden="0" customWidth="1"/>
    <x:col min="3" max="3" width="17" hidden="0" customWidth="1"/>
    <x:col min="4" max="4" width="48" hidden="0" customWidth="1"/>
    <x:col min="5" max="5" width="22" hidden="0" customWidth="1"/>
    <x:col min="6" max="6" width="22" hidden="0" customWidth="1"/>
    <x:col min="7" max="7" width="14" hidden="0" customWidth="1"/>
  </x:cols>
  <x:sheetData>
    <x:row r="2">
      <x:c r="B2" s="41" t="str">
        <x:v>One hundred twenty construction assertions</x:v>
      </x:c>
      <x:c r="C2" s="42"/>
      <x:c r="D2" s="42"/>
      <x:c r="E2" s="42"/>
      <x:c r="F2" s="42"/>
      <x:c r="G2" s="42"/>
    </x:row>
    <x:row r="3">
      <x:c r="B3" s="43" t="str">
        <x:v>PASS establishes workbook coherence only. It cannot issue a drawing, release fabrication or accept a physical article.</x:v>
      </x:c>
      <x:c r="C3" s="42"/>
      <x:c r="D3" s="42"/>
      <x:c r="E3" s="42"/>
      <x:c r="F3" s="42"/>
      <x:c r="G3" s="42"/>
    </x:row>
    <x:row r="4">
      <x:c r="B4" s="42"/>
      <x:c r="C4" s="42"/>
      <x:c r="D4" s="42"/>
      <x:c r="E4" s="42"/>
      <x:c r="F4" s="42"/>
      <x:c r="G4" s="42"/>
    </x:row>
    <x:row r="5">
      <x:c r="B5" s="42"/>
      <x:c r="C5" s="42"/>
      <x:c r="D5" s="42"/>
      <x:c r="E5" s="42"/>
      <x:c r="F5" s="42"/>
      <x:c r="G5" s="42"/>
    </x:row>
    <x:row r="6" ht="25" customHeight="1">
      <x:c r="B6" s="6" t="str">
        <x:v>Assertion</x:v>
      </x:c>
      <x:c r="C6" s="6" t="str">
        <x:v>Class</x:v>
      </x:c>
      <x:c r="D6" s="6" t="str">
        <x:v>Subject</x:v>
      </x:c>
      <x:c r="E6" s="6" t="str">
        <x:v>Actual</x:v>
      </x:c>
      <x:c r="F6" s="6" t="str">
        <x:v>Expected</x:v>
      </x:c>
      <x:c r="G6" s="6" t="str">
        <x:v>State</x:v>
      </x:c>
    </x:row>
    <x:row r="7">
      <x:c r="B7" s="44" t="str">
        <x:v>H01</x:v>
      </x:c>
      <x:c r="C7" s="44" t="str">
        <x:v>headline</x:v>
      </x:c>
      <x:c r="D7" s="44" t="str">
        <x:v>sheet count</x:v>
      </x:c>
      <x:c r="E7" s="44" t="n">
        <x:f>42</x:f>
        <x:v>42</x:v>
      </x:c>
      <x:c r="F7" s="44" t="n">
        <x:v>42</x:v>
      </x:c>
      <x:c r="G7" s="44" t="str">
        <x:f>IF(AND(ISNUMBER(E7),ISNUMBER(F7)),IF(ABS(E7-F7)&lt;0.000001,"PASS","FAIL"),IF(E7=F7,"PASS","FAIL"))</x:f>
        <x:v>PASS</x:v>
      </x:c>
    </x:row>
    <x:row r="8">
      <x:c r="B8" s="44" t="str">
        <x:v>H02</x:v>
      </x:c>
      <x:c r="C8" s="44" t="str">
        <x:v>headline</x:v>
      </x:c>
      <x:c r="D8" s="44" t="str">
        <x:v>controls</x:v>
      </x:c>
      <x:c r="E8" s="44" t="n">
        <x:f>COUNTA('Controls'!B7:B79)</x:f>
        <x:v>73</x:v>
      </x:c>
      <x:c r="F8" s="44" t="n">
        <x:v>73</x:v>
      </x:c>
      <x:c r="G8" s="44" t="str">
        <x:f>IF(AND(ISNUMBER(E8),ISNUMBER(F8)),IF(ABS(E8-F8)&lt;0.000001,"PASS","FAIL"),IF(E8=F8,"PASS","FAIL"))</x:f>
        <x:v>PASS</x:v>
      </x:c>
    </x:row>
    <x:row r="9">
      <x:c r="B9" s="44" t="str">
        <x:v>H03</x:v>
      </x:c>
      <x:c r="C9" s="44" t="str">
        <x:v>headline</x:v>
      </x:c>
      <x:c r="D9" s="44" t="str">
        <x:v>decisions</x:v>
      </x:c>
      <x:c r="E9" s="44" t="n">
        <x:f>COUNTA('Decision Logic'!B7:B18)</x:f>
        <x:v>12</x:v>
      </x:c>
      <x:c r="F9" s="44" t="n">
        <x:v>12</x:v>
      </x:c>
      <x:c r="G9" s="44" t="str">
        <x:f>IF(AND(ISNUMBER(E9),ISNUMBER(F9)),IF(ABS(E9-F9)&lt;0.000001,"PASS","FAIL"),IF(E9=F9,"PASS","FAIL"))</x:f>
        <x:v>PASS</x:v>
      </x:c>
    </x:row>
    <x:row r="10">
      <x:c r="B10" s="44" t="str">
        <x:v>H04</x:v>
      </x:c>
      <x:c r="C10" s="44" t="str">
        <x:v>headline</x:v>
      </x:c>
      <x:c r="D10" s="44" t="str">
        <x:v>article units</x:v>
      </x:c>
      <x:c r="E10" s="44" t="n">
        <x:f>COUNTA('Article Matrix'!B7:B24)</x:f>
        <x:v>18</x:v>
      </x:c>
      <x:c r="F10" s="44" t="n">
        <x:v>18</x:v>
      </x:c>
      <x:c r="G10" s="44" t="str">
        <x:f>IF(AND(ISNUMBER(E10),ISNUMBER(F10)),IF(ABS(E10-F10)&lt;0.000001,"PASS","FAIL"),IF(E10=F10,"PASS","FAIL"))</x:f>
        <x:v>PASS</x:v>
      </x:c>
    </x:row>
    <x:row r="11">
      <x:c r="B11" s="44" t="str">
        <x:v>H05</x:v>
      </x:c>
      <x:c r="C11" s="44" t="str">
        <x:v>headline</x:v>
      </x:c>
      <x:c r="D11" s="44" t="str">
        <x:v>lineages</x:v>
      </x:c>
      <x:c r="E11" s="44" t="n">
        <x:f>COUNTA('Lineages'!B7:B8)</x:f>
        <x:v>2</x:v>
      </x:c>
      <x:c r="F11" s="44" t="n">
        <x:v>2</x:v>
      </x:c>
      <x:c r="G11" s="44" t="str">
        <x:f>IF(AND(ISNUMBER(E11),ISNUMBER(F11)),IF(ABS(E11-F11)&lt;0.000001,"PASS","FAIL"),IF(E11=F11,"PASS","FAIL"))</x:f>
        <x:v>PASS</x:v>
      </x:c>
    </x:row>
    <x:row r="12">
      <x:c r="B12" s="44" t="str">
        <x:v>H06</x:v>
      </x:c>
      <x:c r="C12" s="44" t="str">
        <x:v>headline</x:v>
      </x:c>
      <x:c r="D12" s="44" t="str">
        <x:v>coordinate datums</x:v>
      </x:c>
      <x:c r="E12" s="44" t="n">
        <x:f>COUNTA('Coordinate System'!B7:B22)</x:f>
        <x:v>16</x:v>
      </x:c>
      <x:c r="F12" s="44" t="n">
        <x:v>16</x:v>
      </x:c>
      <x:c r="G12" s="44" t="str">
        <x:f>IF(AND(ISNUMBER(E12),ISNUMBER(F12)),IF(ABS(E12-F12)&lt;0.000001,"PASS","FAIL"),IF(E12=F12,"PASS","FAIL"))</x:f>
        <x:v>PASS</x:v>
      </x:c>
    </x:row>
    <x:row r="13">
      <x:c r="B13" s="44" t="str">
        <x:v>H07</x:v>
      </x:c>
      <x:c r="C13" s="44" t="str">
        <x:v>headline</x:v>
      </x:c>
      <x:c r="D13" s="44" t="str">
        <x:v>deployment states</x:v>
      </x:c>
      <x:c r="E13" s="44" t="n">
        <x:f>COUNTA('Deploy States'!B7:B14)</x:f>
        <x:v>8</x:v>
      </x:c>
      <x:c r="F13" s="44" t="n">
        <x:v>8</x:v>
      </x:c>
      <x:c r="G13" s="44" t="str">
        <x:f>IF(AND(ISNUMBER(E13),ISNUMBER(F13)),IF(ABS(E13-F13)&lt;0.000001,"PASS","FAIL"),IF(E13=F13,"PASS","FAIL"))</x:f>
        <x:v>PASS</x:v>
      </x:c>
    </x:row>
    <x:row r="14">
      <x:c r="B14" s="44" t="str">
        <x:v>H08</x:v>
      </x:c>
      <x:c r="C14" s="44" t="str">
        <x:v>headline</x:v>
      </x:c>
      <x:c r="D14" s="44" t="str">
        <x:v>segment records</x:v>
      </x:c>
      <x:c r="E14" s="44" t="n">
        <x:f>COUNTA('Segment Geometry'!B7:B18)</x:f>
        <x:v>12</x:v>
      </x:c>
      <x:c r="F14" s="44" t="n">
        <x:v>12</x:v>
      </x:c>
      <x:c r="G14" s="44" t="str">
        <x:f>IF(AND(ISNUMBER(E14),ISNUMBER(F14)),IF(ABS(E14-F14)&lt;0.000001,"PASS","FAIL"),IF(E14=F14,"PASS","FAIL"))</x:f>
        <x:v>PASS</x:v>
      </x:c>
    </x:row>
    <x:row r="15">
      <x:c r="B15" s="44" t="str">
        <x:v>H09</x:v>
      </x:c>
      <x:c r="C15" s="44" t="str">
        <x:v>headline</x:v>
      </x:c>
      <x:c r="D15" s="44" t="str">
        <x:v>controlled drawings</x:v>
      </x:c>
      <x:c r="E15" s="44" t="n">
        <x:f>COUNTA('Drawing Register'!B7:B102)</x:f>
        <x:v>96</x:v>
      </x:c>
      <x:c r="F15" s="44" t="n">
        <x:v>96</x:v>
      </x:c>
      <x:c r="G15" s="44" t="str">
        <x:f>IF(AND(ISNUMBER(E15),ISNUMBER(F15)),IF(ABS(E15-F15)&lt;0.000001,"PASS","FAIL"),IF(E15=F15,"PASS","FAIL"))</x:f>
        <x:v>PASS</x:v>
      </x:c>
    </x:row>
    <x:row r="16">
      <x:c r="B16" s="44" t="str">
        <x:v>H10</x:v>
      </x:c>
      <x:c r="C16" s="44" t="str">
        <x:v>headline</x:v>
      </x:c>
      <x:c r="D16" s="44" t="str">
        <x:v>part families</x:v>
      </x:c>
      <x:c r="E16" s="44" t="n">
        <x:f>COUNTA('Part Families'!B7:B78)</x:f>
        <x:v>72</x:v>
      </x:c>
      <x:c r="F16" s="44" t="n">
        <x:v>72</x:v>
      </x:c>
      <x:c r="G16" s="44" t="str">
        <x:f>IF(AND(ISNUMBER(E16),ISNUMBER(F16)),IF(ABS(E16-F16)&lt;0.000001,"PASS","FAIL"),IF(E16=F16,"PASS","FAIL"))</x:f>
        <x:v>PASS</x:v>
      </x:c>
    </x:row>
    <x:row r="17">
      <x:c r="B17" s="44" t="str">
        <x:v>H11</x:v>
      </x:c>
      <x:c r="C17" s="44" t="str">
        <x:v>headline</x:v>
      </x:c>
      <x:c r="D17" s="44" t="str">
        <x:v>mass rows</x:v>
      </x:c>
      <x:c r="E17" s="44" t="n">
        <x:f>COUNTA('Mass Ledger'!B7:B36)</x:f>
        <x:v>30</x:v>
      </x:c>
      <x:c r="F17" s="44" t="n">
        <x:v>30</x:v>
      </x:c>
      <x:c r="G17" s="44" t="str">
        <x:f>IF(AND(ISNUMBER(E17),ISNUMBER(F17)),IF(ABS(E17-F17)&lt;0.000001,"PASS","FAIL"),IF(E17=F17,"PASS","FAIL"))</x:f>
        <x:v>PASS</x:v>
      </x:c>
    </x:row>
    <x:row r="18">
      <x:c r="B18" s="44" t="str">
        <x:v>H12</x:v>
      </x:c>
      <x:c r="C18" s="44" t="str">
        <x:v>headline</x:v>
      </x:c>
      <x:c r="D18" s="44" t="str">
        <x:v>material lot splits</x:v>
      </x:c>
      <x:c r="E18" s="44" t="n">
        <x:f>COUNTA('Material Lots'!B7:B78)</x:f>
        <x:v>72</x:v>
      </x:c>
      <x:c r="F18" s="44" t="n">
        <x:v>72</x:v>
      </x:c>
      <x:c r="G18" s="44" t="str">
        <x:f>IF(AND(ISNUMBER(E18),ISNUMBER(F18)),IF(ABS(E18-F18)&lt;0.000001,"PASS","FAIL"),IF(E18=F18,"PASS","FAIL"))</x:f>
        <x:v>PASS</x:v>
      </x:c>
    </x:row>
    <x:row r="19">
      <x:c r="B19" s="44" t="str">
        <x:v>H13</x:v>
      </x:c>
      <x:c r="C19" s="44" t="str">
        <x:v>headline</x:v>
      </x:c>
      <x:c r="D19" s="44" t="str">
        <x:v>process routes</x:v>
      </x:c>
      <x:c r="E19" s="44" t="n">
        <x:f>COUNTA('Process Routes'!B7:B38)</x:f>
        <x:v>32</x:v>
      </x:c>
      <x:c r="F19" s="44" t="n">
        <x:v>32</x:v>
      </x:c>
      <x:c r="G19" s="44" t="str">
        <x:f>IF(AND(ISNUMBER(E19),ISNUMBER(F19)),IF(ABS(E19-F19)&lt;0.000001,"PASS","FAIL"),IF(E19=F19,"PASS","FAIL"))</x:f>
        <x:v>PASS</x:v>
      </x:c>
    </x:row>
    <x:row r="20">
      <x:c r="B20" s="44" t="str">
        <x:v>H14</x:v>
      </x:c>
      <x:c r="C20" s="44" t="str">
        <x:v>headline</x:v>
      </x:c>
      <x:c r="D20" s="44" t="str">
        <x:v>build travelers</x:v>
      </x:c>
      <x:c r="E20" s="44" t="n">
        <x:f>COUNTA('Build Travelers'!B7:B366)</x:f>
        <x:v>360</x:v>
      </x:c>
      <x:c r="F20" s="44" t="n">
        <x:v>360</x:v>
      </x:c>
      <x:c r="G20" s="44" t="str">
        <x:f>IF(AND(ISNUMBER(E20),ISNUMBER(F20)),IF(ABS(E20-F20)&lt;0.000001,"PASS","FAIL"),IF(E20=F20,"PASS","FAIL"))</x:f>
        <x:v>PASS</x:v>
      </x:c>
    </x:row>
    <x:row r="21">
      <x:c r="B21" s="44" t="str">
        <x:v>H15</x:v>
      </x:c>
      <x:c r="C21" s="44" t="str">
        <x:v>headline</x:v>
      </x:c>
      <x:c r="D21" s="44" t="str">
        <x:v>joint definitions</x:v>
      </x:c>
      <x:c r="E21" s="44" t="n">
        <x:f>COUNTA('Joint Definitions'!B7:B30)</x:f>
        <x:v>24</x:v>
      </x:c>
      <x:c r="F21" s="44" t="n">
        <x:v>24</x:v>
      </x:c>
      <x:c r="G21" s="44" t="str">
        <x:f>IF(AND(ISNUMBER(E21),ISNUMBER(F21)),IF(ABS(E21-F21)&lt;0.000001,"PASS","FAIL"),IF(E21=F21,"PASS","FAIL"))</x:f>
        <x:v>PASS</x:v>
      </x:c>
    </x:row>
    <x:row r="22">
      <x:c r="B22" s="44" t="str">
        <x:v>H16</x:v>
      </x:c>
      <x:c r="C22" s="44" t="str">
        <x:v>headline</x:v>
      </x:c>
      <x:c r="D22" s="44" t="str">
        <x:v>surface records</x:v>
      </x:c>
      <x:c r="E22" s="44" t="n">
        <x:f>COUNTA('Surface State'!B7:B18)</x:f>
        <x:v>12</x:v>
      </x:c>
      <x:c r="F22" s="44" t="n">
        <x:v>12</x:v>
      </x:c>
      <x:c r="G22" s="44" t="str">
        <x:f>IF(AND(ISNUMBER(E22),ISNUMBER(F22)),IF(ABS(E22-F22)&lt;0.000001,"PASS","FAIL"),IF(E22=F22,"PASS","FAIL"))</x:f>
        <x:v>PASS</x:v>
      </x:c>
    </x:row>
    <x:row r="23">
      <x:c r="B23" s="44" t="str">
        <x:v>H17</x:v>
      </x:c>
      <x:c r="C23" s="44" t="str">
        <x:v>headline</x:v>
      </x:c>
      <x:c r="D23" s="44" t="str">
        <x:v>hydraulic cases</x:v>
      </x:c>
      <x:c r="E23" s="44" t="n">
        <x:f>COUNTA('Hydraulic Screen'!B7:B13)</x:f>
        <x:v>7</x:v>
      </x:c>
      <x:c r="F23" s="44" t="n">
        <x:v>7</x:v>
      </x:c>
      <x:c r="G23" s="44" t="str">
        <x:f>IF(AND(ISNUMBER(E23),ISNUMBER(F23)),IF(ABS(E23-F23)&lt;0.000001,"PASS","FAIL"),IF(E23=F23,"PASS","FAIL"))</x:f>
        <x:v>PASS</x:v>
      </x:c>
    </x:row>
    <x:row r="24">
      <x:c r="B24" s="44" t="str">
        <x:v>H18</x:v>
      </x:c>
      <x:c r="C24" s="44" t="str">
        <x:v>headline</x:v>
      </x:c>
      <x:c r="D24" s="44" t="str">
        <x:v>pressure screens</x:v>
      </x:c>
      <x:c r="E24" s="44" t="n">
        <x:f>COUNTA('Pressure Boundary'!B7:B8)</x:f>
        <x:v>2</x:v>
      </x:c>
      <x:c r="F24" s="44" t="n">
        <x:v>2</x:v>
      </x:c>
      <x:c r="G24" s="44" t="str">
        <x:f>IF(AND(ISNUMBER(E24),ISNUMBER(F24)),IF(ABS(E24-F24)&lt;0.000001,"PASS","FAIL"),IF(E24=F24,"PASS","FAIL"))</x:f>
        <x:v>PASS</x:v>
      </x:c>
    </x:row>
    <x:row r="25">
      <x:c r="B25" s="44" t="str">
        <x:v>H19</x:v>
      </x:c>
      <x:c r="C25" s="44" t="str">
        <x:v>headline</x:v>
      </x:c>
      <x:c r="D25" s="44" t="str">
        <x:v>thermal screens</x:v>
      </x:c>
      <x:c r="E25" s="44" t="n">
        <x:f>COUNTA('Thermal Growth'!B7:B8)</x:f>
        <x:v>2</x:v>
      </x:c>
      <x:c r="F25" s="44" t="n">
        <x:v>2</x:v>
      </x:c>
      <x:c r="G25" s="44" t="str">
        <x:f>IF(AND(ISNUMBER(E25),ISNUMBER(F25)),IF(ABS(E25-F25)&lt;0.000001,"PASS","FAIL"),IF(E25=F25,"PASS","FAIL"))</x:f>
        <x:v>PASS</x:v>
      </x:c>
    </x:row>
    <x:row r="26">
      <x:c r="B26" s="44" t="str">
        <x:v>H20</x:v>
      </x:c>
      <x:c r="C26" s="44" t="str">
        <x:v>headline</x:v>
      </x:c>
      <x:c r="D26" s="44" t="str">
        <x:v>safeing elements</x:v>
      </x:c>
      <x:c r="E26" s="44" t="n">
        <x:f>COUNTA('Safeing Elements'!B7:B18)</x:f>
        <x:v>12</x:v>
      </x:c>
      <x:c r="F26" s="44" t="n">
        <x:v>12</x:v>
      </x:c>
      <x:c r="G26" s="44" t="str">
        <x:f>IF(AND(ISNUMBER(E26),ISNUMBER(F26)),IF(ABS(E26-F26)&lt;0.000001,"PASS","FAIL"),IF(E26=F26,"PASS","FAIL"))</x:f>
        <x:v>PASS</x:v>
      </x:c>
    </x:row>
    <x:row r="27">
      <x:c r="B27" s="44" t="str">
        <x:v>H21</x:v>
      </x:c>
      <x:c r="C27" s="44" t="str">
        <x:v>headline</x:v>
      </x:c>
      <x:c r="D27" s="44" t="str">
        <x:v>safeing work rows</x:v>
      </x:c>
      <x:c r="E27" s="44" t="n">
        <x:f>COUNTA('Safeing Work'!B7:B18)</x:f>
        <x:v>12</x:v>
      </x:c>
      <x:c r="F27" s="44" t="n">
        <x:v>12</x:v>
      </x:c>
      <x:c r="G27" s="44" t="str">
        <x:f>IF(AND(ISNUMBER(E27),ISNUMBER(F27)),IF(ABS(E27-F27)&lt;0.000001,"PASS","FAIL"),IF(E27=F27,"PASS","FAIL"))</x:f>
        <x:v>PASS</x:v>
      </x:c>
    </x:row>
    <x:row r="28">
      <x:c r="B28" s="44" t="str">
        <x:v>H22</x:v>
      </x:c>
      <x:c r="C28" s="44" t="str">
        <x:v>headline</x:v>
      </x:c>
      <x:c r="D28" s="44" t="str">
        <x:v>instrument families</x:v>
      </x:c>
      <x:c r="E28" s="44" t="n">
        <x:f>COUNTA('Instrument Interfaces'!B7:B30)</x:f>
        <x:v>24</x:v>
      </x:c>
      <x:c r="F28" s="44" t="n">
        <x:v>24</x:v>
      </x:c>
      <x:c r="G28" s="44" t="str">
        <x:f>IF(AND(ISNUMBER(E28),ISNUMBER(F28)),IF(ABS(E28-F28)&lt;0.000001,"PASS","FAIL"),IF(E28=F28,"PASS","FAIL"))</x:f>
        <x:v>PASS</x:v>
      </x:c>
    </x:row>
    <x:row r="29">
      <x:c r="B29" s="44" t="str">
        <x:v>H23</x:v>
      </x:c>
      <x:c r="C29" s="44" t="str">
        <x:v>headline</x:v>
      </x:c>
      <x:c r="D29" s="44" t="str">
        <x:v>wetted port groups</x:v>
      </x:c>
      <x:c r="E29" s="44" t="n">
        <x:f>COUNTA('Wetted Ports'!B7:B18)</x:f>
        <x:v>12</x:v>
      </x:c>
      <x:c r="F29" s="44" t="n">
        <x:v>12</x:v>
      </x:c>
      <x:c r="G29" s="44" t="str">
        <x:f>IF(AND(ISNUMBER(E29),ISNUMBER(F29)),IF(ABS(E29-F29)&lt;0.000001,"PASS","FAIL"),IF(E29=F29,"PASS","FAIL"))</x:f>
        <x:v>PASS</x:v>
      </x:c>
    </x:row>
    <x:row r="30">
      <x:c r="B30" s="44" t="str">
        <x:v>H24</x:v>
      </x:c>
      <x:c r="C30" s="44" t="str">
        <x:v>headline</x:v>
      </x:c>
      <x:c r="D30" s="44" t="str">
        <x:v>tolerance stacks</x:v>
      </x:c>
      <x:c r="E30" s="44" t="n">
        <x:f>COUNTA('Tolerance Stacks'!B7:B54)</x:f>
        <x:v>48</x:v>
      </x:c>
      <x:c r="F30" s="44" t="n">
        <x:v>48</x:v>
      </x:c>
      <x:c r="G30" s="44" t="str">
        <x:f>IF(AND(ISNUMBER(E30),ISNUMBER(F30)),IF(ABS(E30-F30)&lt;0.000001,"PASS","FAIL"),IF(E30=F30,"PASS","FAIL"))</x:f>
        <x:v>PASS</x:v>
      </x:c>
    </x:row>
    <x:row r="31">
      <x:c r="B31" s="44" t="str">
        <x:v>H25</x:v>
      </x:c>
      <x:c r="C31" s="44" t="str">
        <x:v>headline</x:v>
      </x:c>
      <x:c r="D31" s="44" t="str">
        <x:v>tolerance contributors</x:v>
      </x:c>
      <x:c r="E31" s="44" t="n">
        <x:f>COUNTA('Tolerance Contributors'!B7:B198)</x:f>
        <x:v>192</x:v>
      </x:c>
      <x:c r="F31" s="44" t="n">
        <x:v>192</x:v>
      </x:c>
      <x:c r="G31" s="44" t="str">
        <x:f>IF(AND(ISNUMBER(E31),ISNUMBER(F31)),IF(ABS(E31-F31)&lt;0.000001,"PASS","FAIL"),IF(E31=F31,"PASS","FAIL"))</x:f>
        <x:v>PASS</x:v>
      </x:c>
    </x:row>
    <x:row r="32">
      <x:c r="B32" s="44" t="str">
        <x:v>H26</x:v>
      </x:c>
      <x:c r="C32" s="44" t="str">
        <x:v>headline</x:v>
      </x:c>
      <x:c r="D32" s="44" t="str">
        <x:v>evidence classes</x:v>
      </x:c>
      <x:c r="E32" s="44" t="n">
        <x:f>COUNTA('Evidence Plan'!B7:B18)</x:f>
        <x:v>12</x:v>
      </x:c>
      <x:c r="F32" s="44" t="n">
        <x:v>12</x:v>
      </x:c>
      <x:c r="G32" s="44" t="str">
        <x:f>IF(AND(ISNUMBER(E32),ISNUMBER(F32)),IF(ABS(E32-F32)&lt;0.000001,"PASS","FAIL"),IF(E32=F32,"PASS","FAIL"))</x:f>
        <x:v>PASS</x:v>
      </x:c>
    </x:row>
    <x:row r="33">
      <x:c r="B33" s="44" t="str">
        <x:v>H27</x:v>
      </x:c>
      <x:c r="C33" s="44" t="str">
        <x:v>headline</x:v>
      </x:c>
      <x:c r="D33" s="44" t="str">
        <x:v>nonconformance classes</x:v>
      </x:c>
      <x:c r="E33" s="44" t="n">
        <x:f>COUNTA('Nonconformance Logic'!B7:B18)</x:f>
        <x:v>12</x:v>
      </x:c>
      <x:c r="F33" s="44" t="n">
        <x:v>12</x:v>
      </x:c>
      <x:c r="G33" s="44" t="str">
        <x:f>IF(AND(ISNUMBER(E33),ISNUMBER(F33)),IF(ABS(E33-F33)&lt;0.000001,"PASS","FAIL"),IF(E33=F33,"PASS","FAIL"))</x:f>
        <x:v>PASS</x:v>
      </x:c>
    </x:row>
    <x:row r="34">
      <x:c r="B34" s="44" t="str">
        <x:v>H28</x:v>
      </x:c>
      <x:c r="C34" s="44" t="str">
        <x:v>headline</x:v>
      </x:c>
      <x:c r="D34" s="44" t="str">
        <x:v>build gates</x:v>
      </x:c>
      <x:c r="E34" s="44" t="n">
        <x:f>COUNTA('Build Gates'!B7:B294)</x:f>
        <x:v>288</x:v>
      </x:c>
      <x:c r="F34" s="44" t="n">
        <x:v>288</x:v>
      </x:c>
      <x:c r="G34" s="44" t="str">
        <x:f>IF(AND(ISNUMBER(E34),ISNUMBER(F34)),IF(ABS(E34-F34)&lt;0.000001,"PASS","FAIL"),IF(E34=F34,"PASS","FAIL"))</x:f>
        <x:v>PASS</x:v>
      </x:c>
    </x:row>
    <x:row r="35">
      <x:c r="B35" s="44" t="str">
        <x:v>H29</x:v>
      </x:c>
      <x:c r="C35" s="44" t="str">
        <x:v>headline</x:v>
      </x:c>
      <x:c r="D35" s="44" t="str">
        <x:v>article release rows</x:v>
      </x:c>
      <x:c r="E35" s="44" t="n">
        <x:f>COUNTA('Article Release'!B7:B24)</x:f>
        <x:v>18</x:v>
      </x:c>
      <x:c r="F35" s="44" t="n">
        <x:v>18</x:v>
      </x:c>
      <x:c r="G35" s="44" t="str">
        <x:f>IF(AND(ISNUMBER(E35),ISNUMBER(F35)),IF(ABS(E35-F35)&lt;0.000001,"PASS","FAIL"),IF(E35=F35,"PASS","FAIL"))</x:f>
        <x:v>PASS</x:v>
      </x:c>
    </x:row>
    <x:row r="36">
      <x:c r="B36" s="44" t="str">
        <x:v>H30</x:v>
      </x:c>
      <x:c r="C36" s="44" t="str">
        <x:v>headline</x:v>
      </x:c>
      <x:c r="D36" s="44" t="str">
        <x:v>workforce</x:v>
      </x:c>
      <x:c r="E36" s="44" t="n">
        <x:f>'Workforce'!C20</x:f>
        <x:v>180</x:v>
      </x:c>
      <x:c r="F36" s="44" t="n">
        <x:v>180</x:v>
      </x:c>
      <x:c r="G36" s="44" t="str">
        <x:f>IF(AND(ISNUMBER(E36),ISNUMBER(F36)),IF(ABS(E36-F36)&lt;0.000001,"PASS","FAIL"),IF(E36=F36,"PASS","FAIL"))</x:f>
        <x:v>PASS</x:v>
      </x:c>
    </x:row>
    <x:row r="37">
      <x:c r="B37" s="44" t="str">
        <x:v>H31</x:v>
      </x:c>
      <x:c r="C37" s="44" t="str">
        <x:v>headline</x:v>
      </x:c>
      <x:c r="D37" s="44" t="str">
        <x:v>capital USD M</x:v>
      </x:c>
      <x:c r="E37" s="44" t="n">
        <x:f>'Capital'!C18</x:f>
        <x:v>64</x:v>
      </x:c>
      <x:c r="F37" s="44" t="n">
        <x:v>64</x:v>
      </x:c>
      <x:c r="G37" s="44" t="str">
        <x:f>IF(AND(ISNUMBER(E37),ISNUMBER(F37)),IF(ABS(E37-F37)&lt;0.000001,"PASS","FAIL"),IF(E37=F37,"PASS","FAIL"))</x:f>
        <x:v>PASS</x:v>
      </x:c>
    </x:row>
    <x:row r="38">
      <x:c r="B38" s="44" t="str">
        <x:v>H32</x:v>
      </x:c>
      <x:c r="C38" s="44" t="str">
        <x:v>headline</x:v>
      </x:c>
      <x:c r="D38" s="44" t="str">
        <x:v>annual USD M</x:v>
      </x:c>
      <x:c r="E38" s="44" t="n">
        <x:f>'Annual Support'!C17</x:f>
        <x:v>38</x:v>
      </x:c>
      <x:c r="F38" s="44" t="n">
        <x:v>38</x:v>
      </x:c>
      <x:c r="G38" s="44" t="str">
        <x:f>IF(AND(ISNUMBER(E38),ISNUMBER(F38)),IF(ABS(E38-F38)&lt;0.000001,"PASS","FAIL"),IF(E38=F38,"PASS","FAIL"))</x:f>
        <x:v>PASS</x:v>
      </x:c>
    </x:row>
    <x:row r="39">
      <x:c r="B39" s="44" t="str">
        <x:v>TS-01</x:v>
      </x:c>
      <x:c r="C39" s="44" t="str">
        <x:v>tolerance</x:v>
      </x:c>
      <x:c r="D39" s="44" t="str">
        <x:v>deployed length</x:v>
      </x:c>
      <x:c r="E39" s="44" t="str">
        <x:f>'Tolerance Stacks'!K7</x:f>
        <x:v>PASS</x:v>
      </x:c>
      <x:c r="F39" s="44" t="str">
        <x:v>PASS</x:v>
      </x:c>
      <x:c r="G39" s="44" t="str">
        <x:f>IF(AND(ISNUMBER(E39),ISNUMBER(F39)),IF(ABS(E39-F39)&lt;0.000001,"PASS","FAIL"),IF(E39=F39,"PASS","FAIL"))</x:f>
        <x:v>PASS</x:v>
      </x:c>
    </x:row>
    <x:row r="40">
      <x:c r="B40" s="44" t="str">
        <x:v>TS-02</x:v>
      </x:c>
      <x:c r="C40" s="44" t="str">
        <x:v>tolerance</x:v>
      </x:c>
      <x:c r="D40" s="44" t="str">
        <x:v>bore diameter</x:v>
      </x:c>
      <x:c r="E40" s="44" t="str">
        <x:f>'Tolerance Stacks'!K8</x:f>
        <x:v>PASS</x:v>
      </x:c>
      <x:c r="F40" s="44" t="str">
        <x:v>PASS</x:v>
      </x:c>
      <x:c r="G40" s="44" t="str">
        <x:f>IF(AND(ISNUMBER(E40),ISNUMBER(F40)),IF(ABS(E40-F40)&lt;0.000001,"PASS","FAIL"),IF(E40=F40,"PASS","FAIL"))</x:f>
        <x:v>PASS</x:v>
      </x:c>
    </x:row>
    <x:row r="41">
      <x:c r="B41" s="44" t="str">
        <x:v>TS-03</x:v>
      </x:c>
      <x:c r="C41" s="44" t="str">
        <x:v>tolerance</x:v>
      </x:c>
      <x:c r="D41" s="44" t="str">
        <x:v>endpoint coaxiality</x:v>
      </x:c>
      <x:c r="E41" s="44" t="str">
        <x:f>'Tolerance Stacks'!K9</x:f>
        <x:v>PASS</x:v>
      </x:c>
      <x:c r="F41" s="44" t="str">
        <x:v>PASS</x:v>
      </x:c>
      <x:c r="G41" s="44" t="str">
        <x:f>IF(AND(ISNUMBER(E41),ISNUMBER(F41)),IF(ABS(E41-F41)&lt;0.000001,"PASS","FAIL"),IF(E41=F41,"PASS","FAIL"))</x:f>
        <x:v>PASS</x:v>
      </x:c>
    </x:row>
    <x:row r="42">
      <x:c r="B42" s="44" t="str">
        <x:v>TS-04</x:v>
      </x:c>
      <x:c r="C42" s="44" t="str">
        <x:v>tolerance</x:v>
      </x:c>
      <x:c r="D42" s="44" t="str">
        <x:v>internal joint step</x:v>
      </x:c>
      <x:c r="E42" s="44" t="str">
        <x:f>'Tolerance Stacks'!K10</x:f>
        <x:v>PASS</x:v>
      </x:c>
      <x:c r="F42" s="44" t="str">
        <x:v>PASS</x:v>
      </x:c>
      <x:c r="G42" s="44" t="str">
        <x:f>IF(AND(ISNUMBER(E42),ISNUMBER(F42)),IF(ABS(E42-F42)&lt;0.000001,"PASS","FAIL"),IF(E42=F42,"PASS","FAIL"))</x:f>
        <x:v>PASS</x:v>
      </x:c>
    </x:row>
    <x:row r="43">
      <x:c r="B43" s="44" t="str">
        <x:v>TS-05</x:v>
      </x:c>
      <x:c r="C43" s="44" t="str">
        <x:v>tolerance</x:v>
      </x:c>
      <x:c r="D43" s="44" t="str">
        <x:v>slope error</x:v>
      </x:c>
      <x:c r="E43" s="44" t="str">
        <x:f>'Tolerance Stacks'!K11</x:f>
        <x:v>PASS</x:v>
      </x:c>
      <x:c r="F43" s="44" t="str">
        <x:v>PASS</x:v>
      </x:c>
      <x:c r="G43" s="44" t="str">
        <x:f>IF(AND(ISNUMBER(E43),ISNUMBER(F43)),IF(ABS(E43-F43)&lt;0.000001,"PASS","FAIL"),IF(E43=F43,"PASS","FAIL"))</x:f>
        <x:v>PASS</x:v>
      </x:c>
    </x:row>
    <x:row r="44">
      <x:c r="B44" s="44" t="str">
        <x:v>TS-06</x:v>
      </x:c>
      <x:c r="C44" s="44" t="str">
        <x:v>tolerance</x:v>
      </x:c>
      <x:c r="D44" s="44" t="str">
        <x:v>instrument station position</x:v>
      </x:c>
      <x:c r="E44" s="44" t="str">
        <x:f>'Tolerance Stacks'!K12</x:f>
        <x:v>PASS</x:v>
      </x:c>
      <x:c r="F44" s="44" t="str">
        <x:v>PASS</x:v>
      </x:c>
      <x:c r="G44" s="44" t="str">
        <x:f>IF(AND(ISNUMBER(E44),ISNUMBER(F44)),IF(ABS(E44-F44)&lt;0.000001,"PASS","FAIL"),IF(E44=F44,"PASS","FAIL"))</x:f>
        <x:v>PASS</x:v>
      </x:c>
    </x:row>
    <x:row r="45">
      <x:c r="B45" s="44" t="str">
        <x:v>TS-07</x:v>
      </x:c>
      <x:c r="C45" s="44" t="str">
        <x:v>tolerance</x:v>
      </x:c>
      <x:c r="D45" s="44" t="str">
        <x:v>port radial orientation</x:v>
      </x:c>
      <x:c r="E45" s="44" t="str">
        <x:f>'Tolerance Stacks'!K13</x:f>
        <x:v>PASS</x:v>
      </x:c>
      <x:c r="F45" s="44" t="str">
        <x:v>PASS</x:v>
      </x:c>
      <x:c r="G45" s="44" t="str">
        <x:f>IF(AND(ISNUMBER(E45),ISNUMBER(F45)),IF(ABS(E45-F45)&lt;0.000001,"PASS","FAIL"),IF(E45=F45,"PASS","FAIL"))</x:f>
        <x:v>PASS</x:v>
      </x:c>
    </x:row>
    <x:row r="46">
      <x:c r="B46" s="44" t="str">
        <x:v>TS-08</x:v>
      </x:c>
      <x:c r="C46" s="44" t="str">
        <x:v>tolerance</x:v>
      </x:c>
      <x:c r="D46" s="44" t="str">
        <x:v>valve face alignment</x:v>
      </x:c>
      <x:c r="E46" s="44" t="str">
        <x:f>'Tolerance Stacks'!K14</x:f>
        <x:v>PASS</x:v>
      </x:c>
      <x:c r="F46" s="44" t="str">
        <x:v>PASS</x:v>
      </x:c>
      <x:c r="G46" s="44" t="str">
        <x:f>IF(AND(ISNUMBER(E46),ISNUMBER(F46)),IF(ABS(E46-F46)&lt;0.000001,"PASS","FAIL"),IF(E46=F46,"PASS","FAIL"))</x:f>
        <x:v>PASS</x:v>
      </x:c>
    </x:row>
    <x:row r="47">
      <x:c r="B47" s="44" t="str">
        <x:v>TS-09</x:v>
      </x:c>
      <x:c r="C47" s="44" t="str">
        <x:v>tolerance</x:v>
      </x:c>
      <x:c r="D47" s="44" t="str">
        <x:v>valve spindle orthogonality</x:v>
      </x:c>
      <x:c r="E47" s="44" t="str">
        <x:f>'Tolerance Stacks'!K15</x:f>
        <x:v>PASS</x:v>
      </x:c>
      <x:c r="F47" s="44" t="str">
        <x:v>PASS</x:v>
      </x:c>
      <x:c r="G47" s="44" t="str">
        <x:f>IF(AND(ISNUMBER(E47),ISNUMBER(F47)),IF(ABS(E47-F47)&lt;0.000001,"PASS","FAIL"),IF(E47=F47,"PASS","FAIL"))</x:f>
        <x:v>PASS</x:v>
      </x:c>
    </x:row>
    <x:row r="48">
      <x:c r="B48" s="44" t="str">
        <x:v>TS-10</x:v>
      </x:c>
      <x:c r="C48" s="44" t="str">
        <x:v>tolerance</x:v>
      </x:c>
      <x:c r="D48" s="44" t="str">
        <x:v>seal compression centering</x:v>
      </x:c>
      <x:c r="E48" s="44" t="str">
        <x:f>'Tolerance Stacks'!K16</x:f>
        <x:v>PASS</x:v>
      </x:c>
      <x:c r="F48" s="44" t="str">
        <x:v>PASS</x:v>
      </x:c>
      <x:c r="G48" s="44" t="str">
        <x:f>IF(AND(ISNUMBER(E48),ISNUMBER(F48)),IF(ABS(E48-F48)&lt;0.000001,"PASS","FAIL"),IF(E48=F48,"PASS","FAIL"))</x:f>
        <x:v>PASS</x:v>
      </x:c>
    </x:row>
    <x:row r="49">
      <x:c r="B49" s="44" t="str">
        <x:v>TS-11</x:v>
      </x:c>
      <x:c r="C49" s="44" t="str">
        <x:v>tolerance</x:v>
      </x:c>
      <x:c r="D49" s="44" t="str">
        <x:v>gasket intrusion</x:v>
      </x:c>
      <x:c r="E49" s="44" t="str">
        <x:f>'Tolerance Stacks'!K17</x:f>
        <x:v>PASS</x:v>
      </x:c>
      <x:c r="F49" s="44" t="str">
        <x:v>PASS</x:v>
      </x:c>
      <x:c r="G49" s="44" t="str">
        <x:f>IF(AND(ISNUMBER(E49),ISNUMBER(F49)),IF(ABS(E49-F49)&lt;0.000001,"PASS","FAIL"),IF(E49=F49,"PASS","FAIL"))</x:f>
        <x:v>PASS</x:v>
      </x:c>
    </x:row>
    <x:row r="50">
      <x:c r="B50" s="44" t="str">
        <x:v>TS-12</x:v>
      </x:c>
      <x:c r="C50" s="44" t="str">
        <x:v>tolerance</x:v>
      </x:c>
      <x:c r="D50" s="44" t="str">
        <x:v>deadleg allocation</x:v>
      </x:c>
      <x:c r="E50" s="44" t="str">
        <x:f>'Tolerance Stacks'!K18</x:f>
        <x:v>PASS</x:v>
      </x:c>
      <x:c r="F50" s="44" t="str">
        <x:v>PASS</x:v>
      </x:c>
      <x:c r="G50" s="44" t="str">
        <x:f>IF(AND(ISNUMBER(E50),ISNUMBER(F50)),IF(ABS(E50-F50)&lt;0.000001,"PASS","FAIL"),IF(E50=F50,"PASS","FAIL"))</x:f>
        <x:v>PASS</x:v>
      </x:c>
    </x:row>
    <x:row r="51">
      <x:c r="B51" s="44" t="str">
        <x:v>TS-13</x:v>
      </x:c>
      <x:c r="C51" s="44" t="str">
        <x:v>tolerance</x:v>
      </x:c>
      <x:c r="D51" s="44" t="str">
        <x:v>pan low-point error</x:v>
      </x:c>
      <x:c r="E51" s="44" t="str">
        <x:f>'Tolerance Stacks'!K19</x:f>
        <x:v>PASS</x:v>
      </x:c>
      <x:c r="F51" s="44" t="str">
        <x:v>PASS</x:v>
      </x:c>
      <x:c r="G51" s="44" t="str">
        <x:f>IF(AND(ISNUMBER(E51),ISNUMBER(F51)),IF(ABS(E51-F51)&lt;0.000001,"PASS","FAIL"),IF(E51=F51,"PASS","FAIL"))</x:f>
        <x:v>PASS</x:v>
      </x:c>
    </x:row>
    <x:row r="52">
      <x:c r="B52" s="44" t="str">
        <x:v>TS-14</x:v>
      </x:c>
      <x:c r="C52" s="44" t="str">
        <x:v>tolerance</x:v>
      </x:c>
      <x:c r="D52" s="44" t="str">
        <x:v>drain grade error</x:v>
      </x:c>
      <x:c r="E52" s="44" t="str">
        <x:f>'Tolerance Stacks'!K20</x:f>
        <x:v>PASS</x:v>
      </x:c>
      <x:c r="F52" s="44" t="str">
        <x:v>PASS</x:v>
      </x:c>
      <x:c r="G52" s="44" t="str">
        <x:f>IF(AND(ISNUMBER(E52),ISNUMBER(F52)),IF(ABS(E52-F52)&lt;0.000001,"PASS","FAIL"),IF(E52=F52,"PASS","FAIL"))</x:f>
        <x:v>PASS</x:v>
      </x:c>
    </x:row>
    <x:row r="53">
      <x:c r="B53" s="44" t="str">
        <x:v>TS-15</x:v>
      </x:c>
      <x:c r="C53" s="44" t="str">
        <x:v>tolerance</x:v>
      </x:c>
      <x:c r="D53" s="44" t="str">
        <x:v>receiver datum</x:v>
      </x:c>
      <x:c r="E53" s="44" t="str">
        <x:f>'Tolerance Stacks'!K21</x:f>
        <x:v>PASS</x:v>
      </x:c>
      <x:c r="F53" s="44" t="str">
        <x:v>PASS</x:v>
      </x:c>
      <x:c r="G53" s="44" t="str">
        <x:f>IF(AND(ISNUMBER(E53),ISNUMBER(F53)),IF(ABS(E53-F53)&lt;0.000001,"PASS","FAIL"),IF(E53=F53,"PASS","FAIL"))</x:f>
        <x:v>PASS</x:v>
      </x:c>
    </x:row>
    <x:row r="54">
      <x:c r="B54" s="44" t="str">
        <x:v>TS-16</x:v>
      </x:c>
      <x:c r="C54" s="44" t="str">
        <x:v>tolerance</x:v>
      </x:c>
      <x:c r="D54" s="44" t="str">
        <x:v>load-cell axiality</x:v>
      </x:c>
      <x:c r="E54" s="44" t="str">
        <x:f>'Tolerance Stacks'!K22</x:f>
        <x:v>PASS</x:v>
      </x:c>
      <x:c r="F54" s="44" t="str">
        <x:v>PASS</x:v>
      </x:c>
      <x:c r="G54" s="44" t="str">
        <x:f>IF(AND(ISNUMBER(E54),ISNUMBER(F54)),IF(ABS(E54-F54)&lt;0.000001,"PASS","FAIL"),IF(E54=F54,"PASS","FAIL"))</x:f>
        <x:v>PASS</x:v>
      </x:c>
    </x:row>
    <x:row r="55">
      <x:c r="B55" s="44" t="str">
        <x:v>TS-17</x:v>
      </x:c>
      <x:c r="C55" s="44" t="str">
        <x:v>tolerance</x:v>
      </x:c>
      <x:c r="D55" s="44" t="str">
        <x:v>sensor insertion depth</x:v>
      </x:c>
      <x:c r="E55" s="44" t="str">
        <x:f>'Tolerance Stacks'!K23</x:f>
        <x:v>PASS</x:v>
      </x:c>
      <x:c r="F55" s="44" t="str">
        <x:v>PASS</x:v>
      </x:c>
      <x:c r="G55" s="44" t="str">
        <x:f>IF(AND(ISNUMBER(E55),ISNUMBER(F55)),IF(ABS(E55-F55)&lt;0.000001,"PASS","FAIL"),IF(E55=F55,"PASS","FAIL"))</x:f>
        <x:v>PASS</x:v>
      </x:c>
    </x:row>
    <x:row r="56">
      <x:c r="B56" s="44" t="str">
        <x:v>TS-18</x:v>
      </x:c>
      <x:c r="C56" s="44" t="str">
        <x:v>tolerance</x:v>
      </x:c>
      <x:c r="D56" s="44" t="str">
        <x:v>state-witness gap</x:v>
      </x:c>
      <x:c r="E56" s="44" t="str">
        <x:f>'Tolerance Stacks'!K24</x:f>
        <x:v>PASS</x:v>
      </x:c>
      <x:c r="F56" s="44" t="str">
        <x:v>PASS</x:v>
      </x:c>
      <x:c r="G56" s="44" t="str">
        <x:f>IF(AND(ISNUMBER(E56),ISNUMBER(F56)),IF(ABS(E56-F56)&lt;0.000001,"PASS","FAIL"),IF(E56=F56,"PASS","FAIL"))</x:f>
        <x:v>PASS</x:v>
      </x:c>
    </x:row>
    <x:row r="57">
      <x:c r="B57" s="44" t="str">
        <x:v>TS-19</x:v>
      </x:c>
      <x:c r="C57" s="44" t="str">
        <x:v>tolerance</x:v>
      </x:c>
      <x:c r="D57" s="44" t="str">
        <x:v>actuator stop position</x:v>
      </x:c>
      <x:c r="E57" s="44" t="str">
        <x:f>'Tolerance Stacks'!K25</x:f>
        <x:v>PASS</x:v>
      </x:c>
      <x:c r="F57" s="44" t="str">
        <x:v>PASS</x:v>
      </x:c>
      <x:c r="G57" s="44" t="str">
        <x:f>IF(AND(ISNUMBER(E57),ISNUMBER(F57)),IF(ABS(E57-F57)&lt;0.000001,"PASS","FAIL"),IF(E57=F57,"PASS","FAIL"))</x:f>
        <x:v>PASS</x:v>
      </x:c>
    </x:row>
    <x:row r="58">
      <x:c r="B58" s="44" t="str">
        <x:v>TS-20</x:v>
      </x:c>
      <x:c r="C58" s="44" t="str">
        <x:v>tolerance</x:v>
      </x:c>
      <x:c r="D58" s="44" t="str">
        <x:v>manual access margin</x:v>
      </x:c>
      <x:c r="E58" s="44" t="str">
        <x:f>'Tolerance Stacks'!K26</x:f>
        <x:v>PASS</x:v>
      </x:c>
      <x:c r="F58" s="44" t="str">
        <x:v>PASS</x:v>
      </x:c>
      <x:c r="G58" s="44" t="str">
        <x:f>IF(AND(ISNUMBER(E58),ISNUMBER(F58)),IF(ABS(E58-F58)&lt;0.000001,"PASS","FAIL"),IF(E58=F58,"PASS","FAIL"))</x:f>
        <x:v>PASS</x:v>
      </x:c>
    </x:row>
    <x:row r="59">
      <x:c r="B59" s="44" t="str">
        <x:v>TS-21</x:v>
      </x:c>
      <x:c r="C59" s="44" t="str">
        <x:v>tolerance</x:v>
      </x:c>
      <x:c r="D59" s="44" t="str">
        <x:v>rescue removal margin</x:v>
      </x:c>
      <x:c r="E59" s="44" t="str">
        <x:f>'Tolerance Stacks'!K27</x:f>
        <x:v>PASS</x:v>
      </x:c>
      <x:c r="F59" s="44" t="str">
        <x:v>PASS</x:v>
      </x:c>
      <x:c r="G59" s="44" t="str">
        <x:f>IF(AND(ISNUMBER(E59),ISNUMBER(F59)),IF(ABS(E59-F59)&lt;0.000001,"PASS","FAIL"),IF(E59=F59,"PASS","FAIL"))</x:f>
        <x:v>PASS</x:v>
      </x:c>
    </x:row>
    <x:row r="60">
      <x:c r="B60" s="44" t="str">
        <x:v>TS-22</x:v>
      </x:c>
      <x:c r="C60" s="44" t="str">
        <x:v>tolerance</x:v>
      </x:c>
      <x:c r="D60" s="44" t="str">
        <x:v>lift interface position</x:v>
      </x:c>
      <x:c r="E60" s="44" t="str">
        <x:f>'Tolerance Stacks'!K28</x:f>
        <x:v>PASS</x:v>
      </x:c>
      <x:c r="F60" s="44" t="str">
        <x:v>PASS</x:v>
      </x:c>
      <x:c r="G60" s="44" t="str">
        <x:f>IF(AND(ISNUMBER(E60),ISNUMBER(F60)),IF(ABS(E60-F60)&lt;0.000001,"PASS","FAIL"),IF(E60=F60,"PASS","FAIL"))</x:f>
        <x:v>PASS</x:v>
      </x:c>
    </x:row>
    <x:row r="61">
      <x:c r="B61" s="44" t="str">
        <x:v>TS-23</x:v>
      </x:c>
      <x:c r="C61" s="44" t="str">
        <x:v>tolerance</x:v>
      </x:c>
      <x:c r="D61" s="44" t="str">
        <x:v>evidence-route separation margin</x:v>
      </x:c>
      <x:c r="E61" s="44" t="str">
        <x:f>'Tolerance Stacks'!K29</x:f>
        <x:v>PASS</x:v>
      </x:c>
      <x:c r="F61" s="44" t="str">
        <x:v>PASS</x:v>
      </x:c>
      <x:c r="G61" s="44" t="str">
        <x:f>IF(AND(ISNUMBER(E61),ISNUMBER(F61)),IF(ABS(E61-F61)&lt;0.000001,"PASS","FAIL"),IF(E61=F61,"PASS","FAIL"))</x:f>
        <x:v>PASS</x:v>
      </x:c>
    </x:row>
    <x:row r="62">
      <x:c r="B62" s="44" t="str">
        <x:v>TS-24</x:v>
      </x:c>
      <x:c r="C62" s="44" t="str">
        <x:v>tolerance</x:v>
      </x:c>
      <x:c r="D62" s="44" t="str">
        <x:v>enclosure water-shed gap</x:v>
      </x:c>
      <x:c r="E62" s="44" t="str">
        <x:f>'Tolerance Stacks'!K30</x:f>
        <x:v>PASS</x:v>
      </x:c>
      <x:c r="F62" s="44" t="str">
        <x:v>PASS</x:v>
      </x:c>
      <x:c r="G62" s="44" t="str">
        <x:f>IF(AND(ISNUMBER(E62),ISNUMBER(F62)),IF(ABS(E62-F62)&lt;0.000001,"PASS","FAIL"),IF(E62=F62,"PASS","FAIL"))</x:f>
        <x:v>PASS</x:v>
      </x:c>
    </x:row>
    <x:row r="63">
      <x:c r="B63" s="44" t="str">
        <x:v>TS-25</x:v>
      </x:c>
      <x:c r="C63" s="44" t="str">
        <x:v>tolerance</x:v>
      </x:c>
      <x:c r="D63" s="44" t="str">
        <x:v>deployed length</x:v>
      </x:c>
      <x:c r="E63" s="44" t="str">
        <x:f>'Tolerance Stacks'!K31</x:f>
        <x:v>PASS</x:v>
      </x:c>
      <x:c r="F63" s="44" t="str">
        <x:v>PASS</x:v>
      </x:c>
      <x:c r="G63" s="44" t="str">
        <x:f>IF(AND(ISNUMBER(E63),ISNUMBER(F63)),IF(ABS(E63-F63)&lt;0.000001,"PASS","FAIL"),IF(E63=F63,"PASS","FAIL"))</x:f>
        <x:v>PASS</x:v>
      </x:c>
    </x:row>
    <x:row r="64">
      <x:c r="B64" s="44" t="str">
        <x:v>TS-26</x:v>
      </x:c>
      <x:c r="C64" s="44" t="str">
        <x:v>tolerance</x:v>
      </x:c>
      <x:c r="D64" s="44" t="str">
        <x:v>bore diameter</x:v>
      </x:c>
      <x:c r="E64" s="44" t="str">
        <x:f>'Tolerance Stacks'!K32</x:f>
        <x:v>PASS</x:v>
      </x:c>
      <x:c r="F64" s="44" t="str">
        <x:v>PASS</x:v>
      </x:c>
      <x:c r="G64" s="44" t="str">
        <x:f>IF(AND(ISNUMBER(E64),ISNUMBER(F64)),IF(ABS(E64-F64)&lt;0.000001,"PASS","FAIL"),IF(E64=F64,"PASS","FAIL"))</x:f>
        <x:v>PASS</x:v>
      </x:c>
    </x:row>
    <x:row r="65">
      <x:c r="B65" s="44" t="str">
        <x:v>TS-27</x:v>
      </x:c>
      <x:c r="C65" s="44" t="str">
        <x:v>tolerance</x:v>
      </x:c>
      <x:c r="D65" s="44" t="str">
        <x:v>endpoint coaxiality</x:v>
      </x:c>
      <x:c r="E65" s="44" t="str">
        <x:f>'Tolerance Stacks'!K33</x:f>
        <x:v>PASS</x:v>
      </x:c>
      <x:c r="F65" s="44" t="str">
        <x:v>PASS</x:v>
      </x:c>
      <x:c r="G65" s="44" t="str">
        <x:f>IF(AND(ISNUMBER(E65),ISNUMBER(F65)),IF(ABS(E65-F65)&lt;0.000001,"PASS","FAIL"),IF(E65=F65,"PASS","FAIL"))</x:f>
        <x:v>PASS</x:v>
      </x:c>
    </x:row>
    <x:row r="66">
      <x:c r="B66" s="44" t="str">
        <x:v>TS-28</x:v>
      </x:c>
      <x:c r="C66" s="44" t="str">
        <x:v>tolerance</x:v>
      </x:c>
      <x:c r="D66" s="44" t="str">
        <x:v>internal joint step</x:v>
      </x:c>
      <x:c r="E66" s="44" t="str">
        <x:f>'Tolerance Stacks'!K34</x:f>
        <x:v>PASS</x:v>
      </x:c>
      <x:c r="F66" s="44" t="str">
        <x:v>PASS</x:v>
      </x:c>
      <x:c r="G66" s="44" t="str">
        <x:f>IF(AND(ISNUMBER(E66),ISNUMBER(F66)),IF(ABS(E66-F66)&lt;0.000001,"PASS","FAIL"),IF(E66=F66,"PASS","FAIL"))</x:f>
        <x:v>PASS</x:v>
      </x:c>
    </x:row>
    <x:row r="67">
      <x:c r="B67" s="44" t="str">
        <x:v>TS-29</x:v>
      </x:c>
      <x:c r="C67" s="44" t="str">
        <x:v>tolerance</x:v>
      </x:c>
      <x:c r="D67" s="44" t="str">
        <x:v>slope error</x:v>
      </x:c>
      <x:c r="E67" s="44" t="str">
        <x:f>'Tolerance Stacks'!K35</x:f>
        <x:v>PASS</x:v>
      </x:c>
      <x:c r="F67" s="44" t="str">
        <x:v>PASS</x:v>
      </x:c>
      <x:c r="G67" s="44" t="str">
        <x:f>IF(AND(ISNUMBER(E67),ISNUMBER(F67)),IF(ABS(E67-F67)&lt;0.000001,"PASS","FAIL"),IF(E67=F67,"PASS","FAIL"))</x:f>
        <x:v>PASS</x:v>
      </x:c>
    </x:row>
    <x:row r="68">
      <x:c r="B68" s="44" t="str">
        <x:v>TS-30</x:v>
      </x:c>
      <x:c r="C68" s="44" t="str">
        <x:v>tolerance</x:v>
      </x:c>
      <x:c r="D68" s="44" t="str">
        <x:v>instrument station position</x:v>
      </x:c>
      <x:c r="E68" s="44" t="str">
        <x:f>'Tolerance Stacks'!K36</x:f>
        <x:v>PASS</x:v>
      </x:c>
      <x:c r="F68" s="44" t="str">
        <x:v>PASS</x:v>
      </x:c>
      <x:c r="G68" s="44" t="str">
        <x:f>IF(AND(ISNUMBER(E68),ISNUMBER(F68)),IF(ABS(E68-F68)&lt;0.000001,"PASS","FAIL"),IF(E68=F68,"PASS","FAIL"))</x:f>
        <x:v>PASS</x:v>
      </x:c>
    </x:row>
    <x:row r="69">
      <x:c r="B69" s="44" t="str">
        <x:v>TS-31</x:v>
      </x:c>
      <x:c r="C69" s="44" t="str">
        <x:v>tolerance</x:v>
      </x:c>
      <x:c r="D69" s="44" t="str">
        <x:v>port radial orientation</x:v>
      </x:c>
      <x:c r="E69" s="44" t="str">
        <x:f>'Tolerance Stacks'!K37</x:f>
        <x:v>PASS</x:v>
      </x:c>
      <x:c r="F69" s="44" t="str">
        <x:v>PASS</x:v>
      </x:c>
      <x:c r="G69" s="44" t="str">
        <x:f>IF(AND(ISNUMBER(E69),ISNUMBER(F69)),IF(ABS(E69-F69)&lt;0.000001,"PASS","FAIL"),IF(E69=F69,"PASS","FAIL"))</x:f>
        <x:v>PASS</x:v>
      </x:c>
    </x:row>
    <x:row r="70">
      <x:c r="B70" s="44" t="str">
        <x:v>TS-32</x:v>
      </x:c>
      <x:c r="C70" s="44" t="str">
        <x:v>tolerance</x:v>
      </x:c>
      <x:c r="D70" s="44" t="str">
        <x:v>valve face alignment</x:v>
      </x:c>
      <x:c r="E70" s="44" t="str">
        <x:f>'Tolerance Stacks'!K38</x:f>
        <x:v>PASS</x:v>
      </x:c>
      <x:c r="F70" s="44" t="str">
        <x:v>PASS</x:v>
      </x:c>
      <x:c r="G70" s="44" t="str">
        <x:f>IF(AND(ISNUMBER(E70),ISNUMBER(F70)),IF(ABS(E70-F70)&lt;0.000001,"PASS","FAIL"),IF(E70=F70,"PASS","FAIL"))</x:f>
        <x:v>PASS</x:v>
      </x:c>
    </x:row>
    <x:row r="71">
      <x:c r="B71" s="44" t="str">
        <x:v>TS-33</x:v>
      </x:c>
      <x:c r="C71" s="44" t="str">
        <x:v>tolerance</x:v>
      </x:c>
      <x:c r="D71" s="44" t="str">
        <x:v>valve spindle orthogonality</x:v>
      </x:c>
      <x:c r="E71" s="44" t="str">
        <x:f>'Tolerance Stacks'!K39</x:f>
        <x:v>PASS</x:v>
      </x:c>
      <x:c r="F71" s="44" t="str">
        <x:v>PASS</x:v>
      </x:c>
      <x:c r="G71" s="44" t="str">
        <x:f>IF(AND(ISNUMBER(E71),ISNUMBER(F71)),IF(ABS(E71-F71)&lt;0.000001,"PASS","FAIL"),IF(E71=F71,"PASS","FAIL"))</x:f>
        <x:v>PASS</x:v>
      </x:c>
    </x:row>
    <x:row r="72">
      <x:c r="B72" s="44" t="str">
        <x:v>TS-34</x:v>
      </x:c>
      <x:c r="C72" s="44" t="str">
        <x:v>tolerance</x:v>
      </x:c>
      <x:c r="D72" s="44" t="str">
        <x:v>seal compression centering</x:v>
      </x:c>
      <x:c r="E72" s="44" t="str">
        <x:f>'Tolerance Stacks'!K40</x:f>
        <x:v>PASS</x:v>
      </x:c>
      <x:c r="F72" s="44" t="str">
        <x:v>PASS</x:v>
      </x:c>
      <x:c r="G72" s="44" t="str">
        <x:f>IF(AND(ISNUMBER(E72),ISNUMBER(F72)),IF(ABS(E72-F72)&lt;0.000001,"PASS","FAIL"),IF(E72=F72,"PASS","FAIL"))</x:f>
        <x:v>PASS</x:v>
      </x:c>
    </x:row>
    <x:row r="73">
      <x:c r="B73" s="44" t="str">
        <x:v>TS-35</x:v>
      </x:c>
      <x:c r="C73" s="44" t="str">
        <x:v>tolerance</x:v>
      </x:c>
      <x:c r="D73" s="44" t="str">
        <x:v>gasket intrusion</x:v>
      </x:c>
      <x:c r="E73" s="44" t="str">
        <x:f>'Tolerance Stacks'!K41</x:f>
        <x:v>PASS</x:v>
      </x:c>
      <x:c r="F73" s="44" t="str">
        <x:v>PASS</x:v>
      </x:c>
      <x:c r="G73" s="44" t="str">
        <x:f>IF(AND(ISNUMBER(E73),ISNUMBER(F73)),IF(ABS(E73-F73)&lt;0.000001,"PASS","FAIL"),IF(E73=F73,"PASS","FAIL"))</x:f>
        <x:v>PASS</x:v>
      </x:c>
    </x:row>
    <x:row r="74">
      <x:c r="B74" s="44" t="str">
        <x:v>TS-36</x:v>
      </x:c>
      <x:c r="C74" s="44" t="str">
        <x:v>tolerance</x:v>
      </x:c>
      <x:c r="D74" s="44" t="str">
        <x:v>deadleg allocation</x:v>
      </x:c>
      <x:c r="E74" s="44" t="str">
        <x:f>'Tolerance Stacks'!K42</x:f>
        <x:v>PASS</x:v>
      </x:c>
      <x:c r="F74" s="44" t="str">
        <x:v>PASS</x:v>
      </x:c>
      <x:c r="G74" s="44" t="str">
        <x:f>IF(AND(ISNUMBER(E74),ISNUMBER(F74)),IF(ABS(E74-F74)&lt;0.000001,"PASS","FAIL"),IF(E74=F74,"PASS","FAIL"))</x:f>
        <x:v>PASS</x:v>
      </x:c>
    </x:row>
    <x:row r="75">
      <x:c r="B75" s="44" t="str">
        <x:v>TS-37</x:v>
      </x:c>
      <x:c r="C75" s="44" t="str">
        <x:v>tolerance</x:v>
      </x:c>
      <x:c r="D75" s="44" t="str">
        <x:v>pan low-point error</x:v>
      </x:c>
      <x:c r="E75" s="44" t="str">
        <x:f>'Tolerance Stacks'!K43</x:f>
        <x:v>PASS</x:v>
      </x:c>
      <x:c r="F75" s="44" t="str">
        <x:v>PASS</x:v>
      </x:c>
      <x:c r="G75" s="44" t="str">
        <x:f>IF(AND(ISNUMBER(E75),ISNUMBER(F75)),IF(ABS(E75-F75)&lt;0.000001,"PASS","FAIL"),IF(E75=F75,"PASS","FAIL"))</x:f>
        <x:v>PASS</x:v>
      </x:c>
    </x:row>
    <x:row r="76">
      <x:c r="B76" s="44" t="str">
        <x:v>TS-38</x:v>
      </x:c>
      <x:c r="C76" s="44" t="str">
        <x:v>tolerance</x:v>
      </x:c>
      <x:c r="D76" s="44" t="str">
        <x:v>drain grade error</x:v>
      </x:c>
      <x:c r="E76" s="44" t="str">
        <x:f>'Tolerance Stacks'!K44</x:f>
        <x:v>PASS</x:v>
      </x:c>
      <x:c r="F76" s="44" t="str">
        <x:v>PASS</x:v>
      </x:c>
      <x:c r="G76" s="44" t="str">
        <x:f>IF(AND(ISNUMBER(E76),ISNUMBER(F76)),IF(ABS(E76-F76)&lt;0.000001,"PASS","FAIL"),IF(E76=F76,"PASS","FAIL"))</x:f>
        <x:v>PASS</x:v>
      </x:c>
    </x:row>
    <x:row r="77">
      <x:c r="B77" s="44" t="str">
        <x:v>TS-39</x:v>
      </x:c>
      <x:c r="C77" s="44" t="str">
        <x:v>tolerance</x:v>
      </x:c>
      <x:c r="D77" s="44" t="str">
        <x:v>receiver datum</x:v>
      </x:c>
      <x:c r="E77" s="44" t="str">
        <x:f>'Tolerance Stacks'!K45</x:f>
        <x:v>PASS</x:v>
      </x:c>
      <x:c r="F77" s="44" t="str">
        <x:v>PASS</x:v>
      </x:c>
      <x:c r="G77" s="44" t="str">
        <x:f>IF(AND(ISNUMBER(E77),ISNUMBER(F77)),IF(ABS(E77-F77)&lt;0.000001,"PASS","FAIL"),IF(E77=F77,"PASS","FAIL"))</x:f>
        <x:v>PASS</x:v>
      </x:c>
    </x:row>
    <x:row r="78">
      <x:c r="B78" s="44" t="str">
        <x:v>TS-40</x:v>
      </x:c>
      <x:c r="C78" s="44" t="str">
        <x:v>tolerance</x:v>
      </x:c>
      <x:c r="D78" s="44" t="str">
        <x:v>load-cell axiality</x:v>
      </x:c>
      <x:c r="E78" s="44" t="str">
        <x:f>'Tolerance Stacks'!K46</x:f>
        <x:v>PASS</x:v>
      </x:c>
      <x:c r="F78" s="44" t="str">
        <x:v>PASS</x:v>
      </x:c>
      <x:c r="G78" s="44" t="str">
        <x:f>IF(AND(ISNUMBER(E78),ISNUMBER(F78)),IF(ABS(E78-F78)&lt;0.000001,"PASS","FAIL"),IF(E78=F78,"PASS","FAIL"))</x:f>
        <x:v>PASS</x:v>
      </x:c>
    </x:row>
    <x:row r="79">
      <x:c r="B79" s="44" t="str">
        <x:v>TS-41</x:v>
      </x:c>
      <x:c r="C79" s="44" t="str">
        <x:v>tolerance</x:v>
      </x:c>
      <x:c r="D79" s="44" t="str">
        <x:v>sensor insertion depth</x:v>
      </x:c>
      <x:c r="E79" s="44" t="str">
        <x:f>'Tolerance Stacks'!K47</x:f>
        <x:v>PASS</x:v>
      </x:c>
      <x:c r="F79" s="44" t="str">
        <x:v>PASS</x:v>
      </x:c>
      <x:c r="G79" s="44" t="str">
        <x:f>IF(AND(ISNUMBER(E79),ISNUMBER(F79)),IF(ABS(E79-F79)&lt;0.000001,"PASS","FAIL"),IF(E79=F79,"PASS","FAIL"))</x:f>
        <x:v>PASS</x:v>
      </x:c>
    </x:row>
    <x:row r="80">
      <x:c r="B80" s="44" t="str">
        <x:v>TS-42</x:v>
      </x:c>
      <x:c r="C80" s="44" t="str">
        <x:v>tolerance</x:v>
      </x:c>
      <x:c r="D80" s="44" t="str">
        <x:v>state-witness gap</x:v>
      </x:c>
      <x:c r="E80" s="44" t="str">
        <x:f>'Tolerance Stacks'!K48</x:f>
        <x:v>PASS</x:v>
      </x:c>
      <x:c r="F80" s="44" t="str">
        <x:v>PASS</x:v>
      </x:c>
      <x:c r="G80" s="44" t="str">
        <x:f>IF(AND(ISNUMBER(E80),ISNUMBER(F80)),IF(ABS(E80-F80)&lt;0.000001,"PASS","FAIL"),IF(E80=F80,"PASS","FAIL"))</x:f>
        <x:v>PASS</x:v>
      </x:c>
    </x:row>
    <x:row r="81">
      <x:c r="B81" s="44" t="str">
        <x:v>TS-43</x:v>
      </x:c>
      <x:c r="C81" s="44" t="str">
        <x:v>tolerance</x:v>
      </x:c>
      <x:c r="D81" s="44" t="str">
        <x:v>actuator stop position</x:v>
      </x:c>
      <x:c r="E81" s="44" t="str">
        <x:f>'Tolerance Stacks'!K49</x:f>
        <x:v>PASS</x:v>
      </x:c>
      <x:c r="F81" s="44" t="str">
        <x:v>PASS</x:v>
      </x:c>
      <x:c r="G81" s="44" t="str">
        <x:f>IF(AND(ISNUMBER(E81),ISNUMBER(F81)),IF(ABS(E81-F81)&lt;0.000001,"PASS","FAIL"),IF(E81=F81,"PASS","FAIL"))</x:f>
        <x:v>PASS</x:v>
      </x:c>
    </x:row>
    <x:row r="82">
      <x:c r="B82" s="44" t="str">
        <x:v>TS-44</x:v>
      </x:c>
      <x:c r="C82" s="44" t="str">
        <x:v>tolerance</x:v>
      </x:c>
      <x:c r="D82" s="44" t="str">
        <x:v>manual access margin</x:v>
      </x:c>
      <x:c r="E82" s="44" t="str">
        <x:f>'Tolerance Stacks'!K50</x:f>
        <x:v>PASS</x:v>
      </x:c>
      <x:c r="F82" s="44" t="str">
        <x:v>PASS</x:v>
      </x:c>
      <x:c r="G82" s="44" t="str">
        <x:f>IF(AND(ISNUMBER(E82),ISNUMBER(F82)),IF(ABS(E82-F82)&lt;0.000001,"PASS","FAIL"),IF(E82=F82,"PASS","FAIL"))</x:f>
        <x:v>PASS</x:v>
      </x:c>
    </x:row>
    <x:row r="83">
      <x:c r="B83" s="44" t="str">
        <x:v>TS-45</x:v>
      </x:c>
      <x:c r="C83" s="44" t="str">
        <x:v>tolerance</x:v>
      </x:c>
      <x:c r="D83" s="44" t="str">
        <x:v>rescue removal margin</x:v>
      </x:c>
      <x:c r="E83" s="44" t="str">
        <x:f>'Tolerance Stacks'!K51</x:f>
        <x:v>PASS</x:v>
      </x:c>
      <x:c r="F83" s="44" t="str">
        <x:v>PASS</x:v>
      </x:c>
      <x:c r="G83" s="44" t="str">
        <x:f>IF(AND(ISNUMBER(E83),ISNUMBER(F83)),IF(ABS(E83-F83)&lt;0.000001,"PASS","FAIL"),IF(E83=F83,"PASS","FAIL"))</x:f>
        <x:v>PASS</x:v>
      </x:c>
    </x:row>
    <x:row r="84">
      <x:c r="B84" s="44" t="str">
        <x:v>TS-46</x:v>
      </x:c>
      <x:c r="C84" s="44" t="str">
        <x:v>tolerance</x:v>
      </x:c>
      <x:c r="D84" s="44" t="str">
        <x:v>lift interface position</x:v>
      </x:c>
      <x:c r="E84" s="44" t="str">
        <x:f>'Tolerance Stacks'!K52</x:f>
        <x:v>PASS</x:v>
      </x:c>
      <x:c r="F84" s="44" t="str">
        <x:v>PASS</x:v>
      </x:c>
      <x:c r="G84" s="44" t="str">
        <x:f>IF(AND(ISNUMBER(E84),ISNUMBER(F84)),IF(ABS(E84-F84)&lt;0.000001,"PASS","FAIL"),IF(E84=F84,"PASS","FAIL"))</x:f>
        <x:v>PASS</x:v>
      </x:c>
    </x:row>
    <x:row r="85">
      <x:c r="B85" s="44" t="str">
        <x:v>TS-47</x:v>
      </x:c>
      <x:c r="C85" s="44" t="str">
        <x:v>tolerance</x:v>
      </x:c>
      <x:c r="D85" s="44" t="str">
        <x:v>evidence-route separation margin</x:v>
      </x:c>
      <x:c r="E85" s="44" t="str">
        <x:f>'Tolerance Stacks'!K53</x:f>
        <x:v>PASS</x:v>
      </x:c>
      <x:c r="F85" s="44" t="str">
        <x:v>PASS</x:v>
      </x:c>
      <x:c r="G85" s="44" t="str">
        <x:f>IF(AND(ISNUMBER(E85),ISNUMBER(F85)),IF(ABS(E85-F85)&lt;0.000001,"PASS","FAIL"),IF(E85=F85,"PASS","FAIL"))</x:f>
        <x:v>PASS</x:v>
      </x:c>
    </x:row>
    <x:row r="86">
      <x:c r="B86" s="44" t="str">
        <x:v>TS-48</x:v>
      </x:c>
      <x:c r="C86" s="44" t="str">
        <x:v>tolerance</x:v>
      </x:c>
      <x:c r="D86" s="44" t="str">
        <x:v>enclosure water-shed gap</x:v>
      </x:c>
      <x:c r="E86" s="44" t="str">
        <x:f>'Tolerance Stacks'!K54</x:f>
        <x:v>PASS</x:v>
      </x:c>
      <x:c r="F86" s="44" t="str">
        <x:v>PASS</x:v>
      </x:c>
      <x:c r="G86" s="44" t="str">
        <x:f>IF(AND(ISNUMBER(E86),ISNUMBER(F86)),IF(ABS(E86-F86)&lt;0.000001,"PASS","FAIL"),IF(E86=F86,"PASS","FAIL"))</x:f>
        <x:v>PASS</x:v>
      </x:c>
    </x:row>
    <x:row r="87">
      <x:c r="B87" s="44" t="str">
        <x:v>E01</x:v>
      </x:c>
      <x:c r="C87" s="44" t="str">
        <x:v>engineering</x:v>
      </x:c>
      <x:c r="D87" s="44" t="str">
        <x:v>hydraulic screens passing</x:v>
      </x:c>
      <x:c r="E87" s="44" t="n">
        <x:f>COUNTIF('Hydraulic Screen'!P7:P13,"PASS")</x:f>
        <x:v>7</x:v>
      </x:c>
      <x:c r="F87" s="44" t="n">
        <x:v>7</x:v>
      </x:c>
      <x:c r="G87" s="44" t="str">
        <x:f>IF(AND(ISNUMBER(E87),ISNUMBER(F87)),IF(ABS(E87-F87)&lt;0.000001,"PASS","FAIL"),IF(E87=F87,"PASS","FAIL"))</x:f>
        <x:v>PASS</x:v>
      </x:c>
    </x:row>
    <x:row r="88">
      <x:c r="B88" s="44" t="str">
        <x:v>E02</x:v>
      </x:c>
      <x:c r="C88" s="44" t="str">
        <x:v>engineering</x:v>
      </x:c>
      <x:c r="D88" s="44" t="str">
        <x:v>pressure screens passing</x:v>
      </x:c>
      <x:c r="E88" s="44" t="n">
        <x:f>COUNTIF('Pressure Boundary'!N7:N8,"PASS")</x:f>
        <x:v>2</x:v>
      </x:c>
      <x:c r="F88" s="44" t="n">
        <x:v>2</x:v>
      </x:c>
      <x:c r="G88" s="44" t="str">
        <x:f>IF(AND(ISNUMBER(E88),ISNUMBER(F88)),IF(ABS(E88-F88)&lt;0.000001,"PASS","FAIL"),IF(E88=F88,"PASS","FAIL"))</x:f>
        <x:v>PASS</x:v>
      </x:c>
    </x:row>
    <x:row r="89">
      <x:c r="B89" s="44" t="str">
        <x:v>E03</x:v>
      </x:c>
      <x:c r="C89" s="44" t="str">
        <x:v>engineering</x:v>
      </x:c>
      <x:c r="D89" s="44" t="str">
        <x:v>thermal screens passing</x:v>
      </x:c>
      <x:c r="E89" s="44" t="n">
        <x:f>COUNTIF('Thermal Growth'!K7:K8,"PASS")</x:f>
        <x:v>2</x:v>
      </x:c>
      <x:c r="F89" s="44" t="n">
        <x:v>2</x:v>
      </x:c>
      <x:c r="G89" s="44" t="str">
        <x:f>IF(AND(ISNUMBER(E89),ISNUMBER(F89)),IF(ABS(E89-F89)&lt;0.000001,"PASS","FAIL"),IF(E89=F89,"PASS","FAIL"))</x:f>
        <x:v>PASS</x:v>
      </x:c>
    </x:row>
    <x:row r="90">
      <x:c r="B90" s="44" t="str">
        <x:v>E04</x:v>
      </x:c>
      <x:c r="C90" s="44" t="str">
        <x:v>engineering</x:v>
      </x:c>
      <x:c r="D90" s="44" t="str">
        <x:v>safeing work rows passing</x:v>
      </x:c>
      <x:c r="E90" s="44" t="n">
        <x:f>COUNTIF('Safeing Work'!K7:K18,"PASS")</x:f>
        <x:v>12</x:v>
      </x:c>
      <x:c r="F90" s="44" t="n">
        <x:v>12</x:v>
      </x:c>
      <x:c r="G90" s="44" t="str">
        <x:f>IF(AND(ISNUMBER(E90),ISNUMBER(F90)),IF(ABS(E90-F90)&lt;0.000001,"PASS","FAIL"),IF(E90=F90,"PASS","FAIL"))</x:f>
        <x:v>PASS</x:v>
      </x:c>
    </x:row>
    <x:row r="91">
      <x:c r="B91" s="44" t="str">
        <x:v>E05</x:v>
      </x:c>
      <x:c r="C91" s="44" t="str">
        <x:v>engineering</x:v>
      </x:c>
      <x:c r="D91" s="44" t="str">
        <x:v>electrical energy checks passing</x:v>
      </x:c>
      <x:c r="E91" s="44" t="n">
        <x:f>COUNTIF('Safety Energy'!E12:E16,"PASS")</x:f>
        <x:v>5</x:v>
      </x:c>
      <x:c r="F91" s="44" t="n">
        <x:v>5</x:v>
      </x:c>
      <x:c r="G91" s="44" t="str">
        <x:f>IF(AND(ISNUMBER(E91),ISNUMBER(F91)),IF(ABS(E91-F91)&lt;0.000001,"PASS","FAIL"),IF(E91=F91,"PASS","FAIL"))</x:f>
        <x:v>PASS</x:v>
      </x:c>
    </x:row>
    <x:row r="92">
      <x:c r="B92" s="44" t="str">
        <x:v>E06</x:v>
      </x:c>
      <x:c r="C92" s="44" t="str">
        <x:v>engineering</x:v>
      </x:c>
      <x:c r="D92" s="44" t="str">
        <x:v>mass and CG screens passing</x:v>
      </x:c>
      <x:c r="E92" s="44" t="n">
        <x:f>COUNTIF('CG Build'!I7:I8,"PASS")</x:f>
        <x:v>2</x:v>
      </x:c>
      <x:c r="F92" s="44" t="n">
        <x:v>2</x:v>
      </x:c>
      <x:c r="G92" s="44" t="str">
        <x:f>IF(AND(ISNUMBER(E92),ISNUMBER(F92)),IF(ABS(E92-F92)&lt;0.000001,"PASS","FAIL"),IF(E92=F92,"PASS","FAIL"))</x:f>
        <x:v>PASS</x:v>
      </x:c>
    </x:row>
    <x:row r="93">
      <x:c r="B93" s="44" t="str">
        <x:v>E07</x:v>
      </x:c>
      <x:c r="C93" s="44" t="str">
        <x:v>engineering</x:v>
      </x:c>
      <x:c r="D93" s="44" t="str">
        <x:v>drawings open</x:v>
      </x:c>
      <x:c r="E93" s="44" t="n">
        <x:f>COUNTIF('Drawing Register'!K7:K102,"OPEN")</x:f>
        <x:v>96</x:v>
      </x:c>
      <x:c r="F93" s="44" t="n">
        <x:v>96</x:v>
      </x:c>
      <x:c r="G93" s="44" t="str">
        <x:f>IF(AND(ISNUMBER(E93),ISNUMBER(F93)),IF(ABS(E93-F93)&lt;0.000001,"PASS","FAIL"),IF(E93=F93,"PASS","FAIL"))</x:f>
        <x:v>PASS</x:v>
      </x:c>
    </x:row>
    <x:row r="94">
      <x:c r="B94" s="44" t="str">
        <x:v>E08</x:v>
      </x:c>
      <x:c r="C94" s="44" t="str">
        <x:v>engineering</x:v>
      </x:c>
      <x:c r="D94" s="44" t="str">
        <x:v>part families open</x:v>
      </x:c>
      <x:c r="E94" s="44" t="n">
        <x:f>COUNTIF('Part Families'!J7:J78,"OPEN")</x:f>
        <x:v>72</x:v>
      </x:c>
      <x:c r="F94" s="44" t="n">
        <x:v>72</x:v>
      </x:c>
      <x:c r="G94" s="44" t="str">
        <x:f>IF(AND(ISNUMBER(E94),ISNUMBER(F94)),IF(ABS(E94-F94)&lt;0.000001,"PASS","FAIL"),IF(E94=F94,"PASS","FAIL"))</x:f>
        <x:v>PASS</x:v>
      </x:c>
    </x:row>
    <x:row r="95">
      <x:c r="B95" s="44" t="str">
        <x:v>E09</x:v>
      </x:c>
      <x:c r="C95" s="44" t="str">
        <x:v>engineering</x:v>
      </x:c>
      <x:c r="D95" s="44" t="str">
        <x:v>material lots open</x:v>
      </x:c>
      <x:c r="E95" s="44" t="n">
        <x:f>COUNTIF('Material Lots'!K7:K78,"OPEN")</x:f>
        <x:v>72</x:v>
      </x:c>
      <x:c r="F95" s="44" t="n">
        <x:v>72</x:v>
      </x:c>
      <x:c r="G95" s="44" t="str">
        <x:f>IF(AND(ISNUMBER(E95),ISNUMBER(F95)),IF(ABS(E95-F95)&lt;0.000001,"PASS","FAIL"),IF(E95=F95,"PASS","FAIL"))</x:f>
        <x:v>PASS</x:v>
      </x:c>
    </x:row>
    <x:row r="96">
      <x:c r="B96" s="44" t="str">
        <x:v>E10</x:v>
      </x:c>
      <x:c r="C96" s="44" t="str">
        <x:v>engineering</x:v>
      </x:c>
      <x:c r="D96" s="44" t="str">
        <x:v>process routes open</x:v>
      </x:c>
      <x:c r="E96" s="44" t="n">
        <x:f>COUNTIF('Process Routes'!J7:J38,"OPEN")</x:f>
        <x:v>32</x:v>
      </x:c>
      <x:c r="F96" s="44" t="n">
        <x:v>32</x:v>
      </x:c>
      <x:c r="G96" s="44" t="str">
        <x:f>IF(AND(ISNUMBER(E96),ISNUMBER(F96)),IF(ABS(E96-F96)&lt;0.000001,"PASS","FAIL"),IF(E96=F96,"PASS","FAIL"))</x:f>
        <x:v>PASS</x:v>
      </x:c>
    </x:row>
    <x:row r="97">
      <x:c r="B97" s="44" t="str">
        <x:v>E11</x:v>
      </x:c>
      <x:c r="C97" s="44" t="str">
        <x:v>engineering</x:v>
      </x:c>
      <x:c r="D97" s="44" t="str">
        <x:v>build travelers open</x:v>
      </x:c>
      <x:c r="E97" s="44" t="n">
        <x:f>COUNTIF('Build Travelers'!N7:N366,"OPEN")</x:f>
        <x:v>360</x:v>
      </x:c>
      <x:c r="F97" s="44" t="n">
        <x:v>360</x:v>
      </x:c>
      <x:c r="G97" s="44" t="str">
        <x:f>IF(AND(ISNUMBER(E97),ISNUMBER(F97)),IF(ABS(E97-F97)&lt;0.000001,"PASS","FAIL"),IF(E97=F97,"PASS","FAIL"))</x:f>
        <x:v>PASS</x:v>
      </x:c>
    </x:row>
    <x:row r="98">
      <x:c r="B98" s="44" t="str">
        <x:v>E12</x:v>
      </x:c>
      <x:c r="C98" s="44" t="str">
        <x:v>engineering</x:v>
      </x:c>
      <x:c r="D98" s="44" t="str">
        <x:v>joint definitions open</x:v>
      </x:c>
      <x:c r="E98" s="44" t="n">
        <x:f>COUNTIF('Joint Definitions'!M7:M30,"OPEN")</x:f>
        <x:v>24</x:v>
      </x:c>
      <x:c r="F98" s="44" t="n">
        <x:v>24</x:v>
      </x:c>
      <x:c r="G98" s="44" t="str">
        <x:f>IF(AND(ISNUMBER(E98),ISNUMBER(F98)),IF(ABS(E98-F98)&lt;0.000001,"PASS","FAIL"),IF(E98=F98,"PASS","FAIL"))</x:f>
        <x:v>PASS</x:v>
      </x:c>
    </x:row>
    <x:row r="99">
      <x:c r="B99" s="44" t="str">
        <x:v>E13</x:v>
      </x:c>
      <x:c r="C99" s="44" t="str">
        <x:v>engineering</x:v>
      </x:c>
      <x:c r="D99" s="44" t="str">
        <x:v>surface records open</x:v>
      </x:c>
      <x:c r="E99" s="44" t="n">
        <x:f>COUNTIF('Surface State'!L7:L18,"OPEN")</x:f>
        <x:v>12</x:v>
      </x:c>
      <x:c r="F99" s="44" t="n">
        <x:v>12</x:v>
      </x:c>
      <x:c r="G99" s="44" t="str">
        <x:f>IF(AND(ISNUMBER(E99),ISNUMBER(F99)),IF(ABS(E99-F99)&lt;0.000001,"PASS","FAIL"),IF(E99=F99,"PASS","FAIL"))</x:f>
        <x:v>PASS</x:v>
      </x:c>
    </x:row>
    <x:row r="100">
      <x:c r="B100" s="44" t="str">
        <x:v>E14</x:v>
      </x:c>
      <x:c r="C100" s="44" t="str">
        <x:v>engineering</x:v>
      </x:c>
      <x:c r="D100" s="44" t="str">
        <x:v>build gates open</x:v>
      </x:c>
      <x:c r="E100" s="44" t="n">
        <x:f>COUNTIF('Build Gates'!K7:K294,"OPEN")</x:f>
        <x:v>288</x:v>
      </x:c>
      <x:c r="F100" s="44" t="n">
        <x:v>288</x:v>
      </x:c>
      <x:c r="G100" s="44" t="str">
        <x:f>IF(AND(ISNUMBER(E100),ISNUMBER(F100)),IF(ABS(E100-F100)&lt;0.000001,"PASS","FAIL"),IF(E100=F100,"PASS","FAIL"))</x:f>
        <x:v>PASS</x:v>
      </x:c>
    </x:row>
    <x:row r="101">
      <x:c r="B101" s="44" t="str">
        <x:v>E15</x:v>
      </x:c>
      <x:c r="C101" s="44" t="str">
        <x:v>engineering</x:v>
      </x:c>
      <x:c r="D101" s="44" t="str">
        <x:v>article releases open</x:v>
      </x:c>
      <x:c r="E101" s="44" t="n">
        <x:f>COUNTIF('Article Release'!I7:I24,"OPEN")</x:f>
        <x:v>18</x:v>
      </x:c>
      <x:c r="F101" s="44" t="n">
        <x:v>18</x:v>
      </x:c>
      <x:c r="G101" s="44" t="str">
        <x:f>IF(AND(ISNUMBER(E101),ISNUMBER(F101)),IF(ABS(E101-F101)&lt;0.000001,"PASS","FAIL"),IF(E101=F101,"PASS","FAIL"))</x:f>
        <x:v>PASS</x:v>
      </x:c>
    </x:row>
    <x:row r="102">
      <x:c r="B102" s="44" t="str">
        <x:v>E16</x:v>
      </x:c>
      <x:c r="C102" s="44" t="str">
        <x:v>engineering</x:v>
      </x:c>
      <x:c r="D102" s="44" t="str">
        <x:v>downstream releases blocked</x:v>
      </x:c>
      <x:c r="E102" s="44" t="n">
        <x:f>COUNTIF('Release Gates'!F7:F14,"BLOCKED")</x:f>
        <x:v>8</x:v>
      </x:c>
      <x:c r="F102" s="44" t="n">
        <x:v>8</x:v>
      </x:c>
      <x:c r="G102" s="44" t="str">
        <x:f>IF(AND(ISNUMBER(E102),ISNUMBER(F102)),IF(ABS(E102-F102)&lt;0.000001,"PASS","FAIL"),IF(E102=F102,"PASS","FAIL"))</x:f>
        <x:v>PASS</x:v>
      </x:c>
    </x:row>
    <x:row r="103">
      <x:c r="B103" s="44" t="str">
        <x:v>E17</x:v>
      </x:c>
      <x:c r="C103" s="44" t="str">
        <x:v>engineering</x:v>
      </x:c>
      <x:c r="D103" s="44" t="str">
        <x:v>BL-X hot free length m</x:v>
      </x:c>
      <x:c r="E103" s="44" t="n">
        <x:f>'Deploy States'!E12</x:f>
        <x:v>12.00576</x:v>
      </x:c>
      <x:c r="F103" s="44" t="n">
        <x:v>12.00576</x:v>
      </x:c>
      <x:c r="G103" s="44" t="str">
        <x:f>IF(AND(ISNUMBER(E103),ISNUMBER(F103)),IF(ABS(E103-F103)&lt;0.000001,"PASS","FAIL"),IF(E103=F103,"PASS","FAIL"))</x:f>
        <x:v>PASS</x:v>
      </x:c>
    </x:row>
    <x:row r="104">
      <x:c r="B104" s="44" t="str">
        <x:v>E18</x:v>
      </x:c>
      <x:c r="C104" s="44" t="str">
        <x:v>engineering</x:v>
      </x:c>
      <x:c r="D104" s="44" t="str">
        <x:v>BL-X cold free length m</x:v>
      </x:c>
      <x:c r="E104" s="44" t="n">
        <x:f>'Deploy States'!E11</x:f>
        <x:v>11.99232</x:v>
      </x:c>
      <x:c r="F104" s="44" t="n">
        <x:v>11.99232</x:v>
      </x:c>
      <x:c r="G104" s="44" t="str">
        <x:f>IF(AND(ISNUMBER(E104),ISNUMBER(F104)),IF(ABS(E104-F104)&lt;0.000001,"PASS","FAIL"),IF(E104=F104,"PASS","FAIL"))</x:f>
        <x:v>PASS</x:v>
      </x:c>
    </x:row>
    <x:row r="105">
      <x:c r="B105" s="44" t="str">
        <x:v>E19</x:v>
      </x:c>
      <x:c r="C105" s="44" t="str">
        <x:v>engineering</x:v>
      </x:c>
      <x:c r="D105" s="44" t="str">
        <x:v>BL-Y hot free length m</x:v>
      </x:c>
      <x:c r="E105" s="44" t="n">
        <x:f>'Deploy States'!E14</x:f>
        <x:v>12.004679999999999</x:v>
      </x:c>
      <x:c r="F105" s="44" t="n">
        <x:v>12.00468</x:v>
      </x:c>
      <x:c r="G105" s="44" t="str">
        <x:f>IF(AND(ISNUMBER(E105),ISNUMBER(F105)),IF(ABS(E105-F105)&lt;0.000001,"PASS","FAIL"),IF(E105=F105,"PASS","FAIL"))</x:f>
        <x:v>PASS</x:v>
      </x:c>
    </x:row>
    <x:row r="106">
      <x:c r="B106" s="44" t="str">
        <x:v>E20</x:v>
      </x:c>
      <x:c r="C106" s="44" t="str">
        <x:v>engineering</x:v>
      </x:c>
      <x:c r="D106" s="44" t="str">
        <x:v>BL-Y cold free length m</x:v>
      </x:c>
      <x:c r="E106" s="44" t="n">
        <x:f>'Deploy States'!E13</x:f>
        <x:v>11.99376</x:v>
      </x:c>
      <x:c r="F106" s="44" t="n">
        <x:v>11.99376</x:v>
      </x:c>
      <x:c r="G106" s="44" t="str">
        <x:f>IF(AND(ISNUMBER(E106),ISNUMBER(F106)),IF(ABS(E106-F106)&lt;0.000001,"PASS","FAIL"),IF(E106=F106,"PASS","FAIL"))</x:f>
        <x:v>PASS</x:v>
      </x:c>
    </x:row>
    <x:row r="107">
      <x:c r="B107" s="44" t="str">
        <x:v>E21</x:v>
      </x:c>
      <x:c r="C107" s="44" t="str">
        <x:v>engineering</x:v>
      </x:c>
      <x:c r="D107" s="44" t="str">
        <x:v>high-rate instantaneous surge MPa</x:v>
      </x:c>
      <x:c r="E107" s="44" t="n">
        <x:f>'Hydraulic Screen'!N12</x:f>
        <x:v>1.3262911924324614</x:v>
      </x:c>
      <x:c r="F107" s="44" t="n">
        <x:v>1.3262911924324607</x:v>
      </x:c>
      <x:c r="G107" s="44" t="str">
        <x:f>IF(AND(ISNUMBER(E107),ISNUMBER(F107)),IF(ABS(E107-F107)&lt;0.000001,"PASS","FAIL"),IF(E107=F107,"PASS","FAIL"))</x:f>
        <x:v>PASS</x:v>
      </x:c>
    </x:row>
    <x:row r="108">
      <x:c r="B108" s="44" t="str">
        <x:v>E22</x:v>
      </x:c>
      <x:c r="C108" s="44" t="str">
        <x:v>engineering</x:v>
      </x:c>
      <x:c r="D108" s="44" t="str">
        <x:v>line inventory kg</x:v>
      </x:c>
      <x:c r="E108" s="44" t="n">
        <x:f>PI()*'Controls'!$D$18^2/4*'Controls'!$D$14*'Controls'!$D$31</x:f>
        <x:v>12.063715789784805</x:v>
      </x:c>
      <x:c r="F108" s="44" t="n">
        <x:v>12.063715789784807</x:v>
      </x:c>
      <x:c r="G108" s="44" t="str">
        <x:f>IF(AND(ISNUMBER(E108),ISNUMBER(F108)),IF(ABS(E108-F108)&lt;0.000001,"PASS","FAIL"),IF(E108=F108,"PASS","FAIL"))</x:f>
        <x:v>PASS</x:v>
      </x:c>
    </x:row>
    <x:row r="109">
      <x:c r="B109" s="44" t="str">
        <x:v>E23</x:v>
      </x:c>
      <x:c r="C109" s="44" t="str">
        <x:v>engineering</x:v>
      </x:c>
      <x:c r="D109" s="44" t="str">
        <x:v>0.1 mm film kg</x:v>
      </x:c>
      <x:c r="E109" s="44" t="n">
        <x:f>PI()*'Controls'!$D$18*'Controls'!$D$14*'Controls'!$D$54*'Controls'!$D$31</x:f>
        <x:v>0.12063715789784807</x:v>
      </x:c>
      <x:c r="F109" s="44" t="n">
        <x:v>0.12063715789784807</x:v>
      </x:c>
      <x:c r="G109" s="44" t="str">
        <x:f>IF(AND(ISNUMBER(E109),ISNUMBER(F109)),IF(ABS(E109-F109)&lt;0.000001,"PASS","FAIL"),IF(E109=F109,"PASS","FAIL"))</x:f>
        <x:v>PASS</x:v>
      </x:c>
    </x:row>
    <x:row r="110">
      <x:c r="B110" s="44" t="str">
        <x:v>E24</x:v>
      </x:c>
      <x:c r="C110" s="44" t="str">
        <x:v>engineering</x:v>
      </x:c>
      <x:c r="D110" s="44" t="str">
        <x:v>deadleg volume m3</x:v>
      </x:c>
      <x:c r="E110" s="44" t="n">
        <x:f>'Wetted Ports'!F20/1000000</x:f>
        <x:v>0.000116</x:v>
      </x:c>
      <x:c r="F110" s="44" t="n">
        <x:v>0.000116</x:v>
      </x:c>
      <x:c r="G110" s="44" t="str">
        <x:f>IF(AND(ISNUMBER(E110),ISNUMBER(F110)),IF(ABS(E110-F110)&lt;0.000001,"PASS","FAIL"),IF(E110=F110,"PASS","FAIL"))</x:f>
        <x:v>PASS</x:v>
      </x:c>
    </x:row>
    <x:row r="111">
      <x:c r="B111" s="44" t="str">
        <x:v>E25</x:v>
      </x:c>
      <x:c r="C111" s="44" t="str">
        <x:v>engineering</x:v>
      </x:c>
      <x:c r="D111" s="44" t="str">
        <x:v>BL-X planned mass kg</x:v>
      </x:c>
      <x:c r="E111" s="44" t="n">
        <x:f>'CG Build'!C7</x:f>
        <x:v>1959</x:v>
      </x:c>
      <x:c r="F111" s="44" t="n">
        <x:v>1959</x:v>
      </x:c>
      <x:c r="G111" s="44" t="str">
        <x:f>IF(AND(ISNUMBER(E111),ISNUMBER(F111)),IF(ABS(E111-F111)&lt;0.000001,"PASS","FAIL"),IF(E111=F111,"PASS","FAIL"))</x:f>
        <x:v>PASS</x:v>
      </x:c>
    </x:row>
    <x:row r="112">
      <x:c r="B112" s="44" t="str">
        <x:v>E26</x:v>
      </x:c>
      <x:c r="C112" s="44" t="str">
        <x:v>engineering</x:v>
      </x:c>
      <x:c r="D112" s="44" t="str">
        <x:v>BL-Y planned mass kg</x:v>
      </x:c>
      <x:c r="E112" s="44" t="n">
        <x:f>'CG Build'!C8</x:f>
        <x:v>2008</x:v>
      </x:c>
      <x:c r="F112" s="44" t="n">
        <x:v>2008</x:v>
      </x:c>
      <x:c r="G112" s="44" t="str">
        <x:f>IF(AND(ISNUMBER(E112),ISNUMBER(F112)),IF(ABS(E112-F112)&lt;0.000001,"PASS","FAIL"),IF(E112=F112,"PASS","FAIL"))</x:f>
        <x:v>PASS</x:v>
      </x:c>
    </x:row>
    <x:row r="113">
      <x:c r="B113" s="44" t="str">
        <x:v>E27</x:v>
      </x:c>
      <x:c r="C113" s="44" t="str">
        <x:v>engineering</x:v>
      </x:c>
      <x:c r="D113" s="44" t="str">
        <x:v>minimum pressure retention factor</x:v>
      </x:c>
      <x:c r="E113" s="44" t="n">
        <x:f>MIN('Pressure Boundary'!M7:M8)</x:f>
        <x:v>3.978873577297383</x:v>
      </x:c>
      <x:c r="F113" s="44" t="n">
        <x:v>3.9788735772973833</x:v>
      </x:c>
      <x:c r="G113" s="44" t="str">
        <x:f>IF(AND(ISNUMBER(E113),ISNUMBER(F113)),IF(ABS(E113-F113)&lt;0.000001,"PASS","FAIL"),IF(E113=F113,"PASS","FAIL"))</x:f>
        <x:v>PASS</x:v>
      </x:c>
    </x:row>
    <x:row r="114">
      <x:c r="B114" s="44" t="str">
        <x:v>E28</x:v>
      </x:c>
      <x:c r="C114" s="44" t="str">
        <x:v>engineering</x:v>
      </x:c>
      <x:c r="D114" s="44" t="str">
        <x:v>unallocated parent capital USD M</x:v>
      </x:c>
      <x:c r="E114" s="44" t="n">
        <x:f>'Portfolio Boundary'!C12</x:f>
        <x:v>184</x:v>
      </x:c>
      <x:c r="F114" s="44" t="n">
        <x:v>184</x:v>
      </x:c>
      <x:c r="G114" s="44" t="str">
        <x:f>IF(AND(ISNUMBER(E114),ISNUMBER(F114)),IF(ABS(E114-F114)&lt;0.000001,"PASS","FAIL"),IF(E114=F114,"PASS","FAIL"))</x:f>
        <x:v>PASS</x:v>
      </x:c>
    </x:row>
    <x:row r="115">
      <x:c r="B115" s="44" t="str">
        <x:v>E29</x:v>
      </x:c>
      <x:c r="C115" s="44" t="str">
        <x:v>engineering</x:v>
      </x:c>
      <x:c r="D115" s="44" t="str">
        <x:v>unallocated parent annual USD M</x:v>
      </x:c>
      <x:c r="E115" s="44" t="n">
        <x:f>'Portfolio Boundary'!C13</x:f>
        <x:v>74</x:v>
      </x:c>
      <x:c r="F115" s="44" t="n">
        <x:v>74</x:v>
      </x:c>
      <x:c r="G115" s="44" t="str">
        <x:f>IF(AND(ISNUMBER(E115),ISNUMBER(F115)),IF(ABS(E115-F115)&lt;0.000001,"PASS","FAIL"),IF(E115=F115,"PASS","FAIL"))</x:f>
        <x:v>PASS</x:v>
      </x:c>
    </x:row>
    <x:row r="116">
      <x:c r="B116" s="44" t="str">
        <x:v>E30</x:v>
      </x:c>
      <x:c r="C116" s="44" t="str">
        <x:v>engineering</x:v>
      </x:c>
      <x:c r="D116" s="44" t="str">
        <x:v>18-month exposure USD M</x:v>
      </x:c>
      <x:c r="E116" s="44" t="n">
        <x:f>'Annual Support'!C18</x:f>
        <x:v>121</x:v>
      </x:c>
      <x:c r="F116" s="44" t="n">
        <x:v>121</x:v>
      </x:c>
      <x:c r="G116" s="44" t="str">
        <x:f>IF(AND(ISNUMBER(E116),ISNUMBER(F116)),IF(ABS(E116-F116)&lt;0.000001,"PASS","FAIL"),IF(E116=F116,"PASS","FAIL"))</x:f>
        <x:v>PASS</x:v>
      </x:c>
    </x:row>
    <x:row r="117">
      <x:c r="B117" s="44" t="str">
        <x:v>E31</x:v>
      </x:c>
      <x:c r="C117" s="44" t="str">
        <x:v>engineering</x:v>
      </x:c>
      <x:c r="D117" s="44" t="str">
        <x:v>technology USD M</x:v>
      </x:c>
      <x:c r="E117" s="44" t="n">
        <x:f>'Technology Programs'!D18</x:f>
        <x:v>125</x:v>
      </x:c>
      <x:c r="F117" s="44" t="n">
        <x:v>125</x:v>
      </x:c>
      <x:c r="G117" s="44" t="str">
        <x:f>IF(AND(ISNUMBER(E117),ISNUMBER(F117)),IF(ABS(E117-F117)&lt;0.000001,"PASS","FAIL"),IF(E117=F117,"PASS","FAIL"))</x:f>
        <x:v>PASS</x:v>
      </x:c>
    </x:row>
    <x:row r="118">
      <x:c r="B118" s="44" t="str">
        <x:v>E32</x:v>
      </x:c>
      <x:c r="C118" s="44" t="str">
        <x:v>engineering</x:v>
      </x:c>
      <x:c r="D118" s="44" t="str">
        <x:v>net capital extension USD M</x:v>
      </x:c>
      <x:c r="E118" s="44" t="n">
        <x:f>'Portfolio Boundary'!C14</x:f>
        <x:v>0</x:v>
      </x:c>
      <x:c r="F118" s="44" t="n">
        <x:v>0</x:v>
      </x:c>
      <x:c r="G118" s="44" t="str">
        <x:f>IF(AND(ISNUMBER(E118),ISNUMBER(F118)),IF(ABS(E118-F118)&lt;0.000001,"PASS","FAIL"),IF(E118=F118,"PASS","FAIL"))</x:f>
        <x:v>PASS</x:v>
      </x:c>
    </x:row>
    <x:row r="119">
      <x:c r="B119" s="44" t="str">
        <x:v>RG-01</x:v>
      </x:c>
      <x:c r="C119" s="44" t="str">
        <x:v>authority</x:v>
      </x:c>
      <x:c r="D119" s="44" t="str">
        <x:v>controlled drawing issue</x:v>
      </x:c>
      <x:c r="E119" s="44" t="n">
        <x:f>'Release Gates'!D7</x:f>
        <x:v>0</x:v>
      </x:c>
      <x:c r="F119" s="44" t="n">
        <x:v>0</x:v>
      </x:c>
      <x:c r="G119" s="44" t="str">
        <x:f>IF(AND(ISNUMBER(E119),ISNUMBER(F119)),IF(ABS(E119-F119)&lt;0.000001,"PASS","FAIL"),IF(E119=F119,"PASS","FAIL"))</x:f>
        <x:v>PASS</x:v>
      </x:c>
    </x:row>
    <x:row r="120">
      <x:c r="B120" s="44" t="str">
        <x:v>RG-02</x:v>
      </x:c>
      <x:c r="C120" s="44" t="str">
        <x:v>authority</x:v>
      </x:c>
      <x:c r="D120" s="44" t="str">
        <x:v>first article fabrication</x:v>
      </x:c>
      <x:c r="E120" s="44" t="n">
        <x:f>'Release Gates'!D8</x:f>
        <x:v>0</x:v>
      </x:c>
      <x:c r="F120" s="44" t="n">
        <x:v>0</x:v>
      </x:c>
      <x:c r="G120" s="44" t="str">
        <x:f>IF(AND(ISNUMBER(E120),ISNUMBER(F120)),IF(ABS(E120-F120)&lt;0.000001,"PASS","FAIL"),IF(E120=F120,"PASS","FAIL"))</x:f>
        <x:v>PASS</x:v>
      </x:c>
    </x:row>
    <x:row r="121">
      <x:c r="B121" s="44" t="str">
        <x:v>RG-03</x:v>
      </x:c>
      <x:c r="C121" s="44" t="str">
        <x:v>authority</x:v>
      </x:c>
      <x:c r="D121" s="44" t="str">
        <x:v>article build release</x:v>
      </x:c>
      <x:c r="E121" s="44" t="n">
        <x:f>'Release Gates'!D9</x:f>
        <x:v>0</x:v>
      </x:c>
      <x:c r="F121" s="44" t="n">
        <x:v>0</x:v>
      </x:c>
      <x:c r="G121" s="44" t="str">
        <x:f>IF(AND(ISNUMBER(E121),ISNUMBER(F121)),IF(ABS(E121-F121)&lt;0.000001,"PASS","FAIL"),IF(E121=F121,"PASS","FAIL"))</x:f>
        <x:v>PASS</x:v>
      </x:c>
    </x:row>
    <x:row r="122">
      <x:c r="B122" s="44" t="str">
        <x:v>RG-04</x:v>
      </x:c>
      <x:c r="C122" s="44" t="str">
        <x:v>authority</x:v>
      </x:c>
      <x:c r="D122" s="44" t="str">
        <x:v>six-article operational set</x:v>
      </x:c>
      <x:c r="E122" s="44" t="n">
        <x:f>'Release Gates'!D10</x:f>
        <x:v>0</x:v>
      </x:c>
      <x:c r="F122" s="44" t="n">
        <x:v>0</x:v>
      </x:c>
      <x:c r="G122" s="44" t="str">
        <x:f>IF(AND(ISNUMBER(E122),ISNUMBER(F122)),IF(ABS(E122-F122)&lt;0.000001,"PASS","FAIL"),IF(E122=F122,"PASS","FAIL"))</x:f>
        <x:v>PASS</x:v>
      </x:c>
    </x:row>
    <x:row r="123">
      <x:c r="B123" s="44" t="str">
        <x:v>RG-05</x:v>
      </x:c>
      <x:c r="C123" s="44" t="str">
        <x:v>authority</x:v>
      </x:c>
      <x:c r="D123" s="44" t="str">
        <x:v>RAP-1 physical campaign</x:v>
      </x:c>
      <x:c r="E123" s="44" t="n">
        <x:f>'Release Gates'!D11</x:f>
        <x:v>0</x:v>
      </x:c>
      <x:c r="F123" s="44" t="n">
        <x:v>0</x:v>
      </x:c>
      <x:c r="G123" s="44" t="str">
        <x:f>IF(AND(ISNUMBER(E123),ISNUMBER(F123)),IF(ABS(E123-F123)&lt;0.000001,"PASS","FAIL"),IF(E123=F123,"PASS","FAIL"))</x:f>
        <x:v>PASS</x:v>
      </x:c>
    </x:row>
    <x:row r="124">
      <x:c r="B124" s="44" t="str">
        <x:v>RG-06</x:v>
      </x:c>
      <x:c r="C124" s="44" t="str">
        <x:v>authority</x:v>
      </x:c>
      <x:c r="D124" s="44" t="str">
        <x:v>QE-01 issue</x:v>
      </x:c>
      <x:c r="E124" s="44" t="n">
        <x:f>'Release Gates'!D12</x:f>
        <x:v>0</x:v>
      </x:c>
      <x:c r="F124" s="44" t="n">
        <x:v>0</x:v>
      </x:c>
      <x:c r="G124" s="44" t="str">
        <x:f>IF(AND(ISNUMBER(E124),ISNUMBER(F124)),IF(ABS(E124-F124)&lt;0.000001,"PASS","FAIL"),IF(E124=F124,"PASS","FAIL"))</x:f>
        <x:v>PASS</x:v>
      </x:c>
    </x:row>
    <x:row r="125">
      <x:c r="B125" s="44" t="str">
        <x:v>RG-07</x:v>
      </x:c>
      <x:c r="C125" s="44" t="str">
        <x:v>authority</x:v>
      </x:c>
      <x:c r="D125" s="44" t="str">
        <x:v>candidate or production entry</x:v>
      </x:c>
      <x:c r="E125" s="44" t="n">
        <x:f>'Release Gates'!D13</x:f>
        <x:v>0</x:v>
      </x:c>
      <x:c r="F125" s="44" t="n">
        <x:v>0</x:v>
      </x:c>
      <x:c r="G125" s="44" t="str">
        <x:f>IF(AND(ISNUMBER(E125),ISNUMBER(F125)),IF(ABS(E125-F125)&lt;0.000001,"PASS","FAIL"),IF(E125=F125,"PASS","FAIL"))</x:f>
        <x:v>PASS</x:v>
      </x:c>
    </x:row>
    <x:row r="126">
      <x:c r="B126" s="44" t="str">
        <x:v>RG-08</x:v>
      </x:c>
      <x:c r="C126" s="44" t="str">
        <x:v>authority</x:v>
      </x:c>
      <x:c r="D126" s="44" t="str">
        <x:v>exterior rendering</x:v>
      </x:c>
      <x:c r="E126" s="44" t="n">
        <x:f>'Release Gates'!D14</x:f>
        <x:v>0</x:v>
      </x:c>
      <x:c r="F126" s="44" t="n">
        <x:v>0</x:v>
      </x:c>
      <x:c r="G126" s="44" t="str">
        <x:f>IF(AND(ISNUMBER(E126),ISNUMBER(F126)),IF(ABS(E126-F126)&lt;0.000001,"PASS","FAIL"),IF(E126=F126,"PASS","FAIL"))</x:f>
        <x:v>PASS</x:v>
      </x:c>
    </x:row>
  </x:sheetData>
  <x:conditionalFormatting sqref="G7:G126">
    <x:cfRule type="containsText" dxfId="120" priority="1" operator="containsText" text="FAIL"/>
    <x:cfRule type="containsText" dxfId="121" priority="2" operator="containsText" text="BLOCKED"/>
    <x:cfRule type="containsText" dxfId="122" priority="3" operator="containsText" text="OPEN"/>
    <x:cfRule type="containsText" dxfId="123" priority="4" operator="containsText" text="PASS"/>
    <x:cfRule type="containsText" dxfId="124" priority="5" operator="containsText" text="PLANNED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81" hidden="0" customWidth="1"/>
    <x:col min="5" max="5" width="27" hidden="0" customWidth="1"/>
  </x:cols>
  <x:sheetData>
    <x:row r="2">
      <x:c r="B2" s="41" t="str">
        <x:v>Internal authorities and derivations</x:v>
      </x:c>
      <x:c r="C2" s="42"/>
      <x:c r="D2" s="42"/>
      <x:c r="E2" s="42"/>
    </x:row>
    <x:row r="3">
      <x:c r="B3" s="43" t="str">
        <x:v>No external site is used. Values are inherited, declared as RAC-1 hypotheses or calculated in the workbook.</x:v>
      </x:c>
      <x:c r="C3" s="42"/>
      <x:c r="D3" s="42"/>
      <x:c r="E3" s="42"/>
    </x:row>
    <x:row r="4">
      <x:c r="B4" s="42"/>
      <x:c r="C4" s="42"/>
      <x:c r="D4" s="42"/>
      <x:c r="E4" s="42"/>
    </x:row>
    <x:row r="5">
      <x:c r="B5" s="42"/>
      <x:c r="C5" s="42"/>
      <x:c r="D5" s="42"/>
      <x:c r="E5" s="42"/>
    </x:row>
    <x:row r="6" ht="25" customHeight="1">
      <x:c r="B6" s="6" t="str">
        <x:v>Source</x:v>
      </x:c>
      <x:c r="C6" s="6" t="str">
        <x:v>Authority</x:v>
      </x:c>
      <x:c r="D6" s="6" t="str">
        <x:v>Use</x:v>
      </x:c>
      <x:c r="E6" s="6" t="str">
        <x:v>Class</x:v>
      </x:c>
    </x:row>
    <x:row r="7" ht="40" customHeight="1">
      <x:c r="B7" s="44" t="str">
        <x:v>SRC-01</x:v>
      </x:c>
      <x:c r="C7" s="44" t="str">
        <x:v>RAP-1</x:v>
      </x:c>
      <x:c r="D7" s="45" t="str">
        <x:v>article population, lineages, physical campaign and acceptance ceiling</x:v>
      </x:c>
      <x:c r="E7" s="44" t="str">
        <x:v>internal predecessor</x:v>
      </x:c>
    </x:row>
    <x:row r="8" ht="40" customHeight="1">
      <x:c r="B8" s="44" t="str">
        <x:v>SRC-02</x:v>
      </x:c>
      <x:c r="C8" s="44" t="str">
        <x:v>RAE-1</x:v>
      </x:c>
      <x:c r="D8" s="45" t="str">
        <x:v>40 mm low-source route, mass and uncertainty boundary</x:v>
      </x:c>
      <x:c r="E8" s="44" t="str">
        <x:v>internal predecessor</x:v>
      </x:c>
    </x:row>
    <x:row r="9" ht="40" customHeight="1">
      <x:c r="B9" s="44" t="str">
        <x:v>SRC-03</x:v>
      </x:c>
      <x:c r="C9" s="44" t="str">
        <x:v>RAS-1</x:v>
      </x:c>
      <x:c r="D9" s="45" t="str">
        <x:v>source and water ancestry, safeing paths and authority</x:v>
      </x:c>
      <x:c r="E9" s="44" t="str">
        <x:v>internal predecessor</x:v>
      </x:c>
    </x:row>
    <x:row r="10" ht="40" customHeight="1">
      <x:c r="B10" s="44" t="str">
        <x:v>SRC-04</x:v>
      </x:c>
      <x:c r="C10" s="44" t="str">
        <x:v>RAC-1 geometry</x:v>
      </x:c>
      <x:c r="D10" s="45" t="str">
        <x:v>six-module transport and twelve-metre deployment derivation</x:v>
      </x:c>
      <x:c r="E10" s="44" t="str">
        <x:v>current derivation</x:v>
      </x:c>
    </x:row>
    <x:row r="11" ht="40" customHeight="1">
      <x:c r="B11" s="44" t="str">
        <x:v>SRC-05</x:v>
      </x:c>
      <x:c r="C11" s="44" t="str">
        <x:v>RAC-1 hydraulic screen</x:v>
      </x:c>
      <x:c r="D11" s="45" t="str">
        <x:v>continuity, Reynolds, Darcy loss, slope head and instantaneous surge</x:v>
      </x:c>
      <x:c r="E11" s="44" t="str">
        <x:v>current derivation</x:v>
      </x:c>
    </x:row>
    <x:row r="12" ht="40" customHeight="1">
      <x:c r="B12" s="44" t="str">
        <x:v>SRC-06</x:v>
      </x:c>
      <x:c r="C12" s="44" t="str">
        <x:v>RAC-1 pressure screen</x:v>
      </x:c>
      <x:c r="D12" s="45" t="str">
        <x:v>thin-wall hoop, liquid proof thrust and retention ratio</x:v>
      </x:c>
      <x:c r="E12" s="44" t="str">
        <x:v>current derivation</x:v>
      </x:c>
    </x:row>
    <x:row r="13" ht="40" customHeight="1">
      <x:c r="B13" s="44" t="str">
        <x:v>SRC-07</x:v>
      </x:c>
      <x:c r="C13" s="44" t="str">
        <x:v>RAC-1 thermal screen</x:v>
      </x:c>
      <x:c r="D13" s="45" t="str">
        <x:v>linear growth over minus 20 to 50 deg C</x:v>
      </x:c>
      <x:c r="E13" s="44" t="str">
        <x:v>current derivation</x:v>
      </x:c>
    </x:row>
    <x:row r="14" ht="40" customHeight="1">
      <x:c r="B14" s="44" t="str">
        <x:v>SRC-08</x:v>
      </x:c>
      <x:c r="C14" s="44" t="str">
        <x:v>RAC-1 recovery screen</x:v>
      </x:c>
      <x:c r="D14" s="45" t="str">
        <x:v>line inventory, film mass and wetted deadleg volume</x:v>
      </x:c>
      <x:c r="E14" s="44" t="str">
        <x:v>current derivation</x:v>
      </x:c>
    </x:row>
    <x:row r="15" ht="40" customHeight="1">
      <x:c r="B15" s="44" t="str">
        <x:v>SRC-09</x:v>
      </x:c>
      <x:c r="C15" s="44" t="str">
        <x:v>RAC-1 energy screen</x:v>
      </x:c>
      <x:c r="D15" s="45" t="str">
        <x:v>mechanical work and low-state electrical survival</x:v>
      </x:c>
      <x:c r="E15" s="44" t="str">
        <x:v>current derivation</x:v>
      </x:c>
    </x:row>
    <x:row r="16" ht="40" customHeight="1">
      <x:c r="B16" s="44" t="str">
        <x:v>SRC-10</x:v>
      </x:c>
      <x:c r="C16" s="44" t="str">
        <x:v>CRET-1</x:v>
      </x:c>
      <x:c r="D16" s="45" t="str">
        <x:v>construction state, lot split and traveler law</x:v>
      </x:c>
      <x:c r="E16" s="44" t="str">
        <x:v>internal authority</x:v>
      </x:c>
    </x:row>
    <x:row r="17" ht="40" customHeight="1">
      <x:c r="B17" s="44" t="str">
        <x:v>SRC-11</x:v>
      </x:c>
      <x:c r="C17" s="44" t="str">
        <x:v>BRD-1</x:v>
      </x:c>
      <x:c r="D17" s="45" t="str">
        <x:v>coordinate, drawing and configuration law</x:v>
      </x:c>
      <x:c r="E17" s="44" t="str">
        <x:v>internal authority</x:v>
      </x:c>
    </x:row>
    <x:row r="18" ht="40" customHeight="1">
      <x:c r="B18" s="44" t="str">
        <x:v>SRC-12</x:v>
      </x:c>
      <x:c r="C18" s="44" t="str">
        <x:v>rendering hold</x:v>
      </x:c>
      <x:c r="D18" s="45" t="str">
        <x:v>exterior form requires later candidate and deployment research</x:v>
      </x:c>
      <x:c r="E18" s="44" t="str">
        <x:v>governing direction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14" hidden="0" customWidth="1"/>
  </x:cols>
  <x:sheetData>
    <x:row r="2">
      <x:c r="B2" s="41" t="str">
        <x:v>How to use RAC-1</x:v>
      </x:c>
      <x:c r="C2" s="42"/>
    </x:row>
    <x:row r="3">
      <x:c r="B3" s="43" t="str">
        <x:v>This workbook defines a construction constitution. It is not an issued fabrication package or an accepted article.</x:v>
      </x:c>
      <x:c r="C3" s="42"/>
    </x:row>
    <x:row r="4">
      <x:c r="B4" s="42"/>
      <x:c r="C4" s="42"/>
    </x:row>
    <x:row r="5">
      <x:c r="B5" s="42"/>
      <x:c r="C5" s="42"/>
    </x:row>
    <x:row r="6" ht="25" customHeight="1">
      <x:c r="B6" s="6" t="str">
        <x:v>Topic</x:v>
      </x:c>
      <x:c r="C6" s="6" t="str">
        <x:v>Guidance</x:v>
      </x:c>
    </x:row>
    <x:row r="7" ht="44" customHeight="1">
      <x:c r="B7" s="44" t="str">
        <x:v>Purpose</x:v>
      </x:c>
      <x:c r="C7" s="45" t="str">
        <x:v>Define the controlled construction package for both REA-100 public reference-article lineages.</x:v>
      </x:c>
    </x:row>
    <x:row r="8" ht="44" customHeight="1">
      <x:c r="B8" s="44" t="str">
        <x:v>Primary decision</x:v>
      </x:c>
      <x:c r="C8" s="45" t="str">
        <x:v>Whether the drawings, tolerance logic, lots, process routes and release predicates are complete enough to begin physical qualification.</x:v>
      </x:c>
    </x:row>
    <x:row r="9" ht="44" customHeight="1">
      <x:c r="B9" s="44" t="str">
        <x:v>Transport/deployment</x:v>
      </x:c>
      <x:c r="C9" s="45" t="str">
        <x:v>The article is a six-module stowed kit. It becomes a straight twelve-metre line only after surveyed deployment.</x:v>
      </x:c>
    </x:row>
    <x:row r="10" ht="44" customHeight="1">
      <x:c r="B10" s="44" t="str">
        <x:v>Lineage X</x:v>
      </x:c>
      <x:c r="C10" s="45" t="str">
        <x:v>Five permanent orbital girth welds create a fused path.</x:v>
      </x:c>
    </x:row>
    <x:row r="11" ht="44" customHeight="1">
      <x:c r="B11" s="44" t="str">
        <x:v>Lineage Y</x:v>
      </x:c>
      <x:c r="C11" s="45" t="str">
        <x:v>Five keyed double-barrier clamps create a serviceable path with monitored interspaces.</x:v>
      </x:c>
    </x:row>
    <x:row r="12" ht="44" customHeight="1">
      <x:c r="B12" s="44" t="str">
        <x:v>Dimensions</x:v>
      </x:c>
      <x:c r="C12" s="45" t="str">
        <x:v>Reference geometry closes at 20 deg C. Thermal growth is managed by one midpoint datum and sliding saddles.</x:v>
      </x:c>
    </x:row>
    <x:row r="13" ht="44" customHeight="1">
      <x:c r="B13" s="44" t="str">
        <x:v>Pressure</x:v>
      </x:c>
      <x:c r="C13" s="45" t="str">
        <x:v>Normal control is 0.1 MPa, relief is 0.25 MPa, design is 2 MPa and liquid proof is 3 MPa.</x:v>
      </x:c>
    </x:row>
    <x:row r="14" ht="44" customHeight="1">
      <x:c r="B14" s="44" t="str">
        <x:v>Safeing</x:v>
      </x:c>
      <x:c r="C14" s="45" t="str">
        <x:v>Spring work establishes final action. Normal power is not required for the safe direction.</x:v>
      </x:c>
    </x:row>
    <x:row r="15" ht="44" customHeight="1">
      <x:c r="B15" s="44" t="str">
        <x:v>Inputs</x:v>
      </x:c>
      <x:c r="C15" s="45" t="str">
        <x:v>Amber values are editable design hypotheses or inherited controls. Blue text identifies numeric inputs.</x:v>
      </x:c>
    </x:row>
    <x:row r="16" ht="44" customHeight="1">
      <x:c r="B16" s="44" t="str">
        <x:v>OPEN</x:v>
      </x:c>
      <x:c r="C16" s="45" t="str">
        <x:v>Required physical evidence or acceptance does not yet exist.</x:v>
      </x:c>
    </x:row>
    <x:row r="17" ht="44" customHeight="1">
      <x:c r="B17" s="44" t="str">
        <x:v>PASS</x:v>
      </x:c>
      <x:c r="C17" s="45" t="str">
        <x:v>A calculated planning boundary closes or an accepted record satisfies its prerequisites.</x:v>
      </x:c>
    </x:row>
    <x:row r="18" ht="44" customHeight="1">
      <x:c r="B18" s="44" t="str">
        <x:v>FAIL</x:v>
      </x:c>
      <x:c r="C18" s="45" t="str">
        <x:v>A declared acceptance exists but decisive evidence is missing or a limit is exceeded.</x:v>
      </x:c>
    </x:row>
    <x:row r="19" ht="44" customHeight="1">
      <x:c r="B19" s="44" t="str">
        <x:v>Finance</x:v>
      </x:c>
      <x:c r="C19" s="45" t="str">
        <x:v>USD 64M capital and USD 38M per year are fully nested inside RAP-1. Technology is cross-classified.</x:v>
      </x:c>
    </x:row>
    <x:row r="20" ht="44" customHeight="1">
      <x:c r="B20" s="44" t="str">
        <x:v>Authority</x:v>
      </x:c>
      <x:c r="C20" s="45" t="str">
        <x:v>Drawing issue, fabrication, article acceptance, source entry and exterior rendering remain unavailable.</x:v>
      </x:c>
    </x:row>
    <x:row r="21" ht="44" customHeight="1">
      <x:c r="B21" s="44" t="str">
        <x:v>Next object</x:v>
      </x:c>
      <x:c r="C21" s="45" t="str">
        <x:v>RAB-1: two lineage development articles, fixture commissioning and destructive build qualification.</x:v>
      </x:c>
    </x:row>
  </x:sheetData>
  <x:pageMargins left="0.7" right="0.7" top="0.75" bottom="0.75" header="0.3" footer="0.3"/>
</x:worksheet>
</file>