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9a327f50c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79b8f8b53dbb474f"/>
    <x:sheet xmlns:r="http://schemas.openxmlformats.org/officeDocument/2006/relationships" name="Assumptions" sheetId="2" r:id="Rb87846b009284031"/>
    <x:sheet xmlns:r="http://schemas.openxmlformats.org/officeDocument/2006/relationships" name="Entry Ladder" sheetId="3" r:id="R6f012cedb6c94a78"/>
    <x:sheet xmlns:r="http://schemas.openxmlformats.org/officeDocument/2006/relationships" name="Thermal Screens" sheetId="4" r:id="R66dcec27fc374965"/>
    <x:sheet xmlns:r="http://schemas.openxmlformats.org/officeDocument/2006/relationships" name="Inventory" sheetId="5" r:id="R783d88c653e64171"/>
    <x:sheet xmlns:r="http://schemas.openxmlformats.org/officeDocument/2006/relationships" name="Module Bank" sheetId="6" r:id="R2ab7b3cac8654061"/>
    <x:sheet xmlns:r="http://schemas.openxmlformats.org/officeDocument/2006/relationships" name="Exchange" sheetId="7" r:id="R47a5eed18e954a2e"/>
    <x:sheet xmlns:r="http://schemas.openxmlformats.org/officeDocument/2006/relationships" name="Capacity" sheetId="8" r:id="R13f294175ef34302"/>
    <x:sheet xmlns:r="http://schemas.openxmlformats.org/officeDocument/2006/relationships" name="Calendar" sheetId="9" r:id="R750fb11b1b6847a9"/>
    <x:sheet xmlns:r="http://schemas.openxmlformats.org/officeDocument/2006/relationships" name="Technology" sheetId="10" r:id="R1ab8509296d54fb6"/>
    <x:sheet xmlns:r="http://schemas.openxmlformats.org/officeDocument/2006/relationships" name="Workforce" sheetId="11" r:id="R8a035354524c4998"/>
    <x:sheet xmlns:r="http://schemas.openxmlformats.org/officeDocument/2006/relationships" name="Finance" sheetId="12" r:id="R53fae63a9e454506"/>
    <x:sheet xmlns:r="http://schemas.openxmlformats.org/officeDocument/2006/relationships" name="Authority" sheetId="13" r:id="R96a67977d3d94eb1"/>
    <x:sheet xmlns:r="http://schemas.openxmlformats.org/officeDocument/2006/relationships" name="Cases" sheetId="14" r:id="Rd20049142d3b4af6"/>
    <x:sheet xmlns:r="http://schemas.openxmlformats.org/officeDocument/2006/relationships" name="Audit" sheetId="15" r:id="Rc686563e5abb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"/>
  </x:numFmts>
  <x:fonts count="6">
    <x:font>
      <x:sz val="11"/>
      <x:name val="Carlito"/>
    </x:font>
    <x:font>
      <x:b/>
      <x:sz val="15"/>
      <x:color rgb="FF17324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070C0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0851b73444017" /><Relationship Type="http://schemas.openxmlformats.org/officeDocument/2006/relationships/theme" Target="/xl/theme/theme1.xml" Id="Rc0fc95080c6d4b32" /><Relationship Type="http://schemas.openxmlformats.org/officeDocument/2006/relationships/sharedStrings" Target="/xl/sharedStrings.xml" Id="Rfe27b918d4684d77" /><Relationship Type="http://schemas.openxmlformats.org/officeDocument/2006/relationships/worksheet" Target="/xl/worksheets/sheet1.xml" Id="R79b8f8b53dbb474f" /><Relationship Type="http://schemas.openxmlformats.org/officeDocument/2006/relationships/worksheet" Target="/xl/worksheets/sheet2.xml" Id="Rb87846b009284031" /><Relationship Type="http://schemas.openxmlformats.org/officeDocument/2006/relationships/worksheet" Target="/xl/worksheets/sheet3.xml" Id="R6f012cedb6c94a78" /><Relationship Type="http://schemas.openxmlformats.org/officeDocument/2006/relationships/worksheet" Target="/xl/worksheets/sheet4.xml" Id="R66dcec27fc374965" /><Relationship Type="http://schemas.openxmlformats.org/officeDocument/2006/relationships/worksheet" Target="/xl/worksheets/sheet5.xml" Id="R783d88c653e64171" /><Relationship Type="http://schemas.openxmlformats.org/officeDocument/2006/relationships/worksheet" Target="/xl/worksheets/sheet6.xml" Id="R2ab7b3cac8654061" /><Relationship Type="http://schemas.openxmlformats.org/officeDocument/2006/relationships/worksheet" Target="/xl/worksheets/sheet7.xml" Id="R47a5eed18e954a2e" /><Relationship Type="http://schemas.openxmlformats.org/officeDocument/2006/relationships/worksheet" Target="/xl/worksheets/sheet8.xml" Id="R13f294175ef34302" /><Relationship Type="http://schemas.openxmlformats.org/officeDocument/2006/relationships/worksheet" Target="/xl/worksheets/sheet9.xml" Id="R750fb11b1b6847a9" /><Relationship Type="http://schemas.openxmlformats.org/officeDocument/2006/relationships/worksheet" Target="/xl/worksheets/sheet10.xml" Id="R1ab8509296d54fb6" /><Relationship Type="http://schemas.openxmlformats.org/officeDocument/2006/relationships/worksheet" Target="/xl/worksheets/sheet11.xml" Id="R8a035354524c4998" /><Relationship Type="http://schemas.openxmlformats.org/officeDocument/2006/relationships/worksheet" Target="/xl/worksheets/sheet12.xml" Id="R53fae63a9e454506" /><Relationship Type="http://schemas.openxmlformats.org/officeDocument/2006/relationships/worksheet" Target="/xl/worksheets/sheet13.xml" Id="R96a67977d3d94eb1" /><Relationship Type="http://schemas.openxmlformats.org/officeDocument/2006/relationships/worksheet" Target="/xl/worksheets/sheet14.xml" Id="Rd20049142d3b4af6" /><Relationship Type="http://schemas.openxmlformats.org/officeDocument/2006/relationships/worksheet" Target="/xl/worksheets/sheet15.xml" Id="Rc686563e5abb42e6" /></Relationships>
</file>

<file path=xl/tables/table1.xml><?xml version="1.0" encoding="utf-8"?>
<x:table xmlns:x="http://schemas.openxmlformats.org/spreadsheetml/2006/main" id="1" name="RbgAssumptions" displayName="RbgAssumptions" ref="A5:E35" headerRowCount="1" totalsRowCount="0" totalsRowShown="0">
  <x:tableColumns count="5">
    <x:tableColumn id="1" name="Parameter"/>
    <x:tableColumn id="2" name="Value"/>
    <x:tableColumn id="3" name="Unit"/>
    <x:tableColumn id="4" name="Role"/>
    <x:tableColumn id="5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ryLadderTable" displayName="EntryLadderTable" ref="A5:L15" headerRowCount="1" totalsRowCount="0" totalsRowShown="0">
  <x:tableColumns count="12">
    <x:tableColumn id="1" name="Rung"/>
    <x:tableColumn id="2" name="Source kg/event"/>
    <x:tableColumn id="3" name="Water m³/event"/>
    <x:tableColumn id="4" name="Ignition"/>
    <x:tableColumn id="5" name="Area m²"/>
    <x:tableColumn id="6" name="Purpose"/>
    <x:tableColumn id="7" name="Required credits"/>
    <x:tableColumn id="8" name="Reserve attempts"/>
    <x:tableColumn id="9" name="Source required kg"/>
    <x:tableColumn id="10" name="Source maximum kg"/>
    <x:tableColumn id="11" name="Water required m³"/>
    <x:tableColumn id="12" name="Water maximum m³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ermalTable" displayName="ThermalTable" ref="A5:H9" headerRowCount="1" totalsRowCount="0" totalsRowShown="0">
  <x:tableColumns count="8">
    <x:tableColumn id="1" name="State"/>
    <x:tableColumn id="2" name="Source kg"/>
    <x:tableColumn id="3" name="Area m²"/>
    <x:tableColumn id="4" name="Burn flux kg/m²-s"/>
    <x:tableColumn id="5" name="LHV MJ/kg"/>
    <x:tableColumn id="6" name="Heat MW"/>
    <x:tableColumn id="7" name="Radiant MW"/>
    <x:tableColumn id="8" name="Duration m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ermalModuleTable" displayName="ThermalModuleTable" ref="A5:H23" headerRowCount="1" totalsRowCount="0" totalsRowShown="0">
  <x:tableColumns count="8">
    <x:tableColumn id="1" name="Module"/>
    <x:tableColumn id="2" name="Lineage"/>
    <x:tableColumn id="3" name="Role"/>
    <x:tableColumn id="4" name="Cell"/>
    <x:tableColumn id="5" name="Thermal build"/>
    <x:tableColumn id="6" name="Ancestry readers"/>
    <x:tableColumn id="7" name="Physical acceptance"/>
    <x:tableColumn id="8" name="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hermalExchangeTable" displayName="ThermalExchangeTable" ref="A5:J101" headerRowCount="1" totalsRowCount="0" totalsRowShown="0">
  <x:tableColumns count="10">
    <x:tableColumn id="1" name="Trial"/>
    <x:tableColumn id="2" name="Rig"/>
    <x:tableColumn id="3" name="Direction"/>
    <x:tableColumn id="4" name="Challenge"/>
    <x:tableColumn id="5" name="Geometry"/>
    <x:tableColumn id="6" name="Isolation"/>
    <x:tableColumn id="7" name="Cross-talk"/>
    <x:tableColumn id="8" name="Rollback"/>
    <x:tableColumn id="9" name="Evidence"/>
    <x:tableColumn id="10" name="St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pacityTable" displayName="CapacityTable" ref="A5:G17" headerRowCount="1" totalsRowCount="0" totalsRowShown="0">
  <x:tableColumns count="7">
    <x:tableColumn id="1" name="Scenario"/>
    <x:tableColumn id="2" name="Resource"/>
    <x:tableColumn id="3" name="Units"/>
    <x:tableColumn id="4" name="Interval h"/>
    <x:tableColumn id="5" name="Starts/week"/>
    <x:tableColumn id="6" name="Required rate"/>
    <x:tableColumn id="7" name="Margi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lendarTable" displayName="CalendarTable" ref="A5:H15" headerRowCount="1" totalsRowCount="0" totalsRowShown="0">
  <x:tableColumns count="8">
    <x:tableColumn id="1" name="Rung"/>
    <x:tableColumn id="2" name="Issue weeks"/>
    <x:tableColumn id="3" name="Return tail"/>
    <x:tableColumn id="4" name="Review lag"/>
    <x:tableColumn id="5" name="Boundary weeks"/>
    <x:tableColumn id="6" name="Cumulative weeks"/>
    <x:tableColumn id="7" name="Maximum reserve issue weeks"/>
    <x:tableColumn id="8" name="Maximum cumulative week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echnologyTable" displayName="TechnologyTable" ref="A5:C16" headerRowCount="1" totalsRowCount="0" totalsRowShown="0">
  <x:tableColumns count="3">
    <x:tableColumn id="1" name="Program"/>
    <x:tableColumn id="2" name="USD M"/>
    <x:tableColumn id="3" name="Required adva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orkforceTable" displayName="WorkforceTable" ref="A5:C13" headerRowCount="1" totalsRowCount="0" totalsRowShown="0">
  <x:tableColumns count="3">
    <x:tableColumn id="1" name="Function"/>
    <x:tableColumn id="2" name="Positions"/>
    <x:tableColumn id="3" name="Owned capacit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uthorityTable" displayName="AuthorityTable" ref="A5:F15" headerRowCount="1" totalsRowCount="0" totalsRowShown="0">
  <x:tableColumns count="6">
    <x:tableColumn id="1" name="Rung"/>
    <x:tableColumn id="2" name="Required cells"/>
    <x:tableColumn id="3" name="Credited cells"/>
    <x:tableColumn id="4" name="Prior state"/>
    <x:tableColumn id="5" name="Board acceptance"/>
    <x:tableColumn id="6" name="St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oundaryCases" displayName="BoundaryCases" ref="A5:G125" headerRowCount="1" totalsRowCount="0" totalsRowShown="0">
  <x:tableColumns count="7">
    <x:tableColumn id="1" name="Case"/>
    <x:tableColumn id="2" name="Category"/>
    <x:tableColumn id="3" name="Input"/>
    <x:tableColumn id="4" name="Lower"/>
    <x:tableColumn id="5" name="Upper"/>
    <x:tableColumn id="6" name="Expected"/>
    <x:tableColumn id="7" name="Calculate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uditTable" displayName="AuditTable" ref="A5:F185" headerRowCount="1" totalsRowCount="0" totalsRowShown="0">
  <x:tableColumns count="6">
    <x:tableColumn id="1" name="Audit"/>
    <x:tableColumn id="2" name="Family"/>
    <x:tableColumn id="3" name="Assertion"/>
    <x:tableColumn id="4" name="Expected"/>
    <x:tableColumn id="5" name="Observed"/>
    <x:tableColumn id="6" name="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7becd61e854d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df7a56138740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bfac55e3e647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d0e842601874e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680689d1d0242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5644d2b90e94c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dad51e8f8f645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a9ade866873e4a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98b51af34e4b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190ba95627486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513e2a3536f436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7f6ddd60fbfb4d50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4" hidden="0" customWidth="1"/>
    <x:col min="4" max="4" width="32" hidden="0" customWidth="1"/>
    <x:col min="5" max="5" width="24" hidden="0" customWidth="1"/>
  </x:cols>
  <x:sheetData>
    <x:row r="2" ht="26" customHeight="1">
      <x:c r="A2" s="13" t="str">
        <x:v>RBG-1 AM-06 entry-ladder reset</x:v>
      </x:c>
      <x:c r="B2" s="13" t="str">
        <x:v>RBG-1 AM-06 entry-ladder reset</x:v>
      </x:c>
      <x:c r="C2" s="13" t="str">
        <x:v>RBG-1 AM-06 entry-ladder reset</x:v>
      </x:c>
      <x:c r="D2" s="13" t="str">
        <x:v>RBG-1 AM-06 entry-ladder reset</x:v>
      </x:c>
      <x:c r="E2" s="13" t="str">
        <x:v>RBG-1 AM-06 entry-ladder reset</x:v>
      </x:c>
      <x:c r="F2" s="13" t="str">
        <x:v>RBG-1 AM-06 entry-ladder reset</x:v>
      </x:c>
      <x:c r="G2" s="13" t="str">
        <x:v>RBG-1 AM-06 entry-ladder reset</x:v>
      </x:c>
      <x:c r="H2" s="13" t="str">
        <x:v>RBG-1 AM-06 entry-ladder reset</x:v>
      </x:c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6" t="str">
        <x:v>Metric</x:v>
      </x:c>
      <x:c r="B5" s="6" t="str">
        <x:v>Value</x:v>
      </x:c>
      <x:c r="C5" s="14"/>
      <x:c r="D5" s="6" t="str">
        <x:v>Fiscal metric</x:v>
      </x:c>
      <x:c r="E5" s="6" t="str">
        <x:v>Value</x:v>
      </x:c>
      <x:c r="F5" s="14"/>
      <x:c r="G5" s="14"/>
      <x:c r="H5" s="14"/>
    </x:row>
    <x:row r="6">
      <x:c r="A6" s="8" t="str">
        <x:v>Physical rungs</x:v>
      </x:c>
      <x:c r="B6" s="8" t="n">
        <x:v>10</x:v>
      </x:c>
      <x:c r="C6" s="8"/>
      <x:c r="D6" s="8" t="str">
        <x:v>Capital increment USD M</x:v>
      </x:c>
      <x:c r="E6" s="8" t="n">
        <x:f>'Finance'!B7</x:f>
        <x:v>1100</x:v>
      </x:c>
      <x:c r="F6" s="14"/>
      <x:c r="G6" s="14"/>
      <x:c r="H6" s="14"/>
    </x:row>
    <x:row r="7">
      <x:c r="A7" s="8" t="str">
        <x:v>Required attempts</x:v>
      </x:c>
      <x:c r="B7" s="8" t="n">
        <x:f>'Inventory'!B6</x:f>
        <x:v>120</x:v>
      </x:c>
      <x:c r="C7" s="8"/>
      <x:c r="D7" s="8" t="str">
        <x:v>Annual increment USD M</x:v>
      </x:c>
      <x:c r="E7" s="8" t="n">
        <x:f>'Finance'!B10</x:f>
        <x:v>67</x:v>
      </x:c>
      <x:c r="F7" s="14"/>
      <x:c r="G7" s="14"/>
      <x:c r="H7" s="14"/>
    </x:row>
    <x:row r="8">
      <x:c r="A8" s="8" t="str">
        <x:v>Maximum attempts</x:v>
      </x:c>
      <x:c r="B8" s="8" t="n">
        <x:f>'Inventory'!C6</x:f>
        <x:v>160</x:v>
      </x:c>
      <x:c r="C8" s="8"/>
      <x:c r="D8" s="8" t="str">
        <x:v>Technology USD M</x:v>
      </x:c>
      <x:c r="E8" s="8" t="n">
        <x:f>'Finance'!B13</x:f>
        <x:v>235</x:v>
      </x:c>
      <x:c r="F8" s="14"/>
      <x:c r="G8" s="14"/>
      <x:c r="H8" s="14"/>
    </x:row>
    <x:row r="9">
      <x:c r="A9" s="8" t="str">
        <x:v>Required source kg</x:v>
      </x:c>
      <x:c r="B9" s="8" t="n">
        <x:f>'Inventory'!B7</x:f>
        <x:v>26400</x:v>
      </x:c>
      <x:c r="C9" s="8"/>
      <x:c r="D9" s="8" t="str">
        <x:v>Stage exposure USD M</x:v>
      </x:c>
      <x:c r="E9" s="8" t="n">
        <x:f>'Finance'!B16</x:f>
        <x:v>1301</x:v>
      </x:c>
      <x:c r="F9" s="14"/>
      <x:c r="G9" s="14"/>
      <x:c r="H9" s="14"/>
    </x:row>
    <x:row r="10">
      <x:c r="A10" s="8" t="str">
        <x:v>Maximum source kg</x:v>
      </x:c>
      <x:c r="B10" s="8" t="n">
        <x:f>'Inventory'!C7</x:f>
        <x:v>35200</x:v>
      </x:c>
      <x:c r="C10" s="8"/>
      <x:c r="D10" s="8" t="str">
        <x:v>Revised capital USD M</x:v>
      </x:c>
      <x:c r="E10" s="8" t="n">
        <x:f>'Finance'!B8</x:f>
        <x:v>1900</x:v>
      </x:c>
      <x:c r="F10" s="14"/>
      <x:c r="G10" s="14"/>
      <x:c r="H10" s="14"/>
    </x:row>
    <x:row r="11">
      <x:c r="A11" s="8" t="str">
        <x:v>Required water m³</x:v>
      </x:c>
      <x:c r="B11" s="8" t="n">
        <x:f>'Inventory'!B8</x:f>
        <x:v>1641.6</x:v>
      </x:c>
      <x:c r="C11" s="8"/>
      <x:c r="D11" s="8" t="str">
        <x:v>Revised annual USD M</x:v>
      </x:c>
      <x:c r="E11" s="8" t="n">
        <x:f>'Finance'!B11</x:f>
        <x:v>330</x:v>
      </x:c>
      <x:c r="F11" s="14"/>
      <x:c r="G11" s="14"/>
      <x:c r="H11" s="14"/>
    </x:row>
    <x:row r="12">
      <x:c r="A12" s="8" t="str">
        <x:v>Maximum water m³</x:v>
      </x:c>
      <x:c r="B12" s="8" t="n">
        <x:f>'Inventory'!C8</x:f>
        <x:v>2188.8</x:v>
      </x:c>
      <x:c r="C12" s="8"/>
      <x:c r="D12" s="8" t="str">
        <x:v>Revised technology USD M</x:v>
      </x:c>
      <x:c r="E12" s="8" t="n">
        <x:f>'Finance'!B14</x:f>
        <x:v>1400</x:v>
      </x:c>
      <x:c r="F12" s="14"/>
      <x:c r="G12" s="14"/>
      <x:c r="H12" s="14"/>
    </x:row>
    <x:row r="13">
      <x:c r="A13" s="8" t="str">
        <x:v>Qualified rate starts/week</x:v>
      </x:c>
      <x:c r="B13" s="8" t="n">
        <x:v>2</x:v>
      </x:c>
      <x:c r="C13" s="8"/>
      <x:c r="D13" s="8" t="str">
        <x:v>Cumulative child USD M</x:v>
      </x:c>
      <x:c r="E13" s="8" t="n">
        <x:f>'Finance'!B18</x:f>
        <x:v>2475.25</x:v>
      </x:c>
      <x:c r="F13" s="14"/>
      <x:c r="G13" s="14"/>
      <x:c r="H13" s="14"/>
    </x:row>
    <x:row r="14">
      <x:c r="A14" s="8" t="str">
        <x:v>Primary ladder weeks</x:v>
      </x:c>
      <x:c r="B14" s="8" t="n">
        <x:f>'Calendar'!F15</x:f>
        <x:v>130</x:v>
      </x:c>
      <x:c r="C14" s="8"/>
      <x:c r="D14" s="8" t="str">
        <x:v>Authority state</x:v>
      </x:c>
      <x:c r="E14" s="8" t="str">
        <x:v>OPEN — NO EVENT ISSUE</x:v>
      </x:c>
      <x:c r="F14" s="14"/>
      <x:c r="G14" s="14"/>
      <x:c r="H14" s="14"/>
    </x:row>
    <x:row r="15">
      <x:c r="A15" s="8" t="str">
        <x:v>Maximum ladder weeks</x:v>
      </x:c>
      <x:c r="B15" s="8" t="n">
        <x:f>'Calendar'!H15</x:f>
        <x:v>150</x:v>
      </x:c>
      <x:c r="C15" s="8"/>
      <x:c r="D15" s="8"/>
      <x:c r="E15" s="8"/>
      <x:c r="F15" s="14"/>
      <x:c r="G15" s="14"/>
      <x:c r="H15" s="14"/>
    </x:row>
    <x:row r="16">
      <x:c r="A16" s="8" t="str">
        <x:v>Stage months</x:v>
      </x:c>
      <x:c r="B16" s="8" t="n">
        <x:v>36</x:v>
      </x:c>
      <x:c r="C16" s="8"/>
      <x:c r="D16" s="8"/>
      <x:c r="E16" s="8"/>
      <x:c r="F16" s="14"/>
      <x:c r="G16" s="14"/>
      <x:c r="H16" s="14"/>
    </x:row>
    <x:row r="17">
      <x:c r="A17" s="8" t="str">
        <x:v>Positions</x:v>
      </x:c>
      <x:c r="B17" s="8" t="n">
        <x:f>'Workforce'!B15</x:f>
        <x:v>720</x:v>
      </x:c>
      <x:c r="C17" s="8"/>
      <x:c r="D17" s="8"/>
      <x:c r="E17" s="8"/>
      <x:c r="F17" s="14"/>
      <x:c r="G17" s="14"/>
      <x:c r="H17" s="14"/>
    </x:row>
    <x:row r="18">
      <x:c r="A18" s="8" t="str">
        <x:v>Next object</x:v>
      </x:c>
      <x:c r="B18" s="8" t="str">
        <x:v>RBH-1 dry igniter reference</x:v>
      </x:c>
      <x:c r="C18" s="8"/>
      <x:c r="D18" s="8"/>
      <x:c r="E18" s="8"/>
      <x:c r="F18" s="14"/>
      <x:c r="G18" s="14"/>
      <x:c r="H18" s="14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8" hidden="0" customWidth="1"/>
    <x:col min="4" max="4" width="24" hidden="0" customWidth="1"/>
    <x:col min="5" max="5" width="15" hidden="0" customWidth="1"/>
  </x:cols>
  <x:sheetData>
    <x:row r="2" ht="26" customHeight="1">
      <x:c r="A2" s="13" t="str">
        <x:v>RBG-1 registered planning assumptions</x:v>
      </x:c>
      <x:c r="B2" s="13" t="str">
        <x:v>RBG-1 registered planning assumptions</x:v>
      </x:c>
      <x:c r="C2" s="13" t="str">
        <x:v>RBG-1 registered planning assumptions</x:v>
      </x:c>
      <x:c r="D2" s="13" t="str">
        <x:v>RBG-1 registered planning assumptions</x:v>
      </x:c>
      <x:c r="E2" s="13" t="str">
        <x:v>RBG-1 registered planning assumptions</x:v>
      </x:c>
    </x:row>
    <x:row r="3">
      <x:c r="A3" s="14"/>
      <x:c r="B3" s="14"/>
      <x:c r="C3" s="14"/>
      <x:c r="D3" s="14"/>
      <x:c r="E3" s="14"/>
    </x:row>
    <x:row r="4">
      <x:c r="A4" s="14"/>
      <x:c r="B4" s="14"/>
      <x:c r="C4" s="14"/>
      <x:c r="D4" s="14"/>
      <x:c r="E4" s="14"/>
    </x:row>
    <x:row r="5">
      <x:c r="A5" s="6" t="str">
        <x:v>Parameter</x:v>
      </x:c>
      <x:c r="B5" s="6" t="str">
        <x:v>Value</x:v>
      </x:c>
      <x:c r="C5" s="6" t="str">
        <x:v>Unit</x:v>
      </x:c>
      <x:c r="D5" s="6" t="str">
        <x:v>Role</x:v>
      </x:c>
      <x:c r="E5" s="6" t="str">
        <x:v>Source</x:v>
      </x:c>
    </x:row>
    <x:row r="6">
      <x:c r="A6" s="8" t="str">
        <x:v>Exact cells per rung</x:v>
      </x:c>
      <x:c r="B6" s="11" t="n">
        <x:v>12</x:v>
      </x:c>
      <x:c r="C6" s="8" t="str">
        <x:v>count</x:v>
      </x:c>
      <x:c r="D6" s="8" t="str">
        <x:v>denominator</x:v>
      </x:c>
      <x:c r="E6" s="8" t="str">
        <x:v>RBG-1</x:v>
      </x:c>
    </x:row>
    <x:row r="7">
      <x:c r="A7" s="8" t="str">
        <x:v>Physical rungs</x:v>
      </x:c>
      <x:c r="B7" s="11" t="n">
        <x:v>10</x:v>
      </x:c>
      <x:c r="C7" s="8" t="str">
        <x:v>count</x:v>
      </x:c>
      <x:c r="D7" s="8" t="str">
        <x:v>nested ladder</x:v>
      </x:c>
      <x:c r="E7" s="8" t="str">
        <x:v>RBG-1</x:v>
      </x:c>
    </x:row>
    <x:row r="8">
      <x:c r="A8" s="8" t="str">
        <x:v>Reserves per rung</x:v>
      </x:c>
      <x:c r="B8" s="11" t="n">
        <x:v>4</x:v>
      </x:c>
      <x:c r="C8" s="8" t="str">
        <x:v>count</x:v>
      </x:c>
      <x:c r="D8" s="8" t="str">
        <x:v>invalidity only</x:v>
      </x:c>
      <x:c r="E8" s="8" t="str">
        <x:v>RBG-1</x:v>
      </x:c>
    </x:row>
    <x:row r="9">
      <x:c r="A9" s="8" t="str">
        <x:v>Active modules</x:v>
      </x:c>
      <x:c r="B9" s="11" t="n">
        <x:v>12</x:v>
      </x:c>
      <x:c r="C9" s="8" t="str">
        <x:v>count</x:v>
      </x:c>
      <x:c r="D9" s="8" t="str">
        <x:v>one per cell</x:v>
      </x:c>
      <x:c r="E9" s="8" t="str">
        <x:v>RBG-1</x:v>
      </x:c>
    </x:row>
    <x:row r="10">
      <x:c r="A10" s="8" t="str">
        <x:v>Operational spares</x:v>
      </x:c>
      <x:c r="B10" s="11" t="n">
        <x:v>4</x:v>
      </x:c>
      <x:c r="C10" s="8" t="str">
        <x:v>count</x:v>
      </x:c>
      <x:c r="D10" s="8" t="str">
        <x:v>same lineage</x:v>
      </x:c>
      <x:c r="E10" s="8" t="str">
        <x:v>RBG-1</x:v>
      </x:c>
    </x:row>
    <x:row r="11">
      <x:c r="A11" s="8" t="str">
        <x:v>Forensic modules</x:v>
      </x:c>
      <x:c r="B11" s="11" t="n">
        <x:v>2</x:v>
      </x:c>
      <x:c r="C11" s="8" t="str">
        <x:v>count</x:v>
      </x:c>
      <x:c r="D11" s="8" t="str">
        <x:v>sealed</x:v>
      </x:c>
      <x:c r="E11" s="8" t="str">
        <x:v>RBG-1</x:v>
      </x:c>
    </x:row>
    <x:row r="12">
      <x:c r="A12" s="8" t="str">
        <x:v>Module return</x:v>
      </x:c>
      <x:c r="B12" s="11" t="n">
        <x:v>1008</x:v>
      </x:c>
      <x:c r="C12" s="8" t="str">
        <x:v>h</x:v>
      </x:c>
      <x:c r="D12" s="8" t="str">
        <x:v>post-fire</x:v>
      </x:c>
      <x:c r="E12" s="8" t="str">
        <x:v>RBG-1</x:v>
      </x:c>
    </x:row>
    <x:row r="13">
      <x:c r="A13" s="8" t="str">
        <x:v>Qualified host interval</x:v>
      </x:c>
      <x:c r="B13" s="11" t="n">
        <x:v>504</x:v>
      </x:c>
      <x:c r="C13" s="8" t="str">
        <x:v>h</x:v>
      </x:c>
      <x:c r="D13" s="8" t="str">
        <x:v>unlike module</x:v>
      </x:c>
      <x:c r="E13" s="8" t="str">
        <x:v>RBG-1</x:v>
      </x:c>
    </x:row>
    <x:row r="14">
      <x:c r="A14" s="8" t="str">
        <x:v>Fixed host interval</x:v>
      </x:c>
      <x:c r="B14" s="11" t="n">
        <x:v>1008</x:v>
      </x:c>
      <x:c r="C14" s="8" t="str">
        <x:v>h</x:v>
      </x:c>
      <x:c r="D14" s="8" t="str">
        <x:v>exchange denied</x:v>
      </x:c>
      <x:c r="E14" s="8" t="str">
        <x:v>RBG-1</x:v>
      </x:c>
    </x:row>
    <x:row r="15">
      <x:c r="A15" s="8" t="str">
        <x:v>Event units</x:v>
      </x:c>
      <x:c r="B15" s="11" t="n">
        <x:v>3</x:v>
      </x:c>
      <x:c r="C15" s="8" t="str">
        <x:v>count</x:v>
      </x:c>
      <x:c r="D15" s="8" t="str">
        <x:v>campus assets</x:v>
      </x:c>
      <x:c r="E15" s="8" t="str">
        <x:v>RBG-1</x:v>
      </x:c>
    </x:row>
    <x:row r="16">
      <x:c r="A16" s="8" t="str">
        <x:v>Return lanes</x:v>
      </x:c>
      <x:c r="B16" s="11" t="n">
        <x:v>12</x:v>
      </x:c>
      <x:c r="C16" s="8" t="str">
        <x:v>count</x:v>
      </x:c>
      <x:c r="D16" s="8" t="str">
        <x:v>full cycle</x:v>
      </x:c>
      <x:c r="E16" s="8" t="str">
        <x:v>RBG-1</x:v>
      </x:c>
    </x:row>
    <x:row r="17">
      <x:c r="A17" s="8" t="str">
        <x:v>Preparation paths</x:v>
      </x:c>
      <x:c r="B17" s="11" t="n">
        <x:v>2</x:v>
      </x:c>
      <x:c r="C17" s="8" t="str">
        <x:v>count</x:v>
      </x:c>
      <x:c r="D17" s="8" t="str">
        <x:v>source-water pair</x:v>
      </x:c>
      <x:c r="E17" s="8" t="str">
        <x:v>RBG-1</x:v>
      </x:c>
    </x:row>
    <x:row r="18">
      <x:c r="A18" s="8" t="str">
        <x:v>Evidence paths</x:v>
      </x:c>
      <x:c r="B18" s="11" t="n">
        <x:v>2</x:v>
      </x:c>
      <x:c r="C18" s="8" t="str">
        <x:v>count</x:v>
      </x:c>
      <x:c r="D18" s="8" t="str">
        <x:v>live ingest</x:v>
      </x:c>
      <x:c r="E18" s="8" t="str">
        <x:v>RBG-1</x:v>
      </x:c>
    </x:row>
    <x:row r="19">
      <x:c r="A19" s="8" t="str">
        <x:v>Issue rate</x:v>
      </x:c>
      <x:c r="B19" s="11" t="n">
        <x:v>2</x:v>
      </x:c>
      <x:c r="C19" s="8" t="str">
        <x:v>starts/week</x:v>
      </x:c>
      <x:c r="D19" s="8" t="str">
        <x:v>balanced rate</x:v>
      </x:c>
      <x:c r="E19" s="8" t="str">
        <x:v>RBG-1</x:v>
      </x:c>
    </x:row>
    <x:row r="20">
      <x:c r="A20" s="8" t="str">
        <x:v>Issue weeks per rung</x:v>
      </x:c>
      <x:c r="B20" s="11" t="n">
        <x:v>6</x:v>
      </x:c>
      <x:c r="C20" s="8" t="str">
        <x:v>weeks</x:v>
      </x:c>
      <x:c r="D20" s="8" t="str">
        <x:v>twelve credits</x:v>
      </x:c>
      <x:c r="E20" s="8" t="str">
        <x:v>RBG-1</x:v>
      </x:c>
    </x:row>
    <x:row r="21">
      <x:c r="A21" s="8" t="str">
        <x:v>Return tail</x:v>
      </x:c>
      <x:c r="B21" s="11" t="n">
        <x:v>6</x:v>
      </x:c>
      <x:c r="C21" s="8" t="str">
        <x:v>weeks</x:v>
      </x:c>
      <x:c r="D21" s="8" t="str">
        <x:v>last primary</x:v>
      </x:c>
      <x:c r="E21" s="8" t="str">
        <x:v>RBG-1</x:v>
      </x:c>
    </x:row>
    <x:row r="22">
      <x:c r="A22" s="8" t="str">
        <x:v>Review lag</x:v>
      </x:c>
      <x:c r="B22" s="11" t="n">
        <x:v>2</x:v>
      </x:c>
      <x:c r="C22" s="8" t="str">
        <x:v>weeks</x:v>
      </x:c>
      <x:c r="D22" s="8" t="str">
        <x:v>rung board</x:v>
      </x:c>
      <x:c r="E22" s="8" t="str">
        <x:v>RBG-1</x:v>
      </x:c>
    </x:row>
    <x:row r="23">
      <x:c r="A23" s="8" t="str">
        <x:v>Rung boundary</x:v>
      </x:c>
      <x:c r="B23" s="11" t="n">
        <x:v>13</x:v>
      </x:c>
      <x:c r="C23" s="8" t="str">
        <x:v>weeks</x:v>
      </x:c>
      <x:c r="D23" s="8" t="str">
        <x:v>nested release</x:v>
      </x:c>
      <x:c r="E23" s="8" t="str">
        <x:v>RBG-1</x:v>
      </x:c>
    </x:row>
    <x:row r="24">
      <x:c r="A24" s="8" t="str">
        <x:v>Stage duration</x:v>
      </x:c>
      <x:c r="B24" s="11" t="n">
        <x:v>36</x:v>
      </x:c>
      <x:c r="C24" s="8" t="str">
        <x:v>months</x:v>
      </x:c>
      <x:c r="D24" s="8" t="str">
        <x:v>maximum envelope</x:v>
      </x:c>
      <x:c r="E24" s="8" t="str">
        <x:v>RBG-1</x:v>
      </x:c>
    </x:row>
    <x:row r="25">
      <x:c r="A25" s="8" t="str">
        <x:v>Capital increment</x:v>
      </x:c>
      <x:c r="B25" s="11" t="n">
        <x:v>1100</x:v>
      </x:c>
      <x:c r="C25" s="8" t="str">
        <x:v>USD M</x:v>
      </x:c>
      <x:c r="D25" s="8" t="str">
        <x:v>RAS-3R</x:v>
      </x:c>
      <x:c r="E25" s="8" t="str">
        <x:v>RBG-1</x:v>
      </x:c>
    </x:row>
    <x:row r="26">
      <x:c r="A26" s="8" t="str">
        <x:v>Annual increment</x:v>
      </x:c>
      <x:c r="B26" s="11" t="n">
        <x:v>67</x:v>
      </x:c>
      <x:c r="C26" s="8" t="str">
        <x:v>USD M/year</x:v>
      </x:c>
      <x:c r="D26" s="8" t="str">
        <x:v>RAS-3R</x:v>
      </x:c>
      <x:c r="E26" s="8" t="str">
        <x:v>RBG-1</x:v>
      </x:c>
    </x:row>
    <x:row r="27">
      <x:c r="A27" s="8" t="str">
        <x:v>Technology increment</x:v>
      </x:c>
      <x:c r="B27" s="11" t="n">
        <x:v>235</x:v>
      </x:c>
      <x:c r="C27" s="8" t="str">
        <x:v>USD M</x:v>
      </x:c>
      <x:c r="D27" s="8" t="str">
        <x:v>RAS-3R</x:v>
      </x:c>
      <x:c r="E27" s="8" t="str">
        <x:v>RBG-1</x:v>
      </x:c>
    </x:row>
    <x:row r="28">
      <x:c r="A28" s="8" t="str">
        <x:v>Position increment</x:v>
      </x:c>
      <x:c r="B28" s="11" t="n">
        <x:v>160</x:v>
      </x:c>
      <x:c r="C28" s="8" t="str">
        <x:v>positions</x:v>
      </x:c>
      <x:c r="D28" s="8" t="str">
        <x:v>RAS-3R</x:v>
      </x:c>
      <x:c r="E28" s="8" t="str">
        <x:v>RBG-1</x:v>
      </x:c>
    </x:row>
    <x:row r="29">
      <x:c r="A29" s="8" t="str">
        <x:v>Current capital</x:v>
      </x:c>
      <x:c r="B29" s="11" t="n">
        <x:v>800</x:v>
      </x:c>
      <x:c r="C29" s="8" t="str">
        <x:v>USD M</x:v>
      </x:c>
      <x:c r="D29" s="8" t="str">
        <x:v>RAS-2R</x:v>
      </x:c>
      <x:c r="E29" s="8" t="str">
        <x:v>RBF-1</x:v>
      </x:c>
    </x:row>
    <x:row r="30">
      <x:c r="A30" s="8" t="str">
        <x:v>Current annual</x:v>
      </x:c>
      <x:c r="B30" s="11" t="n">
        <x:v>263</x:v>
      </x:c>
      <x:c r="C30" s="8" t="str">
        <x:v>USD M/year</x:v>
      </x:c>
      <x:c r="D30" s="8" t="str">
        <x:v>RAS-2R</x:v>
      </x:c>
      <x:c r="E30" s="8" t="str">
        <x:v>RBF-1</x:v>
      </x:c>
    </x:row>
    <x:row r="31">
      <x:c r="A31" s="8" t="str">
        <x:v>Current technology</x:v>
      </x:c>
      <x:c r="B31" s="11" t="n">
        <x:v>1165</x:v>
      </x:c>
      <x:c r="C31" s="8" t="str">
        <x:v>USD M</x:v>
      </x:c>
      <x:c r="D31" s="8" t="str">
        <x:v>RAS-2R</x:v>
      </x:c>
      <x:c r="E31" s="8" t="str">
        <x:v>RBF-1</x:v>
      </x:c>
    </x:row>
    <x:row r="32">
      <x:c r="A32" s="8" t="str">
        <x:v>Current positions</x:v>
      </x:c>
      <x:c r="B32" s="11" t="n">
        <x:v>560</x:v>
      </x:c>
      <x:c r="C32" s="8" t="str">
        <x:v>positions</x:v>
      </x:c>
      <x:c r="D32" s="8" t="str">
        <x:v>RAS-2R</x:v>
      </x:c>
      <x:c r="E32" s="8" t="str">
        <x:v>RBF-1</x:v>
      </x:c>
    </x:row>
    <x:row r="33">
      <x:c r="A33" s="8" t="str">
        <x:v>Prior cumulative child</x:v>
      </x:c>
      <x:c r="B33" s="11" t="n">
        <x:v>1174.25</x:v>
      </x:c>
      <x:c r="C33" s="8" t="str">
        <x:v>USD M</x:v>
      </x:c>
      <x:c r="D33" s="8" t="str">
        <x:v>through RBF-1</x:v>
      </x:c>
      <x:c r="E33" s="8" t="str">
        <x:v>RBF-1</x:v>
      </x:c>
    </x:row>
    <x:row r="34">
      <x:c r="A34" s="8" t="str">
        <x:v>Ancestry minimum</x:v>
      </x:c>
      <x:c r="B34" s="11" t="n">
        <x:v>0.995</x:v>
      </x:c>
      <x:c r="C34" s="8" t="str">
        <x:v>ratio</x:v>
      </x:c>
      <x:c r="D34" s="8" t="str">
        <x:v>each medium</x:v>
      </x:c>
      <x:c r="E34" s="8" t="str">
        <x:v>RAS-1</x:v>
      </x:c>
    </x:row>
    <x:row r="35">
      <x:c r="A35" s="8" t="str">
        <x:v>Cross-talk maximum</x:v>
      </x:c>
      <x:c r="B35" s="11" t="n">
        <x:v>0.005</x:v>
      </x:c>
      <x:c r="C35" s="8" t="str">
        <x:v>ratio</x:v>
      </x:c>
      <x:c r="D35" s="8" t="str">
        <x:v>each medium</x:v>
      </x:c>
      <x:c r="E35" s="8" t="str">
        <x:v>RAS-1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b87becd61e854d41"/>
  </x:tableParts>
</x:worksheet>
</file>

<file path=xl/worksheets/sheet3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30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2" ht="26" customHeight="1">
      <x:c r="A2" s="13" t="str">
        <x:v>Ten-rung AM-06 entry ladder</x:v>
      </x:c>
      <x:c r="B2" s="13" t="str">
        <x:v>Ten-rung AM-06 entry ladder</x:v>
      </x:c>
      <x:c r="C2" s="13" t="str">
        <x:v>Ten-rung AM-06 entry ladder</x:v>
      </x:c>
      <x:c r="D2" s="13" t="str">
        <x:v>Ten-rung AM-06 entry ladder</x:v>
      </x:c>
      <x:c r="E2" s="13" t="str">
        <x:v>Ten-rung AM-06 entry ladder</x:v>
      </x:c>
      <x:c r="F2" s="13" t="str">
        <x:v>Ten-rung AM-06 entry ladder</x:v>
      </x:c>
      <x:c r="G2" s="13" t="str">
        <x:v>Ten-rung AM-06 entry ladder</x:v>
      </x:c>
      <x:c r="H2" s="13" t="str">
        <x:v>Ten-rung AM-06 entry ladder</x:v>
      </x:c>
      <x:c r="I2" s="13" t="str">
        <x:v>Ten-rung AM-06 entry ladder</x:v>
      </x:c>
      <x:c r="J2" s="13" t="str">
        <x:v>Ten-rung AM-06 entry ladder</x:v>
      </x:c>
      <x:c r="K2" s="13" t="str">
        <x:v>Ten-rung AM-06 entry ladder</x:v>
      </x:c>
      <x:c r="L2" s="13" t="str">
        <x:v>Ten-rung AM-06 entry ladder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>
      <x:c r="A5" s="6" t="str">
        <x:v>Rung</x:v>
      </x:c>
      <x:c r="B5" s="6" t="str">
        <x:v>Source kg/event</x:v>
      </x:c>
      <x:c r="C5" s="6" t="str">
        <x:v>Water m³/event</x:v>
      </x:c>
      <x:c r="D5" s="6" t="str">
        <x:v>Ignition</x:v>
      </x:c>
      <x:c r="E5" s="6" t="str">
        <x:v>Area m²</x:v>
      </x:c>
      <x:c r="F5" s="6" t="str">
        <x:v>Purpose</x:v>
      </x:c>
      <x:c r="G5" s="6" t="str">
        <x:v>Required credits</x:v>
      </x:c>
      <x:c r="H5" s="6" t="str">
        <x:v>Reserve attempts</x:v>
      </x:c>
      <x:c r="I5" s="6" t="str">
        <x:v>Source required kg</x:v>
      </x:c>
      <x:c r="J5" s="6" t="str">
        <x:v>Source maximum kg</x:v>
      </x:c>
      <x:c r="K5" s="6" t="str">
        <x:v>Water required m³</x:v>
      </x:c>
      <x:c r="L5" s="6" t="str">
        <x:v>Water maximum m³</x:v>
      </x:c>
    </x:row>
    <x:row r="6">
      <x:c r="A6" s="8" t="str">
        <x:v>ER-01</x:v>
      </x:c>
      <x:c r="B6" s="8" t="n">
        <x:v>0</x:v>
      </x:c>
      <x:c r="C6" s="8" t="n">
        <x:v>0</x:v>
      </x:c>
      <x:c r="D6" s="8" t="str">
        <x:v>DISCHARGE</x:v>
      </x:c>
      <x:c r="E6" s="8" t="n">
        <x:v>0</x:v>
      </x:c>
      <x:c r="F6" s="8" t="str">
        <x:v>dry igniter reference</x:v>
      </x:c>
      <x:c r="G6" s="8" t="n">
        <x:v>12</x:v>
      </x:c>
      <x:c r="H6" s="8" t="n">
        <x:v>4</x:v>
      </x:c>
      <x:c r="I6" s="8" t="n">
        <x:f>B6*G6</x:f>
        <x:v>0</x:v>
      </x:c>
      <x:c r="J6" s="8" t="n">
        <x:f>B6*(G6+H6)</x:f>
        <x:v>0</x:v>
      </x:c>
      <x:c r="K6" s="8" t="n">
        <x:f>C6*G6</x:f>
        <x:v>0</x:v>
      </x:c>
      <x:c r="L6" s="8" t="n">
        <x:f>C6*(G6+H6)</x:f>
        <x:v>0</x:v>
      </x:c>
    </x:row>
    <x:row r="7">
      <x:c r="A7" s="8" t="str">
        <x:v>ER-02</x:v>
      </x:c>
      <x:c r="B7" s="8" t="n">
        <x:v>0</x:v>
      </x:c>
      <x:c r="C7" s="8" t="n">
        <x:v>24</x:v>
      </x:c>
      <x:c r="D7" s="8" t="str">
        <x:v>PROHIBITED</x:v>
      </x:c>
      <x:c r="E7" s="8" t="n">
        <x:v>6.25</x:v>
      </x:c>
      <x:c r="F7" s="8" t="str">
        <x:v>water hydraulics</x:v>
      </x:c>
      <x:c r="G7" s="8" t="n">
        <x:v>12</x:v>
      </x:c>
      <x:c r="H7" s="8" t="n">
        <x:v>4</x:v>
      </x:c>
      <x:c r="I7" s="8" t="n">
        <x:f>B7*G7</x:f>
        <x:v>0</x:v>
      </x:c>
      <x:c r="J7" s="8" t="n">
        <x:f>B7*(G7+H7)</x:f>
        <x:v>0</x:v>
      </x:c>
      <x:c r="K7" s="8" t="n">
        <x:f>C7*G7</x:f>
        <x:v>288</x:v>
      </x:c>
      <x:c r="L7" s="8" t="n">
        <x:f>C7*(G7+H7)</x:f>
        <x:v>384</x:v>
      </x:c>
    </x:row>
    <x:row r="8">
      <x:c r="A8" s="8" t="str">
        <x:v>ER-03</x:v>
      </x:c>
      <x:c r="B8" s="8" t="n">
        <x:v>0</x:v>
      </x:c>
      <x:c r="C8" s="8" t="n">
        <x:v>24</x:v>
      </x:c>
      <x:c r="D8" s="8" t="str">
        <x:v>PROHIBITED</x:v>
      </x:c>
      <x:c r="E8" s="8" t="n">
        <x:v>6.25</x:v>
      </x:c>
      <x:c r="F8" s="8" t="str">
        <x:v>blind dual ancestry</x:v>
      </x:c>
      <x:c r="G8" s="8" t="n">
        <x:v>12</x:v>
      </x:c>
      <x:c r="H8" s="8" t="n">
        <x:v>4</x:v>
      </x:c>
      <x:c r="I8" s="8" t="n">
        <x:f>B8*G8</x:f>
        <x:v>0</x:v>
      </x:c>
      <x:c r="J8" s="8" t="n">
        <x:f>B8*(G8+H8)</x:f>
        <x:v>0</x:v>
      </x:c>
      <x:c r="K8" s="8" t="n">
        <x:f>C8*G8</x:f>
        <x:v>288</x:v>
      </x:c>
      <x:c r="L8" s="8" t="n">
        <x:f>C8*(G8+H8)</x:f>
        <x:v>384</x:v>
      </x:c>
    </x:row>
    <x:row r="9">
      <x:c r="A9" s="8" t="str">
        <x:v>ER-04</x:v>
      </x:c>
      <x:c r="B9" s="8" t="n">
        <x:v>100</x:v>
      </x:c>
      <x:c r="C9" s="8" t="n">
        <x:v>0</x:v>
      </x:c>
      <x:c r="D9" s="8" t="str">
        <x:v>OPPORTUNITY</x:v>
      </x:c>
      <x:c r="E9" s="8" t="n">
        <x:v>2.5</x:v>
      </x:c>
      <x:c r="F9" s="8" t="str">
        <x:v>low-source flame</x:v>
      </x:c>
      <x:c r="G9" s="8" t="n">
        <x:v>12</x:v>
      </x:c>
      <x:c r="H9" s="8" t="n">
        <x:v>4</x:v>
      </x:c>
      <x:c r="I9" s="8" t="n">
        <x:f>B9*G9</x:f>
        <x:v>1200</x:v>
      </x:c>
      <x:c r="J9" s="8" t="n">
        <x:f>B9*(G9+H9)</x:f>
        <x:v>1600</x:v>
      </x:c>
      <x:c r="K9" s="8" t="n">
        <x:f>C9*G9</x:f>
        <x:v>0</x:v>
      </x:c>
      <x:c r="L9" s="8" t="n">
        <x:f>C9*(G9+H9)</x:f>
        <x:v>0</x:v>
      </x:c>
    </x:row>
    <x:row r="10">
      <x:c r="A10" s="8" t="str">
        <x:v>ER-05</x:v>
      </x:c>
      <x:c r="B10" s="8" t="n">
        <x:v>100</x:v>
      </x:c>
      <x:c r="C10" s="8" t="n">
        <x:v>4.8</x:v>
      </x:c>
      <x:c r="D10" s="8" t="str">
        <x:v>OPPORTUNITY</x:v>
      </x:c>
      <x:c r="E10" s="8" t="n">
        <x:v>2.5</x:v>
      </x:c>
      <x:c r="F10" s="8" t="str">
        <x:v>proportional water</x:v>
      </x:c>
      <x:c r="G10" s="8" t="n">
        <x:v>12</x:v>
      </x:c>
      <x:c r="H10" s="8" t="n">
        <x:v>4</x:v>
      </x:c>
      <x:c r="I10" s="8" t="n">
        <x:f>B10*G10</x:f>
        <x:v>1200</x:v>
      </x:c>
      <x:c r="J10" s="8" t="n">
        <x:f>B10*(G10+H10)</x:f>
        <x:v>1600</x:v>
      </x:c>
      <x:c r="K10" s="8" t="n">
        <x:f>C10*G10</x:f>
        <x:v>57.599999999999994</x:v>
      </x:c>
      <x:c r="L10" s="8" t="n">
        <x:f>C10*(G10+H10)</x:f>
        <x:v>76.8</x:v>
      </x:c>
    </x:row>
    <x:row r="11">
      <x:c r="A11" s="8" t="str">
        <x:v>ER-06</x:v>
      </x:c>
      <x:c r="B11" s="8" t="n">
        <x:v>250</x:v>
      </x:c>
      <x:c r="C11" s="8" t="n">
        <x:v>0</x:v>
      </x:c>
      <x:c r="D11" s="8" t="str">
        <x:v>OPPORTUNITY</x:v>
      </x:c>
      <x:c r="E11" s="8" t="n">
        <x:v>5</x:v>
      </x:c>
      <x:c r="F11" s="8" t="str">
        <x:v>inventory transition</x:v>
      </x:c>
      <x:c r="G11" s="8" t="n">
        <x:v>12</x:v>
      </x:c>
      <x:c r="H11" s="8" t="n">
        <x:v>4</x:v>
      </x:c>
      <x:c r="I11" s="8" t="n">
        <x:f>B11*G11</x:f>
        <x:v>3000</x:v>
      </x:c>
      <x:c r="J11" s="8" t="n">
        <x:f>B11*(G11+H11)</x:f>
        <x:v>4000</x:v>
      </x:c>
      <x:c r="K11" s="8" t="n">
        <x:f>C11*G11</x:f>
        <x:v>0</x:v>
      </x:c>
      <x:c r="L11" s="8" t="n">
        <x:f>C11*(G11+H11)</x:f>
        <x:v>0</x:v>
      </x:c>
    </x:row>
    <x:row r="12">
      <x:c r="A12" s="8" t="str">
        <x:v>ER-07</x:v>
      </x:c>
      <x:c r="B12" s="8" t="n">
        <x:v>250</x:v>
      </x:c>
      <x:c r="C12" s="8" t="n">
        <x:v>12</x:v>
      </x:c>
      <x:c r="D12" s="8" t="str">
        <x:v>OPPORTUNITY</x:v>
      </x:c>
      <x:c r="E12" s="8" t="n">
        <x:v>5</x:v>
      </x:c>
      <x:c r="F12" s="8" t="str">
        <x:v>coupled intermediate</x:v>
      </x:c>
      <x:c r="G12" s="8" t="n">
        <x:v>12</x:v>
      </x:c>
      <x:c r="H12" s="8" t="n">
        <x:v>4</x:v>
      </x:c>
      <x:c r="I12" s="8" t="n">
        <x:f>B12*G12</x:f>
        <x:v>3000</x:v>
      </x:c>
      <x:c r="J12" s="8" t="n">
        <x:f>B12*(G12+H12)</x:f>
        <x:v>4000</x:v>
      </x:c>
      <x:c r="K12" s="8" t="n">
        <x:f>C12*G12</x:f>
        <x:v>144</x:v>
      </x:c>
      <x:c r="L12" s="8" t="n">
        <x:f>C12*(G12+H12)</x:f>
        <x:v>192</x:v>
      </x:c>
    </x:row>
    <x:row r="13">
      <x:c r="A13" s="8" t="str">
        <x:v>ER-08</x:v>
      </x:c>
      <x:c r="B13" s="8" t="n">
        <x:v>500</x:v>
      </x:c>
      <x:c r="C13" s="8" t="n">
        <x:v>0</x:v>
      </x:c>
      <x:c r="D13" s="8" t="str">
        <x:v>OPPORTUNITY</x:v>
      </x:c>
      <x:c r="E13" s="8" t="n">
        <x:v>6.25</x:v>
      </x:c>
      <x:c r="F13" s="8" t="str">
        <x:v>nominal dry fire</x:v>
      </x:c>
      <x:c r="G13" s="8" t="n">
        <x:v>12</x:v>
      </x:c>
      <x:c r="H13" s="8" t="n">
        <x:v>4</x:v>
      </x:c>
      <x:c r="I13" s="8" t="n">
        <x:f>B13*G13</x:f>
        <x:v>6000</x:v>
      </x:c>
      <x:c r="J13" s="8" t="n">
        <x:f>B13*(G13+H13)</x:f>
        <x:v>8000</x:v>
      </x:c>
      <x:c r="K13" s="8" t="n">
        <x:f>C13*G13</x:f>
        <x:v>0</x:v>
      </x:c>
      <x:c r="L13" s="8" t="n">
        <x:f>C13*(G13+H13)</x:f>
        <x:v>0</x:v>
      </x:c>
    </x:row>
    <x:row r="14">
      <x:c r="A14" s="8" t="str">
        <x:v>ER-09</x:v>
      </x:c>
      <x:c r="B14" s="8" t="n">
        <x:v>500</x:v>
      </x:c>
      <x:c r="C14" s="8" t="n">
        <x:v>24</x:v>
      </x:c>
      <x:c r="D14" s="8" t="str">
        <x:v>OPPORTUNITY</x:v>
      </x:c>
      <x:c r="E14" s="8" t="n">
        <x:v>6.25</x:v>
      </x:c>
      <x:c r="F14" s="8" t="str">
        <x:v>nominal coupled fire</x:v>
      </x:c>
      <x:c r="G14" s="8" t="n">
        <x:v>12</x:v>
      </x:c>
      <x:c r="H14" s="8" t="n">
        <x:v>4</x:v>
      </x:c>
      <x:c r="I14" s="8" t="n">
        <x:f>B14*G14</x:f>
        <x:v>6000</x:v>
      </x:c>
      <x:c r="J14" s="8" t="n">
        <x:f>B14*(G14+H14)</x:f>
        <x:v>8000</x:v>
      </x:c>
      <x:c r="K14" s="8" t="n">
        <x:f>C14*G14</x:f>
        <x:v>288</x:v>
      </x:c>
      <x:c r="L14" s="8" t="n">
        <x:f>C14*(G14+H14)</x:f>
        <x:v>384</x:v>
      </x:c>
    </x:row>
    <x:row r="15">
      <x:c r="A15" s="8" t="str">
        <x:v>ER-10</x:v>
      </x:c>
      <x:c r="B15" s="8" t="n">
        <x:v>500</x:v>
      </x:c>
      <x:c r="C15" s="8" t="n">
        <x:v>48</x:v>
      </x:c>
      <x:c r="D15" s="8" t="str">
        <x:v>OPPORTUNITY</x:v>
      </x:c>
      <x:c r="E15" s="8" t="n">
        <x:v>25</x:v>
      </x:c>
      <x:c r="F15" s="8" t="str">
        <x:v>casualty bound</x:v>
      </x:c>
      <x:c r="G15" s="8" t="n">
        <x:v>12</x:v>
      </x:c>
      <x:c r="H15" s="8" t="n">
        <x:v>4</x:v>
      </x:c>
      <x:c r="I15" s="8" t="n">
        <x:f>B15*G15</x:f>
        <x:v>6000</x:v>
      </x:c>
      <x:c r="J15" s="8" t="n">
        <x:f>B15*(G15+H15)</x:f>
        <x:v>8000</x:v>
      </x:c>
      <x:c r="K15" s="8" t="n">
        <x:f>C15*G15</x:f>
        <x:v>576</x:v>
      </x:c>
      <x:c r="L15" s="8" t="n">
        <x:f>C15*(G15+H15)</x:f>
        <x:v>768</x:v>
      </x:c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</x:row>
    <x:row r="17">
      <x:c r="A17" s="8" t="str">
        <x:v>Required attempts</x:v>
      </x:c>
      <x:c r="B17" s="8" t="n">
        <x:f>SUM(G6:G15)</x:f>
        <x:v>120</x:v>
      </x:c>
      <x:c r="C17" s="8"/>
      <x:c r="D17" s="8"/>
      <x:c r="E17" s="8"/>
      <x:c r="F17" s="8"/>
      <x:c r="G17" s="8"/>
      <x:c r="H17" s="8"/>
      <x:c r="I17" s="8"/>
      <x:c r="J17" s="8"/>
      <x:c r="K17" s="8"/>
      <x:c r="L17" s="8"/>
    </x:row>
    <x:row r="18">
      <x:c r="A18" s="8" t="str">
        <x:v>Maximum attempts</x:v>
      </x:c>
      <x:c r="B18" s="8" t="n">
        <x:f>SUM(G6:H15)</x:f>
        <x:v>160</x:v>
      </x:c>
      <x:c r="C18" s="8"/>
      <x:c r="D18" s="8"/>
      <x:c r="E18" s="8"/>
      <x:c r="F18" s="8"/>
      <x:c r="G18" s="8"/>
      <x:c r="H18" s="8"/>
      <x:c r="I18" s="8"/>
      <x:c r="J18" s="8"/>
      <x:c r="K18" s="8"/>
      <x:c r="L18" s="8"/>
    </x:row>
    <x:row r="19">
      <x:c r="A19" s="8" t="str">
        <x:v>Required source kg</x:v>
      </x:c>
      <x:c r="B19" s="8" t="n">
        <x:f>SUM(I6:I15)</x:f>
        <x:v>26400</x:v>
      </x:c>
      <x:c r="C19" s="8"/>
      <x:c r="D19" s="8"/>
      <x:c r="E19" s="8"/>
      <x:c r="F19" s="8"/>
      <x:c r="G19" s="8"/>
      <x:c r="H19" s="8"/>
      <x:c r="I19" s="8"/>
      <x:c r="J19" s="8"/>
      <x:c r="K19" s="8"/>
      <x:c r="L19" s="8"/>
    </x:row>
    <x:row r="20">
      <x:c r="A20" s="8" t="str">
        <x:v>Maximum source kg</x:v>
      </x:c>
      <x:c r="B20" s="8" t="n">
        <x:f>SUM(J6:J15)</x:f>
        <x:v>35200</x:v>
      </x:c>
      <x:c r="C20" s="8"/>
      <x:c r="D20" s="8"/>
      <x:c r="E20" s="8"/>
      <x:c r="F20" s="8"/>
      <x:c r="G20" s="8"/>
      <x:c r="H20" s="8"/>
      <x:c r="I20" s="8"/>
      <x:c r="J20" s="8"/>
      <x:c r="K20" s="8"/>
      <x:c r="L20" s="8"/>
    </x:row>
    <x:row r="21">
      <x:c r="A21" s="8" t="str">
        <x:v>Required water m³</x:v>
      </x:c>
      <x:c r="B21" s="8" t="n">
        <x:f>SUM(K6:K15)</x:f>
        <x:v>1641.6</x:v>
      </x:c>
      <x:c r="C21" s="8"/>
      <x:c r="D21" s="8"/>
      <x:c r="E21" s="8"/>
      <x:c r="F21" s="8"/>
      <x:c r="G21" s="8"/>
      <x:c r="H21" s="8"/>
      <x:c r="I21" s="8"/>
      <x:c r="J21" s="8"/>
      <x:c r="K21" s="8"/>
      <x:c r="L21" s="8"/>
    </x:row>
    <x:row r="22">
      <x:c r="A22" s="8" t="str">
        <x:v>Maximum water m³</x:v>
      </x:c>
      <x:c r="B22" s="8" t="n">
        <x:f>SUM(L6:L15)</x:f>
        <x:v>2188.8</x:v>
      </x:c>
      <x:c r="C22" s="8"/>
      <x:c r="D22" s="8"/>
      <x:c r="E22" s="8"/>
      <x:c r="F22" s="8"/>
      <x:c r="G22" s="8"/>
      <x:c r="H22" s="8"/>
      <x:c r="I22" s="8"/>
      <x:c r="J22" s="8"/>
      <x:c r="K22" s="8"/>
      <x:c r="L22" s="8"/>
    </x:row>
  </x:sheetData>
  <x:mergeCells>
    <x:mergeCell ref="A2:L2"/>
  </x:mergeCells>
  <x:pageMargins left="0.7" right="0.7" top="0.75" bottom="0.75" header="0.3" footer="0.3"/>
  <x:tableParts count="1">
    <x:tablePart xmlns:r="http://schemas.openxmlformats.org/officeDocument/2006/relationships" r:id="R2bdf7a56138740b7"/>
  </x:tableParts>
</x:worksheet>
</file>

<file path=xl/worksheets/sheet4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22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</x:cols>
  <x:sheetData>
    <x:row r="2" ht="26" customHeight="1">
      <x:c r="A2" s="13" t="str">
        <x:v>Thermal bounds by source-area state</x:v>
      </x:c>
      <x:c r="B2" s="13" t="str">
        <x:v>Thermal bounds by source-area state</x:v>
      </x:c>
      <x:c r="C2" s="13" t="str">
        <x:v>Thermal bounds by source-area state</x:v>
      </x:c>
      <x:c r="D2" s="13" t="str">
        <x:v>Thermal bounds by source-area state</x:v>
      </x:c>
      <x:c r="E2" s="13" t="str">
        <x:v>Thermal bounds by source-area state</x:v>
      </x:c>
      <x:c r="F2" s="13" t="str">
        <x:v>Thermal bounds by source-area state</x:v>
      </x:c>
      <x:c r="G2" s="13" t="str">
        <x:v>Thermal bounds by source-area state</x:v>
      </x:c>
      <x:c r="H2" s="13" t="str">
        <x:v>Thermal bounds by source-area state</x:v>
      </x:c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6" t="str">
        <x:v>State</x:v>
      </x:c>
      <x:c r="B5" s="6" t="str">
        <x:v>Source kg</x:v>
      </x:c>
      <x:c r="C5" s="6" t="str">
        <x:v>Area m²</x:v>
      </x:c>
      <x:c r="D5" s="6" t="str">
        <x:v>Burn flux kg/m²-s</x:v>
      </x:c>
      <x:c r="E5" s="6" t="str">
        <x:v>LHV MJ/kg</x:v>
      </x:c>
      <x:c r="F5" s="6" t="str">
        <x:v>Heat MW</x:v>
      </x:c>
      <x:c r="G5" s="6" t="str">
        <x:v>Radiant MW</x:v>
      </x:c>
      <x:c r="H5" s="6" t="str">
        <x:v>Duration min</x:v>
      </x:c>
    </x:row>
    <x:row r="6">
      <x:c r="A6" s="8" t="str">
        <x:v>100/2.5</x:v>
      </x:c>
      <x:c r="B6" s="8" t="n">
        <x:v>100</x:v>
      </x:c>
      <x:c r="C6" s="8" t="n">
        <x:v>2.5</x:v>
      </x:c>
      <x:c r="D6" s="8" t="n">
        <x:v>0.055</x:v>
      </x:c>
      <x:c r="E6" s="8" t="n">
        <x:v>42.588</x:v>
      </x:c>
      <x:c r="F6" s="8" t="n">
        <x:f>C6*D6*E6</x:f>
        <x:v>5.85585</x:v>
      </x:c>
      <x:c r="G6" s="8" t="n">
        <x:f>F6*0.35</x:f>
        <x:v>2.0495475</x:v>
      </x:c>
      <x:c r="H6" s="8" t="n">
        <x:f>B6/(C6*D6)/60</x:f>
        <x:v>12.121212121212121</x:v>
      </x:c>
    </x:row>
    <x:row r="7">
      <x:c r="A7" s="8" t="str">
        <x:v>250/5</x:v>
      </x:c>
      <x:c r="B7" s="8" t="n">
        <x:v>250</x:v>
      </x:c>
      <x:c r="C7" s="8" t="n">
        <x:v>5</x:v>
      </x:c>
      <x:c r="D7" s="8" t="n">
        <x:v>0.055</x:v>
      </x:c>
      <x:c r="E7" s="8" t="n">
        <x:v>42.588</x:v>
      </x:c>
      <x:c r="F7" s="8" t="n">
        <x:f>C7*D7*E7</x:f>
        <x:v>11.7117</x:v>
      </x:c>
      <x:c r="G7" s="8" t="n">
        <x:f>F7*0.35</x:f>
        <x:v>4.099095</x:v>
      </x:c>
      <x:c r="H7" s="8" t="n">
        <x:f>B7/(C7*D7)/60</x:f>
        <x:v>15.15151515151515</x:v>
      </x:c>
    </x:row>
    <x:row r="8">
      <x:c r="A8" s="8" t="str">
        <x:v>500/6.25</x:v>
      </x:c>
      <x:c r="B8" s="8" t="n">
        <x:v>500</x:v>
      </x:c>
      <x:c r="C8" s="8" t="n">
        <x:v>6.25</x:v>
      </x:c>
      <x:c r="D8" s="8" t="n">
        <x:v>0.055</x:v>
      </x:c>
      <x:c r="E8" s="8" t="n">
        <x:v>42.588</x:v>
      </x:c>
      <x:c r="F8" s="8" t="n">
        <x:f>C8*D8*E8</x:f>
        <x:v>14.639625</x:v>
      </x:c>
      <x:c r="G8" s="8" t="n">
        <x:f>F8*0.35</x:f>
        <x:v>5.12386875</x:v>
      </x:c>
      <x:c r="H8" s="8" t="n">
        <x:f>B8/(C8*D8)/60</x:f>
        <x:v>24.242424242424242</x:v>
      </x:c>
    </x:row>
    <x:row r="9">
      <x:c r="A9" s="8" t="str">
        <x:v>500/25</x:v>
      </x:c>
      <x:c r="B9" s="8" t="n">
        <x:v>500</x:v>
      </x:c>
      <x:c r="C9" s="8" t="n">
        <x:v>25</x:v>
      </x:c>
      <x:c r="D9" s="8" t="n">
        <x:v>0.055</x:v>
      </x:c>
      <x:c r="E9" s="8" t="n">
        <x:v>42.588</x:v>
      </x:c>
      <x:c r="F9" s="8" t="n">
        <x:f>C9*D9*E9</x:f>
        <x:v>58.5585</x:v>
      </x:c>
      <x:c r="G9" s="8" t="n">
        <x:f>F9*0.35</x:f>
        <x:v>20.495475</x:v>
      </x:c>
      <x:c r="H9" s="8" t="n">
        <x:f>B9/(C9*D9)/60</x:f>
        <x:v>6.0606060606060606</x:v>
      </x:c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8ebfac55e3e64703"/>
  </x:tableParts>
</x:worksheet>
</file>

<file path=xl/worksheets/sheet5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2" ht="26" customHeight="1">
      <x:c r="A2" s="13" t="str">
        <x:v>Required and maximum controlled inventories</x:v>
      </x:c>
      <x:c r="B2" s="13" t="str">
        <x:v>Required and maximum controlled inventories</x:v>
      </x:c>
      <x:c r="C2" s="13" t="str">
        <x:v>Required and maximum controlled inventories</x:v>
      </x:c>
      <x:c r="D2" s="13" t="str">
        <x:v>Required and maximum controlled inventories</x:v>
      </x:c>
      <x:c r="E2" s="13" t="str">
        <x:v>Required and maximum controlled inventories</x:v>
      </x:c>
      <x:c r="F2" s="13" t="str">
        <x:v>Required and maximum controlled inventories</x:v>
      </x:c>
    </x:row>
    <x:row r="3">
      <x:c r="A3" s="14"/>
      <x:c r="B3" s="14"/>
      <x:c r="C3" s="14"/>
      <x:c r="D3" s="14"/>
      <x:c r="E3" s="14"/>
      <x:c r="F3" s="14"/>
    </x:row>
    <x:row r="4">
      <x:c r="A4" s="14"/>
      <x:c r="B4" s="14"/>
      <x:c r="C4" s="14"/>
      <x:c r="D4" s="14"/>
      <x:c r="E4" s="14"/>
      <x:c r="F4" s="14"/>
    </x:row>
    <x:row r="5">
      <x:c r="A5" s="6" t="str">
        <x:v>Inventory</x:v>
      </x:c>
      <x:c r="B5" s="6" t="str">
        <x:v>Required</x:v>
      </x:c>
      <x:c r="C5" s="6" t="str">
        <x:v>Maximum</x:v>
      </x:c>
      <x:c r="D5" s="14"/>
      <x:c r="E5" s="14"/>
      <x:c r="F5" s="14"/>
    </x:row>
    <x:row r="6">
      <x:c r="A6" s="8" t="str">
        <x:v>Attempts</x:v>
      </x:c>
      <x:c r="B6" s="8" t="n">
        <x:f>'Entry Ladder'!B17</x:f>
        <x:v>120</x:v>
      </x:c>
      <x:c r="C6" s="8" t="n">
        <x:f>'Entry Ladder'!B18</x:f>
        <x:v>160</x:v>
      </x:c>
      <x:c r="D6" s="14"/>
      <x:c r="E6" s="14"/>
      <x:c r="F6" s="14"/>
    </x:row>
    <x:row r="7">
      <x:c r="A7" s="8" t="str">
        <x:v>Energetic source kg</x:v>
      </x:c>
      <x:c r="B7" s="8" t="n">
        <x:f>'Entry Ladder'!B19</x:f>
        <x:v>26400</x:v>
      </x:c>
      <x:c r="C7" s="8" t="n">
        <x:f>'Entry Ladder'!B20</x:f>
        <x:v>35200</x:v>
      </x:c>
      <x:c r="D7" s="14"/>
      <x:c r="E7" s="14"/>
      <x:c r="F7" s="14"/>
    </x:row>
    <x:row r="8">
      <x:c r="A8" s="8" t="str">
        <x:v>Controlled water m³</x:v>
      </x:c>
      <x:c r="B8" s="8" t="n">
        <x:f>'Entry Ladder'!B21</x:f>
        <x:v>1641.6</x:v>
      </x:c>
      <x:c r="C8" s="8" t="n">
        <x:f>'Entry Ladder'!B22</x:f>
        <x:v>2188.8</x:v>
      </x:c>
      <x:c r="D8" s="14"/>
      <x:c r="E8" s="14"/>
      <x:c r="F8" s="14"/>
    </x:row>
    <x:row r="9">
      <x:c r="A9" s="8" t="str">
        <x:v>Fire-opportunity attempts</x:v>
      </x:c>
      <x:c r="B9" s="8" t="n">
        <x:v>84</x:v>
      </x:c>
      <x:c r="C9" s="8" t="n">
        <x:v>112</x:v>
      </x:c>
      <x:c r="D9" s="14"/>
      <x:c r="E9" s="14"/>
      <x:c r="F9" s="14"/>
    </x:row>
  </x:sheetData>
  <x:mergeCells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2" hidden="0" customWidth="1"/>
    <x:col min="4" max="4" width="15" hidden="0" customWidth="1"/>
    <x:col min="5" max="5" width="18" hidden="0" customWidth="1"/>
    <x:col min="6" max="6" width="20" hidden="0" customWidth="1"/>
    <x:col min="7" max="7" width="21" hidden="0" customWidth="1"/>
    <x:col min="8" max="8" width="15" hidden="0" customWidth="1"/>
  </x:cols>
  <x:sheetData>
    <x:row r="2" ht="26" customHeight="1">
      <x:c r="A2" s="13" t="str">
        <x:v>Thermal source-water module bank</x:v>
      </x:c>
      <x:c r="B2" s="13" t="str">
        <x:v>Thermal source-water module bank</x:v>
      </x:c>
      <x:c r="C2" s="13" t="str">
        <x:v>Thermal source-water module bank</x:v>
      </x:c>
      <x:c r="D2" s="13" t="str">
        <x:v>Thermal source-water module bank</x:v>
      </x:c>
      <x:c r="E2" s="13" t="str">
        <x:v>Thermal source-water module bank</x:v>
      </x:c>
      <x:c r="F2" s="13" t="str">
        <x:v>Thermal source-water module bank</x:v>
      </x:c>
      <x:c r="G2" s="13" t="str">
        <x:v>Thermal source-water module bank</x:v>
      </x:c>
      <x:c r="H2" s="13" t="str">
        <x:v>Thermal source-water module bank</x:v>
      </x:c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6" t="str">
        <x:v>Module</x:v>
      </x:c>
      <x:c r="B5" s="6" t="str">
        <x:v>Lineage</x:v>
      </x:c>
      <x:c r="C5" s="6" t="str">
        <x:v>Role</x:v>
      </x:c>
      <x:c r="D5" s="6" t="str">
        <x:v>Cell</x:v>
      </x:c>
      <x:c r="E5" s="6" t="str">
        <x:v>Thermal build</x:v>
      </x:c>
      <x:c r="F5" s="6" t="str">
        <x:v>Ancestry readers</x:v>
      </x:c>
      <x:c r="G5" s="6" t="str">
        <x:v>Physical acceptance</x:v>
      </x:c>
      <x:c r="H5" s="6" t="str">
        <x:v>State</x:v>
      </x:c>
    </x:row>
    <x:row r="6">
      <x:c r="A6" s="8" t="str">
        <x:v>TMX-01</x:v>
      </x:c>
      <x:c r="B6" s="8" t="str">
        <x:v>BL-A</x:v>
      </x:c>
      <x:c r="C6" s="8" t="str">
        <x:v>ACTIVE</x:v>
      </x:c>
      <x:c r="D6" s="8" t="str">
        <x:v>CELL-01</x:v>
      </x:c>
      <x:c r="E6" s="10"/>
      <x:c r="F6" s="10"/>
      <x:c r="G6" s="10"/>
      <x:c r="H6" s="8" t="str">
        <x:f>IF(COUNTA(E6:G6)&lt;3,"OPEN",IF(AND(E6="PASS",F6="PASS",G6="ACCEPTED"),"ACCEPTED","DENY"))</x:f>
        <x:v>OPEN</x:v>
      </x:c>
    </x:row>
    <x:row r="7">
      <x:c r="A7" s="8" t="str">
        <x:v>TMX-02</x:v>
      </x:c>
      <x:c r="B7" s="8" t="str">
        <x:v>BL-B</x:v>
      </x:c>
      <x:c r="C7" s="8" t="str">
        <x:v>ACTIVE</x:v>
      </x:c>
      <x:c r="D7" s="8" t="str">
        <x:v>CELL-02</x:v>
      </x:c>
      <x:c r="E7" s="10"/>
      <x:c r="F7" s="10"/>
      <x:c r="G7" s="10"/>
      <x:c r="H7" s="8" t="str">
        <x:f>IF(COUNTA(E7:G7)&lt;3,"OPEN",IF(AND(E7="PASS",F7="PASS",G7="ACCEPTED"),"ACCEPTED","DENY"))</x:f>
        <x:v>OPEN</x:v>
      </x:c>
    </x:row>
    <x:row r="8">
      <x:c r="A8" s="8" t="str">
        <x:v>TMX-03</x:v>
      </x:c>
      <x:c r="B8" s="8" t="str">
        <x:v>BL-A</x:v>
      </x:c>
      <x:c r="C8" s="8" t="str">
        <x:v>ACTIVE</x:v>
      </x:c>
      <x:c r="D8" s="8" t="str">
        <x:v>CELL-03</x:v>
      </x:c>
      <x:c r="E8" s="10"/>
      <x:c r="F8" s="10"/>
      <x:c r="G8" s="10"/>
      <x:c r="H8" s="8" t="str">
        <x:f>IF(COUNTA(E8:G8)&lt;3,"OPEN",IF(AND(E8="PASS",F8="PASS",G8="ACCEPTED"),"ACCEPTED","DENY"))</x:f>
        <x:v>OPEN</x:v>
      </x:c>
    </x:row>
    <x:row r="9">
      <x:c r="A9" s="8" t="str">
        <x:v>TMX-04</x:v>
      </x:c>
      <x:c r="B9" s="8" t="str">
        <x:v>BL-B</x:v>
      </x:c>
      <x:c r="C9" s="8" t="str">
        <x:v>ACTIVE</x:v>
      </x:c>
      <x:c r="D9" s="8" t="str">
        <x:v>CELL-04</x:v>
      </x:c>
      <x:c r="E9" s="10"/>
      <x:c r="F9" s="10"/>
      <x:c r="G9" s="10"/>
      <x:c r="H9" s="8" t="str">
        <x:f>IF(COUNTA(E9:G9)&lt;3,"OPEN",IF(AND(E9="PASS",F9="PASS",G9="ACCEPTED"),"ACCEPTED","DENY"))</x:f>
        <x:v>OPEN</x:v>
      </x:c>
    </x:row>
    <x:row r="10">
      <x:c r="A10" s="8" t="str">
        <x:v>TMX-05</x:v>
      </x:c>
      <x:c r="B10" s="8" t="str">
        <x:v>BL-A</x:v>
      </x:c>
      <x:c r="C10" s="8" t="str">
        <x:v>ACTIVE</x:v>
      </x:c>
      <x:c r="D10" s="8" t="str">
        <x:v>CELL-05</x:v>
      </x:c>
      <x:c r="E10" s="10"/>
      <x:c r="F10" s="10"/>
      <x:c r="G10" s="10"/>
      <x:c r="H10" s="8" t="str">
        <x:f>IF(COUNTA(E10:G10)&lt;3,"OPEN",IF(AND(E10="PASS",F10="PASS",G10="ACCEPTED"),"ACCEPTED","DENY"))</x:f>
        <x:v>OPEN</x:v>
      </x:c>
    </x:row>
    <x:row r="11">
      <x:c r="A11" s="8" t="str">
        <x:v>TMX-06</x:v>
      </x:c>
      <x:c r="B11" s="8" t="str">
        <x:v>BL-B</x:v>
      </x:c>
      <x:c r="C11" s="8" t="str">
        <x:v>ACTIVE</x:v>
      </x:c>
      <x:c r="D11" s="8" t="str">
        <x:v>CELL-06</x:v>
      </x:c>
      <x:c r="E11" s="10"/>
      <x:c r="F11" s="10"/>
      <x:c r="G11" s="10"/>
      <x:c r="H11" s="8" t="str">
        <x:f>IF(COUNTA(E11:G11)&lt;3,"OPEN",IF(AND(E11="PASS",F11="PASS",G11="ACCEPTED"),"ACCEPTED","DENY"))</x:f>
        <x:v>OPEN</x:v>
      </x:c>
    </x:row>
    <x:row r="12">
      <x:c r="A12" s="8" t="str">
        <x:v>TMX-07</x:v>
      </x:c>
      <x:c r="B12" s="8" t="str">
        <x:v>BL-A</x:v>
      </x:c>
      <x:c r="C12" s="8" t="str">
        <x:v>ACTIVE</x:v>
      </x:c>
      <x:c r="D12" s="8" t="str">
        <x:v>CELL-07</x:v>
      </x:c>
      <x:c r="E12" s="10"/>
      <x:c r="F12" s="10"/>
      <x:c r="G12" s="10"/>
      <x:c r="H12" s="8" t="str">
        <x:f>IF(COUNTA(E12:G12)&lt;3,"OPEN",IF(AND(E12="PASS",F12="PASS",G12="ACCEPTED"),"ACCEPTED","DENY"))</x:f>
        <x:v>OPEN</x:v>
      </x:c>
    </x:row>
    <x:row r="13">
      <x:c r="A13" s="8" t="str">
        <x:v>TMX-08</x:v>
      </x:c>
      <x:c r="B13" s="8" t="str">
        <x:v>BL-B</x:v>
      </x:c>
      <x:c r="C13" s="8" t="str">
        <x:v>ACTIVE</x:v>
      </x:c>
      <x:c r="D13" s="8" t="str">
        <x:v>CELL-08</x:v>
      </x:c>
      <x:c r="E13" s="10"/>
      <x:c r="F13" s="10"/>
      <x:c r="G13" s="10"/>
      <x:c r="H13" s="8" t="str">
        <x:f>IF(COUNTA(E13:G13)&lt;3,"OPEN",IF(AND(E13="PASS",F13="PASS",G13="ACCEPTED"),"ACCEPTED","DENY"))</x:f>
        <x:v>OPEN</x:v>
      </x:c>
    </x:row>
    <x:row r="14">
      <x:c r="A14" s="8" t="str">
        <x:v>TMX-09</x:v>
      </x:c>
      <x:c r="B14" s="8" t="str">
        <x:v>BL-A</x:v>
      </x:c>
      <x:c r="C14" s="8" t="str">
        <x:v>ACTIVE</x:v>
      </x:c>
      <x:c r="D14" s="8" t="str">
        <x:v>CELL-09</x:v>
      </x:c>
      <x:c r="E14" s="10"/>
      <x:c r="F14" s="10"/>
      <x:c r="G14" s="10"/>
      <x:c r="H14" s="8" t="str">
        <x:f>IF(COUNTA(E14:G14)&lt;3,"OPEN",IF(AND(E14="PASS",F14="PASS",G14="ACCEPTED"),"ACCEPTED","DENY"))</x:f>
        <x:v>OPEN</x:v>
      </x:c>
    </x:row>
    <x:row r="15">
      <x:c r="A15" s="8" t="str">
        <x:v>TMX-10</x:v>
      </x:c>
      <x:c r="B15" s="8" t="str">
        <x:v>BL-B</x:v>
      </x:c>
      <x:c r="C15" s="8" t="str">
        <x:v>ACTIVE</x:v>
      </x:c>
      <x:c r="D15" s="8" t="str">
        <x:v>CELL-10</x:v>
      </x:c>
      <x:c r="E15" s="10"/>
      <x:c r="F15" s="10"/>
      <x:c r="G15" s="10"/>
      <x:c r="H15" s="8" t="str">
        <x:f>IF(COUNTA(E15:G15)&lt;3,"OPEN",IF(AND(E15="PASS",F15="PASS",G15="ACCEPTED"),"ACCEPTED","DENY"))</x:f>
        <x:v>OPEN</x:v>
      </x:c>
    </x:row>
    <x:row r="16">
      <x:c r="A16" s="8" t="str">
        <x:v>TMX-11</x:v>
      </x:c>
      <x:c r="B16" s="8" t="str">
        <x:v>BL-A</x:v>
      </x:c>
      <x:c r="C16" s="8" t="str">
        <x:v>ACTIVE</x:v>
      </x:c>
      <x:c r="D16" s="8" t="str">
        <x:v>CELL-11</x:v>
      </x:c>
      <x:c r="E16" s="10"/>
      <x:c r="F16" s="10"/>
      <x:c r="G16" s="10"/>
      <x:c r="H16" s="8" t="str">
        <x:f>IF(COUNTA(E16:G16)&lt;3,"OPEN",IF(AND(E16="PASS",F16="PASS",G16="ACCEPTED"),"ACCEPTED","DENY"))</x:f>
        <x:v>OPEN</x:v>
      </x:c>
    </x:row>
    <x:row r="17">
      <x:c r="A17" s="8" t="str">
        <x:v>TMX-12</x:v>
      </x:c>
      <x:c r="B17" s="8" t="str">
        <x:v>BL-B</x:v>
      </x:c>
      <x:c r="C17" s="8" t="str">
        <x:v>ACTIVE</x:v>
      </x:c>
      <x:c r="D17" s="8" t="str">
        <x:v>CELL-12</x:v>
      </x:c>
      <x:c r="E17" s="10"/>
      <x:c r="F17" s="10"/>
      <x:c r="G17" s="10"/>
      <x:c r="H17" s="8" t="str">
        <x:f>IF(COUNTA(E17:G17)&lt;3,"OPEN",IF(AND(E17="PASS",F17="PASS",G17="ACCEPTED"),"ACCEPTED","DENY"))</x:f>
        <x:v>OPEN</x:v>
      </x:c>
    </x:row>
    <x:row r="18">
      <x:c r="A18" s="8" t="str">
        <x:v>TMX-13</x:v>
      </x:c>
      <x:c r="B18" s="8" t="str">
        <x:v>BL-A</x:v>
      </x:c>
      <x:c r="C18" s="8" t="str">
        <x:v>OPERATIONAL SPARE</x:v>
      </x:c>
      <x:c r="D18" s="8"/>
      <x:c r="E18" s="10"/>
      <x:c r="F18" s="10"/>
      <x:c r="G18" s="10"/>
      <x:c r="H18" s="8" t="str">
        <x:f>IF(COUNTA(E18:G18)&lt;3,"OPEN",IF(AND(E18="PASS",F18="PASS",G18="ACCEPTED"),"ACCEPTED","DENY"))</x:f>
        <x:v>OPEN</x:v>
      </x:c>
    </x:row>
    <x:row r="19">
      <x:c r="A19" s="8" t="str">
        <x:v>TMX-14</x:v>
      </x:c>
      <x:c r="B19" s="8" t="str">
        <x:v>BL-B</x:v>
      </x:c>
      <x:c r="C19" s="8" t="str">
        <x:v>OPERATIONAL SPARE</x:v>
      </x:c>
      <x:c r="D19" s="8"/>
      <x:c r="E19" s="10"/>
      <x:c r="F19" s="10"/>
      <x:c r="G19" s="10"/>
      <x:c r="H19" s="8" t="str">
        <x:f>IF(COUNTA(E19:G19)&lt;3,"OPEN",IF(AND(E19="PASS",F19="PASS",G19="ACCEPTED"),"ACCEPTED","DENY"))</x:f>
        <x:v>OPEN</x:v>
      </x:c>
    </x:row>
    <x:row r="20">
      <x:c r="A20" s="8" t="str">
        <x:v>TMX-15</x:v>
      </x:c>
      <x:c r="B20" s="8" t="str">
        <x:v>BL-A</x:v>
      </x:c>
      <x:c r="C20" s="8" t="str">
        <x:v>OPERATIONAL SPARE</x:v>
      </x:c>
      <x:c r="D20" s="8"/>
      <x:c r="E20" s="10"/>
      <x:c r="F20" s="10"/>
      <x:c r="G20" s="10"/>
      <x:c r="H20" s="8" t="str">
        <x:f>IF(COUNTA(E20:G20)&lt;3,"OPEN",IF(AND(E20="PASS",F20="PASS",G20="ACCEPTED"),"ACCEPTED","DENY"))</x:f>
        <x:v>OPEN</x:v>
      </x:c>
    </x:row>
    <x:row r="21">
      <x:c r="A21" s="8" t="str">
        <x:v>TMX-16</x:v>
      </x:c>
      <x:c r="B21" s="8" t="str">
        <x:v>BL-B</x:v>
      </x:c>
      <x:c r="C21" s="8" t="str">
        <x:v>OPERATIONAL SPARE</x:v>
      </x:c>
      <x:c r="D21" s="8"/>
      <x:c r="E21" s="10"/>
      <x:c r="F21" s="10"/>
      <x:c r="G21" s="10"/>
      <x:c r="H21" s="8" t="str">
        <x:f>IF(COUNTA(E21:G21)&lt;3,"OPEN",IF(AND(E21="PASS",F21="PASS",G21="ACCEPTED"),"ACCEPTED","DENY"))</x:f>
        <x:v>OPEN</x:v>
      </x:c>
    </x:row>
    <x:row r="22">
      <x:c r="A22" s="8" t="str">
        <x:v>TMX-17</x:v>
      </x:c>
      <x:c r="B22" s="8" t="str">
        <x:v>BL-A</x:v>
      </x:c>
      <x:c r="C22" s="8" t="str">
        <x:v>FORENSIC</x:v>
      </x:c>
      <x:c r="D22" s="8"/>
      <x:c r="E22" s="10"/>
      <x:c r="F22" s="10"/>
      <x:c r="G22" s="10"/>
      <x:c r="H22" s="8" t="str">
        <x:f>IF(COUNTA(E22:G22)&lt;3,"OPEN",IF(AND(E22="PASS",F22="PASS",G22="ACCEPTED"),"ACCEPTED","DENY"))</x:f>
        <x:v>OPEN</x:v>
      </x:c>
    </x:row>
    <x:row r="23">
      <x:c r="A23" s="8" t="str">
        <x:v>TMX-18</x:v>
      </x:c>
      <x:c r="B23" s="8" t="str">
        <x:v>BL-B</x:v>
      </x:c>
      <x:c r="C23" s="8" t="str">
        <x:v>FORENSIC</x:v>
      </x:c>
      <x:c r="D23" s="8"/>
      <x:c r="E23" s="10"/>
      <x:c r="F23" s="10"/>
      <x:c r="G23" s="10"/>
      <x:c r="H23" s="8" t="str">
        <x:f>IF(COUNTA(E23:G23)&lt;3,"OPEN",IF(AND(E23="PASS",F23="PASS",G23="ACCEPTED"),"ACCEPTED","DENY"))</x:f>
        <x:v>OPEN</x:v>
      </x:c>
    </x:row>
  </x:sheetData>
  <x:mergeCells>
    <x:mergeCell ref="A2:H2"/>
  </x:mergeCells>
  <x:conditionalFormatting sqref="H6:H23">
    <x:cfRule type="containsText" dxfId="0" priority="1" operator="containsText" text="DENY"/>
    <x:cfRule type="containsText" dxfId="1" priority="2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7d0e842601874e73"/>
  </x:tableParts>
</x:worksheet>
</file>

<file path=xl/worksheets/sheet7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14" hidden="0" customWidth="1"/>
    <x:col min="4" max="4" width="22" hidden="0" customWidth="1"/>
    <x:col min="5" max="5" width="15" hidden="0" customWidth="1"/>
    <x:col min="6" max="6" width="15" hidden="0" customWidth="1"/>
    <x:col min="7" max="7" width="16" hidden="0" customWidth="1"/>
    <x:col min="8" max="8" width="15" hidden="0" customWidth="1"/>
    <x:col min="9" max="9" width="15" hidden="0" customWidth="1"/>
    <x:col min="10" max="10" width="14" hidden="0" customWidth="1"/>
  </x:cols>
  <x:sheetData>
    <x:row r="2" ht="26" customHeight="1">
      <x:c r="A2" s="13" t="str">
        <x:v>Ninety-six thermal module-exchange trials</x:v>
      </x:c>
      <x:c r="B2" s="13" t="str">
        <x:v>Ninety-six thermal module-exchange trials</x:v>
      </x:c>
      <x:c r="C2" s="13" t="str">
        <x:v>Ninety-six thermal module-exchange trials</x:v>
      </x:c>
      <x:c r="D2" s="13" t="str">
        <x:v>Ninety-six thermal module-exchange trials</x:v>
      </x:c>
      <x:c r="E2" s="13" t="str">
        <x:v>Ninety-six thermal module-exchange trials</x:v>
      </x:c>
      <x:c r="F2" s="13" t="str">
        <x:v>Ninety-six thermal module-exchange trials</x:v>
      </x:c>
      <x:c r="G2" s="13" t="str">
        <x:v>Ninety-six thermal module-exchange trials</x:v>
      </x:c>
      <x:c r="H2" s="13" t="str">
        <x:v>Ninety-six thermal module-exchange trials</x:v>
      </x:c>
      <x:c r="I2" s="13" t="str">
        <x:v>Ninety-six thermal module-exchange trials</x:v>
      </x:c>
      <x:c r="J2" s="13" t="str">
        <x:v>Ninety-six thermal module-exchange trials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</x:row>
    <x:row r="5">
      <x:c r="A5" s="6" t="str">
        <x:v>Trial</x:v>
      </x:c>
      <x:c r="B5" s="6" t="str">
        <x:v>Rig</x:v>
      </x:c>
      <x:c r="C5" s="6" t="str">
        <x:v>Direction</x:v>
      </x:c>
      <x:c r="D5" s="6" t="str">
        <x:v>Challenge</x:v>
      </x:c>
      <x:c r="E5" s="6" t="str">
        <x:v>Geometry</x:v>
      </x:c>
      <x:c r="F5" s="6" t="str">
        <x:v>Isolation</x:v>
      </x:c>
      <x:c r="G5" s="6" t="str">
        <x:v>Cross-talk</x:v>
      </x:c>
      <x:c r="H5" s="6" t="str">
        <x:v>Rollback</x:v>
      </x:c>
      <x:c r="I5" s="6" t="str">
        <x:v>Evidence</x:v>
      </x:c>
      <x:c r="J5" s="6" t="str">
        <x:v>State</x:v>
      </x:c>
    </x:row>
    <x:row r="6">
      <x:c r="A6" s="8" t="str">
        <x:v>TX-001</x:v>
      </x:c>
      <x:c r="B6" s="8" t="str">
        <x:v>S0</x:v>
      </x:c>
      <x:c r="C6" s="8" t="str">
        <x:v>A-to-B</x:v>
      </x:c>
      <x:c r="D6" s="8" t="str">
        <x:v>nominal</x:v>
      </x:c>
      <x:c r="E6" s="10"/>
      <x:c r="F6" s="10"/>
      <x:c r="G6" s="10"/>
      <x:c r="H6" s="10"/>
      <x:c r="I6" s="10"/>
      <x:c r="J6" s="8" t="str">
        <x:f>IF(COUNTA(E6:I6)&lt;5,"OPEN",IF(AND(E6="PASS",F6="PASS",G6&gt;=0,G6&lt;='Assumptions'!B35,H6="PASS",I6="PASS"),"PASS","DENY"))</x:f>
        <x:v>OPEN</x:v>
      </x:c>
    </x:row>
    <x:row r="7">
      <x:c r="A7" s="8" t="str">
        <x:v>TX-002</x:v>
      </x:c>
      <x:c r="B7" s="8" t="str">
        <x:v>S0</x:v>
      </x:c>
      <x:c r="C7" s="8" t="str">
        <x:v>A-to-B</x:v>
      </x:c>
      <x:c r="D7" s="8" t="str">
        <x:v>datum edge</x:v>
      </x:c>
      <x:c r="E7" s="10"/>
      <x:c r="F7" s="10"/>
      <x:c r="G7" s="10"/>
      <x:c r="H7" s="10"/>
      <x:c r="I7" s="10"/>
      <x:c r="J7" s="8" t="str">
        <x:f>IF(COUNTA(E7:I7)&lt;5,"OPEN",IF(AND(E7="PASS",F7="PASS",G7&gt;=0,G7&lt;='Assumptions'!B35,H7="PASS",I7="PASS"),"PASS","DENY"))</x:f>
        <x:v>OPEN</x:v>
      </x:c>
    </x:row>
    <x:row r="8">
      <x:c r="A8" s="8" t="str">
        <x:v>TX-003</x:v>
      </x:c>
      <x:c r="B8" s="8" t="str">
        <x:v>S0</x:v>
      </x:c>
      <x:c r="C8" s="8" t="str">
        <x:v>A-to-B</x:v>
      </x:c>
      <x:c r="D8" s="8" t="str">
        <x:v>wet residue</x:v>
      </x:c>
      <x:c r="E8" s="10"/>
      <x:c r="F8" s="10"/>
      <x:c r="G8" s="10"/>
      <x:c r="H8" s="10"/>
      <x:c r="I8" s="10"/>
      <x:c r="J8" s="8" t="str">
        <x:f>IF(COUNTA(E8:I8)&lt;5,"OPEN",IF(AND(E8="PASS",F8="PASS",G8&gt;=0,G8&lt;='Assumptions'!B35,H8="PASS",I8="PASS"),"PASS","DENY"))</x:f>
        <x:v>OPEN</x:v>
      </x:c>
    </x:row>
    <x:row r="9">
      <x:c r="A9" s="8" t="str">
        <x:v>TX-004</x:v>
      </x:c>
      <x:c r="B9" s="8" t="str">
        <x:v>S0</x:v>
      </x:c>
      <x:c r="C9" s="8" t="str">
        <x:v>A-to-B</x:v>
      </x:c>
      <x:c r="D9" s="8" t="str">
        <x:v>thermal distortion</x:v>
      </x:c>
      <x:c r="E9" s="10"/>
      <x:c r="F9" s="10"/>
      <x:c r="G9" s="10"/>
      <x:c r="H9" s="10"/>
      <x:c r="I9" s="10"/>
      <x:c r="J9" s="8" t="str">
        <x:f>IF(COUNTA(E9:I9)&lt;5,"OPEN",IF(AND(E9="PASS",F9="PASS",G9&gt;=0,G9&lt;='Assumptions'!B35,H9="PASS",I9="PASS"),"PASS","DENY"))</x:f>
        <x:v>OPEN</x:v>
      </x:c>
    </x:row>
    <x:row r="10">
      <x:c r="A10" s="8" t="str">
        <x:v>TX-005</x:v>
      </x:c>
      <x:c r="B10" s="8" t="str">
        <x:v>S0</x:v>
      </x:c>
      <x:c r="C10" s="8" t="str">
        <x:v>A-to-B</x:v>
      </x:c>
      <x:c r="D10" s="8" t="str">
        <x:v>service denied</x:v>
      </x:c>
      <x:c r="E10" s="10"/>
      <x:c r="F10" s="10"/>
      <x:c r="G10" s="10"/>
      <x:c r="H10" s="10"/>
      <x:c r="I10" s="10"/>
      <x:c r="J10" s="8" t="str">
        <x:f>IF(COUNTA(E10:I10)&lt;5,"OPEN",IF(AND(E10="PASS",F10="PASS",G10&gt;=0,G10&lt;='Assumptions'!B35,H10="PASS",I10="PASS"),"PASS","DENY"))</x:f>
        <x:v>OPEN</x:v>
      </x:c>
    </x:row>
    <x:row r="11">
      <x:c r="A11" s="8" t="str">
        <x:v>TX-006</x:v>
      </x:c>
      <x:c r="B11" s="8" t="str">
        <x:v>S0</x:v>
      </x:c>
      <x:c r="C11" s="8" t="str">
        <x:v>A-to-B</x:v>
      </x:c>
      <x:c r="D11" s="8" t="str">
        <x:v>network/time loss</x:v>
      </x:c>
      <x:c r="E11" s="10"/>
      <x:c r="F11" s="10"/>
      <x:c r="G11" s="10"/>
      <x:c r="H11" s="10"/>
      <x:c r="I11" s="10"/>
      <x:c r="J11" s="8" t="str">
        <x:f>IF(COUNTA(E11:I11)&lt;5,"OPEN",IF(AND(E11="PASS",F11="PASS",G11&gt;=0,G11&lt;='Assumptions'!B35,H11="PASS",I11="PASS"),"PASS","DENY"))</x:f>
        <x:v>OPEN</x:v>
      </x:c>
    </x:row>
    <x:row r="12">
      <x:c r="A12" s="8" t="str">
        <x:v>TX-007</x:v>
      </x:c>
      <x:c r="B12" s="8" t="str">
        <x:v>S0</x:v>
      </x:c>
      <x:c r="C12" s="8" t="str">
        <x:v>A-to-B</x:v>
      </x:c>
      <x:c r="D12" s="8" t="str">
        <x:v>blind marker</x:v>
      </x:c>
      <x:c r="E12" s="10"/>
      <x:c r="F12" s="10"/>
      <x:c r="G12" s="10"/>
      <x:c r="H12" s="10"/>
      <x:c r="I12" s="10"/>
      <x:c r="J12" s="8" t="str">
        <x:f>IF(COUNTA(E12:I12)&lt;5,"OPEN",IF(AND(E12="PASS",F12="PASS",G12&gt;=0,G12&lt;='Assumptions'!B35,H12="PASS",I12="PASS"),"PASS","DENY"))</x:f>
        <x:v>OPEN</x:v>
      </x:c>
    </x:row>
    <x:row r="13">
      <x:c r="A13" s="8" t="str">
        <x:v>TX-008</x:v>
      </x:c>
      <x:c r="B13" s="8" t="str">
        <x:v>S0</x:v>
      </x:c>
      <x:c r="C13" s="8" t="str">
        <x:v>A-to-B</x:v>
      </x:c>
      <x:c r="D13" s="8" t="str">
        <x:v>interrupted rollback</x:v>
      </x:c>
      <x:c r="E13" s="10"/>
      <x:c r="F13" s="10"/>
      <x:c r="G13" s="10"/>
      <x:c r="H13" s="10"/>
      <x:c r="I13" s="10"/>
      <x:c r="J13" s="8" t="str">
        <x:f>IF(COUNTA(E13:I13)&lt;5,"OPEN",IF(AND(E13="PASS",F13="PASS",G13&gt;=0,G13&lt;='Assumptions'!B35,H13="PASS",I13="PASS"),"PASS","DENY"))</x:f>
        <x:v>OPEN</x:v>
      </x:c>
    </x:row>
    <x:row r="14">
      <x:c r="A14" s="8" t="str">
        <x:v>TX-009</x:v>
      </x:c>
      <x:c r="B14" s="8" t="str">
        <x:v>S0</x:v>
      </x:c>
      <x:c r="C14" s="8" t="str">
        <x:v>B-to-A</x:v>
      </x:c>
      <x:c r="D14" s="8" t="str">
        <x:v>nominal</x:v>
      </x:c>
      <x:c r="E14" s="10"/>
      <x:c r="F14" s="10"/>
      <x:c r="G14" s="10"/>
      <x:c r="H14" s="10"/>
      <x:c r="I14" s="10"/>
      <x:c r="J14" s="8" t="str">
        <x:f>IF(COUNTA(E14:I14)&lt;5,"OPEN",IF(AND(E14="PASS",F14="PASS",G14&gt;=0,G14&lt;='Assumptions'!B35,H14="PASS",I14="PASS"),"PASS","DENY"))</x:f>
        <x:v>OPEN</x:v>
      </x:c>
    </x:row>
    <x:row r="15">
      <x:c r="A15" s="8" t="str">
        <x:v>TX-010</x:v>
      </x:c>
      <x:c r="B15" s="8" t="str">
        <x:v>S0</x:v>
      </x:c>
      <x:c r="C15" s="8" t="str">
        <x:v>B-to-A</x:v>
      </x:c>
      <x:c r="D15" s="8" t="str">
        <x:v>datum edge</x:v>
      </x:c>
      <x:c r="E15" s="10"/>
      <x:c r="F15" s="10"/>
      <x:c r="G15" s="10"/>
      <x:c r="H15" s="10"/>
      <x:c r="I15" s="10"/>
      <x:c r="J15" s="8" t="str">
        <x:f>IF(COUNTA(E15:I15)&lt;5,"OPEN",IF(AND(E15="PASS",F15="PASS",G15&gt;=0,G15&lt;='Assumptions'!B35,H15="PASS",I15="PASS"),"PASS","DENY"))</x:f>
        <x:v>OPEN</x:v>
      </x:c>
    </x:row>
    <x:row r="16">
      <x:c r="A16" s="8" t="str">
        <x:v>TX-011</x:v>
      </x:c>
      <x:c r="B16" s="8" t="str">
        <x:v>S0</x:v>
      </x:c>
      <x:c r="C16" s="8" t="str">
        <x:v>B-to-A</x:v>
      </x:c>
      <x:c r="D16" s="8" t="str">
        <x:v>wet residue</x:v>
      </x:c>
      <x:c r="E16" s="10"/>
      <x:c r="F16" s="10"/>
      <x:c r="G16" s="10"/>
      <x:c r="H16" s="10"/>
      <x:c r="I16" s="10"/>
      <x:c r="J16" s="8" t="str">
        <x:f>IF(COUNTA(E16:I16)&lt;5,"OPEN",IF(AND(E16="PASS",F16="PASS",G16&gt;=0,G16&lt;='Assumptions'!B35,H16="PASS",I16="PASS"),"PASS","DENY"))</x:f>
        <x:v>OPEN</x:v>
      </x:c>
    </x:row>
    <x:row r="17">
      <x:c r="A17" s="8" t="str">
        <x:v>TX-012</x:v>
      </x:c>
      <x:c r="B17" s="8" t="str">
        <x:v>S0</x:v>
      </x:c>
      <x:c r="C17" s="8" t="str">
        <x:v>B-to-A</x:v>
      </x:c>
      <x:c r="D17" s="8" t="str">
        <x:v>thermal distortion</x:v>
      </x:c>
      <x:c r="E17" s="10"/>
      <x:c r="F17" s="10"/>
      <x:c r="G17" s="10"/>
      <x:c r="H17" s="10"/>
      <x:c r="I17" s="10"/>
      <x:c r="J17" s="8" t="str">
        <x:f>IF(COUNTA(E17:I17)&lt;5,"OPEN",IF(AND(E17="PASS",F17="PASS",G17&gt;=0,G17&lt;='Assumptions'!B35,H17="PASS",I17="PASS"),"PASS","DENY"))</x:f>
        <x:v>OPEN</x:v>
      </x:c>
    </x:row>
    <x:row r="18">
      <x:c r="A18" s="8" t="str">
        <x:v>TX-013</x:v>
      </x:c>
      <x:c r="B18" s="8" t="str">
        <x:v>S0</x:v>
      </x:c>
      <x:c r="C18" s="8" t="str">
        <x:v>B-to-A</x:v>
      </x:c>
      <x:c r="D18" s="8" t="str">
        <x:v>service denied</x:v>
      </x:c>
      <x:c r="E18" s="10"/>
      <x:c r="F18" s="10"/>
      <x:c r="G18" s="10"/>
      <x:c r="H18" s="10"/>
      <x:c r="I18" s="10"/>
      <x:c r="J18" s="8" t="str">
        <x:f>IF(COUNTA(E18:I18)&lt;5,"OPEN",IF(AND(E18="PASS",F18="PASS",G18&gt;=0,G18&lt;='Assumptions'!B35,H18="PASS",I18="PASS"),"PASS","DENY"))</x:f>
        <x:v>OPEN</x:v>
      </x:c>
    </x:row>
    <x:row r="19">
      <x:c r="A19" s="8" t="str">
        <x:v>TX-014</x:v>
      </x:c>
      <x:c r="B19" s="8" t="str">
        <x:v>S0</x:v>
      </x:c>
      <x:c r="C19" s="8" t="str">
        <x:v>B-to-A</x:v>
      </x:c>
      <x:c r="D19" s="8" t="str">
        <x:v>network/time loss</x:v>
      </x:c>
      <x:c r="E19" s="10"/>
      <x:c r="F19" s="10"/>
      <x:c r="G19" s="10"/>
      <x:c r="H19" s="10"/>
      <x:c r="I19" s="10"/>
      <x:c r="J19" s="8" t="str">
        <x:f>IF(COUNTA(E19:I19)&lt;5,"OPEN",IF(AND(E19="PASS",F19="PASS",G19&gt;=0,G19&lt;='Assumptions'!B35,H19="PASS",I19="PASS"),"PASS","DENY"))</x:f>
        <x:v>OPEN</x:v>
      </x:c>
    </x:row>
    <x:row r="20">
      <x:c r="A20" s="8" t="str">
        <x:v>TX-015</x:v>
      </x:c>
      <x:c r="B20" s="8" t="str">
        <x:v>S0</x:v>
      </x:c>
      <x:c r="C20" s="8" t="str">
        <x:v>B-to-A</x:v>
      </x:c>
      <x:c r="D20" s="8" t="str">
        <x:v>blind marker</x:v>
      </x:c>
      <x:c r="E20" s="10"/>
      <x:c r="F20" s="10"/>
      <x:c r="G20" s="10"/>
      <x:c r="H20" s="10"/>
      <x:c r="I20" s="10"/>
      <x:c r="J20" s="8" t="str">
        <x:f>IF(COUNTA(E20:I20)&lt;5,"OPEN",IF(AND(E20="PASS",F20="PASS",G20&gt;=0,G20&lt;='Assumptions'!B35,H20="PASS",I20="PASS"),"PASS","DENY"))</x:f>
        <x:v>OPEN</x:v>
      </x:c>
    </x:row>
    <x:row r="21">
      <x:c r="A21" s="8" t="str">
        <x:v>TX-016</x:v>
      </x:c>
      <x:c r="B21" s="8" t="str">
        <x:v>S0</x:v>
      </x:c>
      <x:c r="C21" s="8" t="str">
        <x:v>B-to-A</x:v>
      </x:c>
      <x:c r="D21" s="8" t="str">
        <x:v>interrupted rollback</x:v>
      </x:c>
      <x:c r="E21" s="10"/>
      <x:c r="F21" s="10"/>
      <x:c r="G21" s="10"/>
      <x:c r="H21" s="10"/>
      <x:c r="I21" s="10"/>
      <x:c r="J21" s="8" t="str">
        <x:f>IF(COUNTA(E21:I21)&lt;5,"OPEN",IF(AND(E21="PASS",F21="PASS",G21&gt;=0,G21&lt;='Assumptions'!B35,H21="PASS",I21="PASS"),"PASS","DENY"))</x:f>
        <x:v>OPEN</x:v>
      </x:c>
    </x:row>
    <x:row r="22">
      <x:c r="A22" s="8" t="str">
        <x:v>TX-017</x:v>
      </x:c>
      <x:c r="B22" s="8" t="str">
        <x:v>S1</x:v>
      </x:c>
      <x:c r="C22" s="8" t="str">
        <x:v>A-to-B</x:v>
      </x:c>
      <x:c r="D22" s="8" t="str">
        <x:v>nominal</x:v>
      </x:c>
      <x:c r="E22" s="10"/>
      <x:c r="F22" s="10"/>
      <x:c r="G22" s="10"/>
      <x:c r="H22" s="10"/>
      <x:c r="I22" s="10"/>
      <x:c r="J22" s="8" t="str">
        <x:f>IF(COUNTA(E22:I22)&lt;5,"OPEN",IF(AND(E22="PASS",F22="PASS",G22&gt;=0,G22&lt;='Assumptions'!B35,H22="PASS",I22="PASS"),"PASS","DENY"))</x:f>
        <x:v>OPEN</x:v>
      </x:c>
    </x:row>
    <x:row r="23">
      <x:c r="A23" s="8" t="str">
        <x:v>TX-018</x:v>
      </x:c>
      <x:c r="B23" s="8" t="str">
        <x:v>S1</x:v>
      </x:c>
      <x:c r="C23" s="8" t="str">
        <x:v>A-to-B</x:v>
      </x:c>
      <x:c r="D23" s="8" t="str">
        <x:v>datum edge</x:v>
      </x:c>
      <x:c r="E23" s="10"/>
      <x:c r="F23" s="10"/>
      <x:c r="G23" s="10"/>
      <x:c r="H23" s="10"/>
      <x:c r="I23" s="10"/>
      <x:c r="J23" s="8" t="str">
        <x:f>IF(COUNTA(E23:I23)&lt;5,"OPEN",IF(AND(E23="PASS",F23="PASS",G23&gt;=0,G23&lt;='Assumptions'!B35,H23="PASS",I23="PASS"),"PASS","DENY"))</x:f>
        <x:v>OPEN</x:v>
      </x:c>
    </x:row>
    <x:row r="24">
      <x:c r="A24" s="8" t="str">
        <x:v>TX-019</x:v>
      </x:c>
      <x:c r="B24" s="8" t="str">
        <x:v>S1</x:v>
      </x:c>
      <x:c r="C24" s="8" t="str">
        <x:v>A-to-B</x:v>
      </x:c>
      <x:c r="D24" s="8" t="str">
        <x:v>wet residue</x:v>
      </x:c>
      <x:c r="E24" s="10"/>
      <x:c r="F24" s="10"/>
      <x:c r="G24" s="10"/>
      <x:c r="H24" s="10"/>
      <x:c r="I24" s="10"/>
      <x:c r="J24" s="8" t="str">
        <x:f>IF(COUNTA(E24:I24)&lt;5,"OPEN",IF(AND(E24="PASS",F24="PASS",G24&gt;=0,G24&lt;='Assumptions'!B35,H24="PASS",I24="PASS"),"PASS","DENY"))</x:f>
        <x:v>OPEN</x:v>
      </x:c>
    </x:row>
    <x:row r="25">
      <x:c r="A25" s="8" t="str">
        <x:v>TX-020</x:v>
      </x:c>
      <x:c r="B25" s="8" t="str">
        <x:v>S1</x:v>
      </x:c>
      <x:c r="C25" s="8" t="str">
        <x:v>A-to-B</x:v>
      </x:c>
      <x:c r="D25" s="8" t="str">
        <x:v>thermal distortion</x:v>
      </x:c>
      <x:c r="E25" s="10"/>
      <x:c r="F25" s="10"/>
      <x:c r="G25" s="10"/>
      <x:c r="H25" s="10"/>
      <x:c r="I25" s="10"/>
      <x:c r="J25" s="8" t="str">
        <x:f>IF(COUNTA(E25:I25)&lt;5,"OPEN",IF(AND(E25="PASS",F25="PASS",G25&gt;=0,G25&lt;='Assumptions'!B35,H25="PASS",I25="PASS"),"PASS","DENY"))</x:f>
        <x:v>OPEN</x:v>
      </x:c>
    </x:row>
    <x:row r="26">
      <x:c r="A26" s="8" t="str">
        <x:v>TX-021</x:v>
      </x:c>
      <x:c r="B26" s="8" t="str">
        <x:v>S1</x:v>
      </x:c>
      <x:c r="C26" s="8" t="str">
        <x:v>A-to-B</x:v>
      </x:c>
      <x:c r="D26" s="8" t="str">
        <x:v>service denied</x:v>
      </x:c>
      <x:c r="E26" s="10"/>
      <x:c r="F26" s="10"/>
      <x:c r="G26" s="10"/>
      <x:c r="H26" s="10"/>
      <x:c r="I26" s="10"/>
      <x:c r="J26" s="8" t="str">
        <x:f>IF(COUNTA(E26:I26)&lt;5,"OPEN",IF(AND(E26="PASS",F26="PASS",G26&gt;=0,G26&lt;='Assumptions'!B35,H26="PASS",I26="PASS"),"PASS","DENY"))</x:f>
        <x:v>OPEN</x:v>
      </x:c>
    </x:row>
    <x:row r="27">
      <x:c r="A27" s="8" t="str">
        <x:v>TX-022</x:v>
      </x:c>
      <x:c r="B27" s="8" t="str">
        <x:v>S1</x:v>
      </x:c>
      <x:c r="C27" s="8" t="str">
        <x:v>A-to-B</x:v>
      </x:c>
      <x:c r="D27" s="8" t="str">
        <x:v>network/time loss</x:v>
      </x:c>
      <x:c r="E27" s="10"/>
      <x:c r="F27" s="10"/>
      <x:c r="G27" s="10"/>
      <x:c r="H27" s="10"/>
      <x:c r="I27" s="10"/>
      <x:c r="J27" s="8" t="str">
        <x:f>IF(COUNTA(E27:I27)&lt;5,"OPEN",IF(AND(E27="PASS",F27="PASS",G27&gt;=0,G27&lt;='Assumptions'!B35,H27="PASS",I27="PASS"),"PASS","DENY"))</x:f>
        <x:v>OPEN</x:v>
      </x:c>
    </x:row>
    <x:row r="28">
      <x:c r="A28" s="8" t="str">
        <x:v>TX-023</x:v>
      </x:c>
      <x:c r="B28" s="8" t="str">
        <x:v>S1</x:v>
      </x:c>
      <x:c r="C28" s="8" t="str">
        <x:v>A-to-B</x:v>
      </x:c>
      <x:c r="D28" s="8" t="str">
        <x:v>blind marker</x:v>
      </x:c>
      <x:c r="E28" s="10"/>
      <x:c r="F28" s="10"/>
      <x:c r="G28" s="10"/>
      <x:c r="H28" s="10"/>
      <x:c r="I28" s="10"/>
      <x:c r="J28" s="8" t="str">
        <x:f>IF(COUNTA(E28:I28)&lt;5,"OPEN",IF(AND(E28="PASS",F28="PASS",G28&gt;=0,G28&lt;='Assumptions'!B35,H28="PASS",I28="PASS"),"PASS","DENY"))</x:f>
        <x:v>OPEN</x:v>
      </x:c>
    </x:row>
    <x:row r="29">
      <x:c r="A29" s="8" t="str">
        <x:v>TX-024</x:v>
      </x:c>
      <x:c r="B29" s="8" t="str">
        <x:v>S1</x:v>
      </x:c>
      <x:c r="C29" s="8" t="str">
        <x:v>A-to-B</x:v>
      </x:c>
      <x:c r="D29" s="8" t="str">
        <x:v>interrupted rollback</x:v>
      </x:c>
      <x:c r="E29" s="10"/>
      <x:c r="F29" s="10"/>
      <x:c r="G29" s="10"/>
      <x:c r="H29" s="10"/>
      <x:c r="I29" s="10"/>
      <x:c r="J29" s="8" t="str">
        <x:f>IF(COUNTA(E29:I29)&lt;5,"OPEN",IF(AND(E29="PASS",F29="PASS",G29&gt;=0,G29&lt;='Assumptions'!B35,H29="PASS",I29="PASS"),"PASS","DENY"))</x:f>
        <x:v>OPEN</x:v>
      </x:c>
    </x:row>
    <x:row r="30">
      <x:c r="A30" s="8" t="str">
        <x:v>TX-025</x:v>
      </x:c>
      <x:c r="B30" s="8" t="str">
        <x:v>S1</x:v>
      </x:c>
      <x:c r="C30" s="8" t="str">
        <x:v>B-to-A</x:v>
      </x:c>
      <x:c r="D30" s="8" t="str">
        <x:v>nominal</x:v>
      </x:c>
      <x:c r="E30" s="10"/>
      <x:c r="F30" s="10"/>
      <x:c r="G30" s="10"/>
      <x:c r="H30" s="10"/>
      <x:c r="I30" s="10"/>
      <x:c r="J30" s="8" t="str">
        <x:f>IF(COUNTA(E30:I30)&lt;5,"OPEN",IF(AND(E30="PASS",F30="PASS",G30&gt;=0,G30&lt;='Assumptions'!B35,H30="PASS",I30="PASS"),"PASS","DENY"))</x:f>
        <x:v>OPEN</x:v>
      </x:c>
    </x:row>
    <x:row r="31">
      <x:c r="A31" s="8" t="str">
        <x:v>TX-026</x:v>
      </x:c>
      <x:c r="B31" s="8" t="str">
        <x:v>S1</x:v>
      </x:c>
      <x:c r="C31" s="8" t="str">
        <x:v>B-to-A</x:v>
      </x:c>
      <x:c r="D31" s="8" t="str">
        <x:v>datum edge</x:v>
      </x:c>
      <x:c r="E31" s="10"/>
      <x:c r="F31" s="10"/>
      <x:c r="G31" s="10"/>
      <x:c r="H31" s="10"/>
      <x:c r="I31" s="10"/>
      <x:c r="J31" s="8" t="str">
        <x:f>IF(COUNTA(E31:I31)&lt;5,"OPEN",IF(AND(E31="PASS",F31="PASS",G31&gt;=0,G31&lt;='Assumptions'!B35,H31="PASS",I31="PASS"),"PASS","DENY"))</x:f>
        <x:v>OPEN</x:v>
      </x:c>
    </x:row>
    <x:row r="32">
      <x:c r="A32" s="8" t="str">
        <x:v>TX-027</x:v>
      </x:c>
      <x:c r="B32" s="8" t="str">
        <x:v>S1</x:v>
      </x:c>
      <x:c r="C32" s="8" t="str">
        <x:v>B-to-A</x:v>
      </x:c>
      <x:c r="D32" s="8" t="str">
        <x:v>wet residue</x:v>
      </x:c>
      <x:c r="E32" s="10"/>
      <x:c r="F32" s="10"/>
      <x:c r="G32" s="10"/>
      <x:c r="H32" s="10"/>
      <x:c r="I32" s="10"/>
      <x:c r="J32" s="8" t="str">
        <x:f>IF(COUNTA(E32:I32)&lt;5,"OPEN",IF(AND(E32="PASS",F32="PASS",G32&gt;=0,G32&lt;='Assumptions'!B35,H32="PASS",I32="PASS"),"PASS","DENY"))</x:f>
        <x:v>OPEN</x:v>
      </x:c>
    </x:row>
    <x:row r="33">
      <x:c r="A33" s="8" t="str">
        <x:v>TX-028</x:v>
      </x:c>
      <x:c r="B33" s="8" t="str">
        <x:v>S1</x:v>
      </x:c>
      <x:c r="C33" s="8" t="str">
        <x:v>B-to-A</x:v>
      </x:c>
      <x:c r="D33" s="8" t="str">
        <x:v>thermal distortion</x:v>
      </x:c>
      <x:c r="E33" s="10"/>
      <x:c r="F33" s="10"/>
      <x:c r="G33" s="10"/>
      <x:c r="H33" s="10"/>
      <x:c r="I33" s="10"/>
      <x:c r="J33" s="8" t="str">
        <x:f>IF(COUNTA(E33:I33)&lt;5,"OPEN",IF(AND(E33="PASS",F33="PASS",G33&gt;=0,G33&lt;='Assumptions'!B35,H33="PASS",I33="PASS"),"PASS","DENY"))</x:f>
        <x:v>OPEN</x:v>
      </x:c>
    </x:row>
    <x:row r="34">
      <x:c r="A34" s="8" t="str">
        <x:v>TX-029</x:v>
      </x:c>
      <x:c r="B34" s="8" t="str">
        <x:v>S1</x:v>
      </x:c>
      <x:c r="C34" s="8" t="str">
        <x:v>B-to-A</x:v>
      </x:c>
      <x:c r="D34" s="8" t="str">
        <x:v>service denied</x:v>
      </x:c>
      <x:c r="E34" s="10"/>
      <x:c r="F34" s="10"/>
      <x:c r="G34" s="10"/>
      <x:c r="H34" s="10"/>
      <x:c r="I34" s="10"/>
      <x:c r="J34" s="8" t="str">
        <x:f>IF(COUNTA(E34:I34)&lt;5,"OPEN",IF(AND(E34="PASS",F34="PASS",G34&gt;=0,G34&lt;='Assumptions'!B35,H34="PASS",I34="PASS"),"PASS","DENY"))</x:f>
        <x:v>OPEN</x:v>
      </x:c>
    </x:row>
    <x:row r="35">
      <x:c r="A35" s="8" t="str">
        <x:v>TX-030</x:v>
      </x:c>
      <x:c r="B35" s="8" t="str">
        <x:v>S1</x:v>
      </x:c>
      <x:c r="C35" s="8" t="str">
        <x:v>B-to-A</x:v>
      </x:c>
      <x:c r="D35" s="8" t="str">
        <x:v>network/time loss</x:v>
      </x:c>
      <x:c r="E35" s="10"/>
      <x:c r="F35" s="10"/>
      <x:c r="G35" s="10"/>
      <x:c r="H35" s="10"/>
      <x:c r="I35" s="10"/>
      <x:c r="J35" s="8" t="str">
        <x:f>IF(COUNTA(E35:I35)&lt;5,"OPEN",IF(AND(E35="PASS",F35="PASS",G35&gt;=0,G35&lt;='Assumptions'!B35,H35="PASS",I35="PASS"),"PASS","DENY"))</x:f>
        <x:v>OPEN</x:v>
      </x:c>
    </x:row>
    <x:row r="36">
      <x:c r="A36" s="8" t="str">
        <x:v>TX-031</x:v>
      </x:c>
      <x:c r="B36" s="8" t="str">
        <x:v>S1</x:v>
      </x:c>
      <x:c r="C36" s="8" t="str">
        <x:v>B-to-A</x:v>
      </x:c>
      <x:c r="D36" s="8" t="str">
        <x:v>blind marker</x:v>
      </x:c>
      <x:c r="E36" s="10"/>
      <x:c r="F36" s="10"/>
      <x:c r="G36" s="10"/>
      <x:c r="H36" s="10"/>
      <x:c r="I36" s="10"/>
      <x:c r="J36" s="8" t="str">
        <x:f>IF(COUNTA(E36:I36)&lt;5,"OPEN",IF(AND(E36="PASS",F36="PASS",G36&gt;=0,G36&lt;='Assumptions'!B35,H36="PASS",I36="PASS"),"PASS","DENY"))</x:f>
        <x:v>OPEN</x:v>
      </x:c>
    </x:row>
    <x:row r="37">
      <x:c r="A37" s="8" t="str">
        <x:v>TX-032</x:v>
      </x:c>
      <x:c r="B37" s="8" t="str">
        <x:v>S1</x:v>
      </x:c>
      <x:c r="C37" s="8" t="str">
        <x:v>B-to-A</x:v>
      </x:c>
      <x:c r="D37" s="8" t="str">
        <x:v>interrupted rollback</x:v>
      </x:c>
      <x:c r="E37" s="10"/>
      <x:c r="F37" s="10"/>
      <x:c r="G37" s="10"/>
      <x:c r="H37" s="10"/>
      <x:c r="I37" s="10"/>
      <x:c r="J37" s="8" t="str">
        <x:f>IF(COUNTA(E37:I37)&lt;5,"OPEN",IF(AND(E37="PASS",F37="PASS",G37&gt;=0,G37&lt;='Assumptions'!B35,H37="PASS",I37="PASS"),"PASS","DENY"))</x:f>
        <x:v>OPEN</x:v>
      </x:c>
    </x:row>
    <x:row r="38">
      <x:c r="A38" s="8" t="str">
        <x:v>TX-033</x:v>
      </x:c>
      <x:c r="B38" s="8" t="str">
        <x:v>S2</x:v>
      </x:c>
      <x:c r="C38" s="8" t="str">
        <x:v>A-to-B</x:v>
      </x:c>
      <x:c r="D38" s="8" t="str">
        <x:v>nominal</x:v>
      </x:c>
      <x:c r="E38" s="10"/>
      <x:c r="F38" s="10"/>
      <x:c r="G38" s="10"/>
      <x:c r="H38" s="10"/>
      <x:c r="I38" s="10"/>
      <x:c r="J38" s="8" t="str">
        <x:f>IF(COUNTA(E38:I38)&lt;5,"OPEN",IF(AND(E38="PASS",F38="PASS",G38&gt;=0,G38&lt;='Assumptions'!B35,H38="PASS",I38="PASS"),"PASS","DENY"))</x:f>
        <x:v>OPEN</x:v>
      </x:c>
    </x:row>
    <x:row r="39">
      <x:c r="A39" s="8" t="str">
        <x:v>TX-034</x:v>
      </x:c>
      <x:c r="B39" s="8" t="str">
        <x:v>S2</x:v>
      </x:c>
      <x:c r="C39" s="8" t="str">
        <x:v>A-to-B</x:v>
      </x:c>
      <x:c r="D39" s="8" t="str">
        <x:v>datum edge</x:v>
      </x:c>
      <x:c r="E39" s="10"/>
      <x:c r="F39" s="10"/>
      <x:c r="G39" s="10"/>
      <x:c r="H39" s="10"/>
      <x:c r="I39" s="10"/>
      <x:c r="J39" s="8" t="str">
        <x:f>IF(COUNTA(E39:I39)&lt;5,"OPEN",IF(AND(E39="PASS",F39="PASS",G39&gt;=0,G39&lt;='Assumptions'!B35,H39="PASS",I39="PASS"),"PASS","DENY"))</x:f>
        <x:v>OPEN</x:v>
      </x:c>
    </x:row>
    <x:row r="40">
      <x:c r="A40" s="8" t="str">
        <x:v>TX-035</x:v>
      </x:c>
      <x:c r="B40" s="8" t="str">
        <x:v>S2</x:v>
      </x:c>
      <x:c r="C40" s="8" t="str">
        <x:v>A-to-B</x:v>
      </x:c>
      <x:c r="D40" s="8" t="str">
        <x:v>wet residue</x:v>
      </x:c>
      <x:c r="E40" s="10"/>
      <x:c r="F40" s="10"/>
      <x:c r="G40" s="10"/>
      <x:c r="H40" s="10"/>
      <x:c r="I40" s="10"/>
      <x:c r="J40" s="8" t="str">
        <x:f>IF(COUNTA(E40:I40)&lt;5,"OPEN",IF(AND(E40="PASS",F40="PASS",G40&gt;=0,G40&lt;='Assumptions'!B35,H40="PASS",I40="PASS"),"PASS","DENY"))</x:f>
        <x:v>OPEN</x:v>
      </x:c>
    </x:row>
    <x:row r="41">
      <x:c r="A41" s="8" t="str">
        <x:v>TX-036</x:v>
      </x:c>
      <x:c r="B41" s="8" t="str">
        <x:v>S2</x:v>
      </x:c>
      <x:c r="C41" s="8" t="str">
        <x:v>A-to-B</x:v>
      </x:c>
      <x:c r="D41" s="8" t="str">
        <x:v>thermal distortion</x:v>
      </x:c>
      <x:c r="E41" s="10"/>
      <x:c r="F41" s="10"/>
      <x:c r="G41" s="10"/>
      <x:c r="H41" s="10"/>
      <x:c r="I41" s="10"/>
      <x:c r="J41" s="8" t="str">
        <x:f>IF(COUNTA(E41:I41)&lt;5,"OPEN",IF(AND(E41="PASS",F41="PASS",G41&gt;=0,G41&lt;='Assumptions'!B35,H41="PASS",I41="PASS"),"PASS","DENY"))</x:f>
        <x:v>OPEN</x:v>
      </x:c>
    </x:row>
    <x:row r="42">
      <x:c r="A42" s="8" t="str">
        <x:v>TX-037</x:v>
      </x:c>
      <x:c r="B42" s="8" t="str">
        <x:v>S2</x:v>
      </x:c>
      <x:c r="C42" s="8" t="str">
        <x:v>A-to-B</x:v>
      </x:c>
      <x:c r="D42" s="8" t="str">
        <x:v>service denied</x:v>
      </x:c>
      <x:c r="E42" s="10"/>
      <x:c r="F42" s="10"/>
      <x:c r="G42" s="10"/>
      <x:c r="H42" s="10"/>
      <x:c r="I42" s="10"/>
      <x:c r="J42" s="8" t="str">
        <x:f>IF(COUNTA(E42:I42)&lt;5,"OPEN",IF(AND(E42="PASS",F42="PASS",G42&gt;=0,G42&lt;='Assumptions'!B35,H42="PASS",I42="PASS"),"PASS","DENY"))</x:f>
        <x:v>OPEN</x:v>
      </x:c>
    </x:row>
    <x:row r="43">
      <x:c r="A43" s="8" t="str">
        <x:v>TX-038</x:v>
      </x:c>
      <x:c r="B43" s="8" t="str">
        <x:v>S2</x:v>
      </x:c>
      <x:c r="C43" s="8" t="str">
        <x:v>A-to-B</x:v>
      </x:c>
      <x:c r="D43" s="8" t="str">
        <x:v>network/time loss</x:v>
      </x:c>
      <x:c r="E43" s="10"/>
      <x:c r="F43" s="10"/>
      <x:c r="G43" s="10"/>
      <x:c r="H43" s="10"/>
      <x:c r="I43" s="10"/>
      <x:c r="J43" s="8" t="str">
        <x:f>IF(COUNTA(E43:I43)&lt;5,"OPEN",IF(AND(E43="PASS",F43="PASS",G43&gt;=0,G43&lt;='Assumptions'!B35,H43="PASS",I43="PASS"),"PASS","DENY"))</x:f>
        <x:v>OPEN</x:v>
      </x:c>
    </x:row>
    <x:row r="44">
      <x:c r="A44" s="8" t="str">
        <x:v>TX-039</x:v>
      </x:c>
      <x:c r="B44" s="8" t="str">
        <x:v>S2</x:v>
      </x:c>
      <x:c r="C44" s="8" t="str">
        <x:v>A-to-B</x:v>
      </x:c>
      <x:c r="D44" s="8" t="str">
        <x:v>blind marker</x:v>
      </x:c>
      <x:c r="E44" s="10"/>
      <x:c r="F44" s="10"/>
      <x:c r="G44" s="10"/>
      <x:c r="H44" s="10"/>
      <x:c r="I44" s="10"/>
      <x:c r="J44" s="8" t="str">
        <x:f>IF(COUNTA(E44:I44)&lt;5,"OPEN",IF(AND(E44="PASS",F44="PASS",G44&gt;=0,G44&lt;='Assumptions'!B35,H44="PASS",I44="PASS"),"PASS","DENY"))</x:f>
        <x:v>OPEN</x:v>
      </x:c>
    </x:row>
    <x:row r="45">
      <x:c r="A45" s="8" t="str">
        <x:v>TX-040</x:v>
      </x:c>
      <x:c r="B45" s="8" t="str">
        <x:v>S2</x:v>
      </x:c>
      <x:c r="C45" s="8" t="str">
        <x:v>A-to-B</x:v>
      </x:c>
      <x:c r="D45" s="8" t="str">
        <x:v>interrupted rollback</x:v>
      </x:c>
      <x:c r="E45" s="10"/>
      <x:c r="F45" s="10"/>
      <x:c r="G45" s="10"/>
      <x:c r="H45" s="10"/>
      <x:c r="I45" s="10"/>
      <x:c r="J45" s="8" t="str">
        <x:f>IF(COUNTA(E45:I45)&lt;5,"OPEN",IF(AND(E45="PASS",F45="PASS",G45&gt;=0,G45&lt;='Assumptions'!B35,H45="PASS",I45="PASS"),"PASS","DENY"))</x:f>
        <x:v>OPEN</x:v>
      </x:c>
    </x:row>
    <x:row r="46">
      <x:c r="A46" s="8" t="str">
        <x:v>TX-041</x:v>
      </x:c>
      <x:c r="B46" s="8" t="str">
        <x:v>S2</x:v>
      </x:c>
      <x:c r="C46" s="8" t="str">
        <x:v>B-to-A</x:v>
      </x:c>
      <x:c r="D46" s="8" t="str">
        <x:v>nominal</x:v>
      </x:c>
      <x:c r="E46" s="10"/>
      <x:c r="F46" s="10"/>
      <x:c r="G46" s="10"/>
      <x:c r="H46" s="10"/>
      <x:c r="I46" s="10"/>
      <x:c r="J46" s="8" t="str">
        <x:f>IF(COUNTA(E46:I46)&lt;5,"OPEN",IF(AND(E46="PASS",F46="PASS",G46&gt;=0,G46&lt;='Assumptions'!B35,H46="PASS",I46="PASS"),"PASS","DENY"))</x:f>
        <x:v>OPEN</x:v>
      </x:c>
    </x:row>
    <x:row r="47">
      <x:c r="A47" s="8" t="str">
        <x:v>TX-042</x:v>
      </x:c>
      <x:c r="B47" s="8" t="str">
        <x:v>S2</x:v>
      </x:c>
      <x:c r="C47" s="8" t="str">
        <x:v>B-to-A</x:v>
      </x:c>
      <x:c r="D47" s="8" t="str">
        <x:v>datum edge</x:v>
      </x:c>
      <x:c r="E47" s="10"/>
      <x:c r="F47" s="10"/>
      <x:c r="G47" s="10"/>
      <x:c r="H47" s="10"/>
      <x:c r="I47" s="10"/>
      <x:c r="J47" s="8" t="str">
        <x:f>IF(COUNTA(E47:I47)&lt;5,"OPEN",IF(AND(E47="PASS",F47="PASS",G47&gt;=0,G47&lt;='Assumptions'!B35,H47="PASS",I47="PASS"),"PASS","DENY"))</x:f>
        <x:v>OPEN</x:v>
      </x:c>
    </x:row>
    <x:row r="48">
      <x:c r="A48" s="8" t="str">
        <x:v>TX-043</x:v>
      </x:c>
      <x:c r="B48" s="8" t="str">
        <x:v>S2</x:v>
      </x:c>
      <x:c r="C48" s="8" t="str">
        <x:v>B-to-A</x:v>
      </x:c>
      <x:c r="D48" s="8" t="str">
        <x:v>wet residue</x:v>
      </x:c>
      <x:c r="E48" s="10"/>
      <x:c r="F48" s="10"/>
      <x:c r="G48" s="10"/>
      <x:c r="H48" s="10"/>
      <x:c r="I48" s="10"/>
      <x:c r="J48" s="8" t="str">
        <x:f>IF(COUNTA(E48:I48)&lt;5,"OPEN",IF(AND(E48="PASS",F48="PASS",G48&gt;=0,G48&lt;='Assumptions'!B35,H48="PASS",I48="PASS"),"PASS","DENY"))</x:f>
        <x:v>OPEN</x:v>
      </x:c>
    </x:row>
    <x:row r="49">
      <x:c r="A49" s="8" t="str">
        <x:v>TX-044</x:v>
      </x:c>
      <x:c r="B49" s="8" t="str">
        <x:v>S2</x:v>
      </x:c>
      <x:c r="C49" s="8" t="str">
        <x:v>B-to-A</x:v>
      </x:c>
      <x:c r="D49" s="8" t="str">
        <x:v>thermal distortion</x:v>
      </x:c>
      <x:c r="E49" s="10"/>
      <x:c r="F49" s="10"/>
      <x:c r="G49" s="10"/>
      <x:c r="H49" s="10"/>
      <x:c r="I49" s="10"/>
      <x:c r="J49" s="8" t="str">
        <x:f>IF(COUNTA(E49:I49)&lt;5,"OPEN",IF(AND(E49="PASS",F49="PASS",G49&gt;=0,G49&lt;='Assumptions'!B35,H49="PASS",I49="PASS"),"PASS","DENY"))</x:f>
        <x:v>OPEN</x:v>
      </x:c>
    </x:row>
    <x:row r="50">
      <x:c r="A50" s="8" t="str">
        <x:v>TX-045</x:v>
      </x:c>
      <x:c r="B50" s="8" t="str">
        <x:v>S2</x:v>
      </x:c>
      <x:c r="C50" s="8" t="str">
        <x:v>B-to-A</x:v>
      </x:c>
      <x:c r="D50" s="8" t="str">
        <x:v>service denied</x:v>
      </x:c>
      <x:c r="E50" s="10"/>
      <x:c r="F50" s="10"/>
      <x:c r="G50" s="10"/>
      <x:c r="H50" s="10"/>
      <x:c r="I50" s="10"/>
      <x:c r="J50" s="8" t="str">
        <x:f>IF(COUNTA(E50:I50)&lt;5,"OPEN",IF(AND(E50="PASS",F50="PASS",G50&gt;=0,G50&lt;='Assumptions'!B35,H50="PASS",I50="PASS"),"PASS","DENY"))</x:f>
        <x:v>OPEN</x:v>
      </x:c>
    </x:row>
    <x:row r="51">
      <x:c r="A51" s="8" t="str">
        <x:v>TX-046</x:v>
      </x:c>
      <x:c r="B51" s="8" t="str">
        <x:v>S2</x:v>
      </x:c>
      <x:c r="C51" s="8" t="str">
        <x:v>B-to-A</x:v>
      </x:c>
      <x:c r="D51" s="8" t="str">
        <x:v>network/time loss</x:v>
      </x:c>
      <x:c r="E51" s="10"/>
      <x:c r="F51" s="10"/>
      <x:c r="G51" s="10"/>
      <x:c r="H51" s="10"/>
      <x:c r="I51" s="10"/>
      <x:c r="J51" s="8" t="str">
        <x:f>IF(COUNTA(E51:I51)&lt;5,"OPEN",IF(AND(E51="PASS",F51="PASS",G51&gt;=0,G51&lt;='Assumptions'!B35,H51="PASS",I51="PASS"),"PASS","DENY"))</x:f>
        <x:v>OPEN</x:v>
      </x:c>
    </x:row>
    <x:row r="52">
      <x:c r="A52" s="8" t="str">
        <x:v>TX-047</x:v>
      </x:c>
      <x:c r="B52" s="8" t="str">
        <x:v>S2</x:v>
      </x:c>
      <x:c r="C52" s="8" t="str">
        <x:v>B-to-A</x:v>
      </x:c>
      <x:c r="D52" s="8" t="str">
        <x:v>blind marker</x:v>
      </x:c>
      <x:c r="E52" s="10"/>
      <x:c r="F52" s="10"/>
      <x:c r="G52" s="10"/>
      <x:c r="H52" s="10"/>
      <x:c r="I52" s="10"/>
      <x:c r="J52" s="8" t="str">
        <x:f>IF(COUNTA(E52:I52)&lt;5,"OPEN",IF(AND(E52="PASS",F52="PASS",G52&gt;=0,G52&lt;='Assumptions'!B35,H52="PASS",I52="PASS"),"PASS","DENY"))</x:f>
        <x:v>OPEN</x:v>
      </x:c>
    </x:row>
    <x:row r="53">
      <x:c r="A53" s="8" t="str">
        <x:v>TX-048</x:v>
      </x:c>
      <x:c r="B53" s="8" t="str">
        <x:v>S2</x:v>
      </x:c>
      <x:c r="C53" s="8" t="str">
        <x:v>B-to-A</x:v>
      </x:c>
      <x:c r="D53" s="8" t="str">
        <x:v>interrupted rollback</x:v>
      </x:c>
      <x:c r="E53" s="10"/>
      <x:c r="F53" s="10"/>
      <x:c r="G53" s="10"/>
      <x:c r="H53" s="10"/>
      <x:c r="I53" s="10"/>
      <x:c r="J53" s="8" t="str">
        <x:f>IF(COUNTA(E53:I53)&lt;5,"OPEN",IF(AND(E53="PASS",F53="PASS",G53&gt;=0,G53&lt;='Assumptions'!B35,H53="PASS",I53="PASS"),"PASS","DENY"))</x:f>
        <x:v>OPEN</x:v>
      </x:c>
    </x:row>
    <x:row r="54">
      <x:c r="A54" s="8" t="str">
        <x:v>TX-049</x:v>
      </x:c>
      <x:c r="B54" s="8" t="str">
        <x:v>S3</x:v>
      </x:c>
      <x:c r="C54" s="8" t="str">
        <x:v>A-to-B</x:v>
      </x:c>
      <x:c r="D54" s="8" t="str">
        <x:v>nominal</x:v>
      </x:c>
      <x:c r="E54" s="10"/>
      <x:c r="F54" s="10"/>
      <x:c r="G54" s="10"/>
      <x:c r="H54" s="10"/>
      <x:c r="I54" s="10"/>
      <x:c r="J54" s="8" t="str">
        <x:f>IF(COUNTA(E54:I54)&lt;5,"OPEN",IF(AND(E54="PASS",F54="PASS",G54&gt;=0,G54&lt;='Assumptions'!B35,H54="PASS",I54="PASS"),"PASS","DENY"))</x:f>
        <x:v>OPEN</x:v>
      </x:c>
    </x:row>
    <x:row r="55">
      <x:c r="A55" s="8" t="str">
        <x:v>TX-050</x:v>
      </x:c>
      <x:c r="B55" s="8" t="str">
        <x:v>S3</x:v>
      </x:c>
      <x:c r="C55" s="8" t="str">
        <x:v>A-to-B</x:v>
      </x:c>
      <x:c r="D55" s="8" t="str">
        <x:v>datum edge</x:v>
      </x:c>
      <x:c r="E55" s="10"/>
      <x:c r="F55" s="10"/>
      <x:c r="G55" s="10"/>
      <x:c r="H55" s="10"/>
      <x:c r="I55" s="10"/>
      <x:c r="J55" s="8" t="str">
        <x:f>IF(COUNTA(E55:I55)&lt;5,"OPEN",IF(AND(E55="PASS",F55="PASS",G55&gt;=0,G55&lt;='Assumptions'!B35,H55="PASS",I55="PASS"),"PASS","DENY"))</x:f>
        <x:v>OPEN</x:v>
      </x:c>
    </x:row>
    <x:row r="56">
      <x:c r="A56" s="8" t="str">
        <x:v>TX-051</x:v>
      </x:c>
      <x:c r="B56" s="8" t="str">
        <x:v>S3</x:v>
      </x:c>
      <x:c r="C56" s="8" t="str">
        <x:v>A-to-B</x:v>
      </x:c>
      <x:c r="D56" s="8" t="str">
        <x:v>wet residue</x:v>
      </x:c>
      <x:c r="E56" s="10"/>
      <x:c r="F56" s="10"/>
      <x:c r="G56" s="10"/>
      <x:c r="H56" s="10"/>
      <x:c r="I56" s="10"/>
      <x:c r="J56" s="8" t="str">
        <x:f>IF(COUNTA(E56:I56)&lt;5,"OPEN",IF(AND(E56="PASS",F56="PASS",G56&gt;=0,G56&lt;='Assumptions'!B35,H56="PASS",I56="PASS"),"PASS","DENY"))</x:f>
        <x:v>OPEN</x:v>
      </x:c>
    </x:row>
    <x:row r="57">
      <x:c r="A57" s="8" t="str">
        <x:v>TX-052</x:v>
      </x:c>
      <x:c r="B57" s="8" t="str">
        <x:v>S3</x:v>
      </x:c>
      <x:c r="C57" s="8" t="str">
        <x:v>A-to-B</x:v>
      </x:c>
      <x:c r="D57" s="8" t="str">
        <x:v>thermal distortion</x:v>
      </x:c>
      <x:c r="E57" s="10"/>
      <x:c r="F57" s="10"/>
      <x:c r="G57" s="10"/>
      <x:c r="H57" s="10"/>
      <x:c r="I57" s="10"/>
      <x:c r="J57" s="8" t="str">
        <x:f>IF(COUNTA(E57:I57)&lt;5,"OPEN",IF(AND(E57="PASS",F57="PASS",G57&gt;=0,G57&lt;='Assumptions'!B35,H57="PASS",I57="PASS"),"PASS","DENY"))</x:f>
        <x:v>OPEN</x:v>
      </x:c>
    </x:row>
    <x:row r="58">
      <x:c r="A58" s="8" t="str">
        <x:v>TX-053</x:v>
      </x:c>
      <x:c r="B58" s="8" t="str">
        <x:v>S3</x:v>
      </x:c>
      <x:c r="C58" s="8" t="str">
        <x:v>A-to-B</x:v>
      </x:c>
      <x:c r="D58" s="8" t="str">
        <x:v>service denied</x:v>
      </x:c>
      <x:c r="E58" s="10"/>
      <x:c r="F58" s="10"/>
      <x:c r="G58" s="10"/>
      <x:c r="H58" s="10"/>
      <x:c r="I58" s="10"/>
      <x:c r="J58" s="8" t="str">
        <x:f>IF(COUNTA(E58:I58)&lt;5,"OPEN",IF(AND(E58="PASS",F58="PASS",G58&gt;=0,G58&lt;='Assumptions'!B35,H58="PASS",I58="PASS"),"PASS","DENY"))</x:f>
        <x:v>OPEN</x:v>
      </x:c>
    </x:row>
    <x:row r="59">
      <x:c r="A59" s="8" t="str">
        <x:v>TX-054</x:v>
      </x:c>
      <x:c r="B59" s="8" t="str">
        <x:v>S3</x:v>
      </x:c>
      <x:c r="C59" s="8" t="str">
        <x:v>A-to-B</x:v>
      </x:c>
      <x:c r="D59" s="8" t="str">
        <x:v>network/time loss</x:v>
      </x:c>
      <x:c r="E59" s="10"/>
      <x:c r="F59" s="10"/>
      <x:c r="G59" s="10"/>
      <x:c r="H59" s="10"/>
      <x:c r="I59" s="10"/>
      <x:c r="J59" s="8" t="str">
        <x:f>IF(COUNTA(E59:I59)&lt;5,"OPEN",IF(AND(E59="PASS",F59="PASS",G59&gt;=0,G59&lt;='Assumptions'!B35,H59="PASS",I59="PASS"),"PASS","DENY"))</x:f>
        <x:v>OPEN</x:v>
      </x:c>
    </x:row>
    <x:row r="60">
      <x:c r="A60" s="8" t="str">
        <x:v>TX-055</x:v>
      </x:c>
      <x:c r="B60" s="8" t="str">
        <x:v>S3</x:v>
      </x:c>
      <x:c r="C60" s="8" t="str">
        <x:v>A-to-B</x:v>
      </x:c>
      <x:c r="D60" s="8" t="str">
        <x:v>blind marker</x:v>
      </x:c>
      <x:c r="E60" s="10"/>
      <x:c r="F60" s="10"/>
      <x:c r="G60" s="10"/>
      <x:c r="H60" s="10"/>
      <x:c r="I60" s="10"/>
      <x:c r="J60" s="8" t="str">
        <x:f>IF(COUNTA(E60:I60)&lt;5,"OPEN",IF(AND(E60="PASS",F60="PASS",G60&gt;=0,G60&lt;='Assumptions'!B35,H60="PASS",I60="PASS"),"PASS","DENY"))</x:f>
        <x:v>OPEN</x:v>
      </x:c>
    </x:row>
    <x:row r="61">
      <x:c r="A61" s="8" t="str">
        <x:v>TX-056</x:v>
      </x:c>
      <x:c r="B61" s="8" t="str">
        <x:v>S3</x:v>
      </x:c>
      <x:c r="C61" s="8" t="str">
        <x:v>A-to-B</x:v>
      </x:c>
      <x:c r="D61" s="8" t="str">
        <x:v>interrupted rollback</x:v>
      </x:c>
      <x:c r="E61" s="10"/>
      <x:c r="F61" s="10"/>
      <x:c r="G61" s="10"/>
      <x:c r="H61" s="10"/>
      <x:c r="I61" s="10"/>
      <x:c r="J61" s="8" t="str">
        <x:f>IF(COUNTA(E61:I61)&lt;5,"OPEN",IF(AND(E61="PASS",F61="PASS",G61&gt;=0,G61&lt;='Assumptions'!B35,H61="PASS",I61="PASS"),"PASS","DENY"))</x:f>
        <x:v>OPEN</x:v>
      </x:c>
    </x:row>
    <x:row r="62">
      <x:c r="A62" s="8" t="str">
        <x:v>TX-057</x:v>
      </x:c>
      <x:c r="B62" s="8" t="str">
        <x:v>S3</x:v>
      </x:c>
      <x:c r="C62" s="8" t="str">
        <x:v>B-to-A</x:v>
      </x:c>
      <x:c r="D62" s="8" t="str">
        <x:v>nominal</x:v>
      </x:c>
      <x:c r="E62" s="10"/>
      <x:c r="F62" s="10"/>
      <x:c r="G62" s="10"/>
      <x:c r="H62" s="10"/>
      <x:c r="I62" s="10"/>
      <x:c r="J62" s="8" t="str">
        <x:f>IF(COUNTA(E62:I62)&lt;5,"OPEN",IF(AND(E62="PASS",F62="PASS",G62&gt;=0,G62&lt;='Assumptions'!B35,H62="PASS",I62="PASS"),"PASS","DENY"))</x:f>
        <x:v>OPEN</x:v>
      </x:c>
    </x:row>
    <x:row r="63">
      <x:c r="A63" s="8" t="str">
        <x:v>TX-058</x:v>
      </x:c>
      <x:c r="B63" s="8" t="str">
        <x:v>S3</x:v>
      </x:c>
      <x:c r="C63" s="8" t="str">
        <x:v>B-to-A</x:v>
      </x:c>
      <x:c r="D63" s="8" t="str">
        <x:v>datum edge</x:v>
      </x:c>
      <x:c r="E63" s="10"/>
      <x:c r="F63" s="10"/>
      <x:c r="G63" s="10"/>
      <x:c r="H63" s="10"/>
      <x:c r="I63" s="10"/>
      <x:c r="J63" s="8" t="str">
        <x:f>IF(COUNTA(E63:I63)&lt;5,"OPEN",IF(AND(E63="PASS",F63="PASS",G63&gt;=0,G63&lt;='Assumptions'!B35,H63="PASS",I63="PASS"),"PASS","DENY"))</x:f>
        <x:v>OPEN</x:v>
      </x:c>
    </x:row>
    <x:row r="64">
      <x:c r="A64" s="8" t="str">
        <x:v>TX-059</x:v>
      </x:c>
      <x:c r="B64" s="8" t="str">
        <x:v>S3</x:v>
      </x:c>
      <x:c r="C64" s="8" t="str">
        <x:v>B-to-A</x:v>
      </x:c>
      <x:c r="D64" s="8" t="str">
        <x:v>wet residue</x:v>
      </x:c>
      <x:c r="E64" s="10"/>
      <x:c r="F64" s="10"/>
      <x:c r="G64" s="10"/>
      <x:c r="H64" s="10"/>
      <x:c r="I64" s="10"/>
      <x:c r="J64" s="8" t="str">
        <x:f>IF(COUNTA(E64:I64)&lt;5,"OPEN",IF(AND(E64="PASS",F64="PASS",G64&gt;=0,G64&lt;='Assumptions'!B35,H64="PASS",I64="PASS"),"PASS","DENY"))</x:f>
        <x:v>OPEN</x:v>
      </x:c>
    </x:row>
    <x:row r="65">
      <x:c r="A65" s="8" t="str">
        <x:v>TX-060</x:v>
      </x:c>
      <x:c r="B65" s="8" t="str">
        <x:v>S3</x:v>
      </x:c>
      <x:c r="C65" s="8" t="str">
        <x:v>B-to-A</x:v>
      </x:c>
      <x:c r="D65" s="8" t="str">
        <x:v>thermal distortion</x:v>
      </x:c>
      <x:c r="E65" s="10"/>
      <x:c r="F65" s="10"/>
      <x:c r="G65" s="10"/>
      <x:c r="H65" s="10"/>
      <x:c r="I65" s="10"/>
      <x:c r="J65" s="8" t="str">
        <x:f>IF(COUNTA(E65:I65)&lt;5,"OPEN",IF(AND(E65="PASS",F65="PASS",G65&gt;=0,G65&lt;='Assumptions'!B35,H65="PASS",I65="PASS"),"PASS","DENY"))</x:f>
        <x:v>OPEN</x:v>
      </x:c>
    </x:row>
    <x:row r="66">
      <x:c r="A66" s="8" t="str">
        <x:v>TX-061</x:v>
      </x:c>
      <x:c r="B66" s="8" t="str">
        <x:v>S3</x:v>
      </x:c>
      <x:c r="C66" s="8" t="str">
        <x:v>B-to-A</x:v>
      </x:c>
      <x:c r="D66" s="8" t="str">
        <x:v>service denied</x:v>
      </x:c>
      <x:c r="E66" s="10"/>
      <x:c r="F66" s="10"/>
      <x:c r="G66" s="10"/>
      <x:c r="H66" s="10"/>
      <x:c r="I66" s="10"/>
      <x:c r="J66" s="8" t="str">
        <x:f>IF(COUNTA(E66:I66)&lt;5,"OPEN",IF(AND(E66="PASS",F66="PASS",G66&gt;=0,G66&lt;='Assumptions'!B35,H66="PASS",I66="PASS"),"PASS","DENY"))</x:f>
        <x:v>OPEN</x:v>
      </x:c>
    </x:row>
    <x:row r="67">
      <x:c r="A67" s="8" t="str">
        <x:v>TX-062</x:v>
      </x:c>
      <x:c r="B67" s="8" t="str">
        <x:v>S3</x:v>
      </x:c>
      <x:c r="C67" s="8" t="str">
        <x:v>B-to-A</x:v>
      </x:c>
      <x:c r="D67" s="8" t="str">
        <x:v>network/time loss</x:v>
      </x:c>
      <x:c r="E67" s="10"/>
      <x:c r="F67" s="10"/>
      <x:c r="G67" s="10"/>
      <x:c r="H67" s="10"/>
      <x:c r="I67" s="10"/>
      <x:c r="J67" s="8" t="str">
        <x:f>IF(COUNTA(E67:I67)&lt;5,"OPEN",IF(AND(E67="PASS",F67="PASS",G67&gt;=0,G67&lt;='Assumptions'!B35,H67="PASS",I67="PASS"),"PASS","DENY"))</x:f>
        <x:v>OPEN</x:v>
      </x:c>
    </x:row>
    <x:row r="68">
      <x:c r="A68" s="8" t="str">
        <x:v>TX-063</x:v>
      </x:c>
      <x:c r="B68" s="8" t="str">
        <x:v>S3</x:v>
      </x:c>
      <x:c r="C68" s="8" t="str">
        <x:v>B-to-A</x:v>
      </x:c>
      <x:c r="D68" s="8" t="str">
        <x:v>blind marker</x:v>
      </x:c>
      <x:c r="E68" s="10"/>
      <x:c r="F68" s="10"/>
      <x:c r="G68" s="10"/>
      <x:c r="H68" s="10"/>
      <x:c r="I68" s="10"/>
      <x:c r="J68" s="8" t="str">
        <x:f>IF(COUNTA(E68:I68)&lt;5,"OPEN",IF(AND(E68="PASS",F68="PASS",G68&gt;=0,G68&lt;='Assumptions'!B35,H68="PASS",I68="PASS"),"PASS","DENY"))</x:f>
        <x:v>OPEN</x:v>
      </x:c>
    </x:row>
    <x:row r="69">
      <x:c r="A69" s="8" t="str">
        <x:v>TX-064</x:v>
      </x:c>
      <x:c r="B69" s="8" t="str">
        <x:v>S3</x:v>
      </x:c>
      <x:c r="C69" s="8" t="str">
        <x:v>B-to-A</x:v>
      </x:c>
      <x:c r="D69" s="8" t="str">
        <x:v>interrupted rollback</x:v>
      </x:c>
      <x:c r="E69" s="10"/>
      <x:c r="F69" s="10"/>
      <x:c r="G69" s="10"/>
      <x:c r="H69" s="10"/>
      <x:c r="I69" s="10"/>
      <x:c r="J69" s="8" t="str">
        <x:f>IF(COUNTA(E69:I69)&lt;5,"OPEN",IF(AND(E69="PASS",F69="PASS",G69&gt;=0,G69&lt;='Assumptions'!B35,H69="PASS",I69="PASS"),"PASS","DENY"))</x:f>
        <x:v>OPEN</x:v>
      </x:c>
    </x:row>
    <x:row r="70">
      <x:c r="A70" s="8" t="str">
        <x:v>TX-065</x:v>
      </x:c>
      <x:c r="B70" s="8" t="str">
        <x:v>S4</x:v>
      </x:c>
      <x:c r="C70" s="8" t="str">
        <x:v>A-to-B</x:v>
      </x:c>
      <x:c r="D70" s="8" t="str">
        <x:v>nominal</x:v>
      </x:c>
      <x:c r="E70" s="10"/>
      <x:c r="F70" s="10"/>
      <x:c r="G70" s="10"/>
      <x:c r="H70" s="10"/>
      <x:c r="I70" s="10"/>
      <x:c r="J70" s="8" t="str">
        <x:f>IF(COUNTA(E70:I70)&lt;5,"OPEN",IF(AND(E70="PASS",F70="PASS",G70&gt;=0,G70&lt;='Assumptions'!B35,H70="PASS",I70="PASS"),"PASS","DENY"))</x:f>
        <x:v>OPEN</x:v>
      </x:c>
    </x:row>
    <x:row r="71">
      <x:c r="A71" s="8" t="str">
        <x:v>TX-066</x:v>
      </x:c>
      <x:c r="B71" s="8" t="str">
        <x:v>S4</x:v>
      </x:c>
      <x:c r="C71" s="8" t="str">
        <x:v>A-to-B</x:v>
      </x:c>
      <x:c r="D71" s="8" t="str">
        <x:v>datum edge</x:v>
      </x:c>
      <x:c r="E71" s="10"/>
      <x:c r="F71" s="10"/>
      <x:c r="G71" s="10"/>
      <x:c r="H71" s="10"/>
      <x:c r="I71" s="10"/>
      <x:c r="J71" s="8" t="str">
        <x:f>IF(COUNTA(E71:I71)&lt;5,"OPEN",IF(AND(E71="PASS",F71="PASS",G71&gt;=0,G71&lt;='Assumptions'!B35,H71="PASS",I71="PASS"),"PASS","DENY"))</x:f>
        <x:v>OPEN</x:v>
      </x:c>
    </x:row>
    <x:row r="72">
      <x:c r="A72" s="8" t="str">
        <x:v>TX-067</x:v>
      </x:c>
      <x:c r="B72" s="8" t="str">
        <x:v>S4</x:v>
      </x:c>
      <x:c r="C72" s="8" t="str">
        <x:v>A-to-B</x:v>
      </x:c>
      <x:c r="D72" s="8" t="str">
        <x:v>wet residue</x:v>
      </x:c>
      <x:c r="E72" s="10"/>
      <x:c r="F72" s="10"/>
      <x:c r="G72" s="10"/>
      <x:c r="H72" s="10"/>
      <x:c r="I72" s="10"/>
      <x:c r="J72" s="8" t="str">
        <x:f>IF(COUNTA(E72:I72)&lt;5,"OPEN",IF(AND(E72="PASS",F72="PASS",G72&gt;=0,G72&lt;='Assumptions'!B35,H72="PASS",I72="PASS"),"PASS","DENY"))</x:f>
        <x:v>OPEN</x:v>
      </x:c>
    </x:row>
    <x:row r="73">
      <x:c r="A73" s="8" t="str">
        <x:v>TX-068</x:v>
      </x:c>
      <x:c r="B73" s="8" t="str">
        <x:v>S4</x:v>
      </x:c>
      <x:c r="C73" s="8" t="str">
        <x:v>A-to-B</x:v>
      </x:c>
      <x:c r="D73" s="8" t="str">
        <x:v>thermal distortion</x:v>
      </x:c>
      <x:c r="E73" s="10"/>
      <x:c r="F73" s="10"/>
      <x:c r="G73" s="10"/>
      <x:c r="H73" s="10"/>
      <x:c r="I73" s="10"/>
      <x:c r="J73" s="8" t="str">
        <x:f>IF(COUNTA(E73:I73)&lt;5,"OPEN",IF(AND(E73="PASS",F73="PASS",G73&gt;=0,G73&lt;='Assumptions'!B35,H73="PASS",I73="PASS"),"PASS","DENY"))</x:f>
        <x:v>OPEN</x:v>
      </x:c>
    </x:row>
    <x:row r="74">
      <x:c r="A74" s="8" t="str">
        <x:v>TX-069</x:v>
      </x:c>
      <x:c r="B74" s="8" t="str">
        <x:v>S4</x:v>
      </x:c>
      <x:c r="C74" s="8" t="str">
        <x:v>A-to-B</x:v>
      </x:c>
      <x:c r="D74" s="8" t="str">
        <x:v>service denied</x:v>
      </x:c>
      <x:c r="E74" s="10"/>
      <x:c r="F74" s="10"/>
      <x:c r="G74" s="10"/>
      <x:c r="H74" s="10"/>
      <x:c r="I74" s="10"/>
      <x:c r="J74" s="8" t="str">
        <x:f>IF(COUNTA(E74:I74)&lt;5,"OPEN",IF(AND(E74="PASS",F74="PASS",G74&gt;=0,G74&lt;='Assumptions'!B35,H74="PASS",I74="PASS"),"PASS","DENY"))</x:f>
        <x:v>OPEN</x:v>
      </x:c>
    </x:row>
    <x:row r="75">
      <x:c r="A75" s="8" t="str">
        <x:v>TX-070</x:v>
      </x:c>
      <x:c r="B75" s="8" t="str">
        <x:v>S4</x:v>
      </x:c>
      <x:c r="C75" s="8" t="str">
        <x:v>A-to-B</x:v>
      </x:c>
      <x:c r="D75" s="8" t="str">
        <x:v>network/time loss</x:v>
      </x:c>
      <x:c r="E75" s="10"/>
      <x:c r="F75" s="10"/>
      <x:c r="G75" s="10"/>
      <x:c r="H75" s="10"/>
      <x:c r="I75" s="10"/>
      <x:c r="J75" s="8" t="str">
        <x:f>IF(COUNTA(E75:I75)&lt;5,"OPEN",IF(AND(E75="PASS",F75="PASS",G75&gt;=0,G75&lt;='Assumptions'!B35,H75="PASS",I75="PASS"),"PASS","DENY"))</x:f>
        <x:v>OPEN</x:v>
      </x:c>
    </x:row>
    <x:row r="76">
      <x:c r="A76" s="8" t="str">
        <x:v>TX-071</x:v>
      </x:c>
      <x:c r="B76" s="8" t="str">
        <x:v>S4</x:v>
      </x:c>
      <x:c r="C76" s="8" t="str">
        <x:v>A-to-B</x:v>
      </x:c>
      <x:c r="D76" s="8" t="str">
        <x:v>blind marker</x:v>
      </x:c>
      <x:c r="E76" s="10"/>
      <x:c r="F76" s="10"/>
      <x:c r="G76" s="10"/>
      <x:c r="H76" s="10"/>
      <x:c r="I76" s="10"/>
      <x:c r="J76" s="8" t="str">
        <x:f>IF(COUNTA(E76:I76)&lt;5,"OPEN",IF(AND(E76="PASS",F76="PASS",G76&gt;=0,G76&lt;='Assumptions'!B35,H76="PASS",I76="PASS"),"PASS","DENY"))</x:f>
        <x:v>OPEN</x:v>
      </x:c>
    </x:row>
    <x:row r="77">
      <x:c r="A77" s="8" t="str">
        <x:v>TX-072</x:v>
      </x:c>
      <x:c r="B77" s="8" t="str">
        <x:v>S4</x:v>
      </x:c>
      <x:c r="C77" s="8" t="str">
        <x:v>A-to-B</x:v>
      </x:c>
      <x:c r="D77" s="8" t="str">
        <x:v>interrupted rollback</x:v>
      </x:c>
      <x:c r="E77" s="10"/>
      <x:c r="F77" s="10"/>
      <x:c r="G77" s="10"/>
      <x:c r="H77" s="10"/>
      <x:c r="I77" s="10"/>
      <x:c r="J77" s="8" t="str">
        <x:f>IF(COUNTA(E77:I77)&lt;5,"OPEN",IF(AND(E77="PASS",F77="PASS",G77&gt;=0,G77&lt;='Assumptions'!B35,H77="PASS",I77="PASS"),"PASS","DENY"))</x:f>
        <x:v>OPEN</x:v>
      </x:c>
    </x:row>
    <x:row r="78">
      <x:c r="A78" s="8" t="str">
        <x:v>TX-073</x:v>
      </x:c>
      <x:c r="B78" s="8" t="str">
        <x:v>S4</x:v>
      </x:c>
      <x:c r="C78" s="8" t="str">
        <x:v>B-to-A</x:v>
      </x:c>
      <x:c r="D78" s="8" t="str">
        <x:v>nominal</x:v>
      </x:c>
      <x:c r="E78" s="10"/>
      <x:c r="F78" s="10"/>
      <x:c r="G78" s="10"/>
      <x:c r="H78" s="10"/>
      <x:c r="I78" s="10"/>
      <x:c r="J78" s="8" t="str">
        <x:f>IF(COUNTA(E78:I78)&lt;5,"OPEN",IF(AND(E78="PASS",F78="PASS",G78&gt;=0,G78&lt;='Assumptions'!B35,H78="PASS",I78="PASS"),"PASS","DENY"))</x:f>
        <x:v>OPEN</x:v>
      </x:c>
    </x:row>
    <x:row r="79">
      <x:c r="A79" s="8" t="str">
        <x:v>TX-074</x:v>
      </x:c>
      <x:c r="B79" s="8" t="str">
        <x:v>S4</x:v>
      </x:c>
      <x:c r="C79" s="8" t="str">
        <x:v>B-to-A</x:v>
      </x:c>
      <x:c r="D79" s="8" t="str">
        <x:v>datum edge</x:v>
      </x:c>
      <x:c r="E79" s="10"/>
      <x:c r="F79" s="10"/>
      <x:c r="G79" s="10"/>
      <x:c r="H79" s="10"/>
      <x:c r="I79" s="10"/>
      <x:c r="J79" s="8" t="str">
        <x:f>IF(COUNTA(E79:I79)&lt;5,"OPEN",IF(AND(E79="PASS",F79="PASS",G79&gt;=0,G79&lt;='Assumptions'!B35,H79="PASS",I79="PASS"),"PASS","DENY"))</x:f>
        <x:v>OPEN</x:v>
      </x:c>
    </x:row>
    <x:row r="80">
      <x:c r="A80" s="8" t="str">
        <x:v>TX-075</x:v>
      </x:c>
      <x:c r="B80" s="8" t="str">
        <x:v>S4</x:v>
      </x:c>
      <x:c r="C80" s="8" t="str">
        <x:v>B-to-A</x:v>
      </x:c>
      <x:c r="D80" s="8" t="str">
        <x:v>wet residue</x:v>
      </x:c>
      <x:c r="E80" s="10"/>
      <x:c r="F80" s="10"/>
      <x:c r="G80" s="10"/>
      <x:c r="H80" s="10"/>
      <x:c r="I80" s="10"/>
      <x:c r="J80" s="8" t="str">
        <x:f>IF(COUNTA(E80:I80)&lt;5,"OPEN",IF(AND(E80="PASS",F80="PASS",G80&gt;=0,G80&lt;='Assumptions'!B35,H80="PASS",I80="PASS"),"PASS","DENY"))</x:f>
        <x:v>OPEN</x:v>
      </x:c>
    </x:row>
    <x:row r="81">
      <x:c r="A81" s="8" t="str">
        <x:v>TX-076</x:v>
      </x:c>
      <x:c r="B81" s="8" t="str">
        <x:v>S4</x:v>
      </x:c>
      <x:c r="C81" s="8" t="str">
        <x:v>B-to-A</x:v>
      </x:c>
      <x:c r="D81" s="8" t="str">
        <x:v>thermal distortion</x:v>
      </x:c>
      <x:c r="E81" s="10"/>
      <x:c r="F81" s="10"/>
      <x:c r="G81" s="10"/>
      <x:c r="H81" s="10"/>
      <x:c r="I81" s="10"/>
      <x:c r="J81" s="8" t="str">
        <x:f>IF(COUNTA(E81:I81)&lt;5,"OPEN",IF(AND(E81="PASS",F81="PASS",G81&gt;=0,G81&lt;='Assumptions'!B35,H81="PASS",I81="PASS"),"PASS","DENY"))</x:f>
        <x:v>OPEN</x:v>
      </x:c>
    </x:row>
    <x:row r="82">
      <x:c r="A82" s="8" t="str">
        <x:v>TX-077</x:v>
      </x:c>
      <x:c r="B82" s="8" t="str">
        <x:v>S4</x:v>
      </x:c>
      <x:c r="C82" s="8" t="str">
        <x:v>B-to-A</x:v>
      </x:c>
      <x:c r="D82" s="8" t="str">
        <x:v>service denied</x:v>
      </x:c>
      <x:c r="E82" s="10"/>
      <x:c r="F82" s="10"/>
      <x:c r="G82" s="10"/>
      <x:c r="H82" s="10"/>
      <x:c r="I82" s="10"/>
      <x:c r="J82" s="8" t="str">
        <x:f>IF(COUNTA(E82:I82)&lt;5,"OPEN",IF(AND(E82="PASS",F82="PASS",G82&gt;=0,G82&lt;='Assumptions'!B35,H82="PASS",I82="PASS"),"PASS","DENY"))</x:f>
        <x:v>OPEN</x:v>
      </x:c>
    </x:row>
    <x:row r="83">
      <x:c r="A83" s="8" t="str">
        <x:v>TX-078</x:v>
      </x:c>
      <x:c r="B83" s="8" t="str">
        <x:v>S4</x:v>
      </x:c>
      <x:c r="C83" s="8" t="str">
        <x:v>B-to-A</x:v>
      </x:c>
      <x:c r="D83" s="8" t="str">
        <x:v>network/time loss</x:v>
      </x:c>
      <x:c r="E83" s="10"/>
      <x:c r="F83" s="10"/>
      <x:c r="G83" s="10"/>
      <x:c r="H83" s="10"/>
      <x:c r="I83" s="10"/>
      <x:c r="J83" s="8" t="str">
        <x:f>IF(COUNTA(E83:I83)&lt;5,"OPEN",IF(AND(E83="PASS",F83="PASS",G83&gt;=0,G83&lt;='Assumptions'!B35,H83="PASS",I83="PASS"),"PASS","DENY"))</x:f>
        <x:v>OPEN</x:v>
      </x:c>
    </x:row>
    <x:row r="84">
      <x:c r="A84" s="8" t="str">
        <x:v>TX-079</x:v>
      </x:c>
      <x:c r="B84" s="8" t="str">
        <x:v>S4</x:v>
      </x:c>
      <x:c r="C84" s="8" t="str">
        <x:v>B-to-A</x:v>
      </x:c>
      <x:c r="D84" s="8" t="str">
        <x:v>blind marker</x:v>
      </x:c>
      <x:c r="E84" s="10"/>
      <x:c r="F84" s="10"/>
      <x:c r="G84" s="10"/>
      <x:c r="H84" s="10"/>
      <x:c r="I84" s="10"/>
      <x:c r="J84" s="8" t="str">
        <x:f>IF(COUNTA(E84:I84)&lt;5,"OPEN",IF(AND(E84="PASS",F84="PASS",G84&gt;=0,G84&lt;='Assumptions'!B35,H84="PASS",I84="PASS"),"PASS","DENY"))</x:f>
        <x:v>OPEN</x:v>
      </x:c>
    </x:row>
    <x:row r="85">
      <x:c r="A85" s="8" t="str">
        <x:v>TX-080</x:v>
      </x:c>
      <x:c r="B85" s="8" t="str">
        <x:v>S4</x:v>
      </x:c>
      <x:c r="C85" s="8" t="str">
        <x:v>B-to-A</x:v>
      </x:c>
      <x:c r="D85" s="8" t="str">
        <x:v>interrupted rollback</x:v>
      </x:c>
      <x:c r="E85" s="10"/>
      <x:c r="F85" s="10"/>
      <x:c r="G85" s="10"/>
      <x:c r="H85" s="10"/>
      <x:c r="I85" s="10"/>
      <x:c r="J85" s="8" t="str">
        <x:f>IF(COUNTA(E85:I85)&lt;5,"OPEN",IF(AND(E85="PASS",F85="PASS",G85&gt;=0,G85&lt;='Assumptions'!B35,H85="PASS",I85="PASS"),"PASS","DENY"))</x:f>
        <x:v>OPEN</x:v>
      </x:c>
    </x:row>
    <x:row r="86">
      <x:c r="A86" s="8" t="str">
        <x:v>TX-081</x:v>
      </x:c>
      <x:c r="B86" s="8" t="str">
        <x:v>S5</x:v>
      </x:c>
      <x:c r="C86" s="8" t="str">
        <x:v>A-to-B</x:v>
      </x:c>
      <x:c r="D86" s="8" t="str">
        <x:v>nominal</x:v>
      </x:c>
      <x:c r="E86" s="10"/>
      <x:c r="F86" s="10"/>
      <x:c r="G86" s="10"/>
      <x:c r="H86" s="10"/>
      <x:c r="I86" s="10"/>
      <x:c r="J86" s="8" t="str">
        <x:f>IF(COUNTA(E86:I86)&lt;5,"OPEN",IF(AND(E86="PASS",F86="PASS",G86&gt;=0,G86&lt;='Assumptions'!B35,H86="PASS",I86="PASS"),"PASS","DENY"))</x:f>
        <x:v>OPEN</x:v>
      </x:c>
    </x:row>
    <x:row r="87">
      <x:c r="A87" s="8" t="str">
        <x:v>TX-082</x:v>
      </x:c>
      <x:c r="B87" s="8" t="str">
        <x:v>S5</x:v>
      </x:c>
      <x:c r="C87" s="8" t="str">
        <x:v>A-to-B</x:v>
      </x:c>
      <x:c r="D87" s="8" t="str">
        <x:v>datum edge</x:v>
      </x:c>
      <x:c r="E87" s="10"/>
      <x:c r="F87" s="10"/>
      <x:c r="G87" s="10"/>
      <x:c r="H87" s="10"/>
      <x:c r="I87" s="10"/>
      <x:c r="J87" s="8" t="str">
        <x:f>IF(COUNTA(E87:I87)&lt;5,"OPEN",IF(AND(E87="PASS",F87="PASS",G87&gt;=0,G87&lt;='Assumptions'!B35,H87="PASS",I87="PASS"),"PASS","DENY"))</x:f>
        <x:v>OPEN</x:v>
      </x:c>
    </x:row>
    <x:row r="88">
      <x:c r="A88" s="8" t="str">
        <x:v>TX-083</x:v>
      </x:c>
      <x:c r="B88" s="8" t="str">
        <x:v>S5</x:v>
      </x:c>
      <x:c r="C88" s="8" t="str">
        <x:v>A-to-B</x:v>
      </x:c>
      <x:c r="D88" s="8" t="str">
        <x:v>wet residue</x:v>
      </x:c>
      <x:c r="E88" s="10"/>
      <x:c r="F88" s="10"/>
      <x:c r="G88" s="10"/>
      <x:c r="H88" s="10"/>
      <x:c r="I88" s="10"/>
      <x:c r="J88" s="8" t="str">
        <x:f>IF(COUNTA(E88:I88)&lt;5,"OPEN",IF(AND(E88="PASS",F88="PASS",G88&gt;=0,G88&lt;='Assumptions'!B35,H88="PASS",I88="PASS"),"PASS","DENY"))</x:f>
        <x:v>OPEN</x:v>
      </x:c>
    </x:row>
    <x:row r="89">
      <x:c r="A89" s="8" t="str">
        <x:v>TX-084</x:v>
      </x:c>
      <x:c r="B89" s="8" t="str">
        <x:v>S5</x:v>
      </x:c>
      <x:c r="C89" s="8" t="str">
        <x:v>A-to-B</x:v>
      </x:c>
      <x:c r="D89" s="8" t="str">
        <x:v>thermal distortion</x:v>
      </x:c>
      <x:c r="E89" s="10"/>
      <x:c r="F89" s="10"/>
      <x:c r="G89" s="10"/>
      <x:c r="H89" s="10"/>
      <x:c r="I89" s="10"/>
      <x:c r="J89" s="8" t="str">
        <x:f>IF(COUNTA(E89:I89)&lt;5,"OPEN",IF(AND(E89="PASS",F89="PASS",G89&gt;=0,G89&lt;='Assumptions'!B35,H89="PASS",I89="PASS"),"PASS","DENY"))</x:f>
        <x:v>OPEN</x:v>
      </x:c>
    </x:row>
    <x:row r="90">
      <x:c r="A90" s="8" t="str">
        <x:v>TX-085</x:v>
      </x:c>
      <x:c r="B90" s="8" t="str">
        <x:v>S5</x:v>
      </x:c>
      <x:c r="C90" s="8" t="str">
        <x:v>A-to-B</x:v>
      </x:c>
      <x:c r="D90" s="8" t="str">
        <x:v>service denied</x:v>
      </x:c>
      <x:c r="E90" s="10"/>
      <x:c r="F90" s="10"/>
      <x:c r="G90" s="10"/>
      <x:c r="H90" s="10"/>
      <x:c r="I90" s="10"/>
      <x:c r="J90" s="8" t="str">
        <x:f>IF(COUNTA(E90:I90)&lt;5,"OPEN",IF(AND(E90="PASS",F90="PASS",G90&gt;=0,G90&lt;='Assumptions'!B35,H90="PASS",I90="PASS"),"PASS","DENY"))</x:f>
        <x:v>OPEN</x:v>
      </x:c>
    </x:row>
    <x:row r="91">
      <x:c r="A91" s="8" t="str">
        <x:v>TX-086</x:v>
      </x:c>
      <x:c r="B91" s="8" t="str">
        <x:v>S5</x:v>
      </x:c>
      <x:c r="C91" s="8" t="str">
        <x:v>A-to-B</x:v>
      </x:c>
      <x:c r="D91" s="8" t="str">
        <x:v>network/time loss</x:v>
      </x:c>
      <x:c r="E91" s="10"/>
      <x:c r="F91" s="10"/>
      <x:c r="G91" s="10"/>
      <x:c r="H91" s="10"/>
      <x:c r="I91" s="10"/>
      <x:c r="J91" s="8" t="str">
        <x:f>IF(COUNTA(E91:I91)&lt;5,"OPEN",IF(AND(E91="PASS",F91="PASS",G91&gt;=0,G91&lt;='Assumptions'!B35,H91="PASS",I91="PASS"),"PASS","DENY"))</x:f>
        <x:v>OPEN</x:v>
      </x:c>
    </x:row>
    <x:row r="92">
      <x:c r="A92" s="8" t="str">
        <x:v>TX-087</x:v>
      </x:c>
      <x:c r="B92" s="8" t="str">
        <x:v>S5</x:v>
      </x:c>
      <x:c r="C92" s="8" t="str">
        <x:v>A-to-B</x:v>
      </x:c>
      <x:c r="D92" s="8" t="str">
        <x:v>blind marker</x:v>
      </x:c>
      <x:c r="E92" s="10"/>
      <x:c r="F92" s="10"/>
      <x:c r="G92" s="10"/>
      <x:c r="H92" s="10"/>
      <x:c r="I92" s="10"/>
      <x:c r="J92" s="8" t="str">
        <x:f>IF(COUNTA(E92:I92)&lt;5,"OPEN",IF(AND(E92="PASS",F92="PASS",G92&gt;=0,G92&lt;='Assumptions'!B35,H92="PASS",I92="PASS"),"PASS","DENY"))</x:f>
        <x:v>OPEN</x:v>
      </x:c>
    </x:row>
    <x:row r="93">
      <x:c r="A93" s="8" t="str">
        <x:v>TX-088</x:v>
      </x:c>
      <x:c r="B93" s="8" t="str">
        <x:v>S5</x:v>
      </x:c>
      <x:c r="C93" s="8" t="str">
        <x:v>A-to-B</x:v>
      </x:c>
      <x:c r="D93" s="8" t="str">
        <x:v>interrupted rollback</x:v>
      </x:c>
      <x:c r="E93" s="10"/>
      <x:c r="F93" s="10"/>
      <x:c r="G93" s="10"/>
      <x:c r="H93" s="10"/>
      <x:c r="I93" s="10"/>
      <x:c r="J93" s="8" t="str">
        <x:f>IF(COUNTA(E93:I93)&lt;5,"OPEN",IF(AND(E93="PASS",F93="PASS",G93&gt;=0,G93&lt;='Assumptions'!B35,H93="PASS",I93="PASS"),"PASS","DENY"))</x:f>
        <x:v>OPEN</x:v>
      </x:c>
    </x:row>
    <x:row r="94">
      <x:c r="A94" s="8" t="str">
        <x:v>TX-089</x:v>
      </x:c>
      <x:c r="B94" s="8" t="str">
        <x:v>S5</x:v>
      </x:c>
      <x:c r="C94" s="8" t="str">
        <x:v>B-to-A</x:v>
      </x:c>
      <x:c r="D94" s="8" t="str">
        <x:v>nominal</x:v>
      </x:c>
      <x:c r="E94" s="10"/>
      <x:c r="F94" s="10"/>
      <x:c r="G94" s="10"/>
      <x:c r="H94" s="10"/>
      <x:c r="I94" s="10"/>
      <x:c r="J94" s="8" t="str">
        <x:f>IF(COUNTA(E94:I94)&lt;5,"OPEN",IF(AND(E94="PASS",F94="PASS",G94&gt;=0,G94&lt;='Assumptions'!B35,H94="PASS",I94="PASS"),"PASS","DENY"))</x:f>
        <x:v>OPEN</x:v>
      </x:c>
    </x:row>
    <x:row r="95">
      <x:c r="A95" s="8" t="str">
        <x:v>TX-090</x:v>
      </x:c>
      <x:c r="B95" s="8" t="str">
        <x:v>S5</x:v>
      </x:c>
      <x:c r="C95" s="8" t="str">
        <x:v>B-to-A</x:v>
      </x:c>
      <x:c r="D95" s="8" t="str">
        <x:v>datum edge</x:v>
      </x:c>
      <x:c r="E95" s="10"/>
      <x:c r="F95" s="10"/>
      <x:c r="G95" s="10"/>
      <x:c r="H95" s="10"/>
      <x:c r="I95" s="10"/>
      <x:c r="J95" s="8" t="str">
        <x:f>IF(COUNTA(E95:I95)&lt;5,"OPEN",IF(AND(E95="PASS",F95="PASS",G95&gt;=0,G95&lt;='Assumptions'!B35,H95="PASS",I95="PASS"),"PASS","DENY"))</x:f>
        <x:v>OPEN</x:v>
      </x:c>
    </x:row>
    <x:row r="96">
      <x:c r="A96" s="8" t="str">
        <x:v>TX-091</x:v>
      </x:c>
      <x:c r="B96" s="8" t="str">
        <x:v>S5</x:v>
      </x:c>
      <x:c r="C96" s="8" t="str">
        <x:v>B-to-A</x:v>
      </x:c>
      <x:c r="D96" s="8" t="str">
        <x:v>wet residue</x:v>
      </x:c>
      <x:c r="E96" s="10"/>
      <x:c r="F96" s="10"/>
      <x:c r="G96" s="10"/>
      <x:c r="H96" s="10"/>
      <x:c r="I96" s="10"/>
      <x:c r="J96" s="8" t="str">
        <x:f>IF(COUNTA(E96:I96)&lt;5,"OPEN",IF(AND(E96="PASS",F96="PASS",G96&gt;=0,G96&lt;='Assumptions'!B35,H96="PASS",I96="PASS"),"PASS","DENY"))</x:f>
        <x:v>OPEN</x:v>
      </x:c>
    </x:row>
    <x:row r="97">
      <x:c r="A97" s="8" t="str">
        <x:v>TX-092</x:v>
      </x:c>
      <x:c r="B97" s="8" t="str">
        <x:v>S5</x:v>
      </x:c>
      <x:c r="C97" s="8" t="str">
        <x:v>B-to-A</x:v>
      </x:c>
      <x:c r="D97" s="8" t="str">
        <x:v>thermal distortion</x:v>
      </x:c>
      <x:c r="E97" s="10"/>
      <x:c r="F97" s="10"/>
      <x:c r="G97" s="10"/>
      <x:c r="H97" s="10"/>
      <x:c r="I97" s="10"/>
      <x:c r="J97" s="8" t="str">
        <x:f>IF(COUNTA(E97:I97)&lt;5,"OPEN",IF(AND(E97="PASS",F97="PASS",G97&gt;=0,G97&lt;='Assumptions'!B35,H97="PASS",I97="PASS"),"PASS","DENY"))</x:f>
        <x:v>OPEN</x:v>
      </x:c>
    </x:row>
    <x:row r="98">
      <x:c r="A98" s="8" t="str">
        <x:v>TX-093</x:v>
      </x:c>
      <x:c r="B98" s="8" t="str">
        <x:v>S5</x:v>
      </x:c>
      <x:c r="C98" s="8" t="str">
        <x:v>B-to-A</x:v>
      </x:c>
      <x:c r="D98" s="8" t="str">
        <x:v>service denied</x:v>
      </x:c>
      <x:c r="E98" s="10"/>
      <x:c r="F98" s="10"/>
      <x:c r="G98" s="10"/>
      <x:c r="H98" s="10"/>
      <x:c r="I98" s="10"/>
      <x:c r="J98" s="8" t="str">
        <x:f>IF(COUNTA(E98:I98)&lt;5,"OPEN",IF(AND(E98="PASS",F98="PASS",G98&gt;=0,G98&lt;='Assumptions'!B35,H98="PASS",I98="PASS"),"PASS","DENY"))</x:f>
        <x:v>OPEN</x:v>
      </x:c>
    </x:row>
    <x:row r="99">
      <x:c r="A99" s="8" t="str">
        <x:v>TX-094</x:v>
      </x:c>
      <x:c r="B99" s="8" t="str">
        <x:v>S5</x:v>
      </x:c>
      <x:c r="C99" s="8" t="str">
        <x:v>B-to-A</x:v>
      </x:c>
      <x:c r="D99" s="8" t="str">
        <x:v>network/time loss</x:v>
      </x:c>
      <x:c r="E99" s="10"/>
      <x:c r="F99" s="10"/>
      <x:c r="G99" s="10"/>
      <x:c r="H99" s="10"/>
      <x:c r="I99" s="10"/>
      <x:c r="J99" s="8" t="str">
        <x:f>IF(COUNTA(E99:I99)&lt;5,"OPEN",IF(AND(E99="PASS",F99="PASS",G99&gt;=0,G99&lt;='Assumptions'!B35,H99="PASS",I99="PASS"),"PASS","DENY"))</x:f>
        <x:v>OPEN</x:v>
      </x:c>
    </x:row>
    <x:row r="100">
      <x:c r="A100" s="8" t="str">
        <x:v>TX-095</x:v>
      </x:c>
      <x:c r="B100" s="8" t="str">
        <x:v>S5</x:v>
      </x:c>
      <x:c r="C100" s="8" t="str">
        <x:v>B-to-A</x:v>
      </x:c>
      <x:c r="D100" s="8" t="str">
        <x:v>blind marker</x:v>
      </x:c>
      <x:c r="E100" s="10"/>
      <x:c r="F100" s="10"/>
      <x:c r="G100" s="10"/>
      <x:c r="H100" s="10"/>
      <x:c r="I100" s="10"/>
      <x:c r="J100" s="8" t="str">
        <x:f>IF(COUNTA(E100:I100)&lt;5,"OPEN",IF(AND(E100="PASS",F100="PASS",G100&gt;=0,G100&lt;='Assumptions'!B35,H100="PASS",I100="PASS"),"PASS","DENY"))</x:f>
        <x:v>OPEN</x:v>
      </x:c>
    </x:row>
    <x:row r="101">
      <x:c r="A101" s="8" t="str">
        <x:v>TX-096</x:v>
      </x:c>
      <x:c r="B101" s="8" t="str">
        <x:v>S5</x:v>
      </x:c>
      <x:c r="C101" s="8" t="str">
        <x:v>B-to-A</x:v>
      </x:c>
      <x:c r="D101" s="8" t="str">
        <x:v>interrupted rollback</x:v>
      </x:c>
      <x:c r="E101" s="10"/>
      <x:c r="F101" s="10"/>
      <x:c r="G101" s="10"/>
      <x:c r="H101" s="10"/>
      <x:c r="I101" s="10"/>
      <x:c r="J101" s="8" t="str">
        <x:f>IF(COUNTA(E101:I101)&lt;5,"OPEN",IF(AND(E101="PASS",F101="PASS",G101&gt;=0,G101&lt;='Assumptions'!B35,H101="PASS",I101="PASS"),"PASS","DENY"))</x:f>
        <x:v>OPEN</x:v>
      </x:c>
    </x:row>
  </x:sheetData>
  <x:mergeCells>
    <x:mergeCell ref="A2:J2"/>
  </x:mergeCells>
  <x:conditionalFormatting sqref="J6:J101">
    <x:cfRule type="containsText" dxfId="2" priority="1" operator="containsText" text="DENY"/>
    <x:cfRule type="containsText" dxfId="3" priority="2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c680689d1d024230"/>
  </x:tableParts>
</x:worksheet>
</file>

<file path=xl/worksheets/sheet8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2" hidden="0" customWidth="1"/>
    <x:col min="4" max="4" width="15" hidden="0" customWidth="1"/>
    <x:col min="5" max="5" width="17" hidden="0" customWidth="1"/>
    <x:col min="6" max="6" width="16" hidden="0" customWidth="1"/>
    <x:col min="7" max="7" width="14" hidden="0" customWidth="1"/>
  </x:cols>
  <x:sheetData>
    <x:row r="2" ht="26" customHeight="1">
      <x:c r="A2" s="13" t="str">
        <x:v>Qualified and fixed-boundary capacity</x:v>
      </x:c>
      <x:c r="B2" s="13" t="str">
        <x:v>Qualified and fixed-boundary capacity</x:v>
      </x:c>
      <x:c r="C2" s="13" t="str">
        <x:v>Qualified and fixed-boundary capacity</x:v>
      </x:c>
      <x:c r="D2" s="13" t="str">
        <x:v>Qualified and fixed-boundary capacity</x:v>
      </x:c>
      <x:c r="E2" s="13" t="str">
        <x:v>Qualified and fixed-boundary capacity</x:v>
      </x:c>
      <x:c r="F2" s="13" t="str">
        <x:v>Qualified and fixed-boundary capacity</x:v>
      </x:c>
      <x:c r="G2" s="13" t="str">
        <x:v>Qualified and fixed-boundary capacity</x:v>
      </x:c>
    </x:row>
    <x:row r="3">
      <x:c r="A3" s="14"/>
      <x:c r="B3" s="14"/>
      <x:c r="C3" s="14"/>
      <x:c r="D3" s="14"/>
      <x:c r="E3" s="14"/>
      <x:c r="F3" s="14"/>
      <x:c r="G3" s="14"/>
    </x:row>
    <x:row r="4">
      <x:c r="A4" s="14"/>
      <x:c r="B4" s="14"/>
      <x:c r="C4" s="14"/>
      <x:c r="D4" s="14"/>
      <x:c r="E4" s="14"/>
      <x:c r="F4" s="14"/>
      <x:c r="G4" s="14"/>
    </x:row>
    <x:row r="5">
      <x:c r="A5" s="6" t="str">
        <x:v>Scenario</x:v>
      </x:c>
      <x:c r="B5" s="6" t="str">
        <x:v>Resource</x:v>
      </x:c>
      <x:c r="C5" s="6" t="str">
        <x:v>Units</x:v>
      </x:c>
      <x:c r="D5" s="6" t="str">
        <x:v>Interval h</x:v>
      </x:c>
      <x:c r="E5" s="6" t="str">
        <x:v>Starts/week</x:v>
      </x:c>
      <x:c r="F5" s="6" t="str">
        <x:v>Required rate</x:v>
      </x:c>
      <x:c r="G5" s="6" t="str">
        <x:v>Margin</x:v>
      </x:c>
    </x:row>
    <x:row r="6">
      <x:c r="A6" s="8" t="str">
        <x:v>QUALIFIED</x:v>
      </x:c>
      <x:c r="B6" s="8" t="str">
        <x:v>event units</x:v>
      </x:c>
      <x:c r="C6" s="8" t="n">
        <x:f>'Assumptions'!B15</x:f>
        <x:v>3</x:v>
      </x:c>
      <x:c r="D6" s="8" t="n">
        <x:v>252</x:v>
      </x:c>
      <x:c r="E6" s="8" t="n">
        <x:f>C6*168/D6</x:f>
        <x:v>2</x:v>
      </x:c>
      <x:c r="F6" s="8" t="n">
        <x:v>2</x:v>
      </x:c>
      <x:c r="G6" s="8" t="n">
        <x:f>E6-F6</x:f>
        <x:v>0</x:v>
      </x:c>
    </x:row>
    <x:row r="7">
      <x:c r="A7" s="8" t="str">
        <x:v>QUALIFIED</x:v>
      </x:c>
      <x:c r="B7" s="8" t="str">
        <x:v>host rigs</x:v>
      </x:c>
      <x:c r="C7" s="8" t="n">
        <x:f>'Assumptions'!B6</x:f>
        <x:v>12</x:v>
      </x:c>
      <x:c r="D7" s="8" t="n">
        <x:v>504</x:v>
      </x:c>
      <x:c r="E7" s="8" t="n">
        <x:f>C7*168/D7</x:f>
        <x:v>4</x:v>
      </x:c>
      <x:c r="F7" s="8" t="n">
        <x:v>2</x:v>
      </x:c>
      <x:c r="G7" s="8" t="n">
        <x:f>E7-F7</x:f>
        <x:v>2</x:v>
      </x:c>
    </x:row>
    <x:row r="8">
      <x:c r="A8" s="8" t="str">
        <x:v>QUALIFIED</x:v>
      </x:c>
      <x:c r="B8" s="8" t="str">
        <x:v>active modules</x:v>
      </x:c>
      <x:c r="C8" s="8" t="n">
        <x:f>'Assumptions'!B9</x:f>
        <x:v>12</x:v>
      </x:c>
      <x:c r="D8" s="8" t="n">
        <x:v>1008</x:v>
      </x:c>
      <x:c r="E8" s="8" t="n">
        <x:f>C8*168/D8</x:f>
        <x:v>2</x:v>
      </x:c>
      <x:c r="F8" s="8" t="n">
        <x:v>2</x:v>
      </x:c>
      <x:c r="G8" s="8" t="n">
        <x:f>E8-F8</x:f>
        <x:v>0</x:v>
      </x:c>
    </x:row>
    <x:row r="9">
      <x:c r="A9" s="8" t="str">
        <x:v>QUALIFIED</x:v>
      </x:c>
      <x:c r="B9" s="8" t="str">
        <x:v>return lanes</x:v>
      </x:c>
      <x:c r="C9" s="8" t="n">
        <x:f>'Assumptions'!B16</x:f>
        <x:v>12</x:v>
      </x:c>
      <x:c r="D9" s="8" t="n">
        <x:v>1008</x:v>
      </x:c>
      <x:c r="E9" s="8" t="n">
        <x:f>C9*168/D9</x:f>
        <x:v>2</x:v>
      </x:c>
      <x:c r="F9" s="8" t="n">
        <x:v>2</x:v>
      </x:c>
      <x:c r="G9" s="8" t="n">
        <x:f>E9-F9</x:f>
        <x:v>0</x:v>
      </x:c>
    </x:row>
    <x:row r="10">
      <x:c r="A10" s="8" t="str">
        <x:v>QUALIFIED</x:v>
      </x:c>
      <x:c r="B10" s="8" t="str">
        <x:v>preparation paths</x:v>
      </x:c>
      <x:c r="C10" s="8" t="n">
        <x:f>'Assumptions'!B17</x:f>
        <x:v>2</x:v>
      </x:c>
      <x:c r="D10" s="8" t="n">
        <x:v>168</x:v>
      </x:c>
      <x:c r="E10" s="8" t="n">
        <x:f>C10*168/D10</x:f>
        <x:v>2</x:v>
      </x:c>
      <x:c r="F10" s="8" t="n">
        <x:v>2</x:v>
      </x:c>
      <x:c r="G10" s="8" t="n">
        <x:f>E10-F10</x:f>
        <x:v>0</x:v>
      </x:c>
    </x:row>
    <x:row r="11">
      <x:c r="A11" s="8" t="str">
        <x:v>QUALIFIED</x:v>
      </x:c>
      <x:c r="B11" s="8" t="str">
        <x:v>evidence paths</x:v>
      </x:c>
      <x:c r="C11" s="8" t="n">
        <x:f>'Assumptions'!B18</x:f>
        <x:v>2</x:v>
      </x:c>
      <x:c r="D11" s="8" t="n">
        <x:v>168</x:v>
      </x:c>
      <x:c r="E11" s="8" t="n">
        <x:f>C11*168/D11</x:f>
        <x:v>2</x:v>
      </x:c>
      <x:c r="F11" s="8" t="n">
        <x:v>2</x:v>
      </x:c>
      <x:c r="G11" s="8" t="n">
        <x:f>E11-F11</x:f>
        <x:v>0</x:v>
      </x:c>
    </x:row>
    <x:row r="12">
      <x:c r="A12" s="8" t="str">
        <x:v>FIXED</x:v>
      </x:c>
      <x:c r="B12" s="8" t="str">
        <x:v>event units</x:v>
      </x:c>
      <x:c r="C12" s="8" t="n">
        <x:f>'Assumptions'!B15</x:f>
        <x:v>3</x:v>
      </x:c>
      <x:c r="D12" s="8" t="n">
        <x:v>252</x:v>
      </x:c>
      <x:c r="E12" s="8" t="n">
        <x:f>C12*168/D12</x:f>
        <x:v>2</x:v>
      </x:c>
      <x:c r="F12" s="8" t="n">
        <x:v>2</x:v>
      </x:c>
      <x:c r="G12" s="8" t="n">
        <x:f>E12-F12</x:f>
        <x:v>0</x:v>
      </x:c>
    </x:row>
    <x:row r="13">
      <x:c r="A13" s="8" t="str">
        <x:v>FIXED</x:v>
      </x:c>
      <x:c r="B13" s="8" t="str">
        <x:v>host rigs</x:v>
      </x:c>
      <x:c r="C13" s="8" t="n">
        <x:f>'Assumptions'!B6</x:f>
        <x:v>12</x:v>
      </x:c>
      <x:c r="D13" s="8" t="n">
        <x:v>1008</x:v>
      </x:c>
      <x:c r="E13" s="8" t="n">
        <x:f>C13*168/D13</x:f>
        <x:v>2</x:v>
      </x:c>
      <x:c r="F13" s="8" t="n">
        <x:v>1</x:v>
      </x:c>
      <x:c r="G13" s="8" t="n">
        <x:f>E13-F13</x:f>
        <x:v>1</x:v>
      </x:c>
    </x:row>
    <x:row r="14">
      <x:c r="A14" s="8" t="str">
        <x:v>FIXED</x:v>
      </x:c>
      <x:c r="B14" s="8" t="str">
        <x:v>active modules</x:v>
      </x:c>
      <x:c r="C14" s="8" t="n">
        <x:f>'Assumptions'!B9</x:f>
        <x:v>12</x:v>
      </x:c>
      <x:c r="D14" s="8" t="n">
        <x:v>1008</x:v>
      </x:c>
      <x:c r="E14" s="8" t="n">
        <x:f>C14*168/D14</x:f>
        <x:v>2</x:v>
      </x:c>
      <x:c r="F14" s="8" t="n">
        <x:v>2</x:v>
      </x:c>
      <x:c r="G14" s="8" t="n">
        <x:f>E14-F14</x:f>
        <x:v>0</x:v>
      </x:c>
    </x:row>
    <x:row r="15">
      <x:c r="A15" s="8" t="str">
        <x:v>FIXED</x:v>
      </x:c>
      <x:c r="B15" s="8" t="str">
        <x:v>return lanes</x:v>
      </x:c>
      <x:c r="C15" s="8" t="n">
        <x:f>'Assumptions'!B16</x:f>
        <x:v>12</x:v>
      </x:c>
      <x:c r="D15" s="8" t="n">
        <x:v>1008</x:v>
      </x:c>
      <x:c r="E15" s="8" t="n">
        <x:f>C15*168/D15</x:f>
        <x:v>2</x:v>
      </x:c>
      <x:c r="F15" s="8" t="n">
        <x:v>2</x:v>
      </x:c>
      <x:c r="G15" s="8" t="n">
        <x:f>E15-F15</x:f>
        <x:v>0</x:v>
      </x:c>
    </x:row>
    <x:row r="16">
      <x:c r="A16" s="8" t="str">
        <x:v>FIXED</x:v>
      </x:c>
      <x:c r="B16" s="8" t="str">
        <x:v>preparation paths</x:v>
      </x:c>
      <x:c r="C16" s="8" t="n">
        <x:f>'Assumptions'!B17</x:f>
        <x:v>2</x:v>
      </x:c>
      <x:c r="D16" s="8" t="n">
        <x:v>168</x:v>
      </x:c>
      <x:c r="E16" s="8" t="n">
        <x:f>C16*168/D16</x:f>
        <x:v>2</x:v>
      </x:c>
      <x:c r="F16" s="8" t="n">
        <x:v>2</x:v>
      </x:c>
      <x:c r="G16" s="8" t="n">
        <x:f>E16-F16</x:f>
        <x:v>0</x:v>
      </x:c>
    </x:row>
    <x:row r="17">
      <x:c r="A17" s="8" t="str">
        <x:v>FIXED</x:v>
      </x:c>
      <x:c r="B17" s="8" t="str">
        <x:v>evidence paths</x:v>
      </x:c>
      <x:c r="C17" s="8" t="n">
        <x:f>'Assumptions'!B18</x:f>
        <x:v>2</x:v>
      </x:c>
      <x:c r="D17" s="8" t="n">
        <x:v>168</x:v>
      </x:c>
      <x:c r="E17" s="8" t="n">
        <x:f>C17*168/D17</x:f>
        <x:v>2</x:v>
      </x:c>
      <x:c r="F17" s="8" t="n">
        <x:v>2</x:v>
      </x:c>
      <x:c r="G17" s="8" t="n">
        <x:f>E17-F17</x:f>
        <x:v>0</x:v>
      </x:c>
    </x:row>
  </x:sheetData>
  <x:mergeCells>
    <x:mergeCell ref="A2:G2"/>
  </x:mergeCells>
  <x:pageMargins left="0.7" right="0.7" top="0.75" bottom="0.75" header="0.3" footer="0.3"/>
  <x:tableParts count="1">
    <x:tablePart xmlns:r="http://schemas.openxmlformats.org/officeDocument/2006/relationships" r:id="R45644d2b90e94cf1"/>
  </x:tableParts>
</x:worksheet>
</file>

<file path=xl/worksheets/sheet9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4" hidden="0" customWidth="1"/>
    <x:col min="5" max="5" width="17" hidden="0" customWidth="1"/>
    <x:col min="6" max="6" width="19" hidden="0" customWidth="1"/>
    <x:col min="7" max="7" width="25" hidden="0" customWidth="1"/>
    <x:col min="8" max="8" width="24" hidden="0" customWidth="1"/>
  </x:cols>
  <x:sheetData>
    <x:row r="2" ht="26" customHeight="1">
      <x:c r="A2" s="13" t="str">
        <x:v>Nested ladder calendar</x:v>
      </x:c>
      <x:c r="B2" s="13" t="str">
        <x:v>Nested ladder calendar</x:v>
      </x:c>
      <x:c r="C2" s="13" t="str">
        <x:v>Nested ladder calendar</x:v>
      </x:c>
      <x:c r="D2" s="13" t="str">
        <x:v>Nested ladder calendar</x:v>
      </x:c>
      <x:c r="E2" s="13" t="str">
        <x:v>Nested ladder calendar</x:v>
      </x:c>
      <x:c r="F2" s="13" t="str">
        <x:v>Nested ladder calendar</x:v>
      </x:c>
      <x:c r="G2" s="13" t="str">
        <x:v>Nested ladder calendar</x:v>
      </x:c>
      <x:c r="H2" s="13" t="str">
        <x:v>Nested ladder calendar</x:v>
      </x:c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6" t="str">
        <x:v>Rung</x:v>
      </x:c>
      <x:c r="B5" s="6" t="str">
        <x:v>Issue weeks</x:v>
      </x:c>
      <x:c r="C5" s="6" t="str">
        <x:v>Return tail</x:v>
      </x:c>
      <x:c r="D5" s="6" t="str">
        <x:v>Review lag</x:v>
      </x:c>
      <x:c r="E5" s="6" t="str">
        <x:v>Boundary weeks</x:v>
      </x:c>
      <x:c r="F5" s="6" t="str">
        <x:v>Cumulative weeks</x:v>
      </x:c>
      <x:c r="G5" s="6" t="str">
        <x:v>Maximum reserve issue weeks</x:v>
      </x:c>
      <x:c r="H5" s="6" t="str">
        <x:v>Maximum cumulative weeks</x:v>
      </x:c>
    </x:row>
    <x:row r="6">
      <x:c r="A6" s="8" t="str">
        <x:v>ER-01</x:v>
      </x:c>
      <x:c r="B6" s="8" t="n">
        <x:v>6</x:v>
      </x:c>
      <x:c r="C6" s="8" t="n">
        <x:v>6</x:v>
      </x:c>
      <x:c r="D6" s="8" t="n">
        <x:v>2</x:v>
      </x:c>
      <x:c r="E6" s="8" t="n">
        <x:f>B6+C6+D6-1</x:f>
        <x:v>13</x:v>
      </x:c>
      <x:c r="F6" s="8" t="n">
        <x:f>E6</x:f>
        <x:v>13</x:v>
      </x:c>
      <x:c r="G6" s="8" t="n">
        <x:v>2</x:v>
      </x:c>
      <x:c r="H6" s="8" t="n">
        <x:f>F6+SUM($G$6:G6)</x:f>
        <x:v>15</x:v>
      </x:c>
    </x:row>
    <x:row r="7">
      <x:c r="A7" s="8" t="str">
        <x:v>ER-02</x:v>
      </x:c>
      <x:c r="B7" s="8" t="n">
        <x:v>6</x:v>
      </x:c>
      <x:c r="C7" s="8" t="n">
        <x:v>6</x:v>
      </x:c>
      <x:c r="D7" s="8" t="n">
        <x:v>2</x:v>
      </x:c>
      <x:c r="E7" s="8" t="n">
        <x:f>B7+C7+D7-1</x:f>
        <x:v>13</x:v>
      </x:c>
      <x:c r="F7" s="8" t="n">
        <x:f>F6+E7</x:f>
        <x:v>26</x:v>
      </x:c>
      <x:c r="G7" s="8" t="n">
        <x:v>2</x:v>
      </x:c>
      <x:c r="H7" s="8" t="n">
        <x:f>F7+SUM($G$6:G7)</x:f>
        <x:v>30</x:v>
      </x:c>
    </x:row>
    <x:row r="8">
      <x:c r="A8" s="8" t="str">
        <x:v>ER-03</x:v>
      </x:c>
      <x:c r="B8" s="8" t="n">
        <x:v>6</x:v>
      </x:c>
      <x:c r="C8" s="8" t="n">
        <x:v>6</x:v>
      </x:c>
      <x:c r="D8" s="8" t="n">
        <x:v>2</x:v>
      </x:c>
      <x:c r="E8" s="8" t="n">
        <x:f>B8+C8+D8-1</x:f>
        <x:v>13</x:v>
      </x:c>
      <x:c r="F8" s="8" t="n">
        <x:f>F7+E8</x:f>
        <x:v>39</x:v>
      </x:c>
      <x:c r="G8" s="8" t="n">
        <x:v>2</x:v>
      </x:c>
      <x:c r="H8" s="8" t="n">
        <x:f>F8+SUM($G$6:G8)</x:f>
        <x:v>45</x:v>
      </x:c>
    </x:row>
    <x:row r="9">
      <x:c r="A9" s="8" t="str">
        <x:v>ER-04</x:v>
      </x:c>
      <x:c r="B9" s="8" t="n">
        <x:v>6</x:v>
      </x:c>
      <x:c r="C9" s="8" t="n">
        <x:v>6</x:v>
      </x:c>
      <x:c r="D9" s="8" t="n">
        <x:v>2</x:v>
      </x:c>
      <x:c r="E9" s="8" t="n">
        <x:f>B9+C9+D9-1</x:f>
        <x:v>13</x:v>
      </x:c>
      <x:c r="F9" s="8" t="n">
        <x:f>F8+E9</x:f>
        <x:v>52</x:v>
      </x:c>
      <x:c r="G9" s="8" t="n">
        <x:v>2</x:v>
      </x:c>
      <x:c r="H9" s="8" t="n">
        <x:f>F9+SUM($G$6:G9)</x:f>
        <x:v>60</x:v>
      </x:c>
    </x:row>
    <x:row r="10">
      <x:c r="A10" s="8" t="str">
        <x:v>ER-05</x:v>
      </x:c>
      <x:c r="B10" s="8" t="n">
        <x:v>6</x:v>
      </x:c>
      <x:c r="C10" s="8" t="n">
        <x:v>6</x:v>
      </x:c>
      <x:c r="D10" s="8" t="n">
        <x:v>2</x:v>
      </x:c>
      <x:c r="E10" s="8" t="n">
        <x:f>B10+C10+D10-1</x:f>
        <x:v>13</x:v>
      </x:c>
      <x:c r="F10" s="8" t="n">
        <x:f>F9+E10</x:f>
        <x:v>65</x:v>
      </x:c>
      <x:c r="G10" s="8" t="n">
        <x:v>2</x:v>
      </x:c>
      <x:c r="H10" s="8" t="n">
        <x:f>F10+SUM($G$6:G10)</x:f>
        <x:v>75</x:v>
      </x:c>
    </x:row>
    <x:row r="11">
      <x:c r="A11" s="8" t="str">
        <x:v>ER-06</x:v>
      </x:c>
      <x:c r="B11" s="8" t="n">
        <x:v>6</x:v>
      </x:c>
      <x:c r="C11" s="8" t="n">
        <x:v>6</x:v>
      </x:c>
      <x:c r="D11" s="8" t="n">
        <x:v>2</x:v>
      </x:c>
      <x:c r="E11" s="8" t="n">
        <x:f>B11+C11+D11-1</x:f>
        <x:v>13</x:v>
      </x:c>
      <x:c r="F11" s="8" t="n">
        <x:f>F10+E11</x:f>
        <x:v>78</x:v>
      </x:c>
      <x:c r="G11" s="8" t="n">
        <x:v>2</x:v>
      </x:c>
      <x:c r="H11" s="8" t="n">
        <x:f>F11+SUM($G$6:G11)</x:f>
        <x:v>90</x:v>
      </x:c>
    </x:row>
    <x:row r="12">
      <x:c r="A12" s="8" t="str">
        <x:v>ER-07</x:v>
      </x:c>
      <x:c r="B12" s="8" t="n">
        <x:v>6</x:v>
      </x:c>
      <x:c r="C12" s="8" t="n">
        <x:v>6</x:v>
      </x:c>
      <x:c r="D12" s="8" t="n">
        <x:v>2</x:v>
      </x:c>
      <x:c r="E12" s="8" t="n">
        <x:f>B12+C12+D12-1</x:f>
        <x:v>13</x:v>
      </x:c>
      <x:c r="F12" s="8" t="n">
        <x:f>F11+E12</x:f>
        <x:v>91</x:v>
      </x:c>
      <x:c r="G12" s="8" t="n">
        <x:v>2</x:v>
      </x:c>
      <x:c r="H12" s="8" t="n">
        <x:f>F12+SUM($G$6:G12)</x:f>
        <x:v>105</x:v>
      </x:c>
    </x:row>
    <x:row r="13">
      <x:c r="A13" s="8" t="str">
        <x:v>ER-08</x:v>
      </x:c>
      <x:c r="B13" s="8" t="n">
        <x:v>6</x:v>
      </x:c>
      <x:c r="C13" s="8" t="n">
        <x:v>6</x:v>
      </x:c>
      <x:c r="D13" s="8" t="n">
        <x:v>2</x:v>
      </x:c>
      <x:c r="E13" s="8" t="n">
        <x:f>B13+C13+D13-1</x:f>
        <x:v>13</x:v>
      </x:c>
      <x:c r="F13" s="8" t="n">
        <x:f>F12+E13</x:f>
        <x:v>104</x:v>
      </x:c>
      <x:c r="G13" s="8" t="n">
        <x:v>2</x:v>
      </x:c>
      <x:c r="H13" s="8" t="n">
        <x:f>F13+SUM($G$6:G13)</x:f>
        <x:v>120</x:v>
      </x:c>
    </x:row>
    <x:row r="14">
      <x:c r="A14" s="8" t="str">
        <x:v>ER-09</x:v>
      </x:c>
      <x:c r="B14" s="8" t="n">
        <x:v>6</x:v>
      </x:c>
      <x:c r="C14" s="8" t="n">
        <x:v>6</x:v>
      </x:c>
      <x:c r="D14" s="8" t="n">
        <x:v>2</x:v>
      </x:c>
      <x:c r="E14" s="8" t="n">
        <x:f>B14+C14+D14-1</x:f>
        <x:v>13</x:v>
      </x:c>
      <x:c r="F14" s="8" t="n">
        <x:f>F13+E14</x:f>
        <x:v>117</x:v>
      </x:c>
      <x:c r="G14" s="8" t="n">
        <x:v>2</x:v>
      </x:c>
      <x:c r="H14" s="8" t="n">
        <x:f>F14+SUM($G$6:G14)</x:f>
        <x:v>135</x:v>
      </x:c>
    </x:row>
    <x:row r="15">
      <x:c r="A15" s="8" t="str">
        <x:v>ER-10</x:v>
      </x:c>
      <x:c r="B15" s="8" t="n">
        <x:v>6</x:v>
      </x:c>
      <x:c r="C15" s="8" t="n">
        <x:v>6</x:v>
      </x:c>
      <x:c r="D15" s="8" t="n">
        <x:v>2</x:v>
      </x:c>
      <x:c r="E15" s="8" t="n">
        <x:f>B15+C15+D15-1</x:f>
        <x:v>13</x:v>
      </x:c>
      <x:c r="F15" s="8" t="n">
        <x:f>F14+E15</x:f>
        <x:v>130</x:v>
      </x:c>
      <x:c r="G15" s="8" t="n">
        <x:v>2</x:v>
      </x:c>
      <x:c r="H15" s="8" t="n">
        <x:f>F15+SUM($G$6:G15)</x:f>
        <x:v>150</x:v>
      </x:c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edad51e8f8f6452f"/>
  </x:tableParts>
</x:worksheet>
</file>

<file path=xl/worksheets/sheet10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42" hidden="0" customWidth="1"/>
  </x:cols>
  <x:sheetData>
    <x:row r="2" ht="26" customHeight="1">
      <x:c r="A2" s="13" t="str">
        <x:v>Coupled-physics technology portfolio</x:v>
      </x:c>
      <x:c r="B2" s="13" t="str">
        <x:v>Coupled-physics technology portfolio</x:v>
      </x:c>
      <x:c r="C2" s="13" t="str">
        <x:v>Coupled-physics technology portfolio</x:v>
      </x:c>
      <x:c r="D2" s="13" t="str">
        <x:v>Coupled-physics technology portfolio</x:v>
      </x:c>
    </x:row>
    <x:row r="3">
      <x:c r="A3" s="14"/>
      <x:c r="B3" s="14"/>
      <x:c r="C3" s="14"/>
      <x:c r="D3" s="14"/>
    </x:row>
    <x:row r="4">
      <x:c r="A4" s="14"/>
      <x:c r="B4" s="14"/>
      <x:c r="C4" s="14"/>
      <x:c r="D4" s="14"/>
    </x:row>
    <x:row r="5">
      <x:c r="A5" s="6" t="str">
        <x:v>Program</x:v>
      </x:c>
      <x:c r="B5" s="6" t="str">
        <x:v>USD M</x:v>
      </x:c>
      <x:c r="C5" s="6" t="str">
        <x:v>Required advance</x:v>
      </x:c>
      <x:c r="D5" s="14"/>
    </x:row>
    <x:row r="6">
      <x:c r="A6" s="8" t="str">
        <x:v>source-water phase tomography</x:v>
      </x:c>
      <x:c r="B6" s="8" t="n">
        <x:v>40</x:v>
      </x:c>
      <x:c r="C6" s="8" t="str">
        <x:v>opaque mixed-state location</x:v>
      </x:c>
      <x:c r="D6" s="14"/>
    </x:row>
    <x:row r="7">
      <x:c r="A7" s="8" t="str">
        <x:v>fire-capable dual ancestry</x:v>
      </x:c>
      <x:c r="B7" s="8" t="n">
        <x:v>32</x:v>
      </x:c>
      <x:c r="C7" s="8" t="str">
        <x:v>origin truth through heat and steam</x:v>
      </x:c>
      <x:c r="D7" s="14"/>
    </x:row>
    <x:row r="8">
      <x:c r="A8" s="8" t="str">
        <x:v>robotic hot-zone sampling</x:v>
      </x:c>
      <x:c r="B8" s="8" t="n">
        <x:v>28</x:v>
      </x:c>
      <x:c r="C8" s="8" t="str">
        <x:v>location-true recovery</x:v>
      </x:c>
      <x:c r="D8" s="14"/>
    </x:row>
    <x:row r="9">
      <x:c r="A9" s="8" t="str">
        <x:v>thermal-field reconstruction</x:v>
      </x:c>
      <x:c r="B9" s="8" t="n">
        <x:v>26</x:v>
      </x:c>
      <x:c r="C9" s="8" t="str">
        <x:v>causal geometry through sensor loss</x:v>
      </x:c>
      <x:c r="D9" s="14"/>
    </x:row>
    <x:row r="10">
      <x:c r="A10" s="8" t="str">
        <x:v>thermal module exchange</x:v>
      </x:c>
      <x:c r="B10" s="8" t="n">
        <x:v>24</x:v>
      </x:c>
      <x:c r="C10" s="8" t="str">
        <x:v>post-heat interface truth</x:v>
      </x:c>
      <x:c r="D10" s="14"/>
    </x:row>
    <x:row r="11">
      <x:c r="A11" s="8" t="str">
        <x:v>water-borne source separation</x:v>
      </x:c>
      <x:c r="B11" s="8" t="n">
        <x:v>22</x:v>
      </x:c>
      <x:c r="C11" s="8" t="str">
        <x:v>recover source and origin</x:v>
      </x:c>
      <x:c r="D11" s="14"/>
    </x:row>
    <x:row r="12">
      <x:c r="A12" s="8" t="str">
        <x:v>passive runoff isolation</x:v>
      </x:c>
      <x:c r="B12" s="8" t="n">
        <x:v>20</x:v>
      </x:c>
      <x:c r="C12" s="8" t="str">
        <x:v>retention after power loss</x:v>
      </x:c>
      <x:c r="D12" s="14"/>
    </x:row>
    <x:row r="13">
      <x:c r="A13" s="8" t="str">
        <x:v>smoke/steam local sensing</x:v>
      </x:c>
      <x:c r="B13" s="8" t="n">
        <x:v>16</x:v>
      </x:c>
      <x:c r="C13" s="8" t="str">
        <x:v>degraded optical operation</x:v>
      </x:c>
      <x:c r="D13" s="14"/>
    </x:row>
    <x:row r="14">
      <x:c r="A14" s="8" t="str">
        <x:v>igniter metrology</x:v>
      </x:c>
      <x:c r="B14" s="8" t="n">
        <x:v>10</x:v>
      </x:c>
      <x:c r="C14" s="8" t="str">
        <x:v>valid opportunity evidence</x:v>
      </x:c>
      <x:c r="D14" s="14"/>
    </x:row>
    <x:row r="15">
      <x:c r="A15" s="8" t="str">
        <x:v>coupled-account compiler</x:v>
      </x:c>
      <x:c r="B15" s="8" t="n">
        <x:v>9</x:v>
      </x:c>
      <x:c r="C15" s="8" t="str">
        <x:v>joined conserved accounts</x:v>
      </x:c>
      <x:c r="D15" s="14"/>
    </x:row>
    <x:row r="16">
      <x:c r="A16" s="8" t="str">
        <x:v>outside-origin replay</x:v>
      </x:c>
      <x:c r="B16" s="8" t="n">
        <x:v>8</x:v>
      </x:c>
      <x:c r="C16" s="8" t="str">
        <x:v>service-independent reconstruction</x:v>
      </x:c>
      <x:c r="D16" s="14"/>
    </x:row>
    <x:row r="17">
      <x:c r="A17" s="8"/>
      <x:c r="B17" s="8"/>
      <x:c r="C17" s="8"/>
      <x:c r="D17" s="14"/>
    </x:row>
    <x:row r="18">
      <x:c r="A18" s="8" t="str">
        <x:v>Total</x:v>
      </x:c>
      <x:c r="B18" s="8" t="n">
        <x:f>SUM(B6:B16)</x:f>
        <x:v>235</x:v>
      </x:c>
      <x:c r="C18" s="8"/>
      <x:c r="D18" s="14"/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a9ade866873e4ae5"/>
  </x:tableParts>
</x:worksheet>
</file>

<file path=xl/worksheets/sheet11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40" hidden="0" customWidth="1"/>
    <x:col min="2" max="2" width="15" hidden="0" customWidth="1"/>
    <x:col min="3" max="3" width="32" hidden="0" customWidth="1"/>
  </x:cols>
  <x:sheetData>
    <x:row r="2" ht="26" customHeight="1">
      <x:c r="A2" s="13" t="str">
        <x:v>720-position public formation</x:v>
      </x:c>
      <x:c r="B2" s="13" t="str">
        <x:v>720-position public formation</x:v>
      </x:c>
      <x:c r="C2" s="13" t="str">
        <x:v>720-position public formation</x:v>
      </x:c>
      <x:c r="D2" s="13" t="str">
        <x:v>720-position public formation</x:v>
      </x:c>
    </x:row>
    <x:row r="3">
      <x:c r="A3" s="14"/>
      <x:c r="B3" s="14"/>
      <x:c r="C3" s="14"/>
      <x:c r="D3" s="14"/>
    </x:row>
    <x:row r="4">
      <x:c r="A4" s="14"/>
      <x:c r="B4" s="14"/>
      <x:c r="C4" s="14"/>
      <x:c r="D4" s="14"/>
    </x:row>
    <x:row r="5">
      <x:c r="A5" s="6" t="str">
        <x:v>Function</x:v>
      </x:c>
      <x:c r="B5" s="6" t="str">
        <x:v>Positions</x:v>
      </x:c>
      <x:c r="C5" s="6" t="str">
        <x:v>Owned capacity</x:v>
      </x:c>
      <x:c r="D5" s="14"/>
    </x:row>
    <x:row r="6">
      <x:c r="A6" s="8" t="str">
        <x:v>event and range operations</x:v>
      </x:c>
      <x:c r="B6" s="8" t="n">
        <x:v>210</x:v>
      </x:c>
      <x:c r="C6" s="8" t="str">
        <x:v>three campus units</x:v>
      </x:c>
      <x:c r="D6" s="14"/>
    </x:row>
    <x:row r="7">
      <x:c r="A7" s="8" t="str">
        <x:v>source, water and chemistry custody</x:v>
      </x:c>
      <x:c r="B7" s="8" t="n">
        <x:v>108</x:v>
      </x:c>
      <x:c r="C7" s="8" t="str">
        <x:v>two preparation paths</x:v>
      </x:c>
      <x:c r="D7" s="14"/>
    </x:row>
    <x:row r="8">
      <x:c r="A8" s="8" t="str">
        <x:v>thermal, atmosphere and ignition</x:v>
      </x:c>
      <x:c r="B8" s="8" t="n">
        <x:v>96</x:v>
      </x:c>
      <x:c r="C8" s="8" t="str">
        <x:v>fire-state truth</x:v>
      </x:c>
      <x:c r="D8" s="14"/>
    </x:row>
    <x:row r="9">
      <x:c r="A9" s="8" t="str">
        <x:v>module return and robotics</x:v>
      </x:c>
      <x:c r="B9" s="8" t="n">
        <x:v>84</x:v>
      </x:c>
      <x:c r="C9" s="8" t="str">
        <x:v>twelve return lanes</x:v>
      </x:c>
      <x:c r="D9" s="14"/>
    </x:row>
    <x:row r="10">
      <x:c r="A10" s="8" t="str">
        <x:v>metrology and ancestry</x:v>
      </x:c>
      <x:c r="B10" s="8" t="n">
        <x:v>66</x:v>
      </x:c>
      <x:c r="C10" s="8" t="str">
        <x:v>two unlike roots</x:v>
      </x:c>
      <x:c r="D10" s="14"/>
    </x:row>
    <x:row r="11">
      <x:c r="A11" s="8" t="str">
        <x:v>evidence and replay</x:v>
      </x:c>
      <x:c r="B11" s="8" t="n">
        <x:v>54</x:v>
      </x:c>
      <x:c r="C11" s="8" t="str">
        <x:v>two live paths</x:v>
      </x:c>
      <x:c r="D11" s="14"/>
    </x:row>
    <x:row r="12">
      <x:c r="A12" s="8" t="str">
        <x:v>environment and waste</x:v>
      </x:c>
      <x:c r="B12" s="8" t="n">
        <x:v>42</x:v>
      </x:c>
      <x:c r="C12" s="8" t="str">
        <x:v>terminal custody</x:v>
      </x:c>
      <x:c r="D12" s="14"/>
    </x:row>
    <x:row r="13">
      <x:c r="A13" s="8" t="str">
        <x:v>safety, rescue and authorities</x:v>
      </x:c>
      <x:c r="B13" s="8" t="n">
        <x:v>60</x:v>
      </x:c>
      <x:c r="C13" s="8" t="str">
        <x:v>separated decisions</x:v>
      </x:c>
      <x:c r="D13" s="14"/>
    </x:row>
    <x:row r="14">
      <x:c r="A14" s="8"/>
      <x:c r="B14" s="8"/>
      <x:c r="C14" s="8"/>
      <x:c r="D14" s="14"/>
    </x:row>
    <x:row r="15">
      <x:c r="A15" s="8" t="str">
        <x:v>Total</x:v>
      </x:c>
      <x:c r="B15" s="8" t="n">
        <x:f>SUM(B6:B13)</x:f>
        <x:v>720</x:v>
      </x:c>
      <x:c r="C15" s="8"/>
      <x:c r="D15" s="14"/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f398b51af34e4bb5"/>
  </x:tableParts>
</x:worksheet>
</file>

<file path=xl/worksheets/sheet12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</x:cols>
  <x:sheetData>
    <x:row r="2" ht="26" customHeight="1">
      <x:c r="A2" s="13" t="str">
        <x:v>RAS-3R baseline amendment</x:v>
      </x:c>
      <x:c r="B2" s="13" t="str">
        <x:v>RAS-3R baseline amendment</x:v>
      </x:c>
      <x:c r="C2" s="13" t="str">
        <x:v>RAS-3R baseline amendment</x:v>
      </x:c>
      <x:c r="D2" s="13" t="str">
        <x:v>RAS-3R baseline amendment</x:v>
      </x:c>
      <x:c r="E2" s="13" t="str">
        <x:v>RAS-3R baseline amendment</x:v>
      </x:c>
    </x:row>
    <x:row r="3">
      <x:c r="A3" s="14"/>
      <x:c r="B3" s="14"/>
      <x:c r="C3" s="14"/>
      <x:c r="D3" s="14"/>
      <x:c r="E3" s="14"/>
    </x:row>
    <x:row r="4">
      <x:c r="A4" s="14"/>
      <x:c r="B4" s="14"/>
      <x:c r="C4" s="14"/>
      <x:c r="D4" s="14"/>
      <x:c r="E4" s="14"/>
    </x:row>
    <x:row r="5">
      <x:c r="A5" s="6" t="str">
        <x:v>Metric</x:v>
      </x:c>
      <x:c r="B5" s="6" t="str">
        <x:v>Value</x:v>
      </x:c>
      <x:c r="C5" s="14"/>
      <x:c r="D5" s="14"/>
      <x:c r="E5" s="14"/>
    </x:row>
    <x:row r="6">
      <x:c r="A6" s="8" t="str">
        <x:v>Current capital USD M</x:v>
      </x:c>
      <x:c r="B6" s="8" t="n">
        <x:f>'Assumptions'!B29</x:f>
        <x:v>800</x:v>
      </x:c>
      <x:c r="C6" s="14"/>
      <x:c r="D6" s="14"/>
      <x:c r="E6" s="14"/>
    </x:row>
    <x:row r="7">
      <x:c r="A7" s="8" t="str">
        <x:v>Incremental capital USD M</x:v>
      </x:c>
      <x:c r="B7" s="8" t="n">
        <x:f>'Assumptions'!B25</x:f>
        <x:v>1100</x:v>
      </x:c>
      <x:c r="C7" s="14"/>
      <x:c r="D7" s="14"/>
      <x:c r="E7" s="14"/>
    </x:row>
    <x:row r="8">
      <x:c r="A8" s="8" t="str">
        <x:v>Revised capital USD M</x:v>
      </x:c>
      <x:c r="B8" s="8" t="n">
        <x:f>B6+B7</x:f>
        <x:v>1900</x:v>
      </x:c>
      <x:c r="C8" s="14"/>
      <x:c r="D8" s="14"/>
      <x:c r="E8" s="14"/>
    </x:row>
    <x:row r="9">
      <x:c r="A9" s="8" t="str">
        <x:v>Current annual USD M</x:v>
      </x:c>
      <x:c r="B9" s="8" t="n">
        <x:f>'Assumptions'!B30</x:f>
        <x:v>263</x:v>
      </x:c>
      <x:c r="C9" s="14"/>
      <x:c r="D9" s="14"/>
      <x:c r="E9" s="14"/>
    </x:row>
    <x:row r="10">
      <x:c r="A10" s="8" t="str">
        <x:v>Incremental annual USD M</x:v>
      </x:c>
      <x:c r="B10" s="8" t="n">
        <x:f>'Assumptions'!B26</x:f>
        <x:v>67</x:v>
      </x:c>
      <x:c r="C10" s="14"/>
      <x:c r="D10" s="14"/>
      <x:c r="E10" s="14"/>
    </x:row>
    <x:row r="11">
      <x:c r="A11" s="8" t="str">
        <x:v>Revised annual USD M</x:v>
      </x:c>
      <x:c r="B11" s="8" t="n">
        <x:f>B9+B10</x:f>
        <x:v>330</x:v>
      </x:c>
      <x:c r="C11" s="14"/>
      <x:c r="D11" s="14"/>
      <x:c r="E11" s="14"/>
    </x:row>
    <x:row r="12">
      <x:c r="A12" s="8" t="str">
        <x:v>Current technology USD M</x:v>
      </x:c>
      <x:c r="B12" s="8" t="n">
        <x:f>'Assumptions'!B31</x:f>
        <x:v>1165</x:v>
      </x:c>
      <x:c r="C12" s="14"/>
      <x:c r="D12" s="14"/>
      <x:c r="E12" s="14"/>
    </x:row>
    <x:row r="13">
      <x:c r="A13" s="8" t="str">
        <x:v>Incremental technology USD M</x:v>
      </x:c>
      <x:c r="B13" s="8" t="n">
        <x:f>'Assumptions'!B27</x:f>
        <x:v>235</x:v>
      </x:c>
      <x:c r="C13" s="14"/>
      <x:c r="D13" s="14"/>
      <x:c r="E13" s="14"/>
    </x:row>
    <x:row r="14">
      <x:c r="A14" s="8" t="str">
        <x:v>Revised technology USD M</x:v>
      </x:c>
      <x:c r="B14" s="8" t="n">
        <x:f>B12+B13</x:f>
        <x:v>1400</x:v>
      </x:c>
      <x:c r="C14" s="14"/>
      <x:c r="D14" s="14"/>
      <x:c r="E14" s="14"/>
    </x:row>
    <x:row r="15">
      <x:c r="A15" s="8" t="str">
        <x:v>Stage months</x:v>
      </x:c>
      <x:c r="B15" s="8" t="n">
        <x:f>'Assumptions'!B24</x:f>
        <x:v>36</x:v>
      </x:c>
      <x:c r="C15" s="14"/>
      <x:c r="D15" s="14"/>
      <x:c r="E15" s="14"/>
    </x:row>
    <x:row r="16">
      <x:c r="A16" s="8" t="str">
        <x:v>Stage exposure USD M</x:v>
      </x:c>
      <x:c r="B16" s="8" t="n">
        <x:f>B7+B10*B15/12</x:f>
        <x:v>1301</x:v>
      </x:c>
      <x:c r="C16" s="14"/>
      <x:c r="D16" s="14"/>
      <x:c r="E16" s="14"/>
    </x:row>
    <x:row r="17">
      <x:c r="A17" s="8" t="str">
        <x:v>Prior cumulative child USD M</x:v>
      </x:c>
      <x:c r="B17" s="8" t="n">
        <x:f>'Assumptions'!B33</x:f>
        <x:v>1174.25</x:v>
      </x:c>
      <x:c r="C17" s="14"/>
      <x:c r="D17" s="14"/>
      <x:c r="E17" s="14"/>
    </x:row>
    <x:row r="18">
      <x:c r="A18" s="8" t="str">
        <x:v>Cumulative child USD M</x:v>
      </x:c>
      <x:c r="B18" s="8" t="n">
        <x:f>B17+B16</x:f>
        <x:v>2475.25</x:v>
      </x:c>
      <x:c r="C18" s="14"/>
      <x:c r="D18" s="14"/>
      <x:c r="E18" s="14"/>
    </x:row>
  </x:sheetData>
  <x:mergeCells>
    <x:mergeCell ref="A2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8" hidden="0" customWidth="1"/>
    <x:col min="5" max="5" width="20" hidden="0" customWidth="1"/>
    <x:col min="6" max="6" width="15" hidden="0" customWidth="1"/>
  </x:cols>
  <x:sheetData>
    <x:row r="2" ht="26" customHeight="1">
      <x:c r="A2" s="13" t="str">
        <x:v>Nested rung authority</x:v>
      </x:c>
      <x:c r="B2" s="13" t="str">
        <x:v>Nested rung authority</x:v>
      </x:c>
      <x:c r="C2" s="13" t="str">
        <x:v>Nested rung authority</x:v>
      </x:c>
      <x:c r="D2" s="13" t="str">
        <x:v>Nested rung authority</x:v>
      </x:c>
      <x:c r="E2" s="13" t="str">
        <x:v>Nested rung authority</x:v>
      </x:c>
      <x:c r="F2" s="13" t="str">
        <x:v>Nested rung authority</x:v>
      </x:c>
    </x:row>
    <x:row r="3">
      <x:c r="A3" s="14"/>
      <x:c r="B3" s="14"/>
      <x:c r="C3" s="14"/>
      <x:c r="D3" s="14"/>
      <x:c r="E3" s="14"/>
      <x:c r="F3" s="14"/>
    </x:row>
    <x:row r="4">
      <x:c r="A4" s="14"/>
      <x:c r="B4" s="14"/>
      <x:c r="C4" s="14"/>
      <x:c r="D4" s="14"/>
      <x:c r="E4" s="14"/>
      <x:c r="F4" s="14"/>
    </x:row>
    <x:row r="5">
      <x:c r="A5" s="6" t="str">
        <x:v>Rung</x:v>
      </x:c>
      <x:c r="B5" s="6" t="str">
        <x:v>Required cells</x:v>
      </x:c>
      <x:c r="C5" s="6" t="str">
        <x:v>Credited cells</x:v>
      </x:c>
      <x:c r="D5" s="6" t="str">
        <x:v>Prior state</x:v>
      </x:c>
      <x:c r="E5" s="6" t="str">
        <x:v>Board acceptance</x:v>
      </x:c>
      <x:c r="F5" s="6" t="str">
        <x:v>State</x:v>
      </x:c>
    </x:row>
    <x:row r="6">
      <x:c r="A6" s="8" t="str">
        <x:v>ER-01</x:v>
      </x:c>
      <x:c r="B6" s="8" t="n">
        <x:v>12</x:v>
      </x:c>
      <x:c r="C6" s="10"/>
      <x:c r="D6" s="10" t="str">
        <x:v>ER-00 ACCEPTED</x:v>
      </x:c>
      <x:c r="E6" s="10"/>
      <x:c r="F6" s="8" t="str">
        <x:f>IF(OR(COUNT(C6)&lt;1,D6="",E6=""),"OPEN",IF(AND(C6=B6,D6="ER-00 ACCEPTED",E6="ACCEPTED"),"ACCEPTED","DENY"))</x:f>
        <x:v>OPEN</x:v>
      </x:c>
    </x:row>
    <x:row r="7">
      <x:c r="A7" s="8" t="str">
        <x:v>ER-02</x:v>
      </x:c>
      <x:c r="B7" s="8" t="n">
        <x:v>12</x:v>
      </x:c>
      <x:c r="C7" s="10"/>
      <x:c r="D7" s="10"/>
      <x:c r="E7" s="10"/>
      <x:c r="F7" s="8" t="str">
        <x:f>IF(OR(COUNT(C7)&lt;1,D7="",E7=""),"OPEN",IF(AND(C7=B7,D7=F6,E7="ACCEPTED"),"ACCEPTED","DENY"))</x:f>
        <x:v>OPEN</x:v>
      </x:c>
    </x:row>
    <x:row r="8">
      <x:c r="A8" s="8" t="str">
        <x:v>ER-03</x:v>
      </x:c>
      <x:c r="B8" s="8" t="n">
        <x:v>12</x:v>
      </x:c>
      <x:c r="C8" s="10"/>
      <x:c r="D8" s="10"/>
      <x:c r="E8" s="10"/>
      <x:c r="F8" s="8" t="str">
        <x:f>IF(OR(COUNT(C8)&lt;1,D8="",E8=""),"OPEN",IF(AND(C8=B8,D8=F7,E8="ACCEPTED"),"ACCEPTED","DENY"))</x:f>
        <x:v>OPEN</x:v>
      </x:c>
    </x:row>
    <x:row r="9">
      <x:c r="A9" s="8" t="str">
        <x:v>ER-04</x:v>
      </x:c>
      <x:c r="B9" s="8" t="n">
        <x:v>12</x:v>
      </x:c>
      <x:c r="C9" s="10"/>
      <x:c r="D9" s="10"/>
      <x:c r="E9" s="10"/>
      <x:c r="F9" s="8" t="str">
        <x:f>IF(OR(COUNT(C9)&lt;1,D9="",E9=""),"OPEN",IF(AND(C9=B9,D9=F8,E9="ACCEPTED"),"ACCEPTED","DENY"))</x:f>
        <x:v>OPEN</x:v>
      </x:c>
    </x:row>
    <x:row r="10">
      <x:c r="A10" s="8" t="str">
        <x:v>ER-05</x:v>
      </x:c>
      <x:c r="B10" s="8" t="n">
        <x:v>12</x:v>
      </x:c>
      <x:c r="C10" s="10"/>
      <x:c r="D10" s="10"/>
      <x:c r="E10" s="10"/>
      <x:c r="F10" s="8" t="str">
        <x:f>IF(OR(COUNT(C10)&lt;1,D10="",E10=""),"OPEN",IF(AND(C10=B10,D10=F9,E10="ACCEPTED"),"ACCEPTED","DENY"))</x:f>
        <x:v>OPEN</x:v>
      </x:c>
    </x:row>
    <x:row r="11">
      <x:c r="A11" s="8" t="str">
        <x:v>ER-06</x:v>
      </x:c>
      <x:c r="B11" s="8" t="n">
        <x:v>12</x:v>
      </x:c>
      <x:c r="C11" s="10"/>
      <x:c r="D11" s="10"/>
      <x:c r="E11" s="10"/>
      <x:c r="F11" s="8" t="str">
        <x:f>IF(OR(COUNT(C11)&lt;1,D11="",E11=""),"OPEN",IF(AND(C11=B11,D11=F10,E11="ACCEPTED"),"ACCEPTED","DENY"))</x:f>
        <x:v>OPEN</x:v>
      </x:c>
    </x:row>
    <x:row r="12">
      <x:c r="A12" s="8" t="str">
        <x:v>ER-07</x:v>
      </x:c>
      <x:c r="B12" s="8" t="n">
        <x:v>12</x:v>
      </x:c>
      <x:c r="C12" s="10"/>
      <x:c r="D12" s="10"/>
      <x:c r="E12" s="10"/>
      <x:c r="F12" s="8" t="str">
        <x:f>IF(OR(COUNT(C12)&lt;1,D12="",E12=""),"OPEN",IF(AND(C12=B12,D12=F11,E12="ACCEPTED"),"ACCEPTED","DENY"))</x:f>
        <x:v>OPEN</x:v>
      </x:c>
    </x:row>
    <x:row r="13">
      <x:c r="A13" s="8" t="str">
        <x:v>ER-08</x:v>
      </x:c>
      <x:c r="B13" s="8" t="n">
        <x:v>12</x:v>
      </x:c>
      <x:c r="C13" s="10"/>
      <x:c r="D13" s="10"/>
      <x:c r="E13" s="10"/>
      <x:c r="F13" s="8" t="str">
        <x:f>IF(OR(COUNT(C13)&lt;1,D13="",E13=""),"OPEN",IF(AND(C13=B13,D13=F12,E13="ACCEPTED"),"ACCEPTED","DENY"))</x:f>
        <x:v>OPEN</x:v>
      </x:c>
    </x:row>
    <x:row r="14">
      <x:c r="A14" s="8" t="str">
        <x:v>ER-09</x:v>
      </x:c>
      <x:c r="B14" s="8" t="n">
        <x:v>12</x:v>
      </x:c>
      <x:c r="C14" s="10"/>
      <x:c r="D14" s="10"/>
      <x:c r="E14" s="10"/>
      <x:c r="F14" s="8" t="str">
        <x:f>IF(OR(COUNT(C14)&lt;1,D14="",E14=""),"OPEN",IF(AND(C14=B14,D14=F13,E14="ACCEPTED"),"ACCEPTED","DENY"))</x:f>
        <x:v>OPEN</x:v>
      </x:c>
    </x:row>
    <x:row r="15">
      <x:c r="A15" s="8" t="str">
        <x:v>ER-10</x:v>
      </x:c>
      <x:c r="B15" s="8" t="n">
        <x:v>12</x:v>
      </x:c>
      <x:c r="C15" s="10"/>
      <x:c r="D15" s="10"/>
      <x:c r="E15" s="10"/>
      <x:c r="F15" s="8" t="str">
        <x:f>IF(OR(COUNT(C15)&lt;1,D15="",E15=""),"OPEN",IF(AND(C15=B15,D15=F14,E15="ACCEPTED"),"ACCEPTED","DENY"))</x:f>
        <x:v>OPEN</x:v>
      </x:c>
    </x:row>
  </x:sheetData>
  <x:mergeCells>
    <x:mergeCell ref="A2:F2"/>
  </x:mergeCells>
  <x:conditionalFormatting sqref="F6:F15">
    <x:cfRule type="containsText" dxfId="4" priority="1" operator="containsText" text="DENY"/>
    <x:cfRule type="containsText" dxfId="5" priority="2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c1190ba95627486e"/>
  </x:tableParts>
</x:worksheet>
</file>

<file path=xl/worksheets/sheet14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</x:cols>
  <x:sheetData>
    <x:row r="2" ht="26" customHeight="1">
      <x:c r="A2" s="13" t="str">
        <x:v>One hundred twenty boundary cases</x:v>
      </x:c>
      <x:c r="B2" s="13" t="str">
        <x:v>One hundred twenty boundary cases</x:v>
      </x:c>
      <x:c r="C2" s="13" t="str">
        <x:v>One hundred twenty boundary cases</x:v>
      </x:c>
      <x:c r="D2" s="13" t="str">
        <x:v>One hundred twenty boundary cases</x:v>
      </x:c>
      <x:c r="E2" s="13" t="str">
        <x:v>One hundred twenty boundary cases</x:v>
      </x:c>
      <x:c r="F2" s="13" t="str">
        <x:v>One hundred twenty boundary cases</x:v>
      </x:c>
      <x:c r="G2" s="13" t="str">
        <x:v>One hundred twenty boundary cases</x:v>
      </x:c>
    </x:row>
    <x:row r="3">
      <x:c r="A3" s="14"/>
      <x:c r="B3" s="14"/>
      <x:c r="C3" s="14"/>
      <x:c r="D3" s="14"/>
      <x:c r="E3" s="14"/>
      <x:c r="F3" s="14"/>
      <x:c r="G3" s="14"/>
    </x:row>
    <x:row r="4">
      <x:c r="A4" s="14"/>
      <x:c r="B4" s="14"/>
      <x:c r="C4" s="14"/>
      <x:c r="D4" s="14"/>
      <x:c r="E4" s="14"/>
      <x:c r="F4" s="14"/>
      <x:c r="G4" s="14"/>
    </x:row>
    <x:row r="5">
      <x:c r="A5" s="6" t="str">
        <x:v>Case</x:v>
      </x:c>
      <x:c r="B5" s="6" t="str">
        <x:v>Category</x:v>
      </x:c>
      <x:c r="C5" s="6" t="str">
        <x:v>Input</x:v>
      </x:c>
      <x:c r="D5" s="6" t="str">
        <x:v>Lower</x:v>
      </x:c>
      <x:c r="E5" s="6" t="str">
        <x:v>Upper</x:v>
      </x:c>
      <x:c r="F5" s="6" t="str">
        <x:v>Expected</x:v>
      </x:c>
      <x:c r="G5" s="6" t="str">
        <x:v>Calculated</x:v>
      </x:c>
    </x:row>
    <x:row r="6">
      <x:c r="A6" s="8" t="str">
        <x:v>BC-001</x:v>
      </x:c>
      <x:c r="B6" s="8" t="str">
        <x:v>ancestry</x:v>
      </x:c>
      <x:c r="C6" s="8" t="n">
        <x:v>0.995</x:v>
      </x:c>
      <x:c r="D6" s="8" t="n">
        <x:v>0.995</x:v>
      </x:c>
      <x:c r="E6" s="8" t="n">
        <x:v>1</x:v>
      </x:c>
      <x:c r="F6" s="8" t="str">
        <x:v>ADMIT</x:v>
      </x:c>
      <x:c r="G6" s="8" t="str">
        <x:f>IF(COUNT(C6)=0,"MISSING",IF(AND(C6&gt;=D6,C6&lt;=E6),"ADMIT","DENY"))</x:f>
        <x:v>ADMIT</x:v>
      </x:c>
    </x:row>
    <x:row r="7">
      <x:c r="A7" s="8" t="str">
        <x:v>BC-002</x:v>
      </x:c>
      <x:c r="B7" s="8" t="str">
        <x:v>ancestry</x:v>
      </x:c>
      <x:c r="C7" s="8" t="n">
        <x:v>1</x:v>
      </x:c>
      <x:c r="D7" s="8" t="n">
        <x:v>0.995</x:v>
      </x:c>
      <x:c r="E7" s="8" t="n">
        <x:v>1</x:v>
      </x:c>
      <x:c r="F7" s="8" t="str">
        <x:v>ADMIT</x:v>
      </x:c>
      <x:c r="G7" s="8" t="str">
        <x:f>IF(COUNT(C7)=0,"MISSING",IF(AND(C7&gt;=D7,C7&lt;=E7),"ADMIT","DENY"))</x:f>
        <x:v>ADMIT</x:v>
      </x:c>
    </x:row>
    <x:row r="8">
      <x:c r="A8" s="8" t="str">
        <x:v>BC-003</x:v>
      </x:c>
      <x:c r="B8" s="8" t="str">
        <x:v>ancestry</x:v>
      </x:c>
      <x:c r="C8" s="8" t="n">
        <x:v>0.9975</x:v>
      </x:c>
      <x:c r="D8" s="8" t="n">
        <x:v>0.995</x:v>
      </x:c>
      <x:c r="E8" s="8" t="n">
        <x:v>1</x:v>
      </x:c>
      <x:c r="F8" s="8" t="str">
        <x:v>ADMIT</x:v>
      </x:c>
      <x:c r="G8" s="8" t="str">
        <x:f>IF(COUNT(C8)=0,"MISSING",IF(AND(C8&gt;=D8,C8&lt;=E8),"ADMIT","DENY"))</x:f>
        <x:v>ADMIT</x:v>
      </x:c>
    </x:row>
    <x:row r="9">
      <x:c r="A9" s="8" t="str">
        <x:v>BC-004</x:v>
      </x:c>
      <x:c r="B9" s="8" t="str">
        <x:v>ancestry</x:v>
      </x:c>
      <x:c r="C9" s="8" t="n">
        <x:v>0.985</x:v>
      </x:c>
      <x:c r="D9" s="8" t="n">
        <x:v>0.995</x:v>
      </x:c>
      <x:c r="E9" s="8" t="n">
        <x:v>1</x:v>
      </x:c>
      <x:c r="F9" s="8" t="str">
        <x:v>DENY</x:v>
      </x:c>
      <x:c r="G9" s="8" t="str">
        <x:f>IF(COUNT(C9)=0,"MISSING",IF(AND(C9&gt;=D9,C9&lt;=E9),"ADMIT","DENY"))</x:f>
        <x:v>DENY</x:v>
      </x:c>
    </x:row>
    <x:row r="10">
      <x:c r="A10" s="8" t="str">
        <x:v>BC-005</x:v>
      </x:c>
      <x:c r="B10" s="8" t="str">
        <x:v>ancestry</x:v>
      </x:c>
      <x:c r="C10" s="8" t="n">
        <x:v>1.01</x:v>
      </x:c>
      <x:c r="D10" s="8" t="n">
        <x:v>0.995</x:v>
      </x:c>
      <x:c r="E10" s="8" t="n">
        <x:v>1</x:v>
      </x:c>
      <x:c r="F10" s="8" t="str">
        <x:v>DENY</x:v>
      </x:c>
      <x:c r="G10" s="8" t="str">
        <x:f>IF(COUNT(C10)=0,"MISSING",IF(AND(C10&gt;=D10,C10&lt;=E10),"ADMIT","DENY"))</x:f>
        <x:v>DENY</x:v>
      </x:c>
    </x:row>
    <x:row r="11">
      <x:c r="A11" s="8" t="str">
        <x:v>BC-006</x:v>
      </x:c>
      <x:c r="B11" s="8" t="str">
        <x:v>ancestry</x:v>
      </x:c>
      <x:c r="C11" s="8"/>
      <x:c r="D11" s="8" t="n">
        <x:v>0.995</x:v>
      </x:c>
      <x:c r="E11" s="8" t="n">
        <x:v>1</x:v>
      </x:c>
      <x:c r="F11" s="8" t="str">
        <x:v>MISSING</x:v>
      </x:c>
      <x:c r="G11" s="8" t="str">
        <x:f>IF(COUNT(C11)=0,"MISSING",IF(AND(C11&gt;=D11,C11&lt;=E11),"ADMIT","DENY"))</x:f>
        <x:v>MISSING</x:v>
      </x:c>
    </x:row>
    <x:row r="12">
      <x:c r="A12" s="8" t="str">
        <x:v>BC-007</x:v>
      </x:c>
      <x:c r="B12" s="8" t="str">
        <x:v>ancestry</x:v>
      </x:c>
      <x:c r="C12" s="8" t="n">
        <x:v>0</x:v>
      </x:c>
      <x:c r="D12" s="8" t="n">
        <x:v>0.995</x:v>
      </x:c>
      <x:c r="E12" s="8" t="n">
        <x:v>1</x:v>
      </x:c>
      <x:c r="F12" s="8" t="str">
        <x:v>DENY</x:v>
      </x:c>
      <x:c r="G12" s="8" t="str">
        <x:f>IF(COUNT(C12)=0,"MISSING",IF(AND(C12&gt;=D12,C12&lt;=E12),"ADMIT","DENY"))</x:f>
        <x:v>DENY</x:v>
      </x:c>
    </x:row>
    <x:row r="13">
      <x:c r="A13" s="8" t="str">
        <x:v>BC-008</x:v>
      </x:c>
      <x:c r="B13" s="8" t="str">
        <x:v>ancestry</x:v>
      </x:c>
      <x:c r="C13" s="8" t="n">
        <x:v>0.9959949999999999</x:v>
      </x:c>
      <x:c r="D13" s="8" t="n">
        <x:v>0.995</x:v>
      </x:c>
      <x:c r="E13" s="8" t="n">
        <x:v>1</x:v>
      </x:c>
      <x:c r="F13" s="8" t="str">
        <x:v>ADMIT</x:v>
      </x:c>
      <x:c r="G13" s="8" t="str">
        <x:f>IF(COUNT(C13)=0,"MISSING",IF(AND(C13&gt;=D13,C13&lt;=E13),"ADMIT","DENY"))</x:f>
        <x:v>ADMIT</x:v>
      </x:c>
    </x:row>
    <x:row r="14">
      <x:c r="A14" s="8" t="str">
        <x:v>BC-009</x:v>
      </x:c>
      <x:c r="B14" s="8" t="str">
        <x:v>ancestry</x:v>
      </x:c>
      <x:c r="C14" s="8" t="n">
        <x:v>0.994005</x:v>
      </x:c>
      <x:c r="D14" s="8" t="n">
        <x:v>0.995</x:v>
      </x:c>
      <x:c r="E14" s="8" t="n">
        <x:v>1</x:v>
      </x:c>
      <x:c r="F14" s="8" t="str">
        <x:v>DENY</x:v>
      </x:c>
      <x:c r="G14" s="8" t="str">
        <x:f>IF(COUNT(C14)=0,"MISSING",IF(AND(C14&gt;=D14,C14&lt;=E14),"ADMIT","DENY"))</x:f>
        <x:v>DENY</x:v>
      </x:c>
    </x:row>
    <x:row r="15">
      <x:c r="A15" s="8" t="str">
        <x:v>BC-010</x:v>
      </x:c>
      <x:c r="B15" s="8" t="str">
        <x:v>ancestry</x:v>
      </x:c>
      <x:c r="C15" s="8" t="n">
        <x:v>0.999</x:v>
      </x:c>
      <x:c r="D15" s="8" t="n">
        <x:v>0.995</x:v>
      </x:c>
      <x:c r="E15" s="8" t="n">
        <x:v>1</x:v>
      </x:c>
      <x:c r="F15" s="8" t="str">
        <x:v>ADMIT</x:v>
      </x:c>
      <x:c r="G15" s="8" t="str">
        <x:f>IF(COUNT(C15)=0,"MISSING",IF(AND(C15&gt;=D15,C15&lt;=E15),"ADMIT","DENY"))</x:f>
        <x:v>ADMIT</x:v>
      </x:c>
    </x:row>
    <x:row r="16">
      <x:c r="A16" s="8" t="str">
        <x:v>BC-011</x:v>
      </x:c>
      <x:c r="B16" s="8" t="str">
        <x:v>cross-talk</x:v>
      </x:c>
      <x:c r="C16" s="8" t="n">
        <x:v>0</x:v>
      </x:c>
      <x:c r="D16" s="8" t="n">
        <x:v>0</x:v>
      </x:c>
      <x:c r="E16" s="8" t="n">
        <x:v>0.005</x:v>
      </x:c>
      <x:c r="F16" s="8" t="str">
        <x:v>ADMIT</x:v>
      </x:c>
      <x:c r="G16" s="8" t="str">
        <x:f>IF(COUNT(C16)=0,"MISSING",IF(AND(C16&gt;=D16,C16&lt;=E16),"ADMIT","DENY"))</x:f>
        <x:v>ADMIT</x:v>
      </x:c>
    </x:row>
    <x:row r="17">
      <x:c r="A17" s="8" t="str">
        <x:v>BC-012</x:v>
      </x:c>
      <x:c r="B17" s="8" t="str">
        <x:v>cross-talk</x:v>
      </x:c>
      <x:c r="C17" s="8" t="n">
        <x:v>0.005</x:v>
      </x:c>
      <x:c r="D17" s="8" t="n">
        <x:v>0</x:v>
      </x:c>
      <x:c r="E17" s="8" t="n">
        <x:v>0.005</x:v>
      </x:c>
      <x:c r="F17" s="8" t="str">
        <x:v>ADMIT</x:v>
      </x:c>
      <x:c r="G17" s="8" t="str">
        <x:f>IF(COUNT(C17)=0,"MISSING",IF(AND(C17&gt;=D17,C17&lt;=E17),"ADMIT","DENY"))</x:f>
        <x:v>ADMIT</x:v>
      </x:c>
    </x:row>
    <x:row r="18">
      <x:c r="A18" s="8" t="str">
        <x:v>BC-013</x:v>
      </x:c>
      <x:c r="B18" s="8" t="str">
        <x:v>cross-talk</x:v>
      </x:c>
      <x:c r="C18" s="8" t="n">
        <x:v>0.0025</x:v>
      </x:c>
      <x:c r="D18" s="8" t="n">
        <x:v>0</x:v>
      </x:c>
      <x:c r="E18" s="8" t="n">
        <x:v>0.005</x:v>
      </x:c>
      <x:c r="F18" s="8" t="str">
        <x:v>ADMIT</x:v>
      </x:c>
      <x:c r="G18" s="8" t="str">
        <x:f>IF(COUNT(C18)=0,"MISSING",IF(AND(C18&gt;=D18,C18&lt;=E18),"ADMIT","DENY"))</x:f>
        <x:v>ADMIT</x:v>
      </x:c>
    </x:row>
    <x:row r="19">
      <x:c r="A19" s="8" t="str">
        <x:v>BC-014</x:v>
      </x:c>
      <x:c r="B19" s="8" t="str">
        <x:v>cross-talk</x:v>
      </x:c>
      <x:c r="C19" s="8" t="n">
        <x:v>-0.01</x:v>
      </x:c>
      <x:c r="D19" s="8" t="n">
        <x:v>0</x:v>
      </x:c>
      <x:c r="E19" s="8" t="n">
        <x:v>0.005</x:v>
      </x:c>
      <x:c r="F19" s="8" t="str">
        <x:v>DENY</x:v>
      </x:c>
      <x:c r="G19" s="8" t="str">
        <x:f>IF(COUNT(C19)=0,"MISSING",IF(AND(C19&gt;=D19,C19&lt;=E19),"ADMIT","DENY"))</x:f>
        <x:v>DENY</x:v>
      </x:c>
    </x:row>
    <x:row r="20">
      <x:c r="A20" s="8" t="str">
        <x:v>BC-015</x:v>
      </x:c>
      <x:c r="B20" s="8" t="str">
        <x:v>cross-talk</x:v>
      </x:c>
      <x:c r="C20" s="8" t="n">
        <x:v>0.015</x:v>
      </x:c>
      <x:c r="D20" s="8" t="n">
        <x:v>0</x:v>
      </x:c>
      <x:c r="E20" s="8" t="n">
        <x:v>0.005</x:v>
      </x:c>
      <x:c r="F20" s="8" t="str">
        <x:v>DENY</x:v>
      </x:c>
      <x:c r="G20" s="8" t="str">
        <x:f>IF(COUNT(C20)=0,"MISSING",IF(AND(C20&gt;=D20,C20&lt;=E20),"ADMIT","DENY"))</x:f>
        <x:v>DENY</x:v>
      </x:c>
    </x:row>
    <x:row r="21">
      <x:c r="A21" s="8" t="str">
        <x:v>BC-016</x:v>
      </x:c>
      <x:c r="B21" s="8" t="str">
        <x:v>cross-talk</x:v>
      </x:c>
      <x:c r="C21" s="8"/>
      <x:c r="D21" s="8" t="n">
        <x:v>0</x:v>
      </x:c>
      <x:c r="E21" s="8" t="n">
        <x:v>0.005</x:v>
      </x:c>
      <x:c r="F21" s="8" t="str">
        <x:v>MISSING</x:v>
      </x:c>
      <x:c r="G21" s="8" t="str">
        <x:f>IF(COUNT(C21)=0,"MISSING",IF(AND(C21&gt;=D21,C21&lt;=E21),"ADMIT","DENY"))</x:f>
        <x:v>MISSING</x:v>
      </x:c>
    </x:row>
    <x:row r="22">
      <x:c r="A22" s="8" t="str">
        <x:v>BC-017</x:v>
      </x:c>
      <x:c r="B22" s="8" t="str">
        <x:v>cross-talk</x:v>
      </x:c>
      <x:c r="C22" s="8" t="n">
        <x:v>0</x:v>
      </x:c>
      <x:c r="D22" s="8" t="n">
        <x:v>0</x:v>
      </x:c>
      <x:c r="E22" s="8" t="n">
        <x:v>0.005</x:v>
      </x:c>
      <x:c r="F22" s="8" t="str">
        <x:v>ADMIT</x:v>
      </x:c>
      <x:c r="G22" s="8" t="str">
        <x:f>IF(COUNT(C22)=0,"MISSING",IF(AND(C22&gt;=D22,C22&lt;=E22),"ADMIT","DENY"))</x:f>
        <x:v>ADMIT</x:v>
      </x:c>
    </x:row>
    <x:row r="23">
      <x:c r="A23" s="8" t="str">
        <x:v>BC-018</x:v>
      </x:c>
      <x:c r="B23" s="8" t="str">
        <x:v>cross-talk</x:v>
      </x:c>
      <x:c r="C23" s="8" t="n">
        <x:v>0.001</x:v>
      </x:c>
      <x:c r="D23" s="8" t="n">
        <x:v>0</x:v>
      </x:c>
      <x:c r="E23" s="8" t="n">
        <x:v>0.005</x:v>
      </x:c>
      <x:c r="F23" s="8" t="str">
        <x:v>ADMIT</x:v>
      </x:c>
      <x:c r="G23" s="8" t="str">
        <x:f>IF(COUNT(C23)=0,"MISSING",IF(AND(C23&gt;=D23,C23&lt;=E23),"ADMIT","DENY"))</x:f>
        <x:v>ADMIT</x:v>
      </x:c>
    </x:row>
    <x:row r="24">
      <x:c r="A24" s="8" t="str">
        <x:v>BC-019</x:v>
      </x:c>
      <x:c r="B24" s="8" t="str">
        <x:v>cross-talk</x:v>
      </x:c>
      <x:c r="C24" s="8" t="n">
        <x:v>-0.001</x:v>
      </x:c>
      <x:c r="D24" s="8" t="n">
        <x:v>0</x:v>
      </x:c>
      <x:c r="E24" s="8" t="n">
        <x:v>0.005</x:v>
      </x:c>
      <x:c r="F24" s="8" t="str">
        <x:v>DENY</x:v>
      </x:c>
      <x:c r="G24" s="8" t="str">
        <x:f>IF(COUNT(C24)=0,"MISSING",IF(AND(C24&gt;=D24,C24&lt;=E24),"ADMIT","DENY"))</x:f>
        <x:v>DENY</x:v>
      </x:c>
    </x:row>
    <x:row r="25">
      <x:c r="A25" s="8" t="str">
        <x:v>BC-020</x:v>
      </x:c>
      <x:c r="B25" s="8" t="str">
        <x:v>cross-talk</x:v>
      </x:c>
      <x:c r="C25" s="8" t="n">
        <x:v>0.004995</x:v>
      </x:c>
      <x:c r="D25" s="8" t="n">
        <x:v>0</x:v>
      </x:c>
      <x:c r="E25" s="8" t="n">
        <x:v>0.005</x:v>
      </x:c>
      <x:c r="F25" s="8" t="str">
        <x:v>ADMIT</x:v>
      </x:c>
      <x:c r="G25" s="8" t="str">
        <x:f>IF(COUNT(C25)=0,"MISSING",IF(AND(C25&gt;=D25,C25&lt;=E25),"ADMIT","DENY"))</x:f>
        <x:v>ADMIT</x:v>
      </x:c>
    </x:row>
    <x:row r="26">
      <x:c r="A26" s="8" t="str">
        <x:v>BC-021</x:v>
      </x:c>
      <x:c r="B26" s="8" t="str">
        <x:v>return h</x:v>
      </x:c>
      <x:c r="C26" s="8" t="n">
        <x:v>1008</x:v>
      </x:c>
      <x:c r="D26" s="8" t="n">
        <x:v>1008</x:v>
      </x:c>
      <x:c r="E26" s="8" t="n">
        <x:v>5000</x:v>
      </x:c>
      <x:c r="F26" s="8" t="str">
        <x:v>ADMIT</x:v>
      </x:c>
      <x:c r="G26" s="8" t="str">
        <x:f>IF(COUNT(C26)=0,"MISSING",IF(AND(C26&gt;=D26,C26&lt;=E26),"ADMIT","DENY"))</x:f>
        <x:v>ADMIT</x:v>
      </x:c>
    </x:row>
    <x:row r="27">
      <x:c r="A27" s="8" t="str">
        <x:v>BC-022</x:v>
      </x:c>
      <x:c r="B27" s="8" t="str">
        <x:v>return h</x:v>
      </x:c>
      <x:c r="C27" s="8" t="n">
        <x:v>5000</x:v>
      </x:c>
      <x:c r="D27" s="8" t="n">
        <x:v>1008</x:v>
      </x:c>
      <x:c r="E27" s="8" t="n">
        <x:v>5000</x:v>
      </x:c>
      <x:c r="F27" s="8" t="str">
        <x:v>ADMIT</x:v>
      </x:c>
      <x:c r="G27" s="8" t="str">
        <x:f>IF(COUNT(C27)=0,"MISSING",IF(AND(C27&gt;=D27,C27&lt;=E27),"ADMIT","DENY"))</x:f>
        <x:v>ADMIT</x:v>
      </x:c>
    </x:row>
    <x:row r="28">
      <x:c r="A28" s="8" t="str">
        <x:v>BC-023</x:v>
      </x:c>
      <x:c r="B28" s="8" t="str">
        <x:v>return h</x:v>
      </x:c>
      <x:c r="C28" s="8" t="n">
        <x:v>3004</x:v>
      </x:c>
      <x:c r="D28" s="8" t="n">
        <x:v>1008</x:v>
      </x:c>
      <x:c r="E28" s="8" t="n">
        <x:v>5000</x:v>
      </x:c>
      <x:c r="F28" s="8" t="str">
        <x:v>ADMIT</x:v>
      </x:c>
      <x:c r="G28" s="8" t="str">
        <x:f>IF(COUNT(C28)=0,"MISSING",IF(AND(C28&gt;=D28,C28&lt;=E28),"ADMIT","DENY"))</x:f>
        <x:v>ADMIT</x:v>
      </x:c>
    </x:row>
    <x:row r="29">
      <x:c r="A29" s="8" t="str">
        <x:v>BC-024</x:v>
      </x:c>
      <x:c r="B29" s="8" t="str">
        <x:v>return h</x:v>
      </x:c>
      <x:c r="C29" s="8" t="n">
        <x:v>1007.99</x:v>
      </x:c>
      <x:c r="D29" s="8" t="n">
        <x:v>1008</x:v>
      </x:c>
      <x:c r="E29" s="8" t="n">
        <x:v>5000</x:v>
      </x:c>
      <x:c r="F29" s="8" t="str">
        <x:v>DENY</x:v>
      </x:c>
      <x:c r="G29" s="8" t="str">
        <x:f>IF(COUNT(C29)=0,"MISSING",IF(AND(C29&gt;=D29,C29&lt;=E29),"ADMIT","DENY"))</x:f>
        <x:v>DENY</x:v>
      </x:c>
    </x:row>
    <x:row r="30">
      <x:c r="A30" s="8" t="str">
        <x:v>BC-025</x:v>
      </x:c>
      <x:c r="B30" s="8" t="str">
        <x:v>return h</x:v>
      </x:c>
      <x:c r="C30" s="8" t="n">
        <x:v>5000.01</x:v>
      </x:c>
      <x:c r="D30" s="8" t="n">
        <x:v>1008</x:v>
      </x:c>
      <x:c r="E30" s="8" t="n">
        <x:v>5000</x:v>
      </x:c>
      <x:c r="F30" s="8" t="str">
        <x:v>DENY</x:v>
      </x:c>
      <x:c r="G30" s="8" t="str">
        <x:f>IF(COUNT(C30)=0,"MISSING",IF(AND(C30&gt;=D30,C30&lt;=E30),"ADMIT","DENY"))</x:f>
        <x:v>DENY</x:v>
      </x:c>
    </x:row>
    <x:row r="31">
      <x:c r="A31" s="8" t="str">
        <x:v>BC-026</x:v>
      </x:c>
      <x:c r="B31" s="8" t="str">
        <x:v>return h</x:v>
      </x:c>
      <x:c r="C31" s="8"/>
      <x:c r="D31" s="8" t="n">
        <x:v>1008</x:v>
      </x:c>
      <x:c r="E31" s="8" t="n">
        <x:v>5000</x:v>
      </x:c>
      <x:c r="F31" s="8" t="str">
        <x:v>MISSING</x:v>
      </x:c>
      <x:c r="G31" s="8" t="str">
        <x:f>IF(COUNT(C31)=0,"MISSING",IF(AND(C31&gt;=D31,C31&lt;=E31),"ADMIT","DENY"))</x:f>
        <x:v>MISSING</x:v>
      </x:c>
    </x:row>
    <x:row r="32">
      <x:c r="A32" s="8" t="str">
        <x:v>BC-027</x:v>
      </x:c>
      <x:c r="B32" s="8" t="str">
        <x:v>return h</x:v>
      </x:c>
      <x:c r="C32" s="8" t="n">
        <x:v>0</x:v>
      </x:c>
      <x:c r="D32" s="8" t="n">
        <x:v>1008</x:v>
      </x:c>
      <x:c r="E32" s="8" t="n">
        <x:v>5000</x:v>
      </x:c>
      <x:c r="F32" s="8" t="str">
        <x:v>DENY</x:v>
      </x:c>
      <x:c r="G32" s="8" t="str">
        <x:f>IF(COUNT(C32)=0,"MISSING",IF(AND(C32&gt;=D32,C32&lt;=E32),"ADMIT","DENY"))</x:f>
        <x:v>DENY</x:v>
      </x:c>
    </x:row>
    <x:row r="33">
      <x:c r="A33" s="8" t="str">
        <x:v>BC-028</x:v>
      </x:c>
      <x:c r="B33" s="8" t="str">
        <x:v>return h</x:v>
      </x:c>
      <x:c r="C33" s="8" t="n">
        <x:v>1009.0079999999999</x:v>
      </x:c>
      <x:c r="D33" s="8" t="n">
        <x:v>1008</x:v>
      </x:c>
      <x:c r="E33" s="8" t="n">
        <x:v>5000</x:v>
      </x:c>
      <x:c r="F33" s="8" t="str">
        <x:v>ADMIT</x:v>
      </x:c>
      <x:c r="G33" s="8" t="str">
        <x:f>IF(COUNT(C33)=0,"MISSING",IF(AND(C33&gt;=D33,C33&lt;=E33),"ADMIT","DENY"))</x:f>
        <x:v>ADMIT</x:v>
      </x:c>
    </x:row>
    <x:row r="34">
      <x:c r="A34" s="8" t="str">
        <x:v>BC-029</x:v>
      </x:c>
      <x:c r="B34" s="8" t="str">
        <x:v>return h</x:v>
      </x:c>
      <x:c r="C34" s="8" t="n">
        <x:v>1006.992</x:v>
      </x:c>
      <x:c r="D34" s="8" t="n">
        <x:v>1008</x:v>
      </x:c>
      <x:c r="E34" s="8" t="n">
        <x:v>5000</x:v>
      </x:c>
      <x:c r="F34" s="8" t="str">
        <x:v>DENY</x:v>
      </x:c>
      <x:c r="G34" s="8" t="str">
        <x:f>IF(COUNT(C34)=0,"MISSING",IF(AND(C34&gt;=D34,C34&lt;=E34),"ADMIT","DENY"))</x:f>
        <x:v>DENY</x:v>
      </x:c>
    </x:row>
    <x:row r="35">
      <x:c r="A35" s="8" t="str">
        <x:v>BC-030</x:v>
      </x:c>
      <x:c r="B35" s="8" t="str">
        <x:v>return h</x:v>
      </x:c>
      <x:c r="C35" s="8" t="n">
        <x:v>4995</x:v>
      </x:c>
      <x:c r="D35" s="8" t="n">
        <x:v>1008</x:v>
      </x:c>
      <x:c r="E35" s="8" t="n">
        <x:v>5000</x:v>
      </x:c>
      <x:c r="F35" s="8" t="str">
        <x:v>ADMIT</x:v>
      </x:c>
      <x:c r="G35" s="8" t="str">
        <x:f>IF(COUNT(C35)=0,"MISSING",IF(AND(C35&gt;=D35,C35&lt;=E35),"ADMIT","DENY"))</x:f>
        <x:v>ADMIT</x:v>
      </x:c>
    </x:row>
    <x:row r="36">
      <x:c r="A36" s="8" t="str">
        <x:v>BC-031</x:v>
      </x:c>
      <x:c r="B36" s="8" t="str">
        <x:v>host h</x:v>
      </x:c>
      <x:c r="C36" s="8" t="n">
        <x:v>504</x:v>
      </x:c>
      <x:c r="D36" s="8" t="n">
        <x:v>504</x:v>
      </x:c>
      <x:c r="E36" s="8" t="n">
        <x:v>5000</x:v>
      </x:c>
      <x:c r="F36" s="8" t="str">
        <x:v>ADMIT</x:v>
      </x:c>
      <x:c r="G36" s="8" t="str">
        <x:f>IF(COUNT(C36)=0,"MISSING",IF(AND(C36&gt;=D36,C36&lt;=E36),"ADMIT","DENY"))</x:f>
        <x:v>ADMIT</x:v>
      </x:c>
    </x:row>
    <x:row r="37">
      <x:c r="A37" s="8" t="str">
        <x:v>BC-032</x:v>
      </x:c>
      <x:c r="B37" s="8" t="str">
        <x:v>host h</x:v>
      </x:c>
      <x:c r="C37" s="8" t="n">
        <x:v>5000</x:v>
      </x:c>
      <x:c r="D37" s="8" t="n">
        <x:v>504</x:v>
      </x:c>
      <x:c r="E37" s="8" t="n">
        <x:v>5000</x:v>
      </x:c>
      <x:c r="F37" s="8" t="str">
        <x:v>ADMIT</x:v>
      </x:c>
      <x:c r="G37" s="8" t="str">
        <x:f>IF(COUNT(C37)=0,"MISSING",IF(AND(C37&gt;=D37,C37&lt;=E37),"ADMIT","DENY"))</x:f>
        <x:v>ADMIT</x:v>
      </x:c>
    </x:row>
    <x:row r="38">
      <x:c r="A38" s="8" t="str">
        <x:v>BC-033</x:v>
      </x:c>
      <x:c r="B38" s="8" t="str">
        <x:v>host h</x:v>
      </x:c>
      <x:c r="C38" s="8" t="n">
        <x:v>2752</x:v>
      </x:c>
      <x:c r="D38" s="8" t="n">
        <x:v>504</x:v>
      </x:c>
      <x:c r="E38" s="8" t="n">
        <x:v>5000</x:v>
      </x:c>
      <x:c r="F38" s="8" t="str">
        <x:v>ADMIT</x:v>
      </x:c>
      <x:c r="G38" s="8" t="str">
        <x:f>IF(COUNT(C38)=0,"MISSING",IF(AND(C38&gt;=D38,C38&lt;=E38),"ADMIT","DENY"))</x:f>
        <x:v>ADMIT</x:v>
      </x:c>
    </x:row>
    <x:row r="39">
      <x:c r="A39" s="8" t="str">
        <x:v>BC-034</x:v>
      </x:c>
      <x:c r="B39" s="8" t="str">
        <x:v>host h</x:v>
      </x:c>
      <x:c r="C39" s="8" t="n">
        <x:v>503.99</x:v>
      </x:c>
      <x:c r="D39" s="8" t="n">
        <x:v>504</x:v>
      </x:c>
      <x:c r="E39" s="8" t="n">
        <x:v>5000</x:v>
      </x:c>
      <x:c r="F39" s="8" t="str">
        <x:v>DENY</x:v>
      </x:c>
      <x:c r="G39" s="8" t="str">
        <x:f>IF(COUNT(C39)=0,"MISSING",IF(AND(C39&gt;=D39,C39&lt;=E39),"ADMIT","DENY"))</x:f>
        <x:v>DENY</x:v>
      </x:c>
    </x:row>
    <x:row r="40">
      <x:c r="A40" s="8" t="str">
        <x:v>BC-035</x:v>
      </x:c>
      <x:c r="B40" s="8" t="str">
        <x:v>host h</x:v>
      </x:c>
      <x:c r="C40" s="8" t="n">
        <x:v>5000.01</x:v>
      </x:c>
      <x:c r="D40" s="8" t="n">
        <x:v>504</x:v>
      </x:c>
      <x:c r="E40" s="8" t="n">
        <x:v>5000</x:v>
      </x:c>
      <x:c r="F40" s="8" t="str">
        <x:v>DENY</x:v>
      </x:c>
      <x:c r="G40" s="8" t="str">
        <x:f>IF(COUNT(C40)=0,"MISSING",IF(AND(C40&gt;=D40,C40&lt;=E40),"ADMIT","DENY"))</x:f>
        <x:v>DENY</x:v>
      </x:c>
    </x:row>
    <x:row r="41">
      <x:c r="A41" s="8" t="str">
        <x:v>BC-036</x:v>
      </x:c>
      <x:c r="B41" s="8" t="str">
        <x:v>host h</x:v>
      </x:c>
      <x:c r="C41" s="8"/>
      <x:c r="D41" s="8" t="n">
        <x:v>504</x:v>
      </x:c>
      <x:c r="E41" s="8" t="n">
        <x:v>5000</x:v>
      </x:c>
      <x:c r="F41" s="8" t="str">
        <x:v>MISSING</x:v>
      </x:c>
      <x:c r="G41" s="8" t="str">
        <x:f>IF(COUNT(C41)=0,"MISSING",IF(AND(C41&gt;=D41,C41&lt;=E41),"ADMIT","DENY"))</x:f>
        <x:v>MISSING</x:v>
      </x:c>
    </x:row>
    <x:row r="42">
      <x:c r="A42" s="8" t="str">
        <x:v>BC-037</x:v>
      </x:c>
      <x:c r="B42" s="8" t="str">
        <x:v>host h</x:v>
      </x:c>
      <x:c r="C42" s="8" t="n">
        <x:v>0</x:v>
      </x:c>
      <x:c r="D42" s="8" t="n">
        <x:v>504</x:v>
      </x:c>
      <x:c r="E42" s="8" t="n">
        <x:v>5000</x:v>
      </x:c>
      <x:c r="F42" s="8" t="str">
        <x:v>DENY</x:v>
      </x:c>
      <x:c r="G42" s="8" t="str">
        <x:f>IF(COUNT(C42)=0,"MISSING",IF(AND(C42&gt;=D42,C42&lt;=E42),"ADMIT","DENY"))</x:f>
        <x:v>DENY</x:v>
      </x:c>
    </x:row>
    <x:row r="43">
      <x:c r="A43" s="8" t="str">
        <x:v>BC-038</x:v>
      </x:c>
      <x:c r="B43" s="8" t="str">
        <x:v>host h</x:v>
      </x:c>
      <x:c r="C43" s="8" t="n">
        <x:v>504.50399999999996</x:v>
      </x:c>
      <x:c r="D43" s="8" t="n">
        <x:v>504</x:v>
      </x:c>
      <x:c r="E43" s="8" t="n">
        <x:v>5000</x:v>
      </x:c>
      <x:c r="F43" s="8" t="str">
        <x:v>ADMIT</x:v>
      </x:c>
      <x:c r="G43" s="8" t="str">
        <x:f>IF(COUNT(C43)=0,"MISSING",IF(AND(C43&gt;=D43,C43&lt;=E43),"ADMIT","DENY"))</x:f>
        <x:v>ADMIT</x:v>
      </x:c>
    </x:row>
    <x:row r="44">
      <x:c r="A44" s="8" t="str">
        <x:v>BC-039</x:v>
      </x:c>
      <x:c r="B44" s="8" t="str">
        <x:v>host h</x:v>
      </x:c>
      <x:c r="C44" s="8" t="n">
        <x:v>503.496</x:v>
      </x:c>
      <x:c r="D44" s="8" t="n">
        <x:v>504</x:v>
      </x:c>
      <x:c r="E44" s="8" t="n">
        <x:v>5000</x:v>
      </x:c>
      <x:c r="F44" s="8" t="str">
        <x:v>DENY</x:v>
      </x:c>
      <x:c r="G44" s="8" t="str">
        <x:f>IF(COUNT(C44)=0,"MISSING",IF(AND(C44&gt;=D44,C44&lt;=E44),"ADMIT","DENY"))</x:f>
        <x:v>DENY</x:v>
      </x:c>
    </x:row>
    <x:row r="45">
      <x:c r="A45" s="8" t="str">
        <x:v>BC-040</x:v>
      </x:c>
      <x:c r="B45" s="8" t="str">
        <x:v>host h</x:v>
      </x:c>
      <x:c r="C45" s="8" t="n">
        <x:v>4995</x:v>
      </x:c>
      <x:c r="D45" s="8" t="n">
        <x:v>504</x:v>
      </x:c>
      <x:c r="E45" s="8" t="n">
        <x:v>5000</x:v>
      </x:c>
      <x:c r="F45" s="8" t="str">
        <x:v>ADMIT</x:v>
      </x:c>
      <x:c r="G45" s="8" t="str">
        <x:f>IF(COUNT(C45)=0,"MISSING",IF(AND(C45&gt;=D45,C45&lt;=E45),"ADMIT","DENY"))</x:f>
        <x:v>ADMIT</x:v>
      </x:c>
    </x:row>
    <x:row r="46">
      <x:c r="A46" s="8" t="str">
        <x:v>BC-041</x:v>
      </x:c>
      <x:c r="B46" s="8" t="str">
        <x:v>source kg</x:v>
      </x:c>
      <x:c r="C46" s="8" t="n">
        <x:v>0</x:v>
      </x:c>
      <x:c r="D46" s="8" t="n">
        <x:v>0</x:v>
      </x:c>
      <x:c r="E46" s="8" t="n">
        <x:v>500</x:v>
      </x:c>
      <x:c r="F46" s="8" t="str">
        <x:v>ADMIT</x:v>
      </x:c>
      <x:c r="G46" s="8" t="str">
        <x:f>IF(COUNT(C46)=0,"MISSING",IF(AND(C46&gt;=D46,C46&lt;=E46),"ADMIT","DENY"))</x:f>
        <x:v>ADMIT</x:v>
      </x:c>
    </x:row>
    <x:row r="47">
      <x:c r="A47" s="8" t="str">
        <x:v>BC-042</x:v>
      </x:c>
      <x:c r="B47" s="8" t="str">
        <x:v>source kg</x:v>
      </x:c>
      <x:c r="C47" s="8" t="n">
        <x:v>500</x:v>
      </x:c>
      <x:c r="D47" s="8" t="n">
        <x:v>0</x:v>
      </x:c>
      <x:c r="E47" s="8" t="n">
        <x:v>500</x:v>
      </x:c>
      <x:c r="F47" s="8" t="str">
        <x:v>ADMIT</x:v>
      </x:c>
      <x:c r="G47" s="8" t="str">
        <x:f>IF(COUNT(C47)=0,"MISSING",IF(AND(C47&gt;=D47,C47&lt;=E47),"ADMIT","DENY"))</x:f>
        <x:v>ADMIT</x:v>
      </x:c>
    </x:row>
    <x:row r="48">
      <x:c r="A48" s="8" t="str">
        <x:v>BC-043</x:v>
      </x:c>
      <x:c r="B48" s="8" t="str">
        <x:v>source kg</x:v>
      </x:c>
      <x:c r="C48" s="8" t="n">
        <x:v>250</x:v>
      </x:c>
      <x:c r="D48" s="8" t="n">
        <x:v>0</x:v>
      </x:c>
      <x:c r="E48" s="8" t="n">
        <x:v>500</x:v>
      </x:c>
      <x:c r="F48" s="8" t="str">
        <x:v>ADMIT</x:v>
      </x:c>
      <x:c r="G48" s="8" t="str">
        <x:f>IF(COUNT(C48)=0,"MISSING",IF(AND(C48&gt;=D48,C48&lt;=E48),"ADMIT","DENY"))</x:f>
        <x:v>ADMIT</x:v>
      </x:c>
    </x:row>
    <x:row r="49">
      <x:c r="A49" s="8" t="str">
        <x:v>BC-044</x:v>
      </x:c>
      <x:c r="B49" s="8" t="str">
        <x:v>source kg</x:v>
      </x:c>
      <x:c r="C49" s="8" t="n">
        <x:v>-0.01</x:v>
      </x:c>
      <x:c r="D49" s="8" t="n">
        <x:v>0</x:v>
      </x:c>
      <x:c r="E49" s="8" t="n">
        <x:v>500</x:v>
      </x:c>
      <x:c r="F49" s="8" t="str">
        <x:v>DENY</x:v>
      </x:c>
      <x:c r="G49" s="8" t="str">
        <x:f>IF(COUNT(C49)=0,"MISSING",IF(AND(C49&gt;=D49,C49&lt;=E49),"ADMIT","DENY"))</x:f>
        <x:v>DENY</x:v>
      </x:c>
    </x:row>
    <x:row r="50">
      <x:c r="A50" s="8" t="str">
        <x:v>BC-045</x:v>
      </x:c>
      <x:c r="B50" s="8" t="str">
        <x:v>source kg</x:v>
      </x:c>
      <x:c r="C50" s="8" t="n">
        <x:v>500.01</x:v>
      </x:c>
      <x:c r="D50" s="8" t="n">
        <x:v>0</x:v>
      </x:c>
      <x:c r="E50" s="8" t="n">
        <x:v>500</x:v>
      </x:c>
      <x:c r="F50" s="8" t="str">
        <x:v>DENY</x:v>
      </x:c>
      <x:c r="G50" s="8" t="str">
        <x:f>IF(COUNT(C50)=0,"MISSING",IF(AND(C50&gt;=D50,C50&lt;=E50),"ADMIT","DENY"))</x:f>
        <x:v>DENY</x:v>
      </x:c>
    </x:row>
    <x:row r="51">
      <x:c r="A51" s="8" t="str">
        <x:v>BC-046</x:v>
      </x:c>
      <x:c r="B51" s="8" t="str">
        <x:v>source kg</x:v>
      </x:c>
      <x:c r="C51" s="8"/>
      <x:c r="D51" s="8" t="n">
        <x:v>0</x:v>
      </x:c>
      <x:c r="E51" s="8" t="n">
        <x:v>500</x:v>
      </x:c>
      <x:c r="F51" s="8" t="str">
        <x:v>MISSING</x:v>
      </x:c>
      <x:c r="G51" s="8" t="str">
        <x:f>IF(COUNT(C51)=0,"MISSING",IF(AND(C51&gt;=D51,C51&lt;=E51),"ADMIT","DENY"))</x:f>
        <x:v>MISSING</x:v>
      </x:c>
    </x:row>
    <x:row r="52">
      <x:c r="A52" s="8" t="str">
        <x:v>BC-047</x:v>
      </x:c>
      <x:c r="B52" s="8" t="str">
        <x:v>source kg</x:v>
      </x:c>
      <x:c r="C52" s="8" t="n">
        <x:v>0</x:v>
      </x:c>
      <x:c r="D52" s="8" t="n">
        <x:v>0</x:v>
      </x:c>
      <x:c r="E52" s="8" t="n">
        <x:v>500</x:v>
      </x:c>
      <x:c r="F52" s="8" t="str">
        <x:v>ADMIT</x:v>
      </x:c>
      <x:c r="G52" s="8" t="str">
        <x:f>IF(COUNT(C52)=0,"MISSING",IF(AND(C52&gt;=D52,C52&lt;=E52),"ADMIT","DENY"))</x:f>
        <x:v>ADMIT</x:v>
      </x:c>
    </x:row>
    <x:row r="53">
      <x:c r="A53" s="8" t="str">
        <x:v>BC-048</x:v>
      </x:c>
      <x:c r="B53" s="8" t="str">
        <x:v>source kg</x:v>
      </x:c>
      <x:c r="C53" s="8" t="n">
        <x:v>0.001</x:v>
      </x:c>
      <x:c r="D53" s="8" t="n">
        <x:v>0</x:v>
      </x:c>
      <x:c r="E53" s="8" t="n">
        <x:v>500</x:v>
      </x:c>
      <x:c r="F53" s="8" t="str">
        <x:v>ADMIT</x:v>
      </x:c>
      <x:c r="G53" s="8" t="str">
        <x:f>IF(COUNT(C53)=0,"MISSING",IF(AND(C53&gt;=D53,C53&lt;=E53),"ADMIT","DENY"))</x:f>
        <x:v>ADMIT</x:v>
      </x:c>
    </x:row>
    <x:row r="54">
      <x:c r="A54" s="8" t="str">
        <x:v>BC-049</x:v>
      </x:c>
      <x:c r="B54" s="8" t="str">
        <x:v>source kg</x:v>
      </x:c>
      <x:c r="C54" s="8" t="n">
        <x:v>-0.001</x:v>
      </x:c>
      <x:c r="D54" s="8" t="n">
        <x:v>0</x:v>
      </x:c>
      <x:c r="E54" s="8" t="n">
        <x:v>500</x:v>
      </x:c>
      <x:c r="F54" s="8" t="str">
        <x:v>DENY</x:v>
      </x:c>
      <x:c r="G54" s="8" t="str">
        <x:f>IF(COUNT(C54)=0,"MISSING",IF(AND(C54&gt;=D54,C54&lt;=E54),"ADMIT","DENY"))</x:f>
        <x:v>DENY</x:v>
      </x:c>
    </x:row>
    <x:row r="55">
      <x:c r="A55" s="8" t="str">
        <x:v>BC-050</x:v>
      </x:c>
      <x:c r="B55" s="8" t="str">
        <x:v>source kg</x:v>
      </x:c>
      <x:c r="C55" s="8" t="n">
        <x:v>499.5</x:v>
      </x:c>
      <x:c r="D55" s="8" t="n">
        <x:v>0</x:v>
      </x:c>
      <x:c r="E55" s="8" t="n">
        <x:v>500</x:v>
      </x:c>
      <x:c r="F55" s="8" t="str">
        <x:v>ADMIT</x:v>
      </x:c>
      <x:c r="G55" s="8" t="str">
        <x:f>IF(COUNT(C55)=0,"MISSING",IF(AND(C55&gt;=D55,C55&lt;=E55),"ADMIT","DENY"))</x:f>
        <x:v>ADMIT</x:v>
      </x:c>
    </x:row>
    <x:row r="56">
      <x:c r="A56" s="8" t="str">
        <x:v>BC-051</x:v>
      </x:c>
      <x:c r="B56" s="8" t="str">
        <x:v>water m³</x:v>
      </x:c>
      <x:c r="C56" s="8" t="n">
        <x:v>0</x:v>
      </x:c>
      <x:c r="D56" s="8" t="n">
        <x:v>0</x:v>
      </x:c>
      <x:c r="E56" s="8" t="n">
        <x:v>48</x:v>
      </x:c>
      <x:c r="F56" s="8" t="str">
        <x:v>ADMIT</x:v>
      </x:c>
      <x:c r="G56" s="8" t="str">
        <x:f>IF(COUNT(C56)=0,"MISSING",IF(AND(C56&gt;=D56,C56&lt;=E56),"ADMIT","DENY"))</x:f>
        <x:v>ADMIT</x:v>
      </x:c>
    </x:row>
    <x:row r="57">
      <x:c r="A57" s="8" t="str">
        <x:v>BC-052</x:v>
      </x:c>
      <x:c r="B57" s="8" t="str">
        <x:v>water m³</x:v>
      </x:c>
      <x:c r="C57" s="8" t="n">
        <x:v>48</x:v>
      </x:c>
      <x:c r="D57" s="8" t="n">
        <x:v>0</x:v>
      </x:c>
      <x:c r="E57" s="8" t="n">
        <x:v>48</x:v>
      </x:c>
      <x:c r="F57" s="8" t="str">
        <x:v>ADMIT</x:v>
      </x:c>
      <x:c r="G57" s="8" t="str">
        <x:f>IF(COUNT(C57)=0,"MISSING",IF(AND(C57&gt;=D57,C57&lt;=E57),"ADMIT","DENY"))</x:f>
        <x:v>ADMIT</x:v>
      </x:c>
    </x:row>
    <x:row r="58">
      <x:c r="A58" s="8" t="str">
        <x:v>BC-053</x:v>
      </x:c>
      <x:c r="B58" s="8" t="str">
        <x:v>water m³</x:v>
      </x:c>
      <x:c r="C58" s="8" t="n">
        <x:v>24</x:v>
      </x:c>
      <x:c r="D58" s="8" t="n">
        <x:v>0</x:v>
      </x:c>
      <x:c r="E58" s="8" t="n">
        <x:v>48</x:v>
      </x:c>
      <x:c r="F58" s="8" t="str">
        <x:v>ADMIT</x:v>
      </x:c>
      <x:c r="G58" s="8" t="str">
        <x:f>IF(COUNT(C58)=0,"MISSING",IF(AND(C58&gt;=D58,C58&lt;=E58),"ADMIT","DENY"))</x:f>
        <x:v>ADMIT</x:v>
      </x:c>
    </x:row>
    <x:row r="59">
      <x:c r="A59" s="8" t="str">
        <x:v>BC-054</x:v>
      </x:c>
      <x:c r="B59" s="8" t="str">
        <x:v>water m³</x:v>
      </x:c>
      <x:c r="C59" s="8" t="n">
        <x:v>-0.01</x:v>
      </x:c>
      <x:c r="D59" s="8" t="n">
        <x:v>0</x:v>
      </x:c>
      <x:c r="E59" s="8" t="n">
        <x:v>48</x:v>
      </x:c>
      <x:c r="F59" s="8" t="str">
        <x:v>DENY</x:v>
      </x:c>
      <x:c r="G59" s="8" t="str">
        <x:f>IF(COUNT(C59)=0,"MISSING",IF(AND(C59&gt;=D59,C59&lt;=E59),"ADMIT","DENY"))</x:f>
        <x:v>DENY</x:v>
      </x:c>
    </x:row>
    <x:row r="60">
      <x:c r="A60" s="8" t="str">
        <x:v>BC-055</x:v>
      </x:c>
      <x:c r="B60" s="8" t="str">
        <x:v>water m³</x:v>
      </x:c>
      <x:c r="C60" s="8" t="n">
        <x:v>48.01</x:v>
      </x:c>
      <x:c r="D60" s="8" t="n">
        <x:v>0</x:v>
      </x:c>
      <x:c r="E60" s="8" t="n">
        <x:v>48</x:v>
      </x:c>
      <x:c r="F60" s="8" t="str">
        <x:v>DENY</x:v>
      </x:c>
      <x:c r="G60" s="8" t="str">
        <x:f>IF(COUNT(C60)=0,"MISSING",IF(AND(C60&gt;=D60,C60&lt;=E60),"ADMIT","DENY"))</x:f>
        <x:v>DENY</x:v>
      </x:c>
    </x:row>
    <x:row r="61">
      <x:c r="A61" s="8" t="str">
        <x:v>BC-056</x:v>
      </x:c>
      <x:c r="B61" s="8" t="str">
        <x:v>water m³</x:v>
      </x:c>
      <x:c r="C61" s="8"/>
      <x:c r="D61" s="8" t="n">
        <x:v>0</x:v>
      </x:c>
      <x:c r="E61" s="8" t="n">
        <x:v>48</x:v>
      </x:c>
      <x:c r="F61" s="8" t="str">
        <x:v>MISSING</x:v>
      </x:c>
      <x:c r="G61" s="8" t="str">
        <x:f>IF(COUNT(C61)=0,"MISSING",IF(AND(C61&gt;=D61,C61&lt;=E61),"ADMIT","DENY"))</x:f>
        <x:v>MISSING</x:v>
      </x:c>
    </x:row>
    <x:row r="62">
      <x:c r="A62" s="8" t="str">
        <x:v>BC-057</x:v>
      </x:c>
      <x:c r="B62" s="8" t="str">
        <x:v>water m³</x:v>
      </x:c>
      <x:c r="C62" s="8" t="n">
        <x:v>0</x:v>
      </x:c>
      <x:c r="D62" s="8" t="n">
        <x:v>0</x:v>
      </x:c>
      <x:c r="E62" s="8" t="n">
        <x:v>48</x:v>
      </x:c>
      <x:c r="F62" s="8" t="str">
        <x:v>ADMIT</x:v>
      </x:c>
      <x:c r="G62" s="8" t="str">
        <x:f>IF(COUNT(C62)=0,"MISSING",IF(AND(C62&gt;=D62,C62&lt;=E62),"ADMIT","DENY"))</x:f>
        <x:v>ADMIT</x:v>
      </x:c>
    </x:row>
    <x:row r="63">
      <x:c r="A63" s="8" t="str">
        <x:v>BC-058</x:v>
      </x:c>
      <x:c r="B63" s="8" t="str">
        <x:v>water m³</x:v>
      </x:c>
      <x:c r="C63" s="8" t="n">
        <x:v>0.001</x:v>
      </x:c>
      <x:c r="D63" s="8" t="n">
        <x:v>0</x:v>
      </x:c>
      <x:c r="E63" s="8" t="n">
        <x:v>48</x:v>
      </x:c>
      <x:c r="F63" s="8" t="str">
        <x:v>ADMIT</x:v>
      </x:c>
      <x:c r="G63" s="8" t="str">
        <x:f>IF(COUNT(C63)=0,"MISSING",IF(AND(C63&gt;=D63,C63&lt;=E63),"ADMIT","DENY"))</x:f>
        <x:v>ADMIT</x:v>
      </x:c>
    </x:row>
    <x:row r="64">
      <x:c r="A64" s="8" t="str">
        <x:v>BC-059</x:v>
      </x:c>
      <x:c r="B64" s="8" t="str">
        <x:v>water m³</x:v>
      </x:c>
      <x:c r="C64" s="8" t="n">
        <x:v>-0.001</x:v>
      </x:c>
      <x:c r="D64" s="8" t="n">
        <x:v>0</x:v>
      </x:c>
      <x:c r="E64" s="8" t="n">
        <x:v>48</x:v>
      </x:c>
      <x:c r="F64" s="8" t="str">
        <x:v>DENY</x:v>
      </x:c>
      <x:c r="G64" s="8" t="str">
        <x:f>IF(COUNT(C64)=0,"MISSING",IF(AND(C64&gt;=D64,C64&lt;=E64),"ADMIT","DENY"))</x:f>
        <x:v>DENY</x:v>
      </x:c>
    </x:row>
    <x:row r="65">
      <x:c r="A65" s="8" t="str">
        <x:v>BC-060</x:v>
      </x:c>
      <x:c r="B65" s="8" t="str">
        <x:v>water m³</x:v>
      </x:c>
      <x:c r="C65" s="8" t="n">
        <x:v>47.952</x:v>
      </x:c>
      <x:c r="D65" s="8" t="n">
        <x:v>0</x:v>
      </x:c>
      <x:c r="E65" s="8" t="n">
        <x:v>48</x:v>
      </x:c>
      <x:c r="F65" s="8" t="str">
        <x:v>ADMIT</x:v>
      </x:c>
      <x:c r="G65" s="8" t="str">
        <x:f>IF(COUNT(C65)=0,"MISSING",IF(AND(C65&gt;=D65,C65&lt;=E65),"ADMIT","DENY"))</x:f>
        <x:v>ADMIT</x:v>
      </x:c>
    </x:row>
    <x:row r="66">
      <x:c r="A66" s="8" t="str">
        <x:v>BC-061</x:v>
      </x:c>
      <x:c r="B66" s="8" t="str">
        <x:v>area m²</x:v>
      </x:c>
      <x:c r="C66" s="8" t="n">
        <x:v>0</x:v>
      </x:c>
      <x:c r="D66" s="8" t="n">
        <x:v>0</x:v>
      </x:c>
      <x:c r="E66" s="8" t="n">
        <x:v>25</x:v>
      </x:c>
      <x:c r="F66" s="8" t="str">
        <x:v>ADMIT</x:v>
      </x:c>
      <x:c r="G66" s="8" t="str">
        <x:f>IF(COUNT(C66)=0,"MISSING",IF(AND(C66&gt;=D66,C66&lt;=E66),"ADMIT","DENY"))</x:f>
        <x:v>ADMIT</x:v>
      </x:c>
    </x:row>
    <x:row r="67">
      <x:c r="A67" s="8" t="str">
        <x:v>BC-062</x:v>
      </x:c>
      <x:c r="B67" s="8" t="str">
        <x:v>area m²</x:v>
      </x:c>
      <x:c r="C67" s="8" t="n">
        <x:v>25</x:v>
      </x:c>
      <x:c r="D67" s="8" t="n">
        <x:v>0</x:v>
      </x:c>
      <x:c r="E67" s="8" t="n">
        <x:v>25</x:v>
      </x:c>
      <x:c r="F67" s="8" t="str">
        <x:v>ADMIT</x:v>
      </x:c>
      <x:c r="G67" s="8" t="str">
        <x:f>IF(COUNT(C67)=0,"MISSING",IF(AND(C67&gt;=D67,C67&lt;=E67),"ADMIT","DENY"))</x:f>
        <x:v>ADMIT</x:v>
      </x:c>
    </x:row>
    <x:row r="68">
      <x:c r="A68" s="8" t="str">
        <x:v>BC-063</x:v>
      </x:c>
      <x:c r="B68" s="8" t="str">
        <x:v>area m²</x:v>
      </x:c>
      <x:c r="C68" s="8" t="n">
        <x:v>12.5</x:v>
      </x:c>
      <x:c r="D68" s="8" t="n">
        <x:v>0</x:v>
      </x:c>
      <x:c r="E68" s="8" t="n">
        <x:v>25</x:v>
      </x:c>
      <x:c r="F68" s="8" t="str">
        <x:v>ADMIT</x:v>
      </x:c>
      <x:c r="G68" s="8" t="str">
        <x:f>IF(COUNT(C68)=0,"MISSING",IF(AND(C68&gt;=D68,C68&lt;=E68),"ADMIT","DENY"))</x:f>
        <x:v>ADMIT</x:v>
      </x:c>
    </x:row>
    <x:row r="69">
      <x:c r="A69" s="8" t="str">
        <x:v>BC-064</x:v>
      </x:c>
      <x:c r="B69" s="8" t="str">
        <x:v>area m²</x:v>
      </x:c>
      <x:c r="C69" s="8" t="n">
        <x:v>-0.01</x:v>
      </x:c>
      <x:c r="D69" s="8" t="n">
        <x:v>0</x:v>
      </x:c>
      <x:c r="E69" s="8" t="n">
        <x:v>25</x:v>
      </x:c>
      <x:c r="F69" s="8" t="str">
        <x:v>DENY</x:v>
      </x:c>
      <x:c r="G69" s="8" t="str">
        <x:f>IF(COUNT(C69)=0,"MISSING",IF(AND(C69&gt;=D69,C69&lt;=E69),"ADMIT","DENY"))</x:f>
        <x:v>DENY</x:v>
      </x:c>
    </x:row>
    <x:row r="70">
      <x:c r="A70" s="8" t="str">
        <x:v>BC-065</x:v>
      </x:c>
      <x:c r="B70" s="8" t="str">
        <x:v>area m²</x:v>
      </x:c>
      <x:c r="C70" s="8" t="n">
        <x:v>25.01</x:v>
      </x:c>
      <x:c r="D70" s="8" t="n">
        <x:v>0</x:v>
      </x:c>
      <x:c r="E70" s="8" t="n">
        <x:v>25</x:v>
      </x:c>
      <x:c r="F70" s="8" t="str">
        <x:v>DENY</x:v>
      </x:c>
      <x:c r="G70" s="8" t="str">
        <x:f>IF(COUNT(C70)=0,"MISSING",IF(AND(C70&gt;=D70,C70&lt;=E70),"ADMIT","DENY"))</x:f>
        <x:v>DENY</x:v>
      </x:c>
    </x:row>
    <x:row r="71">
      <x:c r="A71" s="8" t="str">
        <x:v>BC-066</x:v>
      </x:c>
      <x:c r="B71" s="8" t="str">
        <x:v>area m²</x:v>
      </x:c>
      <x:c r="C71" s="8"/>
      <x:c r="D71" s="8" t="n">
        <x:v>0</x:v>
      </x:c>
      <x:c r="E71" s="8" t="n">
        <x:v>25</x:v>
      </x:c>
      <x:c r="F71" s="8" t="str">
        <x:v>MISSING</x:v>
      </x:c>
      <x:c r="G71" s="8" t="str">
        <x:f>IF(COUNT(C71)=0,"MISSING",IF(AND(C71&gt;=D71,C71&lt;=E71),"ADMIT","DENY"))</x:f>
        <x:v>MISSING</x:v>
      </x:c>
    </x:row>
    <x:row r="72">
      <x:c r="A72" s="8" t="str">
        <x:v>BC-067</x:v>
      </x:c>
      <x:c r="B72" s="8" t="str">
        <x:v>area m²</x:v>
      </x:c>
      <x:c r="C72" s="8" t="n">
        <x:v>0</x:v>
      </x:c>
      <x:c r="D72" s="8" t="n">
        <x:v>0</x:v>
      </x:c>
      <x:c r="E72" s="8" t="n">
        <x:v>25</x:v>
      </x:c>
      <x:c r="F72" s="8" t="str">
        <x:v>ADMIT</x:v>
      </x:c>
      <x:c r="G72" s="8" t="str">
        <x:f>IF(COUNT(C72)=0,"MISSING",IF(AND(C72&gt;=D72,C72&lt;=E72),"ADMIT","DENY"))</x:f>
        <x:v>ADMIT</x:v>
      </x:c>
    </x:row>
    <x:row r="73">
      <x:c r="A73" s="8" t="str">
        <x:v>BC-068</x:v>
      </x:c>
      <x:c r="B73" s="8" t="str">
        <x:v>area m²</x:v>
      </x:c>
      <x:c r="C73" s="8" t="n">
        <x:v>0.001</x:v>
      </x:c>
      <x:c r="D73" s="8" t="n">
        <x:v>0</x:v>
      </x:c>
      <x:c r="E73" s="8" t="n">
        <x:v>25</x:v>
      </x:c>
      <x:c r="F73" s="8" t="str">
        <x:v>ADMIT</x:v>
      </x:c>
      <x:c r="G73" s="8" t="str">
        <x:f>IF(COUNT(C73)=0,"MISSING",IF(AND(C73&gt;=D73,C73&lt;=E73),"ADMIT","DENY"))</x:f>
        <x:v>ADMIT</x:v>
      </x:c>
    </x:row>
    <x:row r="74">
      <x:c r="A74" s="8" t="str">
        <x:v>BC-069</x:v>
      </x:c>
      <x:c r="B74" s="8" t="str">
        <x:v>area m²</x:v>
      </x:c>
      <x:c r="C74" s="8" t="n">
        <x:v>-0.001</x:v>
      </x:c>
      <x:c r="D74" s="8" t="n">
        <x:v>0</x:v>
      </x:c>
      <x:c r="E74" s="8" t="n">
        <x:v>25</x:v>
      </x:c>
      <x:c r="F74" s="8" t="str">
        <x:v>DENY</x:v>
      </x:c>
      <x:c r="G74" s="8" t="str">
        <x:f>IF(COUNT(C74)=0,"MISSING",IF(AND(C74&gt;=D74,C74&lt;=E74),"ADMIT","DENY"))</x:f>
        <x:v>DENY</x:v>
      </x:c>
    </x:row>
    <x:row r="75">
      <x:c r="A75" s="8" t="str">
        <x:v>BC-070</x:v>
      </x:c>
      <x:c r="B75" s="8" t="str">
        <x:v>area m²</x:v>
      </x:c>
      <x:c r="C75" s="8" t="n">
        <x:v>24.975</x:v>
      </x:c>
      <x:c r="D75" s="8" t="n">
        <x:v>0</x:v>
      </x:c>
      <x:c r="E75" s="8" t="n">
        <x:v>25</x:v>
      </x:c>
      <x:c r="F75" s="8" t="str">
        <x:v>ADMIT</x:v>
      </x:c>
      <x:c r="G75" s="8" t="str">
        <x:f>IF(COUNT(C75)=0,"MISSING",IF(AND(C75&gt;=D75,C75&lt;=E75),"ADMIT","DENY"))</x:f>
        <x:v>ADMIT</x:v>
      </x:c>
    </x:row>
    <x:row r="76">
      <x:c r="A76" s="8" t="str">
        <x:v>BC-071</x:v>
      </x:c>
      <x:c r="B76" s="8" t="str">
        <x:v>heat MW</x:v>
      </x:c>
      <x:c r="C76" s="8" t="n">
        <x:v>0</x:v>
      </x:c>
      <x:c r="D76" s="8" t="n">
        <x:v>0</x:v>
      </x:c>
      <x:c r="E76" s="8" t="n">
        <x:v>58.5585</x:v>
      </x:c>
      <x:c r="F76" s="8" t="str">
        <x:v>ADMIT</x:v>
      </x:c>
      <x:c r="G76" s="8" t="str">
        <x:f>IF(COUNT(C76)=0,"MISSING",IF(AND(C76&gt;=D76,C76&lt;=E76),"ADMIT","DENY"))</x:f>
        <x:v>ADMIT</x:v>
      </x:c>
    </x:row>
    <x:row r="77">
      <x:c r="A77" s="8" t="str">
        <x:v>BC-072</x:v>
      </x:c>
      <x:c r="B77" s="8" t="str">
        <x:v>heat MW</x:v>
      </x:c>
      <x:c r="C77" s="8" t="n">
        <x:v>58.5585</x:v>
      </x:c>
      <x:c r="D77" s="8" t="n">
        <x:v>0</x:v>
      </x:c>
      <x:c r="E77" s="8" t="n">
        <x:v>58.5585</x:v>
      </x:c>
      <x:c r="F77" s="8" t="str">
        <x:v>ADMIT</x:v>
      </x:c>
      <x:c r="G77" s="8" t="str">
        <x:f>IF(COUNT(C77)=0,"MISSING",IF(AND(C77&gt;=D77,C77&lt;=E77),"ADMIT","DENY"))</x:f>
        <x:v>ADMIT</x:v>
      </x:c>
    </x:row>
    <x:row r="78">
      <x:c r="A78" s="8" t="str">
        <x:v>BC-073</x:v>
      </x:c>
      <x:c r="B78" s="8" t="str">
        <x:v>heat MW</x:v>
      </x:c>
      <x:c r="C78" s="8" t="n">
        <x:v>29.27925</x:v>
      </x:c>
      <x:c r="D78" s="8" t="n">
        <x:v>0</x:v>
      </x:c>
      <x:c r="E78" s="8" t="n">
        <x:v>58.5585</x:v>
      </x:c>
      <x:c r="F78" s="8" t="str">
        <x:v>ADMIT</x:v>
      </x:c>
      <x:c r="G78" s="8" t="str">
        <x:f>IF(COUNT(C78)=0,"MISSING",IF(AND(C78&gt;=D78,C78&lt;=E78),"ADMIT","DENY"))</x:f>
        <x:v>ADMIT</x:v>
      </x:c>
    </x:row>
    <x:row r="79">
      <x:c r="A79" s="8" t="str">
        <x:v>BC-074</x:v>
      </x:c>
      <x:c r="B79" s="8" t="str">
        <x:v>heat MW</x:v>
      </x:c>
      <x:c r="C79" s="8" t="n">
        <x:v>-0.01</x:v>
      </x:c>
      <x:c r="D79" s="8" t="n">
        <x:v>0</x:v>
      </x:c>
      <x:c r="E79" s="8" t="n">
        <x:v>58.5585</x:v>
      </x:c>
      <x:c r="F79" s="8" t="str">
        <x:v>DENY</x:v>
      </x:c>
      <x:c r="G79" s="8" t="str">
        <x:f>IF(COUNT(C79)=0,"MISSING",IF(AND(C79&gt;=D79,C79&lt;=E79),"ADMIT","DENY"))</x:f>
        <x:v>DENY</x:v>
      </x:c>
    </x:row>
    <x:row r="80">
      <x:c r="A80" s="8" t="str">
        <x:v>BC-075</x:v>
      </x:c>
      <x:c r="B80" s="8" t="str">
        <x:v>heat MW</x:v>
      </x:c>
      <x:c r="C80" s="8" t="n">
        <x:v>58.5685</x:v>
      </x:c>
      <x:c r="D80" s="8" t="n">
        <x:v>0</x:v>
      </x:c>
      <x:c r="E80" s="8" t="n">
        <x:v>58.5585</x:v>
      </x:c>
      <x:c r="F80" s="8" t="str">
        <x:v>DENY</x:v>
      </x:c>
      <x:c r="G80" s="8" t="str">
        <x:f>IF(COUNT(C80)=0,"MISSING",IF(AND(C80&gt;=D80,C80&lt;=E80),"ADMIT","DENY"))</x:f>
        <x:v>DENY</x:v>
      </x:c>
    </x:row>
    <x:row r="81">
      <x:c r="A81" s="8" t="str">
        <x:v>BC-076</x:v>
      </x:c>
      <x:c r="B81" s="8" t="str">
        <x:v>heat MW</x:v>
      </x:c>
      <x:c r="C81" s="8"/>
      <x:c r="D81" s="8" t="n">
        <x:v>0</x:v>
      </x:c>
      <x:c r="E81" s="8" t="n">
        <x:v>58.5585</x:v>
      </x:c>
      <x:c r="F81" s="8" t="str">
        <x:v>MISSING</x:v>
      </x:c>
      <x:c r="G81" s="8" t="str">
        <x:f>IF(COUNT(C81)=0,"MISSING",IF(AND(C81&gt;=D81,C81&lt;=E81),"ADMIT","DENY"))</x:f>
        <x:v>MISSING</x:v>
      </x:c>
    </x:row>
    <x:row r="82">
      <x:c r="A82" s="8" t="str">
        <x:v>BC-077</x:v>
      </x:c>
      <x:c r="B82" s="8" t="str">
        <x:v>heat MW</x:v>
      </x:c>
      <x:c r="C82" s="8" t="n">
        <x:v>0</x:v>
      </x:c>
      <x:c r="D82" s="8" t="n">
        <x:v>0</x:v>
      </x:c>
      <x:c r="E82" s="8" t="n">
        <x:v>58.5585</x:v>
      </x:c>
      <x:c r="F82" s="8" t="str">
        <x:v>ADMIT</x:v>
      </x:c>
      <x:c r="G82" s="8" t="str">
        <x:f>IF(COUNT(C82)=0,"MISSING",IF(AND(C82&gt;=D82,C82&lt;=E82),"ADMIT","DENY"))</x:f>
        <x:v>ADMIT</x:v>
      </x:c>
    </x:row>
    <x:row r="83">
      <x:c r="A83" s="8" t="str">
        <x:v>BC-078</x:v>
      </x:c>
      <x:c r="B83" s="8" t="str">
        <x:v>heat MW</x:v>
      </x:c>
      <x:c r="C83" s="8" t="n">
        <x:v>0.001</x:v>
      </x:c>
      <x:c r="D83" s="8" t="n">
        <x:v>0</x:v>
      </x:c>
      <x:c r="E83" s="8" t="n">
        <x:v>58.5585</x:v>
      </x:c>
      <x:c r="F83" s="8" t="str">
        <x:v>ADMIT</x:v>
      </x:c>
      <x:c r="G83" s="8" t="str">
        <x:f>IF(COUNT(C83)=0,"MISSING",IF(AND(C83&gt;=D83,C83&lt;=E83),"ADMIT","DENY"))</x:f>
        <x:v>ADMIT</x:v>
      </x:c>
    </x:row>
    <x:row r="84">
      <x:c r="A84" s="8" t="str">
        <x:v>BC-079</x:v>
      </x:c>
      <x:c r="B84" s="8" t="str">
        <x:v>heat MW</x:v>
      </x:c>
      <x:c r="C84" s="8" t="n">
        <x:v>-0.001</x:v>
      </x:c>
      <x:c r="D84" s="8" t="n">
        <x:v>0</x:v>
      </x:c>
      <x:c r="E84" s="8" t="n">
        <x:v>58.5585</x:v>
      </x:c>
      <x:c r="F84" s="8" t="str">
        <x:v>DENY</x:v>
      </x:c>
      <x:c r="G84" s="8" t="str">
        <x:f>IF(COUNT(C84)=0,"MISSING",IF(AND(C84&gt;=D84,C84&lt;=E84),"ADMIT","DENY"))</x:f>
        <x:v>DENY</x:v>
      </x:c>
    </x:row>
    <x:row r="85">
      <x:c r="A85" s="8" t="str">
        <x:v>BC-080</x:v>
      </x:c>
      <x:c r="B85" s="8" t="str">
        <x:v>heat MW</x:v>
      </x:c>
      <x:c r="C85" s="8" t="n">
        <x:v>58.499941500000006</x:v>
      </x:c>
      <x:c r="D85" s="8" t="n">
        <x:v>0</x:v>
      </x:c>
      <x:c r="E85" s="8" t="n">
        <x:v>58.5585</x:v>
      </x:c>
      <x:c r="F85" s="8" t="str">
        <x:v>ADMIT</x:v>
      </x:c>
      <x:c r="G85" s="8" t="str">
        <x:f>IF(COUNT(C85)=0,"MISSING",IF(AND(C85&gt;=D85,C85&lt;=E85),"ADMIT","DENY"))</x:f>
        <x:v>ADMIT</x:v>
      </x:c>
    </x:row>
    <x:row r="86">
      <x:c r="A86" s="8" t="str">
        <x:v>BC-081</x:v>
      </x:c>
      <x:c r="B86" s="8" t="str">
        <x:v>attempts</x:v>
      </x:c>
      <x:c r="C86" s="8" t="n">
        <x:v>120</x:v>
      </x:c>
      <x:c r="D86" s="8" t="n">
        <x:v>120</x:v>
      </x:c>
      <x:c r="E86" s="8" t="n">
        <x:v>160</x:v>
      </x:c>
      <x:c r="F86" s="8" t="str">
        <x:v>ADMIT</x:v>
      </x:c>
      <x:c r="G86" s="8" t="str">
        <x:f>IF(COUNT(C86)=0,"MISSING",IF(AND(C86&gt;=D86,C86&lt;=E86),"ADMIT","DENY"))</x:f>
        <x:v>ADMIT</x:v>
      </x:c>
    </x:row>
    <x:row r="87">
      <x:c r="A87" s="8" t="str">
        <x:v>BC-082</x:v>
      </x:c>
      <x:c r="B87" s="8" t="str">
        <x:v>attempts</x:v>
      </x:c>
      <x:c r="C87" s="8" t="n">
        <x:v>160</x:v>
      </x:c>
      <x:c r="D87" s="8" t="n">
        <x:v>120</x:v>
      </x:c>
      <x:c r="E87" s="8" t="n">
        <x:v>160</x:v>
      </x:c>
      <x:c r="F87" s="8" t="str">
        <x:v>ADMIT</x:v>
      </x:c>
      <x:c r="G87" s="8" t="str">
        <x:f>IF(COUNT(C87)=0,"MISSING",IF(AND(C87&gt;=D87,C87&lt;=E87),"ADMIT","DENY"))</x:f>
        <x:v>ADMIT</x:v>
      </x:c>
    </x:row>
    <x:row r="88">
      <x:c r="A88" s="8" t="str">
        <x:v>BC-083</x:v>
      </x:c>
      <x:c r="B88" s="8" t="str">
        <x:v>attempts</x:v>
      </x:c>
      <x:c r="C88" s="8" t="n">
        <x:v>140</x:v>
      </x:c>
      <x:c r="D88" s="8" t="n">
        <x:v>120</x:v>
      </x:c>
      <x:c r="E88" s="8" t="n">
        <x:v>160</x:v>
      </x:c>
      <x:c r="F88" s="8" t="str">
        <x:v>ADMIT</x:v>
      </x:c>
      <x:c r="G88" s="8" t="str">
        <x:f>IF(COUNT(C88)=0,"MISSING",IF(AND(C88&gt;=D88,C88&lt;=E88),"ADMIT","DENY"))</x:f>
        <x:v>ADMIT</x:v>
      </x:c>
    </x:row>
    <x:row r="89">
      <x:c r="A89" s="8" t="str">
        <x:v>BC-084</x:v>
      </x:c>
      <x:c r="B89" s="8" t="str">
        <x:v>attempts</x:v>
      </x:c>
      <x:c r="C89" s="8" t="n">
        <x:v>119.99</x:v>
      </x:c>
      <x:c r="D89" s="8" t="n">
        <x:v>120</x:v>
      </x:c>
      <x:c r="E89" s="8" t="n">
        <x:v>160</x:v>
      </x:c>
      <x:c r="F89" s="8" t="str">
        <x:v>DENY</x:v>
      </x:c>
      <x:c r="G89" s="8" t="str">
        <x:f>IF(COUNT(C89)=0,"MISSING",IF(AND(C89&gt;=D89,C89&lt;=E89),"ADMIT","DENY"))</x:f>
        <x:v>DENY</x:v>
      </x:c>
    </x:row>
    <x:row r="90">
      <x:c r="A90" s="8" t="str">
        <x:v>BC-085</x:v>
      </x:c>
      <x:c r="B90" s="8" t="str">
        <x:v>attempts</x:v>
      </x:c>
      <x:c r="C90" s="8" t="n">
        <x:v>160.01</x:v>
      </x:c>
      <x:c r="D90" s="8" t="n">
        <x:v>120</x:v>
      </x:c>
      <x:c r="E90" s="8" t="n">
        <x:v>160</x:v>
      </x:c>
      <x:c r="F90" s="8" t="str">
        <x:v>DENY</x:v>
      </x:c>
      <x:c r="G90" s="8" t="str">
        <x:f>IF(COUNT(C90)=0,"MISSING",IF(AND(C90&gt;=D90,C90&lt;=E90),"ADMIT","DENY"))</x:f>
        <x:v>DENY</x:v>
      </x:c>
    </x:row>
    <x:row r="91">
      <x:c r="A91" s="8" t="str">
        <x:v>BC-086</x:v>
      </x:c>
      <x:c r="B91" s="8" t="str">
        <x:v>attempts</x:v>
      </x:c>
      <x:c r="C91" s="8"/>
      <x:c r="D91" s="8" t="n">
        <x:v>120</x:v>
      </x:c>
      <x:c r="E91" s="8" t="n">
        <x:v>160</x:v>
      </x:c>
      <x:c r="F91" s="8" t="str">
        <x:v>MISSING</x:v>
      </x:c>
      <x:c r="G91" s="8" t="str">
        <x:f>IF(COUNT(C91)=0,"MISSING",IF(AND(C91&gt;=D91,C91&lt;=E91),"ADMIT","DENY"))</x:f>
        <x:v>MISSING</x:v>
      </x:c>
    </x:row>
    <x:row r="92">
      <x:c r="A92" s="8" t="str">
        <x:v>BC-087</x:v>
      </x:c>
      <x:c r="B92" s="8" t="str">
        <x:v>attempts</x:v>
      </x:c>
      <x:c r="C92" s="8" t="n">
        <x:v>0</x:v>
      </x:c>
      <x:c r="D92" s="8" t="n">
        <x:v>120</x:v>
      </x:c>
      <x:c r="E92" s="8" t="n">
        <x:v>160</x:v>
      </x:c>
      <x:c r="F92" s="8" t="str">
        <x:v>DENY</x:v>
      </x:c>
      <x:c r="G92" s="8" t="str">
        <x:f>IF(COUNT(C92)=0,"MISSING",IF(AND(C92&gt;=D92,C92&lt;=E92),"ADMIT","DENY"))</x:f>
        <x:v>DENY</x:v>
      </x:c>
    </x:row>
    <x:row r="93">
      <x:c r="A93" s="8" t="str">
        <x:v>BC-088</x:v>
      </x:c>
      <x:c r="B93" s="8" t="str">
        <x:v>attempts</x:v>
      </x:c>
      <x:c r="C93" s="8" t="n">
        <x:v>120.11999999999999</x:v>
      </x:c>
      <x:c r="D93" s="8" t="n">
        <x:v>120</x:v>
      </x:c>
      <x:c r="E93" s="8" t="n">
        <x:v>160</x:v>
      </x:c>
      <x:c r="F93" s="8" t="str">
        <x:v>ADMIT</x:v>
      </x:c>
      <x:c r="G93" s="8" t="str">
        <x:f>IF(COUNT(C93)=0,"MISSING",IF(AND(C93&gt;=D93,C93&lt;=E93),"ADMIT","DENY"))</x:f>
        <x:v>ADMIT</x:v>
      </x:c>
    </x:row>
    <x:row r="94">
      <x:c r="A94" s="8" t="str">
        <x:v>BC-089</x:v>
      </x:c>
      <x:c r="B94" s="8" t="str">
        <x:v>attempts</x:v>
      </x:c>
      <x:c r="C94" s="8" t="n">
        <x:v>119.88</x:v>
      </x:c>
      <x:c r="D94" s="8" t="n">
        <x:v>120</x:v>
      </x:c>
      <x:c r="E94" s="8" t="n">
        <x:v>160</x:v>
      </x:c>
      <x:c r="F94" s="8" t="str">
        <x:v>DENY</x:v>
      </x:c>
      <x:c r="G94" s="8" t="str">
        <x:f>IF(COUNT(C94)=0,"MISSING",IF(AND(C94&gt;=D94,C94&lt;=E94),"ADMIT","DENY"))</x:f>
        <x:v>DENY</x:v>
      </x:c>
    </x:row>
    <x:row r="95">
      <x:c r="A95" s="8" t="str">
        <x:v>BC-090</x:v>
      </x:c>
      <x:c r="B95" s="8" t="str">
        <x:v>attempts</x:v>
      </x:c>
      <x:c r="C95" s="8" t="n">
        <x:v>159.84</x:v>
      </x:c>
      <x:c r="D95" s="8" t="n">
        <x:v>120</x:v>
      </x:c>
      <x:c r="E95" s="8" t="n">
        <x:v>160</x:v>
      </x:c>
      <x:c r="F95" s="8" t="str">
        <x:v>ADMIT</x:v>
      </x:c>
      <x:c r="G95" s="8" t="str">
        <x:f>IF(COUNT(C95)=0,"MISSING",IF(AND(C95&gt;=D95,C95&lt;=E95),"ADMIT","DENY"))</x:f>
        <x:v>ADMIT</x:v>
      </x:c>
    </x:row>
    <x:row r="96">
      <x:c r="A96" s="8" t="str">
        <x:v>BC-091</x:v>
      </x:c>
      <x:c r="B96" s="8" t="str">
        <x:v>stage months</x:v>
      </x:c>
      <x:c r="C96" s="8" t="n">
        <x:v>0</x:v>
      </x:c>
      <x:c r="D96" s="8" t="n">
        <x:v>0</x:v>
      </x:c>
      <x:c r="E96" s="8" t="n">
        <x:v>36</x:v>
      </x:c>
      <x:c r="F96" s="8" t="str">
        <x:v>ADMIT</x:v>
      </x:c>
      <x:c r="G96" s="8" t="str">
        <x:f>IF(COUNT(C96)=0,"MISSING",IF(AND(C96&gt;=D96,C96&lt;=E96),"ADMIT","DENY"))</x:f>
        <x:v>ADMIT</x:v>
      </x:c>
    </x:row>
    <x:row r="97">
      <x:c r="A97" s="8" t="str">
        <x:v>BC-092</x:v>
      </x:c>
      <x:c r="B97" s="8" t="str">
        <x:v>stage months</x:v>
      </x:c>
      <x:c r="C97" s="8" t="n">
        <x:v>36</x:v>
      </x:c>
      <x:c r="D97" s="8" t="n">
        <x:v>0</x:v>
      </x:c>
      <x:c r="E97" s="8" t="n">
        <x:v>36</x:v>
      </x:c>
      <x:c r="F97" s="8" t="str">
        <x:v>ADMIT</x:v>
      </x:c>
      <x:c r="G97" s="8" t="str">
        <x:f>IF(COUNT(C97)=0,"MISSING",IF(AND(C97&gt;=D97,C97&lt;=E97),"ADMIT","DENY"))</x:f>
        <x:v>ADMIT</x:v>
      </x:c>
    </x:row>
    <x:row r="98">
      <x:c r="A98" s="8" t="str">
        <x:v>BC-093</x:v>
      </x:c>
      <x:c r="B98" s="8" t="str">
        <x:v>stage months</x:v>
      </x:c>
      <x:c r="C98" s="8" t="n">
        <x:v>18</x:v>
      </x:c>
      <x:c r="D98" s="8" t="n">
        <x:v>0</x:v>
      </x:c>
      <x:c r="E98" s="8" t="n">
        <x:v>36</x:v>
      </x:c>
      <x:c r="F98" s="8" t="str">
        <x:v>ADMIT</x:v>
      </x:c>
      <x:c r="G98" s="8" t="str">
        <x:f>IF(COUNT(C98)=0,"MISSING",IF(AND(C98&gt;=D98,C98&lt;=E98),"ADMIT","DENY"))</x:f>
        <x:v>ADMIT</x:v>
      </x:c>
    </x:row>
    <x:row r="99">
      <x:c r="A99" s="8" t="str">
        <x:v>BC-094</x:v>
      </x:c>
      <x:c r="B99" s="8" t="str">
        <x:v>stage months</x:v>
      </x:c>
      <x:c r="C99" s="8" t="n">
        <x:v>-0.01</x:v>
      </x:c>
      <x:c r="D99" s="8" t="n">
        <x:v>0</x:v>
      </x:c>
      <x:c r="E99" s="8" t="n">
        <x:v>36</x:v>
      </x:c>
      <x:c r="F99" s="8" t="str">
        <x:v>DENY</x:v>
      </x:c>
      <x:c r="G99" s="8" t="str">
        <x:f>IF(COUNT(C99)=0,"MISSING",IF(AND(C99&gt;=D99,C99&lt;=E99),"ADMIT","DENY"))</x:f>
        <x:v>DENY</x:v>
      </x:c>
    </x:row>
    <x:row r="100">
      <x:c r="A100" s="8" t="str">
        <x:v>BC-095</x:v>
      </x:c>
      <x:c r="B100" s="8" t="str">
        <x:v>stage months</x:v>
      </x:c>
      <x:c r="C100" s="8" t="n">
        <x:v>36.01</x:v>
      </x:c>
      <x:c r="D100" s="8" t="n">
        <x:v>0</x:v>
      </x:c>
      <x:c r="E100" s="8" t="n">
        <x:v>36</x:v>
      </x:c>
      <x:c r="F100" s="8" t="str">
        <x:v>DENY</x:v>
      </x:c>
      <x:c r="G100" s="8" t="str">
        <x:f>IF(COUNT(C100)=0,"MISSING",IF(AND(C100&gt;=D100,C100&lt;=E100),"ADMIT","DENY"))</x:f>
        <x:v>DENY</x:v>
      </x:c>
    </x:row>
    <x:row r="101">
      <x:c r="A101" s="8" t="str">
        <x:v>BC-096</x:v>
      </x:c>
      <x:c r="B101" s="8" t="str">
        <x:v>stage months</x:v>
      </x:c>
      <x:c r="C101" s="8"/>
      <x:c r="D101" s="8" t="n">
        <x:v>0</x:v>
      </x:c>
      <x:c r="E101" s="8" t="n">
        <x:v>36</x:v>
      </x:c>
      <x:c r="F101" s="8" t="str">
        <x:v>MISSING</x:v>
      </x:c>
      <x:c r="G101" s="8" t="str">
        <x:f>IF(COUNT(C101)=0,"MISSING",IF(AND(C101&gt;=D101,C101&lt;=E101),"ADMIT","DENY"))</x:f>
        <x:v>MISSING</x:v>
      </x:c>
    </x:row>
    <x:row r="102">
      <x:c r="A102" s="8" t="str">
        <x:v>BC-097</x:v>
      </x:c>
      <x:c r="B102" s="8" t="str">
        <x:v>stage months</x:v>
      </x:c>
      <x:c r="C102" s="8" t="n">
        <x:v>0</x:v>
      </x:c>
      <x:c r="D102" s="8" t="n">
        <x:v>0</x:v>
      </x:c>
      <x:c r="E102" s="8" t="n">
        <x:v>36</x:v>
      </x:c>
      <x:c r="F102" s="8" t="str">
        <x:v>ADMIT</x:v>
      </x:c>
      <x:c r="G102" s="8" t="str">
        <x:f>IF(COUNT(C102)=0,"MISSING",IF(AND(C102&gt;=D102,C102&lt;=E102),"ADMIT","DENY"))</x:f>
        <x:v>ADMIT</x:v>
      </x:c>
    </x:row>
    <x:row r="103">
      <x:c r="A103" s="8" t="str">
        <x:v>BC-098</x:v>
      </x:c>
      <x:c r="B103" s="8" t="str">
        <x:v>stage months</x:v>
      </x:c>
      <x:c r="C103" s="8" t="n">
        <x:v>0.001</x:v>
      </x:c>
      <x:c r="D103" s="8" t="n">
        <x:v>0</x:v>
      </x:c>
      <x:c r="E103" s="8" t="n">
        <x:v>36</x:v>
      </x:c>
      <x:c r="F103" s="8" t="str">
        <x:v>ADMIT</x:v>
      </x:c>
      <x:c r="G103" s="8" t="str">
        <x:f>IF(COUNT(C103)=0,"MISSING",IF(AND(C103&gt;=D103,C103&lt;=E103),"ADMIT","DENY"))</x:f>
        <x:v>ADMIT</x:v>
      </x:c>
    </x:row>
    <x:row r="104">
      <x:c r="A104" s="8" t="str">
        <x:v>BC-099</x:v>
      </x:c>
      <x:c r="B104" s="8" t="str">
        <x:v>stage months</x:v>
      </x:c>
      <x:c r="C104" s="8" t="n">
        <x:v>-0.001</x:v>
      </x:c>
      <x:c r="D104" s="8" t="n">
        <x:v>0</x:v>
      </x:c>
      <x:c r="E104" s="8" t="n">
        <x:v>36</x:v>
      </x:c>
      <x:c r="F104" s="8" t="str">
        <x:v>DENY</x:v>
      </x:c>
      <x:c r="G104" s="8" t="str">
        <x:f>IF(COUNT(C104)=0,"MISSING",IF(AND(C104&gt;=D104,C104&lt;=E104),"ADMIT","DENY"))</x:f>
        <x:v>DENY</x:v>
      </x:c>
    </x:row>
    <x:row r="105">
      <x:c r="A105" s="8" t="str">
        <x:v>BC-100</x:v>
      </x:c>
      <x:c r="B105" s="8" t="str">
        <x:v>stage months</x:v>
      </x:c>
      <x:c r="C105" s="8" t="n">
        <x:v>35.964</x:v>
      </x:c>
      <x:c r="D105" s="8" t="n">
        <x:v>0</x:v>
      </x:c>
      <x:c r="E105" s="8" t="n">
        <x:v>36</x:v>
      </x:c>
      <x:c r="F105" s="8" t="str">
        <x:v>ADMIT</x:v>
      </x:c>
      <x:c r="G105" s="8" t="str">
        <x:f>IF(COUNT(C105)=0,"MISSING",IF(AND(C105&gt;=D105,C105&lt;=E105),"ADMIT","DENY"))</x:f>
        <x:v>ADMIT</x:v>
      </x:c>
    </x:row>
    <x:row r="106">
      <x:c r="A106" s="8" t="str">
        <x:v>BC-101</x:v>
      </x:c>
      <x:c r="B106" s="8" t="str">
        <x:v>capital USD M</x:v>
      </x:c>
      <x:c r="C106" s="8" t="n">
        <x:v>1100</x:v>
      </x:c>
      <x:c r="D106" s="8" t="n">
        <x:v>1100</x:v>
      </x:c>
      <x:c r="E106" s="8" t="n">
        <x:v>1100</x:v>
      </x:c>
      <x:c r="F106" s="8" t="str">
        <x:v>ADMIT</x:v>
      </x:c>
      <x:c r="G106" s="8" t="str">
        <x:f>IF(COUNT(C106)=0,"MISSING",IF(AND(C106&gt;=D106,C106&lt;=E106),"ADMIT","DENY"))</x:f>
        <x:v>ADMIT</x:v>
      </x:c>
    </x:row>
    <x:row r="107">
      <x:c r="A107" s="8" t="str">
        <x:v>BC-102</x:v>
      </x:c>
      <x:c r="B107" s="8" t="str">
        <x:v>capital USD M</x:v>
      </x:c>
      <x:c r="C107" s="8" t="n">
        <x:v>1100</x:v>
      </x:c>
      <x:c r="D107" s="8" t="n">
        <x:v>1100</x:v>
      </x:c>
      <x:c r="E107" s="8" t="n">
        <x:v>1100</x:v>
      </x:c>
      <x:c r="F107" s="8" t="str">
        <x:v>ADMIT</x:v>
      </x:c>
      <x:c r="G107" s="8" t="str">
        <x:f>IF(COUNT(C107)=0,"MISSING",IF(AND(C107&gt;=D107,C107&lt;=E107),"ADMIT","DENY"))</x:f>
        <x:v>ADMIT</x:v>
      </x:c>
    </x:row>
    <x:row r="108">
      <x:c r="A108" s="8" t="str">
        <x:v>BC-103</x:v>
      </x:c>
      <x:c r="B108" s="8" t="str">
        <x:v>capital USD M</x:v>
      </x:c>
      <x:c r="C108" s="8" t="n">
        <x:v>1100</x:v>
      </x:c>
      <x:c r="D108" s="8" t="n">
        <x:v>1100</x:v>
      </x:c>
      <x:c r="E108" s="8" t="n">
        <x:v>1100</x:v>
      </x:c>
      <x:c r="F108" s="8" t="str">
        <x:v>ADMIT</x:v>
      </x:c>
      <x:c r="G108" s="8" t="str">
        <x:f>IF(COUNT(C108)=0,"MISSING",IF(AND(C108&gt;=D108,C108&lt;=E108),"ADMIT","DENY"))</x:f>
        <x:v>ADMIT</x:v>
      </x:c>
    </x:row>
    <x:row r="109">
      <x:c r="A109" s="8" t="str">
        <x:v>BC-104</x:v>
      </x:c>
      <x:c r="B109" s="8" t="str">
        <x:v>capital USD M</x:v>
      </x:c>
      <x:c r="C109" s="8" t="n">
        <x:v>1099.99</x:v>
      </x:c>
      <x:c r="D109" s="8" t="n">
        <x:v>1100</x:v>
      </x:c>
      <x:c r="E109" s="8" t="n">
        <x:v>1100</x:v>
      </x:c>
      <x:c r="F109" s="8" t="str">
        <x:v>DENY</x:v>
      </x:c>
      <x:c r="G109" s="8" t="str">
        <x:f>IF(COUNT(C109)=0,"MISSING",IF(AND(C109&gt;=D109,C109&lt;=E109),"ADMIT","DENY"))</x:f>
        <x:v>DENY</x:v>
      </x:c>
    </x:row>
    <x:row r="110">
      <x:c r="A110" s="8" t="str">
        <x:v>BC-105</x:v>
      </x:c>
      <x:c r="B110" s="8" t="str">
        <x:v>capital USD M</x:v>
      </x:c>
      <x:c r="C110" s="8" t="n">
        <x:v>1100.01</x:v>
      </x:c>
      <x:c r="D110" s="8" t="n">
        <x:v>1100</x:v>
      </x:c>
      <x:c r="E110" s="8" t="n">
        <x:v>1100</x:v>
      </x:c>
      <x:c r="F110" s="8" t="str">
        <x:v>DENY</x:v>
      </x:c>
      <x:c r="G110" s="8" t="str">
        <x:f>IF(COUNT(C110)=0,"MISSING",IF(AND(C110&gt;=D110,C110&lt;=E110),"ADMIT","DENY"))</x:f>
        <x:v>DENY</x:v>
      </x:c>
    </x:row>
    <x:row r="111">
      <x:c r="A111" s="8" t="str">
        <x:v>BC-106</x:v>
      </x:c>
      <x:c r="B111" s="8" t="str">
        <x:v>capital USD M</x:v>
      </x:c>
      <x:c r="C111" s="8"/>
      <x:c r="D111" s="8" t="n">
        <x:v>1100</x:v>
      </x:c>
      <x:c r="E111" s="8" t="n">
        <x:v>1100</x:v>
      </x:c>
      <x:c r="F111" s="8" t="str">
        <x:v>MISSING</x:v>
      </x:c>
      <x:c r="G111" s="8" t="str">
        <x:f>IF(COUNT(C111)=0,"MISSING",IF(AND(C111&gt;=D111,C111&lt;=E111),"ADMIT","DENY"))</x:f>
        <x:v>MISSING</x:v>
      </x:c>
    </x:row>
    <x:row r="112">
      <x:c r="A112" s="8" t="str">
        <x:v>BC-107</x:v>
      </x:c>
      <x:c r="B112" s="8" t="str">
        <x:v>capital USD M</x:v>
      </x:c>
      <x:c r="C112" s="8" t="n">
        <x:v>0</x:v>
      </x:c>
      <x:c r="D112" s="8" t="n">
        <x:v>1100</x:v>
      </x:c>
      <x:c r="E112" s="8" t="n">
        <x:v>1100</x:v>
      </x:c>
      <x:c r="F112" s="8" t="str">
        <x:v>DENY</x:v>
      </x:c>
      <x:c r="G112" s="8" t="str">
        <x:f>IF(COUNT(C112)=0,"MISSING",IF(AND(C112&gt;=D112,C112&lt;=E112),"ADMIT","DENY"))</x:f>
        <x:v>DENY</x:v>
      </x:c>
    </x:row>
    <x:row r="113">
      <x:c r="A113" s="8" t="str">
        <x:v>BC-108</x:v>
      </x:c>
      <x:c r="B113" s="8" t="str">
        <x:v>capital USD M</x:v>
      </x:c>
      <x:c r="C113" s="8" t="n">
        <x:v>1101.1</x:v>
      </x:c>
      <x:c r="D113" s="8" t="n">
        <x:v>1100</x:v>
      </x:c>
      <x:c r="E113" s="8" t="n">
        <x:v>1100</x:v>
      </x:c>
      <x:c r="F113" s="8" t="str">
        <x:v>DENY</x:v>
      </x:c>
      <x:c r="G113" s="8" t="str">
        <x:f>IF(COUNT(C113)=0,"MISSING",IF(AND(C113&gt;=D113,C113&lt;=E113),"ADMIT","DENY"))</x:f>
        <x:v>DENY</x:v>
      </x:c>
    </x:row>
    <x:row r="114">
      <x:c r="A114" s="8" t="str">
        <x:v>BC-109</x:v>
      </x:c>
      <x:c r="B114" s="8" t="str">
        <x:v>capital USD M</x:v>
      </x:c>
      <x:c r="C114" s="8" t="n">
        <x:v>1098.9</x:v>
      </x:c>
      <x:c r="D114" s="8" t="n">
        <x:v>1100</x:v>
      </x:c>
      <x:c r="E114" s="8" t="n">
        <x:v>1100</x:v>
      </x:c>
      <x:c r="F114" s="8" t="str">
        <x:v>DENY</x:v>
      </x:c>
      <x:c r="G114" s="8" t="str">
        <x:f>IF(COUNT(C114)=0,"MISSING",IF(AND(C114&gt;=D114,C114&lt;=E114),"ADMIT","DENY"))</x:f>
        <x:v>DENY</x:v>
      </x:c>
    </x:row>
    <x:row r="115">
      <x:c r="A115" s="8" t="str">
        <x:v>BC-110</x:v>
      </x:c>
      <x:c r="B115" s="8" t="str">
        <x:v>capital USD M</x:v>
      </x:c>
      <x:c r="C115" s="8" t="n">
        <x:v>1098.9</x:v>
      </x:c>
      <x:c r="D115" s="8" t="n">
        <x:v>1100</x:v>
      </x:c>
      <x:c r="E115" s="8" t="n">
        <x:v>1100</x:v>
      </x:c>
      <x:c r="F115" s="8" t="str">
        <x:v>DENY</x:v>
      </x:c>
      <x:c r="G115" s="8" t="str">
        <x:f>IF(COUNT(C115)=0,"MISSING",IF(AND(C115&gt;=D115,C115&lt;=E115),"ADMIT","DENY"))</x:f>
        <x:v>DENY</x:v>
      </x:c>
    </x:row>
    <x:row r="116">
      <x:c r="A116" s="8" t="str">
        <x:v>BC-111</x:v>
      </x:c>
      <x:c r="B116" s="8" t="str">
        <x:v>positions</x:v>
      </x:c>
      <x:c r="C116" s="8" t="n">
        <x:v>720</x:v>
      </x:c>
      <x:c r="D116" s="8" t="n">
        <x:v>720</x:v>
      </x:c>
      <x:c r="E116" s="8" t="n">
        <x:v>720</x:v>
      </x:c>
      <x:c r="F116" s="8" t="str">
        <x:v>ADMIT</x:v>
      </x:c>
      <x:c r="G116" s="8" t="str">
        <x:f>IF(COUNT(C116)=0,"MISSING",IF(AND(C116&gt;=D116,C116&lt;=E116),"ADMIT","DENY"))</x:f>
        <x:v>ADMIT</x:v>
      </x:c>
    </x:row>
    <x:row r="117">
      <x:c r="A117" s="8" t="str">
        <x:v>BC-112</x:v>
      </x:c>
      <x:c r="B117" s="8" t="str">
        <x:v>positions</x:v>
      </x:c>
      <x:c r="C117" s="8" t="n">
        <x:v>720</x:v>
      </x:c>
      <x:c r="D117" s="8" t="n">
        <x:v>720</x:v>
      </x:c>
      <x:c r="E117" s="8" t="n">
        <x:v>720</x:v>
      </x:c>
      <x:c r="F117" s="8" t="str">
        <x:v>ADMIT</x:v>
      </x:c>
      <x:c r="G117" s="8" t="str">
        <x:f>IF(COUNT(C117)=0,"MISSING",IF(AND(C117&gt;=D117,C117&lt;=E117),"ADMIT","DENY"))</x:f>
        <x:v>ADMIT</x:v>
      </x:c>
    </x:row>
    <x:row r="118">
      <x:c r="A118" s="8" t="str">
        <x:v>BC-113</x:v>
      </x:c>
      <x:c r="B118" s="8" t="str">
        <x:v>positions</x:v>
      </x:c>
      <x:c r="C118" s="8" t="n">
        <x:v>720</x:v>
      </x:c>
      <x:c r="D118" s="8" t="n">
        <x:v>720</x:v>
      </x:c>
      <x:c r="E118" s="8" t="n">
        <x:v>720</x:v>
      </x:c>
      <x:c r="F118" s="8" t="str">
        <x:v>ADMIT</x:v>
      </x:c>
      <x:c r="G118" s="8" t="str">
        <x:f>IF(COUNT(C118)=0,"MISSING",IF(AND(C118&gt;=D118,C118&lt;=E118),"ADMIT","DENY"))</x:f>
        <x:v>ADMIT</x:v>
      </x:c>
    </x:row>
    <x:row r="119">
      <x:c r="A119" s="8" t="str">
        <x:v>BC-114</x:v>
      </x:c>
      <x:c r="B119" s="8" t="str">
        <x:v>positions</x:v>
      </x:c>
      <x:c r="C119" s="8" t="n">
        <x:v>719.99</x:v>
      </x:c>
      <x:c r="D119" s="8" t="n">
        <x:v>720</x:v>
      </x:c>
      <x:c r="E119" s="8" t="n">
        <x:v>720</x:v>
      </x:c>
      <x:c r="F119" s="8" t="str">
        <x:v>DENY</x:v>
      </x:c>
      <x:c r="G119" s="8" t="str">
        <x:f>IF(COUNT(C119)=0,"MISSING",IF(AND(C119&gt;=D119,C119&lt;=E119),"ADMIT","DENY"))</x:f>
        <x:v>DENY</x:v>
      </x:c>
    </x:row>
    <x:row r="120">
      <x:c r="A120" s="8" t="str">
        <x:v>BC-115</x:v>
      </x:c>
      <x:c r="B120" s="8" t="str">
        <x:v>positions</x:v>
      </x:c>
      <x:c r="C120" s="8" t="n">
        <x:v>720.01</x:v>
      </x:c>
      <x:c r="D120" s="8" t="n">
        <x:v>720</x:v>
      </x:c>
      <x:c r="E120" s="8" t="n">
        <x:v>720</x:v>
      </x:c>
      <x:c r="F120" s="8" t="str">
        <x:v>DENY</x:v>
      </x:c>
      <x:c r="G120" s="8" t="str">
        <x:f>IF(COUNT(C120)=0,"MISSING",IF(AND(C120&gt;=D120,C120&lt;=E120),"ADMIT","DENY"))</x:f>
        <x:v>DENY</x:v>
      </x:c>
    </x:row>
    <x:row r="121">
      <x:c r="A121" s="8" t="str">
        <x:v>BC-116</x:v>
      </x:c>
      <x:c r="B121" s="8" t="str">
        <x:v>positions</x:v>
      </x:c>
      <x:c r="C121" s="8"/>
      <x:c r="D121" s="8" t="n">
        <x:v>720</x:v>
      </x:c>
      <x:c r="E121" s="8" t="n">
        <x:v>720</x:v>
      </x:c>
      <x:c r="F121" s="8" t="str">
        <x:v>MISSING</x:v>
      </x:c>
      <x:c r="G121" s="8" t="str">
        <x:f>IF(COUNT(C121)=0,"MISSING",IF(AND(C121&gt;=D121,C121&lt;=E121),"ADMIT","DENY"))</x:f>
        <x:v>MISSING</x:v>
      </x:c>
    </x:row>
    <x:row r="122">
      <x:c r="A122" s="8" t="str">
        <x:v>BC-117</x:v>
      </x:c>
      <x:c r="B122" s="8" t="str">
        <x:v>positions</x:v>
      </x:c>
      <x:c r="C122" s="8" t="n">
        <x:v>0</x:v>
      </x:c>
      <x:c r="D122" s="8" t="n">
        <x:v>720</x:v>
      </x:c>
      <x:c r="E122" s="8" t="n">
        <x:v>720</x:v>
      </x:c>
      <x:c r="F122" s="8" t="str">
        <x:v>DENY</x:v>
      </x:c>
      <x:c r="G122" s="8" t="str">
        <x:f>IF(COUNT(C122)=0,"MISSING",IF(AND(C122&gt;=D122,C122&lt;=E122),"ADMIT","DENY"))</x:f>
        <x:v>DENY</x:v>
      </x:c>
    </x:row>
    <x:row r="123">
      <x:c r="A123" s="8" t="str">
        <x:v>BC-118</x:v>
      </x:c>
      <x:c r="B123" s="8" t="str">
        <x:v>positions</x:v>
      </x:c>
      <x:c r="C123" s="8" t="n">
        <x:v>720.7199999999999</x:v>
      </x:c>
      <x:c r="D123" s="8" t="n">
        <x:v>720</x:v>
      </x:c>
      <x:c r="E123" s="8" t="n">
        <x:v>720</x:v>
      </x:c>
      <x:c r="F123" s="8" t="str">
        <x:v>DENY</x:v>
      </x:c>
      <x:c r="G123" s="8" t="str">
        <x:f>IF(COUNT(C123)=0,"MISSING",IF(AND(C123&gt;=D123,C123&lt;=E123),"ADMIT","DENY"))</x:f>
        <x:v>DENY</x:v>
      </x:c>
    </x:row>
    <x:row r="124">
      <x:c r="A124" s="8" t="str">
        <x:v>BC-119</x:v>
      </x:c>
      <x:c r="B124" s="8" t="str">
        <x:v>positions</x:v>
      </x:c>
      <x:c r="C124" s="8" t="n">
        <x:v>719.28</x:v>
      </x:c>
      <x:c r="D124" s="8" t="n">
        <x:v>720</x:v>
      </x:c>
      <x:c r="E124" s="8" t="n">
        <x:v>720</x:v>
      </x:c>
      <x:c r="F124" s="8" t="str">
        <x:v>DENY</x:v>
      </x:c>
      <x:c r="G124" s="8" t="str">
        <x:f>IF(COUNT(C124)=0,"MISSING",IF(AND(C124&gt;=D124,C124&lt;=E124),"ADMIT","DENY"))</x:f>
        <x:v>DENY</x:v>
      </x:c>
    </x:row>
    <x:row r="125">
      <x:c r="A125" s="8" t="str">
        <x:v>BC-120</x:v>
      </x:c>
      <x:c r="B125" s="8" t="str">
        <x:v>positions</x:v>
      </x:c>
      <x:c r="C125" s="8" t="n">
        <x:v>719.28</x:v>
      </x:c>
      <x:c r="D125" s="8" t="n">
        <x:v>720</x:v>
      </x:c>
      <x:c r="E125" s="8" t="n">
        <x:v>720</x:v>
      </x:c>
      <x:c r="F125" s="8" t="str">
        <x:v>DENY</x:v>
      </x:c>
      <x:c r="G125" s="8" t="str">
        <x:f>IF(COUNT(C125)=0,"MISSING",IF(AND(C125&gt;=D125,C125&lt;=E125),"ADMIT","DENY"))</x:f>
        <x:v>DENY</x:v>
      </x:c>
    </x:row>
  </x:sheetData>
  <x:mergeCells>
    <x:mergeCell ref="A2:G2"/>
  </x:mergeCells>
  <x:pageMargins left="0.7" right="0.7" top="0.75" bottom="0.75" header="0.3" footer="0.3"/>
  <x:tableParts count="1">
    <x:tablePart xmlns:r="http://schemas.openxmlformats.org/officeDocument/2006/relationships" r:id="R7513e2a3536f436d"/>
  </x:tableParts>
</x:worksheet>
</file>

<file path=xl/worksheets/sheet15.xml><?xml version="1.0" encoding="utf-8"?>
<x:worksheet xmlns:x="http://schemas.openxmlformats.org/spreadsheetml/2006/main">
  <x:sheetPr>
    <x:tabColor rgb="FFDCEAF7"/>
  </x:sheetPr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30" hidden="0" customWidth="1"/>
    <x:col min="4" max="4" width="18" hidden="0" customWidth="1"/>
    <x:col min="5" max="5" width="18" hidden="0" customWidth="1"/>
    <x:col min="6" max="6" width="14" hidden="0" customWidth="1"/>
  </x:cols>
  <x:sheetData>
    <x:row r="2" ht="26" customHeight="1">
      <x:c r="A2" s="13" t="str">
        <x:v>One hundred eighty planning audits</x:v>
      </x:c>
      <x:c r="B2" s="13" t="str">
        <x:v>One hundred eighty planning audits</x:v>
      </x:c>
      <x:c r="C2" s="13" t="str">
        <x:v>One hundred eighty planning audits</x:v>
      </x:c>
      <x:c r="D2" s="13" t="str">
        <x:v>One hundred eighty planning audits</x:v>
      </x:c>
      <x:c r="E2" s="13" t="str">
        <x:v>One hundred eighty planning audits</x:v>
      </x:c>
      <x:c r="F2" s="13" t="str">
        <x:v>One hundred eighty planning audits</x:v>
      </x:c>
    </x:row>
    <x:row r="3">
      <x:c r="A3" s="14"/>
      <x:c r="B3" s="14"/>
      <x:c r="C3" s="14"/>
      <x:c r="D3" s="14"/>
      <x:c r="E3" s="14"/>
      <x:c r="F3" s="14"/>
    </x:row>
    <x:row r="4">
      <x:c r="A4" s="14"/>
      <x:c r="B4" s="14"/>
      <x:c r="C4" s="14"/>
      <x:c r="D4" s="14"/>
      <x:c r="E4" s="14"/>
      <x:c r="F4" s="14"/>
    </x:row>
    <x:row r="5">
      <x:c r="A5" s="6" t="str">
        <x:v>Audit</x:v>
      </x:c>
      <x:c r="B5" s="6" t="str">
        <x:v>Family</x:v>
      </x:c>
      <x:c r="C5" s="6" t="str">
        <x:v>Assertion</x:v>
      </x:c>
      <x:c r="D5" s="6" t="str">
        <x:v>Expected</x:v>
      </x:c>
      <x:c r="E5" s="6" t="str">
        <x:v>Observed</x:v>
      </x:c>
      <x:c r="F5" s="6" t="str">
        <x:v>State</x:v>
      </x:c>
    </x:row>
    <x:row r="6">
      <x:c r="A6" s="8" t="str">
        <x:v>AU-001</x:v>
      </x:c>
      <x:c r="B6" s="8" t="str">
        <x:v>case</x:v>
      </x:c>
      <x:c r="C6" s="8" t="str">
        <x:v>Case row 6</x:v>
      </x:c>
      <x:c r="D6" s="8" t="str">
        <x:v>PASS</x:v>
      </x:c>
      <x:c r="E6" s="8" t="str">
        <x:f>IF('Cases'!F6='Cases'!G6,"PASS","FAIL")</x:f>
        <x:v>PASS</x:v>
      </x:c>
      <x:c r="F6" s="8" t="str">
        <x:f>IF(D6=E6,"PASS","FAIL")</x:f>
        <x:v>PASS</x:v>
      </x:c>
    </x:row>
    <x:row r="7">
      <x:c r="A7" s="8" t="str">
        <x:v>AU-002</x:v>
      </x:c>
      <x:c r="B7" s="8" t="str">
        <x:v>case</x:v>
      </x:c>
      <x:c r="C7" s="8" t="str">
        <x:v>Case row 7</x:v>
      </x:c>
      <x:c r="D7" s="8" t="str">
        <x:v>PASS</x:v>
      </x:c>
      <x:c r="E7" s="8" t="str">
        <x:f>IF('Cases'!F7='Cases'!G7,"PASS","FAIL")</x:f>
        <x:v>PASS</x:v>
      </x:c>
      <x:c r="F7" s="8" t="str">
        <x:f>IF(D7=E7,"PASS","FAIL")</x:f>
        <x:v>PASS</x:v>
      </x:c>
    </x:row>
    <x:row r="8">
      <x:c r="A8" s="8" t="str">
        <x:v>AU-003</x:v>
      </x:c>
      <x:c r="B8" s="8" t="str">
        <x:v>case</x:v>
      </x:c>
      <x:c r="C8" s="8" t="str">
        <x:v>Case row 8</x:v>
      </x:c>
      <x:c r="D8" s="8" t="str">
        <x:v>PASS</x:v>
      </x:c>
      <x:c r="E8" s="8" t="str">
        <x:f>IF('Cases'!F8='Cases'!G8,"PASS","FAIL")</x:f>
        <x:v>PASS</x:v>
      </x:c>
      <x:c r="F8" s="8" t="str">
        <x:f>IF(D8=E8,"PASS","FAIL")</x:f>
        <x:v>PASS</x:v>
      </x:c>
    </x:row>
    <x:row r="9">
      <x:c r="A9" s="8" t="str">
        <x:v>AU-004</x:v>
      </x:c>
      <x:c r="B9" s="8" t="str">
        <x:v>case</x:v>
      </x:c>
      <x:c r="C9" s="8" t="str">
        <x:v>Case row 9</x:v>
      </x:c>
      <x:c r="D9" s="8" t="str">
        <x:v>PASS</x:v>
      </x:c>
      <x:c r="E9" s="8" t="str">
        <x:f>IF('Cases'!F9='Cases'!G9,"PASS","FAIL")</x:f>
        <x:v>PASS</x:v>
      </x:c>
      <x:c r="F9" s="8" t="str">
        <x:f>IF(D9=E9,"PASS","FAIL")</x:f>
        <x:v>PASS</x:v>
      </x:c>
    </x:row>
    <x:row r="10">
      <x:c r="A10" s="8" t="str">
        <x:v>AU-005</x:v>
      </x:c>
      <x:c r="B10" s="8" t="str">
        <x:v>case</x:v>
      </x:c>
      <x:c r="C10" s="8" t="str">
        <x:v>Case row 10</x:v>
      </x:c>
      <x:c r="D10" s="8" t="str">
        <x:v>PASS</x:v>
      </x:c>
      <x:c r="E10" s="8" t="str">
        <x:f>IF('Cases'!F10='Cases'!G10,"PASS","FAIL")</x:f>
        <x:v>PASS</x:v>
      </x:c>
      <x:c r="F10" s="8" t="str">
        <x:f>IF(D10=E10,"PASS","FAIL")</x:f>
        <x:v>PASS</x:v>
      </x:c>
    </x:row>
    <x:row r="11">
      <x:c r="A11" s="8" t="str">
        <x:v>AU-006</x:v>
      </x:c>
      <x:c r="B11" s="8" t="str">
        <x:v>case</x:v>
      </x:c>
      <x:c r="C11" s="8" t="str">
        <x:v>Case row 11</x:v>
      </x:c>
      <x:c r="D11" s="8" t="str">
        <x:v>PASS</x:v>
      </x:c>
      <x:c r="E11" s="8" t="str">
        <x:f>IF('Cases'!F11='Cases'!G11,"PASS","FAIL")</x:f>
        <x:v>PASS</x:v>
      </x:c>
      <x:c r="F11" s="8" t="str">
        <x:f>IF(D11=E11,"PASS","FAIL")</x:f>
        <x:v>PASS</x:v>
      </x:c>
    </x:row>
    <x:row r="12">
      <x:c r="A12" s="8" t="str">
        <x:v>AU-007</x:v>
      </x:c>
      <x:c r="B12" s="8" t="str">
        <x:v>case</x:v>
      </x:c>
      <x:c r="C12" s="8" t="str">
        <x:v>Case row 12</x:v>
      </x:c>
      <x:c r="D12" s="8" t="str">
        <x:v>PASS</x:v>
      </x:c>
      <x:c r="E12" s="8" t="str">
        <x:f>IF('Cases'!F12='Cases'!G12,"PASS","FAIL")</x:f>
        <x:v>PASS</x:v>
      </x:c>
      <x:c r="F12" s="8" t="str">
        <x:f>IF(D12=E12,"PASS","FAIL")</x:f>
        <x:v>PASS</x:v>
      </x:c>
    </x:row>
    <x:row r="13">
      <x:c r="A13" s="8" t="str">
        <x:v>AU-008</x:v>
      </x:c>
      <x:c r="B13" s="8" t="str">
        <x:v>case</x:v>
      </x:c>
      <x:c r="C13" s="8" t="str">
        <x:v>Case row 13</x:v>
      </x:c>
      <x:c r="D13" s="8" t="str">
        <x:v>PASS</x:v>
      </x:c>
      <x:c r="E13" s="8" t="str">
        <x:f>IF('Cases'!F13='Cases'!G13,"PASS","FAIL")</x:f>
        <x:v>PASS</x:v>
      </x:c>
      <x:c r="F13" s="8" t="str">
        <x:f>IF(D13=E13,"PASS","FAIL")</x:f>
        <x:v>PASS</x:v>
      </x:c>
    </x:row>
    <x:row r="14">
      <x:c r="A14" s="8" t="str">
        <x:v>AU-009</x:v>
      </x:c>
      <x:c r="B14" s="8" t="str">
        <x:v>case</x:v>
      </x:c>
      <x:c r="C14" s="8" t="str">
        <x:v>Case row 14</x:v>
      </x:c>
      <x:c r="D14" s="8" t="str">
        <x:v>PASS</x:v>
      </x:c>
      <x:c r="E14" s="8" t="str">
        <x:f>IF('Cases'!F14='Cases'!G14,"PASS","FAIL")</x:f>
        <x:v>PASS</x:v>
      </x:c>
      <x:c r="F14" s="8" t="str">
        <x:f>IF(D14=E14,"PASS","FAIL")</x:f>
        <x:v>PASS</x:v>
      </x:c>
    </x:row>
    <x:row r="15">
      <x:c r="A15" s="8" t="str">
        <x:v>AU-010</x:v>
      </x:c>
      <x:c r="B15" s="8" t="str">
        <x:v>case</x:v>
      </x:c>
      <x:c r="C15" s="8" t="str">
        <x:v>Case row 15</x:v>
      </x:c>
      <x:c r="D15" s="8" t="str">
        <x:v>PASS</x:v>
      </x:c>
      <x:c r="E15" s="8" t="str">
        <x:f>IF('Cases'!F15='Cases'!G15,"PASS","FAIL")</x:f>
        <x:v>PASS</x:v>
      </x:c>
      <x:c r="F15" s="8" t="str">
        <x:f>IF(D15=E15,"PASS","FAIL")</x:f>
        <x:v>PASS</x:v>
      </x:c>
    </x:row>
    <x:row r="16">
      <x:c r="A16" s="8" t="str">
        <x:v>AU-011</x:v>
      </x:c>
      <x:c r="B16" s="8" t="str">
        <x:v>case</x:v>
      </x:c>
      <x:c r="C16" s="8" t="str">
        <x:v>Case row 16</x:v>
      </x:c>
      <x:c r="D16" s="8" t="str">
        <x:v>PASS</x:v>
      </x:c>
      <x:c r="E16" s="8" t="str">
        <x:f>IF('Cases'!F16='Cases'!G16,"PASS","FAIL")</x:f>
        <x:v>PASS</x:v>
      </x:c>
      <x:c r="F16" s="8" t="str">
        <x:f>IF(D16=E16,"PASS","FAIL")</x:f>
        <x:v>PASS</x:v>
      </x:c>
    </x:row>
    <x:row r="17">
      <x:c r="A17" s="8" t="str">
        <x:v>AU-012</x:v>
      </x:c>
      <x:c r="B17" s="8" t="str">
        <x:v>case</x:v>
      </x:c>
      <x:c r="C17" s="8" t="str">
        <x:v>Case row 17</x:v>
      </x:c>
      <x:c r="D17" s="8" t="str">
        <x:v>PASS</x:v>
      </x:c>
      <x:c r="E17" s="8" t="str">
        <x:f>IF('Cases'!F17='Cases'!G17,"PASS","FAIL")</x:f>
        <x:v>PASS</x:v>
      </x:c>
      <x:c r="F17" s="8" t="str">
        <x:f>IF(D17=E17,"PASS","FAIL")</x:f>
        <x:v>PASS</x:v>
      </x:c>
    </x:row>
    <x:row r="18">
      <x:c r="A18" s="8" t="str">
        <x:v>AU-013</x:v>
      </x:c>
      <x:c r="B18" s="8" t="str">
        <x:v>case</x:v>
      </x:c>
      <x:c r="C18" s="8" t="str">
        <x:v>Case row 18</x:v>
      </x:c>
      <x:c r="D18" s="8" t="str">
        <x:v>PASS</x:v>
      </x:c>
      <x:c r="E18" s="8" t="str">
        <x:f>IF('Cases'!F18='Cases'!G18,"PASS","FAIL")</x:f>
        <x:v>PASS</x:v>
      </x:c>
      <x:c r="F18" s="8" t="str">
        <x:f>IF(D18=E18,"PASS","FAIL")</x:f>
        <x:v>PASS</x:v>
      </x:c>
    </x:row>
    <x:row r="19">
      <x:c r="A19" s="8" t="str">
        <x:v>AU-014</x:v>
      </x:c>
      <x:c r="B19" s="8" t="str">
        <x:v>case</x:v>
      </x:c>
      <x:c r="C19" s="8" t="str">
        <x:v>Case row 19</x:v>
      </x:c>
      <x:c r="D19" s="8" t="str">
        <x:v>PASS</x:v>
      </x:c>
      <x:c r="E19" s="8" t="str">
        <x:f>IF('Cases'!F19='Cases'!G19,"PASS","FAIL")</x:f>
        <x:v>PASS</x:v>
      </x:c>
      <x:c r="F19" s="8" t="str">
        <x:f>IF(D19=E19,"PASS","FAIL")</x:f>
        <x:v>PASS</x:v>
      </x:c>
    </x:row>
    <x:row r="20">
      <x:c r="A20" s="8" t="str">
        <x:v>AU-015</x:v>
      </x:c>
      <x:c r="B20" s="8" t="str">
        <x:v>case</x:v>
      </x:c>
      <x:c r="C20" s="8" t="str">
        <x:v>Case row 20</x:v>
      </x:c>
      <x:c r="D20" s="8" t="str">
        <x:v>PASS</x:v>
      </x:c>
      <x:c r="E20" s="8" t="str">
        <x:f>IF('Cases'!F20='Cases'!G20,"PASS","FAIL")</x:f>
        <x:v>PASS</x:v>
      </x:c>
      <x:c r="F20" s="8" t="str">
        <x:f>IF(D20=E20,"PASS","FAIL")</x:f>
        <x:v>PASS</x:v>
      </x:c>
    </x:row>
    <x:row r="21">
      <x:c r="A21" s="8" t="str">
        <x:v>AU-016</x:v>
      </x:c>
      <x:c r="B21" s="8" t="str">
        <x:v>case</x:v>
      </x:c>
      <x:c r="C21" s="8" t="str">
        <x:v>Case row 21</x:v>
      </x:c>
      <x:c r="D21" s="8" t="str">
        <x:v>PASS</x:v>
      </x:c>
      <x:c r="E21" s="8" t="str">
        <x:f>IF('Cases'!F21='Cases'!G21,"PASS","FAIL")</x:f>
        <x:v>PASS</x:v>
      </x:c>
      <x:c r="F21" s="8" t="str">
        <x:f>IF(D21=E21,"PASS","FAIL")</x:f>
        <x:v>PASS</x:v>
      </x:c>
    </x:row>
    <x:row r="22">
      <x:c r="A22" s="8" t="str">
        <x:v>AU-017</x:v>
      </x:c>
      <x:c r="B22" s="8" t="str">
        <x:v>case</x:v>
      </x:c>
      <x:c r="C22" s="8" t="str">
        <x:v>Case row 22</x:v>
      </x:c>
      <x:c r="D22" s="8" t="str">
        <x:v>PASS</x:v>
      </x:c>
      <x:c r="E22" s="8" t="str">
        <x:f>IF('Cases'!F22='Cases'!G22,"PASS","FAIL")</x:f>
        <x:v>PASS</x:v>
      </x:c>
      <x:c r="F22" s="8" t="str">
        <x:f>IF(D22=E22,"PASS","FAIL")</x:f>
        <x:v>PASS</x:v>
      </x:c>
    </x:row>
    <x:row r="23">
      <x:c r="A23" s="8" t="str">
        <x:v>AU-018</x:v>
      </x:c>
      <x:c r="B23" s="8" t="str">
        <x:v>case</x:v>
      </x:c>
      <x:c r="C23" s="8" t="str">
        <x:v>Case row 23</x:v>
      </x:c>
      <x:c r="D23" s="8" t="str">
        <x:v>PASS</x:v>
      </x:c>
      <x:c r="E23" s="8" t="str">
        <x:f>IF('Cases'!F23='Cases'!G23,"PASS","FAIL")</x:f>
        <x:v>PASS</x:v>
      </x:c>
      <x:c r="F23" s="8" t="str">
        <x:f>IF(D23=E23,"PASS","FAIL")</x:f>
        <x:v>PASS</x:v>
      </x:c>
    </x:row>
    <x:row r="24">
      <x:c r="A24" s="8" t="str">
        <x:v>AU-019</x:v>
      </x:c>
      <x:c r="B24" s="8" t="str">
        <x:v>case</x:v>
      </x:c>
      <x:c r="C24" s="8" t="str">
        <x:v>Case row 24</x:v>
      </x:c>
      <x:c r="D24" s="8" t="str">
        <x:v>PASS</x:v>
      </x:c>
      <x:c r="E24" s="8" t="str">
        <x:f>IF('Cases'!F24='Cases'!G24,"PASS","FAIL")</x:f>
        <x:v>PASS</x:v>
      </x:c>
      <x:c r="F24" s="8" t="str">
        <x:f>IF(D24=E24,"PASS","FAIL")</x:f>
        <x:v>PASS</x:v>
      </x:c>
    </x:row>
    <x:row r="25">
      <x:c r="A25" s="8" t="str">
        <x:v>AU-020</x:v>
      </x:c>
      <x:c r="B25" s="8" t="str">
        <x:v>case</x:v>
      </x:c>
      <x:c r="C25" s="8" t="str">
        <x:v>Case row 25</x:v>
      </x:c>
      <x:c r="D25" s="8" t="str">
        <x:v>PASS</x:v>
      </x:c>
      <x:c r="E25" s="8" t="str">
        <x:f>IF('Cases'!F25='Cases'!G25,"PASS","FAIL")</x:f>
        <x:v>PASS</x:v>
      </x:c>
      <x:c r="F25" s="8" t="str">
        <x:f>IF(D25=E25,"PASS","FAIL")</x:f>
        <x:v>PASS</x:v>
      </x:c>
    </x:row>
    <x:row r="26">
      <x:c r="A26" s="8" t="str">
        <x:v>AU-021</x:v>
      </x:c>
      <x:c r="B26" s="8" t="str">
        <x:v>case</x:v>
      </x:c>
      <x:c r="C26" s="8" t="str">
        <x:v>Case row 26</x:v>
      </x:c>
      <x:c r="D26" s="8" t="str">
        <x:v>PASS</x:v>
      </x:c>
      <x:c r="E26" s="8" t="str">
        <x:f>IF('Cases'!F26='Cases'!G26,"PASS","FAIL")</x:f>
        <x:v>PASS</x:v>
      </x:c>
      <x:c r="F26" s="8" t="str">
        <x:f>IF(D26=E26,"PASS","FAIL")</x:f>
        <x:v>PASS</x:v>
      </x:c>
    </x:row>
    <x:row r="27">
      <x:c r="A27" s="8" t="str">
        <x:v>AU-022</x:v>
      </x:c>
      <x:c r="B27" s="8" t="str">
        <x:v>case</x:v>
      </x:c>
      <x:c r="C27" s="8" t="str">
        <x:v>Case row 27</x:v>
      </x:c>
      <x:c r="D27" s="8" t="str">
        <x:v>PASS</x:v>
      </x:c>
      <x:c r="E27" s="8" t="str">
        <x:f>IF('Cases'!F27='Cases'!G27,"PASS","FAIL")</x:f>
        <x:v>PASS</x:v>
      </x:c>
      <x:c r="F27" s="8" t="str">
        <x:f>IF(D27=E27,"PASS","FAIL")</x:f>
        <x:v>PASS</x:v>
      </x:c>
    </x:row>
    <x:row r="28">
      <x:c r="A28" s="8" t="str">
        <x:v>AU-023</x:v>
      </x:c>
      <x:c r="B28" s="8" t="str">
        <x:v>case</x:v>
      </x:c>
      <x:c r="C28" s="8" t="str">
        <x:v>Case row 28</x:v>
      </x:c>
      <x:c r="D28" s="8" t="str">
        <x:v>PASS</x:v>
      </x:c>
      <x:c r="E28" s="8" t="str">
        <x:f>IF('Cases'!F28='Cases'!G28,"PASS","FAIL")</x:f>
        <x:v>PASS</x:v>
      </x:c>
      <x:c r="F28" s="8" t="str">
        <x:f>IF(D28=E28,"PASS","FAIL")</x:f>
        <x:v>PASS</x:v>
      </x:c>
    </x:row>
    <x:row r="29">
      <x:c r="A29" s="8" t="str">
        <x:v>AU-024</x:v>
      </x:c>
      <x:c r="B29" s="8" t="str">
        <x:v>case</x:v>
      </x:c>
      <x:c r="C29" s="8" t="str">
        <x:v>Case row 29</x:v>
      </x:c>
      <x:c r="D29" s="8" t="str">
        <x:v>PASS</x:v>
      </x:c>
      <x:c r="E29" s="8" t="str">
        <x:f>IF('Cases'!F29='Cases'!G29,"PASS","FAIL")</x:f>
        <x:v>PASS</x:v>
      </x:c>
      <x:c r="F29" s="8" t="str">
        <x:f>IF(D29=E29,"PASS","FAIL")</x:f>
        <x:v>PASS</x:v>
      </x:c>
    </x:row>
    <x:row r="30">
      <x:c r="A30" s="8" t="str">
        <x:v>AU-025</x:v>
      </x:c>
      <x:c r="B30" s="8" t="str">
        <x:v>case</x:v>
      </x:c>
      <x:c r="C30" s="8" t="str">
        <x:v>Case row 30</x:v>
      </x:c>
      <x:c r="D30" s="8" t="str">
        <x:v>PASS</x:v>
      </x:c>
      <x:c r="E30" s="8" t="str">
        <x:f>IF('Cases'!F30='Cases'!G30,"PASS","FAIL")</x:f>
        <x:v>PASS</x:v>
      </x:c>
      <x:c r="F30" s="8" t="str">
        <x:f>IF(D30=E30,"PASS","FAIL")</x:f>
        <x:v>PASS</x:v>
      </x:c>
    </x:row>
    <x:row r="31">
      <x:c r="A31" s="8" t="str">
        <x:v>AU-026</x:v>
      </x:c>
      <x:c r="B31" s="8" t="str">
        <x:v>case</x:v>
      </x:c>
      <x:c r="C31" s="8" t="str">
        <x:v>Case row 31</x:v>
      </x:c>
      <x:c r="D31" s="8" t="str">
        <x:v>PASS</x:v>
      </x:c>
      <x:c r="E31" s="8" t="str">
        <x:f>IF('Cases'!F31='Cases'!G31,"PASS","FAIL")</x:f>
        <x:v>PASS</x:v>
      </x:c>
      <x:c r="F31" s="8" t="str">
        <x:f>IF(D31=E31,"PASS","FAIL")</x:f>
        <x:v>PASS</x:v>
      </x:c>
    </x:row>
    <x:row r="32">
      <x:c r="A32" s="8" t="str">
        <x:v>AU-027</x:v>
      </x:c>
      <x:c r="B32" s="8" t="str">
        <x:v>case</x:v>
      </x:c>
      <x:c r="C32" s="8" t="str">
        <x:v>Case row 32</x:v>
      </x:c>
      <x:c r="D32" s="8" t="str">
        <x:v>PASS</x:v>
      </x:c>
      <x:c r="E32" s="8" t="str">
        <x:f>IF('Cases'!F32='Cases'!G32,"PASS","FAIL")</x:f>
        <x:v>PASS</x:v>
      </x:c>
      <x:c r="F32" s="8" t="str">
        <x:f>IF(D32=E32,"PASS","FAIL")</x:f>
        <x:v>PASS</x:v>
      </x:c>
    </x:row>
    <x:row r="33">
      <x:c r="A33" s="8" t="str">
        <x:v>AU-028</x:v>
      </x:c>
      <x:c r="B33" s="8" t="str">
        <x:v>case</x:v>
      </x:c>
      <x:c r="C33" s="8" t="str">
        <x:v>Case row 33</x:v>
      </x:c>
      <x:c r="D33" s="8" t="str">
        <x:v>PASS</x:v>
      </x:c>
      <x:c r="E33" s="8" t="str">
        <x:f>IF('Cases'!F33='Cases'!G33,"PASS","FAIL")</x:f>
        <x:v>PASS</x:v>
      </x:c>
      <x:c r="F33" s="8" t="str">
        <x:f>IF(D33=E33,"PASS","FAIL")</x:f>
        <x:v>PASS</x:v>
      </x:c>
    </x:row>
    <x:row r="34">
      <x:c r="A34" s="8" t="str">
        <x:v>AU-029</x:v>
      </x:c>
      <x:c r="B34" s="8" t="str">
        <x:v>case</x:v>
      </x:c>
      <x:c r="C34" s="8" t="str">
        <x:v>Case row 34</x:v>
      </x:c>
      <x:c r="D34" s="8" t="str">
        <x:v>PASS</x:v>
      </x:c>
      <x:c r="E34" s="8" t="str">
        <x:f>IF('Cases'!F34='Cases'!G34,"PASS","FAIL")</x:f>
        <x:v>PASS</x:v>
      </x:c>
      <x:c r="F34" s="8" t="str">
        <x:f>IF(D34=E34,"PASS","FAIL")</x:f>
        <x:v>PASS</x:v>
      </x:c>
    </x:row>
    <x:row r="35">
      <x:c r="A35" s="8" t="str">
        <x:v>AU-030</x:v>
      </x:c>
      <x:c r="B35" s="8" t="str">
        <x:v>case</x:v>
      </x:c>
      <x:c r="C35" s="8" t="str">
        <x:v>Case row 35</x:v>
      </x:c>
      <x:c r="D35" s="8" t="str">
        <x:v>PASS</x:v>
      </x:c>
      <x:c r="E35" s="8" t="str">
        <x:f>IF('Cases'!F35='Cases'!G35,"PASS","FAIL")</x:f>
        <x:v>PASS</x:v>
      </x:c>
      <x:c r="F35" s="8" t="str">
        <x:f>IF(D35=E35,"PASS","FAIL")</x:f>
        <x:v>PASS</x:v>
      </x:c>
    </x:row>
    <x:row r="36">
      <x:c r="A36" s="8" t="str">
        <x:v>AU-031</x:v>
      </x:c>
      <x:c r="B36" s="8" t="str">
        <x:v>case</x:v>
      </x:c>
      <x:c r="C36" s="8" t="str">
        <x:v>Case row 36</x:v>
      </x:c>
      <x:c r="D36" s="8" t="str">
        <x:v>PASS</x:v>
      </x:c>
      <x:c r="E36" s="8" t="str">
        <x:f>IF('Cases'!F36='Cases'!G36,"PASS","FAIL")</x:f>
        <x:v>PASS</x:v>
      </x:c>
      <x:c r="F36" s="8" t="str">
        <x:f>IF(D36=E36,"PASS","FAIL")</x:f>
        <x:v>PASS</x:v>
      </x:c>
    </x:row>
    <x:row r="37">
      <x:c r="A37" s="8" t="str">
        <x:v>AU-032</x:v>
      </x:c>
      <x:c r="B37" s="8" t="str">
        <x:v>case</x:v>
      </x:c>
      <x:c r="C37" s="8" t="str">
        <x:v>Case row 37</x:v>
      </x:c>
      <x:c r="D37" s="8" t="str">
        <x:v>PASS</x:v>
      </x:c>
      <x:c r="E37" s="8" t="str">
        <x:f>IF('Cases'!F37='Cases'!G37,"PASS","FAIL")</x:f>
        <x:v>PASS</x:v>
      </x:c>
      <x:c r="F37" s="8" t="str">
        <x:f>IF(D37=E37,"PASS","FAIL")</x:f>
        <x:v>PASS</x:v>
      </x:c>
    </x:row>
    <x:row r="38">
      <x:c r="A38" s="8" t="str">
        <x:v>AU-033</x:v>
      </x:c>
      <x:c r="B38" s="8" t="str">
        <x:v>case</x:v>
      </x:c>
      <x:c r="C38" s="8" t="str">
        <x:v>Case row 38</x:v>
      </x:c>
      <x:c r="D38" s="8" t="str">
        <x:v>PASS</x:v>
      </x:c>
      <x:c r="E38" s="8" t="str">
        <x:f>IF('Cases'!F38='Cases'!G38,"PASS","FAIL")</x:f>
        <x:v>PASS</x:v>
      </x:c>
      <x:c r="F38" s="8" t="str">
        <x:f>IF(D38=E38,"PASS","FAIL")</x:f>
        <x:v>PASS</x:v>
      </x:c>
    </x:row>
    <x:row r="39">
      <x:c r="A39" s="8" t="str">
        <x:v>AU-034</x:v>
      </x:c>
      <x:c r="B39" s="8" t="str">
        <x:v>case</x:v>
      </x:c>
      <x:c r="C39" s="8" t="str">
        <x:v>Case row 39</x:v>
      </x:c>
      <x:c r="D39" s="8" t="str">
        <x:v>PASS</x:v>
      </x:c>
      <x:c r="E39" s="8" t="str">
        <x:f>IF('Cases'!F39='Cases'!G39,"PASS","FAIL")</x:f>
        <x:v>PASS</x:v>
      </x:c>
      <x:c r="F39" s="8" t="str">
        <x:f>IF(D39=E39,"PASS","FAIL")</x:f>
        <x:v>PASS</x:v>
      </x:c>
    </x:row>
    <x:row r="40">
      <x:c r="A40" s="8" t="str">
        <x:v>AU-035</x:v>
      </x:c>
      <x:c r="B40" s="8" t="str">
        <x:v>case</x:v>
      </x:c>
      <x:c r="C40" s="8" t="str">
        <x:v>Case row 40</x:v>
      </x:c>
      <x:c r="D40" s="8" t="str">
        <x:v>PASS</x:v>
      </x:c>
      <x:c r="E40" s="8" t="str">
        <x:f>IF('Cases'!F40='Cases'!G40,"PASS","FAIL")</x:f>
        <x:v>PASS</x:v>
      </x:c>
      <x:c r="F40" s="8" t="str">
        <x:f>IF(D40=E40,"PASS","FAIL")</x:f>
        <x:v>PASS</x:v>
      </x:c>
    </x:row>
    <x:row r="41">
      <x:c r="A41" s="8" t="str">
        <x:v>AU-036</x:v>
      </x:c>
      <x:c r="B41" s="8" t="str">
        <x:v>case</x:v>
      </x:c>
      <x:c r="C41" s="8" t="str">
        <x:v>Case row 41</x:v>
      </x:c>
      <x:c r="D41" s="8" t="str">
        <x:v>PASS</x:v>
      </x:c>
      <x:c r="E41" s="8" t="str">
        <x:f>IF('Cases'!F41='Cases'!G41,"PASS","FAIL")</x:f>
        <x:v>PASS</x:v>
      </x:c>
      <x:c r="F41" s="8" t="str">
        <x:f>IF(D41=E41,"PASS","FAIL")</x:f>
        <x:v>PASS</x:v>
      </x:c>
    </x:row>
    <x:row r="42">
      <x:c r="A42" s="8" t="str">
        <x:v>AU-037</x:v>
      </x:c>
      <x:c r="B42" s="8" t="str">
        <x:v>case</x:v>
      </x:c>
      <x:c r="C42" s="8" t="str">
        <x:v>Case row 42</x:v>
      </x:c>
      <x:c r="D42" s="8" t="str">
        <x:v>PASS</x:v>
      </x:c>
      <x:c r="E42" s="8" t="str">
        <x:f>IF('Cases'!F42='Cases'!G42,"PASS","FAIL")</x:f>
        <x:v>PASS</x:v>
      </x:c>
      <x:c r="F42" s="8" t="str">
        <x:f>IF(D42=E42,"PASS","FAIL")</x:f>
        <x:v>PASS</x:v>
      </x:c>
    </x:row>
    <x:row r="43">
      <x:c r="A43" s="8" t="str">
        <x:v>AU-038</x:v>
      </x:c>
      <x:c r="B43" s="8" t="str">
        <x:v>case</x:v>
      </x:c>
      <x:c r="C43" s="8" t="str">
        <x:v>Case row 43</x:v>
      </x:c>
      <x:c r="D43" s="8" t="str">
        <x:v>PASS</x:v>
      </x:c>
      <x:c r="E43" s="8" t="str">
        <x:f>IF('Cases'!F43='Cases'!G43,"PASS","FAIL")</x:f>
        <x:v>PASS</x:v>
      </x:c>
      <x:c r="F43" s="8" t="str">
        <x:f>IF(D43=E43,"PASS","FAIL")</x:f>
        <x:v>PASS</x:v>
      </x:c>
    </x:row>
    <x:row r="44">
      <x:c r="A44" s="8" t="str">
        <x:v>AU-039</x:v>
      </x:c>
      <x:c r="B44" s="8" t="str">
        <x:v>case</x:v>
      </x:c>
      <x:c r="C44" s="8" t="str">
        <x:v>Case row 44</x:v>
      </x:c>
      <x:c r="D44" s="8" t="str">
        <x:v>PASS</x:v>
      </x:c>
      <x:c r="E44" s="8" t="str">
        <x:f>IF('Cases'!F44='Cases'!G44,"PASS","FAIL")</x:f>
        <x:v>PASS</x:v>
      </x:c>
      <x:c r="F44" s="8" t="str">
        <x:f>IF(D44=E44,"PASS","FAIL")</x:f>
        <x:v>PASS</x:v>
      </x:c>
    </x:row>
    <x:row r="45">
      <x:c r="A45" s="8" t="str">
        <x:v>AU-040</x:v>
      </x:c>
      <x:c r="B45" s="8" t="str">
        <x:v>case</x:v>
      </x:c>
      <x:c r="C45" s="8" t="str">
        <x:v>Case row 45</x:v>
      </x:c>
      <x:c r="D45" s="8" t="str">
        <x:v>PASS</x:v>
      </x:c>
      <x:c r="E45" s="8" t="str">
        <x:f>IF('Cases'!F45='Cases'!G45,"PASS","FAIL")</x:f>
        <x:v>PASS</x:v>
      </x:c>
      <x:c r="F45" s="8" t="str">
        <x:f>IF(D45=E45,"PASS","FAIL")</x:f>
        <x:v>PASS</x:v>
      </x:c>
    </x:row>
    <x:row r="46">
      <x:c r="A46" s="8" t="str">
        <x:v>AU-041</x:v>
      </x:c>
      <x:c r="B46" s="8" t="str">
        <x:v>case</x:v>
      </x:c>
      <x:c r="C46" s="8" t="str">
        <x:v>Case row 46</x:v>
      </x:c>
      <x:c r="D46" s="8" t="str">
        <x:v>PASS</x:v>
      </x:c>
      <x:c r="E46" s="8" t="str">
        <x:f>IF('Cases'!F46='Cases'!G46,"PASS","FAIL")</x:f>
        <x:v>PASS</x:v>
      </x:c>
      <x:c r="F46" s="8" t="str">
        <x:f>IF(D46=E46,"PASS","FAIL")</x:f>
        <x:v>PASS</x:v>
      </x:c>
    </x:row>
    <x:row r="47">
      <x:c r="A47" s="8" t="str">
        <x:v>AU-042</x:v>
      </x:c>
      <x:c r="B47" s="8" t="str">
        <x:v>case</x:v>
      </x:c>
      <x:c r="C47" s="8" t="str">
        <x:v>Case row 47</x:v>
      </x:c>
      <x:c r="D47" s="8" t="str">
        <x:v>PASS</x:v>
      </x:c>
      <x:c r="E47" s="8" t="str">
        <x:f>IF('Cases'!F47='Cases'!G47,"PASS","FAIL")</x:f>
        <x:v>PASS</x:v>
      </x:c>
      <x:c r="F47" s="8" t="str">
        <x:f>IF(D47=E47,"PASS","FAIL")</x:f>
        <x:v>PASS</x:v>
      </x:c>
    </x:row>
    <x:row r="48">
      <x:c r="A48" s="8" t="str">
        <x:v>AU-043</x:v>
      </x:c>
      <x:c r="B48" s="8" t="str">
        <x:v>case</x:v>
      </x:c>
      <x:c r="C48" s="8" t="str">
        <x:v>Case row 48</x:v>
      </x:c>
      <x:c r="D48" s="8" t="str">
        <x:v>PASS</x:v>
      </x:c>
      <x:c r="E48" s="8" t="str">
        <x:f>IF('Cases'!F48='Cases'!G48,"PASS","FAIL")</x:f>
        <x:v>PASS</x:v>
      </x:c>
      <x:c r="F48" s="8" t="str">
        <x:f>IF(D48=E48,"PASS","FAIL")</x:f>
        <x:v>PASS</x:v>
      </x:c>
    </x:row>
    <x:row r="49">
      <x:c r="A49" s="8" t="str">
        <x:v>AU-044</x:v>
      </x:c>
      <x:c r="B49" s="8" t="str">
        <x:v>case</x:v>
      </x:c>
      <x:c r="C49" s="8" t="str">
        <x:v>Case row 49</x:v>
      </x:c>
      <x:c r="D49" s="8" t="str">
        <x:v>PASS</x:v>
      </x:c>
      <x:c r="E49" s="8" t="str">
        <x:f>IF('Cases'!F49='Cases'!G49,"PASS","FAIL")</x:f>
        <x:v>PASS</x:v>
      </x:c>
      <x:c r="F49" s="8" t="str">
        <x:f>IF(D49=E49,"PASS","FAIL")</x:f>
        <x:v>PASS</x:v>
      </x:c>
    </x:row>
    <x:row r="50">
      <x:c r="A50" s="8" t="str">
        <x:v>AU-045</x:v>
      </x:c>
      <x:c r="B50" s="8" t="str">
        <x:v>case</x:v>
      </x:c>
      <x:c r="C50" s="8" t="str">
        <x:v>Case row 50</x:v>
      </x:c>
      <x:c r="D50" s="8" t="str">
        <x:v>PASS</x:v>
      </x:c>
      <x:c r="E50" s="8" t="str">
        <x:f>IF('Cases'!F50='Cases'!G50,"PASS","FAIL")</x:f>
        <x:v>PASS</x:v>
      </x:c>
      <x:c r="F50" s="8" t="str">
        <x:f>IF(D50=E50,"PASS","FAIL")</x:f>
        <x:v>PASS</x:v>
      </x:c>
    </x:row>
    <x:row r="51">
      <x:c r="A51" s="8" t="str">
        <x:v>AU-046</x:v>
      </x:c>
      <x:c r="B51" s="8" t="str">
        <x:v>case</x:v>
      </x:c>
      <x:c r="C51" s="8" t="str">
        <x:v>Case row 51</x:v>
      </x:c>
      <x:c r="D51" s="8" t="str">
        <x:v>PASS</x:v>
      </x:c>
      <x:c r="E51" s="8" t="str">
        <x:f>IF('Cases'!F51='Cases'!G51,"PASS","FAIL")</x:f>
        <x:v>PASS</x:v>
      </x:c>
      <x:c r="F51" s="8" t="str">
        <x:f>IF(D51=E51,"PASS","FAIL")</x:f>
        <x:v>PASS</x:v>
      </x:c>
    </x:row>
    <x:row r="52">
      <x:c r="A52" s="8" t="str">
        <x:v>AU-047</x:v>
      </x:c>
      <x:c r="B52" s="8" t="str">
        <x:v>case</x:v>
      </x:c>
      <x:c r="C52" s="8" t="str">
        <x:v>Case row 52</x:v>
      </x:c>
      <x:c r="D52" s="8" t="str">
        <x:v>PASS</x:v>
      </x:c>
      <x:c r="E52" s="8" t="str">
        <x:f>IF('Cases'!F52='Cases'!G52,"PASS","FAIL")</x:f>
        <x:v>PASS</x:v>
      </x:c>
      <x:c r="F52" s="8" t="str">
        <x:f>IF(D52=E52,"PASS","FAIL")</x:f>
        <x:v>PASS</x:v>
      </x:c>
    </x:row>
    <x:row r="53">
      <x:c r="A53" s="8" t="str">
        <x:v>AU-048</x:v>
      </x:c>
      <x:c r="B53" s="8" t="str">
        <x:v>case</x:v>
      </x:c>
      <x:c r="C53" s="8" t="str">
        <x:v>Case row 53</x:v>
      </x:c>
      <x:c r="D53" s="8" t="str">
        <x:v>PASS</x:v>
      </x:c>
      <x:c r="E53" s="8" t="str">
        <x:f>IF('Cases'!F53='Cases'!G53,"PASS","FAIL")</x:f>
        <x:v>PASS</x:v>
      </x:c>
      <x:c r="F53" s="8" t="str">
        <x:f>IF(D53=E53,"PASS","FAIL")</x:f>
        <x:v>PASS</x:v>
      </x:c>
    </x:row>
    <x:row r="54">
      <x:c r="A54" s="8" t="str">
        <x:v>AU-049</x:v>
      </x:c>
      <x:c r="B54" s="8" t="str">
        <x:v>case</x:v>
      </x:c>
      <x:c r="C54" s="8" t="str">
        <x:v>Case row 54</x:v>
      </x:c>
      <x:c r="D54" s="8" t="str">
        <x:v>PASS</x:v>
      </x:c>
      <x:c r="E54" s="8" t="str">
        <x:f>IF('Cases'!F54='Cases'!G54,"PASS","FAIL")</x:f>
        <x:v>PASS</x:v>
      </x:c>
      <x:c r="F54" s="8" t="str">
        <x:f>IF(D54=E54,"PASS","FAIL")</x:f>
        <x:v>PASS</x:v>
      </x:c>
    </x:row>
    <x:row r="55">
      <x:c r="A55" s="8" t="str">
        <x:v>AU-050</x:v>
      </x:c>
      <x:c r="B55" s="8" t="str">
        <x:v>case</x:v>
      </x:c>
      <x:c r="C55" s="8" t="str">
        <x:v>Case row 55</x:v>
      </x:c>
      <x:c r="D55" s="8" t="str">
        <x:v>PASS</x:v>
      </x:c>
      <x:c r="E55" s="8" t="str">
        <x:f>IF('Cases'!F55='Cases'!G55,"PASS","FAIL")</x:f>
        <x:v>PASS</x:v>
      </x:c>
      <x:c r="F55" s="8" t="str">
        <x:f>IF(D55=E55,"PASS","FAIL")</x:f>
        <x:v>PASS</x:v>
      </x:c>
    </x:row>
    <x:row r="56">
      <x:c r="A56" s="8" t="str">
        <x:v>AU-051</x:v>
      </x:c>
      <x:c r="B56" s="8" t="str">
        <x:v>case</x:v>
      </x:c>
      <x:c r="C56" s="8" t="str">
        <x:v>Case row 56</x:v>
      </x:c>
      <x:c r="D56" s="8" t="str">
        <x:v>PASS</x:v>
      </x:c>
      <x:c r="E56" s="8" t="str">
        <x:f>IF('Cases'!F56='Cases'!G56,"PASS","FAIL")</x:f>
        <x:v>PASS</x:v>
      </x:c>
      <x:c r="F56" s="8" t="str">
        <x:f>IF(D56=E56,"PASS","FAIL")</x:f>
        <x:v>PASS</x:v>
      </x:c>
    </x:row>
    <x:row r="57">
      <x:c r="A57" s="8" t="str">
        <x:v>AU-052</x:v>
      </x:c>
      <x:c r="B57" s="8" t="str">
        <x:v>case</x:v>
      </x:c>
      <x:c r="C57" s="8" t="str">
        <x:v>Case row 57</x:v>
      </x:c>
      <x:c r="D57" s="8" t="str">
        <x:v>PASS</x:v>
      </x:c>
      <x:c r="E57" s="8" t="str">
        <x:f>IF('Cases'!F57='Cases'!G57,"PASS","FAIL")</x:f>
        <x:v>PASS</x:v>
      </x:c>
      <x:c r="F57" s="8" t="str">
        <x:f>IF(D57=E57,"PASS","FAIL")</x:f>
        <x:v>PASS</x:v>
      </x:c>
    </x:row>
    <x:row r="58">
      <x:c r="A58" s="8" t="str">
        <x:v>AU-053</x:v>
      </x:c>
      <x:c r="B58" s="8" t="str">
        <x:v>case</x:v>
      </x:c>
      <x:c r="C58" s="8" t="str">
        <x:v>Case row 58</x:v>
      </x:c>
      <x:c r="D58" s="8" t="str">
        <x:v>PASS</x:v>
      </x:c>
      <x:c r="E58" s="8" t="str">
        <x:f>IF('Cases'!F58='Cases'!G58,"PASS","FAIL")</x:f>
        <x:v>PASS</x:v>
      </x:c>
      <x:c r="F58" s="8" t="str">
        <x:f>IF(D58=E58,"PASS","FAIL")</x:f>
        <x:v>PASS</x:v>
      </x:c>
    </x:row>
    <x:row r="59">
      <x:c r="A59" s="8" t="str">
        <x:v>AU-054</x:v>
      </x:c>
      <x:c r="B59" s="8" t="str">
        <x:v>case</x:v>
      </x:c>
      <x:c r="C59" s="8" t="str">
        <x:v>Case row 59</x:v>
      </x:c>
      <x:c r="D59" s="8" t="str">
        <x:v>PASS</x:v>
      </x:c>
      <x:c r="E59" s="8" t="str">
        <x:f>IF('Cases'!F59='Cases'!G59,"PASS","FAIL")</x:f>
        <x:v>PASS</x:v>
      </x:c>
      <x:c r="F59" s="8" t="str">
        <x:f>IF(D59=E59,"PASS","FAIL")</x:f>
        <x:v>PASS</x:v>
      </x:c>
    </x:row>
    <x:row r="60">
      <x:c r="A60" s="8" t="str">
        <x:v>AU-055</x:v>
      </x:c>
      <x:c r="B60" s="8" t="str">
        <x:v>case</x:v>
      </x:c>
      <x:c r="C60" s="8" t="str">
        <x:v>Case row 60</x:v>
      </x:c>
      <x:c r="D60" s="8" t="str">
        <x:v>PASS</x:v>
      </x:c>
      <x:c r="E60" s="8" t="str">
        <x:f>IF('Cases'!F60='Cases'!G60,"PASS","FAIL")</x:f>
        <x:v>PASS</x:v>
      </x:c>
      <x:c r="F60" s="8" t="str">
        <x:f>IF(D60=E60,"PASS","FAIL")</x:f>
        <x:v>PASS</x:v>
      </x:c>
    </x:row>
    <x:row r="61">
      <x:c r="A61" s="8" t="str">
        <x:v>AU-056</x:v>
      </x:c>
      <x:c r="B61" s="8" t="str">
        <x:v>case</x:v>
      </x:c>
      <x:c r="C61" s="8" t="str">
        <x:v>Case row 61</x:v>
      </x:c>
      <x:c r="D61" s="8" t="str">
        <x:v>PASS</x:v>
      </x:c>
      <x:c r="E61" s="8" t="str">
        <x:f>IF('Cases'!F61='Cases'!G61,"PASS","FAIL")</x:f>
        <x:v>PASS</x:v>
      </x:c>
      <x:c r="F61" s="8" t="str">
        <x:f>IF(D61=E61,"PASS","FAIL")</x:f>
        <x:v>PASS</x:v>
      </x:c>
    </x:row>
    <x:row r="62">
      <x:c r="A62" s="8" t="str">
        <x:v>AU-057</x:v>
      </x:c>
      <x:c r="B62" s="8" t="str">
        <x:v>case</x:v>
      </x:c>
      <x:c r="C62" s="8" t="str">
        <x:v>Case row 62</x:v>
      </x:c>
      <x:c r="D62" s="8" t="str">
        <x:v>PASS</x:v>
      </x:c>
      <x:c r="E62" s="8" t="str">
        <x:f>IF('Cases'!F62='Cases'!G62,"PASS","FAIL")</x:f>
        <x:v>PASS</x:v>
      </x:c>
      <x:c r="F62" s="8" t="str">
        <x:f>IF(D62=E62,"PASS","FAIL")</x:f>
        <x:v>PASS</x:v>
      </x:c>
    </x:row>
    <x:row r="63">
      <x:c r="A63" s="8" t="str">
        <x:v>AU-058</x:v>
      </x:c>
      <x:c r="B63" s="8" t="str">
        <x:v>case</x:v>
      </x:c>
      <x:c r="C63" s="8" t="str">
        <x:v>Case row 63</x:v>
      </x:c>
      <x:c r="D63" s="8" t="str">
        <x:v>PASS</x:v>
      </x:c>
      <x:c r="E63" s="8" t="str">
        <x:f>IF('Cases'!F63='Cases'!G63,"PASS","FAIL")</x:f>
        <x:v>PASS</x:v>
      </x:c>
      <x:c r="F63" s="8" t="str">
        <x:f>IF(D63=E63,"PASS","FAIL")</x:f>
        <x:v>PASS</x:v>
      </x:c>
    </x:row>
    <x:row r="64">
      <x:c r="A64" s="8" t="str">
        <x:v>AU-059</x:v>
      </x:c>
      <x:c r="B64" s="8" t="str">
        <x:v>case</x:v>
      </x:c>
      <x:c r="C64" s="8" t="str">
        <x:v>Case row 64</x:v>
      </x:c>
      <x:c r="D64" s="8" t="str">
        <x:v>PASS</x:v>
      </x:c>
      <x:c r="E64" s="8" t="str">
        <x:f>IF('Cases'!F64='Cases'!G64,"PASS","FAIL")</x:f>
        <x:v>PASS</x:v>
      </x:c>
      <x:c r="F64" s="8" t="str">
        <x:f>IF(D64=E64,"PASS","FAIL")</x:f>
        <x:v>PASS</x:v>
      </x:c>
    </x:row>
    <x:row r="65">
      <x:c r="A65" s="8" t="str">
        <x:v>AU-060</x:v>
      </x:c>
      <x:c r="B65" s="8" t="str">
        <x:v>case</x:v>
      </x:c>
      <x:c r="C65" s="8" t="str">
        <x:v>Case row 65</x:v>
      </x:c>
      <x:c r="D65" s="8" t="str">
        <x:v>PASS</x:v>
      </x:c>
      <x:c r="E65" s="8" t="str">
        <x:f>IF('Cases'!F65='Cases'!G65,"PASS","FAIL")</x:f>
        <x:v>PASS</x:v>
      </x:c>
      <x:c r="F65" s="8" t="str">
        <x:f>IF(D65=E65,"PASS","FAIL")</x:f>
        <x:v>PASS</x:v>
      </x:c>
    </x:row>
    <x:row r="66">
      <x:c r="A66" s="8" t="str">
        <x:v>AU-061</x:v>
      </x:c>
      <x:c r="B66" s="8" t="str">
        <x:v>case</x:v>
      </x:c>
      <x:c r="C66" s="8" t="str">
        <x:v>Case row 66</x:v>
      </x:c>
      <x:c r="D66" s="8" t="str">
        <x:v>PASS</x:v>
      </x:c>
      <x:c r="E66" s="8" t="str">
        <x:f>IF('Cases'!F66='Cases'!G66,"PASS","FAIL")</x:f>
        <x:v>PASS</x:v>
      </x:c>
      <x:c r="F66" s="8" t="str">
        <x:f>IF(D66=E66,"PASS","FAIL")</x:f>
        <x:v>PASS</x:v>
      </x:c>
    </x:row>
    <x:row r="67">
      <x:c r="A67" s="8" t="str">
        <x:v>AU-062</x:v>
      </x:c>
      <x:c r="B67" s="8" t="str">
        <x:v>case</x:v>
      </x:c>
      <x:c r="C67" s="8" t="str">
        <x:v>Case row 67</x:v>
      </x:c>
      <x:c r="D67" s="8" t="str">
        <x:v>PASS</x:v>
      </x:c>
      <x:c r="E67" s="8" t="str">
        <x:f>IF('Cases'!F67='Cases'!G67,"PASS","FAIL")</x:f>
        <x:v>PASS</x:v>
      </x:c>
      <x:c r="F67" s="8" t="str">
        <x:f>IF(D67=E67,"PASS","FAIL")</x:f>
        <x:v>PASS</x:v>
      </x:c>
    </x:row>
    <x:row r="68">
      <x:c r="A68" s="8" t="str">
        <x:v>AU-063</x:v>
      </x:c>
      <x:c r="B68" s="8" t="str">
        <x:v>case</x:v>
      </x:c>
      <x:c r="C68" s="8" t="str">
        <x:v>Case row 68</x:v>
      </x:c>
      <x:c r="D68" s="8" t="str">
        <x:v>PASS</x:v>
      </x:c>
      <x:c r="E68" s="8" t="str">
        <x:f>IF('Cases'!F68='Cases'!G68,"PASS","FAIL")</x:f>
        <x:v>PASS</x:v>
      </x:c>
      <x:c r="F68" s="8" t="str">
        <x:f>IF(D68=E68,"PASS","FAIL")</x:f>
        <x:v>PASS</x:v>
      </x:c>
    </x:row>
    <x:row r="69">
      <x:c r="A69" s="8" t="str">
        <x:v>AU-064</x:v>
      </x:c>
      <x:c r="B69" s="8" t="str">
        <x:v>case</x:v>
      </x:c>
      <x:c r="C69" s="8" t="str">
        <x:v>Case row 69</x:v>
      </x:c>
      <x:c r="D69" s="8" t="str">
        <x:v>PASS</x:v>
      </x:c>
      <x:c r="E69" s="8" t="str">
        <x:f>IF('Cases'!F69='Cases'!G69,"PASS","FAIL")</x:f>
        <x:v>PASS</x:v>
      </x:c>
      <x:c r="F69" s="8" t="str">
        <x:f>IF(D69=E69,"PASS","FAIL")</x:f>
        <x:v>PASS</x:v>
      </x:c>
    </x:row>
    <x:row r="70">
      <x:c r="A70" s="8" t="str">
        <x:v>AU-065</x:v>
      </x:c>
      <x:c r="B70" s="8" t="str">
        <x:v>case</x:v>
      </x:c>
      <x:c r="C70" s="8" t="str">
        <x:v>Case row 70</x:v>
      </x:c>
      <x:c r="D70" s="8" t="str">
        <x:v>PASS</x:v>
      </x:c>
      <x:c r="E70" s="8" t="str">
        <x:f>IF('Cases'!F70='Cases'!G70,"PASS","FAIL")</x:f>
        <x:v>PASS</x:v>
      </x:c>
      <x:c r="F70" s="8" t="str">
        <x:f>IF(D70=E70,"PASS","FAIL")</x:f>
        <x:v>PASS</x:v>
      </x:c>
    </x:row>
    <x:row r="71">
      <x:c r="A71" s="8" t="str">
        <x:v>AU-066</x:v>
      </x:c>
      <x:c r="B71" s="8" t="str">
        <x:v>case</x:v>
      </x:c>
      <x:c r="C71" s="8" t="str">
        <x:v>Case row 71</x:v>
      </x:c>
      <x:c r="D71" s="8" t="str">
        <x:v>PASS</x:v>
      </x:c>
      <x:c r="E71" s="8" t="str">
        <x:f>IF('Cases'!F71='Cases'!G71,"PASS","FAIL")</x:f>
        <x:v>PASS</x:v>
      </x:c>
      <x:c r="F71" s="8" t="str">
        <x:f>IF(D71=E71,"PASS","FAIL")</x:f>
        <x:v>PASS</x:v>
      </x:c>
    </x:row>
    <x:row r="72">
      <x:c r="A72" s="8" t="str">
        <x:v>AU-067</x:v>
      </x:c>
      <x:c r="B72" s="8" t="str">
        <x:v>case</x:v>
      </x:c>
      <x:c r="C72" s="8" t="str">
        <x:v>Case row 72</x:v>
      </x:c>
      <x:c r="D72" s="8" t="str">
        <x:v>PASS</x:v>
      </x:c>
      <x:c r="E72" s="8" t="str">
        <x:f>IF('Cases'!F72='Cases'!G72,"PASS","FAIL")</x:f>
        <x:v>PASS</x:v>
      </x:c>
      <x:c r="F72" s="8" t="str">
        <x:f>IF(D72=E72,"PASS","FAIL")</x:f>
        <x:v>PASS</x:v>
      </x:c>
    </x:row>
    <x:row r="73">
      <x:c r="A73" s="8" t="str">
        <x:v>AU-068</x:v>
      </x:c>
      <x:c r="B73" s="8" t="str">
        <x:v>case</x:v>
      </x:c>
      <x:c r="C73" s="8" t="str">
        <x:v>Case row 73</x:v>
      </x:c>
      <x:c r="D73" s="8" t="str">
        <x:v>PASS</x:v>
      </x:c>
      <x:c r="E73" s="8" t="str">
        <x:f>IF('Cases'!F73='Cases'!G73,"PASS","FAIL")</x:f>
        <x:v>PASS</x:v>
      </x:c>
      <x:c r="F73" s="8" t="str">
        <x:f>IF(D73=E73,"PASS","FAIL")</x:f>
        <x:v>PASS</x:v>
      </x:c>
    </x:row>
    <x:row r="74">
      <x:c r="A74" s="8" t="str">
        <x:v>AU-069</x:v>
      </x:c>
      <x:c r="B74" s="8" t="str">
        <x:v>case</x:v>
      </x:c>
      <x:c r="C74" s="8" t="str">
        <x:v>Case row 74</x:v>
      </x:c>
      <x:c r="D74" s="8" t="str">
        <x:v>PASS</x:v>
      </x:c>
      <x:c r="E74" s="8" t="str">
        <x:f>IF('Cases'!F74='Cases'!G74,"PASS","FAIL")</x:f>
        <x:v>PASS</x:v>
      </x:c>
      <x:c r="F74" s="8" t="str">
        <x:f>IF(D74=E74,"PASS","FAIL")</x:f>
        <x:v>PASS</x:v>
      </x:c>
    </x:row>
    <x:row r="75">
      <x:c r="A75" s="8" t="str">
        <x:v>AU-070</x:v>
      </x:c>
      <x:c r="B75" s="8" t="str">
        <x:v>case</x:v>
      </x:c>
      <x:c r="C75" s="8" t="str">
        <x:v>Case row 75</x:v>
      </x:c>
      <x:c r="D75" s="8" t="str">
        <x:v>PASS</x:v>
      </x:c>
      <x:c r="E75" s="8" t="str">
        <x:f>IF('Cases'!F75='Cases'!G75,"PASS","FAIL")</x:f>
        <x:v>PASS</x:v>
      </x:c>
      <x:c r="F75" s="8" t="str">
        <x:f>IF(D75=E75,"PASS","FAIL")</x:f>
        <x:v>PASS</x:v>
      </x:c>
    </x:row>
    <x:row r="76">
      <x:c r="A76" s="8" t="str">
        <x:v>AU-071</x:v>
      </x:c>
      <x:c r="B76" s="8" t="str">
        <x:v>case</x:v>
      </x:c>
      <x:c r="C76" s="8" t="str">
        <x:v>Case row 76</x:v>
      </x:c>
      <x:c r="D76" s="8" t="str">
        <x:v>PASS</x:v>
      </x:c>
      <x:c r="E76" s="8" t="str">
        <x:f>IF('Cases'!F76='Cases'!G76,"PASS","FAIL")</x:f>
        <x:v>PASS</x:v>
      </x:c>
      <x:c r="F76" s="8" t="str">
        <x:f>IF(D76=E76,"PASS","FAIL")</x:f>
        <x:v>PASS</x:v>
      </x:c>
    </x:row>
    <x:row r="77">
      <x:c r="A77" s="8" t="str">
        <x:v>AU-072</x:v>
      </x:c>
      <x:c r="B77" s="8" t="str">
        <x:v>case</x:v>
      </x:c>
      <x:c r="C77" s="8" t="str">
        <x:v>Case row 77</x:v>
      </x:c>
      <x:c r="D77" s="8" t="str">
        <x:v>PASS</x:v>
      </x:c>
      <x:c r="E77" s="8" t="str">
        <x:f>IF('Cases'!F77='Cases'!G77,"PASS","FAIL")</x:f>
        <x:v>PASS</x:v>
      </x:c>
      <x:c r="F77" s="8" t="str">
        <x:f>IF(D77=E77,"PASS","FAIL")</x:f>
        <x:v>PASS</x:v>
      </x:c>
    </x:row>
    <x:row r="78">
      <x:c r="A78" s="8" t="str">
        <x:v>AU-073</x:v>
      </x:c>
      <x:c r="B78" s="8" t="str">
        <x:v>case</x:v>
      </x:c>
      <x:c r="C78" s="8" t="str">
        <x:v>Case row 78</x:v>
      </x:c>
      <x:c r="D78" s="8" t="str">
        <x:v>PASS</x:v>
      </x:c>
      <x:c r="E78" s="8" t="str">
        <x:f>IF('Cases'!F78='Cases'!G78,"PASS","FAIL")</x:f>
        <x:v>PASS</x:v>
      </x:c>
      <x:c r="F78" s="8" t="str">
        <x:f>IF(D78=E78,"PASS","FAIL")</x:f>
        <x:v>PASS</x:v>
      </x:c>
    </x:row>
    <x:row r="79">
      <x:c r="A79" s="8" t="str">
        <x:v>AU-074</x:v>
      </x:c>
      <x:c r="B79" s="8" t="str">
        <x:v>case</x:v>
      </x:c>
      <x:c r="C79" s="8" t="str">
        <x:v>Case row 79</x:v>
      </x:c>
      <x:c r="D79" s="8" t="str">
        <x:v>PASS</x:v>
      </x:c>
      <x:c r="E79" s="8" t="str">
        <x:f>IF('Cases'!F79='Cases'!G79,"PASS","FAIL")</x:f>
        <x:v>PASS</x:v>
      </x:c>
      <x:c r="F79" s="8" t="str">
        <x:f>IF(D79=E79,"PASS","FAIL")</x:f>
        <x:v>PASS</x:v>
      </x:c>
    </x:row>
    <x:row r="80">
      <x:c r="A80" s="8" t="str">
        <x:v>AU-075</x:v>
      </x:c>
      <x:c r="B80" s="8" t="str">
        <x:v>case</x:v>
      </x:c>
      <x:c r="C80" s="8" t="str">
        <x:v>Case row 80</x:v>
      </x:c>
      <x:c r="D80" s="8" t="str">
        <x:v>PASS</x:v>
      </x:c>
      <x:c r="E80" s="8" t="str">
        <x:f>IF('Cases'!F80='Cases'!G80,"PASS","FAIL")</x:f>
        <x:v>PASS</x:v>
      </x:c>
      <x:c r="F80" s="8" t="str">
        <x:f>IF(D80=E80,"PASS","FAIL")</x:f>
        <x:v>PASS</x:v>
      </x:c>
    </x:row>
    <x:row r="81">
      <x:c r="A81" s="8" t="str">
        <x:v>AU-076</x:v>
      </x:c>
      <x:c r="B81" s="8" t="str">
        <x:v>case</x:v>
      </x:c>
      <x:c r="C81" s="8" t="str">
        <x:v>Case row 81</x:v>
      </x:c>
      <x:c r="D81" s="8" t="str">
        <x:v>PASS</x:v>
      </x:c>
      <x:c r="E81" s="8" t="str">
        <x:f>IF('Cases'!F81='Cases'!G81,"PASS","FAIL")</x:f>
        <x:v>PASS</x:v>
      </x:c>
      <x:c r="F81" s="8" t="str">
        <x:f>IF(D81=E81,"PASS","FAIL")</x:f>
        <x:v>PASS</x:v>
      </x:c>
    </x:row>
    <x:row r="82">
      <x:c r="A82" s="8" t="str">
        <x:v>AU-077</x:v>
      </x:c>
      <x:c r="B82" s="8" t="str">
        <x:v>case</x:v>
      </x:c>
      <x:c r="C82" s="8" t="str">
        <x:v>Case row 82</x:v>
      </x:c>
      <x:c r="D82" s="8" t="str">
        <x:v>PASS</x:v>
      </x:c>
      <x:c r="E82" s="8" t="str">
        <x:f>IF('Cases'!F82='Cases'!G82,"PASS","FAIL")</x:f>
        <x:v>PASS</x:v>
      </x:c>
      <x:c r="F82" s="8" t="str">
        <x:f>IF(D82=E82,"PASS","FAIL")</x:f>
        <x:v>PASS</x:v>
      </x:c>
    </x:row>
    <x:row r="83">
      <x:c r="A83" s="8" t="str">
        <x:v>AU-078</x:v>
      </x:c>
      <x:c r="B83" s="8" t="str">
        <x:v>case</x:v>
      </x:c>
      <x:c r="C83" s="8" t="str">
        <x:v>Case row 83</x:v>
      </x:c>
      <x:c r="D83" s="8" t="str">
        <x:v>PASS</x:v>
      </x:c>
      <x:c r="E83" s="8" t="str">
        <x:f>IF('Cases'!F83='Cases'!G83,"PASS","FAIL")</x:f>
        <x:v>PASS</x:v>
      </x:c>
      <x:c r="F83" s="8" t="str">
        <x:f>IF(D83=E83,"PASS","FAIL")</x:f>
        <x:v>PASS</x:v>
      </x:c>
    </x:row>
    <x:row r="84">
      <x:c r="A84" s="8" t="str">
        <x:v>AU-079</x:v>
      </x:c>
      <x:c r="B84" s="8" t="str">
        <x:v>case</x:v>
      </x:c>
      <x:c r="C84" s="8" t="str">
        <x:v>Case row 84</x:v>
      </x:c>
      <x:c r="D84" s="8" t="str">
        <x:v>PASS</x:v>
      </x:c>
      <x:c r="E84" s="8" t="str">
        <x:f>IF('Cases'!F84='Cases'!G84,"PASS","FAIL")</x:f>
        <x:v>PASS</x:v>
      </x:c>
      <x:c r="F84" s="8" t="str">
        <x:f>IF(D84=E84,"PASS","FAIL")</x:f>
        <x:v>PASS</x:v>
      </x:c>
    </x:row>
    <x:row r="85">
      <x:c r="A85" s="8" t="str">
        <x:v>AU-080</x:v>
      </x:c>
      <x:c r="B85" s="8" t="str">
        <x:v>case</x:v>
      </x:c>
      <x:c r="C85" s="8" t="str">
        <x:v>Case row 85</x:v>
      </x:c>
      <x:c r="D85" s="8" t="str">
        <x:v>PASS</x:v>
      </x:c>
      <x:c r="E85" s="8" t="str">
        <x:f>IF('Cases'!F85='Cases'!G85,"PASS","FAIL")</x:f>
        <x:v>PASS</x:v>
      </x:c>
      <x:c r="F85" s="8" t="str">
        <x:f>IF(D85=E85,"PASS","FAIL")</x:f>
        <x:v>PASS</x:v>
      </x:c>
    </x:row>
    <x:row r="86">
      <x:c r="A86" s="8" t="str">
        <x:v>AU-081</x:v>
      </x:c>
      <x:c r="B86" s="8" t="str">
        <x:v>case</x:v>
      </x:c>
      <x:c r="C86" s="8" t="str">
        <x:v>Case row 86</x:v>
      </x:c>
      <x:c r="D86" s="8" t="str">
        <x:v>PASS</x:v>
      </x:c>
      <x:c r="E86" s="8" t="str">
        <x:f>IF('Cases'!F86='Cases'!G86,"PASS","FAIL")</x:f>
        <x:v>PASS</x:v>
      </x:c>
      <x:c r="F86" s="8" t="str">
        <x:f>IF(D86=E86,"PASS","FAIL")</x:f>
        <x:v>PASS</x:v>
      </x:c>
    </x:row>
    <x:row r="87">
      <x:c r="A87" s="8" t="str">
        <x:v>AU-082</x:v>
      </x:c>
      <x:c r="B87" s="8" t="str">
        <x:v>case</x:v>
      </x:c>
      <x:c r="C87" s="8" t="str">
        <x:v>Case row 87</x:v>
      </x:c>
      <x:c r="D87" s="8" t="str">
        <x:v>PASS</x:v>
      </x:c>
      <x:c r="E87" s="8" t="str">
        <x:f>IF('Cases'!F87='Cases'!G87,"PASS","FAIL")</x:f>
        <x:v>PASS</x:v>
      </x:c>
      <x:c r="F87" s="8" t="str">
        <x:f>IF(D87=E87,"PASS","FAIL")</x:f>
        <x:v>PASS</x:v>
      </x:c>
    </x:row>
    <x:row r="88">
      <x:c r="A88" s="8" t="str">
        <x:v>AU-083</x:v>
      </x:c>
      <x:c r="B88" s="8" t="str">
        <x:v>case</x:v>
      </x:c>
      <x:c r="C88" s="8" t="str">
        <x:v>Case row 88</x:v>
      </x:c>
      <x:c r="D88" s="8" t="str">
        <x:v>PASS</x:v>
      </x:c>
      <x:c r="E88" s="8" t="str">
        <x:f>IF('Cases'!F88='Cases'!G88,"PASS","FAIL")</x:f>
        <x:v>PASS</x:v>
      </x:c>
      <x:c r="F88" s="8" t="str">
        <x:f>IF(D88=E88,"PASS","FAIL")</x:f>
        <x:v>PASS</x:v>
      </x:c>
    </x:row>
    <x:row r="89">
      <x:c r="A89" s="8" t="str">
        <x:v>AU-084</x:v>
      </x:c>
      <x:c r="B89" s="8" t="str">
        <x:v>case</x:v>
      </x:c>
      <x:c r="C89" s="8" t="str">
        <x:v>Case row 89</x:v>
      </x:c>
      <x:c r="D89" s="8" t="str">
        <x:v>PASS</x:v>
      </x:c>
      <x:c r="E89" s="8" t="str">
        <x:f>IF('Cases'!F89='Cases'!G89,"PASS","FAIL")</x:f>
        <x:v>PASS</x:v>
      </x:c>
      <x:c r="F89" s="8" t="str">
        <x:f>IF(D89=E89,"PASS","FAIL")</x:f>
        <x:v>PASS</x:v>
      </x:c>
    </x:row>
    <x:row r="90">
      <x:c r="A90" s="8" t="str">
        <x:v>AU-085</x:v>
      </x:c>
      <x:c r="B90" s="8" t="str">
        <x:v>case</x:v>
      </x:c>
      <x:c r="C90" s="8" t="str">
        <x:v>Case row 90</x:v>
      </x:c>
      <x:c r="D90" s="8" t="str">
        <x:v>PASS</x:v>
      </x:c>
      <x:c r="E90" s="8" t="str">
        <x:f>IF('Cases'!F90='Cases'!G90,"PASS","FAIL")</x:f>
        <x:v>PASS</x:v>
      </x:c>
      <x:c r="F90" s="8" t="str">
        <x:f>IF(D90=E90,"PASS","FAIL")</x:f>
        <x:v>PASS</x:v>
      </x:c>
    </x:row>
    <x:row r="91">
      <x:c r="A91" s="8" t="str">
        <x:v>AU-086</x:v>
      </x:c>
      <x:c r="B91" s="8" t="str">
        <x:v>case</x:v>
      </x:c>
      <x:c r="C91" s="8" t="str">
        <x:v>Case row 91</x:v>
      </x:c>
      <x:c r="D91" s="8" t="str">
        <x:v>PASS</x:v>
      </x:c>
      <x:c r="E91" s="8" t="str">
        <x:f>IF('Cases'!F91='Cases'!G91,"PASS","FAIL")</x:f>
        <x:v>PASS</x:v>
      </x:c>
      <x:c r="F91" s="8" t="str">
        <x:f>IF(D91=E91,"PASS","FAIL")</x:f>
        <x:v>PASS</x:v>
      </x:c>
    </x:row>
    <x:row r="92">
      <x:c r="A92" s="8" t="str">
        <x:v>AU-087</x:v>
      </x:c>
      <x:c r="B92" s="8" t="str">
        <x:v>case</x:v>
      </x:c>
      <x:c r="C92" s="8" t="str">
        <x:v>Case row 92</x:v>
      </x:c>
      <x:c r="D92" s="8" t="str">
        <x:v>PASS</x:v>
      </x:c>
      <x:c r="E92" s="8" t="str">
        <x:f>IF('Cases'!F92='Cases'!G92,"PASS","FAIL")</x:f>
        <x:v>PASS</x:v>
      </x:c>
      <x:c r="F92" s="8" t="str">
        <x:f>IF(D92=E92,"PASS","FAIL")</x:f>
        <x:v>PASS</x:v>
      </x:c>
    </x:row>
    <x:row r="93">
      <x:c r="A93" s="8" t="str">
        <x:v>AU-088</x:v>
      </x:c>
      <x:c r="B93" s="8" t="str">
        <x:v>case</x:v>
      </x:c>
      <x:c r="C93" s="8" t="str">
        <x:v>Case row 93</x:v>
      </x:c>
      <x:c r="D93" s="8" t="str">
        <x:v>PASS</x:v>
      </x:c>
      <x:c r="E93" s="8" t="str">
        <x:f>IF('Cases'!F93='Cases'!G93,"PASS","FAIL")</x:f>
        <x:v>PASS</x:v>
      </x:c>
      <x:c r="F93" s="8" t="str">
        <x:f>IF(D93=E93,"PASS","FAIL")</x:f>
        <x:v>PASS</x:v>
      </x:c>
    </x:row>
    <x:row r="94">
      <x:c r="A94" s="8" t="str">
        <x:v>AU-089</x:v>
      </x:c>
      <x:c r="B94" s="8" t="str">
        <x:v>case</x:v>
      </x:c>
      <x:c r="C94" s="8" t="str">
        <x:v>Case row 94</x:v>
      </x:c>
      <x:c r="D94" s="8" t="str">
        <x:v>PASS</x:v>
      </x:c>
      <x:c r="E94" s="8" t="str">
        <x:f>IF('Cases'!F94='Cases'!G94,"PASS","FAIL")</x:f>
        <x:v>PASS</x:v>
      </x:c>
      <x:c r="F94" s="8" t="str">
        <x:f>IF(D94=E94,"PASS","FAIL")</x:f>
        <x:v>PASS</x:v>
      </x:c>
    </x:row>
    <x:row r="95">
      <x:c r="A95" s="8" t="str">
        <x:v>AU-090</x:v>
      </x:c>
      <x:c r="B95" s="8" t="str">
        <x:v>case</x:v>
      </x:c>
      <x:c r="C95" s="8" t="str">
        <x:v>Case row 95</x:v>
      </x:c>
      <x:c r="D95" s="8" t="str">
        <x:v>PASS</x:v>
      </x:c>
      <x:c r="E95" s="8" t="str">
        <x:f>IF('Cases'!F95='Cases'!G95,"PASS","FAIL")</x:f>
        <x:v>PASS</x:v>
      </x:c>
      <x:c r="F95" s="8" t="str">
        <x:f>IF(D95=E95,"PASS","FAIL")</x:f>
        <x:v>PASS</x:v>
      </x:c>
    </x:row>
    <x:row r="96">
      <x:c r="A96" s="8" t="str">
        <x:v>AU-091</x:v>
      </x:c>
      <x:c r="B96" s="8" t="str">
        <x:v>case</x:v>
      </x:c>
      <x:c r="C96" s="8" t="str">
        <x:v>Case row 96</x:v>
      </x:c>
      <x:c r="D96" s="8" t="str">
        <x:v>PASS</x:v>
      </x:c>
      <x:c r="E96" s="8" t="str">
        <x:f>IF('Cases'!F96='Cases'!G96,"PASS","FAIL")</x:f>
        <x:v>PASS</x:v>
      </x:c>
      <x:c r="F96" s="8" t="str">
        <x:f>IF(D96=E96,"PASS","FAIL")</x:f>
        <x:v>PASS</x:v>
      </x:c>
    </x:row>
    <x:row r="97">
      <x:c r="A97" s="8" t="str">
        <x:v>AU-092</x:v>
      </x:c>
      <x:c r="B97" s="8" t="str">
        <x:v>case</x:v>
      </x:c>
      <x:c r="C97" s="8" t="str">
        <x:v>Case row 97</x:v>
      </x:c>
      <x:c r="D97" s="8" t="str">
        <x:v>PASS</x:v>
      </x:c>
      <x:c r="E97" s="8" t="str">
        <x:f>IF('Cases'!F97='Cases'!G97,"PASS","FAIL")</x:f>
        <x:v>PASS</x:v>
      </x:c>
      <x:c r="F97" s="8" t="str">
        <x:f>IF(D97=E97,"PASS","FAIL")</x:f>
        <x:v>PASS</x:v>
      </x:c>
    </x:row>
    <x:row r="98">
      <x:c r="A98" s="8" t="str">
        <x:v>AU-093</x:v>
      </x:c>
      <x:c r="B98" s="8" t="str">
        <x:v>case</x:v>
      </x:c>
      <x:c r="C98" s="8" t="str">
        <x:v>Case row 98</x:v>
      </x:c>
      <x:c r="D98" s="8" t="str">
        <x:v>PASS</x:v>
      </x:c>
      <x:c r="E98" s="8" t="str">
        <x:f>IF('Cases'!F98='Cases'!G98,"PASS","FAIL")</x:f>
        <x:v>PASS</x:v>
      </x:c>
      <x:c r="F98" s="8" t="str">
        <x:f>IF(D98=E98,"PASS","FAIL")</x:f>
        <x:v>PASS</x:v>
      </x:c>
    </x:row>
    <x:row r="99">
      <x:c r="A99" s="8" t="str">
        <x:v>AU-094</x:v>
      </x:c>
      <x:c r="B99" s="8" t="str">
        <x:v>case</x:v>
      </x:c>
      <x:c r="C99" s="8" t="str">
        <x:v>Case row 99</x:v>
      </x:c>
      <x:c r="D99" s="8" t="str">
        <x:v>PASS</x:v>
      </x:c>
      <x:c r="E99" s="8" t="str">
        <x:f>IF('Cases'!F99='Cases'!G99,"PASS","FAIL")</x:f>
        <x:v>PASS</x:v>
      </x:c>
      <x:c r="F99" s="8" t="str">
        <x:f>IF(D99=E99,"PASS","FAIL")</x:f>
        <x:v>PASS</x:v>
      </x:c>
    </x:row>
    <x:row r="100">
      <x:c r="A100" s="8" t="str">
        <x:v>AU-095</x:v>
      </x:c>
      <x:c r="B100" s="8" t="str">
        <x:v>case</x:v>
      </x:c>
      <x:c r="C100" s="8" t="str">
        <x:v>Case row 100</x:v>
      </x:c>
      <x:c r="D100" s="8" t="str">
        <x:v>PASS</x:v>
      </x:c>
      <x:c r="E100" s="8" t="str">
        <x:f>IF('Cases'!F100='Cases'!G100,"PASS","FAIL")</x:f>
        <x:v>PASS</x:v>
      </x:c>
      <x:c r="F100" s="8" t="str">
        <x:f>IF(D100=E100,"PASS","FAIL")</x:f>
        <x:v>PASS</x:v>
      </x:c>
    </x:row>
    <x:row r="101">
      <x:c r="A101" s="8" t="str">
        <x:v>AU-096</x:v>
      </x:c>
      <x:c r="B101" s="8" t="str">
        <x:v>case</x:v>
      </x:c>
      <x:c r="C101" s="8" t="str">
        <x:v>Case row 101</x:v>
      </x:c>
      <x:c r="D101" s="8" t="str">
        <x:v>PASS</x:v>
      </x:c>
      <x:c r="E101" s="8" t="str">
        <x:f>IF('Cases'!F101='Cases'!G101,"PASS","FAIL")</x:f>
        <x:v>PASS</x:v>
      </x:c>
      <x:c r="F101" s="8" t="str">
        <x:f>IF(D101=E101,"PASS","FAIL")</x:f>
        <x:v>PASS</x:v>
      </x:c>
    </x:row>
    <x:row r="102">
      <x:c r="A102" s="8" t="str">
        <x:v>AU-097</x:v>
      </x:c>
      <x:c r="B102" s="8" t="str">
        <x:v>case</x:v>
      </x:c>
      <x:c r="C102" s="8" t="str">
        <x:v>Case row 102</x:v>
      </x:c>
      <x:c r="D102" s="8" t="str">
        <x:v>PASS</x:v>
      </x:c>
      <x:c r="E102" s="8" t="str">
        <x:f>IF('Cases'!F102='Cases'!G102,"PASS","FAIL")</x:f>
        <x:v>PASS</x:v>
      </x:c>
      <x:c r="F102" s="8" t="str">
        <x:f>IF(D102=E102,"PASS","FAIL")</x:f>
        <x:v>PASS</x:v>
      </x:c>
    </x:row>
    <x:row r="103">
      <x:c r="A103" s="8" t="str">
        <x:v>AU-098</x:v>
      </x:c>
      <x:c r="B103" s="8" t="str">
        <x:v>case</x:v>
      </x:c>
      <x:c r="C103" s="8" t="str">
        <x:v>Case row 103</x:v>
      </x:c>
      <x:c r="D103" s="8" t="str">
        <x:v>PASS</x:v>
      </x:c>
      <x:c r="E103" s="8" t="str">
        <x:f>IF('Cases'!F103='Cases'!G103,"PASS","FAIL")</x:f>
        <x:v>PASS</x:v>
      </x:c>
      <x:c r="F103" s="8" t="str">
        <x:f>IF(D103=E103,"PASS","FAIL")</x:f>
        <x:v>PASS</x:v>
      </x:c>
    </x:row>
    <x:row r="104">
      <x:c r="A104" s="8" t="str">
        <x:v>AU-099</x:v>
      </x:c>
      <x:c r="B104" s="8" t="str">
        <x:v>case</x:v>
      </x:c>
      <x:c r="C104" s="8" t="str">
        <x:v>Case row 104</x:v>
      </x:c>
      <x:c r="D104" s="8" t="str">
        <x:v>PASS</x:v>
      </x:c>
      <x:c r="E104" s="8" t="str">
        <x:f>IF('Cases'!F104='Cases'!G104,"PASS","FAIL")</x:f>
        <x:v>PASS</x:v>
      </x:c>
      <x:c r="F104" s="8" t="str">
        <x:f>IF(D104=E104,"PASS","FAIL")</x:f>
        <x:v>PASS</x:v>
      </x:c>
    </x:row>
    <x:row r="105">
      <x:c r="A105" s="8" t="str">
        <x:v>AU-100</x:v>
      </x:c>
      <x:c r="B105" s="8" t="str">
        <x:v>case</x:v>
      </x:c>
      <x:c r="C105" s="8" t="str">
        <x:v>Case row 105</x:v>
      </x:c>
      <x:c r="D105" s="8" t="str">
        <x:v>PASS</x:v>
      </x:c>
      <x:c r="E105" s="8" t="str">
        <x:f>IF('Cases'!F105='Cases'!G105,"PASS","FAIL")</x:f>
        <x:v>PASS</x:v>
      </x:c>
      <x:c r="F105" s="8" t="str">
        <x:f>IF(D105=E105,"PASS","FAIL")</x:f>
        <x:v>PASS</x:v>
      </x:c>
    </x:row>
    <x:row r="106">
      <x:c r="A106" s="8" t="str">
        <x:v>AU-101</x:v>
      </x:c>
      <x:c r="B106" s="8" t="str">
        <x:v>case</x:v>
      </x:c>
      <x:c r="C106" s="8" t="str">
        <x:v>Case row 106</x:v>
      </x:c>
      <x:c r="D106" s="8" t="str">
        <x:v>PASS</x:v>
      </x:c>
      <x:c r="E106" s="8" t="str">
        <x:f>IF('Cases'!F106='Cases'!G106,"PASS","FAIL")</x:f>
        <x:v>PASS</x:v>
      </x:c>
      <x:c r="F106" s="8" t="str">
        <x:f>IF(D106=E106,"PASS","FAIL")</x:f>
        <x:v>PASS</x:v>
      </x:c>
    </x:row>
    <x:row r="107">
      <x:c r="A107" s="8" t="str">
        <x:v>AU-102</x:v>
      </x:c>
      <x:c r="B107" s="8" t="str">
        <x:v>case</x:v>
      </x:c>
      <x:c r="C107" s="8" t="str">
        <x:v>Case row 107</x:v>
      </x:c>
      <x:c r="D107" s="8" t="str">
        <x:v>PASS</x:v>
      </x:c>
      <x:c r="E107" s="8" t="str">
        <x:f>IF('Cases'!F107='Cases'!G107,"PASS","FAIL")</x:f>
        <x:v>PASS</x:v>
      </x:c>
      <x:c r="F107" s="8" t="str">
        <x:f>IF(D107=E107,"PASS","FAIL")</x:f>
        <x:v>PASS</x:v>
      </x:c>
    </x:row>
    <x:row r="108">
      <x:c r="A108" s="8" t="str">
        <x:v>AU-103</x:v>
      </x:c>
      <x:c r="B108" s="8" t="str">
        <x:v>case</x:v>
      </x:c>
      <x:c r="C108" s="8" t="str">
        <x:v>Case row 108</x:v>
      </x:c>
      <x:c r="D108" s="8" t="str">
        <x:v>PASS</x:v>
      </x:c>
      <x:c r="E108" s="8" t="str">
        <x:f>IF('Cases'!F108='Cases'!G108,"PASS","FAIL")</x:f>
        <x:v>PASS</x:v>
      </x:c>
      <x:c r="F108" s="8" t="str">
        <x:f>IF(D108=E108,"PASS","FAIL")</x:f>
        <x:v>PASS</x:v>
      </x:c>
    </x:row>
    <x:row r="109">
      <x:c r="A109" s="8" t="str">
        <x:v>AU-104</x:v>
      </x:c>
      <x:c r="B109" s="8" t="str">
        <x:v>case</x:v>
      </x:c>
      <x:c r="C109" s="8" t="str">
        <x:v>Case row 109</x:v>
      </x:c>
      <x:c r="D109" s="8" t="str">
        <x:v>PASS</x:v>
      </x:c>
      <x:c r="E109" s="8" t="str">
        <x:f>IF('Cases'!F109='Cases'!G109,"PASS","FAIL")</x:f>
        <x:v>PASS</x:v>
      </x:c>
      <x:c r="F109" s="8" t="str">
        <x:f>IF(D109=E109,"PASS","FAIL")</x:f>
        <x:v>PASS</x:v>
      </x:c>
    </x:row>
    <x:row r="110">
      <x:c r="A110" s="8" t="str">
        <x:v>AU-105</x:v>
      </x:c>
      <x:c r="B110" s="8" t="str">
        <x:v>case</x:v>
      </x:c>
      <x:c r="C110" s="8" t="str">
        <x:v>Case row 110</x:v>
      </x:c>
      <x:c r="D110" s="8" t="str">
        <x:v>PASS</x:v>
      </x:c>
      <x:c r="E110" s="8" t="str">
        <x:f>IF('Cases'!F110='Cases'!G110,"PASS","FAIL")</x:f>
        <x:v>PASS</x:v>
      </x:c>
      <x:c r="F110" s="8" t="str">
        <x:f>IF(D110=E110,"PASS","FAIL")</x:f>
        <x:v>PASS</x:v>
      </x:c>
    </x:row>
    <x:row r="111">
      <x:c r="A111" s="8" t="str">
        <x:v>AU-106</x:v>
      </x:c>
      <x:c r="B111" s="8" t="str">
        <x:v>case</x:v>
      </x:c>
      <x:c r="C111" s="8" t="str">
        <x:v>Case row 111</x:v>
      </x:c>
      <x:c r="D111" s="8" t="str">
        <x:v>PASS</x:v>
      </x:c>
      <x:c r="E111" s="8" t="str">
        <x:f>IF('Cases'!F111='Cases'!G111,"PASS","FAIL")</x:f>
        <x:v>PASS</x:v>
      </x:c>
      <x:c r="F111" s="8" t="str">
        <x:f>IF(D111=E111,"PASS","FAIL")</x:f>
        <x:v>PASS</x:v>
      </x:c>
    </x:row>
    <x:row r="112">
      <x:c r="A112" s="8" t="str">
        <x:v>AU-107</x:v>
      </x:c>
      <x:c r="B112" s="8" t="str">
        <x:v>case</x:v>
      </x:c>
      <x:c r="C112" s="8" t="str">
        <x:v>Case row 112</x:v>
      </x:c>
      <x:c r="D112" s="8" t="str">
        <x:v>PASS</x:v>
      </x:c>
      <x:c r="E112" s="8" t="str">
        <x:f>IF('Cases'!F112='Cases'!G112,"PASS","FAIL")</x:f>
        <x:v>PASS</x:v>
      </x:c>
      <x:c r="F112" s="8" t="str">
        <x:f>IF(D112=E112,"PASS","FAIL")</x:f>
        <x:v>PASS</x:v>
      </x:c>
    </x:row>
    <x:row r="113">
      <x:c r="A113" s="8" t="str">
        <x:v>AU-108</x:v>
      </x:c>
      <x:c r="B113" s="8" t="str">
        <x:v>case</x:v>
      </x:c>
      <x:c r="C113" s="8" t="str">
        <x:v>Case row 113</x:v>
      </x:c>
      <x:c r="D113" s="8" t="str">
        <x:v>PASS</x:v>
      </x:c>
      <x:c r="E113" s="8" t="str">
        <x:f>IF('Cases'!F113='Cases'!G113,"PASS","FAIL")</x:f>
        <x:v>PASS</x:v>
      </x:c>
      <x:c r="F113" s="8" t="str">
        <x:f>IF(D113=E113,"PASS","FAIL")</x:f>
        <x:v>PASS</x:v>
      </x:c>
    </x:row>
    <x:row r="114">
      <x:c r="A114" s="8" t="str">
        <x:v>AU-109</x:v>
      </x:c>
      <x:c r="B114" s="8" t="str">
        <x:v>case</x:v>
      </x:c>
      <x:c r="C114" s="8" t="str">
        <x:v>Case row 114</x:v>
      </x:c>
      <x:c r="D114" s="8" t="str">
        <x:v>PASS</x:v>
      </x:c>
      <x:c r="E114" s="8" t="str">
        <x:f>IF('Cases'!F114='Cases'!G114,"PASS","FAIL")</x:f>
        <x:v>PASS</x:v>
      </x:c>
      <x:c r="F114" s="8" t="str">
        <x:f>IF(D114=E114,"PASS","FAIL")</x:f>
        <x:v>PASS</x:v>
      </x:c>
    </x:row>
    <x:row r="115">
      <x:c r="A115" s="8" t="str">
        <x:v>AU-110</x:v>
      </x:c>
      <x:c r="B115" s="8" t="str">
        <x:v>case</x:v>
      </x:c>
      <x:c r="C115" s="8" t="str">
        <x:v>Case row 115</x:v>
      </x:c>
      <x:c r="D115" s="8" t="str">
        <x:v>PASS</x:v>
      </x:c>
      <x:c r="E115" s="8" t="str">
        <x:f>IF('Cases'!F115='Cases'!G115,"PASS","FAIL")</x:f>
        <x:v>PASS</x:v>
      </x:c>
      <x:c r="F115" s="8" t="str">
        <x:f>IF(D115=E115,"PASS","FAIL")</x:f>
        <x:v>PASS</x:v>
      </x:c>
    </x:row>
    <x:row r="116">
      <x:c r="A116" s="8" t="str">
        <x:v>AU-111</x:v>
      </x:c>
      <x:c r="B116" s="8" t="str">
        <x:v>case</x:v>
      </x:c>
      <x:c r="C116" s="8" t="str">
        <x:v>Case row 116</x:v>
      </x:c>
      <x:c r="D116" s="8" t="str">
        <x:v>PASS</x:v>
      </x:c>
      <x:c r="E116" s="8" t="str">
        <x:f>IF('Cases'!F116='Cases'!G116,"PASS","FAIL")</x:f>
        <x:v>PASS</x:v>
      </x:c>
      <x:c r="F116" s="8" t="str">
        <x:f>IF(D116=E116,"PASS","FAIL")</x:f>
        <x:v>PASS</x:v>
      </x:c>
    </x:row>
    <x:row r="117">
      <x:c r="A117" s="8" t="str">
        <x:v>AU-112</x:v>
      </x:c>
      <x:c r="B117" s="8" t="str">
        <x:v>case</x:v>
      </x:c>
      <x:c r="C117" s="8" t="str">
        <x:v>Case row 117</x:v>
      </x:c>
      <x:c r="D117" s="8" t="str">
        <x:v>PASS</x:v>
      </x:c>
      <x:c r="E117" s="8" t="str">
        <x:f>IF('Cases'!F117='Cases'!G117,"PASS","FAIL")</x:f>
        <x:v>PASS</x:v>
      </x:c>
      <x:c r="F117" s="8" t="str">
        <x:f>IF(D117=E117,"PASS","FAIL")</x:f>
        <x:v>PASS</x:v>
      </x:c>
    </x:row>
    <x:row r="118">
      <x:c r="A118" s="8" t="str">
        <x:v>AU-113</x:v>
      </x:c>
      <x:c r="B118" s="8" t="str">
        <x:v>case</x:v>
      </x:c>
      <x:c r="C118" s="8" t="str">
        <x:v>Case row 118</x:v>
      </x:c>
      <x:c r="D118" s="8" t="str">
        <x:v>PASS</x:v>
      </x:c>
      <x:c r="E118" s="8" t="str">
        <x:f>IF('Cases'!F118='Cases'!G118,"PASS","FAIL")</x:f>
        <x:v>PASS</x:v>
      </x:c>
      <x:c r="F118" s="8" t="str">
        <x:f>IF(D118=E118,"PASS","FAIL")</x:f>
        <x:v>PASS</x:v>
      </x:c>
    </x:row>
    <x:row r="119">
      <x:c r="A119" s="8" t="str">
        <x:v>AU-114</x:v>
      </x:c>
      <x:c r="B119" s="8" t="str">
        <x:v>case</x:v>
      </x:c>
      <x:c r="C119" s="8" t="str">
        <x:v>Case row 119</x:v>
      </x:c>
      <x:c r="D119" s="8" t="str">
        <x:v>PASS</x:v>
      </x:c>
      <x:c r="E119" s="8" t="str">
        <x:f>IF('Cases'!F119='Cases'!G119,"PASS","FAIL")</x:f>
        <x:v>PASS</x:v>
      </x:c>
      <x:c r="F119" s="8" t="str">
        <x:f>IF(D119=E119,"PASS","FAIL")</x:f>
        <x:v>PASS</x:v>
      </x:c>
    </x:row>
    <x:row r="120">
      <x:c r="A120" s="8" t="str">
        <x:v>AU-115</x:v>
      </x:c>
      <x:c r="B120" s="8" t="str">
        <x:v>case</x:v>
      </x:c>
      <x:c r="C120" s="8" t="str">
        <x:v>Case row 120</x:v>
      </x:c>
      <x:c r="D120" s="8" t="str">
        <x:v>PASS</x:v>
      </x:c>
      <x:c r="E120" s="8" t="str">
        <x:f>IF('Cases'!F120='Cases'!G120,"PASS","FAIL")</x:f>
        <x:v>PASS</x:v>
      </x:c>
      <x:c r="F120" s="8" t="str">
        <x:f>IF(D120=E120,"PASS","FAIL")</x:f>
        <x:v>PASS</x:v>
      </x:c>
    </x:row>
    <x:row r="121">
      <x:c r="A121" s="8" t="str">
        <x:v>AU-116</x:v>
      </x:c>
      <x:c r="B121" s="8" t="str">
        <x:v>case</x:v>
      </x:c>
      <x:c r="C121" s="8" t="str">
        <x:v>Case row 121</x:v>
      </x:c>
      <x:c r="D121" s="8" t="str">
        <x:v>PASS</x:v>
      </x:c>
      <x:c r="E121" s="8" t="str">
        <x:f>IF('Cases'!F121='Cases'!G121,"PASS","FAIL")</x:f>
        <x:v>PASS</x:v>
      </x:c>
      <x:c r="F121" s="8" t="str">
        <x:f>IF(D121=E121,"PASS","FAIL")</x:f>
        <x:v>PASS</x:v>
      </x:c>
    </x:row>
    <x:row r="122">
      <x:c r="A122" s="8" t="str">
        <x:v>AU-117</x:v>
      </x:c>
      <x:c r="B122" s="8" t="str">
        <x:v>case</x:v>
      </x:c>
      <x:c r="C122" s="8" t="str">
        <x:v>Case row 122</x:v>
      </x:c>
      <x:c r="D122" s="8" t="str">
        <x:v>PASS</x:v>
      </x:c>
      <x:c r="E122" s="8" t="str">
        <x:f>IF('Cases'!F122='Cases'!G122,"PASS","FAIL")</x:f>
        <x:v>PASS</x:v>
      </x:c>
      <x:c r="F122" s="8" t="str">
        <x:f>IF(D122=E122,"PASS","FAIL")</x:f>
        <x:v>PASS</x:v>
      </x:c>
    </x:row>
    <x:row r="123">
      <x:c r="A123" s="8" t="str">
        <x:v>AU-118</x:v>
      </x:c>
      <x:c r="B123" s="8" t="str">
        <x:v>case</x:v>
      </x:c>
      <x:c r="C123" s="8" t="str">
        <x:v>Case row 123</x:v>
      </x:c>
      <x:c r="D123" s="8" t="str">
        <x:v>PASS</x:v>
      </x:c>
      <x:c r="E123" s="8" t="str">
        <x:f>IF('Cases'!F123='Cases'!G123,"PASS","FAIL")</x:f>
        <x:v>PASS</x:v>
      </x:c>
      <x:c r="F123" s="8" t="str">
        <x:f>IF(D123=E123,"PASS","FAIL")</x:f>
        <x:v>PASS</x:v>
      </x:c>
    </x:row>
    <x:row r="124">
      <x:c r="A124" s="8" t="str">
        <x:v>AU-119</x:v>
      </x:c>
      <x:c r="B124" s="8" t="str">
        <x:v>case</x:v>
      </x:c>
      <x:c r="C124" s="8" t="str">
        <x:v>Case row 124</x:v>
      </x:c>
      <x:c r="D124" s="8" t="str">
        <x:v>PASS</x:v>
      </x:c>
      <x:c r="E124" s="8" t="str">
        <x:f>IF('Cases'!F124='Cases'!G124,"PASS","FAIL")</x:f>
        <x:v>PASS</x:v>
      </x:c>
      <x:c r="F124" s="8" t="str">
        <x:f>IF(D124=E124,"PASS","FAIL")</x:f>
        <x:v>PASS</x:v>
      </x:c>
    </x:row>
    <x:row r="125">
      <x:c r="A125" s="8" t="str">
        <x:v>AU-120</x:v>
      </x:c>
      <x:c r="B125" s="8" t="str">
        <x:v>case</x:v>
      </x:c>
      <x:c r="C125" s="8" t="str">
        <x:v>Case row 125</x:v>
      </x:c>
      <x:c r="D125" s="8" t="str">
        <x:v>PASS</x:v>
      </x:c>
      <x:c r="E125" s="8" t="str">
        <x:f>IF('Cases'!F125='Cases'!G125,"PASS","FAIL")</x:f>
        <x:v>PASS</x:v>
      </x:c>
      <x:c r="F125" s="8" t="str">
        <x:f>IF(D125=E125,"PASS","FAIL")</x:f>
        <x:v>PASS</x:v>
      </x:c>
    </x:row>
    <x:row r="126">
      <x:c r="A126" s="8" t="str">
        <x:v>AU-121</x:v>
      </x:c>
      <x:c r="B126" s="8" t="str">
        <x:v>reconcile</x:v>
      </x:c>
      <x:c r="C126" s="8" t="str">
        <x:v>required attempts</x:v>
      </x:c>
      <x:c r="D126" s="8" t="n">
        <x:v>120</x:v>
      </x:c>
      <x:c r="E126" s="8" t="n">
        <x:f>'Inventory'!B6</x:f>
        <x:v>120</x:v>
      </x:c>
      <x:c r="F126" s="8" t="str">
        <x:f>IF(ABS(D126-E126)&lt;0.000001,"PASS","FAIL")</x:f>
        <x:v>PASS</x:v>
      </x:c>
    </x:row>
    <x:row r="127">
      <x:c r="A127" s="8" t="str">
        <x:v>AU-122</x:v>
      </x:c>
      <x:c r="B127" s="8" t="str">
        <x:v>reconcile</x:v>
      </x:c>
      <x:c r="C127" s="8" t="str">
        <x:v>maximum attempts</x:v>
      </x:c>
      <x:c r="D127" s="8" t="n">
        <x:v>160</x:v>
      </x:c>
      <x:c r="E127" s="8" t="n">
        <x:f>'Inventory'!C6</x:f>
        <x:v>160</x:v>
      </x:c>
      <x:c r="F127" s="8" t="str">
        <x:f>IF(ABS(D127-E127)&lt;0.000001,"PASS","FAIL")</x:f>
        <x:v>PASS</x:v>
      </x:c>
    </x:row>
    <x:row r="128">
      <x:c r="A128" s="8" t="str">
        <x:v>AU-123</x:v>
      </x:c>
      <x:c r="B128" s="8" t="str">
        <x:v>reconcile</x:v>
      </x:c>
      <x:c r="C128" s="8" t="str">
        <x:v>required source</x:v>
      </x:c>
      <x:c r="D128" s="8" t="n">
        <x:v>26400</x:v>
      </x:c>
      <x:c r="E128" s="8" t="n">
        <x:f>'Inventory'!B7</x:f>
        <x:v>26400</x:v>
      </x:c>
      <x:c r="F128" s="8" t="str">
        <x:f>IF(ABS(D128-E128)&lt;0.000001,"PASS","FAIL")</x:f>
        <x:v>PASS</x:v>
      </x:c>
    </x:row>
    <x:row r="129">
      <x:c r="A129" s="8" t="str">
        <x:v>AU-124</x:v>
      </x:c>
      <x:c r="B129" s="8" t="str">
        <x:v>reconcile</x:v>
      </x:c>
      <x:c r="C129" s="8" t="str">
        <x:v>maximum source</x:v>
      </x:c>
      <x:c r="D129" s="8" t="n">
        <x:v>35200</x:v>
      </x:c>
      <x:c r="E129" s="8" t="n">
        <x:f>'Inventory'!C7</x:f>
        <x:v>35200</x:v>
      </x:c>
      <x:c r="F129" s="8" t="str">
        <x:f>IF(ABS(D129-E129)&lt;0.000001,"PASS","FAIL")</x:f>
        <x:v>PASS</x:v>
      </x:c>
    </x:row>
    <x:row r="130">
      <x:c r="A130" s="8" t="str">
        <x:v>AU-125</x:v>
      </x:c>
      <x:c r="B130" s="8" t="str">
        <x:v>reconcile</x:v>
      </x:c>
      <x:c r="C130" s="8" t="str">
        <x:v>required water</x:v>
      </x:c>
      <x:c r="D130" s="8" t="n">
        <x:v>1641.6</x:v>
      </x:c>
      <x:c r="E130" s="8" t="n">
        <x:f>'Inventory'!B8</x:f>
        <x:v>1641.6</x:v>
      </x:c>
      <x:c r="F130" s="8" t="str">
        <x:f>IF(ABS(D130-E130)&lt;0.000001,"PASS","FAIL")</x:f>
        <x:v>PASS</x:v>
      </x:c>
    </x:row>
    <x:row r="131">
      <x:c r="A131" s="8" t="str">
        <x:v>AU-126</x:v>
      </x:c>
      <x:c r="B131" s="8" t="str">
        <x:v>reconcile</x:v>
      </x:c>
      <x:c r="C131" s="8" t="str">
        <x:v>maximum water</x:v>
      </x:c>
      <x:c r="D131" s="8" t="n">
        <x:v>2188.8</x:v>
      </x:c>
      <x:c r="E131" s="8" t="n">
        <x:f>'Inventory'!C8</x:f>
        <x:v>2188.8</x:v>
      </x:c>
      <x:c r="F131" s="8" t="str">
        <x:f>IF(ABS(D131-E131)&lt;0.000001,"PASS","FAIL")</x:f>
        <x:v>PASS</x:v>
      </x:c>
    </x:row>
    <x:row r="132">
      <x:c r="A132" s="8" t="str">
        <x:v>AU-127</x:v>
      </x:c>
      <x:c r="B132" s="8" t="str">
        <x:v>reconcile</x:v>
      </x:c>
      <x:c r="C132" s="8" t="str">
        <x:v>technology</x:v>
      </x:c>
      <x:c r="D132" s="8" t="n">
        <x:v>235</x:v>
      </x:c>
      <x:c r="E132" s="8" t="n">
        <x:f>'Technology'!B18</x:f>
        <x:v>235</x:v>
      </x:c>
      <x:c r="F132" s="8" t="str">
        <x:f>IF(ABS(D132-E132)&lt;0.000001,"PASS","FAIL")</x:f>
        <x:v>PASS</x:v>
      </x:c>
    </x:row>
    <x:row r="133">
      <x:c r="A133" s="8" t="str">
        <x:v>AU-128</x:v>
      </x:c>
      <x:c r="B133" s="8" t="str">
        <x:v>reconcile</x:v>
      </x:c>
      <x:c r="C133" s="8" t="str">
        <x:v>workforce</x:v>
      </x:c>
      <x:c r="D133" s="8" t="n">
        <x:v>720</x:v>
      </x:c>
      <x:c r="E133" s="8" t="n">
        <x:f>'Workforce'!B15</x:f>
        <x:v>720</x:v>
      </x:c>
      <x:c r="F133" s="8" t="str">
        <x:f>IF(ABS(D133-E133)&lt;0.000001,"PASS","FAIL")</x:f>
        <x:v>PASS</x:v>
      </x:c>
    </x:row>
    <x:row r="134">
      <x:c r="A134" s="8" t="str">
        <x:v>AU-129</x:v>
      </x:c>
      <x:c r="B134" s="8" t="str">
        <x:v>reconcile</x:v>
      </x:c>
      <x:c r="C134" s="8" t="str">
        <x:v>stage exposure</x:v>
      </x:c>
      <x:c r="D134" s="8" t="n">
        <x:v>1301</x:v>
      </x:c>
      <x:c r="E134" s="8" t="n">
        <x:f>'Finance'!B16</x:f>
        <x:v>1301</x:v>
      </x:c>
      <x:c r="F134" s="8" t="str">
        <x:f>IF(ABS(D134-E134)&lt;0.000001,"PASS","FAIL")</x:f>
        <x:v>PASS</x:v>
      </x:c>
    </x:row>
    <x:row r="135">
      <x:c r="A135" s="8" t="str">
        <x:v>AU-130</x:v>
      </x:c>
      <x:c r="B135" s="8" t="str">
        <x:v>reconcile</x:v>
      </x:c>
      <x:c r="C135" s="8" t="str">
        <x:v>cumulative child</x:v>
      </x:c>
      <x:c r="D135" s="8" t="n">
        <x:v>2475.25</x:v>
      </x:c>
      <x:c r="E135" s="8" t="n">
        <x:f>'Finance'!B18</x:f>
        <x:v>2475.25</x:v>
      </x:c>
      <x:c r="F135" s="8" t="str">
        <x:f>IF(ABS(D135-E135)&lt;0.000001,"PASS","FAIL")</x:f>
        <x:v>PASS</x:v>
      </x:c>
    </x:row>
    <x:row r="136">
      <x:c r="A136" s="8" t="str">
        <x:v>AU-131</x:v>
      </x:c>
      <x:c r="B136" s="8" t="str">
        <x:v>reconcile</x:v>
      </x:c>
      <x:c r="C136" s="8" t="str">
        <x:v>required attempts</x:v>
      </x:c>
      <x:c r="D136" s="8" t="n">
        <x:v>120</x:v>
      </x:c>
      <x:c r="E136" s="8" t="n">
        <x:f>'Inventory'!B6</x:f>
        <x:v>120</x:v>
      </x:c>
      <x:c r="F136" s="8" t="str">
        <x:f>IF(ABS(D136-E136)&lt;0.000001,"PASS","FAIL")</x:f>
        <x:v>PASS</x:v>
      </x:c>
    </x:row>
    <x:row r="137">
      <x:c r="A137" s="8" t="str">
        <x:v>AU-132</x:v>
      </x:c>
      <x:c r="B137" s="8" t="str">
        <x:v>reconcile</x:v>
      </x:c>
      <x:c r="C137" s="8" t="str">
        <x:v>maximum attempts</x:v>
      </x:c>
      <x:c r="D137" s="8" t="n">
        <x:v>160</x:v>
      </x:c>
      <x:c r="E137" s="8" t="n">
        <x:f>'Inventory'!C6</x:f>
        <x:v>160</x:v>
      </x:c>
      <x:c r="F137" s="8" t="str">
        <x:f>IF(ABS(D137-E137)&lt;0.000001,"PASS","FAIL")</x:f>
        <x:v>PASS</x:v>
      </x:c>
    </x:row>
    <x:row r="138">
      <x:c r="A138" s="8" t="str">
        <x:v>AU-133</x:v>
      </x:c>
      <x:c r="B138" s="8" t="str">
        <x:v>reconcile</x:v>
      </x:c>
      <x:c r="C138" s="8" t="str">
        <x:v>required source</x:v>
      </x:c>
      <x:c r="D138" s="8" t="n">
        <x:v>26400</x:v>
      </x:c>
      <x:c r="E138" s="8" t="n">
        <x:f>'Inventory'!B7</x:f>
        <x:v>26400</x:v>
      </x:c>
      <x:c r="F138" s="8" t="str">
        <x:f>IF(ABS(D138-E138)&lt;0.000001,"PASS","FAIL")</x:f>
        <x:v>PASS</x:v>
      </x:c>
    </x:row>
    <x:row r="139">
      <x:c r="A139" s="8" t="str">
        <x:v>AU-134</x:v>
      </x:c>
      <x:c r="B139" s="8" t="str">
        <x:v>reconcile</x:v>
      </x:c>
      <x:c r="C139" s="8" t="str">
        <x:v>maximum source</x:v>
      </x:c>
      <x:c r="D139" s="8" t="n">
        <x:v>35200</x:v>
      </x:c>
      <x:c r="E139" s="8" t="n">
        <x:f>'Inventory'!C7</x:f>
        <x:v>35200</x:v>
      </x:c>
      <x:c r="F139" s="8" t="str">
        <x:f>IF(ABS(D139-E139)&lt;0.000001,"PASS","FAIL")</x:f>
        <x:v>PASS</x:v>
      </x:c>
    </x:row>
    <x:row r="140">
      <x:c r="A140" s="8" t="str">
        <x:v>AU-135</x:v>
      </x:c>
      <x:c r="B140" s="8" t="str">
        <x:v>reconcile</x:v>
      </x:c>
      <x:c r="C140" s="8" t="str">
        <x:v>required water</x:v>
      </x:c>
      <x:c r="D140" s="8" t="n">
        <x:v>1641.6</x:v>
      </x:c>
      <x:c r="E140" s="8" t="n">
        <x:f>'Inventory'!B8</x:f>
        <x:v>1641.6</x:v>
      </x:c>
      <x:c r="F140" s="8" t="str">
        <x:f>IF(ABS(D140-E140)&lt;0.000001,"PASS","FAIL")</x:f>
        <x:v>PASS</x:v>
      </x:c>
    </x:row>
    <x:row r="141">
      <x:c r="A141" s="8" t="str">
        <x:v>AU-136</x:v>
      </x:c>
      <x:c r="B141" s="8" t="str">
        <x:v>reconcile</x:v>
      </x:c>
      <x:c r="C141" s="8" t="str">
        <x:v>maximum water</x:v>
      </x:c>
      <x:c r="D141" s="8" t="n">
        <x:v>2188.8</x:v>
      </x:c>
      <x:c r="E141" s="8" t="n">
        <x:f>'Inventory'!C8</x:f>
        <x:v>2188.8</x:v>
      </x:c>
      <x:c r="F141" s="8" t="str">
        <x:f>IF(ABS(D141-E141)&lt;0.000001,"PASS","FAIL")</x:f>
        <x:v>PASS</x:v>
      </x:c>
    </x:row>
    <x:row r="142">
      <x:c r="A142" s="8" t="str">
        <x:v>AU-137</x:v>
      </x:c>
      <x:c r="B142" s="8" t="str">
        <x:v>reconcile</x:v>
      </x:c>
      <x:c r="C142" s="8" t="str">
        <x:v>technology</x:v>
      </x:c>
      <x:c r="D142" s="8" t="n">
        <x:v>235</x:v>
      </x:c>
      <x:c r="E142" s="8" t="n">
        <x:f>'Technology'!B18</x:f>
        <x:v>235</x:v>
      </x:c>
      <x:c r="F142" s="8" t="str">
        <x:f>IF(ABS(D142-E142)&lt;0.000001,"PASS","FAIL")</x:f>
        <x:v>PASS</x:v>
      </x:c>
    </x:row>
    <x:row r="143">
      <x:c r="A143" s="8" t="str">
        <x:v>AU-138</x:v>
      </x:c>
      <x:c r="B143" s="8" t="str">
        <x:v>reconcile</x:v>
      </x:c>
      <x:c r="C143" s="8" t="str">
        <x:v>workforce</x:v>
      </x:c>
      <x:c r="D143" s="8" t="n">
        <x:v>720</x:v>
      </x:c>
      <x:c r="E143" s="8" t="n">
        <x:f>'Workforce'!B15</x:f>
        <x:v>720</x:v>
      </x:c>
      <x:c r="F143" s="8" t="str">
        <x:f>IF(ABS(D143-E143)&lt;0.000001,"PASS","FAIL")</x:f>
        <x:v>PASS</x:v>
      </x:c>
    </x:row>
    <x:row r="144">
      <x:c r="A144" s="8" t="str">
        <x:v>AU-139</x:v>
      </x:c>
      <x:c r="B144" s="8" t="str">
        <x:v>reconcile</x:v>
      </x:c>
      <x:c r="C144" s="8" t="str">
        <x:v>stage exposure</x:v>
      </x:c>
      <x:c r="D144" s="8" t="n">
        <x:v>1301</x:v>
      </x:c>
      <x:c r="E144" s="8" t="n">
        <x:f>'Finance'!B16</x:f>
        <x:v>1301</x:v>
      </x:c>
      <x:c r="F144" s="8" t="str">
        <x:f>IF(ABS(D144-E144)&lt;0.000001,"PASS","FAIL")</x:f>
        <x:v>PASS</x:v>
      </x:c>
    </x:row>
    <x:row r="145">
      <x:c r="A145" s="8" t="str">
        <x:v>AU-140</x:v>
      </x:c>
      <x:c r="B145" s="8" t="str">
        <x:v>reconcile</x:v>
      </x:c>
      <x:c r="C145" s="8" t="str">
        <x:v>cumulative child</x:v>
      </x:c>
      <x:c r="D145" s="8" t="n">
        <x:v>2475.25</x:v>
      </x:c>
      <x:c r="E145" s="8" t="n">
        <x:f>'Finance'!B18</x:f>
        <x:v>2475.25</x:v>
      </x:c>
      <x:c r="F145" s="8" t="str">
        <x:f>IF(ABS(D145-E145)&lt;0.000001,"PASS","FAIL")</x:f>
        <x:v>PASS</x:v>
      </x:c>
    </x:row>
    <x:row r="146">
      <x:c r="A146" s="8" t="str">
        <x:v>AU-141</x:v>
      </x:c>
      <x:c r="B146" s="8" t="str">
        <x:v>reconcile</x:v>
      </x:c>
      <x:c r="C146" s="8" t="str">
        <x:v>required attempts</x:v>
      </x:c>
      <x:c r="D146" s="8" t="n">
        <x:v>120</x:v>
      </x:c>
      <x:c r="E146" s="8" t="n">
        <x:f>'Inventory'!B6</x:f>
        <x:v>120</x:v>
      </x:c>
      <x:c r="F146" s="8" t="str">
        <x:f>IF(ABS(D146-E146)&lt;0.000001,"PASS","FAIL")</x:f>
        <x:v>PASS</x:v>
      </x:c>
    </x:row>
    <x:row r="147">
      <x:c r="A147" s="8" t="str">
        <x:v>AU-142</x:v>
      </x:c>
      <x:c r="B147" s="8" t="str">
        <x:v>reconcile</x:v>
      </x:c>
      <x:c r="C147" s="8" t="str">
        <x:v>maximum attempts</x:v>
      </x:c>
      <x:c r="D147" s="8" t="n">
        <x:v>160</x:v>
      </x:c>
      <x:c r="E147" s="8" t="n">
        <x:f>'Inventory'!C6</x:f>
        <x:v>160</x:v>
      </x:c>
      <x:c r="F147" s="8" t="str">
        <x:f>IF(ABS(D147-E147)&lt;0.000001,"PASS","FAIL")</x:f>
        <x:v>PASS</x:v>
      </x:c>
    </x:row>
    <x:row r="148">
      <x:c r="A148" s="8" t="str">
        <x:v>AU-143</x:v>
      </x:c>
      <x:c r="B148" s="8" t="str">
        <x:v>reconcile</x:v>
      </x:c>
      <x:c r="C148" s="8" t="str">
        <x:v>required source</x:v>
      </x:c>
      <x:c r="D148" s="8" t="n">
        <x:v>26400</x:v>
      </x:c>
      <x:c r="E148" s="8" t="n">
        <x:f>'Inventory'!B7</x:f>
        <x:v>26400</x:v>
      </x:c>
      <x:c r="F148" s="8" t="str">
        <x:f>IF(ABS(D148-E148)&lt;0.000001,"PASS","FAIL")</x:f>
        <x:v>PASS</x:v>
      </x:c>
    </x:row>
    <x:row r="149">
      <x:c r="A149" s="8" t="str">
        <x:v>AU-144</x:v>
      </x:c>
      <x:c r="B149" s="8" t="str">
        <x:v>reconcile</x:v>
      </x:c>
      <x:c r="C149" s="8" t="str">
        <x:v>maximum source</x:v>
      </x:c>
      <x:c r="D149" s="8" t="n">
        <x:v>35200</x:v>
      </x:c>
      <x:c r="E149" s="8" t="n">
        <x:f>'Inventory'!C7</x:f>
        <x:v>35200</x:v>
      </x:c>
      <x:c r="F149" s="8" t="str">
        <x:f>IF(ABS(D149-E149)&lt;0.000001,"PASS","FAIL")</x:f>
        <x:v>PASS</x:v>
      </x:c>
    </x:row>
    <x:row r="150">
      <x:c r="A150" s="8" t="str">
        <x:v>AU-145</x:v>
      </x:c>
      <x:c r="B150" s="8" t="str">
        <x:v>reconcile</x:v>
      </x:c>
      <x:c r="C150" s="8" t="str">
        <x:v>required water</x:v>
      </x:c>
      <x:c r="D150" s="8" t="n">
        <x:v>1641.6</x:v>
      </x:c>
      <x:c r="E150" s="8" t="n">
        <x:f>'Inventory'!B8</x:f>
        <x:v>1641.6</x:v>
      </x:c>
      <x:c r="F150" s="8" t="str">
        <x:f>IF(ABS(D150-E150)&lt;0.000001,"PASS","FAIL")</x:f>
        <x:v>PASS</x:v>
      </x:c>
    </x:row>
    <x:row r="151">
      <x:c r="A151" s="8" t="str">
        <x:v>AU-146</x:v>
      </x:c>
      <x:c r="B151" s="8" t="str">
        <x:v>reconcile</x:v>
      </x:c>
      <x:c r="C151" s="8" t="str">
        <x:v>maximum water</x:v>
      </x:c>
      <x:c r="D151" s="8" t="n">
        <x:v>2188.8</x:v>
      </x:c>
      <x:c r="E151" s="8" t="n">
        <x:f>'Inventory'!C8</x:f>
        <x:v>2188.8</x:v>
      </x:c>
      <x:c r="F151" s="8" t="str">
        <x:f>IF(ABS(D151-E151)&lt;0.000001,"PASS","FAIL")</x:f>
        <x:v>PASS</x:v>
      </x:c>
    </x:row>
    <x:row r="152">
      <x:c r="A152" s="8" t="str">
        <x:v>AU-147</x:v>
      </x:c>
      <x:c r="B152" s="8" t="str">
        <x:v>reconcile</x:v>
      </x:c>
      <x:c r="C152" s="8" t="str">
        <x:v>technology</x:v>
      </x:c>
      <x:c r="D152" s="8" t="n">
        <x:v>235</x:v>
      </x:c>
      <x:c r="E152" s="8" t="n">
        <x:f>'Technology'!B18</x:f>
        <x:v>235</x:v>
      </x:c>
      <x:c r="F152" s="8" t="str">
        <x:f>IF(ABS(D152-E152)&lt;0.000001,"PASS","FAIL")</x:f>
        <x:v>PASS</x:v>
      </x:c>
    </x:row>
    <x:row r="153">
      <x:c r="A153" s="8" t="str">
        <x:v>AU-148</x:v>
      </x:c>
      <x:c r="B153" s="8" t="str">
        <x:v>reconcile</x:v>
      </x:c>
      <x:c r="C153" s="8" t="str">
        <x:v>workforce</x:v>
      </x:c>
      <x:c r="D153" s="8" t="n">
        <x:v>720</x:v>
      </x:c>
      <x:c r="E153" s="8" t="n">
        <x:f>'Workforce'!B15</x:f>
        <x:v>720</x:v>
      </x:c>
      <x:c r="F153" s="8" t="str">
        <x:f>IF(ABS(D153-E153)&lt;0.000001,"PASS","FAIL")</x:f>
        <x:v>PASS</x:v>
      </x:c>
    </x:row>
    <x:row r="154">
      <x:c r="A154" s="8" t="str">
        <x:v>AU-149</x:v>
      </x:c>
      <x:c r="B154" s="8" t="str">
        <x:v>reconcile</x:v>
      </x:c>
      <x:c r="C154" s="8" t="str">
        <x:v>stage exposure</x:v>
      </x:c>
      <x:c r="D154" s="8" t="n">
        <x:v>1301</x:v>
      </x:c>
      <x:c r="E154" s="8" t="n">
        <x:f>'Finance'!B16</x:f>
        <x:v>1301</x:v>
      </x:c>
      <x:c r="F154" s="8" t="str">
        <x:f>IF(ABS(D154-E154)&lt;0.000001,"PASS","FAIL")</x:f>
        <x:v>PASS</x:v>
      </x:c>
    </x:row>
    <x:row r="155">
      <x:c r="A155" s="8" t="str">
        <x:v>AU-150</x:v>
      </x:c>
      <x:c r="B155" s="8" t="str">
        <x:v>reconcile</x:v>
      </x:c>
      <x:c r="C155" s="8" t="str">
        <x:v>cumulative child</x:v>
      </x:c>
      <x:c r="D155" s="8" t="n">
        <x:v>2475.25</x:v>
      </x:c>
      <x:c r="E155" s="8" t="n">
        <x:f>'Finance'!B18</x:f>
        <x:v>2475.25</x:v>
      </x:c>
      <x:c r="F155" s="8" t="str">
        <x:f>IF(ABS(D155-E155)&lt;0.000001,"PASS","FAIL")</x:f>
        <x:v>PASS</x:v>
      </x:c>
    </x:row>
    <x:row r="156">
      <x:c r="A156" s="8" t="str">
        <x:v>AU-151</x:v>
      </x:c>
      <x:c r="B156" s="8" t="str">
        <x:v>reconcile</x:v>
      </x:c>
      <x:c r="C156" s="8" t="str">
        <x:v>required attempts</x:v>
      </x:c>
      <x:c r="D156" s="8" t="n">
        <x:v>120</x:v>
      </x:c>
      <x:c r="E156" s="8" t="n">
        <x:f>'Inventory'!B6</x:f>
        <x:v>120</x:v>
      </x:c>
      <x:c r="F156" s="8" t="str">
        <x:f>IF(ABS(D156-E156)&lt;0.000001,"PASS","FAIL")</x:f>
        <x:v>PASS</x:v>
      </x:c>
    </x:row>
    <x:row r="157">
      <x:c r="A157" s="8" t="str">
        <x:v>AU-152</x:v>
      </x:c>
      <x:c r="B157" s="8" t="str">
        <x:v>reconcile</x:v>
      </x:c>
      <x:c r="C157" s="8" t="str">
        <x:v>maximum attempts</x:v>
      </x:c>
      <x:c r="D157" s="8" t="n">
        <x:v>160</x:v>
      </x:c>
      <x:c r="E157" s="8" t="n">
        <x:f>'Inventory'!C6</x:f>
        <x:v>160</x:v>
      </x:c>
      <x:c r="F157" s="8" t="str">
        <x:f>IF(ABS(D157-E157)&lt;0.000001,"PASS","FAIL")</x:f>
        <x:v>PASS</x:v>
      </x:c>
    </x:row>
    <x:row r="158">
      <x:c r="A158" s="8" t="str">
        <x:v>AU-153</x:v>
      </x:c>
      <x:c r="B158" s="8" t="str">
        <x:v>reconcile</x:v>
      </x:c>
      <x:c r="C158" s="8" t="str">
        <x:v>required source</x:v>
      </x:c>
      <x:c r="D158" s="8" t="n">
        <x:v>26400</x:v>
      </x:c>
      <x:c r="E158" s="8" t="n">
        <x:f>'Inventory'!B7</x:f>
        <x:v>26400</x:v>
      </x:c>
      <x:c r="F158" s="8" t="str">
        <x:f>IF(ABS(D158-E158)&lt;0.000001,"PASS","FAIL")</x:f>
        <x:v>PASS</x:v>
      </x:c>
    </x:row>
    <x:row r="159">
      <x:c r="A159" s="8" t="str">
        <x:v>AU-154</x:v>
      </x:c>
      <x:c r="B159" s="8" t="str">
        <x:v>reconcile</x:v>
      </x:c>
      <x:c r="C159" s="8" t="str">
        <x:v>maximum source</x:v>
      </x:c>
      <x:c r="D159" s="8" t="n">
        <x:v>35200</x:v>
      </x:c>
      <x:c r="E159" s="8" t="n">
        <x:f>'Inventory'!C7</x:f>
        <x:v>35200</x:v>
      </x:c>
      <x:c r="F159" s="8" t="str">
        <x:f>IF(ABS(D159-E159)&lt;0.000001,"PASS","FAIL")</x:f>
        <x:v>PASS</x:v>
      </x:c>
    </x:row>
    <x:row r="160">
      <x:c r="A160" s="8" t="str">
        <x:v>AU-155</x:v>
      </x:c>
      <x:c r="B160" s="8" t="str">
        <x:v>reconcile</x:v>
      </x:c>
      <x:c r="C160" s="8" t="str">
        <x:v>required water</x:v>
      </x:c>
      <x:c r="D160" s="8" t="n">
        <x:v>1641.6</x:v>
      </x:c>
      <x:c r="E160" s="8" t="n">
        <x:f>'Inventory'!B8</x:f>
        <x:v>1641.6</x:v>
      </x:c>
      <x:c r="F160" s="8" t="str">
        <x:f>IF(ABS(D160-E160)&lt;0.000001,"PASS","FAIL")</x:f>
        <x:v>PASS</x:v>
      </x:c>
    </x:row>
    <x:row r="161">
      <x:c r="A161" s="8" t="str">
        <x:v>AU-156</x:v>
      </x:c>
      <x:c r="B161" s="8" t="str">
        <x:v>reconcile</x:v>
      </x:c>
      <x:c r="C161" s="8" t="str">
        <x:v>maximum water</x:v>
      </x:c>
      <x:c r="D161" s="8" t="n">
        <x:v>2188.8</x:v>
      </x:c>
      <x:c r="E161" s="8" t="n">
        <x:f>'Inventory'!C8</x:f>
        <x:v>2188.8</x:v>
      </x:c>
      <x:c r="F161" s="8" t="str">
        <x:f>IF(ABS(D161-E161)&lt;0.000001,"PASS","FAIL")</x:f>
        <x:v>PASS</x:v>
      </x:c>
    </x:row>
    <x:row r="162">
      <x:c r="A162" s="8" t="str">
        <x:v>AU-157</x:v>
      </x:c>
      <x:c r="B162" s="8" t="str">
        <x:v>reconcile</x:v>
      </x:c>
      <x:c r="C162" s="8" t="str">
        <x:v>technology</x:v>
      </x:c>
      <x:c r="D162" s="8" t="n">
        <x:v>235</x:v>
      </x:c>
      <x:c r="E162" s="8" t="n">
        <x:f>'Technology'!B18</x:f>
        <x:v>235</x:v>
      </x:c>
      <x:c r="F162" s="8" t="str">
        <x:f>IF(ABS(D162-E162)&lt;0.000001,"PASS","FAIL")</x:f>
        <x:v>PASS</x:v>
      </x:c>
    </x:row>
    <x:row r="163">
      <x:c r="A163" s="8" t="str">
        <x:v>AU-158</x:v>
      </x:c>
      <x:c r="B163" s="8" t="str">
        <x:v>reconcile</x:v>
      </x:c>
      <x:c r="C163" s="8" t="str">
        <x:v>workforce</x:v>
      </x:c>
      <x:c r="D163" s="8" t="n">
        <x:v>720</x:v>
      </x:c>
      <x:c r="E163" s="8" t="n">
        <x:f>'Workforce'!B15</x:f>
        <x:v>720</x:v>
      </x:c>
      <x:c r="F163" s="8" t="str">
        <x:f>IF(ABS(D163-E163)&lt;0.000001,"PASS","FAIL")</x:f>
        <x:v>PASS</x:v>
      </x:c>
    </x:row>
    <x:row r="164">
      <x:c r="A164" s="8" t="str">
        <x:v>AU-159</x:v>
      </x:c>
      <x:c r="B164" s="8" t="str">
        <x:v>reconcile</x:v>
      </x:c>
      <x:c r="C164" s="8" t="str">
        <x:v>stage exposure</x:v>
      </x:c>
      <x:c r="D164" s="8" t="n">
        <x:v>1301</x:v>
      </x:c>
      <x:c r="E164" s="8" t="n">
        <x:f>'Finance'!B16</x:f>
        <x:v>1301</x:v>
      </x:c>
      <x:c r="F164" s="8" t="str">
        <x:f>IF(ABS(D164-E164)&lt;0.000001,"PASS","FAIL")</x:f>
        <x:v>PASS</x:v>
      </x:c>
    </x:row>
    <x:row r="165">
      <x:c r="A165" s="8" t="str">
        <x:v>AU-160</x:v>
      </x:c>
      <x:c r="B165" s="8" t="str">
        <x:v>reconcile</x:v>
      </x:c>
      <x:c r="C165" s="8" t="str">
        <x:v>cumulative child</x:v>
      </x:c>
      <x:c r="D165" s="8" t="n">
        <x:v>2475.25</x:v>
      </x:c>
      <x:c r="E165" s="8" t="n">
        <x:f>'Finance'!B18</x:f>
        <x:v>2475.25</x:v>
      </x:c>
      <x:c r="F165" s="8" t="str">
        <x:f>IF(ABS(D165-E165)&lt;0.000001,"PASS","FAIL")</x:f>
        <x:v>PASS</x:v>
      </x:c>
    </x:row>
    <x:row r="166">
      <x:c r="A166" s="8" t="str">
        <x:v>AU-161</x:v>
      </x:c>
      <x:c r="B166" s="8" t="str">
        <x:v>reconcile</x:v>
      </x:c>
      <x:c r="C166" s="8" t="str">
        <x:v>required attempts</x:v>
      </x:c>
      <x:c r="D166" s="8" t="n">
        <x:v>120</x:v>
      </x:c>
      <x:c r="E166" s="8" t="n">
        <x:f>'Inventory'!B6</x:f>
        <x:v>120</x:v>
      </x:c>
      <x:c r="F166" s="8" t="str">
        <x:f>IF(ABS(D166-E166)&lt;0.000001,"PASS","FAIL")</x:f>
        <x:v>PASS</x:v>
      </x:c>
    </x:row>
    <x:row r="167">
      <x:c r="A167" s="8" t="str">
        <x:v>AU-162</x:v>
      </x:c>
      <x:c r="B167" s="8" t="str">
        <x:v>reconcile</x:v>
      </x:c>
      <x:c r="C167" s="8" t="str">
        <x:v>maximum attempts</x:v>
      </x:c>
      <x:c r="D167" s="8" t="n">
        <x:v>160</x:v>
      </x:c>
      <x:c r="E167" s="8" t="n">
        <x:f>'Inventory'!C6</x:f>
        <x:v>160</x:v>
      </x:c>
      <x:c r="F167" s="8" t="str">
        <x:f>IF(ABS(D167-E167)&lt;0.000001,"PASS","FAIL")</x:f>
        <x:v>PASS</x:v>
      </x:c>
    </x:row>
    <x:row r="168">
      <x:c r="A168" s="8" t="str">
        <x:v>AU-163</x:v>
      </x:c>
      <x:c r="B168" s="8" t="str">
        <x:v>reconcile</x:v>
      </x:c>
      <x:c r="C168" s="8" t="str">
        <x:v>required source</x:v>
      </x:c>
      <x:c r="D168" s="8" t="n">
        <x:v>26400</x:v>
      </x:c>
      <x:c r="E168" s="8" t="n">
        <x:f>'Inventory'!B7</x:f>
        <x:v>26400</x:v>
      </x:c>
      <x:c r="F168" s="8" t="str">
        <x:f>IF(ABS(D168-E168)&lt;0.000001,"PASS","FAIL")</x:f>
        <x:v>PASS</x:v>
      </x:c>
    </x:row>
    <x:row r="169">
      <x:c r="A169" s="8" t="str">
        <x:v>AU-164</x:v>
      </x:c>
      <x:c r="B169" s="8" t="str">
        <x:v>reconcile</x:v>
      </x:c>
      <x:c r="C169" s="8" t="str">
        <x:v>maximum source</x:v>
      </x:c>
      <x:c r="D169" s="8" t="n">
        <x:v>35200</x:v>
      </x:c>
      <x:c r="E169" s="8" t="n">
        <x:f>'Inventory'!C7</x:f>
        <x:v>35200</x:v>
      </x:c>
      <x:c r="F169" s="8" t="str">
        <x:f>IF(ABS(D169-E169)&lt;0.000001,"PASS","FAIL")</x:f>
        <x:v>PASS</x:v>
      </x:c>
    </x:row>
    <x:row r="170">
      <x:c r="A170" s="8" t="str">
        <x:v>AU-165</x:v>
      </x:c>
      <x:c r="B170" s="8" t="str">
        <x:v>reconcile</x:v>
      </x:c>
      <x:c r="C170" s="8" t="str">
        <x:v>required water</x:v>
      </x:c>
      <x:c r="D170" s="8" t="n">
        <x:v>1641.6</x:v>
      </x:c>
      <x:c r="E170" s="8" t="n">
        <x:f>'Inventory'!B8</x:f>
        <x:v>1641.6</x:v>
      </x:c>
      <x:c r="F170" s="8" t="str">
        <x:f>IF(ABS(D170-E170)&lt;0.000001,"PASS","FAIL")</x:f>
        <x:v>PASS</x:v>
      </x:c>
    </x:row>
    <x:row r="171">
      <x:c r="A171" s="8" t="str">
        <x:v>AU-166</x:v>
      </x:c>
      <x:c r="B171" s="8" t="str">
        <x:v>reconcile</x:v>
      </x:c>
      <x:c r="C171" s="8" t="str">
        <x:v>maximum water</x:v>
      </x:c>
      <x:c r="D171" s="8" t="n">
        <x:v>2188.8</x:v>
      </x:c>
      <x:c r="E171" s="8" t="n">
        <x:f>'Inventory'!C8</x:f>
        <x:v>2188.8</x:v>
      </x:c>
      <x:c r="F171" s="8" t="str">
        <x:f>IF(ABS(D171-E171)&lt;0.000001,"PASS","FAIL")</x:f>
        <x:v>PASS</x:v>
      </x:c>
    </x:row>
    <x:row r="172">
      <x:c r="A172" s="8" t="str">
        <x:v>AU-167</x:v>
      </x:c>
      <x:c r="B172" s="8" t="str">
        <x:v>reconcile</x:v>
      </x:c>
      <x:c r="C172" s="8" t="str">
        <x:v>technology</x:v>
      </x:c>
      <x:c r="D172" s="8" t="n">
        <x:v>235</x:v>
      </x:c>
      <x:c r="E172" s="8" t="n">
        <x:f>'Technology'!B18</x:f>
        <x:v>235</x:v>
      </x:c>
      <x:c r="F172" s="8" t="str">
        <x:f>IF(ABS(D172-E172)&lt;0.000001,"PASS","FAIL")</x:f>
        <x:v>PASS</x:v>
      </x:c>
    </x:row>
    <x:row r="173">
      <x:c r="A173" s="8" t="str">
        <x:v>AU-168</x:v>
      </x:c>
      <x:c r="B173" s="8" t="str">
        <x:v>reconcile</x:v>
      </x:c>
      <x:c r="C173" s="8" t="str">
        <x:v>workforce</x:v>
      </x:c>
      <x:c r="D173" s="8" t="n">
        <x:v>720</x:v>
      </x:c>
      <x:c r="E173" s="8" t="n">
        <x:f>'Workforce'!B15</x:f>
        <x:v>720</x:v>
      </x:c>
      <x:c r="F173" s="8" t="str">
        <x:f>IF(ABS(D173-E173)&lt;0.000001,"PASS","FAIL")</x:f>
        <x:v>PASS</x:v>
      </x:c>
    </x:row>
    <x:row r="174">
      <x:c r="A174" s="8" t="str">
        <x:v>AU-169</x:v>
      </x:c>
      <x:c r="B174" s="8" t="str">
        <x:v>reconcile</x:v>
      </x:c>
      <x:c r="C174" s="8" t="str">
        <x:v>stage exposure</x:v>
      </x:c>
      <x:c r="D174" s="8" t="n">
        <x:v>1301</x:v>
      </x:c>
      <x:c r="E174" s="8" t="n">
        <x:f>'Finance'!B16</x:f>
        <x:v>1301</x:v>
      </x:c>
      <x:c r="F174" s="8" t="str">
        <x:f>IF(ABS(D174-E174)&lt;0.000001,"PASS","FAIL")</x:f>
        <x:v>PASS</x:v>
      </x:c>
    </x:row>
    <x:row r="175">
      <x:c r="A175" s="8" t="str">
        <x:v>AU-170</x:v>
      </x:c>
      <x:c r="B175" s="8" t="str">
        <x:v>reconcile</x:v>
      </x:c>
      <x:c r="C175" s="8" t="str">
        <x:v>cumulative child</x:v>
      </x:c>
      <x:c r="D175" s="8" t="n">
        <x:v>2475.25</x:v>
      </x:c>
      <x:c r="E175" s="8" t="n">
        <x:f>'Finance'!B18</x:f>
        <x:v>2475.25</x:v>
      </x:c>
      <x:c r="F175" s="8" t="str">
        <x:f>IF(ABS(D175-E175)&lt;0.000001,"PASS","FAIL")</x:f>
        <x:v>PASS</x:v>
      </x:c>
    </x:row>
    <x:row r="176">
      <x:c r="A176" s="8" t="str">
        <x:v>AU-171</x:v>
      </x:c>
      <x:c r="B176" s="8" t="str">
        <x:v>reconcile</x:v>
      </x:c>
      <x:c r="C176" s="8" t="str">
        <x:v>required attempts</x:v>
      </x:c>
      <x:c r="D176" s="8" t="n">
        <x:v>120</x:v>
      </x:c>
      <x:c r="E176" s="8" t="n">
        <x:f>'Inventory'!B6</x:f>
        <x:v>120</x:v>
      </x:c>
      <x:c r="F176" s="8" t="str">
        <x:f>IF(ABS(D176-E176)&lt;0.000001,"PASS","FAIL")</x:f>
        <x:v>PASS</x:v>
      </x:c>
    </x:row>
    <x:row r="177">
      <x:c r="A177" s="8" t="str">
        <x:v>AU-172</x:v>
      </x:c>
      <x:c r="B177" s="8" t="str">
        <x:v>reconcile</x:v>
      </x:c>
      <x:c r="C177" s="8" t="str">
        <x:v>maximum attempts</x:v>
      </x:c>
      <x:c r="D177" s="8" t="n">
        <x:v>160</x:v>
      </x:c>
      <x:c r="E177" s="8" t="n">
        <x:f>'Inventory'!C6</x:f>
        <x:v>160</x:v>
      </x:c>
      <x:c r="F177" s="8" t="str">
        <x:f>IF(ABS(D177-E177)&lt;0.000001,"PASS","FAIL")</x:f>
        <x:v>PASS</x:v>
      </x:c>
    </x:row>
    <x:row r="178">
      <x:c r="A178" s="8" t="str">
        <x:v>AU-173</x:v>
      </x:c>
      <x:c r="B178" s="8" t="str">
        <x:v>reconcile</x:v>
      </x:c>
      <x:c r="C178" s="8" t="str">
        <x:v>required source</x:v>
      </x:c>
      <x:c r="D178" s="8" t="n">
        <x:v>26400</x:v>
      </x:c>
      <x:c r="E178" s="8" t="n">
        <x:f>'Inventory'!B7</x:f>
        <x:v>26400</x:v>
      </x:c>
      <x:c r="F178" s="8" t="str">
        <x:f>IF(ABS(D178-E178)&lt;0.000001,"PASS","FAIL")</x:f>
        <x:v>PASS</x:v>
      </x:c>
    </x:row>
    <x:row r="179">
      <x:c r="A179" s="8" t="str">
        <x:v>AU-174</x:v>
      </x:c>
      <x:c r="B179" s="8" t="str">
        <x:v>reconcile</x:v>
      </x:c>
      <x:c r="C179" s="8" t="str">
        <x:v>maximum source</x:v>
      </x:c>
      <x:c r="D179" s="8" t="n">
        <x:v>35200</x:v>
      </x:c>
      <x:c r="E179" s="8" t="n">
        <x:f>'Inventory'!C7</x:f>
        <x:v>35200</x:v>
      </x:c>
      <x:c r="F179" s="8" t="str">
        <x:f>IF(ABS(D179-E179)&lt;0.000001,"PASS","FAIL")</x:f>
        <x:v>PASS</x:v>
      </x:c>
    </x:row>
    <x:row r="180">
      <x:c r="A180" s="8" t="str">
        <x:v>AU-175</x:v>
      </x:c>
      <x:c r="B180" s="8" t="str">
        <x:v>reconcile</x:v>
      </x:c>
      <x:c r="C180" s="8" t="str">
        <x:v>required water</x:v>
      </x:c>
      <x:c r="D180" s="8" t="n">
        <x:v>1641.6</x:v>
      </x:c>
      <x:c r="E180" s="8" t="n">
        <x:f>'Inventory'!B8</x:f>
        <x:v>1641.6</x:v>
      </x:c>
      <x:c r="F180" s="8" t="str">
        <x:f>IF(ABS(D180-E180)&lt;0.000001,"PASS","FAIL")</x:f>
        <x:v>PASS</x:v>
      </x:c>
    </x:row>
    <x:row r="181">
      <x:c r="A181" s="8" t="str">
        <x:v>AU-176</x:v>
      </x:c>
      <x:c r="B181" s="8" t="str">
        <x:v>reconcile</x:v>
      </x:c>
      <x:c r="C181" s="8" t="str">
        <x:v>maximum water</x:v>
      </x:c>
      <x:c r="D181" s="8" t="n">
        <x:v>2188.8</x:v>
      </x:c>
      <x:c r="E181" s="8" t="n">
        <x:f>'Inventory'!C8</x:f>
        <x:v>2188.8</x:v>
      </x:c>
      <x:c r="F181" s="8" t="str">
        <x:f>IF(ABS(D181-E181)&lt;0.000001,"PASS","FAIL")</x:f>
        <x:v>PASS</x:v>
      </x:c>
    </x:row>
    <x:row r="182">
      <x:c r="A182" s="8" t="str">
        <x:v>AU-177</x:v>
      </x:c>
      <x:c r="B182" s="8" t="str">
        <x:v>reconcile</x:v>
      </x:c>
      <x:c r="C182" s="8" t="str">
        <x:v>technology</x:v>
      </x:c>
      <x:c r="D182" s="8" t="n">
        <x:v>235</x:v>
      </x:c>
      <x:c r="E182" s="8" t="n">
        <x:f>'Technology'!B18</x:f>
        <x:v>235</x:v>
      </x:c>
      <x:c r="F182" s="8" t="str">
        <x:f>IF(ABS(D182-E182)&lt;0.000001,"PASS","FAIL")</x:f>
        <x:v>PASS</x:v>
      </x:c>
    </x:row>
    <x:row r="183">
      <x:c r="A183" s="8" t="str">
        <x:v>AU-178</x:v>
      </x:c>
      <x:c r="B183" s="8" t="str">
        <x:v>reconcile</x:v>
      </x:c>
      <x:c r="C183" s="8" t="str">
        <x:v>workforce</x:v>
      </x:c>
      <x:c r="D183" s="8" t="n">
        <x:v>720</x:v>
      </x:c>
      <x:c r="E183" s="8" t="n">
        <x:f>'Workforce'!B15</x:f>
        <x:v>720</x:v>
      </x:c>
      <x:c r="F183" s="8" t="str">
        <x:f>IF(ABS(D183-E183)&lt;0.000001,"PASS","FAIL")</x:f>
        <x:v>PASS</x:v>
      </x:c>
    </x:row>
    <x:row r="184">
      <x:c r="A184" s="8" t="str">
        <x:v>AU-179</x:v>
      </x:c>
      <x:c r="B184" s="8" t="str">
        <x:v>reconcile</x:v>
      </x:c>
      <x:c r="C184" s="8" t="str">
        <x:v>stage exposure</x:v>
      </x:c>
      <x:c r="D184" s="8" t="n">
        <x:v>1301</x:v>
      </x:c>
      <x:c r="E184" s="8" t="n">
        <x:f>'Finance'!B16</x:f>
        <x:v>1301</x:v>
      </x:c>
      <x:c r="F184" s="8" t="str">
        <x:f>IF(ABS(D184-E184)&lt;0.000001,"PASS","FAIL")</x:f>
        <x:v>PASS</x:v>
      </x:c>
    </x:row>
    <x:row r="185">
      <x:c r="A185" s="8" t="str">
        <x:v>AU-180</x:v>
      </x:c>
      <x:c r="B185" s="8" t="str">
        <x:v>reconcile</x:v>
      </x:c>
      <x:c r="C185" s="8" t="str">
        <x:v>cumulative child</x:v>
      </x:c>
      <x:c r="D185" s="8" t="n">
        <x:v>2475.25</x:v>
      </x:c>
      <x:c r="E185" s="8" t="n">
        <x:f>'Finance'!B18</x:f>
        <x:v>2475.25</x:v>
      </x:c>
      <x:c r="F185" s="8" t="str">
        <x:f>IF(ABS(D185-E185)&lt;0.000001,"PASS","FAIL")</x:f>
        <x:v>PASS</x:v>
      </x:c>
    </x:row>
  </x:sheetData>
  <x:mergeCells>
    <x:mergeCell ref="A2:F2"/>
  </x:mergeCells>
  <x:conditionalFormatting sqref="F6:F185">
    <x:cfRule type="containsText" dxfId="6" priority="1" operator="containsText" text="DENY"/>
    <x:cfRule type="containsText" dxfId="7" priority="2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7f6ddd60fbfb4d50"/>
  </x:tableParts>
</x:worksheet>
</file>