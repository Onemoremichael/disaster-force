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1991c698ba142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02165167d0a4fdb"/>
    <x:sheet xmlns:r="http://schemas.openxmlformats.org/officeDocument/2006/relationships" name="Controls" sheetId="2" r:id="Re7890fcd2d304107"/>
    <x:sheet xmlns:r="http://schemas.openxmlformats.org/officeDocument/2006/relationships" name="Research Questions" sheetId="3" r:id="Rb8283b60216449d8"/>
    <x:sheet xmlns:r="http://schemas.openxmlformats.org/officeDocument/2006/relationships" name="Claim Boundary" sheetId="4" r:id="R99164b7ed3894807"/>
    <x:sheet xmlns:r="http://schemas.openxmlformats.org/officeDocument/2006/relationships" name="Governance" sheetId="5" r:id="R12e7b8b48ae9456f"/>
    <x:sheet xmlns:r="http://schemas.openxmlformats.org/officeDocument/2006/relationships" name="Bank Intake" sheetId="6" r:id="Rfd7b5300788943ca"/>
    <x:sheet xmlns:r="http://schemas.openxmlformats.org/officeDocument/2006/relationships" name="Transport Custody" sheetId="7" r:id="R09d8be66d36142b7"/>
    <x:sheet xmlns:r="http://schemas.openxmlformats.org/officeDocument/2006/relationships" name="Rig Register" sheetId="8" r:id="Ra0aebc1e6f1c4a72"/>
    <x:sheet xmlns:r="http://schemas.openxmlformats.org/officeDocument/2006/relationships" name="Home Assignment" sheetId="9" r:id="R073937cb87dc4cb6"/>
    <x:sheet xmlns:r="http://schemas.openxmlformats.org/officeDocument/2006/relationships" name="Rotation Plan" sheetId="10" r:id="Rb17683e82d844618"/>
    <x:sheet xmlns:r="http://schemas.openxmlformats.org/officeDocument/2006/relationships" name="Docking" sheetId="11" r:id="R0c8478aa93a64c02"/>
    <x:sheet xmlns:r="http://schemas.openxmlformats.org/officeDocument/2006/relationships" name="Interface Tests" sheetId="12" r:id="Rd6dbc81d27314bad"/>
    <x:sheet xmlns:r="http://schemas.openxmlformats.org/officeDocument/2006/relationships" name="Calibration Circuit" sheetId="13" r:id="R580e37de76874c12"/>
    <x:sheet xmlns:r="http://schemas.openxmlformats.org/officeDocument/2006/relationships" name="Calibration Records" sheetId="14" r:id="R93f01abbd17549ab"/>
    <x:sheet xmlns:r="http://schemas.openxmlformats.org/officeDocument/2006/relationships" name="Special Articles" sheetId="15" r:id="R01359b74fbef4909"/>
    <x:sheet xmlns:r="http://schemas.openxmlformats.org/officeDocument/2006/relationships" name="Article Domains" sheetId="16" r:id="Rf2a20e2a13dc4b60"/>
    <x:sheet xmlns:r="http://schemas.openxmlformats.org/officeDocument/2006/relationships" name="Rig Domains" sheetId="17" r:id="R7867c1fde4c0428c"/>
    <x:sheet xmlns:r="http://schemas.openxmlformats.org/officeDocument/2006/relationships" name="Pair Domains" sheetId="18" r:id="R838dcb4a045f4183"/>
    <x:sheet xmlns:r="http://schemas.openxmlformats.org/officeDocument/2006/relationships" name="Campus Domains" sheetId="19" r:id="R30794685c15b4df1"/>
    <x:sheet xmlns:r="http://schemas.openxmlformats.org/officeDocument/2006/relationships" name="Media Lots" sheetId="20" r:id="R86cb8b11ac7244ab"/>
    <x:sheet xmlns:r="http://schemas.openxmlformats.org/officeDocument/2006/relationships" name="Standards" sheetId="21" r:id="R0eb4b94e1e7d498d"/>
    <x:sheet xmlns:r="http://schemas.openxmlformats.org/officeDocument/2006/relationships" name="Crew Structure" sheetId="22" r:id="R3c752349246f4f1e"/>
    <x:sheet xmlns:r="http://schemas.openxmlformats.org/officeDocument/2006/relationships" name="Duty Assignments" sheetId="23" r:id="R471323ecfb594a3e"/>
    <x:sheet xmlns:r="http://schemas.openxmlformats.org/officeDocument/2006/relationships" name="Crew Qualifications" sheetId="24" r:id="R3b2300aa474c421e"/>
    <x:sheet xmlns:r="http://schemas.openxmlformats.org/officeDocument/2006/relationships" name="Drills" sheetId="25" r:id="Rade0155e5b5447f1"/>
    <x:sheet xmlns:r="http://schemas.openxmlformats.org/officeDocument/2006/relationships" name="Rescue Exercises" sheetId="26" r:id="Rb3080531dcd74cea"/>
    <x:sheet xmlns:r="http://schemas.openxmlformats.org/officeDocument/2006/relationships" name="Evidence Handshakes" sheetId="27" r:id="Re3dca99bb9fa45e2"/>
    <x:sheet xmlns:r="http://schemas.openxmlformats.org/officeDocument/2006/relationships" name="Replay Records" sheetId="28" r:id="Rd8e6fdb41f9d43d0"/>
    <x:sheet xmlns:r="http://schemas.openxmlformats.org/officeDocument/2006/relationships" name="Exceptions" sheetId="29" r:id="Rf56fa7a7f9f2434a"/>
    <x:sheet xmlns:r="http://schemas.openxmlformats.org/officeDocument/2006/relationships" name="Change Control" sheetId="30" r:id="R356ef5f7969a4667"/>
    <x:sheet xmlns:r="http://schemas.openxmlformats.org/officeDocument/2006/relationships" name="Expiry Ledger" sheetId="31" r:id="Rcf9ebde886d54f40"/>
    <x:sheet xmlns:r="http://schemas.openxmlformats.org/officeDocument/2006/relationships" name="Article Readiness" sheetId="32" r:id="R0fc4aebdcf324e42"/>
    <x:sheet xmlns:r="http://schemas.openxmlformats.org/officeDocument/2006/relationships" name="Rig Readiness" sheetId="33" r:id="R8a0b64fb450b49a4"/>
    <x:sheet xmlns:r="http://schemas.openxmlformats.org/officeDocument/2006/relationships" name="Pair Readiness" sheetId="34" r:id="R508df6c404bb4ec9"/>
    <x:sheet xmlns:r="http://schemas.openxmlformats.org/officeDocument/2006/relationships" name="Campus Readiness" sheetId="35" r:id="R8200098af7974072"/>
    <x:sheet xmlns:r="http://schemas.openxmlformats.org/officeDocument/2006/relationships" name="Campaign Gates" sheetId="36" r:id="Rb61f32548fd843c7"/>
    <x:sheet xmlns:r="http://schemas.openxmlformats.org/officeDocument/2006/relationships" name="Campaign Release" sheetId="37" r:id="R4b5fbb7e10304e74"/>
    <x:sheet xmlns:r="http://schemas.openxmlformats.org/officeDocument/2006/relationships" name="Decision Rules" sheetId="38" r:id="R6a05c1802f274dcb"/>
    <x:sheet xmlns:r="http://schemas.openxmlformats.org/officeDocument/2006/relationships" name="Stop Rules" sheetId="39" r:id="Rd4d8f2140335404a"/>
    <x:sheet xmlns:r="http://schemas.openxmlformats.org/officeDocument/2006/relationships" name="Quarantine" sheetId="40" r:id="Rb260181149754d5c"/>
    <x:sheet xmlns:r="http://schemas.openxmlformats.org/officeDocument/2006/relationships" name="Rebased Schedule" sheetId="41" r:id="R4c5874fb18ea4dfd"/>
    <x:sheet xmlns:r="http://schemas.openxmlformats.org/officeDocument/2006/relationships" name="Dependency Ledger" sheetId="42" r:id="R63f8c8e1958a4e2d"/>
    <x:sheet xmlns:r="http://schemas.openxmlformats.org/officeDocument/2006/relationships" name="Capacity" sheetId="43" r:id="Rdcca78f903f9438a"/>
    <x:sheet xmlns:r="http://schemas.openxmlformats.org/officeDocument/2006/relationships" name="Capital" sheetId="44" r:id="Rcaef91b133184276"/>
    <x:sheet xmlns:r="http://schemas.openxmlformats.org/officeDocument/2006/relationships" name="Annual Support" sheetId="45" r:id="Ra275b101b797471b"/>
    <x:sheet xmlns:r="http://schemas.openxmlformats.org/officeDocument/2006/relationships" name="Quarterly Cash Flow" sheetId="46" r:id="R53d13523b4d6437f"/>
    <x:sheet xmlns:r="http://schemas.openxmlformats.org/officeDocument/2006/relationships" name="Portfolio Boundary" sheetId="47" r:id="Ra45891049f5f4d7d"/>
    <x:sheet xmlns:r="http://schemas.openxmlformats.org/officeDocument/2006/relationships" name="Technology Programs" sheetId="48" r:id="R5b0e1e5572d843d6"/>
    <x:sheet xmlns:r="http://schemas.openxmlformats.org/officeDocument/2006/relationships" name="Audit" sheetId="49" r:id="Rfdd6fd5078b24fb4"/>
    <x:sheet xmlns:r="http://schemas.openxmlformats.org/officeDocument/2006/relationships" name="Sources" sheetId="50" r:id="Rab5b3c9348264af5"/>
    <x:sheet xmlns:r="http://schemas.openxmlformats.org/officeDocument/2006/relationships" name="ReadMe" sheetId="51" r:id="R4580ab0a43c144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mm/dd/yy"/>
    <x:numFmt numFmtId="201" formatCode="0.0"/>
    <x:numFmt numFmtId="202" formatCode="0.000"/>
    <x:numFmt numFmtId="203" formatCode="0.0%"/>
  </x:numFmts>
  <x:fonts count="7">
    <x:font>
      <x:sz val="11"/>
      <x:name val="Carlito"/>
    </x:font>
    <x:font>
      <x:b/>
      <x:sz val="14"/>
      <x:color rgb="FF17365D"/>
      <x:name val="Arial"/>
    </x:font>
    <x:font>
      <x:i/>
      <x:sz val="10"/>
      <x:color rgb="FF666666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sz val="10"/>
      <x:color rgb="FF0070C0"/>
      <x:name val="Arial"/>
    </x:font>
    <x:font>
      <x:b/>
      <x:sz val="10"/>
      <x:color rgb="FF17365D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</x:fills>
  <x:borders count="1">
    <x:border/>
  </x:borders>
  <x:cellStyleXfs count="1">
    <x:xf numFmtId="0" fontId="0" fillId="0" borderId="0"/>
  </x:cellStyleXfs>
  <x:cellXfs count="4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/>
    <x:xf numFmtId="0" fontId="4" fillId="3" borderId="0" xfId="0" applyNumberFormat="1" applyFont="1" applyFill="1" applyBorder="1"/>
    <x:xf numFmtId="0" fontId="5" fillId="3" borderId="0" xfId="0" applyNumberFormat="1" applyFont="1" applyFill="1" applyBorder="1"/>
    <x:xf numFmtId="200" fontId="5" fillId="3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200" fontId="4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203" fontId="4" fillId="0" borderId="0" xfId="0" applyNumberFormat="1" applyFont="1" applyFill="1" applyBorder="1"/>
    <x:xf numFmtId="203" fontId="6" fillId="4" borderId="0" xfId="0" applyNumberFormat="1" applyFont="1" applyFill="1" applyBorder="1"/>
    <x:xf numFmtId="201" fontId="6" fillId="4" borderId="0" xfId="0" applyNumberFormat="1" applyFont="1" applyFill="1" applyBorder="1"/>
    <x:xf numFmtId="201" fontId="4" fillId="3" borderId="0" xfId="0" applyNumberFormat="1" applyFont="1" applyFill="1" applyBorder="1"/>
    <x:xf numFmtId="201" fontId="5" fillId="3" borderId="0" xfId="0" applyNumberFormat="1" applyFont="1" applyFill="1" applyBorder="1"/>
    <x:xf numFmtId="202" fontId="4" fillId="3" borderId="0" xfId="0" applyNumberFormat="1" applyFont="1" applyFill="1" applyBorder="1"/>
    <x:xf numFmtId="202" fontId="5" fillId="3" borderId="0" xfId="0" applyNumberFormat="1" applyFont="1" applyFill="1" applyBorder="1"/>
    <x:xf numFmtId="200" fontId="4" fillId="3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6" fillId="4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/>
    </x:xf>
    <x:xf numFmtId="200" fontId="5" fillId="3" borderId="0" xfId="0" applyNumberFormat="1" applyFont="1" applyFill="1" applyBorder="1" applyAlignment="1">
      <x:alignment vertical="center"/>
    </x:xf>
    <x:xf numFmtId="201" fontId="5" fillId="3" borderId="0" xfId="0" applyNumberFormat="1" applyFont="1" applyFill="1" applyBorder="1" applyAlignment="1">
      <x:alignment vertical="center"/>
    </x:xf>
    <x:xf numFmtId="202" fontId="4" fillId="0" borderId="0" xfId="0" applyNumberFormat="1" applyFont="1" applyFill="1" applyBorder="1" applyAlignment="1">
      <x:alignment vertical="center"/>
    </x:xf>
    <x:xf numFmtId="202" fontId="5" fillId="3" borderId="0" xfId="0" applyNumberFormat="1" applyFont="1" applyFill="1" applyBorder="1" applyAlignment="1">
      <x:alignment vertical="center"/>
    </x:xf>
    <x:xf numFmtId="203" fontId="4" fillId="0" borderId="0" xfId="0" applyNumberFormat="1" applyFont="1" applyFill="1" applyBorder="1" applyAlignment="1">
      <x:alignment vertical="center"/>
    </x:xf>
    <x:xf numFmtId="203" fontId="6" fillId="4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1" fontId="6" fillId="4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210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C00000"/>
      </x:font>
      <x:fill>
        <x:patternFill patternType="solid">
          <x:bgColor rgb="FFFCE4D6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color rgb="FF9C6500"/>
      </x:font>
      <x:fill>
        <x:patternFill patternType="solid">
          <x:bgColor rgb="FFFFF2CC"/>
        </x:patternFill>
      </x:fill>
    </x:dxf>
    <x:dxf>
      <x:font>
        <x:color rgb="FF17365D"/>
      </x:font>
      <x:fill>
        <x:patternFill patternType="solid">
          <x:bgColor rgb="FFD9EAF7"/>
        </x:patternFill>
      </x:fill>
    </x:dxf>
    <x:dxf>
      <x:font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2b747cc4494dcb" /><Relationship Type="http://schemas.openxmlformats.org/officeDocument/2006/relationships/theme" Target="/xl/theme/theme1.xml" Id="R7abcfae109c54a45" /><Relationship Type="http://schemas.openxmlformats.org/officeDocument/2006/relationships/sharedStrings" Target="/xl/sharedStrings.xml" Id="R3caf8d8896a54b9d" /><Relationship Type="http://schemas.openxmlformats.org/officeDocument/2006/relationships/worksheet" Target="/xl/worksheets/sheet1.xml" Id="Rb02165167d0a4fdb" /><Relationship Type="http://schemas.openxmlformats.org/officeDocument/2006/relationships/worksheet" Target="/xl/worksheets/sheet2.xml" Id="Re7890fcd2d304107" /><Relationship Type="http://schemas.openxmlformats.org/officeDocument/2006/relationships/worksheet" Target="/xl/worksheets/sheet3.xml" Id="Rb8283b60216449d8" /><Relationship Type="http://schemas.openxmlformats.org/officeDocument/2006/relationships/worksheet" Target="/xl/worksheets/sheet4.xml" Id="R99164b7ed3894807" /><Relationship Type="http://schemas.openxmlformats.org/officeDocument/2006/relationships/worksheet" Target="/xl/worksheets/sheet5.xml" Id="R12e7b8b48ae9456f" /><Relationship Type="http://schemas.openxmlformats.org/officeDocument/2006/relationships/worksheet" Target="/xl/worksheets/sheet6.xml" Id="Rfd7b5300788943ca" /><Relationship Type="http://schemas.openxmlformats.org/officeDocument/2006/relationships/worksheet" Target="/xl/worksheets/sheet7.xml" Id="R09d8be66d36142b7" /><Relationship Type="http://schemas.openxmlformats.org/officeDocument/2006/relationships/worksheet" Target="/xl/worksheets/sheet8.xml" Id="Ra0aebc1e6f1c4a72" /><Relationship Type="http://schemas.openxmlformats.org/officeDocument/2006/relationships/worksheet" Target="/xl/worksheets/sheet9.xml" Id="R073937cb87dc4cb6" /><Relationship Type="http://schemas.openxmlformats.org/officeDocument/2006/relationships/worksheet" Target="/xl/worksheets/sheet10.xml" Id="Rb17683e82d844618" /><Relationship Type="http://schemas.openxmlformats.org/officeDocument/2006/relationships/worksheet" Target="/xl/worksheets/sheet11.xml" Id="R0c8478aa93a64c02" /><Relationship Type="http://schemas.openxmlformats.org/officeDocument/2006/relationships/worksheet" Target="/xl/worksheets/sheet12.xml" Id="Rd6dbc81d27314bad" /><Relationship Type="http://schemas.openxmlformats.org/officeDocument/2006/relationships/worksheet" Target="/xl/worksheets/sheet13.xml" Id="R580e37de76874c12" /><Relationship Type="http://schemas.openxmlformats.org/officeDocument/2006/relationships/worksheet" Target="/xl/worksheets/sheet14.xml" Id="R93f01abbd17549ab" /><Relationship Type="http://schemas.openxmlformats.org/officeDocument/2006/relationships/worksheet" Target="/xl/worksheets/sheet15.xml" Id="R01359b74fbef4909" /><Relationship Type="http://schemas.openxmlformats.org/officeDocument/2006/relationships/worksheet" Target="/xl/worksheets/sheet16.xml" Id="Rf2a20e2a13dc4b60" /><Relationship Type="http://schemas.openxmlformats.org/officeDocument/2006/relationships/worksheet" Target="/xl/worksheets/sheet17.xml" Id="R7867c1fde4c0428c" /><Relationship Type="http://schemas.openxmlformats.org/officeDocument/2006/relationships/worksheet" Target="/xl/worksheets/sheet18.xml" Id="R838dcb4a045f4183" /><Relationship Type="http://schemas.openxmlformats.org/officeDocument/2006/relationships/worksheet" Target="/xl/worksheets/sheet19.xml" Id="R30794685c15b4df1" /><Relationship Type="http://schemas.openxmlformats.org/officeDocument/2006/relationships/worksheet" Target="/xl/worksheets/sheet20.xml" Id="R86cb8b11ac7244ab" /><Relationship Type="http://schemas.openxmlformats.org/officeDocument/2006/relationships/worksheet" Target="/xl/worksheets/sheet21.xml" Id="R0eb4b94e1e7d498d" /><Relationship Type="http://schemas.openxmlformats.org/officeDocument/2006/relationships/worksheet" Target="/xl/worksheets/sheet22.xml" Id="R3c752349246f4f1e" /><Relationship Type="http://schemas.openxmlformats.org/officeDocument/2006/relationships/worksheet" Target="/xl/worksheets/sheet23.xml" Id="R471323ecfb594a3e" /><Relationship Type="http://schemas.openxmlformats.org/officeDocument/2006/relationships/worksheet" Target="/xl/worksheets/sheet24.xml" Id="R3b2300aa474c421e" /><Relationship Type="http://schemas.openxmlformats.org/officeDocument/2006/relationships/worksheet" Target="/xl/worksheets/sheet25.xml" Id="Rade0155e5b5447f1" /><Relationship Type="http://schemas.openxmlformats.org/officeDocument/2006/relationships/worksheet" Target="/xl/worksheets/sheet26.xml" Id="Rb3080531dcd74cea" /><Relationship Type="http://schemas.openxmlformats.org/officeDocument/2006/relationships/worksheet" Target="/xl/worksheets/sheet27.xml" Id="Re3dca99bb9fa45e2" /><Relationship Type="http://schemas.openxmlformats.org/officeDocument/2006/relationships/worksheet" Target="/xl/worksheets/sheet28.xml" Id="Rd8e6fdb41f9d43d0" /><Relationship Type="http://schemas.openxmlformats.org/officeDocument/2006/relationships/worksheet" Target="/xl/worksheets/sheet29.xml" Id="Rf56fa7a7f9f2434a" /><Relationship Type="http://schemas.openxmlformats.org/officeDocument/2006/relationships/worksheet" Target="/xl/worksheets/sheet30.xml" Id="R356ef5f7969a4667" /><Relationship Type="http://schemas.openxmlformats.org/officeDocument/2006/relationships/worksheet" Target="/xl/worksheets/sheet31.xml" Id="Rcf9ebde886d54f40" /><Relationship Type="http://schemas.openxmlformats.org/officeDocument/2006/relationships/worksheet" Target="/xl/worksheets/sheet32.xml" Id="R0fc4aebdcf324e42" /><Relationship Type="http://schemas.openxmlformats.org/officeDocument/2006/relationships/worksheet" Target="/xl/worksheets/sheet33.xml" Id="R8a0b64fb450b49a4" /><Relationship Type="http://schemas.openxmlformats.org/officeDocument/2006/relationships/worksheet" Target="/xl/worksheets/sheet34.xml" Id="R508df6c404bb4ec9" /><Relationship Type="http://schemas.openxmlformats.org/officeDocument/2006/relationships/worksheet" Target="/xl/worksheets/sheet35.xml" Id="R8200098af7974072" /><Relationship Type="http://schemas.openxmlformats.org/officeDocument/2006/relationships/worksheet" Target="/xl/worksheets/sheet36.xml" Id="Rb61f32548fd843c7" /><Relationship Type="http://schemas.openxmlformats.org/officeDocument/2006/relationships/worksheet" Target="/xl/worksheets/sheet37.xml" Id="R4b5fbb7e10304e74" /><Relationship Type="http://schemas.openxmlformats.org/officeDocument/2006/relationships/worksheet" Target="/xl/worksheets/sheet38.xml" Id="R6a05c1802f274dcb" /><Relationship Type="http://schemas.openxmlformats.org/officeDocument/2006/relationships/worksheet" Target="/xl/worksheets/sheet39.xml" Id="Rd4d8f2140335404a" /><Relationship Type="http://schemas.openxmlformats.org/officeDocument/2006/relationships/worksheet" Target="/xl/worksheets/sheet40.xml" Id="Rb260181149754d5c" /><Relationship Type="http://schemas.openxmlformats.org/officeDocument/2006/relationships/worksheet" Target="/xl/worksheets/sheet41.xml" Id="R4c5874fb18ea4dfd" /><Relationship Type="http://schemas.openxmlformats.org/officeDocument/2006/relationships/worksheet" Target="/xl/worksheets/sheet42.xml" Id="R63f8c8e1958a4e2d" /><Relationship Type="http://schemas.openxmlformats.org/officeDocument/2006/relationships/worksheet" Target="/xl/worksheets/sheet43.xml" Id="Rdcca78f903f9438a" /><Relationship Type="http://schemas.openxmlformats.org/officeDocument/2006/relationships/worksheet" Target="/xl/worksheets/sheet44.xml" Id="Rcaef91b133184276" /><Relationship Type="http://schemas.openxmlformats.org/officeDocument/2006/relationships/worksheet" Target="/xl/worksheets/sheet45.xml" Id="Ra275b101b797471b" /><Relationship Type="http://schemas.openxmlformats.org/officeDocument/2006/relationships/worksheet" Target="/xl/worksheets/sheet46.xml" Id="R53d13523b4d6437f" /><Relationship Type="http://schemas.openxmlformats.org/officeDocument/2006/relationships/worksheet" Target="/xl/worksheets/sheet47.xml" Id="Ra45891049f5f4d7d" /><Relationship Type="http://schemas.openxmlformats.org/officeDocument/2006/relationships/worksheet" Target="/xl/worksheets/sheet48.xml" Id="R5b0e1e5572d843d6" /><Relationship Type="http://schemas.openxmlformats.org/officeDocument/2006/relationships/worksheet" Target="/xl/worksheets/sheet49.xml" Id="Rfdd6fd5078b24fb4" /><Relationship Type="http://schemas.openxmlformats.org/officeDocument/2006/relationships/worksheet" Target="/xl/worksheets/sheet50.xml" Id="Rab5b3c9348264af5" /><Relationship Type="http://schemas.openxmlformats.org/officeDocument/2006/relationships/worksheet" Target="/xl/worksheets/sheet51.xml" Id="R4580ab0a43c1444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32" hidden="0" customWidth="1"/>
    <x:col min="3" max="3" width="105" hidden="0" customWidth="1"/>
    <x:col min="5" max="5" width="28" hidden="0" customWidth="1"/>
    <x:col min="6" max="6" width="18" hidden="0" customWidth="1"/>
    <x:col min="7" max="7" width="31" hidden="0" customWidth="1"/>
    <x:col min="8" max="8" width="18" hidden="0" customWidth="1"/>
  </x:cols>
  <x:sheetData>
    <x:row r="2">
      <x:c r="B2" s="25" t="str">
        <x:v>RAX-1 campaign mobilization and article-to-rig readiness constitution</x:v>
      </x:c>
      <x:c r="C2" s="26"/>
      <x:c r="D2" s="26"/>
      <x:c r="E2" s="26"/>
      <x:c r="F2" s="26"/>
      <x:c r="G2" s="26"/>
      <x:c r="H2" s="26"/>
    </x:row>
    <x:row r="3">
      <x:c r="B3" s="27" t="str">
        <x:v>The accepted bank becomes a force only when articles, rigs, crews, standards, rescue, evidence and time-bounded authority converge.</x:v>
      </x:c>
      <x:c r="C3" s="26"/>
      <x:c r="D3" s="26"/>
      <x:c r="E3" s="26"/>
      <x:c r="F3" s="26"/>
      <x:c r="G3" s="26"/>
      <x:c r="H3" s="26"/>
    </x:row>
    <x:row r="4">
      <x:c r="B4" s="26"/>
      <x:c r="C4" s="26"/>
      <x:c r="D4" s="26"/>
      <x:c r="E4" s="26"/>
      <x:c r="F4" s="26"/>
      <x:c r="G4" s="26"/>
      <x:c r="H4" s="26"/>
    </x:row>
    <x:row r="5">
      <x:c r="B5" s="26"/>
      <x:c r="C5" s="26"/>
      <x:c r="D5" s="26"/>
      <x:c r="E5" s="26"/>
      <x:c r="F5" s="26"/>
      <x:c r="G5" s="26"/>
      <x:c r="H5" s="26"/>
    </x:row>
    <x:row r="6" ht="24" customHeight="1">
      <x:c r="B6" s="6" t="str">
        <x:v>Decision field</x:v>
      </x:c>
      <x:c r="C6" s="6" t="str">
        <x:v>RAX-1 position</x:v>
      </x:c>
      <x:c r="D6" s="26"/>
      <x:c r="E6" s="6" t="str">
        <x:v>NUMERIC ANCHORS</x:v>
      </x:c>
      <x:c r="F6" s="6" t="str"/>
      <x:c r="G6" s="6" t="str"/>
      <x:c r="H6" s="6" t="str"/>
    </x:row>
    <x:row r="7" ht="44" customHeight="1">
      <x:c r="B7" s="28" t="str">
        <x:v>Object</x:v>
      </x:c>
      <x:c r="C7" s="29" t="str">
        <x:v>RAX-1 campaign mobilization and article-to-rig readiness constitution</x:v>
      </x:c>
      <x:c r="D7" s="26"/>
      <x:c r="E7" s="30" t="str">
        <x:v>Articles</x:v>
      </x:c>
      <x:c r="F7" s="30" t="n">
        <x:v>18</x:v>
      </x:c>
      <x:c r="G7" s="30" t="str">
        <x:v>Rigs</x:v>
      </x:c>
      <x:c r="H7" s="30" t="n">
        <x:v>6</x:v>
      </x:c>
    </x:row>
    <x:row r="8" ht="44" customHeight="1">
      <x:c r="B8" s="28" t="str">
        <x:v>Decision</x:v>
      </x:c>
      <x:c r="C8" s="29" t="str">
        <x:v>Accept one simultaneously current pre-source readiness state across six article-rig pairs and three campuses</x:v>
      </x:c>
      <x:c r="D8" s="26"/>
      <x:c r="E8" s="30" t="str">
        <x:v>Dockings</x:v>
      </x:c>
      <x:c r="F8" s="30" t="n">
        <x:v>36</x:v>
      </x:c>
      <x:c r="G8" s="30" t="str">
        <x:v>Interface records</x:v>
      </x:c>
      <x:c r="H8" s="30" t="n">
        <x:v>432</x:v>
      </x:c>
    </x:row>
    <x:row r="9" ht="44" customHeight="1">
      <x:c r="B9" s="28" t="str">
        <x:v>Bank</x:v>
      </x:c>
      <x:c r="C9" s="29" t="str">
        <x:v>Eighteen locked RAQ-1 articles cross public custody; six operational articles enter the rotation</x:v>
      </x:c>
      <x:c r="D9" s="26"/>
      <x:c r="E9" s="30" t="str">
        <x:v>Calibration records</x:v>
      </x:c>
      <x:c r="F9" s="30" t="n">
        <x:v>432</x:v>
      </x:c>
      <x:c r="G9" s="30" t="str">
        <x:v>Crew qualifications</x:v>
      </x:c>
      <x:c r="H9" s="30" t="n">
        <x:v>960</x:v>
      </x:c>
    </x:row>
    <x:row r="10" ht="44" customHeight="1">
      <x:c r="B10" s="28" t="str">
        <x:v>Portability</x:v>
      </x:c>
      <x:c r="C10" s="29" t="str">
        <x:v>Six operational articles × six rigs = thirty-six dockings</x:v>
      </x:c>
      <x:c r="D10" s="26"/>
      <x:c r="E10" s="30" t="str">
        <x:v>Drills</x:v>
      </x:c>
      <x:c r="F10" s="30" t="n">
        <x:v>72</x:v>
      </x:c>
      <x:c r="G10" s="30" t="str">
        <x:v>Rescue exercises</x:v>
      </x:c>
      <x:c r="H10" s="30" t="n">
        <x:v>48</x:v>
      </x:c>
    </x:row>
    <x:row r="11" ht="44" customHeight="1">
      <x:c r="B11" s="28" t="str">
        <x:v>Interfaces</x:v>
      </x:c>
      <x:c r="C11" s="29" t="str">
        <x:v>Twelve interfaces per docking = 432 physical demonstrations</x:v>
      </x:c>
      <x:c r="D11" s="26"/>
      <x:c r="E11" s="30" t="str">
        <x:v>Remote replays</x:v>
      </x:c>
      <x:c r="F11" s="30" t="n">
        <x:v>120</x:v>
      </x:c>
      <x:c r="G11" s="30" t="str">
        <x:v>Rebased months</x:v>
      </x:c>
      <x:c r="H11" s="30" t="n">
        <x:v>54</x:v>
      </x:c>
    </x:row>
    <x:row r="12" ht="44" customHeight="1">
      <x:c r="B12" s="28" t="str">
        <x:v>Calibration</x:v>
      </x:c>
      <x:c r="C12" s="29" t="str">
        <x:v>Three calibration articles × six rigs × twenty-four families = 432 observations</x:v>
      </x:c>
      <x:c r="D12" s="26"/>
      <x:c r="E12" s="30" t="str">
        <x:v>Capital USD M</x:v>
      </x:c>
      <x:c r="F12" s="30" t="n">
        <x:v>84</x:v>
      </x:c>
      <x:c r="G12" s="30" t="str">
        <x:v>Annual USD M</x:v>
      </x:c>
      <x:c r="H12" s="30" t="n">
        <x:v>44</x:v>
      </x:c>
    </x:row>
    <x:row r="13" ht="44" customHeight="1">
      <x:c r="B13" s="28" t="str">
        <x:v>Crew</x:v>
      </x:c>
      <x:c r="C13" s="29" t="str">
        <x:v>Two hundred forty duty assignments and 960 qualification records</x:v>
      </x:c>
      <x:c r="D13" s="26"/>
      <x:c r="E13" s="30" t="str">
        <x:v>Stage exposure USD M</x:v>
      </x:c>
      <x:c r="F13" s="30" t="n">
        <x:v>150</x:v>
      </x:c>
      <x:c r="G13" s="30" t="str">
        <x:v>Technology USD M</x:v>
      </x:c>
      <x:c r="H13" s="30" t="n">
        <x:v>100</x:v>
      </x:c>
    </x:row>
    <x:row r="14" ht="44" customHeight="1">
      <x:c r="B14" s="28" t="str">
        <x:v>Degraded service</x:v>
      </x:c>
      <x:c r="C14" s="29" t="str">
        <x:v>Seventy-two no-source drills, forty-eight rescue exercises and seventy-two evidence handshakes</x:v>
      </x:c>
      <x:c r="D14" s="26"/>
      <x:c r="E14" s="30" t="str">
        <x:v>Capital remainder USD M</x:v>
      </x:c>
      <x:c r="F14" s="30" t="n">
        <x:v>28</x:v>
      </x:c>
      <x:c r="G14" s="30" t="str">
        <x:v>Annual remainder USD M</x:v>
      </x:c>
      <x:c r="H14" s="30" t="n">
        <x:v>12</x:v>
      </x:c>
    </x:row>
    <x:row r="15" ht="44" customHeight="1">
      <x:c r="B15" s="28" t="str">
        <x:v>Replay</x:v>
      </x:c>
      <x:c r="C15" s="29" t="str">
        <x:v>One hundred twenty non-origin packet reconstructions</x:v>
      </x:c>
      <x:c r="D15" s="26"/>
      <x:c r="E15" s="26"/>
      <x:c r="F15" s="26"/>
      <x:c r="G15" s="26"/>
      <x:c r="H15" s="26"/>
    </x:row>
    <x:row r="16" ht="44" customHeight="1">
      <x:c r="B16" s="28" t="str">
        <x:v>Freshness</x:v>
      </x:c>
      <x:c r="C16" s="29" t="str">
        <x:v>Seventy-two credentials converge on one registered campaign date and a fourteen-day validity window</x:v>
      </x:c>
      <x:c r="D16" s="26"/>
      <x:c r="E16" s="26"/>
      <x:c r="F16" s="26"/>
      <x:c r="G16" s="26"/>
      <x:c r="H16" s="26"/>
    </x:row>
    <x:row r="17" ht="44" customHeight="1">
      <x:c r="B17" s="28" t="str">
        <x:v>Schedule</x:v>
      </x:c>
      <x:c r="C17" s="29" t="str">
        <x:v>A 78-month sequential chain becomes a 54-month release-aware program, thirty months beyond the original RAP-1 duration</x:v>
      </x:c>
      <x:c r="D17" s="26"/>
      <x:c r="E17" s="26"/>
      <x:c r="F17" s="26"/>
      <x:c r="G17" s="26"/>
      <x:c r="H17" s="26"/>
    </x:row>
    <x:row r="18" ht="44" customHeight="1">
      <x:c r="B18" s="28" t="str">
        <x:v>Finance</x:v>
      </x:c>
      <x:c r="C18" s="29" t="str">
        <x:v>USD 84M capital, USD 44M/year and USD 150M stage exposure</x:v>
      </x:c>
      <x:c r="D18" s="26"/>
      <x:c r="E18" s="26"/>
      <x:c r="F18" s="26"/>
      <x:c r="G18" s="26"/>
      <x:c r="H18" s="26"/>
    </x:row>
    <x:row r="19" ht="44" customHeight="1">
      <x:c r="B19" s="28" t="str">
        <x:v>Parent boundary</x:v>
      </x:c>
      <x:c r="C19" s="29" t="str">
        <x:v>RAE-1 retains USD 28M capital, USD 12M/year and USD 60M technology after RAX-1</x:v>
      </x:c>
      <x:c r="D19" s="26"/>
      <x:c r="E19" s="26"/>
      <x:c r="F19" s="26"/>
      <x:c r="G19" s="26"/>
      <x:c r="H19" s="26"/>
    </x:row>
    <x:row r="20" ht="44" customHeight="1">
      <x:c r="B20" s="28" t="str">
        <x:v>Authority ceiling</x:v>
      </x:c>
      <x:c r="C20" s="29" t="str">
        <x:v>Pre-source readiness only; no QE-01, source, candidate, production or exterior-form authority</x:v>
      </x:c>
      <x:c r="D20" s="26"/>
      <x:c r="E20" s="26"/>
      <x:c r="F20" s="26"/>
      <x:c r="G20" s="26"/>
      <x:c r="H20" s="26"/>
    </x:row>
    <x:row r="21" ht="44" customHeight="1">
      <x:c r="B21" s="28" t="str">
        <x:v>Next object</x:v>
      </x:c>
      <x:c r="C21" s="29" t="str">
        <x:v>RAY-1 first executable QE-01 issue, sealed-datum event and post-event regeneration constitution</x:v>
      </x:c>
      <x:c r="D21" s="26"/>
      <x:c r="E21" s="26"/>
      <x:c r="F21" s="26"/>
      <x:c r="G21" s="26"/>
      <x:c r="H21" s="26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1" hidden="0" customWidth="1"/>
    <x:col min="3" max="3" width="58" hidden="0" customWidth="1"/>
    <x:col min="4" max="4" width="19" hidden="0" customWidth="1"/>
    <x:col min="5" max="5" width="21" hidden="0" customWidth="1"/>
    <x:col min="6" max="6" width="19" hidden="0" customWidth="1"/>
    <x:col min="7" max="7" width="19" hidden="0" customWidth="1"/>
  </x:cols>
  <x:sheetData>
    <x:row r="2">
      <x:c r="B2" s="25" t="str">
        <x:v>RAX-1 controls</x:v>
      </x:c>
      <x:c r="C2" s="26"/>
      <x:c r="D2" s="26"/>
      <x:c r="E2" s="26"/>
      <x:c r="F2" s="26"/>
      <x:c r="G2" s="26"/>
    </x:row>
    <x:row r="3">
      <x:c r="B3" s="27" t="str">
        <x:v>Amber cells are inherited boundaries, declared design values or physical inputs. Downstream authorities remain unavailable.</x:v>
      </x:c>
      <x:c r="C3" s="26"/>
      <x:c r="D3" s="26"/>
      <x:c r="E3" s="26"/>
      <x:c r="F3" s="26"/>
      <x:c r="G3" s="26"/>
    </x:row>
    <x:row r="4">
      <x:c r="B4" s="26"/>
      <x:c r="C4" s="26"/>
      <x:c r="D4" s="26"/>
      <x:c r="E4" s="26"/>
      <x:c r="F4" s="26"/>
      <x:c r="G4" s="26"/>
    </x:row>
    <x:row r="5">
      <x:c r="B5" s="26"/>
      <x:c r="C5" s="26"/>
      <x:c r="D5" s="26"/>
      <x:c r="E5" s="26"/>
      <x:c r="F5" s="26"/>
      <x:c r="G5" s="26"/>
    </x:row>
    <x:row r="6" ht="24" customHeight="1">
      <x:c r="B6" s="6" t="str">
        <x:v>ID</x:v>
      </x:c>
      <x:c r="C6" s="6" t="str">
        <x:v>Control</x:v>
      </x:c>
      <x:c r="D6" s="6" t="str">
        <x:v>Value</x:v>
      </x:c>
      <x:c r="E6" s="6" t="str">
        <x:v>Unit</x:v>
      </x:c>
      <x:c r="F6" s="6" t="str">
        <x:v>Class</x:v>
      </x:c>
      <x:c r="G6" s="6" t="str">
        <x:v>Authority</x:v>
      </x:c>
    </x:row>
    <x:row r="7">
      <x:c r="B7" s="28" t="str">
        <x:v>C01</x:v>
      </x:c>
      <x:c r="C7" s="28" t="str">
        <x:v>bank articles</x:v>
      </x:c>
      <x:c r="D7" s="31" t="n">
        <x:v>18</x:v>
      </x:c>
      <x:c r="E7" s="28" t="str">
        <x:v>articles</x:v>
      </x:c>
      <x:c r="F7" s="28" t="str">
        <x:v>inherited</x:v>
      </x:c>
      <x:c r="G7" s="28" t="str">
        <x:v>RAQ-1</x:v>
      </x:c>
    </x:row>
    <x:row r="8">
      <x:c r="B8" s="28" t="str">
        <x:v>C02</x:v>
      </x:c>
      <x:c r="C8" s="28" t="str">
        <x:v>operational articles</x:v>
      </x:c>
      <x:c r="D8" s="31" t="n">
        <x:v>6</x:v>
      </x:c>
      <x:c r="E8" s="28" t="str">
        <x:v>articles</x:v>
      </x:c>
      <x:c r="F8" s="28" t="str">
        <x:v>inherited</x:v>
      </x:c>
      <x:c r="G8" s="28" t="str">
        <x:v>RAP-1</x:v>
      </x:c>
    </x:row>
    <x:row r="9">
      <x:c r="B9" s="28" t="str">
        <x:v>C03</x:v>
      </x:c>
      <x:c r="C9" s="28" t="str">
        <x:v>functional twins</x:v>
      </x:c>
      <x:c r="D9" s="31" t="n">
        <x:v>6</x:v>
      </x:c>
      <x:c r="E9" s="28" t="str">
        <x:v>articles</x:v>
      </x:c>
      <x:c r="F9" s="28" t="str">
        <x:v>inherited</x:v>
      </x:c>
      <x:c r="G9" s="28" t="str">
        <x:v>RAP-1</x:v>
      </x:c>
    </x:row>
    <x:row r="10">
      <x:c r="B10" s="28" t="str">
        <x:v>C04</x:v>
      </x:c>
      <x:c r="C10" s="28" t="str">
        <x:v>calibration articles</x:v>
      </x:c>
      <x:c r="D10" s="31" t="n">
        <x:v>3</x:v>
      </x:c>
      <x:c r="E10" s="28" t="str">
        <x:v>articles</x:v>
      </x:c>
      <x:c r="F10" s="28" t="str">
        <x:v>inherited</x:v>
      </x:c>
      <x:c r="G10" s="28" t="str">
        <x:v>RAP-1</x:v>
      </x:c>
    </x:row>
    <x:row r="11">
      <x:c r="B11" s="28" t="str">
        <x:v>C05</x:v>
      </x:c>
      <x:c r="C11" s="28" t="str">
        <x:v>destructive articles</x:v>
      </x:c>
      <x:c r="D11" s="31" t="n">
        <x:v>3</x:v>
      </x:c>
      <x:c r="E11" s="28" t="str">
        <x:v>articles</x:v>
      </x:c>
      <x:c r="F11" s="28" t="str">
        <x:v>inherited</x:v>
      </x:c>
      <x:c r="G11" s="28" t="str">
        <x:v>RAP-1</x:v>
      </x:c>
    </x:row>
    <x:row r="12">
      <x:c r="B12" s="28" t="str">
        <x:v>C06</x:v>
      </x:c>
      <x:c r="C12" s="28" t="str">
        <x:v>public rigs</x:v>
      </x:c>
      <x:c r="D12" s="31" t="n">
        <x:v>6</x:v>
      </x:c>
      <x:c r="E12" s="28" t="str">
        <x:v>rigs</x:v>
      </x:c>
      <x:c r="F12" s="28" t="str">
        <x:v>inherited</x:v>
      </x:c>
      <x:c r="G12" s="28" t="str">
        <x:v>RFP-1</x:v>
      </x:c>
    </x:row>
    <x:row r="13">
      <x:c r="B13" s="28" t="str">
        <x:v>C07</x:v>
      </x:c>
      <x:c r="C13" s="28" t="str">
        <x:v>proving campuses</x:v>
      </x:c>
      <x:c r="D13" s="31" t="n">
        <x:v>3</x:v>
      </x:c>
      <x:c r="E13" s="28" t="str">
        <x:v>campuses</x:v>
      </x:c>
      <x:c r="F13" s="28" t="str">
        <x:v>inherited</x:v>
      </x:c>
      <x:c r="G13" s="28" t="str">
        <x:v>PTC-0</x:v>
      </x:c>
    </x:row>
    <x:row r="14">
      <x:c r="B14" s="28" t="str">
        <x:v>C08</x:v>
      </x:c>
      <x:c r="C14" s="28" t="str">
        <x:v>rotation rounds</x:v>
      </x:c>
      <x:c r="D14" s="31" t="n">
        <x:v>6</x:v>
      </x:c>
      <x:c r="E14" s="28" t="str">
        <x:v>rounds</x:v>
      </x:c>
      <x:c r="F14" s="28" t="str">
        <x:v>design</x:v>
      </x:c>
      <x:c r="G14" s="28" t="str">
        <x:v>RAX-1</x:v>
      </x:c>
    </x:row>
    <x:row r="15">
      <x:c r="B15" s="28" t="str">
        <x:v>C09</x:v>
      </x:c>
      <x:c r="C15" s="28" t="str">
        <x:v>operational article-rig dockings</x:v>
      </x:c>
      <x:c r="D15" s="31" t="n">
        <x:v>36</x:v>
      </x:c>
      <x:c r="E15" s="28" t="str">
        <x:v>dockings</x:v>
      </x:c>
      <x:c r="F15" s="28" t="str">
        <x:v>derived</x:v>
      </x:c>
      <x:c r="G15" s="28" t="str">
        <x:v>RAX-1</x:v>
      </x:c>
    </x:row>
    <x:row r="16">
      <x:c r="B16" s="28" t="str">
        <x:v>C10</x:v>
      </x:c>
      <x:c r="C16" s="28" t="str">
        <x:v>interfaces per docking</x:v>
      </x:c>
      <x:c r="D16" s="31" t="n">
        <x:v>12</x:v>
      </x:c>
      <x:c r="E16" s="28" t="str">
        <x:v>interfaces</x:v>
      </x:c>
      <x:c r="F16" s="28" t="str">
        <x:v>design</x:v>
      </x:c>
      <x:c r="G16" s="28" t="str">
        <x:v>RAX-1</x:v>
      </x:c>
    </x:row>
    <x:row r="17">
      <x:c r="B17" s="28" t="str">
        <x:v>C11</x:v>
      </x:c>
      <x:c r="C17" s="28" t="str">
        <x:v>interface demonstrations</x:v>
      </x:c>
      <x:c r="D17" s="31" t="n">
        <x:v>432</x:v>
      </x:c>
      <x:c r="E17" s="28" t="str">
        <x:v>records</x:v>
      </x:c>
      <x:c r="F17" s="28" t="str">
        <x:v>derived</x:v>
      </x:c>
      <x:c r="G17" s="28" t="str">
        <x:v>RAX-1</x:v>
      </x:c>
    </x:row>
    <x:row r="18">
      <x:c r="B18" s="28" t="str">
        <x:v>C12</x:v>
      </x:c>
      <x:c r="C18" s="28" t="str">
        <x:v>calibration-rig sessions</x:v>
      </x:c>
      <x:c r="D18" s="31" t="n">
        <x:v>18</x:v>
      </x:c>
      <x:c r="E18" s="28" t="str">
        <x:v>sessions</x:v>
      </x:c>
      <x:c r="F18" s="28" t="str">
        <x:v>derived</x:v>
      </x:c>
      <x:c r="G18" s="28" t="str">
        <x:v>RAX-1</x:v>
      </x:c>
    </x:row>
    <x:row r="19">
      <x:c r="B19" s="28" t="str">
        <x:v>C13</x:v>
      </x:c>
      <x:c r="C19" s="28" t="str">
        <x:v>measurement families</x:v>
      </x:c>
      <x:c r="D19" s="31" t="n">
        <x:v>24</x:v>
      </x:c>
      <x:c r="E19" s="28" t="str">
        <x:v>families</x:v>
      </x:c>
      <x:c r="F19" s="28" t="str">
        <x:v>inherited</x:v>
      </x:c>
      <x:c r="G19" s="28" t="str">
        <x:v>RAP-1</x:v>
      </x:c>
    </x:row>
    <x:row r="20">
      <x:c r="B20" s="28" t="str">
        <x:v>C14</x:v>
      </x:c>
      <x:c r="C20" s="28" t="str">
        <x:v>calibration observations</x:v>
      </x:c>
      <x:c r="D20" s="31" t="n">
        <x:v>432</x:v>
      </x:c>
      <x:c r="E20" s="28" t="str">
        <x:v>records</x:v>
      </x:c>
      <x:c r="F20" s="28" t="str">
        <x:v>derived</x:v>
      </x:c>
      <x:c r="G20" s="28" t="str">
        <x:v>RAX-1</x:v>
      </x:c>
    </x:row>
    <x:row r="21">
      <x:c r="B21" s="28" t="str">
        <x:v>C15</x:v>
      </x:c>
      <x:c r="C21" s="28" t="str">
        <x:v>article readiness domains</x:v>
      </x:c>
      <x:c r="D21" s="31" t="n">
        <x:v>18</x:v>
      </x:c>
      <x:c r="E21" s="28" t="str">
        <x:v>domains</x:v>
      </x:c>
      <x:c r="F21" s="28" t="str">
        <x:v>design</x:v>
      </x:c>
      <x:c r="G21" s="28" t="str">
        <x:v>RAX-1</x:v>
      </x:c>
    </x:row>
    <x:row r="22">
      <x:c r="B22" s="28" t="str">
        <x:v>C16</x:v>
      </x:c>
      <x:c r="C22" s="28" t="str">
        <x:v>article-domain records</x:v>
      </x:c>
      <x:c r="D22" s="31" t="n">
        <x:v>108</x:v>
      </x:c>
      <x:c r="E22" s="28" t="str">
        <x:v>records</x:v>
      </x:c>
      <x:c r="F22" s="28" t="str">
        <x:v>derived</x:v>
      </x:c>
      <x:c r="G22" s="28" t="str">
        <x:v>RAX-1</x:v>
      </x:c>
    </x:row>
    <x:row r="23">
      <x:c r="B23" s="28" t="str">
        <x:v>C17</x:v>
      </x:c>
      <x:c r="C23" s="28" t="str">
        <x:v>rig readiness domains</x:v>
      </x:c>
      <x:c r="D23" s="31" t="n">
        <x:v>24</x:v>
      </x:c>
      <x:c r="E23" s="28" t="str">
        <x:v>domains</x:v>
      </x:c>
      <x:c r="F23" s="28" t="str">
        <x:v>design</x:v>
      </x:c>
      <x:c r="G23" s="28" t="str">
        <x:v>RAX-1</x:v>
      </x:c>
    </x:row>
    <x:row r="24">
      <x:c r="B24" s="28" t="str">
        <x:v>C18</x:v>
      </x:c>
      <x:c r="C24" s="28" t="str">
        <x:v>rig-domain records</x:v>
      </x:c>
      <x:c r="D24" s="31" t="n">
        <x:v>144</x:v>
      </x:c>
      <x:c r="E24" s="28" t="str">
        <x:v>records</x:v>
      </x:c>
      <x:c r="F24" s="28" t="str">
        <x:v>derived</x:v>
      </x:c>
      <x:c r="G24" s="28" t="str">
        <x:v>RAX-1</x:v>
      </x:c>
    </x:row>
    <x:row r="25">
      <x:c r="B25" s="28" t="str">
        <x:v>C19</x:v>
      </x:c>
      <x:c r="C25" s="28" t="str">
        <x:v>pair readiness domains</x:v>
      </x:c>
      <x:c r="D25" s="31" t="n">
        <x:v>18</x:v>
      </x:c>
      <x:c r="E25" s="28" t="str">
        <x:v>domains</x:v>
      </x:c>
      <x:c r="F25" s="28" t="str">
        <x:v>design</x:v>
      </x:c>
      <x:c r="G25" s="28" t="str">
        <x:v>RAX-1</x:v>
      </x:c>
    </x:row>
    <x:row r="26">
      <x:c r="B26" s="28" t="str">
        <x:v>C20</x:v>
      </x:c>
      <x:c r="C26" s="28" t="str">
        <x:v>pair-domain records</x:v>
      </x:c>
      <x:c r="D26" s="31" t="n">
        <x:v>108</x:v>
      </x:c>
      <x:c r="E26" s="28" t="str">
        <x:v>records</x:v>
      </x:c>
      <x:c r="F26" s="28" t="str">
        <x:v>derived</x:v>
      </x:c>
      <x:c r="G26" s="28" t="str">
        <x:v>RAX-1</x:v>
      </x:c>
    </x:row>
    <x:row r="27">
      <x:c r="B27" s="28" t="str">
        <x:v>C21</x:v>
      </x:c>
      <x:c r="C27" s="28" t="str">
        <x:v>campus readiness domains</x:v>
      </x:c>
      <x:c r="D27" s="31" t="n">
        <x:v>16</x:v>
      </x:c>
      <x:c r="E27" s="28" t="str">
        <x:v>domains</x:v>
      </x:c>
      <x:c r="F27" s="28" t="str">
        <x:v>design</x:v>
      </x:c>
      <x:c r="G27" s="28" t="str">
        <x:v>RAX-1</x:v>
      </x:c>
    </x:row>
    <x:row r="28">
      <x:c r="B28" s="28" t="str">
        <x:v>C22</x:v>
      </x:c>
      <x:c r="C28" s="28" t="str">
        <x:v>campus-domain records</x:v>
      </x:c>
      <x:c r="D28" s="31" t="n">
        <x:v>48</x:v>
      </x:c>
      <x:c r="E28" s="28" t="str">
        <x:v>records</x:v>
      </x:c>
      <x:c r="F28" s="28" t="str">
        <x:v>derived</x:v>
      </x:c>
      <x:c r="G28" s="28" t="str">
        <x:v>RAX-1</x:v>
      </x:c>
    </x:row>
    <x:row r="29">
      <x:c r="B29" s="28" t="str">
        <x:v>C23</x:v>
      </x:c>
      <x:c r="C29" s="28" t="str">
        <x:v>assigned positions</x:v>
      </x:c>
      <x:c r="D29" s="31" t="n">
        <x:v>240</x:v>
      </x:c>
      <x:c r="E29" s="28" t="str">
        <x:v>positions</x:v>
      </x:c>
      <x:c r="F29" s="28" t="str">
        <x:v>inherited</x:v>
      </x:c>
      <x:c r="G29" s="28" t="str">
        <x:v>RAP-1</x:v>
      </x:c>
    </x:row>
    <x:row r="30">
      <x:c r="B30" s="28" t="str">
        <x:v>C24</x:v>
      </x:c>
      <x:c r="C30" s="28" t="str">
        <x:v>qualification modules per position</x:v>
      </x:c>
      <x:c r="D30" s="31" t="n">
        <x:v>4</x:v>
      </x:c>
      <x:c r="E30" s="28" t="str">
        <x:v>modules</x:v>
      </x:c>
      <x:c r="F30" s="28" t="str">
        <x:v>design</x:v>
      </x:c>
      <x:c r="G30" s="28" t="str">
        <x:v>RAX-1</x:v>
      </x:c>
    </x:row>
    <x:row r="31">
      <x:c r="B31" s="28" t="str">
        <x:v>C25</x:v>
      </x:c>
      <x:c r="C31" s="28" t="str">
        <x:v>crew qualification records</x:v>
      </x:c>
      <x:c r="D31" s="31" t="n">
        <x:v>960</x:v>
      </x:c>
      <x:c r="E31" s="28" t="str">
        <x:v>records</x:v>
      </x:c>
      <x:c r="F31" s="28" t="str">
        <x:v>derived</x:v>
      </x:c>
      <x:c r="G31" s="28" t="str">
        <x:v>RAX-1</x:v>
      </x:c>
    </x:row>
    <x:row r="32">
      <x:c r="B32" s="28" t="str">
        <x:v>C26</x:v>
      </x:c>
      <x:c r="C32" s="28" t="str">
        <x:v>drills per rig</x:v>
      </x:c>
      <x:c r="D32" s="31" t="n">
        <x:v>12</x:v>
      </x:c>
      <x:c r="E32" s="28" t="str">
        <x:v>drills</x:v>
      </x:c>
      <x:c r="F32" s="28" t="str">
        <x:v>design</x:v>
      </x:c>
      <x:c r="G32" s="28" t="str">
        <x:v>RAX-1</x:v>
      </x:c>
    </x:row>
    <x:row r="33">
      <x:c r="B33" s="28" t="str">
        <x:v>C27</x:v>
      </x:c>
      <x:c r="C33" s="28" t="str">
        <x:v>readiness drill records</x:v>
      </x:c>
      <x:c r="D33" s="31" t="n">
        <x:v>72</x:v>
      </x:c>
      <x:c r="E33" s="28" t="str">
        <x:v>records</x:v>
      </x:c>
      <x:c r="F33" s="28" t="str">
        <x:v>derived</x:v>
      </x:c>
      <x:c r="G33" s="28" t="str">
        <x:v>RAX-1</x:v>
      </x:c>
    </x:row>
    <x:row r="34">
      <x:c r="B34" s="28" t="str">
        <x:v>C28</x:v>
      </x:c>
      <x:c r="C34" s="28" t="str">
        <x:v>rescue conditions</x:v>
      </x:c>
      <x:c r="D34" s="31" t="n">
        <x:v>4</x:v>
      </x:c>
      <x:c r="E34" s="28" t="str">
        <x:v>conditions</x:v>
      </x:c>
      <x:c r="F34" s="28" t="str">
        <x:v>design</x:v>
      </x:c>
      <x:c r="G34" s="28" t="str">
        <x:v>RAX-1</x:v>
      </x:c>
    </x:row>
    <x:row r="35">
      <x:c r="B35" s="28" t="str">
        <x:v>C29</x:v>
      </x:c>
      <x:c r="C35" s="28" t="str">
        <x:v>rescue paths</x:v>
      </x:c>
      <x:c r="D35" s="31" t="n">
        <x:v>2</x:v>
      </x:c>
      <x:c r="E35" s="28" t="str">
        <x:v>paths</x:v>
      </x:c>
      <x:c r="F35" s="28" t="str">
        <x:v>design</x:v>
      </x:c>
      <x:c r="G35" s="28" t="str">
        <x:v>RAX-1</x:v>
      </x:c>
    </x:row>
    <x:row r="36">
      <x:c r="B36" s="28" t="str">
        <x:v>C30</x:v>
      </x:c>
      <x:c r="C36" s="28" t="str">
        <x:v>rescue exercise records</x:v>
      </x:c>
      <x:c r="D36" s="31" t="n">
        <x:v>48</x:v>
      </x:c>
      <x:c r="E36" s="28" t="str">
        <x:v>records</x:v>
      </x:c>
      <x:c r="F36" s="28" t="str">
        <x:v>derived</x:v>
      </x:c>
      <x:c r="G36" s="28" t="str">
        <x:v>RAX-1</x:v>
      </x:c>
    </x:row>
    <x:row r="37">
      <x:c r="B37" s="28" t="str">
        <x:v>C31</x:v>
      </x:c>
      <x:c r="C37" s="28" t="str">
        <x:v>evidence handshakes per rig</x:v>
      </x:c>
      <x:c r="D37" s="31" t="n">
        <x:v>12</x:v>
      </x:c>
      <x:c r="E37" s="28" t="str">
        <x:v>records</x:v>
      </x:c>
      <x:c r="F37" s="28" t="str">
        <x:v>design</x:v>
      </x:c>
      <x:c r="G37" s="28" t="str">
        <x:v>RAX-1</x:v>
      </x:c>
    </x:row>
    <x:row r="38">
      <x:c r="B38" s="28" t="str">
        <x:v>C32</x:v>
      </x:c>
      <x:c r="C38" s="28" t="str">
        <x:v>evidence handshake records</x:v>
      </x:c>
      <x:c r="D38" s="31" t="n">
        <x:v>72</x:v>
      </x:c>
      <x:c r="E38" s="28" t="str">
        <x:v>records</x:v>
      </x:c>
      <x:c r="F38" s="28" t="str">
        <x:v>derived</x:v>
      </x:c>
      <x:c r="G38" s="28" t="str">
        <x:v>RAX-1</x:v>
      </x:c>
    </x:row>
    <x:row r="39">
      <x:c r="B39" s="28" t="str">
        <x:v>C33</x:v>
      </x:c>
      <x:c r="C39" s="28" t="str">
        <x:v>packet classes</x:v>
      </x:c>
      <x:c r="D39" s="31" t="n">
        <x:v>10</x:v>
      </x:c>
      <x:c r="E39" s="28" t="str">
        <x:v>classes</x:v>
      </x:c>
      <x:c r="F39" s="28" t="str">
        <x:v>inherited</x:v>
      </x:c>
      <x:c r="G39" s="28" t="str">
        <x:v>RAP-1</x:v>
      </x:c>
    </x:row>
    <x:row r="40">
      <x:c r="B40" s="28" t="str">
        <x:v>C34</x:v>
      </x:c>
      <x:c r="C40" s="28" t="str">
        <x:v>remote replay records</x:v>
      </x:c>
      <x:c r="D40" s="31" t="n">
        <x:v>120</x:v>
      </x:c>
      <x:c r="E40" s="28" t="str">
        <x:v>records</x:v>
      </x:c>
      <x:c r="F40" s="28" t="str">
        <x:v>derived</x:v>
      </x:c>
      <x:c r="G40" s="28" t="str">
        <x:v>RAX-1</x:v>
      </x:c>
    </x:row>
    <x:row r="41">
      <x:c r="B41" s="28" t="str">
        <x:v>C35</x:v>
      </x:c>
      <x:c r="C41" s="28" t="str">
        <x:v>readiness credentials per pair</x:v>
      </x:c>
      <x:c r="D41" s="31" t="n">
        <x:v>12</x:v>
      </x:c>
      <x:c r="E41" s="28" t="str">
        <x:v>credentials</x:v>
      </x:c>
      <x:c r="F41" s="28" t="str">
        <x:v>design</x:v>
      </x:c>
      <x:c r="G41" s="28" t="str">
        <x:v>RAX-1</x:v>
      </x:c>
    </x:row>
    <x:row r="42">
      <x:c r="B42" s="28" t="str">
        <x:v>C36</x:v>
      </x:c>
      <x:c r="C42" s="28" t="str">
        <x:v>expiry records</x:v>
      </x:c>
      <x:c r="D42" s="31" t="n">
        <x:v>72</x:v>
      </x:c>
      <x:c r="E42" s="28" t="str">
        <x:v>records</x:v>
      </x:c>
      <x:c r="F42" s="28" t="str">
        <x:v>derived</x:v>
      </x:c>
      <x:c r="G42" s="28" t="str">
        <x:v>RAX-1</x:v>
      </x:c>
    </x:row>
    <x:row r="43">
      <x:c r="B43" s="28" t="str">
        <x:v>C37</x:v>
      </x:c>
      <x:c r="C43" s="28" t="str">
        <x:v>RAC-1 duration</x:v>
      </x:c>
      <x:c r="D43" s="31" t="n">
        <x:v>18</x:v>
      </x:c>
      <x:c r="E43" s="28" t="str">
        <x:v>months</x:v>
      </x:c>
      <x:c r="F43" s="28" t="str">
        <x:v>inherited</x:v>
      </x:c>
      <x:c r="G43" s="28" t="str">
        <x:v>RAC-1</x:v>
      </x:c>
    </x:row>
    <x:row r="44">
      <x:c r="B44" s="28" t="str">
        <x:v>C38</x:v>
      </x:c>
      <x:c r="C44" s="28" t="str">
        <x:v>RAB-1 duration</x:v>
      </x:c>
      <x:c r="D44" s="31" t="n">
        <x:v>18</x:v>
      </x:c>
      <x:c r="E44" s="28" t="str">
        <x:v>months</x:v>
      </x:c>
      <x:c r="F44" s="28" t="str">
        <x:v>inherited</x:v>
      </x:c>
      <x:c r="G44" s="28" t="str">
        <x:v>RAB-1</x:v>
      </x:c>
    </x:row>
    <x:row r="45">
      <x:c r="B45" s="28" t="str">
        <x:v>C39</x:v>
      </x:c>
      <x:c r="C45" s="28" t="str">
        <x:v>RAQ-1 duration</x:v>
      </x:c>
      <x:c r="D45" s="31" t="n">
        <x:v>24</x:v>
      </x:c>
      <x:c r="E45" s="28" t="str">
        <x:v>months</x:v>
      </x:c>
      <x:c r="F45" s="28" t="str">
        <x:v>inherited</x:v>
      </x:c>
      <x:c r="G45" s="28" t="str">
        <x:v>RAQ-1</x:v>
      </x:c>
    </x:row>
    <x:row r="46">
      <x:c r="B46" s="28" t="str">
        <x:v>C40</x:v>
      </x:c>
      <x:c r="C46" s="28" t="str">
        <x:v>RAX-1 duration</x:v>
      </x:c>
      <x:c r="D46" s="31" t="n">
        <x:v>18</x:v>
      </x:c>
      <x:c r="E46" s="28" t="str">
        <x:v>months</x:v>
      </x:c>
      <x:c r="F46" s="28" t="str">
        <x:v>design</x:v>
      </x:c>
      <x:c r="G46" s="28" t="str">
        <x:v>RAX-1</x:v>
      </x:c>
    </x:row>
    <x:row r="47">
      <x:c r="B47" s="28" t="str">
        <x:v>C41</x:v>
      </x:c>
      <x:c r="C47" s="28" t="str">
        <x:v>sequential stage duration</x:v>
      </x:c>
      <x:c r="D47" s="31" t="n">
        <x:v>78</x:v>
      </x:c>
      <x:c r="E47" s="28" t="str">
        <x:v>months</x:v>
      </x:c>
      <x:c r="F47" s="28" t="str">
        <x:v>derived</x:v>
      </x:c>
      <x:c r="G47" s="28" t="str">
        <x:v>RAX-1</x:v>
      </x:c>
    </x:row>
    <x:row r="48">
      <x:c r="B48" s="28" t="str">
        <x:v>C42</x:v>
      </x:c>
      <x:c r="C48" s="28" t="str">
        <x:v>safely overlapped duration</x:v>
      </x:c>
      <x:c r="D48" s="31" t="n">
        <x:v>54</x:v>
      </x:c>
      <x:c r="E48" s="28" t="str">
        <x:v>months</x:v>
      </x:c>
      <x:c r="F48" s="28" t="str">
        <x:v>derived</x:v>
      </x:c>
      <x:c r="G48" s="28" t="str">
        <x:v>RAX-1</x:v>
      </x:c>
    </x:row>
    <x:row r="49">
      <x:c r="B49" s="28" t="str">
        <x:v>C43</x:v>
      </x:c>
      <x:c r="C49" s="28" t="str">
        <x:v>overlap saved</x:v>
      </x:c>
      <x:c r="D49" s="31" t="n">
        <x:v>24</x:v>
      </x:c>
      <x:c r="E49" s="28" t="str">
        <x:v>months</x:v>
      </x:c>
      <x:c r="F49" s="28" t="str">
        <x:v>derived</x:v>
      </x:c>
      <x:c r="G49" s="28" t="str">
        <x:v>RAX-1</x:v>
      </x:c>
    </x:row>
    <x:row r="50">
      <x:c r="B50" s="28" t="str">
        <x:v>C44</x:v>
      </x:c>
      <x:c r="C50" s="28" t="str">
        <x:v>original RAP-1 duration</x:v>
      </x:c>
      <x:c r="D50" s="31" t="n">
        <x:v>24</x:v>
      </x:c>
      <x:c r="E50" s="28" t="str">
        <x:v>months</x:v>
      </x:c>
      <x:c r="F50" s="28" t="str">
        <x:v>inherited</x:v>
      </x:c>
      <x:c r="G50" s="28" t="str">
        <x:v>RAP-1</x:v>
      </x:c>
    </x:row>
    <x:row r="51">
      <x:c r="B51" s="28" t="str">
        <x:v>C45</x:v>
      </x:c>
      <x:c r="C51" s="28" t="str">
        <x:v>rebased schedule excess</x:v>
      </x:c>
      <x:c r="D51" s="31" t="n">
        <x:v>30</x:v>
      </x:c>
      <x:c r="E51" s="28" t="str">
        <x:v>months</x:v>
      </x:c>
      <x:c r="F51" s="28" t="str">
        <x:v>derived</x:v>
      </x:c>
      <x:c r="G51" s="28" t="str">
        <x:v>RAX-1</x:v>
      </x:c>
    </x:row>
    <x:row r="52">
      <x:c r="B52" s="28" t="str">
        <x:v>C46</x:v>
      </x:c>
      <x:c r="C52" s="28" t="str">
        <x:v>RAX-1 capital</x:v>
      </x:c>
      <x:c r="D52" s="31" t="n">
        <x:v>84</x:v>
      </x:c>
      <x:c r="E52" s="28" t="str">
        <x:v>USD M</x:v>
      </x:c>
      <x:c r="F52" s="28" t="str">
        <x:v>allocation</x:v>
      </x:c>
      <x:c r="G52" s="28" t="str">
        <x:v>RAX-1</x:v>
      </x:c>
    </x:row>
    <x:row r="53">
      <x:c r="B53" s="28" t="str">
        <x:v>C47</x:v>
      </x:c>
      <x:c r="C53" s="28" t="str">
        <x:v>RAX-1 annual support</x:v>
      </x:c>
      <x:c r="D53" s="31" t="n">
        <x:v>44</x:v>
      </x:c>
      <x:c r="E53" s="28" t="str">
        <x:v>USD M/year</x:v>
      </x:c>
      <x:c r="F53" s="28" t="str">
        <x:v>allocation</x:v>
      </x:c>
      <x:c r="G53" s="28" t="str">
        <x:v>RAX-1</x:v>
      </x:c>
    </x:row>
    <x:row r="54">
      <x:c r="B54" s="28" t="str">
        <x:v>C48</x:v>
      </x:c>
      <x:c r="C54" s="28" t="str">
        <x:v>RAX-1 stage exposure</x:v>
      </x:c>
      <x:c r="D54" s="31" t="n">
        <x:v>150</x:v>
      </x:c>
      <x:c r="E54" s="28" t="str">
        <x:v>USD M</x:v>
      </x:c>
      <x:c r="F54" s="28" t="str">
        <x:v>derived</x:v>
      </x:c>
      <x:c r="G54" s="28" t="str">
        <x:v>RAX-1</x:v>
      </x:c>
    </x:row>
    <x:row r="55">
      <x:c r="B55" s="28" t="str">
        <x:v>C49</x:v>
      </x:c>
      <x:c r="C55" s="28" t="str">
        <x:v>RAE-1 capital boundary</x:v>
      </x:c>
      <x:c r="D55" s="31" t="n">
        <x:v>360</x:v>
      </x:c>
      <x:c r="E55" s="28" t="str">
        <x:v>USD M</x:v>
      </x:c>
      <x:c r="F55" s="28" t="str">
        <x:v>inherited</x:v>
      </x:c>
      <x:c r="G55" s="28" t="str">
        <x:v>RAE-1</x:v>
      </x:c>
    </x:row>
    <x:row r="56">
      <x:c r="B56" s="28" t="str">
        <x:v>C50</x:v>
      </x:c>
      <x:c r="C56" s="28" t="str">
        <x:v>RAP-1 capital allocation</x:v>
      </x:c>
      <x:c r="D56" s="31" t="n">
        <x:v>248</x:v>
      </x:c>
      <x:c r="E56" s="28" t="str">
        <x:v>USD M</x:v>
      </x:c>
      <x:c r="F56" s="28" t="str">
        <x:v>inherited</x:v>
      </x:c>
      <x:c r="G56" s="28" t="str">
        <x:v>RAP-1</x:v>
      </x:c>
    </x:row>
    <x:row r="57">
      <x:c r="B57" s="28" t="str">
        <x:v>C51</x:v>
      </x:c>
      <x:c r="C57" s="28" t="str">
        <x:v>remaining capital</x:v>
      </x:c>
      <x:c r="D57" s="31" t="n">
        <x:v>28</x:v>
      </x:c>
      <x:c r="E57" s="28" t="str">
        <x:v>USD M</x:v>
      </x:c>
      <x:c r="F57" s="28" t="str">
        <x:v>derived</x:v>
      </x:c>
      <x:c r="G57" s="28" t="str">
        <x:v>RAX-1</x:v>
      </x:c>
    </x:row>
    <x:row r="58">
      <x:c r="B58" s="28" t="str">
        <x:v>C52</x:v>
      </x:c>
      <x:c r="C58" s="28" t="str">
        <x:v>RAE-1 annual boundary</x:v>
      </x:c>
      <x:c r="D58" s="31" t="n">
        <x:v>168</x:v>
      </x:c>
      <x:c r="E58" s="28" t="str">
        <x:v>USD M/year</x:v>
      </x:c>
      <x:c r="F58" s="28" t="str">
        <x:v>inherited</x:v>
      </x:c>
      <x:c r="G58" s="28" t="str">
        <x:v>RAE-1</x:v>
      </x:c>
    </x:row>
    <x:row r="59">
      <x:c r="B59" s="28" t="str">
        <x:v>C53</x:v>
      </x:c>
      <x:c r="C59" s="28" t="str">
        <x:v>RAP-1 annual allocation</x:v>
      </x:c>
      <x:c r="D59" s="31" t="n">
        <x:v>112</x:v>
      </x:c>
      <x:c r="E59" s="28" t="str">
        <x:v>USD M/year</x:v>
      </x:c>
      <x:c r="F59" s="28" t="str">
        <x:v>inherited</x:v>
      </x:c>
      <x:c r="G59" s="28" t="str">
        <x:v>RAP-1</x:v>
      </x:c>
    </x:row>
    <x:row r="60">
      <x:c r="B60" s="28" t="str">
        <x:v>C54</x:v>
      </x:c>
      <x:c r="C60" s="28" t="str">
        <x:v>remaining annual support</x:v>
      </x:c>
      <x:c r="D60" s="31" t="n">
        <x:v>12</x:v>
      </x:c>
      <x:c r="E60" s="28" t="str">
        <x:v>USD M/year</x:v>
      </x:c>
      <x:c r="F60" s="28" t="str">
        <x:v>derived</x:v>
      </x:c>
      <x:c r="G60" s="28" t="str">
        <x:v>RAX-1</x:v>
      </x:c>
    </x:row>
    <x:row r="61">
      <x:c r="B61" s="28" t="str">
        <x:v>C55</x:v>
      </x:c>
      <x:c r="C61" s="28" t="str">
        <x:v>RAE-1 technology boundary</x:v>
      </x:c>
      <x:c r="D61" s="31" t="n">
        <x:v>470</x:v>
      </x:c>
      <x:c r="E61" s="28" t="str">
        <x:v>USD M</x:v>
      </x:c>
      <x:c r="F61" s="28" t="str">
        <x:v>inherited</x:v>
      </x:c>
      <x:c r="G61" s="28" t="str">
        <x:v>RAE-1</x:v>
      </x:c>
    </x:row>
    <x:row r="62">
      <x:c r="B62" s="28" t="str">
        <x:v>C56</x:v>
      </x:c>
      <x:c r="C62" s="28" t="str">
        <x:v>RAP-1 technology allocation</x:v>
      </x:c>
      <x:c r="D62" s="31" t="n">
        <x:v>310</x:v>
      </x:c>
      <x:c r="E62" s="28" t="str">
        <x:v>USD M</x:v>
      </x:c>
      <x:c r="F62" s="28" t="str">
        <x:v>inherited</x:v>
      </x:c>
      <x:c r="G62" s="28" t="str">
        <x:v>RAP-1</x:v>
      </x:c>
    </x:row>
    <x:row r="63">
      <x:c r="B63" s="28" t="str">
        <x:v>C57</x:v>
      </x:c>
      <x:c r="C63" s="28" t="str">
        <x:v>RAX-1 technology allocation</x:v>
      </x:c>
      <x:c r="D63" s="31" t="n">
        <x:v>100</x:v>
      </x:c>
      <x:c r="E63" s="28" t="str">
        <x:v>USD M</x:v>
      </x:c>
      <x:c r="F63" s="28" t="str">
        <x:v>cross-classified</x:v>
      </x:c>
      <x:c r="G63" s="28" t="str">
        <x:v>RAX-1</x:v>
      </x:c>
    </x:row>
    <x:row r="64">
      <x:c r="B64" s="28" t="str">
        <x:v>C58</x:v>
      </x:c>
      <x:c r="C64" s="28" t="str">
        <x:v>remaining technology</x:v>
      </x:c>
      <x:c r="D64" s="31" t="n">
        <x:v>60</x:v>
      </x:c>
      <x:c r="E64" s="28" t="str">
        <x:v>USD M</x:v>
      </x:c>
      <x:c r="F64" s="28" t="str">
        <x:v>derived</x:v>
      </x:c>
      <x:c r="G64" s="28" t="str">
        <x:v>RAX-1</x:v>
      </x:c>
    </x:row>
    <x:row r="65">
      <x:c r="B65" s="28" t="str">
        <x:v>C59</x:v>
      </x:c>
      <x:c r="C65" s="28" t="str">
        <x:v>readiness validity window</x:v>
      </x:c>
      <x:c r="D65" s="31" t="n">
        <x:v>14</x:v>
      </x:c>
      <x:c r="E65" s="28" t="str">
        <x:v>days</x:v>
      </x:c>
      <x:c r="F65" s="28" t="str">
        <x:v>design</x:v>
      </x:c>
      <x:c r="G65" s="28" t="str">
        <x:v>RAX-1</x:v>
      </x:c>
    </x:row>
    <x:row r="66">
      <x:c r="B66" s="28" t="str">
        <x:v>C60</x:v>
      </x:c>
      <x:c r="C66" s="28" t="str">
        <x:v>maximum transport shock</x:v>
      </x:c>
      <x:c r="D66" s="31" t="n">
        <x:v>2.5</x:v>
      </x:c>
      <x:c r="E66" s="28" t="str">
        <x:v>g</x:v>
      </x:c>
      <x:c r="F66" s="28" t="str">
        <x:v>design</x:v>
      </x:c>
      <x:c r="G66" s="28" t="str">
        <x:v>RAX-1</x:v>
      </x:c>
    </x:row>
    <x:row r="67">
      <x:c r="B67" s="28" t="str">
        <x:v>C61</x:v>
      </x:c>
      <x:c r="C67" s="28" t="str">
        <x:v>transport temperature minimum</x:v>
      </x:c>
      <x:c r="D67" s="31" t="n">
        <x:v>-20</x:v>
      </x:c>
      <x:c r="E67" s="28" t="str">
        <x:v>degrees C</x:v>
      </x:c>
      <x:c r="F67" s="28" t="str">
        <x:v>inherited</x:v>
      </x:c>
      <x:c r="G67" s="28" t="str">
        <x:v>RAP-1</x:v>
      </x:c>
    </x:row>
    <x:row r="68">
      <x:c r="B68" s="28" t="str">
        <x:v>C62</x:v>
      </x:c>
      <x:c r="C68" s="28" t="str">
        <x:v>transport temperature maximum</x:v>
      </x:c>
      <x:c r="D68" s="31" t="n">
        <x:v>50</x:v>
      </x:c>
      <x:c r="E68" s="28" t="str">
        <x:v>degrees C</x:v>
      </x:c>
      <x:c r="F68" s="28" t="str">
        <x:v>inherited</x:v>
      </x:c>
      <x:c r="G68" s="28" t="str">
        <x:v>RAP-1</x:v>
      </x:c>
    </x:row>
    <x:row r="69">
      <x:c r="B69" s="28" t="str">
        <x:v>C63</x:v>
      </x:c>
      <x:c r="C69" s="28" t="str">
        <x:v>campaign start date</x:v>
      </x:c>
      <x:c r="D69" s="32" t="str"/>
      <x:c r="E69" s="28" t="str">
        <x:v>Excel date</x:v>
      </x:c>
      <x:c r="F69" s="28" t="str">
        <x:v>physical input</x:v>
      </x:c>
      <x:c r="G69" s="28" t="str">
        <x:v>campaign board</x:v>
      </x:c>
    </x:row>
    <x:row r="70">
      <x:c r="B70" s="28" t="str">
        <x:v>C64</x:v>
      </x:c>
      <x:c r="C70" s="28" t="str">
        <x:v>bank-entry authority</x:v>
      </x:c>
      <x:c r="D70" s="31" t="n">
        <x:v>0</x:v>
      </x:c>
      <x:c r="E70" s="28" t="str">
        <x:v>binary</x:v>
      </x:c>
      <x:c r="F70" s="28" t="str">
        <x:v>authority</x:v>
      </x:c>
      <x:c r="G70" s="28" t="str">
        <x:v>downstream</x:v>
      </x:c>
    </x:row>
    <x:row r="71">
      <x:c r="B71" s="28" t="str">
        <x:v>C65</x:v>
      </x:c>
      <x:c r="C71" s="28" t="str">
        <x:v>pre-source readiness authority</x:v>
      </x:c>
      <x:c r="D71" s="31" t="n">
        <x:v>0</x:v>
      </x:c>
      <x:c r="E71" s="28" t="str">
        <x:v>binary</x:v>
      </x:c>
      <x:c r="F71" s="28" t="str">
        <x:v>authority</x:v>
      </x:c>
      <x:c r="G71" s="28" t="str">
        <x:v>downstream</x:v>
      </x:c>
    </x:row>
    <x:row r="72">
      <x:c r="B72" s="28" t="str">
        <x:v>C66</x:v>
      </x:c>
      <x:c r="C72" s="28" t="str">
        <x:v>QE-01 issue authority</x:v>
      </x:c>
      <x:c r="D72" s="31" t="n">
        <x:v>0</x:v>
      </x:c>
      <x:c r="E72" s="28" t="str">
        <x:v>binary</x:v>
      </x:c>
      <x:c r="F72" s="28" t="str">
        <x:v>authority</x:v>
      </x:c>
      <x:c r="G72" s="28" t="str">
        <x:v>downstream</x:v>
      </x:c>
    </x:row>
    <x:row r="73">
      <x:c r="B73" s="28" t="str">
        <x:v>C67</x:v>
      </x:c>
      <x:c r="C73" s="28" t="str">
        <x:v>source-entry authority</x:v>
      </x:c>
      <x:c r="D73" s="31" t="n">
        <x:v>0</x:v>
      </x:c>
      <x:c r="E73" s="28" t="str">
        <x:v>binary</x:v>
      </x:c>
      <x:c r="F73" s="28" t="str">
        <x:v>authority</x:v>
      </x:c>
      <x:c r="G73" s="28" t="str">
        <x:v>downstream</x:v>
      </x:c>
    </x:row>
    <x:row r="74">
      <x:c r="B74" s="28" t="str">
        <x:v>C68</x:v>
      </x:c>
      <x:c r="C74" s="28" t="str">
        <x:v>candidate-entry authority</x:v>
      </x:c>
      <x:c r="D74" s="31" t="n">
        <x:v>0</x:v>
      </x:c>
      <x:c r="E74" s="28" t="str">
        <x:v>binary</x:v>
      </x:c>
      <x:c r="F74" s="28" t="str">
        <x:v>authority</x:v>
      </x:c>
      <x:c r="G74" s="28" t="str">
        <x:v>downstream</x:v>
      </x:c>
    </x:row>
    <x:row r="75">
      <x:c r="B75" s="28" t="str">
        <x:v>C69</x:v>
      </x:c>
      <x:c r="C75" s="28" t="str">
        <x:v>series-production authority</x:v>
      </x:c>
      <x:c r="D75" s="31" t="n">
        <x:v>0</x:v>
      </x:c>
      <x:c r="E75" s="28" t="str">
        <x:v>binary</x:v>
      </x:c>
      <x:c r="F75" s="28" t="str">
        <x:v>authority</x:v>
      </x:c>
      <x:c r="G75" s="28" t="str">
        <x:v>downstream</x:v>
      </x:c>
    </x:row>
    <x:row r="76">
      <x:c r="B76" s="28" t="str">
        <x:v>C70</x:v>
      </x:c>
      <x:c r="C76" s="28" t="str">
        <x:v>exterior-rendering authority</x:v>
      </x:c>
      <x:c r="D76" s="31" t="n">
        <x:v>0</x:v>
      </x:c>
      <x:c r="E76" s="28" t="str">
        <x:v>binary</x:v>
      </x:c>
      <x:c r="F76" s="28" t="str">
        <x:v>authority</x:v>
      </x:c>
      <x:c r="G76" s="28" t="str">
        <x:v>downstream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8" hidden="0" customWidth="1"/>
    <x:col min="4" max="4" width="82" hidden="0" customWidth="1"/>
    <x:col min="5" max="5" width="60" hidden="0" customWidth="1"/>
  </x:cols>
  <x:sheetData>
    <x:row r="2">
      <x:c r="B2" s="25" t="str">
        <x:v>Twelve questions governing campaign mobilization</x:v>
      </x:c>
      <x:c r="C2" s="26"/>
      <x:c r="D2" s="26"/>
      <x:c r="E2" s="26"/>
    </x:row>
    <x:row r="3">
      <x:c r="B3" s="27" t="str">
        <x:v>RAX-1 joins accepted articles, public rigs, crews, standards, rescue and evidence without issuing a source event.</x:v>
      </x:c>
      <x:c r="C3" s="26"/>
      <x:c r="D3" s="26"/>
      <x:c r="E3" s="26"/>
    </x:row>
    <x:row r="4">
      <x:c r="B4" s="26"/>
      <x:c r="C4" s="26"/>
      <x:c r="D4" s="26"/>
      <x:c r="E4" s="26"/>
    </x:row>
    <x:row r="5">
      <x:c r="B5" s="26"/>
      <x:c r="C5" s="26"/>
      <x:c r="D5" s="26"/>
      <x:c r="E5" s="26"/>
    </x:row>
    <x:row r="6" ht="24" customHeight="1">
      <x:c r="B6" s="6" t="str">
        <x:v>Question</x:v>
      </x:c>
      <x:c r="C6" s="6" t="str">
        <x:v>Subject</x:v>
      </x:c>
      <x:c r="D6" s="6" t="str">
        <x:v>RAX-1 answer</x:v>
      </x:c>
      <x:c r="E6" s="6" t="str">
        <x:v>Boundary</x:v>
      </x:c>
    </x:row>
    <x:row r="7" ht="42" customHeight="1">
      <x:c r="B7" s="28" t="str">
        <x:v>RQ-01</x:v>
      </x:c>
      <x:c r="C7" s="28" t="str">
        <x:v>bank intake</x:v>
      </x:c>
      <x:c r="D7" s="29" t="str">
        <x:v>all eighteen locked RAQ-1 positions cross custody before campaign use</x:v>
      </x:c>
      <x:c r="E7" s="29" t="str">
        <x:v>no article selection after arrival</x:v>
      </x:c>
    </x:row>
    <x:row r="8" ht="42" customHeight="1">
      <x:c r="B8" s="28" t="str">
        <x:v>RQ-02</x:v>
      </x:c>
      <x:c r="C8" s="28" t="str">
        <x:v>builder-campus confounding</x:v>
      </x:c>
      <x:c r="D8" s="29" t="str">
        <x:v>every operational article docks to every public rig before final stationing</x:v>
      </x:c>
      <x:c r="E8" s="29" t="str">
        <x:v>home assignment cannot stand as portability evidence</x:v>
      </x:c>
    </x:row>
    <x:row r="9" ht="42" customHeight="1">
      <x:c r="B9" s="28" t="str">
        <x:v>RQ-03</x:v>
      </x:c>
      <x:c r="C9" s="28" t="str">
        <x:v>transport state</x:v>
      </x:c>
      <x:c r="D9" s="29" t="str">
        <x:v>departure and arrival configuration, shock, temperature and seal history remain coupled</x:v>
      </x:c>
      <x:c r="E9" s="29" t="str">
        <x:v>shipping is not an administrative gap</x:v>
      </x:c>
    </x:row>
    <x:row r="10" ht="42" customHeight="1">
      <x:c r="B10" s="28" t="str">
        <x:v>RQ-04</x:v>
      </x:c>
      <x:c r="C10" s="28" t="str">
        <x:v>interface portability</x:v>
      </x:c>
      <x:c r="D10" s="29" t="str">
        <x:v>twelve public interfaces pass at each of thirty-six dockings</x:v>
      </x:c>
      <x:c r="E10" s="29" t="str">
        <x:v>mechanical fit alone is insufficient</x:v>
      </x:c>
    </x:row>
    <x:row r="11" ht="42" customHeight="1">
      <x:c r="B11" s="28" t="str">
        <x:v>RQ-05</x:v>
      </x:c>
      <x:c r="C11" s="28" t="str">
        <x:v>metrology transfer</x:v>
      </x:c>
      <x:c r="D11" s="29" t="str">
        <x:v>three calibration articles circulate through all six rigs and all twenty-four families</x:v>
      </x:c>
      <x:c r="E11" s="29" t="str">
        <x:v>a campus certificate cannot infer a rig result</x:v>
      </x:c>
    </x:row>
    <x:row r="12" ht="42" customHeight="1">
      <x:c r="B12" s="28" t="str">
        <x:v>RQ-06</x:v>
      </x:c>
      <x:c r="C12" s="28" t="str">
        <x:v>crew readiness</x:v>
      </x:c>
      <x:c r="D12" s="29" t="str">
        <x:v>240 duty assignments each complete role, site, article and incident qualifications</x:v>
      </x:c>
      <x:c r="E12" s="29" t="str">
        <x:v>staffing totals do not imply qualified crews</x:v>
      </x:c>
    </x:row>
    <x:row r="13" ht="42" customHeight="1">
      <x:c r="B13" s="28" t="str">
        <x:v>RQ-07</x:v>
      </x:c>
      <x:c r="C13" s="28" t="str">
        <x:v>degraded service</x:v>
      </x:c>
      <x:c r="D13" s="29" t="str">
        <x:v>each rig completes twelve no-source drills with a named survivor</x:v>
      </x:c>
      <x:c r="E13" s="29" t="str">
        <x:v>network loss cannot relax local safe state</x:v>
      </x:c>
    </x:row>
    <x:row r="14" ht="42" customHeight="1">
      <x:c r="B14" s="28" t="str">
        <x:v>RQ-08</x:v>
      </x:c>
      <x:c r="C14" s="28" t="str">
        <x:v>rescue</x:v>
      </x:c>
      <x:c r="D14" s="29" t="str">
        <x:v>two unlike extraction paths complete four casualty conditions at every rig</x:v>
      </x:c>
      <x:c r="E14" s="29" t="str">
        <x:v>external emergency services cannot substitute</x:v>
      </x:c>
    </x:row>
    <x:row r="15" ht="42" customHeight="1">
      <x:c r="B15" s="28" t="str">
        <x:v>RQ-09</x:v>
      </x:c>
      <x:c r="C15" s="28" t="str">
        <x:v>evidence federation</x:v>
      </x:c>
      <x:c r="D15" s="29" t="str">
        <x:v>local handshakes and 120 non-origin replays precede source work</x:v>
      </x:c>
      <x:c r="E15" s="29" t="str">
        <x:v>data volume cannot substitute for reconstructable identity</x:v>
      </x:c>
    </x:row>
    <x:row r="16" ht="42" customHeight="1">
      <x:c r="B16" s="28" t="str">
        <x:v>RQ-10</x:v>
      </x:c>
      <x:c r="C16" s="28" t="str">
        <x:v>readiness freshness</x:v>
      </x:c>
      <x:c r="D16" s="29" t="str">
        <x:v>twelve credentials per pair remain valid on one registered campaign date</x:v>
      </x:c>
      <x:c r="E16" s="29" t="str">
        <x:v>a historical pass is not present readiness</x:v>
      </x:c>
    </x:row>
    <x:row r="17" ht="42" customHeight="1">
      <x:c r="B17" s="28" t="str">
        <x:v>RQ-11</x:v>
      </x:c>
      <x:c r="C17" s="28" t="str">
        <x:v>calendar</x:v>
      </x:c>
      <x:c r="D17" s="29" t="str">
        <x:v>revocable preparation overlaps safely while release-dependent work stays gated</x:v>
      </x:c>
      <x:c r="E17" s="29" t="str">
        <x:v>financial capacity cannot create elapsed time</x:v>
      </x:c>
    </x:row>
    <x:row r="18" ht="42" customHeight="1">
      <x:c r="B18" s="28" t="str">
        <x:v>RQ-12</x:v>
      </x:c>
      <x:c r="C18" s="28" t="str">
        <x:v>authority ceiling</x:v>
      </x:c>
      <x:c r="D18" s="29" t="str">
        <x:v>pre-source campaign readiness only</x:v>
      </x:c>
      <x:c r="E18" s="29" t="str">
        <x:v>no QE-01, source, candidate, production or rendering authority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76" hidden="0" customWidth="1"/>
    <x:col min="5" max="5" width="68" hidden="0" customWidth="1"/>
  </x:cols>
  <x:sheetData>
    <x:row r="2">
      <x:c r="B2" s="25" t="str">
        <x:v>RAX-1 claim boundary</x:v>
      </x:c>
      <x:c r="C2" s="26"/>
      <x:c r="D2" s="26"/>
      <x:c r="E2" s="26"/>
    </x:row>
    <x:row r="3">
      <x:c r="B3" s="27" t="str">
        <x:v>Every readiness statement is time-bounded and attached to a named article, rig, campus, crew and configuration.</x:v>
      </x:c>
      <x:c r="C3" s="26"/>
      <x:c r="D3" s="26"/>
      <x:c r="E3" s="26"/>
    </x:row>
    <x:row r="4">
      <x:c r="B4" s="26"/>
      <x:c r="C4" s="26"/>
      <x:c r="D4" s="26"/>
      <x:c r="E4" s="26"/>
    </x:row>
    <x:row r="5">
      <x:c r="B5" s="26"/>
      <x:c r="C5" s="26"/>
      <x:c r="D5" s="26"/>
      <x:c r="E5" s="26"/>
    </x:row>
    <x:row r="6" ht="24" customHeight="1">
      <x:c r="B6" s="6" t="str">
        <x:v>Claim</x:v>
      </x:c>
      <x:c r="C6" s="6" t="str">
        <x:v>Permitted statement</x:v>
      </x:c>
      <x:c r="D6" s="6" t="str">
        <x:v>Meaning</x:v>
      </x:c>
      <x:c r="E6" s="6" t="str">
        <x:v>Prohibited inference</x:v>
      </x:c>
    </x:row>
    <x:row r="7" ht="44" customHeight="1">
      <x:c r="B7" s="28" t="str">
        <x:v>CB-01</x:v>
      </x:c>
      <x:c r="C7" s="28" t="str">
        <x:v>bank received</x:v>
      </x:c>
      <x:c r="D7" s="29" t="str">
        <x:v>the complete locked bank crossed public custody</x:v>
      </x:c>
      <x:c r="E7" s="29" t="str">
        <x:v>article quality beyond accepted RAQ-1 evidence</x:v>
      </x:c>
    </x:row>
    <x:row r="8" ht="44" customHeight="1">
      <x:c r="B8" s="28" t="str">
        <x:v>CB-02</x:v>
      </x:c>
      <x:c r="C8" s="28" t="str">
        <x:v>transport accepted</x:v>
      </x:c>
      <x:c r="D8" s="29" t="str">
        <x:v>the named article stayed inside the registered transport envelope</x:v>
      </x:c>
      <x:c r="E8" s="29" t="str">
        <x:v>unchanged internal state without arrival inspection</x:v>
      </x:c>
    </x:row>
    <x:row r="9" ht="44" customHeight="1">
      <x:c r="B9" s="28" t="str">
        <x:v>CB-03</x:v>
      </x:c>
      <x:c r="C9" s="28" t="str">
        <x:v>article portable</x:v>
      </x:c>
      <x:c r="D9" s="29" t="str">
        <x:v>one operational article passed twelve interfaces on all six rigs</x:v>
      </x:c>
      <x:c r="E9" s="29" t="str">
        <x:v>source performance on those rigs</x:v>
      </x:c>
    </x:row>
    <x:row r="10" ht="44" customHeight="1">
      <x:c r="B10" s="28" t="str">
        <x:v>CB-04</x:v>
      </x:c>
      <x:c r="C10" s="28" t="str">
        <x:v>rig compatible</x:v>
      </x:c>
      <x:c r="D10" s="29" t="str">
        <x:v>one rig accepted all six operational articles</x:v>
      </x:c>
      <x:c r="E10" s="29" t="str">
        <x:v>readiness for an unqualified candidate</x:v>
      </x:c>
    </x:row>
    <x:row r="11" ht="44" customHeight="1">
      <x:c r="B11" s="28" t="str">
        <x:v>CB-05</x:v>
      </x:c>
      <x:c r="C11" s="28" t="str">
        <x:v>calibration transferred</x:v>
      </x:c>
      <x:c r="D11" s="29" t="str">
        <x:v>three physical references closed twenty-four families at one rig</x:v>
      </x:c>
      <x:c r="E11" s="29" t="str">
        <x:v>permanent calibration after validity expires</x:v>
      </x:c>
    </x:row>
    <x:row r="12" ht="44" customHeight="1">
      <x:c r="B12" s="28" t="str">
        <x:v>CB-06</x:v>
      </x:c>
      <x:c r="C12" s="28" t="str">
        <x:v>crew qualified</x:v>
      </x:c>
      <x:c r="D12" s="29" t="str">
        <x:v>one named assignment holds four current credentials</x:v>
      </x:c>
      <x:c r="E12" s="29" t="str">
        <x:v>availability outside the registered duty window</x:v>
      </x:c>
    </x:row>
    <x:row r="13" ht="44" customHeight="1">
      <x:c r="B13" s="28" t="str">
        <x:v>CB-07</x:v>
      </x:c>
      <x:c r="C13" s="28" t="str">
        <x:v>drill passed</x:v>
      </x:c>
      <x:c r="D13" s="29" t="str">
        <x:v>the declared survivor produced local safe state without source</x:v>
      </x:c>
      <x:c r="E13" s="29" t="str">
        <x:v>source-event performance</x:v>
      </x:c>
    </x:row>
    <x:row r="14" ht="44" customHeight="1">
      <x:c r="B14" s="28" t="str">
        <x:v>CB-08</x:v>
      </x:c>
      <x:c r="C14" s="28" t="str">
        <x:v>rescue path passed</x:v>
      </x:c>
      <x:c r="D14" s="29" t="str">
        <x:v>one serialized extraction path completed one casualty condition</x:v>
      </x:c>
      <x:c r="E14" s="29" t="str">
        <x:v>clinical capacity beyond the exercise</x:v>
      </x:c>
    </x:row>
    <x:row r="15" ht="44" customHeight="1">
      <x:c r="B15" s="28" t="str">
        <x:v>CB-09</x:v>
      </x:c>
      <x:c r="C15" s="28" t="str">
        <x:v>replay passed</x:v>
      </x:c>
      <x:c r="D15" s="29" t="str">
        <x:v>a non-origin campus reconstructed one readiness packet</x:v>
      </x:c>
      <x:c r="E15" s="29" t="str">
        <x:v>future event validity</x:v>
      </x:c>
    </x:row>
    <x:row r="16" ht="44" customHeight="1">
      <x:c r="B16" s="28" t="str">
        <x:v>CB-10</x:v>
      </x:c>
      <x:c r="C16" s="28" t="str">
        <x:v>pair ready</x:v>
      </x:c>
      <x:c r="D16" s="29" t="str">
        <x:v>article, twin, rig, crew and current credentials converged</x:v>
      </x:c>
      <x:c r="E16" s="29" t="str">
        <x:v>readiness after a material change or expiry</x:v>
      </x:c>
    </x:row>
    <x:row r="17" ht="44" customHeight="1">
      <x:c r="B17" s="28" t="str">
        <x:v>CB-11</x:v>
      </x:c>
      <x:c r="C17" s="28" t="str">
        <x:v>campaign ready</x:v>
      </x:c>
      <x:c r="D17" s="29" t="str">
        <x:v>six pairs and three campuses are simultaneously current</x:v>
      </x:c>
      <x:c r="E17" s="29" t="str">
        <x:v>QE-01 issue or source entry</x:v>
      </x:c>
    </x:row>
    <x:row r="18" ht="44" customHeight="1">
      <x:c r="B18" s="28" t="str">
        <x:v>CB-12</x:v>
      </x:c>
      <x:c r="C18" s="28" t="str">
        <x:v>calendar rebased</x:v>
      </x:c>
      <x:c r="D18" s="29" t="str">
        <x:v>the establishment can close at month 54 under named overlaps</x:v>
      </x:c>
      <x:c r="E18" s="29" t="str">
        <x:v>authorization to leapfrog a release dependency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0" hidden="0" customWidth="1"/>
    <x:col min="4" max="4" width="70" hidden="0" customWidth="1"/>
    <x:col min="5" max="5" width="58" hidden="0" customWidth="1"/>
  </x:cols>
  <x:sheetData>
    <x:row r="2">
      <x:c r="B2" s="25" t="str">
        <x:v>Twelve separated mobilization authorities</x:v>
      </x:c>
      <x:c r="C2" s="26"/>
      <x:c r="D2" s="26"/>
      <x:c r="E2" s="26"/>
    </x:row>
    <x:row r="3">
      <x:c r="B3" s="27" t="str">
        <x:v>Custody, configuration, rig state, measurement, staffing, rescue, evidence and acceptance remain separate.</x:v>
      </x:c>
      <x:c r="C3" s="26"/>
      <x:c r="D3" s="26"/>
      <x:c r="E3" s="26"/>
    </x:row>
    <x:row r="4">
      <x:c r="B4" s="26"/>
      <x:c r="C4" s="26"/>
      <x:c r="D4" s="26"/>
      <x:c r="E4" s="26"/>
    </x:row>
    <x:row r="5">
      <x:c r="B5" s="26"/>
      <x:c r="C5" s="26"/>
      <x:c r="D5" s="26"/>
      <x:c r="E5" s="26"/>
    </x:row>
    <x:row r="6" ht="24" customHeight="1">
      <x:c r="B6" s="6" t="str">
        <x:v>Authority</x:v>
      </x:c>
      <x:c r="C6" s="6" t="str">
        <x:v>Owner</x:v>
      </x:c>
      <x:c r="D6" s="6" t="str">
        <x:v>Responsibility</x:v>
      </x:c>
      <x:c r="E6" s="6" t="str">
        <x:v>Cannot do</x:v>
      </x:c>
    </x:row>
    <x:row r="7" ht="42" customHeight="1">
      <x:c r="B7" s="28" t="str">
        <x:v>GOV-01</x:v>
      </x:c>
      <x:c r="C7" s="28" t="str">
        <x:v>bank custody authority</x:v>
      </x:c>
      <x:c r="D7" s="29" t="str">
        <x:v>accepts transfer of all eighteen RAQ-1 positions</x:v>
      </x:c>
      <x:c r="E7" s="29" t="str">
        <x:v>cannot alter a locked role</x:v>
      </x:c>
    </x:row>
    <x:row r="8" ht="42" customHeight="1">
      <x:c r="B8" s="28" t="str">
        <x:v>GOV-02</x:v>
      </x:c>
      <x:c r="C8" s="28" t="str">
        <x:v>configuration authority</x:v>
      </x:c>
      <x:c r="D8" s="29" t="str">
        <x:v>controls article, rig and interface baselines</x:v>
      </x:c>
      <x:c r="E8" s="29" t="str">
        <x:v>cannot accept its own integration work</x:v>
      </x:c>
    </x:row>
    <x:row r="9" ht="42" customHeight="1">
      <x:c r="B9" s="28" t="str">
        <x:v>GOV-03</x:v>
      </x:c>
      <x:c r="C9" s="28" t="str">
        <x:v>transport authority</x:v>
      </x:c>
      <x:c r="D9" s="29" t="str">
        <x:v>owns cradle, route, seal and arrival evidence</x:v>
      </x:c>
      <x:c r="E9" s="29" t="str">
        <x:v>cannot waive a transport excursion</x:v>
      </x:c>
    </x:row>
    <x:row r="10" ht="42" customHeight="1">
      <x:c r="B10" s="28" t="str">
        <x:v>GOV-04</x:v>
      </x:c>
      <x:c r="C10" s="28" t="str">
        <x:v>rig authority</x:v>
      </x:c>
      <x:c r="D10" s="29" t="str">
        <x:v>owns public rig state and isolation</x:v>
      </x:c>
      <x:c r="E10" s="29" t="str">
        <x:v>cannot accept article construction</x:v>
      </x:c>
    </x:row>
    <x:row r="11" ht="42" customHeight="1">
      <x:c r="B11" s="28" t="str">
        <x:v>GOV-05</x:v>
      </x:c>
      <x:c r="C11" s="28" t="str">
        <x:v>article authority</x:v>
      </x:c>
      <x:c r="D11" s="29" t="str">
        <x:v>owns article state after public custody</x:v>
      </x:c>
      <x:c r="E11" s="29" t="str">
        <x:v>cannot change rig boundaries</x:v>
      </x:c>
    </x:row>
    <x:row r="12" ht="42" customHeight="1">
      <x:c r="B12" s="28" t="str">
        <x:v>GOV-06</x:v>
      </x:c>
      <x:c r="C12" s="28" t="str">
        <x:v>metrology authority</x:v>
      </x:c>
      <x:c r="D12" s="29" t="str">
        <x:v>owns standards circuit and uncertainty</x:v>
      </x:c>
      <x:c r="E12" s="29" t="str">
        <x:v>cannot infer a missing calibration result</x:v>
      </x:c>
    </x:row>
    <x:row r="13" ht="42" customHeight="1">
      <x:c r="B13" s="28" t="str">
        <x:v>GOV-07</x:v>
      </x:c>
      <x:c r="C13" s="28" t="str">
        <x:v>crew authority</x:v>
      </x:c>
      <x:c r="D13" s="29" t="str">
        <x:v>assigns duty and qualification</x:v>
      </x:c>
      <x:c r="E13" s="29" t="str">
        <x:v>cannot self-certify an assignment</x:v>
      </x:c>
    </x:row>
    <x:row r="14" ht="42" customHeight="1">
      <x:c r="B14" s="28" t="str">
        <x:v>GOV-08</x:v>
      </x:c>
      <x:c r="C14" s="28" t="str">
        <x:v>safeing authority</x:v>
      </x:c>
      <x:c r="D14" s="29" t="str">
        <x:v>accepts final state and survivor logic</x:v>
      </x:c>
      <x:c r="E14" s="29" t="str">
        <x:v>cannot award event credit</x:v>
      </x:c>
    </x:row>
    <x:row r="15" ht="42" customHeight="1">
      <x:c r="B15" s="28" t="str">
        <x:v>GOV-09</x:v>
      </x:c>
      <x:c r="C15" s="28" t="str">
        <x:v>rescue authority</x:v>
      </x:c>
      <x:c r="D15" s="29" t="str">
        <x:v>accepts access, extraction and decontamination</x:v>
      </x:c>
      <x:c r="E15" s="29" t="str">
        <x:v>cannot delay intervention for evidence</x:v>
      </x:c>
    </x:row>
    <x:row r="16" ht="42" customHeight="1">
      <x:c r="B16" s="28" t="str">
        <x:v>GOV-10</x:v>
      </x:c>
      <x:c r="C16" s="28" t="str">
        <x:v>evidence authority</x:v>
      </x:c>
      <x:c r="D16" s="29" t="str">
        <x:v>owns local originals, time and replay packets</x:v>
      </x:c>
      <x:c r="E16" s="29" t="str">
        <x:v>cannot decide physical conformity</x:v>
      </x:c>
    </x:row>
    <x:row r="17" ht="42" customHeight="1">
      <x:c r="B17" s="28" t="str">
        <x:v>GOV-11</x:v>
      </x:c>
      <x:c r="C17" s="28" t="str">
        <x:v>campus board</x:v>
      </x:c>
      <x:c r="D17" s="29" t="str">
        <x:v>accepts two pairs and campus-wide services</x:v>
      </x:c>
      <x:c r="E17" s="29" t="str">
        <x:v>cannot issue source authority</x:v>
      </x:c>
    </x:row>
    <x:row r="18" ht="42" customHeight="1">
      <x:c r="B18" s="28" t="str">
        <x:v>GOV-12</x:v>
      </x:c>
      <x:c r="C18" s="28" t="str">
        <x:v>campaign board</x:v>
      </x:c>
      <x:c r="D18" s="29" t="str">
        <x:v>accepts simultaneous pre-source readiness</x:v>
      </x:c>
      <x:c r="E18" s="29" t="str">
        <x:v>cannot issue QE-01 or accept a candidate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7" hidden="0" customWidth="1"/>
    <x:col min="3" max="3" width="14" hidden="0" customWidth="1"/>
    <x:col min="4" max="4" width="13" hidden="0" customWidth="1"/>
    <x:col min="5" max="5" width="22" hidden="0" customWidth="1"/>
    <x:col min="6" max="6" width="26" hidden="0" customWidth="1"/>
    <x:col min="7" max="7" width="17" hidden="0" customWidth="1"/>
    <x:col min="8" max="8" width="34" hidden="0" customWidth="1"/>
    <x:col min="9" max="9" width="34" hidden="0" customWidth="1"/>
    <x:col min="10" max="10" width="30" hidden="0" customWidth="1"/>
    <x:col min="11" max="11" width="21" hidden="0" customWidth="1"/>
    <x:col min="12" max="12" width="14" hidden="0" customWidth="1"/>
  </x:cols>
  <x:sheetData>
    <x:row r="2">
      <x:c r="B2" s="25" t="str">
        <x:v>Eighteen-role bank intake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B3" s="27" t="str">
        <x:v>Each RAQ-1 position crosses public custody with its locked role, destination and configuration root intact.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</x:row>
    <x:row r="6" ht="24" customHeight="1">
      <x:c r="B6" s="6" t="str">
        <x:v>Article</x:v>
      </x:c>
      <x:c r="C6" s="6" t="str">
        <x:v>Builder</x:v>
      </x:c>
      <x:c r="D6" s="6" t="str">
        <x:v>Lineage</x:v>
      </x:c>
      <x:c r="E6" s="6" t="str">
        <x:v>Role</x:v>
      </x:c>
      <x:c r="F6" s="6" t="str">
        <x:v>Locked destination</x:v>
      </x:c>
      <x:c r="G6" s="6" t="str">
        <x:v>Home campus</x:v>
      </x:c>
      <x:c r="H6" s="6" t="str">
        <x:v>Expected root</x:v>
      </x:c>
      <x:c r="I6" s="6" t="str">
        <x:v>Actual root</x:v>
      </x:c>
      <x:c r="J6" s="6" t="str">
        <x:v>RAQ-1 release record</x:v>
      </x:c>
      <x:c r="K6" s="6" t="str">
        <x:v>Accepted UTC</x:v>
      </x:c>
      <x:c r="L6" s="6" t="str">
        <x:v>State</x:v>
      </x:c>
    </x:row>
    <x:row r="7">
      <x:c r="B7" s="28" t="str">
        <x:v>PEA-A-X1</x:v>
      </x:c>
      <x:c r="C7" s="28" t="str">
        <x:v>BLD-A</x:v>
      </x:c>
      <x:c r="D7" s="28" t="str">
        <x:v>BL-X</x:v>
      </x:c>
      <x:c r="E7" s="28" t="str">
        <x:v>OPERATIONAL</x:v>
      </x:c>
      <x:c r="F7" s="28" t="str">
        <x:v>RFP-A1</x:v>
      </x:c>
      <x:c r="G7" s="28" t="str">
        <x:v>PTC-A</x:v>
      </x:c>
      <x:c r="H7" s="31" t="str"/>
      <x:c r="I7" s="31" t="str"/>
      <x:c r="J7" s="31" t="str"/>
      <x:c r="K7" s="31" t="str"/>
      <x:c r="L7" s="28" t="str">
        <x:f>IF(K7="","OPEN",IF(OR(H7="",I7="",J7=""),"FAIL",IF(H7=I7,"PASS","FAIL")))</x:f>
        <x:v>OPEN</x:v>
      </x:c>
    </x:row>
    <x:row r="8">
      <x:c r="B8" s="28" t="str">
        <x:v>PEA-A-X2</x:v>
      </x:c>
      <x:c r="C8" s="28" t="str">
        <x:v>BLD-A</x:v>
      </x:c>
      <x:c r="D8" s="28" t="str">
        <x:v>BL-X</x:v>
      </x:c>
      <x:c r="E8" s="28" t="str">
        <x:v>FUNCTIONAL TWIN</x:v>
      </x:c>
      <x:c r="F8" s="28" t="str">
        <x:v>PTC-A-TWIN-X</x:v>
      </x:c>
      <x:c r="G8" s="28" t="str">
        <x:v>PTC-A</x:v>
      </x:c>
      <x:c r="H8" s="31" t="str"/>
      <x:c r="I8" s="31" t="str"/>
      <x:c r="J8" s="31" t="str"/>
      <x:c r="K8" s="31" t="str"/>
      <x:c r="L8" s="28" t="str">
        <x:f>IF(K8="","OPEN",IF(OR(H8="",I8="",J8=""),"FAIL",IF(H8=I8,"PASS","FAIL")))</x:f>
        <x:v>OPEN</x:v>
      </x:c>
    </x:row>
    <x:row r="9">
      <x:c r="B9" s="28" t="str">
        <x:v>PEA-A-X3</x:v>
      </x:c>
      <x:c r="C9" s="28" t="str">
        <x:v>BLD-A</x:v>
      </x:c>
      <x:c r="D9" s="28" t="str">
        <x:v>BL-X</x:v>
      </x:c>
      <x:c r="E9" s="28" t="str">
        <x:v>CALIBRATION</x:v>
      </x:c>
      <x:c r="F9" s="28" t="str">
        <x:v>PTC-A-CALIBRATION</x:v>
      </x:c>
      <x:c r="G9" s="28" t="str">
        <x:v>PTC-A</x:v>
      </x:c>
      <x:c r="H9" s="31" t="str"/>
      <x:c r="I9" s="31" t="str"/>
      <x:c r="J9" s="31" t="str"/>
      <x:c r="K9" s="31" t="str"/>
      <x:c r="L9" s="28" t="str">
        <x:f>IF(K9="","OPEN",IF(OR(H9="",I9="",J9=""),"FAIL",IF(H9=I9,"PASS","FAIL")))</x:f>
        <x:v>OPEN</x:v>
      </x:c>
    </x:row>
    <x:row r="10">
      <x:c r="B10" s="28" t="str">
        <x:v>PEA-A-Y1</x:v>
      </x:c>
      <x:c r="C10" s="28" t="str">
        <x:v>BLD-A</x:v>
      </x:c>
      <x:c r="D10" s="28" t="str">
        <x:v>BL-Y</x:v>
      </x:c>
      <x:c r="E10" s="28" t="str">
        <x:v>OPERATIONAL</x:v>
      </x:c>
      <x:c r="F10" s="28" t="str">
        <x:v>RFP-A2</x:v>
      </x:c>
      <x:c r="G10" s="28" t="str">
        <x:v>PTC-A</x:v>
      </x:c>
      <x:c r="H10" s="31" t="str"/>
      <x:c r="I10" s="31" t="str"/>
      <x:c r="J10" s="31" t="str"/>
      <x:c r="K10" s="31" t="str"/>
      <x:c r="L10" s="28" t="str">
        <x:f>IF(K10="","OPEN",IF(OR(H10="",I10="",J10=""),"FAIL",IF(H10=I10,"PASS","FAIL")))</x:f>
        <x:v>OPEN</x:v>
      </x:c>
    </x:row>
    <x:row r="11">
      <x:c r="B11" s="28" t="str">
        <x:v>PEA-A-Y2</x:v>
      </x:c>
      <x:c r="C11" s="28" t="str">
        <x:v>BLD-A</x:v>
      </x:c>
      <x:c r="D11" s="28" t="str">
        <x:v>BL-Y</x:v>
      </x:c>
      <x:c r="E11" s="28" t="str">
        <x:v>FUNCTIONAL TWIN</x:v>
      </x:c>
      <x:c r="F11" s="28" t="str">
        <x:v>PTC-A-TWIN-Y</x:v>
      </x:c>
      <x:c r="G11" s="28" t="str">
        <x:v>PTC-A</x:v>
      </x:c>
      <x:c r="H11" s="31" t="str"/>
      <x:c r="I11" s="31" t="str"/>
      <x:c r="J11" s="31" t="str"/>
      <x:c r="K11" s="31" t="str"/>
      <x:c r="L11" s="28" t="str">
        <x:f>IF(K11="","OPEN",IF(OR(H11="",I11="",J11=""),"FAIL",IF(H11=I11,"PASS","FAIL")))</x:f>
        <x:v>OPEN</x:v>
      </x:c>
    </x:row>
    <x:row r="12">
      <x:c r="B12" s="28" t="str">
        <x:v>PEA-A-Y3</x:v>
      </x:c>
      <x:c r="C12" s="28" t="str">
        <x:v>BLD-A</x:v>
      </x:c>
      <x:c r="D12" s="28" t="str">
        <x:v>BL-Y</x:v>
      </x:c>
      <x:c r="E12" s="28" t="str">
        <x:v>DESTRUCTIVE</x:v>
      </x:c>
      <x:c r="F12" s="28" t="str">
        <x:v>PTC-A-DESTRUCTIVE</x:v>
      </x:c>
      <x:c r="G12" s="28" t="str">
        <x:v>PTC-A</x:v>
      </x:c>
      <x:c r="H12" s="31" t="str"/>
      <x:c r="I12" s="31" t="str"/>
      <x:c r="J12" s="31" t="str"/>
      <x:c r="K12" s="31" t="str"/>
      <x:c r="L12" s="28" t="str">
        <x:f>IF(K12="","OPEN",IF(OR(H12="",I12="",J12=""),"FAIL",IF(H12=I12,"PASS","FAIL")))</x:f>
        <x:v>OPEN</x:v>
      </x:c>
    </x:row>
    <x:row r="13">
      <x:c r="B13" s="28" t="str">
        <x:v>PEA-B-X1</x:v>
      </x:c>
      <x:c r="C13" s="28" t="str">
        <x:v>BLD-B</x:v>
      </x:c>
      <x:c r="D13" s="28" t="str">
        <x:v>BL-X</x:v>
      </x:c>
      <x:c r="E13" s="28" t="str">
        <x:v>OPERATIONAL</x:v>
      </x:c>
      <x:c r="F13" s="28" t="str">
        <x:v>RFP-B1</x:v>
      </x:c>
      <x:c r="G13" s="28" t="str">
        <x:v>PTC-B</x:v>
      </x:c>
      <x:c r="H13" s="31" t="str"/>
      <x:c r="I13" s="31" t="str"/>
      <x:c r="J13" s="31" t="str"/>
      <x:c r="K13" s="31" t="str"/>
      <x:c r="L13" s="28" t="str">
        <x:f>IF(K13="","OPEN",IF(OR(H13="",I13="",J13=""),"FAIL",IF(H13=I13,"PASS","FAIL")))</x:f>
        <x:v>OPEN</x:v>
      </x:c>
    </x:row>
    <x:row r="14">
      <x:c r="B14" s="28" t="str">
        <x:v>PEA-B-X2</x:v>
      </x:c>
      <x:c r="C14" s="28" t="str">
        <x:v>BLD-B</x:v>
      </x:c>
      <x:c r="D14" s="28" t="str">
        <x:v>BL-X</x:v>
      </x:c>
      <x:c r="E14" s="28" t="str">
        <x:v>FUNCTIONAL TWIN</x:v>
      </x:c>
      <x:c r="F14" s="28" t="str">
        <x:v>PTC-B-TWIN-X</x:v>
      </x:c>
      <x:c r="G14" s="28" t="str">
        <x:v>PTC-B</x:v>
      </x:c>
      <x:c r="H14" s="31" t="str"/>
      <x:c r="I14" s="31" t="str"/>
      <x:c r="J14" s="31" t="str"/>
      <x:c r="K14" s="31" t="str"/>
      <x:c r="L14" s="28" t="str">
        <x:f>IF(K14="","OPEN",IF(OR(H14="",I14="",J14=""),"FAIL",IF(H14=I14,"PASS","FAIL")))</x:f>
        <x:v>OPEN</x:v>
      </x:c>
    </x:row>
    <x:row r="15">
      <x:c r="B15" s="28" t="str">
        <x:v>PEA-B-X3</x:v>
      </x:c>
      <x:c r="C15" s="28" t="str">
        <x:v>BLD-B</x:v>
      </x:c>
      <x:c r="D15" s="28" t="str">
        <x:v>BL-X</x:v>
      </x:c>
      <x:c r="E15" s="28" t="str">
        <x:v>CALIBRATION</x:v>
      </x:c>
      <x:c r="F15" s="28" t="str">
        <x:v>PTC-B-CALIBRATION</x:v>
      </x:c>
      <x:c r="G15" s="28" t="str">
        <x:v>PTC-B</x:v>
      </x:c>
      <x:c r="H15" s="31" t="str"/>
      <x:c r="I15" s="31" t="str"/>
      <x:c r="J15" s="31" t="str"/>
      <x:c r="K15" s="31" t="str"/>
      <x:c r="L15" s="28" t="str">
        <x:f>IF(K15="","OPEN",IF(OR(H15="",I15="",J15=""),"FAIL",IF(H15=I15,"PASS","FAIL")))</x:f>
        <x:v>OPEN</x:v>
      </x:c>
    </x:row>
    <x:row r="16">
      <x:c r="B16" s="28" t="str">
        <x:v>PEA-B-Y1</x:v>
      </x:c>
      <x:c r="C16" s="28" t="str">
        <x:v>BLD-B</x:v>
      </x:c>
      <x:c r="D16" s="28" t="str">
        <x:v>BL-Y</x:v>
      </x:c>
      <x:c r="E16" s="28" t="str">
        <x:v>OPERATIONAL</x:v>
      </x:c>
      <x:c r="F16" s="28" t="str">
        <x:v>RFP-B2</x:v>
      </x:c>
      <x:c r="G16" s="28" t="str">
        <x:v>PTC-B</x:v>
      </x:c>
      <x:c r="H16" s="31" t="str"/>
      <x:c r="I16" s="31" t="str"/>
      <x:c r="J16" s="31" t="str"/>
      <x:c r="K16" s="31" t="str"/>
      <x:c r="L16" s="28" t="str">
        <x:f>IF(K16="","OPEN",IF(OR(H16="",I16="",J16=""),"FAIL",IF(H16=I16,"PASS","FAIL")))</x:f>
        <x:v>OPEN</x:v>
      </x:c>
    </x:row>
    <x:row r="17">
      <x:c r="B17" s="28" t="str">
        <x:v>PEA-B-Y2</x:v>
      </x:c>
      <x:c r="C17" s="28" t="str">
        <x:v>BLD-B</x:v>
      </x:c>
      <x:c r="D17" s="28" t="str">
        <x:v>BL-Y</x:v>
      </x:c>
      <x:c r="E17" s="28" t="str">
        <x:v>FUNCTIONAL TWIN</x:v>
      </x:c>
      <x:c r="F17" s="28" t="str">
        <x:v>PTC-B-TWIN-Y</x:v>
      </x:c>
      <x:c r="G17" s="28" t="str">
        <x:v>PTC-B</x:v>
      </x:c>
      <x:c r="H17" s="31" t="str"/>
      <x:c r="I17" s="31" t="str"/>
      <x:c r="J17" s="31" t="str"/>
      <x:c r="K17" s="31" t="str"/>
      <x:c r="L17" s="28" t="str">
        <x:f>IF(K17="","OPEN",IF(OR(H17="",I17="",J17=""),"FAIL",IF(H17=I17,"PASS","FAIL")))</x:f>
        <x:v>OPEN</x:v>
      </x:c>
    </x:row>
    <x:row r="18">
      <x:c r="B18" s="28" t="str">
        <x:v>PEA-B-Y3</x:v>
      </x:c>
      <x:c r="C18" s="28" t="str">
        <x:v>BLD-B</x:v>
      </x:c>
      <x:c r="D18" s="28" t="str">
        <x:v>BL-Y</x:v>
      </x:c>
      <x:c r="E18" s="28" t="str">
        <x:v>DESTRUCTIVE</x:v>
      </x:c>
      <x:c r="F18" s="28" t="str">
        <x:v>PTC-B-DESTRUCTIVE</x:v>
      </x:c>
      <x:c r="G18" s="28" t="str">
        <x:v>PTC-B</x:v>
      </x:c>
      <x:c r="H18" s="31" t="str"/>
      <x:c r="I18" s="31" t="str"/>
      <x:c r="J18" s="31" t="str"/>
      <x:c r="K18" s="31" t="str"/>
      <x:c r="L18" s="28" t="str">
        <x:f>IF(K18="","OPEN",IF(OR(H18="",I18="",J18=""),"FAIL",IF(H18=I18,"PASS","FAIL")))</x:f>
        <x:v>OPEN</x:v>
      </x:c>
    </x:row>
    <x:row r="19">
      <x:c r="B19" s="28" t="str">
        <x:v>PEA-C-X1</x:v>
      </x:c>
      <x:c r="C19" s="28" t="str">
        <x:v>BLD-C</x:v>
      </x:c>
      <x:c r="D19" s="28" t="str">
        <x:v>BL-X</x:v>
      </x:c>
      <x:c r="E19" s="28" t="str">
        <x:v>OPERATIONAL</x:v>
      </x:c>
      <x:c r="F19" s="28" t="str">
        <x:v>RFP-C1</x:v>
      </x:c>
      <x:c r="G19" s="28" t="str">
        <x:v>PTC-C</x:v>
      </x:c>
      <x:c r="H19" s="31" t="str"/>
      <x:c r="I19" s="31" t="str"/>
      <x:c r="J19" s="31" t="str"/>
      <x:c r="K19" s="31" t="str"/>
      <x:c r="L19" s="28" t="str">
        <x:f>IF(K19="","OPEN",IF(OR(H19="",I19="",J19=""),"FAIL",IF(H19=I19,"PASS","FAIL")))</x:f>
        <x:v>OPEN</x:v>
      </x:c>
    </x:row>
    <x:row r="20">
      <x:c r="B20" s="28" t="str">
        <x:v>PEA-C-X2</x:v>
      </x:c>
      <x:c r="C20" s="28" t="str">
        <x:v>BLD-C</x:v>
      </x:c>
      <x:c r="D20" s="28" t="str">
        <x:v>BL-X</x:v>
      </x:c>
      <x:c r="E20" s="28" t="str">
        <x:v>FUNCTIONAL TWIN</x:v>
      </x:c>
      <x:c r="F20" s="28" t="str">
        <x:v>PTC-C-TWIN-X</x:v>
      </x:c>
      <x:c r="G20" s="28" t="str">
        <x:v>PTC-C</x:v>
      </x:c>
      <x:c r="H20" s="31" t="str"/>
      <x:c r="I20" s="31" t="str"/>
      <x:c r="J20" s="31" t="str"/>
      <x:c r="K20" s="31" t="str"/>
      <x:c r="L20" s="28" t="str">
        <x:f>IF(K20="","OPEN",IF(OR(H20="",I20="",J20=""),"FAIL",IF(H20=I20,"PASS","FAIL")))</x:f>
        <x:v>OPEN</x:v>
      </x:c>
    </x:row>
    <x:row r="21">
      <x:c r="B21" s="28" t="str">
        <x:v>PEA-C-X3</x:v>
      </x:c>
      <x:c r="C21" s="28" t="str">
        <x:v>BLD-C</x:v>
      </x:c>
      <x:c r="D21" s="28" t="str">
        <x:v>BL-X</x:v>
      </x:c>
      <x:c r="E21" s="28" t="str">
        <x:v>DESTRUCTIVE</x:v>
      </x:c>
      <x:c r="F21" s="28" t="str">
        <x:v>PTC-C-DESTRUCTIVE</x:v>
      </x:c>
      <x:c r="G21" s="28" t="str">
        <x:v>PTC-C</x:v>
      </x:c>
      <x:c r="H21" s="31" t="str"/>
      <x:c r="I21" s="31" t="str"/>
      <x:c r="J21" s="31" t="str"/>
      <x:c r="K21" s="31" t="str"/>
      <x:c r="L21" s="28" t="str">
        <x:f>IF(K21="","OPEN",IF(OR(H21="",I21="",J21=""),"FAIL",IF(H21=I21,"PASS","FAIL")))</x:f>
        <x:v>OPEN</x:v>
      </x:c>
    </x:row>
    <x:row r="22">
      <x:c r="B22" s="28" t="str">
        <x:v>PEA-C-Y1</x:v>
      </x:c>
      <x:c r="C22" s="28" t="str">
        <x:v>BLD-C</x:v>
      </x:c>
      <x:c r="D22" s="28" t="str">
        <x:v>BL-Y</x:v>
      </x:c>
      <x:c r="E22" s="28" t="str">
        <x:v>OPERATIONAL</x:v>
      </x:c>
      <x:c r="F22" s="28" t="str">
        <x:v>RFP-C2</x:v>
      </x:c>
      <x:c r="G22" s="28" t="str">
        <x:v>PTC-C</x:v>
      </x:c>
      <x:c r="H22" s="31" t="str"/>
      <x:c r="I22" s="31" t="str"/>
      <x:c r="J22" s="31" t="str"/>
      <x:c r="K22" s="31" t="str"/>
      <x:c r="L22" s="28" t="str">
        <x:f>IF(K22="","OPEN",IF(OR(H22="",I22="",J22=""),"FAIL",IF(H22=I22,"PASS","FAIL")))</x:f>
        <x:v>OPEN</x:v>
      </x:c>
    </x:row>
    <x:row r="23">
      <x:c r="B23" s="28" t="str">
        <x:v>PEA-C-Y2</x:v>
      </x:c>
      <x:c r="C23" s="28" t="str">
        <x:v>BLD-C</x:v>
      </x:c>
      <x:c r="D23" s="28" t="str">
        <x:v>BL-Y</x:v>
      </x:c>
      <x:c r="E23" s="28" t="str">
        <x:v>FUNCTIONAL TWIN</x:v>
      </x:c>
      <x:c r="F23" s="28" t="str">
        <x:v>PTC-C-TWIN-Y</x:v>
      </x:c>
      <x:c r="G23" s="28" t="str">
        <x:v>PTC-C</x:v>
      </x:c>
      <x:c r="H23" s="31" t="str"/>
      <x:c r="I23" s="31" t="str"/>
      <x:c r="J23" s="31" t="str"/>
      <x:c r="K23" s="31" t="str"/>
      <x:c r="L23" s="28" t="str">
        <x:f>IF(K23="","OPEN",IF(OR(H23="",I23="",J23=""),"FAIL",IF(H23=I23,"PASS","FAIL")))</x:f>
        <x:v>OPEN</x:v>
      </x:c>
    </x:row>
    <x:row r="24">
      <x:c r="B24" s="28" t="str">
        <x:v>PEA-C-Y3</x:v>
      </x:c>
      <x:c r="C24" s="28" t="str">
        <x:v>BLD-C</x:v>
      </x:c>
      <x:c r="D24" s="28" t="str">
        <x:v>BL-Y</x:v>
      </x:c>
      <x:c r="E24" s="28" t="str">
        <x:v>CALIBRATION</x:v>
      </x:c>
      <x:c r="F24" s="28" t="str">
        <x:v>PTC-C-CALIBRATION</x:v>
      </x:c>
      <x:c r="G24" s="28" t="str">
        <x:v>PTC-C</x:v>
      </x:c>
      <x:c r="H24" s="31" t="str"/>
      <x:c r="I24" s="31" t="str"/>
      <x:c r="J24" s="31" t="str"/>
      <x:c r="K24" s="31" t="str"/>
      <x:c r="L24" s="28" t="str">
        <x:f>IF(K24="","OPEN",IF(OR(H24="",I24="",J24=""),"FAIL",IF(H24=I24,"PASS","FAIL")))</x:f>
        <x:v>OPEN</x:v>
      </x:c>
    </x:row>
  </x:sheetData>
  <x:conditionalFormatting sqref="L7:L24">
    <x:cfRule type="containsText" dxfId="0" priority="1" operator="containsText" text="FAIL"/>
    <x:cfRule type="containsText" dxfId="1" priority="2" operator="containsText" text="BLOCKED"/>
    <x:cfRule type="containsText" dxfId="2" priority="3" operator="containsText" text="EXPIRED"/>
    <x:cfRule type="containsText" dxfId="3" priority="4" operator="containsText" text="OPEN"/>
    <x:cfRule type="containsText" dxfId="4" priority="5" operator="containsText" text="DORMANT"/>
    <x:cfRule type="containsText" dxfId="5" priority="6" operator="containsText" text="PASS"/>
  </x:conditionalFormatting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4" hidden="0" customWidth="1"/>
    <x:col min="3" max="3" width="17" hidden="0" customWidth="1"/>
    <x:col min="4" max="4" width="14" hidden="0" customWidth="1"/>
    <x:col min="5" max="5" width="14" hidden="0" customWidth="1"/>
    <x:col min="6" max="6" width="32" hidden="0" customWidth="1"/>
    <x:col min="7" max="7" width="21" hidden="0" customWidth="1"/>
    <x:col min="8" max="8" width="18" hidden="0" customWidth="1"/>
    <x:col min="9" max="9" width="16" hidden="0" customWidth="1"/>
    <x:col min="10" max="10" width="21" hidden="0" customWidth="1"/>
    <x:col min="11" max="11" width="21" hidden="0" customWidth="1"/>
    <x:col min="12" max="12" width="31" hidden="0" customWidth="1"/>
    <x:col min="13" max="13" width="31" hidden="0" customWidth="1"/>
    <x:col min="14" max="14" width="21" hidden="0" customWidth="1"/>
    <x:col min="15" max="15" width="14" hidden="0" customWidth="1"/>
  </x:cols>
  <x:sheetData>
    <x:row r="2">
      <x:c r="B2" s="25" t="str">
        <x:v>Eighteen transport and arrival records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</x:row>
    <x:row r="3">
      <x:c r="B3" s="27" t="str">
        <x:v>Transport is a physical exposure. Departure and arrival configuration, seals, shock, temperature and custody must close together.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</x:row>
    <x:row r="6" ht="24" customHeight="1">
      <x:c r="B6" s="6" t="str">
        <x:v>Transfer</x:v>
      </x:c>
      <x:c r="C6" s="6" t="str">
        <x:v>Article</x:v>
      </x:c>
      <x:c r="D6" s="6" t="str">
        <x:v>Origin</x:v>
      </x:c>
      <x:c r="E6" s="6" t="str">
        <x:v>Campus</x:v>
      </x:c>
      <x:c r="F6" s="6" t="str">
        <x:v>Departure root</x:v>
      </x:c>
      <x:c r="G6" s="6" t="str">
        <x:v>Sealed UTC</x:v>
      </x:c>
      <x:c r="H6" s="6" t="str">
        <x:v>Logger</x:v>
      </x:c>
      <x:c r="I6" s="6" t="str">
        <x:v>Peak shock g</x:v>
      </x:c>
      <x:c r="J6" s="6" t="str">
        <x:v>Minimum degrees C</x:v>
      </x:c>
      <x:c r="K6" s="6" t="str">
        <x:v>Maximum degrees C</x:v>
      </x:c>
      <x:c r="L6" s="6" t="str">
        <x:v>Custody root</x:v>
      </x:c>
      <x:c r="M6" s="6" t="str">
        <x:v>Arrival root</x:v>
      </x:c>
      <x:c r="N6" s="6" t="str">
        <x:v>Accepted UTC</x:v>
      </x:c>
      <x:c r="O6" s="6" t="str">
        <x:v>State</x:v>
      </x:c>
    </x:row>
    <x:row r="7">
      <x:c r="B7" s="28" t="str">
        <x:v>TC-01</x:v>
      </x:c>
      <x:c r="C7" s="28" t="str">
        <x:v>PEA-A-X1</x:v>
      </x:c>
      <x:c r="D7" s="28" t="str">
        <x:v>BLD-A</x:v>
      </x:c>
      <x:c r="E7" s="28" t="str">
        <x:v>PTC-A</x:v>
      </x:c>
      <x:c r="F7" s="31" t="str"/>
      <x:c r="G7" s="31" t="str"/>
      <x:c r="H7" s="31" t="str"/>
      <x:c r="I7" s="33" t="str"/>
      <x:c r="J7" s="33" t="str"/>
      <x:c r="K7" s="33" t="str"/>
      <x:c r="L7" s="31" t="str"/>
      <x:c r="M7" s="31" t="str"/>
      <x:c r="N7" s="31" t="str"/>
      <x:c r="O7" s="28" t="str">
        <x:f>IF(N7="","OPEN",IF(OR(F7="",G7="",H7="",NOT(ISNUMBER(I7)),NOT(ISNUMBER(J7)),NOT(ISNUMBER(K7)),L7="",M7=""),"FAIL",IF(AND(I7&lt;='Controls'!$D$66,J7&gt;='Controls'!$D$67,K7&lt;='Controls'!$D$68,F7=M7),"PASS","FAIL")))</x:f>
        <x:v>OPEN</x:v>
      </x:c>
    </x:row>
    <x:row r="8">
      <x:c r="B8" s="28" t="str">
        <x:v>TC-02</x:v>
      </x:c>
      <x:c r="C8" s="28" t="str">
        <x:v>PEA-A-X2</x:v>
      </x:c>
      <x:c r="D8" s="28" t="str">
        <x:v>BLD-A</x:v>
      </x:c>
      <x:c r="E8" s="28" t="str">
        <x:v>PTC-A</x:v>
      </x:c>
      <x:c r="F8" s="31" t="str"/>
      <x:c r="G8" s="31" t="str"/>
      <x:c r="H8" s="31" t="str"/>
      <x:c r="I8" s="33" t="str"/>
      <x:c r="J8" s="33" t="str"/>
      <x:c r="K8" s="33" t="str"/>
      <x:c r="L8" s="31" t="str"/>
      <x:c r="M8" s="31" t="str"/>
      <x:c r="N8" s="31" t="str"/>
      <x:c r="O8" s="28" t="str">
        <x:f>IF(N8="","OPEN",IF(OR(F8="",G8="",H8="",NOT(ISNUMBER(I8)),NOT(ISNUMBER(J8)),NOT(ISNUMBER(K8)),L8="",M8=""),"FAIL",IF(AND(I8&lt;='Controls'!$D$66,J8&gt;='Controls'!$D$67,K8&lt;='Controls'!$D$68,F8=M8),"PASS","FAIL")))</x:f>
        <x:v>OPEN</x:v>
      </x:c>
    </x:row>
    <x:row r="9">
      <x:c r="B9" s="28" t="str">
        <x:v>TC-03</x:v>
      </x:c>
      <x:c r="C9" s="28" t="str">
        <x:v>PEA-A-X3</x:v>
      </x:c>
      <x:c r="D9" s="28" t="str">
        <x:v>BLD-A</x:v>
      </x:c>
      <x:c r="E9" s="28" t="str">
        <x:v>PTC-A</x:v>
      </x:c>
      <x:c r="F9" s="31" t="str"/>
      <x:c r="G9" s="31" t="str"/>
      <x:c r="H9" s="31" t="str"/>
      <x:c r="I9" s="33" t="str"/>
      <x:c r="J9" s="33" t="str"/>
      <x:c r="K9" s="33" t="str"/>
      <x:c r="L9" s="31" t="str"/>
      <x:c r="M9" s="31" t="str"/>
      <x:c r="N9" s="31" t="str"/>
      <x:c r="O9" s="28" t="str">
        <x:f>IF(N9="","OPEN",IF(OR(F9="",G9="",H9="",NOT(ISNUMBER(I9)),NOT(ISNUMBER(J9)),NOT(ISNUMBER(K9)),L9="",M9=""),"FAIL",IF(AND(I9&lt;='Controls'!$D$66,J9&gt;='Controls'!$D$67,K9&lt;='Controls'!$D$68,F9=M9),"PASS","FAIL")))</x:f>
        <x:v>OPEN</x:v>
      </x:c>
    </x:row>
    <x:row r="10">
      <x:c r="B10" s="28" t="str">
        <x:v>TC-04</x:v>
      </x:c>
      <x:c r="C10" s="28" t="str">
        <x:v>PEA-A-Y1</x:v>
      </x:c>
      <x:c r="D10" s="28" t="str">
        <x:v>BLD-A</x:v>
      </x:c>
      <x:c r="E10" s="28" t="str">
        <x:v>PTC-A</x:v>
      </x:c>
      <x:c r="F10" s="31" t="str"/>
      <x:c r="G10" s="31" t="str"/>
      <x:c r="H10" s="31" t="str"/>
      <x:c r="I10" s="33" t="str"/>
      <x:c r="J10" s="33" t="str"/>
      <x:c r="K10" s="33" t="str"/>
      <x:c r="L10" s="31" t="str"/>
      <x:c r="M10" s="31" t="str"/>
      <x:c r="N10" s="31" t="str"/>
      <x:c r="O10" s="28" t="str">
        <x:f>IF(N10="","OPEN",IF(OR(F10="",G10="",H10="",NOT(ISNUMBER(I10)),NOT(ISNUMBER(J10)),NOT(ISNUMBER(K10)),L10="",M10=""),"FAIL",IF(AND(I10&lt;='Controls'!$D$66,J10&gt;='Controls'!$D$67,K10&lt;='Controls'!$D$68,F10=M10),"PASS","FAIL")))</x:f>
        <x:v>OPEN</x:v>
      </x:c>
    </x:row>
    <x:row r="11">
      <x:c r="B11" s="28" t="str">
        <x:v>TC-05</x:v>
      </x:c>
      <x:c r="C11" s="28" t="str">
        <x:v>PEA-A-Y2</x:v>
      </x:c>
      <x:c r="D11" s="28" t="str">
        <x:v>BLD-A</x:v>
      </x:c>
      <x:c r="E11" s="28" t="str">
        <x:v>PTC-A</x:v>
      </x:c>
      <x:c r="F11" s="31" t="str"/>
      <x:c r="G11" s="31" t="str"/>
      <x:c r="H11" s="31" t="str"/>
      <x:c r="I11" s="33" t="str"/>
      <x:c r="J11" s="33" t="str"/>
      <x:c r="K11" s="33" t="str"/>
      <x:c r="L11" s="31" t="str"/>
      <x:c r="M11" s="31" t="str"/>
      <x:c r="N11" s="31" t="str"/>
      <x:c r="O11" s="28" t="str">
        <x:f>IF(N11="","OPEN",IF(OR(F11="",G11="",H11="",NOT(ISNUMBER(I11)),NOT(ISNUMBER(J11)),NOT(ISNUMBER(K11)),L11="",M11=""),"FAIL",IF(AND(I11&lt;='Controls'!$D$66,J11&gt;='Controls'!$D$67,K11&lt;='Controls'!$D$68,F11=M11),"PASS","FAIL")))</x:f>
        <x:v>OPEN</x:v>
      </x:c>
    </x:row>
    <x:row r="12">
      <x:c r="B12" s="28" t="str">
        <x:v>TC-06</x:v>
      </x:c>
      <x:c r="C12" s="28" t="str">
        <x:v>PEA-A-Y3</x:v>
      </x:c>
      <x:c r="D12" s="28" t="str">
        <x:v>BLD-A</x:v>
      </x:c>
      <x:c r="E12" s="28" t="str">
        <x:v>PTC-A</x:v>
      </x:c>
      <x:c r="F12" s="31" t="str"/>
      <x:c r="G12" s="31" t="str"/>
      <x:c r="H12" s="31" t="str"/>
      <x:c r="I12" s="33" t="str"/>
      <x:c r="J12" s="33" t="str"/>
      <x:c r="K12" s="33" t="str"/>
      <x:c r="L12" s="31" t="str"/>
      <x:c r="M12" s="31" t="str"/>
      <x:c r="N12" s="31" t="str"/>
      <x:c r="O12" s="28" t="str">
        <x:f>IF(N12="","OPEN",IF(OR(F12="",G12="",H12="",NOT(ISNUMBER(I12)),NOT(ISNUMBER(J12)),NOT(ISNUMBER(K12)),L12="",M12=""),"FAIL",IF(AND(I12&lt;='Controls'!$D$66,J12&gt;='Controls'!$D$67,K12&lt;='Controls'!$D$68,F12=M12),"PASS","FAIL")))</x:f>
        <x:v>OPEN</x:v>
      </x:c>
    </x:row>
    <x:row r="13">
      <x:c r="B13" s="28" t="str">
        <x:v>TC-07</x:v>
      </x:c>
      <x:c r="C13" s="28" t="str">
        <x:v>PEA-B-X1</x:v>
      </x:c>
      <x:c r="D13" s="28" t="str">
        <x:v>BLD-B</x:v>
      </x:c>
      <x:c r="E13" s="28" t="str">
        <x:v>PTC-B</x:v>
      </x:c>
      <x:c r="F13" s="31" t="str"/>
      <x:c r="G13" s="31" t="str"/>
      <x:c r="H13" s="31" t="str"/>
      <x:c r="I13" s="33" t="str"/>
      <x:c r="J13" s="33" t="str"/>
      <x:c r="K13" s="33" t="str"/>
      <x:c r="L13" s="31" t="str"/>
      <x:c r="M13" s="31" t="str"/>
      <x:c r="N13" s="31" t="str"/>
      <x:c r="O13" s="28" t="str">
        <x:f>IF(N13="","OPEN",IF(OR(F13="",G13="",H13="",NOT(ISNUMBER(I13)),NOT(ISNUMBER(J13)),NOT(ISNUMBER(K13)),L13="",M13=""),"FAIL",IF(AND(I13&lt;='Controls'!$D$66,J13&gt;='Controls'!$D$67,K13&lt;='Controls'!$D$68,F13=M13),"PASS","FAIL")))</x:f>
        <x:v>OPEN</x:v>
      </x:c>
    </x:row>
    <x:row r="14">
      <x:c r="B14" s="28" t="str">
        <x:v>TC-08</x:v>
      </x:c>
      <x:c r="C14" s="28" t="str">
        <x:v>PEA-B-X2</x:v>
      </x:c>
      <x:c r="D14" s="28" t="str">
        <x:v>BLD-B</x:v>
      </x:c>
      <x:c r="E14" s="28" t="str">
        <x:v>PTC-B</x:v>
      </x:c>
      <x:c r="F14" s="31" t="str"/>
      <x:c r="G14" s="31" t="str"/>
      <x:c r="H14" s="31" t="str"/>
      <x:c r="I14" s="33" t="str"/>
      <x:c r="J14" s="33" t="str"/>
      <x:c r="K14" s="33" t="str"/>
      <x:c r="L14" s="31" t="str"/>
      <x:c r="M14" s="31" t="str"/>
      <x:c r="N14" s="31" t="str"/>
      <x:c r="O14" s="28" t="str">
        <x:f>IF(N14="","OPEN",IF(OR(F14="",G14="",H14="",NOT(ISNUMBER(I14)),NOT(ISNUMBER(J14)),NOT(ISNUMBER(K14)),L14="",M14=""),"FAIL",IF(AND(I14&lt;='Controls'!$D$66,J14&gt;='Controls'!$D$67,K14&lt;='Controls'!$D$68,F14=M14),"PASS","FAIL")))</x:f>
        <x:v>OPEN</x:v>
      </x:c>
    </x:row>
    <x:row r="15">
      <x:c r="B15" s="28" t="str">
        <x:v>TC-09</x:v>
      </x:c>
      <x:c r="C15" s="28" t="str">
        <x:v>PEA-B-X3</x:v>
      </x:c>
      <x:c r="D15" s="28" t="str">
        <x:v>BLD-B</x:v>
      </x:c>
      <x:c r="E15" s="28" t="str">
        <x:v>PTC-B</x:v>
      </x:c>
      <x:c r="F15" s="31" t="str"/>
      <x:c r="G15" s="31" t="str"/>
      <x:c r="H15" s="31" t="str"/>
      <x:c r="I15" s="33" t="str"/>
      <x:c r="J15" s="33" t="str"/>
      <x:c r="K15" s="33" t="str"/>
      <x:c r="L15" s="31" t="str"/>
      <x:c r="M15" s="31" t="str"/>
      <x:c r="N15" s="31" t="str"/>
      <x:c r="O15" s="28" t="str">
        <x:f>IF(N15="","OPEN",IF(OR(F15="",G15="",H15="",NOT(ISNUMBER(I15)),NOT(ISNUMBER(J15)),NOT(ISNUMBER(K15)),L15="",M15=""),"FAIL",IF(AND(I15&lt;='Controls'!$D$66,J15&gt;='Controls'!$D$67,K15&lt;='Controls'!$D$68,F15=M15),"PASS","FAIL")))</x:f>
        <x:v>OPEN</x:v>
      </x:c>
    </x:row>
    <x:row r="16">
      <x:c r="B16" s="28" t="str">
        <x:v>TC-10</x:v>
      </x:c>
      <x:c r="C16" s="28" t="str">
        <x:v>PEA-B-Y1</x:v>
      </x:c>
      <x:c r="D16" s="28" t="str">
        <x:v>BLD-B</x:v>
      </x:c>
      <x:c r="E16" s="28" t="str">
        <x:v>PTC-B</x:v>
      </x:c>
      <x:c r="F16" s="31" t="str"/>
      <x:c r="G16" s="31" t="str"/>
      <x:c r="H16" s="31" t="str"/>
      <x:c r="I16" s="33" t="str"/>
      <x:c r="J16" s="33" t="str"/>
      <x:c r="K16" s="33" t="str"/>
      <x:c r="L16" s="31" t="str"/>
      <x:c r="M16" s="31" t="str"/>
      <x:c r="N16" s="31" t="str"/>
      <x:c r="O16" s="28" t="str">
        <x:f>IF(N16="","OPEN",IF(OR(F16="",G16="",H16="",NOT(ISNUMBER(I16)),NOT(ISNUMBER(J16)),NOT(ISNUMBER(K16)),L16="",M16=""),"FAIL",IF(AND(I16&lt;='Controls'!$D$66,J16&gt;='Controls'!$D$67,K16&lt;='Controls'!$D$68,F16=M16),"PASS","FAIL")))</x:f>
        <x:v>OPEN</x:v>
      </x:c>
    </x:row>
    <x:row r="17">
      <x:c r="B17" s="28" t="str">
        <x:v>TC-11</x:v>
      </x:c>
      <x:c r="C17" s="28" t="str">
        <x:v>PEA-B-Y2</x:v>
      </x:c>
      <x:c r="D17" s="28" t="str">
        <x:v>BLD-B</x:v>
      </x:c>
      <x:c r="E17" s="28" t="str">
        <x:v>PTC-B</x:v>
      </x:c>
      <x:c r="F17" s="31" t="str"/>
      <x:c r="G17" s="31" t="str"/>
      <x:c r="H17" s="31" t="str"/>
      <x:c r="I17" s="33" t="str"/>
      <x:c r="J17" s="33" t="str"/>
      <x:c r="K17" s="33" t="str"/>
      <x:c r="L17" s="31" t="str"/>
      <x:c r="M17" s="31" t="str"/>
      <x:c r="N17" s="31" t="str"/>
      <x:c r="O17" s="28" t="str">
        <x:f>IF(N17="","OPEN",IF(OR(F17="",G17="",H17="",NOT(ISNUMBER(I17)),NOT(ISNUMBER(J17)),NOT(ISNUMBER(K17)),L17="",M17=""),"FAIL",IF(AND(I17&lt;='Controls'!$D$66,J17&gt;='Controls'!$D$67,K17&lt;='Controls'!$D$68,F17=M17),"PASS","FAIL")))</x:f>
        <x:v>OPEN</x:v>
      </x:c>
    </x:row>
    <x:row r="18">
      <x:c r="B18" s="28" t="str">
        <x:v>TC-12</x:v>
      </x:c>
      <x:c r="C18" s="28" t="str">
        <x:v>PEA-B-Y3</x:v>
      </x:c>
      <x:c r="D18" s="28" t="str">
        <x:v>BLD-B</x:v>
      </x:c>
      <x:c r="E18" s="28" t="str">
        <x:v>PTC-B</x:v>
      </x:c>
      <x:c r="F18" s="31" t="str"/>
      <x:c r="G18" s="31" t="str"/>
      <x:c r="H18" s="31" t="str"/>
      <x:c r="I18" s="33" t="str"/>
      <x:c r="J18" s="33" t="str"/>
      <x:c r="K18" s="33" t="str"/>
      <x:c r="L18" s="31" t="str"/>
      <x:c r="M18" s="31" t="str"/>
      <x:c r="N18" s="31" t="str"/>
      <x:c r="O18" s="28" t="str">
        <x:f>IF(N18="","OPEN",IF(OR(F18="",G18="",H18="",NOT(ISNUMBER(I18)),NOT(ISNUMBER(J18)),NOT(ISNUMBER(K18)),L18="",M18=""),"FAIL",IF(AND(I18&lt;='Controls'!$D$66,J18&gt;='Controls'!$D$67,K18&lt;='Controls'!$D$68,F18=M18),"PASS","FAIL")))</x:f>
        <x:v>OPEN</x:v>
      </x:c>
    </x:row>
    <x:row r="19">
      <x:c r="B19" s="28" t="str">
        <x:v>TC-13</x:v>
      </x:c>
      <x:c r="C19" s="28" t="str">
        <x:v>PEA-C-X1</x:v>
      </x:c>
      <x:c r="D19" s="28" t="str">
        <x:v>BLD-C</x:v>
      </x:c>
      <x:c r="E19" s="28" t="str">
        <x:v>PTC-C</x:v>
      </x:c>
      <x:c r="F19" s="31" t="str"/>
      <x:c r="G19" s="31" t="str"/>
      <x:c r="H19" s="31" t="str"/>
      <x:c r="I19" s="33" t="str"/>
      <x:c r="J19" s="33" t="str"/>
      <x:c r="K19" s="33" t="str"/>
      <x:c r="L19" s="31" t="str"/>
      <x:c r="M19" s="31" t="str"/>
      <x:c r="N19" s="31" t="str"/>
      <x:c r="O19" s="28" t="str">
        <x:f>IF(N19="","OPEN",IF(OR(F19="",G19="",H19="",NOT(ISNUMBER(I19)),NOT(ISNUMBER(J19)),NOT(ISNUMBER(K19)),L19="",M19=""),"FAIL",IF(AND(I19&lt;='Controls'!$D$66,J19&gt;='Controls'!$D$67,K19&lt;='Controls'!$D$68,F19=M19),"PASS","FAIL")))</x:f>
        <x:v>OPEN</x:v>
      </x:c>
    </x:row>
    <x:row r="20">
      <x:c r="B20" s="28" t="str">
        <x:v>TC-14</x:v>
      </x:c>
      <x:c r="C20" s="28" t="str">
        <x:v>PEA-C-X2</x:v>
      </x:c>
      <x:c r="D20" s="28" t="str">
        <x:v>BLD-C</x:v>
      </x:c>
      <x:c r="E20" s="28" t="str">
        <x:v>PTC-C</x:v>
      </x:c>
      <x:c r="F20" s="31" t="str"/>
      <x:c r="G20" s="31" t="str"/>
      <x:c r="H20" s="31" t="str"/>
      <x:c r="I20" s="33" t="str"/>
      <x:c r="J20" s="33" t="str"/>
      <x:c r="K20" s="33" t="str"/>
      <x:c r="L20" s="31" t="str"/>
      <x:c r="M20" s="31" t="str"/>
      <x:c r="N20" s="31" t="str"/>
      <x:c r="O20" s="28" t="str">
        <x:f>IF(N20="","OPEN",IF(OR(F20="",G20="",H20="",NOT(ISNUMBER(I20)),NOT(ISNUMBER(J20)),NOT(ISNUMBER(K20)),L20="",M20=""),"FAIL",IF(AND(I20&lt;='Controls'!$D$66,J20&gt;='Controls'!$D$67,K20&lt;='Controls'!$D$68,F20=M20),"PASS","FAIL")))</x:f>
        <x:v>OPEN</x:v>
      </x:c>
    </x:row>
    <x:row r="21">
      <x:c r="B21" s="28" t="str">
        <x:v>TC-15</x:v>
      </x:c>
      <x:c r="C21" s="28" t="str">
        <x:v>PEA-C-X3</x:v>
      </x:c>
      <x:c r="D21" s="28" t="str">
        <x:v>BLD-C</x:v>
      </x:c>
      <x:c r="E21" s="28" t="str">
        <x:v>PTC-C</x:v>
      </x:c>
      <x:c r="F21" s="31" t="str"/>
      <x:c r="G21" s="31" t="str"/>
      <x:c r="H21" s="31" t="str"/>
      <x:c r="I21" s="33" t="str"/>
      <x:c r="J21" s="33" t="str"/>
      <x:c r="K21" s="33" t="str"/>
      <x:c r="L21" s="31" t="str"/>
      <x:c r="M21" s="31" t="str"/>
      <x:c r="N21" s="31" t="str"/>
      <x:c r="O21" s="28" t="str">
        <x:f>IF(N21="","OPEN",IF(OR(F21="",G21="",H21="",NOT(ISNUMBER(I21)),NOT(ISNUMBER(J21)),NOT(ISNUMBER(K21)),L21="",M21=""),"FAIL",IF(AND(I21&lt;='Controls'!$D$66,J21&gt;='Controls'!$D$67,K21&lt;='Controls'!$D$68,F21=M21),"PASS","FAIL")))</x:f>
        <x:v>OPEN</x:v>
      </x:c>
    </x:row>
    <x:row r="22">
      <x:c r="B22" s="28" t="str">
        <x:v>TC-16</x:v>
      </x:c>
      <x:c r="C22" s="28" t="str">
        <x:v>PEA-C-Y1</x:v>
      </x:c>
      <x:c r="D22" s="28" t="str">
        <x:v>BLD-C</x:v>
      </x:c>
      <x:c r="E22" s="28" t="str">
        <x:v>PTC-C</x:v>
      </x:c>
      <x:c r="F22" s="31" t="str"/>
      <x:c r="G22" s="31" t="str"/>
      <x:c r="H22" s="31" t="str"/>
      <x:c r="I22" s="33" t="str"/>
      <x:c r="J22" s="33" t="str"/>
      <x:c r="K22" s="33" t="str"/>
      <x:c r="L22" s="31" t="str"/>
      <x:c r="M22" s="31" t="str"/>
      <x:c r="N22" s="31" t="str"/>
      <x:c r="O22" s="28" t="str">
        <x:f>IF(N22="","OPEN",IF(OR(F22="",G22="",H22="",NOT(ISNUMBER(I22)),NOT(ISNUMBER(J22)),NOT(ISNUMBER(K22)),L22="",M22=""),"FAIL",IF(AND(I22&lt;='Controls'!$D$66,J22&gt;='Controls'!$D$67,K22&lt;='Controls'!$D$68,F22=M22),"PASS","FAIL")))</x:f>
        <x:v>OPEN</x:v>
      </x:c>
    </x:row>
    <x:row r="23">
      <x:c r="B23" s="28" t="str">
        <x:v>TC-17</x:v>
      </x:c>
      <x:c r="C23" s="28" t="str">
        <x:v>PEA-C-Y2</x:v>
      </x:c>
      <x:c r="D23" s="28" t="str">
        <x:v>BLD-C</x:v>
      </x:c>
      <x:c r="E23" s="28" t="str">
        <x:v>PTC-C</x:v>
      </x:c>
      <x:c r="F23" s="31" t="str"/>
      <x:c r="G23" s="31" t="str"/>
      <x:c r="H23" s="31" t="str"/>
      <x:c r="I23" s="33" t="str"/>
      <x:c r="J23" s="33" t="str"/>
      <x:c r="K23" s="33" t="str"/>
      <x:c r="L23" s="31" t="str"/>
      <x:c r="M23" s="31" t="str"/>
      <x:c r="N23" s="31" t="str"/>
      <x:c r="O23" s="28" t="str">
        <x:f>IF(N23="","OPEN",IF(OR(F23="",G23="",H23="",NOT(ISNUMBER(I23)),NOT(ISNUMBER(J23)),NOT(ISNUMBER(K23)),L23="",M23=""),"FAIL",IF(AND(I23&lt;='Controls'!$D$66,J23&gt;='Controls'!$D$67,K23&lt;='Controls'!$D$68,F23=M23),"PASS","FAIL")))</x:f>
        <x:v>OPEN</x:v>
      </x:c>
    </x:row>
    <x:row r="24">
      <x:c r="B24" s="28" t="str">
        <x:v>TC-18</x:v>
      </x:c>
      <x:c r="C24" s="28" t="str">
        <x:v>PEA-C-Y3</x:v>
      </x:c>
      <x:c r="D24" s="28" t="str">
        <x:v>BLD-C</x:v>
      </x:c>
      <x:c r="E24" s="28" t="str">
        <x:v>PTC-C</x:v>
      </x:c>
      <x:c r="F24" s="31" t="str"/>
      <x:c r="G24" s="31" t="str"/>
      <x:c r="H24" s="31" t="str"/>
      <x:c r="I24" s="33" t="str"/>
      <x:c r="J24" s="33" t="str"/>
      <x:c r="K24" s="33" t="str"/>
      <x:c r="L24" s="31" t="str"/>
      <x:c r="M24" s="31" t="str"/>
      <x:c r="N24" s="31" t="str"/>
      <x:c r="O24" s="28" t="str">
        <x:f>IF(N24="","OPEN",IF(OR(F24="",G24="",H24="",NOT(ISNUMBER(I24)),NOT(ISNUMBER(J24)),NOT(ISNUMBER(K24)),L24="",M24=""),"FAIL",IF(AND(I24&lt;='Controls'!$D$66,J24&gt;='Controls'!$D$67,K24&lt;='Controls'!$D$68,F24=M24),"PASS","FAIL")))</x:f>
        <x:v>OPEN</x:v>
      </x:c>
    </x:row>
  </x:sheetData>
  <x:conditionalFormatting sqref="O7:O24">
    <x:cfRule type="containsText" dxfId="6" priority="1" operator="containsText" text="FAIL"/>
    <x:cfRule type="containsText" dxfId="7" priority="2" operator="containsText" text="BLOCKED"/>
    <x:cfRule type="containsText" dxfId="8" priority="3" operator="containsText" text="EXPIRED"/>
    <x:cfRule type="containsText" dxfId="9" priority="4" operator="containsText" text="OPEN"/>
    <x:cfRule type="containsText" dxfId="10" priority="5" operator="containsText" text="DORMANT"/>
    <x:cfRule type="containsText" dxfId="11" priority="6" operator="containsText" text="PASS"/>
  </x:conditionalFormatting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4" hidden="0" customWidth="1"/>
    <x:col min="4" max="4" width="31" hidden="0" customWidth="1"/>
    <x:col min="5" max="5" width="25" hidden="0" customWidth="1"/>
    <x:col min="6" max="6" width="21" hidden="0" customWidth="1"/>
    <x:col min="7" max="7" width="15" hidden="0" customWidth="1"/>
    <x:col min="8" max="8" width="20" hidden="0" customWidth="1"/>
    <x:col min="9" max="9" width="34" hidden="0" customWidth="1"/>
    <x:col min="10" max="10" width="21" hidden="0" customWidth="1"/>
    <x:col min="11" max="11" width="14" hidden="0" customWidth="1"/>
  </x:cols>
  <x:sheetData>
    <x:row r="2">
      <x:c r="B2" s="25" t="str">
        <x:v>Six public rig positions</x:v>
      </x:c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B3" s="27" t="str">
        <x:v>Every rig must accept all six operational articles before one article returns to its locked home position.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</x:row>
    <x:row r="6" ht="24" customHeight="1">
      <x:c r="B6" s="6" t="str">
        <x:v>Rig</x:v>
      </x:c>
      <x:c r="C6" s="6" t="str">
        <x:v>Campus</x:v>
      </x:c>
      <x:c r="D6" s="6" t="str">
        <x:v>Role</x:v>
      </x:c>
      <x:c r="E6" s="6" t="str">
        <x:v>Home operational article</x:v>
      </x:c>
      <x:c r="F6" s="6" t="str">
        <x:v>Home twin</x:v>
      </x:c>
      <x:c r="G6" s="6" t="str">
        <x:v>Home lineage</x:v>
      </x:c>
      <x:c r="H6" s="6" t="str">
        <x:v>Required domains</x:v>
      </x:c>
      <x:c r="I6" s="6" t="str">
        <x:v>Baseline root</x:v>
      </x:c>
      <x:c r="J6" s="6" t="str">
        <x:v>Accepted UTC</x:v>
      </x:c>
      <x:c r="K6" s="6" t="str">
        <x:v>State</x:v>
      </x:c>
    </x:row>
    <x:row r="7">
      <x:c r="B7" s="28" t="str">
        <x:v>RFP-A1</x:v>
      </x:c>
      <x:c r="C7" s="28" t="str">
        <x:v>PTC-A</x:v>
      </x:c>
      <x:c r="D7" s="28" t="str">
        <x:v>destructive fire/hydraulic</x:v>
      </x:c>
      <x:c r="E7" s="28" t="str">
        <x:v>PEA-A-X1</x:v>
      </x:c>
      <x:c r="F7" s="28" t="str">
        <x:v>PEA-A-X2</x:v>
      </x:c>
      <x:c r="G7" s="28" t="str">
        <x:v>BL-X</x:v>
      </x:c>
      <x:c r="H7" s="28" t="n">
        <x:v>24</x:v>
      </x:c>
      <x:c r="I7" s="31" t="str"/>
      <x:c r="J7" s="31" t="str"/>
      <x:c r="K7" s="28" t="str">
        <x:f>IF(J7="","OPEN",IF(AND(I7&lt;&gt;"",COUNTIFS('Rig Domains'!C7:C150,B7,'Rig Domains'!H7:H150,"PASS")=H7),"PASS","FAIL"))</x:f>
        <x:v>OPEN</x:v>
      </x:c>
    </x:row>
    <x:row r="8">
      <x:c r="B8" s="28" t="str">
        <x:v>RFP-A2</x:v>
      </x:c>
      <x:c r="C8" s="28" t="str">
        <x:v>PTC-A</x:v>
      </x:c>
      <x:c r="D8" s="28" t="str">
        <x:v>destructive recovery</x:v>
      </x:c>
      <x:c r="E8" s="28" t="str">
        <x:v>PEA-A-Y1</x:v>
      </x:c>
      <x:c r="F8" s="28" t="str">
        <x:v>PEA-A-Y2</x:v>
      </x:c>
      <x:c r="G8" s="28" t="str">
        <x:v>BL-Y</x:v>
      </x:c>
      <x:c r="H8" s="28" t="n">
        <x:v>24</x:v>
      </x:c>
      <x:c r="I8" s="31" t="str"/>
      <x:c r="J8" s="31" t="str"/>
      <x:c r="K8" s="28" t="str">
        <x:f>IF(J8="","OPEN",IF(AND(I8&lt;&gt;"",COUNTIFS('Rig Domains'!C7:C150,B8,'Rig Domains'!H7:H150,"PASS")=H8),"PASS","FAIL"))</x:f>
        <x:v>OPEN</x:v>
      </x:c>
    </x:row>
    <x:row r="9">
      <x:c r="B9" s="28" t="str">
        <x:v>RFP-B1</x:v>
      </x:c>
      <x:c r="C9" s="28" t="str">
        <x:v>PTC-B</x:v>
      </x:c>
      <x:c r="D9" s="28" t="str">
        <x:v>operational primary</x:v>
      </x:c>
      <x:c r="E9" s="28" t="str">
        <x:v>PEA-B-X1</x:v>
      </x:c>
      <x:c r="F9" s="28" t="str">
        <x:v>PEA-B-X2</x:v>
      </x:c>
      <x:c r="G9" s="28" t="str">
        <x:v>BL-X</x:v>
      </x:c>
      <x:c r="H9" s="28" t="n">
        <x:v>24</x:v>
      </x:c>
      <x:c r="I9" s="31" t="str"/>
      <x:c r="J9" s="31" t="str"/>
      <x:c r="K9" s="28" t="str">
        <x:f>IF(J9="","OPEN",IF(AND(I9&lt;&gt;"",COUNTIFS('Rig Domains'!C7:C150,B9,'Rig Domains'!H7:H150,"PASS")=H9),"PASS","FAIL"))</x:f>
        <x:v>OPEN</x:v>
      </x:c>
    </x:row>
    <x:row r="10">
      <x:c r="B10" s="28" t="str">
        <x:v>RFP-B2</x:v>
      </x:c>
      <x:c r="C10" s="28" t="str">
        <x:v>PTC-B</x:v>
      </x:c>
      <x:c r="D10" s="28" t="str">
        <x:v>operational sibling</x:v>
      </x:c>
      <x:c r="E10" s="28" t="str">
        <x:v>PEA-B-Y1</x:v>
      </x:c>
      <x:c r="F10" s="28" t="str">
        <x:v>PEA-B-Y2</x:v>
      </x:c>
      <x:c r="G10" s="28" t="str">
        <x:v>BL-Y</x:v>
      </x:c>
      <x:c r="H10" s="28" t="n">
        <x:v>24</x:v>
      </x:c>
      <x:c r="I10" s="31" t="str"/>
      <x:c r="J10" s="31" t="str"/>
      <x:c r="K10" s="28" t="str">
        <x:f>IF(J10="","OPEN",IF(AND(I10&lt;&gt;"",COUNTIFS('Rig Domains'!C7:C150,B10,'Rig Domains'!H7:H150,"PASS")=H10),"PASS","FAIL"))</x:f>
        <x:v>OPEN</x:v>
      </x:c>
    </x:row>
    <x:row r="11">
      <x:c r="B11" s="28" t="str">
        <x:v>RFP-C1</x:v>
      </x:c>
      <x:c r="C11" s="28" t="str">
        <x:v>PTC-C</x:v>
      </x:c>
      <x:c r="D11" s="28" t="str">
        <x:v>operational primary</x:v>
      </x:c>
      <x:c r="E11" s="28" t="str">
        <x:v>PEA-C-X1</x:v>
      </x:c>
      <x:c r="F11" s="28" t="str">
        <x:v>PEA-C-X2</x:v>
      </x:c>
      <x:c r="G11" s="28" t="str">
        <x:v>BL-X</x:v>
      </x:c>
      <x:c r="H11" s="28" t="n">
        <x:v>24</x:v>
      </x:c>
      <x:c r="I11" s="31" t="str"/>
      <x:c r="J11" s="31" t="str"/>
      <x:c r="K11" s="28" t="str">
        <x:f>IF(J11="","OPEN",IF(AND(I11&lt;&gt;"",COUNTIFS('Rig Domains'!C7:C150,B11,'Rig Domains'!H7:H150,"PASS")=H11),"PASS","FAIL"))</x:f>
        <x:v>OPEN</x:v>
      </x:c>
    </x:row>
    <x:row r="12">
      <x:c r="B12" s="28" t="str">
        <x:v>RFP-C2</x:v>
      </x:c>
      <x:c r="C12" s="28" t="str">
        <x:v>PTC-C</x:v>
      </x:c>
      <x:c r="D12" s="28" t="str">
        <x:v>operational sibling</x:v>
      </x:c>
      <x:c r="E12" s="28" t="str">
        <x:v>PEA-C-Y1</x:v>
      </x:c>
      <x:c r="F12" s="28" t="str">
        <x:v>PEA-C-Y2</x:v>
      </x:c>
      <x:c r="G12" s="28" t="str">
        <x:v>BL-Y</x:v>
      </x:c>
      <x:c r="H12" s="28" t="n">
        <x:v>24</x:v>
      </x:c>
      <x:c r="I12" s="31" t="str"/>
      <x:c r="J12" s="31" t="str"/>
      <x:c r="K12" s="28" t="str">
        <x:f>IF(J12="","OPEN",IF(AND(I12&lt;&gt;"",COUNTIFS('Rig Domains'!C7:C150,B12,'Rig Domains'!H7:H150,"PASS")=H12),"PASS","FAIL"))</x:f>
        <x:v>OPEN</x:v>
      </x:c>
    </x:row>
  </x:sheetData>
  <x:conditionalFormatting sqref="K7:K12">
    <x:cfRule type="containsText" dxfId="12" priority="1" operator="containsText" text="FAIL"/>
    <x:cfRule type="containsText" dxfId="13" priority="2" operator="containsText" text="BLOCKED"/>
    <x:cfRule type="containsText" dxfId="14" priority="3" operator="containsText" text="EXPIRED"/>
    <x:cfRule type="containsText" dxfId="15" priority="4" operator="containsText" text="OPEN"/>
    <x:cfRule type="containsText" dxfId="16" priority="5" operator="containsText" text="DORMANT"/>
    <x:cfRule type="containsText" dxfId="17" priority="6" operator="containsText" text="PASS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4" hidden="0" customWidth="1"/>
    <x:col min="5" max="5" width="24" hidden="0" customWidth="1"/>
    <x:col min="6" max="6" width="23" hidden="0" customWidth="1"/>
    <x:col min="7" max="7" width="14" hidden="0" customWidth="1"/>
    <x:col min="8" max="8" width="14" hidden="0" customWidth="1"/>
    <x:col min="9" max="9" width="16" hidden="0" customWidth="1"/>
    <x:col min="10" max="10" width="23" hidden="0" customWidth="1"/>
    <x:col min="11" max="11" width="23" hidden="0" customWidth="1"/>
    <x:col min="12" max="12" width="21" hidden="0" customWidth="1"/>
    <x:col min="13" max="13" width="14" hidden="0" customWidth="1"/>
  </x:cols>
  <x:sheetData>
    <x:row r="2">
      <x:c r="B2" s="25" t="str">
        <x:v>Six locked article-rig pairs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</x:row>
    <x:row r="3">
      <x:c r="B3" s="27" t="str">
        <x:v>The locked home assignment is the final station, not portability evidence. Every operational article first completes the full six-rig circuit.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</x:row>
    <x:row r="6" ht="24" customHeight="1">
      <x:c r="B6" s="6" t="str">
        <x:v>Pair</x:v>
      </x:c>
      <x:c r="C6" s="6" t="str">
        <x:v>Rig</x:v>
      </x:c>
      <x:c r="D6" s="6" t="str">
        <x:v>Campus</x:v>
      </x:c>
      <x:c r="E6" s="6" t="str">
        <x:v>Operational article</x:v>
      </x:c>
      <x:c r="F6" s="6" t="str">
        <x:v>Functional twin</x:v>
      </x:c>
      <x:c r="G6" s="6" t="str">
        <x:v>Lineage</x:v>
      </x:c>
      <x:c r="H6" s="6" t="str">
        <x:v>Builder</x:v>
      </x:c>
      <x:c r="I6" s="6" t="str">
        <x:v>Home round</x:v>
      </x:c>
      <x:c r="J6" s="6" t="str">
        <x:v>Calibration article</x:v>
      </x:c>
      <x:c r="K6" s="6" t="str">
        <x:v>Destructive article</x:v>
      </x:c>
      <x:c r="L6" s="6" t="str">
        <x:v>Accepted UTC</x:v>
      </x:c>
      <x:c r="M6" s="6" t="str">
        <x:v>State</x:v>
      </x:c>
    </x:row>
    <x:row r="7">
      <x:c r="B7" s="28" t="str">
        <x:v>PAIR-A1</x:v>
      </x:c>
      <x:c r="C7" s="28" t="str">
        <x:v>RFP-A1</x:v>
      </x:c>
      <x:c r="D7" s="28" t="str">
        <x:v>PTC-A</x:v>
      </x:c>
      <x:c r="E7" s="28" t="str">
        <x:v>PEA-A-X1</x:v>
      </x:c>
      <x:c r="F7" s="28" t="str">
        <x:v>PEA-A-X2</x:v>
      </x:c>
      <x:c r="G7" s="28" t="str">
        <x:v>BL-X</x:v>
      </x:c>
      <x:c r="H7" s="28" t="str">
        <x:v>BLD-A</x:v>
      </x:c>
      <x:c r="I7" s="28" t="n">
        <x:v>6</x:v>
      </x:c>
      <x:c r="J7" s="28" t="str">
        <x:v>PEA-A-X3</x:v>
      </x:c>
      <x:c r="K7" s="28" t="str">
        <x:v>PEA-A-Y3</x:v>
      </x:c>
      <x:c r="L7" s="31" t="str"/>
      <x:c r="M7" s="28" t="str">
        <x:f>IF(L7="","OPEN",IF(AND(COUNTIFS('Bank Intake'!B7:B24,E7,'Bank Intake'!L7:L24,"PASS")=1,COUNTIFS('Bank Intake'!B7:B24,F7,'Bank Intake'!L7:L24,"PASS")=1,COUNTIFS('Rotation Plan'!D7:D42,E7,'Rotation Plan'!J7:J42,1)=1),"PASS","FAIL"))</x:f>
        <x:v>OPEN</x:v>
      </x:c>
    </x:row>
    <x:row r="8">
      <x:c r="B8" s="28" t="str">
        <x:v>PAIR-A2</x:v>
      </x:c>
      <x:c r="C8" s="28" t="str">
        <x:v>RFP-A2</x:v>
      </x:c>
      <x:c r="D8" s="28" t="str">
        <x:v>PTC-A</x:v>
      </x:c>
      <x:c r="E8" s="28" t="str">
        <x:v>PEA-A-Y1</x:v>
      </x:c>
      <x:c r="F8" s="28" t="str">
        <x:v>PEA-A-Y2</x:v>
      </x:c>
      <x:c r="G8" s="28" t="str">
        <x:v>BL-Y</x:v>
      </x:c>
      <x:c r="H8" s="28" t="str">
        <x:v>BLD-A</x:v>
      </x:c>
      <x:c r="I8" s="28" t="n">
        <x:v>6</x:v>
      </x:c>
      <x:c r="J8" s="28" t="str">
        <x:v>PEA-A-X3</x:v>
      </x:c>
      <x:c r="K8" s="28" t="str">
        <x:v>PEA-A-Y3</x:v>
      </x:c>
      <x:c r="L8" s="31" t="str"/>
      <x:c r="M8" s="28" t="str">
        <x:f>IF(L8="","OPEN",IF(AND(COUNTIFS('Bank Intake'!B7:B24,E8,'Bank Intake'!L7:L24,"PASS")=1,COUNTIFS('Bank Intake'!B7:B24,F8,'Bank Intake'!L7:L24,"PASS")=1,COUNTIFS('Rotation Plan'!D7:D42,E8,'Rotation Plan'!J7:J42,1)=1),"PASS","FAIL"))</x:f>
        <x:v>OPEN</x:v>
      </x:c>
    </x:row>
    <x:row r="9">
      <x:c r="B9" s="28" t="str">
        <x:v>PAIR-B1</x:v>
      </x:c>
      <x:c r="C9" s="28" t="str">
        <x:v>RFP-B1</x:v>
      </x:c>
      <x:c r="D9" s="28" t="str">
        <x:v>PTC-B</x:v>
      </x:c>
      <x:c r="E9" s="28" t="str">
        <x:v>PEA-B-X1</x:v>
      </x:c>
      <x:c r="F9" s="28" t="str">
        <x:v>PEA-B-X2</x:v>
      </x:c>
      <x:c r="G9" s="28" t="str">
        <x:v>BL-X</x:v>
      </x:c>
      <x:c r="H9" s="28" t="str">
        <x:v>BLD-B</x:v>
      </x:c>
      <x:c r="I9" s="28" t="n">
        <x:v>6</x:v>
      </x:c>
      <x:c r="J9" s="28" t="str">
        <x:v>PEA-B-X3</x:v>
      </x:c>
      <x:c r="K9" s="28" t="str">
        <x:v>PEA-B-Y3</x:v>
      </x:c>
      <x:c r="L9" s="31" t="str"/>
      <x:c r="M9" s="28" t="str">
        <x:f>IF(L9="","OPEN",IF(AND(COUNTIFS('Bank Intake'!B7:B24,E9,'Bank Intake'!L7:L24,"PASS")=1,COUNTIFS('Bank Intake'!B7:B24,F9,'Bank Intake'!L7:L24,"PASS")=1,COUNTIFS('Rotation Plan'!D7:D42,E9,'Rotation Plan'!J7:J42,1)=1),"PASS","FAIL"))</x:f>
        <x:v>OPEN</x:v>
      </x:c>
    </x:row>
    <x:row r="10">
      <x:c r="B10" s="28" t="str">
        <x:v>PAIR-B2</x:v>
      </x:c>
      <x:c r="C10" s="28" t="str">
        <x:v>RFP-B2</x:v>
      </x:c>
      <x:c r="D10" s="28" t="str">
        <x:v>PTC-B</x:v>
      </x:c>
      <x:c r="E10" s="28" t="str">
        <x:v>PEA-B-Y1</x:v>
      </x:c>
      <x:c r="F10" s="28" t="str">
        <x:v>PEA-B-Y2</x:v>
      </x:c>
      <x:c r="G10" s="28" t="str">
        <x:v>BL-Y</x:v>
      </x:c>
      <x:c r="H10" s="28" t="str">
        <x:v>BLD-B</x:v>
      </x:c>
      <x:c r="I10" s="28" t="n">
        <x:v>6</x:v>
      </x:c>
      <x:c r="J10" s="28" t="str">
        <x:v>PEA-B-X3</x:v>
      </x:c>
      <x:c r="K10" s="28" t="str">
        <x:v>PEA-B-Y3</x:v>
      </x:c>
      <x:c r="L10" s="31" t="str"/>
      <x:c r="M10" s="28" t="str">
        <x:f>IF(L10="","OPEN",IF(AND(COUNTIFS('Bank Intake'!B7:B24,E10,'Bank Intake'!L7:L24,"PASS")=1,COUNTIFS('Bank Intake'!B7:B24,F10,'Bank Intake'!L7:L24,"PASS")=1,COUNTIFS('Rotation Plan'!D7:D42,E10,'Rotation Plan'!J7:J42,1)=1),"PASS","FAIL"))</x:f>
        <x:v>OPEN</x:v>
      </x:c>
    </x:row>
    <x:row r="11">
      <x:c r="B11" s="28" t="str">
        <x:v>PAIR-C1</x:v>
      </x:c>
      <x:c r="C11" s="28" t="str">
        <x:v>RFP-C1</x:v>
      </x:c>
      <x:c r="D11" s="28" t="str">
        <x:v>PTC-C</x:v>
      </x:c>
      <x:c r="E11" s="28" t="str">
        <x:v>PEA-C-X1</x:v>
      </x:c>
      <x:c r="F11" s="28" t="str">
        <x:v>PEA-C-X2</x:v>
      </x:c>
      <x:c r="G11" s="28" t="str">
        <x:v>BL-X</x:v>
      </x:c>
      <x:c r="H11" s="28" t="str">
        <x:v>BLD-C</x:v>
      </x:c>
      <x:c r="I11" s="28" t="n">
        <x:v>6</x:v>
      </x:c>
      <x:c r="J11" s="28" t="str">
        <x:v>PEA-C-Y3</x:v>
      </x:c>
      <x:c r="K11" s="28" t="str">
        <x:v>PEA-C-X3</x:v>
      </x:c>
      <x:c r="L11" s="31" t="str"/>
      <x:c r="M11" s="28" t="str">
        <x:f>IF(L11="","OPEN",IF(AND(COUNTIFS('Bank Intake'!B7:B24,E11,'Bank Intake'!L7:L24,"PASS")=1,COUNTIFS('Bank Intake'!B7:B24,F11,'Bank Intake'!L7:L24,"PASS")=1,COUNTIFS('Rotation Plan'!D7:D42,E11,'Rotation Plan'!J7:J42,1)=1),"PASS","FAIL"))</x:f>
        <x:v>OPEN</x:v>
      </x:c>
    </x:row>
    <x:row r="12">
      <x:c r="B12" s="28" t="str">
        <x:v>PAIR-C2</x:v>
      </x:c>
      <x:c r="C12" s="28" t="str">
        <x:v>RFP-C2</x:v>
      </x:c>
      <x:c r="D12" s="28" t="str">
        <x:v>PTC-C</x:v>
      </x:c>
      <x:c r="E12" s="28" t="str">
        <x:v>PEA-C-Y1</x:v>
      </x:c>
      <x:c r="F12" s="28" t="str">
        <x:v>PEA-C-Y2</x:v>
      </x:c>
      <x:c r="G12" s="28" t="str">
        <x:v>BL-Y</x:v>
      </x:c>
      <x:c r="H12" s="28" t="str">
        <x:v>BLD-C</x:v>
      </x:c>
      <x:c r="I12" s="28" t="n">
        <x:v>6</x:v>
      </x:c>
      <x:c r="J12" s="28" t="str">
        <x:v>PEA-C-Y3</x:v>
      </x:c>
      <x:c r="K12" s="28" t="str">
        <x:v>PEA-C-X3</x:v>
      </x:c>
      <x:c r="L12" s="31" t="str"/>
      <x:c r="M12" s="28" t="str">
        <x:f>IF(L12="","OPEN",IF(AND(COUNTIFS('Bank Intake'!B7:B24,E12,'Bank Intake'!L7:L24,"PASS")=1,COUNTIFS('Bank Intake'!B7:B24,F12,'Bank Intake'!L7:L24,"PASS")=1,COUNTIFS('Rotation Plan'!D7:D42,E12,'Rotation Plan'!J7:J42,1)=1),"PASS","FAIL"))</x:f>
        <x:v>OPEN</x:v>
      </x:c>
    </x:row>
  </x:sheetData>
  <x:conditionalFormatting sqref="M7:M12">
    <x:cfRule type="containsText" dxfId="18" priority="1" operator="containsText" text="FAIL"/>
    <x:cfRule type="containsText" dxfId="19" priority="2" operator="containsText" text="BLOCKED"/>
    <x:cfRule type="containsText" dxfId="20" priority="3" operator="containsText" text="EXPIRED"/>
    <x:cfRule type="containsText" dxfId="21" priority="4" operator="containsText" text="OPEN"/>
    <x:cfRule type="containsText" dxfId="22" priority="5" operator="containsText" text="DORMANT"/>
    <x:cfRule type="containsText" dxfId="23" priority="6" operator="containsText" text="PASS"/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5" hidden="0" customWidth="1"/>
    <x:col min="3" max="3" width="12" hidden="0" customWidth="1"/>
    <x:col min="4" max="4" width="17" hidden="0" customWidth="1"/>
    <x:col min="5" max="5" width="14" hidden="0" customWidth="1"/>
    <x:col min="6" max="6" width="13" hidden="0" customWidth="1"/>
    <x:col min="7" max="7" width="14" hidden="0" customWidth="1"/>
    <x:col min="8" max="8" width="14" hidden="0" customWidth="1"/>
    <x:col min="9" max="9" width="18" hidden="0" customWidth="1"/>
    <x:col min="10" max="10" width="14" hidden="0" customWidth="1"/>
    <x:col min="11" max="11" width="18" hidden="0" customWidth="1"/>
    <x:col min="12" max="12" width="31" hidden="0" customWidth="1"/>
    <x:col min="13" max="13" width="21" hidden="0" customWidth="1"/>
    <x:col min="14" max="14" width="31" hidden="0" customWidth="1"/>
    <x:col min="15" max="15" width="14" hidden="0" customWidth="1"/>
  </x:cols>
  <x:sheetData>
    <x:row r="2">
      <x:c r="B2" s="25" t="str">
        <x:v>Thirty-six precommitted article-rig rotations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</x:row>
    <x:row r="3">
      <x:c r="B3" s="27" t="str">
        <x:v>A six-round Latin circuit places one operational article at every rig in every round and returns each article to its home rig last.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</x:row>
    <x:row r="6" ht="24" customHeight="1">
      <x:c r="B6" s="6" t="str">
        <x:v>Rotation</x:v>
      </x:c>
      <x:c r="C6" s="6" t="str">
        <x:v>Round</x:v>
      </x:c>
      <x:c r="D6" s="6" t="str">
        <x:v>Article</x:v>
      </x:c>
      <x:c r="E6" s="6" t="str">
        <x:v>Builder</x:v>
      </x:c>
      <x:c r="F6" s="6" t="str">
        <x:v>Lineage</x:v>
      </x:c>
      <x:c r="G6" s="6" t="str">
        <x:v>Rig</x:v>
      </x:c>
      <x:c r="H6" s="6" t="str">
        <x:v>Campus</x:v>
      </x:c>
      <x:c r="I6" s="6" t="str">
        <x:v>Program month</x:v>
      </x:c>
      <x:c r="J6" s="6" t="str">
        <x:v>Home flag</x:v>
      </x:c>
      <x:c r="K6" s="6" t="str">
        <x:v>Prior position</x:v>
      </x:c>
      <x:c r="L6" s="6" t="str">
        <x:v>Custody root</x:v>
      </x:c>
      <x:c r="M6" s="6" t="str">
        <x:v>Accepted UTC</x:v>
      </x:c>
      <x:c r="N6" s="6" t="str">
        <x:v>Final root</x:v>
      </x:c>
      <x:c r="O6" s="6" t="str">
        <x:v>State</x:v>
      </x:c>
    </x:row>
    <x:row r="7">
      <x:c r="B7" s="28" t="str">
        <x:v>ROT-PEA-C-Y1-1</x:v>
      </x:c>
      <x:c r="C7" s="28" t="n">
        <x:v>1</x:v>
      </x:c>
      <x:c r="D7" s="28" t="str">
        <x:v>PEA-C-Y1</x:v>
      </x:c>
      <x:c r="E7" s="28" t="str">
        <x:v>BLD-C</x:v>
      </x:c>
      <x:c r="F7" s="28" t="str">
        <x:v>BL-Y</x:v>
      </x:c>
      <x:c r="G7" s="28" t="str">
        <x:v>RFP-A1</x:v>
      </x:c>
      <x:c r="H7" s="28" t="str">
        <x:v>PTC-A</x:v>
      </x:c>
      <x:c r="I7" s="28" t="n">
        <x:v>49</x:v>
      </x:c>
      <x:c r="J7" s="28" t="n">
        <x:v>0</x:v>
      </x:c>
      <x:c r="K7" s="28" t="str">
        <x:v>PUBLIC INTAKE</x:v>
      </x:c>
      <x:c r="L7" s="31" t="str"/>
      <x:c r="M7" s="31" t="str"/>
      <x:c r="N7" s="31" t="str"/>
      <x:c r="O7" s="28" t="str">
        <x:f>IF(M7="","OPEN",IF(AND(L7&lt;&gt;"",N7&lt;&gt;"",COUNTIFS(Docking!B7:B42,B7,Docking!M7:M42,"PASS")=1),"PASS","FAIL"))</x:f>
        <x:v>OPEN</x:v>
      </x:c>
    </x:row>
    <x:row r="8">
      <x:c r="B8" s="28" t="str">
        <x:v>ROT-PEA-A-X1-1</x:v>
      </x:c>
      <x:c r="C8" s="28" t="n">
        <x:v>1</x:v>
      </x:c>
      <x:c r="D8" s="28" t="str">
        <x:v>PEA-A-X1</x:v>
      </x:c>
      <x:c r="E8" s="28" t="str">
        <x:v>BLD-A</x:v>
      </x:c>
      <x:c r="F8" s="28" t="str">
        <x:v>BL-X</x:v>
      </x:c>
      <x:c r="G8" s="28" t="str">
        <x:v>RFP-A2</x:v>
      </x:c>
      <x:c r="H8" s="28" t="str">
        <x:v>PTC-A</x:v>
      </x:c>
      <x:c r="I8" s="28" t="n">
        <x:v>49</x:v>
      </x:c>
      <x:c r="J8" s="28" t="n">
        <x:v>0</x:v>
      </x:c>
      <x:c r="K8" s="28" t="str">
        <x:v>PUBLIC INTAKE</x:v>
      </x:c>
      <x:c r="L8" s="31" t="str"/>
      <x:c r="M8" s="31" t="str"/>
      <x:c r="N8" s="31" t="str"/>
      <x:c r="O8" s="28" t="str">
        <x:f>IF(M8="","OPEN",IF(AND(L8&lt;&gt;"",N8&lt;&gt;"",COUNTIFS(Docking!B7:B42,B8,Docking!M7:M42,"PASS")=1),"PASS","FAIL"))</x:f>
        <x:v>OPEN</x:v>
      </x:c>
    </x:row>
    <x:row r="9">
      <x:c r="B9" s="28" t="str">
        <x:v>ROT-PEA-A-Y1-1</x:v>
      </x:c>
      <x:c r="C9" s="28" t="n">
        <x:v>1</x:v>
      </x:c>
      <x:c r="D9" s="28" t="str">
        <x:v>PEA-A-Y1</x:v>
      </x:c>
      <x:c r="E9" s="28" t="str">
        <x:v>BLD-A</x:v>
      </x:c>
      <x:c r="F9" s="28" t="str">
        <x:v>BL-Y</x:v>
      </x:c>
      <x:c r="G9" s="28" t="str">
        <x:v>RFP-B1</x:v>
      </x:c>
      <x:c r="H9" s="28" t="str">
        <x:v>PTC-B</x:v>
      </x:c>
      <x:c r="I9" s="28" t="n">
        <x:v>49</x:v>
      </x:c>
      <x:c r="J9" s="28" t="n">
        <x:v>0</x:v>
      </x:c>
      <x:c r="K9" s="28" t="str">
        <x:v>PUBLIC INTAKE</x:v>
      </x:c>
      <x:c r="L9" s="31" t="str"/>
      <x:c r="M9" s="31" t="str"/>
      <x:c r="N9" s="31" t="str"/>
      <x:c r="O9" s="28" t="str">
        <x:f>IF(M9="","OPEN",IF(AND(L9&lt;&gt;"",N9&lt;&gt;"",COUNTIFS(Docking!B7:B42,B9,Docking!M7:M42,"PASS")=1),"PASS","FAIL"))</x:f>
        <x:v>OPEN</x:v>
      </x:c>
    </x:row>
    <x:row r="10">
      <x:c r="B10" s="28" t="str">
        <x:v>ROT-PEA-B-X1-1</x:v>
      </x:c>
      <x:c r="C10" s="28" t="n">
        <x:v>1</x:v>
      </x:c>
      <x:c r="D10" s="28" t="str">
        <x:v>PEA-B-X1</x:v>
      </x:c>
      <x:c r="E10" s="28" t="str">
        <x:v>BLD-B</x:v>
      </x:c>
      <x:c r="F10" s="28" t="str">
        <x:v>BL-X</x:v>
      </x:c>
      <x:c r="G10" s="28" t="str">
        <x:v>RFP-B2</x:v>
      </x:c>
      <x:c r="H10" s="28" t="str">
        <x:v>PTC-B</x:v>
      </x:c>
      <x:c r="I10" s="28" t="n">
        <x:v>49</x:v>
      </x:c>
      <x:c r="J10" s="28" t="n">
        <x:v>0</x:v>
      </x:c>
      <x:c r="K10" s="28" t="str">
        <x:v>PUBLIC INTAKE</x:v>
      </x:c>
      <x:c r="L10" s="31" t="str"/>
      <x:c r="M10" s="31" t="str"/>
      <x:c r="N10" s="31" t="str"/>
      <x:c r="O10" s="28" t="str">
        <x:f>IF(M10="","OPEN",IF(AND(L10&lt;&gt;"",N10&lt;&gt;"",COUNTIFS(Docking!B7:B42,B10,Docking!M7:M42,"PASS")=1),"PASS","FAIL"))</x:f>
        <x:v>OPEN</x:v>
      </x:c>
    </x:row>
    <x:row r="11">
      <x:c r="B11" s="28" t="str">
        <x:v>ROT-PEA-B-Y1-1</x:v>
      </x:c>
      <x:c r="C11" s="28" t="n">
        <x:v>1</x:v>
      </x:c>
      <x:c r="D11" s="28" t="str">
        <x:v>PEA-B-Y1</x:v>
      </x:c>
      <x:c r="E11" s="28" t="str">
        <x:v>BLD-B</x:v>
      </x:c>
      <x:c r="F11" s="28" t="str">
        <x:v>BL-Y</x:v>
      </x:c>
      <x:c r="G11" s="28" t="str">
        <x:v>RFP-C1</x:v>
      </x:c>
      <x:c r="H11" s="28" t="str">
        <x:v>PTC-C</x:v>
      </x:c>
      <x:c r="I11" s="28" t="n">
        <x:v>49</x:v>
      </x:c>
      <x:c r="J11" s="28" t="n">
        <x:v>0</x:v>
      </x:c>
      <x:c r="K11" s="28" t="str">
        <x:v>PUBLIC INTAKE</x:v>
      </x:c>
      <x:c r="L11" s="31" t="str"/>
      <x:c r="M11" s="31" t="str"/>
      <x:c r="N11" s="31" t="str"/>
      <x:c r="O11" s="28" t="str">
        <x:f>IF(M11="","OPEN",IF(AND(L11&lt;&gt;"",N11&lt;&gt;"",COUNTIFS(Docking!B7:B42,B11,Docking!M7:M42,"PASS")=1),"PASS","FAIL"))</x:f>
        <x:v>OPEN</x:v>
      </x:c>
    </x:row>
    <x:row r="12">
      <x:c r="B12" s="28" t="str">
        <x:v>ROT-PEA-C-X1-1</x:v>
      </x:c>
      <x:c r="C12" s="28" t="n">
        <x:v>1</x:v>
      </x:c>
      <x:c r="D12" s="28" t="str">
        <x:v>PEA-C-X1</x:v>
      </x:c>
      <x:c r="E12" s="28" t="str">
        <x:v>BLD-C</x:v>
      </x:c>
      <x:c r="F12" s="28" t="str">
        <x:v>BL-X</x:v>
      </x:c>
      <x:c r="G12" s="28" t="str">
        <x:v>RFP-C2</x:v>
      </x:c>
      <x:c r="H12" s="28" t="str">
        <x:v>PTC-C</x:v>
      </x:c>
      <x:c r="I12" s="28" t="n">
        <x:v>49</x:v>
      </x:c>
      <x:c r="J12" s="28" t="n">
        <x:v>0</x:v>
      </x:c>
      <x:c r="K12" s="28" t="str">
        <x:v>PUBLIC INTAKE</x:v>
      </x:c>
      <x:c r="L12" s="31" t="str"/>
      <x:c r="M12" s="31" t="str"/>
      <x:c r="N12" s="31" t="str"/>
      <x:c r="O12" s="28" t="str">
        <x:f>IF(M12="","OPEN",IF(AND(L12&lt;&gt;"",N12&lt;&gt;"",COUNTIFS(Docking!B7:B42,B12,Docking!M7:M42,"PASS")=1),"PASS","FAIL"))</x:f>
        <x:v>OPEN</x:v>
      </x:c>
    </x:row>
    <x:row r="13">
      <x:c r="B13" s="28" t="str">
        <x:v>ROT-PEA-C-X1-2</x:v>
      </x:c>
      <x:c r="C13" s="28" t="n">
        <x:v>2</x:v>
      </x:c>
      <x:c r="D13" s="28" t="str">
        <x:v>PEA-C-X1</x:v>
      </x:c>
      <x:c r="E13" s="28" t="str">
        <x:v>BLD-C</x:v>
      </x:c>
      <x:c r="F13" s="28" t="str">
        <x:v>BL-X</x:v>
      </x:c>
      <x:c r="G13" s="28" t="str">
        <x:v>RFP-A1</x:v>
      </x:c>
      <x:c r="H13" s="28" t="str">
        <x:v>PTC-A</x:v>
      </x:c>
      <x:c r="I13" s="28" t="n">
        <x:v>50</x:v>
      </x:c>
      <x:c r="J13" s="28" t="n">
        <x:v>0</x:v>
      </x:c>
      <x:c r="K13" s="28" t="str">
        <x:v>RFP-C2</x:v>
      </x:c>
      <x:c r="L13" s="31" t="str"/>
      <x:c r="M13" s="31" t="str"/>
      <x:c r="N13" s="31" t="str"/>
      <x:c r="O13" s="28" t="str">
        <x:f>IF(M13="","OPEN",IF(AND(L13&lt;&gt;"",N13&lt;&gt;"",COUNTIFS(Docking!B7:B42,B13,Docking!M7:M42,"PASS")=1),"PASS","FAIL"))</x:f>
        <x:v>OPEN</x:v>
      </x:c>
    </x:row>
    <x:row r="14">
      <x:c r="B14" s="28" t="str">
        <x:v>ROT-PEA-C-Y1-2</x:v>
      </x:c>
      <x:c r="C14" s="28" t="n">
        <x:v>2</x:v>
      </x:c>
      <x:c r="D14" s="28" t="str">
        <x:v>PEA-C-Y1</x:v>
      </x:c>
      <x:c r="E14" s="28" t="str">
        <x:v>BLD-C</x:v>
      </x:c>
      <x:c r="F14" s="28" t="str">
        <x:v>BL-Y</x:v>
      </x:c>
      <x:c r="G14" s="28" t="str">
        <x:v>RFP-A2</x:v>
      </x:c>
      <x:c r="H14" s="28" t="str">
        <x:v>PTC-A</x:v>
      </x:c>
      <x:c r="I14" s="28" t="n">
        <x:v>50</x:v>
      </x:c>
      <x:c r="J14" s="28" t="n">
        <x:v>0</x:v>
      </x:c>
      <x:c r="K14" s="28" t="str">
        <x:v>RFP-A1</x:v>
      </x:c>
      <x:c r="L14" s="31" t="str"/>
      <x:c r="M14" s="31" t="str"/>
      <x:c r="N14" s="31" t="str"/>
      <x:c r="O14" s="28" t="str">
        <x:f>IF(M14="","OPEN",IF(AND(L14&lt;&gt;"",N14&lt;&gt;"",COUNTIFS(Docking!B7:B42,B14,Docking!M7:M42,"PASS")=1),"PASS","FAIL"))</x:f>
        <x:v>OPEN</x:v>
      </x:c>
    </x:row>
    <x:row r="15">
      <x:c r="B15" s="28" t="str">
        <x:v>ROT-PEA-A-X1-2</x:v>
      </x:c>
      <x:c r="C15" s="28" t="n">
        <x:v>2</x:v>
      </x:c>
      <x:c r="D15" s="28" t="str">
        <x:v>PEA-A-X1</x:v>
      </x:c>
      <x:c r="E15" s="28" t="str">
        <x:v>BLD-A</x:v>
      </x:c>
      <x:c r="F15" s="28" t="str">
        <x:v>BL-X</x:v>
      </x:c>
      <x:c r="G15" s="28" t="str">
        <x:v>RFP-B1</x:v>
      </x:c>
      <x:c r="H15" s="28" t="str">
        <x:v>PTC-B</x:v>
      </x:c>
      <x:c r="I15" s="28" t="n">
        <x:v>50</x:v>
      </x:c>
      <x:c r="J15" s="28" t="n">
        <x:v>0</x:v>
      </x:c>
      <x:c r="K15" s="28" t="str">
        <x:v>RFP-A2</x:v>
      </x:c>
      <x:c r="L15" s="31" t="str"/>
      <x:c r="M15" s="31" t="str"/>
      <x:c r="N15" s="31" t="str"/>
      <x:c r="O15" s="28" t="str">
        <x:f>IF(M15="","OPEN",IF(AND(L15&lt;&gt;"",N15&lt;&gt;"",COUNTIFS(Docking!B7:B42,B15,Docking!M7:M42,"PASS")=1),"PASS","FAIL"))</x:f>
        <x:v>OPEN</x:v>
      </x:c>
    </x:row>
    <x:row r="16">
      <x:c r="B16" s="28" t="str">
        <x:v>ROT-PEA-A-Y1-2</x:v>
      </x:c>
      <x:c r="C16" s="28" t="n">
        <x:v>2</x:v>
      </x:c>
      <x:c r="D16" s="28" t="str">
        <x:v>PEA-A-Y1</x:v>
      </x:c>
      <x:c r="E16" s="28" t="str">
        <x:v>BLD-A</x:v>
      </x:c>
      <x:c r="F16" s="28" t="str">
        <x:v>BL-Y</x:v>
      </x:c>
      <x:c r="G16" s="28" t="str">
        <x:v>RFP-B2</x:v>
      </x:c>
      <x:c r="H16" s="28" t="str">
        <x:v>PTC-B</x:v>
      </x:c>
      <x:c r="I16" s="28" t="n">
        <x:v>50</x:v>
      </x:c>
      <x:c r="J16" s="28" t="n">
        <x:v>0</x:v>
      </x:c>
      <x:c r="K16" s="28" t="str">
        <x:v>RFP-B1</x:v>
      </x:c>
      <x:c r="L16" s="31" t="str"/>
      <x:c r="M16" s="31" t="str"/>
      <x:c r="N16" s="31" t="str"/>
      <x:c r="O16" s="28" t="str">
        <x:f>IF(M16="","OPEN",IF(AND(L16&lt;&gt;"",N16&lt;&gt;"",COUNTIFS(Docking!B7:B42,B16,Docking!M7:M42,"PASS")=1),"PASS","FAIL"))</x:f>
        <x:v>OPEN</x:v>
      </x:c>
    </x:row>
    <x:row r="17">
      <x:c r="B17" s="28" t="str">
        <x:v>ROT-PEA-B-X1-2</x:v>
      </x:c>
      <x:c r="C17" s="28" t="n">
        <x:v>2</x:v>
      </x:c>
      <x:c r="D17" s="28" t="str">
        <x:v>PEA-B-X1</x:v>
      </x:c>
      <x:c r="E17" s="28" t="str">
        <x:v>BLD-B</x:v>
      </x:c>
      <x:c r="F17" s="28" t="str">
        <x:v>BL-X</x:v>
      </x:c>
      <x:c r="G17" s="28" t="str">
        <x:v>RFP-C1</x:v>
      </x:c>
      <x:c r="H17" s="28" t="str">
        <x:v>PTC-C</x:v>
      </x:c>
      <x:c r="I17" s="28" t="n">
        <x:v>50</x:v>
      </x:c>
      <x:c r="J17" s="28" t="n">
        <x:v>0</x:v>
      </x:c>
      <x:c r="K17" s="28" t="str">
        <x:v>RFP-B2</x:v>
      </x:c>
      <x:c r="L17" s="31" t="str"/>
      <x:c r="M17" s="31" t="str"/>
      <x:c r="N17" s="31" t="str"/>
      <x:c r="O17" s="28" t="str">
        <x:f>IF(M17="","OPEN",IF(AND(L17&lt;&gt;"",N17&lt;&gt;"",COUNTIFS(Docking!B7:B42,B17,Docking!M7:M42,"PASS")=1),"PASS","FAIL"))</x:f>
        <x:v>OPEN</x:v>
      </x:c>
    </x:row>
    <x:row r="18">
      <x:c r="B18" s="28" t="str">
        <x:v>ROT-PEA-B-Y1-2</x:v>
      </x:c>
      <x:c r="C18" s="28" t="n">
        <x:v>2</x:v>
      </x:c>
      <x:c r="D18" s="28" t="str">
        <x:v>PEA-B-Y1</x:v>
      </x:c>
      <x:c r="E18" s="28" t="str">
        <x:v>BLD-B</x:v>
      </x:c>
      <x:c r="F18" s="28" t="str">
        <x:v>BL-Y</x:v>
      </x:c>
      <x:c r="G18" s="28" t="str">
        <x:v>RFP-C2</x:v>
      </x:c>
      <x:c r="H18" s="28" t="str">
        <x:v>PTC-C</x:v>
      </x:c>
      <x:c r="I18" s="28" t="n">
        <x:v>50</x:v>
      </x:c>
      <x:c r="J18" s="28" t="n">
        <x:v>0</x:v>
      </x:c>
      <x:c r="K18" s="28" t="str">
        <x:v>RFP-C1</x:v>
      </x:c>
      <x:c r="L18" s="31" t="str"/>
      <x:c r="M18" s="31" t="str"/>
      <x:c r="N18" s="31" t="str"/>
      <x:c r="O18" s="28" t="str">
        <x:f>IF(M18="","OPEN",IF(AND(L18&lt;&gt;"",N18&lt;&gt;"",COUNTIFS(Docking!B7:B42,B18,Docking!M7:M42,"PASS")=1),"PASS","FAIL"))</x:f>
        <x:v>OPEN</x:v>
      </x:c>
    </x:row>
    <x:row r="19">
      <x:c r="B19" s="28" t="str">
        <x:v>ROT-PEA-B-Y1-3</x:v>
      </x:c>
      <x:c r="C19" s="28" t="n">
        <x:v>3</x:v>
      </x:c>
      <x:c r="D19" s="28" t="str">
        <x:v>PEA-B-Y1</x:v>
      </x:c>
      <x:c r="E19" s="28" t="str">
        <x:v>BLD-B</x:v>
      </x:c>
      <x:c r="F19" s="28" t="str">
        <x:v>BL-Y</x:v>
      </x:c>
      <x:c r="G19" s="28" t="str">
        <x:v>RFP-A1</x:v>
      </x:c>
      <x:c r="H19" s="28" t="str">
        <x:v>PTC-A</x:v>
      </x:c>
      <x:c r="I19" s="28" t="n">
        <x:v>51</x:v>
      </x:c>
      <x:c r="J19" s="28" t="n">
        <x:v>0</x:v>
      </x:c>
      <x:c r="K19" s="28" t="str">
        <x:v>RFP-C2</x:v>
      </x:c>
      <x:c r="L19" s="31" t="str"/>
      <x:c r="M19" s="31" t="str"/>
      <x:c r="N19" s="31" t="str"/>
      <x:c r="O19" s="28" t="str">
        <x:f>IF(M19="","OPEN",IF(AND(L19&lt;&gt;"",N19&lt;&gt;"",COUNTIFS(Docking!B7:B42,B19,Docking!M7:M42,"PASS")=1),"PASS","FAIL"))</x:f>
        <x:v>OPEN</x:v>
      </x:c>
    </x:row>
    <x:row r="20">
      <x:c r="B20" s="28" t="str">
        <x:v>ROT-PEA-C-X1-3</x:v>
      </x:c>
      <x:c r="C20" s="28" t="n">
        <x:v>3</x:v>
      </x:c>
      <x:c r="D20" s="28" t="str">
        <x:v>PEA-C-X1</x:v>
      </x:c>
      <x:c r="E20" s="28" t="str">
        <x:v>BLD-C</x:v>
      </x:c>
      <x:c r="F20" s="28" t="str">
        <x:v>BL-X</x:v>
      </x:c>
      <x:c r="G20" s="28" t="str">
        <x:v>RFP-A2</x:v>
      </x:c>
      <x:c r="H20" s="28" t="str">
        <x:v>PTC-A</x:v>
      </x:c>
      <x:c r="I20" s="28" t="n">
        <x:v>51</x:v>
      </x:c>
      <x:c r="J20" s="28" t="n">
        <x:v>0</x:v>
      </x:c>
      <x:c r="K20" s="28" t="str">
        <x:v>RFP-A1</x:v>
      </x:c>
      <x:c r="L20" s="31" t="str"/>
      <x:c r="M20" s="31" t="str"/>
      <x:c r="N20" s="31" t="str"/>
      <x:c r="O20" s="28" t="str">
        <x:f>IF(M20="","OPEN",IF(AND(L20&lt;&gt;"",N20&lt;&gt;"",COUNTIFS(Docking!B7:B42,B20,Docking!M7:M42,"PASS")=1),"PASS","FAIL"))</x:f>
        <x:v>OPEN</x:v>
      </x:c>
    </x:row>
    <x:row r="21">
      <x:c r="B21" s="28" t="str">
        <x:v>ROT-PEA-C-Y1-3</x:v>
      </x:c>
      <x:c r="C21" s="28" t="n">
        <x:v>3</x:v>
      </x:c>
      <x:c r="D21" s="28" t="str">
        <x:v>PEA-C-Y1</x:v>
      </x:c>
      <x:c r="E21" s="28" t="str">
        <x:v>BLD-C</x:v>
      </x:c>
      <x:c r="F21" s="28" t="str">
        <x:v>BL-Y</x:v>
      </x:c>
      <x:c r="G21" s="28" t="str">
        <x:v>RFP-B1</x:v>
      </x:c>
      <x:c r="H21" s="28" t="str">
        <x:v>PTC-B</x:v>
      </x:c>
      <x:c r="I21" s="28" t="n">
        <x:v>51</x:v>
      </x:c>
      <x:c r="J21" s="28" t="n">
        <x:v>0</x:v>
      </x:c>
      <x:c r="K21" s="28" t="str">
        <x:v>RFP-A2</x:v>
      </x:c>
      <x:c r="L21" s="31" t="str"/>
      <x:c r="M21" s="31" t="str"/>
      <x:c r="N21" s="31" t="str"/>
      <x:c r="O21" s="28" t="str">
        <x:f>IF(M21="","OPEN",IF(AND(L21&lt;&gt;"",N21&lt;&gt;"",COUNTIFS(Docking!B7:B42,B21,Docking!M7:M42,"PASS")=1),"PASS","FAIL"))</x:f>
        <x:v>OPEN</x:v>
      </x:c>
    </x:row>
    <x:row r="22">
      <x:c r="B22" s="28" t="str">
        <x:v>ROT-PEA-A-X1-3</x:v>
      </x:c>
      <x:c r="C22" s="28" t="n">
        <x:v>3</x:v>
      </x:c>
      <x:c r="D22" s="28" t="str">
        <x:v>PEA-A-X1</x:v>
      </x:c>
      <x:c r="E22" s="28" t="str">
        <x:v>BLD-A</x:v>
      </x:c>
      <x:c r="F22" s="28" t="str">
        <x:v>BL-X</x:v>
      </x:c>
      <x:c r="G22" s="28" t="str">
        <x:v>RFP-B2</x:v>
      </x:c>
      <x:c r="H22" s="28" t="str">
        <x:v>PTC-B</x:v>
      </x:c>
      <x:c r="I22" s="28" t="n">
        <x:v>51</x:v>
      </x:c>
      <x:c r="J22" s="28" t="n">
        <x:v>0</x:v>
      </x:c>
      <x:c r="K22" s="28" t="str">
        <x:v>RFP-B1</x:v>
      </x:c>
      <x:c r="L22" s="31" t="str"/>
      <x:c r="M22" s="31" t="str"/>
      <x:c r="N22" s="31" t="str"/>
      <x:c r="O22" s="28" t="str">
        <x:f>IF(M22="","OPEN",IF(AND(L22&lt;&gt;"",N22&lt;&gt;"",COUNTIFS(Docking!B7:B42,B22,Docking!M7:M42,"PASS")=1),"PASS","FAIL"))</x:f>
        <x:v>OPEN</x:v>
      </x:c>
    </x:row>
    <x:row r="23">
      <x:c r="B23" s="28" t="str">
        <x:v>ROT-PEA-A-Y1-3</x:v>
      </x:c>
      <x:c r="C23" s="28" t="n">
        <x:v>3</x:v>
      </x:c>
      <x:c r="D23" s="28" t="str">
        <x:v>PEA-A-Y1</x:v>
      </x:c>
      <x:c r="E23" s="28" t="str">
        <x:v>BLD-A</x:v>
      </x:c>
      <x:c r="F23" s="28" t="str">
        <x:v>BL-Y</x:v>
      </x:c>
      <x:c r="G23" s="28" t="str">
        <x:v>RFP-C1</x:v>
      </x:c>
      <x:c r="H23" s="28" t="str">
        <x:v>PTC-C</x:v>
      </x:c>
      <x:c r="I23" s="28" t="n">
        <x:v>51</x:v>
      </x:c>
      <x:c r="J23" s="28" t="n">
        <x:v>0</x:v>
      </x:c>
      <x:c r="K23" s="28" t="str">
        <x:v>RFP-B2</x:v>
      </x:c>
      <x:c r="L23" s="31" t="str"/>
      <x:c r="M23" s="31" t="str"/>
      <x:c r="N23" s="31" t="str"/>
      <x:c r="O23" s="28" t="str">
        <x:f>IF(M23="","OPEN",IF(AND(L23&lt;&gt;"",N23&lt;&gt;"",COUNTIFS(Docking!B7:B42,B23,Docking!M7:M42,"PASS")=1),"PASS","FAIL"))</x:f>
        <x:v>OPEN</x:v>
      </x:c>
    </x:row>
    <x:row r="24">
      <x:c r="B24" s="28" t="str">
        <x:v>ROT-PEA-B-X1-3</x:v>
      </x:c>
      <x:c r="C24" s="28" t="n">
        <x:v>3</x:v>
      </x:c>
      <x:c r="D24" s="28" t="str">
        <x:v>PEA-B-X1</x:v>
      </x:c>
      <x:c r="E24" s="28" t="str">
        <x:v>BLD-B</x:v>
      </x:c>
      <x:c r="F24" s="28" t="str">
        <x:v>BL-X</x:v>
      </x:c>
      <x:c r="G24" s="28" t="str">
        <x:v>RFP-C2</x:v>
      </x:c>
      <x:c r="H24" s="28" t="str">
        <x:v>PTC-C</x:v>
      </x:c>
      <x:c r="I24" s="28" t="n">
        <x:v>51</x:v>
      </x:c>
      <x:c r="J24" s="28" t="n">
        <x:v>0</x:v>
      </x:c>
      <x:c r="K24" s="28" t="str">
        <x:v>RFP-C1</x:v>
      </x:c>
      <x:c r="L24" s="31" t="str"/>
      <x:c r="M24" s="31" t="str"/>
      <x:c r="N24" s="31" t="str"/>
      <x:c r="O24" s="28" t="str">
        <x:f>IF(M24="","OPEN",IF(AND(L24&lt;&gt;"",N24&lt;&gt;"",COUNTIFS(Docking!B7:B42,B24,Docking!M7:M42,"PASS")=1),"PASS","FAIL"))</x:f>
        <x:v>OPEN</x:v>
      </x:c>
    </x:row>
    <x:row r="25">
      <x:c r="B25" s="28" t="str">
        <x:v>ROT-PEA-B-X1-4</x:v>
      </x:c>
      <x:c r="C25" s="28" t="n">
        <x:v>4</x:v>
      </x:c>
      <x:c r="D25" s="28" t="str">
        <x:v>PEA-B-X1</x:v>
      </x:c>
      <x:c r="E25" s="28" t="str">
        <x:v>BLD-B</x:v>
      </x:c>
      <x:c r="F25" s="28" t="str">
        <x:v>BL-X</x:v>
      </x:c>
      <x:c r="G25" s="28" t="str">
        <x:v>RFP-A1</x:v>
      </x:c>
      <x:c r="H25" s="28" t="str">
        <x:v>PTC-A</x:v>
      </x:c>
      <x:c r="I25" s="28" t="n">
        <x:v>52</x:v>
      </x:c>
      <x:c r="J25" s="28" t="n">
        <x:v>0</x:v>
      </x:c>
      <x:c r="K25" s="28" t="str">
        <x:v>RFP-C2</x:v>
      </x:c>
      <x:c r="L25" s="31" t="str"/>
      <x:c r="M25" s="31" t="str"/>
      <x:c r="N25" s="31" t="str"/>
      <x:c r="O25" s="28" t="str">
        <x:f>IF(M25="","OPEN",IF(AND(L25&lt;&gt;"",N25&lt;&gt;"",COUNTIFS(Docking!B7:B42,B25,Docking!M7:M42,"PASS")=1),"PASS","FAIL"))</x:f>
        <x:v>OPEN</x:v>
      </x:c>
    </x:row>
    <x:row r="26">
      <x:c r="B26" s="28" t="str">
        <x:v>ROT-PEA-B-Y1-4</x:v>
      </x:c>
      <x:c r="C26" s="28" t="n">
        <x:v>4</x:v>
      </x:c>
      <x:c r="D26" s="28" t="str">
        <x:v>PEA-B-Y1</x:v>
      </x:c>
      <x:c r="E26" s="28" t="str">
        <x:v>BLD-B</x:v>
      </x:c>
      <x:c r="F26" s="28" t="str">
        <x:v>BL-Y</x:v>
      </x:c>
      <x:c r="G26" s="28" t="str">
        <x:v>RFP-A2</x:v>
      </x:c>
      <x:c r="H26" s="28" t="str">
        <x:v>PTC-A</x:v>
      </x:c>
      <x:c r="I26" s="28" t="n">
        <x:v>52</x:v>
      </x:c>
      <x:c r="J26" s="28" t="n">
        <x:v>0</x:v>
      </x:c>
      <x:c r="K26" s="28" t="str">
        <x:v>RFP-A1</x:v>
      </x:c>
      <x:c r="L26" s="31" t="str"/>
      <x:c r="M26" s="31" t="str"/>
      <x:c r="N26" s="31" t="str"/>
      <x:c r="O26" s="28" t="str">
        <x:f>IF(M26="","OPEN",IF(AND(L26&lt;&gt;"",N26&lt;&gt;"",COUNTIFS(Docking!B7:B42,B26,Docking!M7:M42,"PASS")=1),"PASS","FAIL"))</x:f>
        <x:v>OPEN</x:v>
      </x:c>
    </x:row>
    <x:row r="27">
      <x:c r="B27" s="28" t="str">
        <x:v>ROT-PEA-C-X1-4</x:v>
      </x:c>
      <x:c r="C27" s="28" t="n">
        <x:v>4</x:v>
      </x:c>
      <x:c r="D27" s="28" t="str">
        <x:v>PEA-C-X1</x:v>
      </x:c>
      <x:c r="E27" s="28" t="str">
        <x:v>BLD-C</x:v>
      </x:c>
      <x:c r="F27" s="28" t="str">
        <x:v>BL-X</x:v>
      </x:c>
      <x:c r="G27" s="28" t="str">
        <x:v>RFP-B1</x:v>
      </x:c>
      <x:c r="H27" s="28" t="str">
        <x:v>PTC-B</x:v>
      </x:c>
      <x:c r="I27" s="28" t="n">
        <x:v>52</x:v>
      </x:c>
      <x:c r="J27" s="28" t="n">
        <x:v>0</x:v>
      </x:c>
      <x:c r="K27" s="28" t="str">
        <x:v>RFP-A2</x:v>
      </x:c>
      <x:c r="L27" s="31" t="str"/>
      <x:c r="M27" s="31" t="str"/>
      <x:c r="N27" s="31" t="str"/>
      <x:c r="O27" s="28" t="str">
        <x:f>IF(M27="","OPEN",IF(AND(L27&lt;&gt;"",N27&lt;&gt;"",COUNTIFS(Docking!B7:B42,B27,Docking!M7:M42,"PASS")=1),"PASS","FAIL"))</x:f>
        <x:v>OPEN</x:v>
      </x:c>
    </x:row>
    <x:row r="28">
      <x:c r="B28" s="28" t="str">
        <x:v>ROT-PEA-C-Y1-4</x:v>
      </x:c>
      <x:c r="C28" s="28" t="n">
        <x:v>4</x:v>
      </x:c>
      <x:c r="D28" s="28" t="str">
        <x:v>PEA-C-Y1</x:v>
      </x:c>
      <x:c r="E28" s="28" t="str">
        <x:v>BLD-C</x:v>
      </x:c>
      <x:c r="F28" s="28" t="str">
        <x:v>BL-Y</x:v>
      </x:c>
      <x:c r="G28" s="28" t="str">
        <x:v>RFP-B2</x:v>
      </x:c>
      <x:c r="H28" s="28" t="str">
        <x:v>PTC-B</x:v>
      </x:c>
      <x:c r="I28" s="28" t="n">
        <x:v>52</x:v>
      </x:c>
      <x:c r="J28" s="28" t="n">
        <x:v>0</x:v>
      </x:c>
      <x:c r="K28" s="28" t="str">
        <x:v>RFP-B1</x:v>
      </x:c>
      <x:c r="L28" s="31" t="str"/>
      <x:c r="M28" s="31" t="str"/>
      <x:c r="N28" s="31" t="str"/>
      <x:c r="O28" s="28" t="str">
        <x:f>IF(M28="","OPEN",IF(AND(L28&lt;&gt;"",N28&lt;&gt;"",COUNTIFS(Docking!B7:B42,B28,Docking!M7:M42,"PASS")=1),"PASS","FAIL"))</x:f>
        <x:v>OPEN</x:v>
      </x:c>
    </x:row>
    <x:row r="29">
      <x:c r="B29" s="28" t="str">
        <x:v>ROT-PEA-A-X1-4</x:v>
      </x:c>
      <x:c r="C29" s="28" t="n">
        <x:v>4</x:v>
      </x:c>
      <x:c r="D29" s="28" t="str">
        <x:v>PEA-A-X1</x:v>
      </x:c>
      <x:c r="E29" s="28" t="str">
        <x:v>BLD-A</x:v>
      </x:c>
      <x:c r="F29" s="28" t="str">
        <x:v>BL-X</x:v>
      </x:c>
      <x:c r="G29" s="28" t="str">
        <x:v>RFP-C1</x:v>
      </x:c>
      <x:c r="H29" s="28" t="str">
        <x:v>PTC-C</x:v>
      </x:c>
      <x:c r="I29" s="28" t="n">
        <x:v>52</x:v>
      </x:c>
      <x:c r="J29" s="28" t="n">
        <x:v>0</x:v>
      </x:c>
      <x:c r="K29" s="28" t="str">
        <x:v>RFP-B2</x:v>
      </x:c>
      <x:c r="L29" s="31" t="str"/>
      <x:c r="M29" s="31" t="str"/>
      <x:c r="N29" s="31" t="str"/>
      <x:c r="O29" s="28" t="str">
        <x:f>IF(M29="","OPEN",IF(AND(L29&lt;&gt;"",N29&lt;&gt;"",COUNTIFS(Docking!B7:B42,B29,Docking!M7:M42,"PASS")=1),"PASS","FAIL"))</x:f>
        <x:v>OPEN</x:v>
      </x:c>
    </x:row>
    <x:row r="30">
      <x:c r="B30" s="28" t="str">
        <x:v>ROT-PEA-A-Y1-4</x:v>
      </x:c>
      <x:c r="C30" s="28" t="n">
        <x:v>4</x:v>
      </x:c>
      <x:c r="D30" s="28" t="str">
        <x:v>PEA-A-Y1</x:v>
      </x:c>
      <x:c r="E30" s="28" t="str">
        <x:v>BLD-A</x:v>
      </x:c>
      <x:c r="F30" s="28" t="str">
        <x:v>BL-Y</x:v>
      </x:c>
      <x:c r="G30" s="28" t="str">
        <x:v>RFP-C2</x:v>
      </x:c>
      <x:c r="H30" s="28" t="str">
        <x:v>PTC-C</x:v>
      </x:c>
      <x:c r="I30" s="28" t="n">
        <x:v>52</x:v>
      </x:c>
      <x:c r="J30" s="28" t="n">
        <x:v>0</x:v>
      </x:c>
      <x:c r="K30" s="28" t="str">
        <x:v>RFP-C1</x:v>
      </x:c>
      <x:c r="L30" s="31" t="str"/>
      <x:c r="M30" s="31" t="str"/>
      <x:c r="N30" s="31" t="str"/>
      <x:c r="O30" s="28" t="str">
        <x:f>IF(M30="","OPEN",IF(AND(L30&lt;&gt;"",N30&lt;&gt;"",COUNTIFS(Docking!B7:B42,B30,Docking!M7:M42,"PASS")=1),"PASS","FAIL"))</x:f>
        <x:v>OPEN</x:v>
      </x:c>
    </x:row>
    <x:row r="31">
      <x:c r="B31" s="28" t="str">
        <x:v>ROT-PEA-A-Y1-5</x:v>
      </x:c>
      <x:c r="C31" s="28" t="n">
        <x:v>5</x:v>
      </x:c>
      <x:c r="D31" s="28" t="str">
        <x:v>PEA-A-Y1</x:v>
      </x:c>
      <x:c r="E31" s="28" t="str">
        <x:v>BLD-A</x:v>
      </x:c>
      <x:c r="F31" s="28" t="str">
        <x:v>BL-Y</x:v>
      </x:c>
      <x:c r="G31" s="28" t="str">
        <x:v>RFP-A1</x:v>
      </x:c>
      <x:c r="H31" s="28" t="str">
        <x:v>PTC-A</x:v>
      </x:c>
      <x:c r="I31" s="28" t="n">
        <x:v>53</x:v>
      </x:c>
      <x:c r="J31" s="28" t="n">
        <x:v>0</x:v>
      </x:c>
      <x:c r="K31" s="28" t="str">
        <x:v>RFP-C2</x:v>
      </x:c>
      <x:c r="L31" s="31" t="str"/>
      <x:c r="M31" s="31" t="str"/>
      <x:c r="N31" s="31" t="str"/>
      <x:c r="O31" s="28" t="str">
        <x:f>IF(M31="","OPEN",IF(AND(L31&lt;&gt;"",N31&lt;&gt;"",COUNTIFS(Docking!B7:B42,B31,Docking!M7:M42,"PASS")=1),"PASS","FAIL"))</x:f>
        <x:v>OPEN</x:v>
      </x:c>
    </x:row>
    <x:row r="32">
      <x:c r="B32" s="28" t="str">
        <x:v>ROT-PEA-B-X1-5</x:v>
      </x:c>
      <x:c r="C32" s="28" t="n">
        <x:v>5</x:v>
      </x:c>
      <x:c r="D32" s="28" t="str">
        <x:v>PEA-B-X1</x:v>
      </x:c>
      <x:c r="E32" s="28" t="str">
        <x:v>BLD-B</x:v>
      </x:c>
      <x:c r="F32" s="28" t="str">
        <x:v>BL-X</x:v>
      </x:c>
      <x:c r="G32" s="28" t="str">
        <x:v>RFP-A2</x:v>
      </x:c>
      <x:c r="H32" s="28" t="str">
        <x:v>PTC-A</x:v>
      </x:c>
      <x:c r="I32" s="28" t="n">
        <x:v>53</x:v>
      </x:c>
      <x:c r="J32" s="28" t="n">
        <x:v>0</x:v>
      </x:c>
      <x:c r="K32" s="28" t="str">
        <x:v>RFP-A1</x:v>
      </x:c>
      <x:c r="L32" s="31" t="str"/>
      <x:c r="M32" s="31" t="str"/>
      <x:c r="N32" s="31" t="str"/>
      <x:c r="O32" s="28" t="str">
        <x:f>IF(M32="","OPEN",IF(AND(L32&lt;&gt;"",N32&lt;&gt;"",COUNTIFS(Docking!B7:B42,B32,Docking!M7:M42,"PASS")=1),"PASS","FAIL"))</x:f>
        <x:v>OPEN</x:v>
      </x:c>
    </x:row>
    <x:row r="33">
      <x:c r="B33" s="28" t="str">
        <x:v>ROT-PEA-B-Y1-5</x:v>
      </x:c>
      <x:c r="C33" s="28" t="n">
        <x:v>5</x:v>
      </x:c>
      <x:c r="D33" s="28" t="str">
        <x:v>PEA-B-Y1</x:v>
      </x:c>
      <x:c r="E33" s="28" t="str">
        <x:v>BLD-B</x:v>
      </x:c>
      <x:c r="F33" s="28" t="str">
        <x:v>BL-Y</x:v>
      </x:c>
      <x:c r="G33" s="28" t="str">
        <x:v>RFP-B1</x:v>
      </x:c>
      <x:c r="H33" s="28" t="str">
        <x:v>PTC-B</x:v>
      </x:c>
      <x:c r="I33" s="28" t="n">
        <x:v>53</x:v>
      </x:c>
      <x:c r="J33" s="28" t="n">
        <x:v>0</x:v>
      </x:c>
      <x:c r="K33" s="28" t="str">
        <x:v>RFP-A2</x:v>
      </x:c>
      <x:c r="L33" s="31" t="str"/>
      <x:c r="M33" s="31" t="str"/>
      <x:c r="N33" s="31" t="str"/>
      <x:c r="O33" s="28" t="str">
        <x:f>IF(M33="","OPEN",IF(AND(L33&lt;&gt;"",N33&lt;&gt;"",COUNTIFS(Docking!B7:B42,B33,Docking!M7:M42,"PASS")=1),"PASS","FAIL"))</x:f>
        <x:v>OPEN</x:v>
      </x:c>
    </x:row>
    <x:row r="34">
      <x:c r="B34" s="28" t="str">
        <x:v>ROT-PEA-C-X1-5</x:v>
      </x:c>
      <x:c r="C34" s="28" t="n">
        <x:v>5</x:v>
      </x:c>
      <x:c r="D34" s="28" t="str">
        <x:v>PEA-C-X1</x:v>
      </x:c>
      <x:c r="E34" s="28" t="str">
        <x:v>BLD-C</x:v>
      </x:c>
      <x:c r="F34" s="28" t="str">
        <x:v>BL-X</x:v>
      </x:c>
      <x:c r="G34" s="28" t="str">
        <x:v>RFP-B2</x:v>
      </x:c>
      <x:c r="H34" s="28" t="str">
        <x:v>PTC-B</x:v>
      </x:c>
      <x:c r="I34" s="28" t="n">
        <x:v>53</x:v>
      </x:c>
      <x:c r="J34" s="28" t="n">
        <x:v>0</x:v>
      </x:c>
      <x:c r="K34" s="28" t="str">
        <x:v>RFP-B1</x:v>
      </x:c>
      <x:c r="L34" s="31" t="str"/>
      <x:c r="M34" s="31" t="str"/>
      <x:c r="N34" s="31" t="str"/>
      <x:c r="O34" s="28" t="str">
        <x:f>IF(M34="","OPEN",IF(AND(L34&lt;&gt;"",N34&lt;&gt;"",COUNTIFS(Docking!B7:B42,B34,Docking!M7:M42,"PASS")=1),"PASS","FAIL"))</x:f>
        <x:v>OPEN</x:v>
      </x:c>
    </x:row>
    <x:row r="35">
      <x:c r="B35" s="28" t="str">
        <x:v>ROT-PEA-C-Y1-5</x:v>
      </x:c>
      <x:c r="C35" s="28" t="n">
        <x:v>5</x:v>
      </x:c>
      <x:c r="D35" s="28" t="str">
        <x:v>PEA-C-Y1</x:v>
      </x:c>
      <x:c r="E35" s="28" t="str">
        <x:v>BLD-C</x:v>
      </x:c>
      <x:c r="F35" s="28" t="str">
        <x:v>BL-Y</x:v>
      </x:c>
      <x:c r="G35" s="28" t="str">
        <x:v>RFP-C1</x:v>
      </x:c>
      <x:c r="H35" s="28" t="str">
        <x:v>PTC-C</x:v>
      </x:c>
      <x:c r="I35" s="28" t="n">
        <x:v>53</x:v>
      </x:c>
      <x:c r="J35" s="28" t="n">
        <x:v>0</x:v>
      </x:c>
      <x:c r="K35" s="28" t="str">
        <x:v>RFP-B2</x:v>
      </x:c>
      <x:c r="L35" s="31" t="str"/>
      <x:c r="M35" s="31" t="str"/>
      <x:c r="N35" s="31" t="str"/>
      <x:c r="O35" s="28" t="str">
        <x:f>IF(M35="","OPEN",IF(AND(L35&lt;&gt;"",N35&lt;&gt;"",COUNTIFS(Docking!B7:B42,B35,Docking!M7:M42,"PASS")=1),"PASS","FAIL"))</x:f>
        <x:v>OPEN</x:v>
      </x:c>
    </x:row>
    <x:row r="36">
      <x:c r="B36" s="28" t="str">
        <x:v>ROT-PEA-A-X1-5</x:v>
      </x:c>
      <x:c r="C36" s="28" t="n">
        <x:v>5</x:v>
      </x:c>
      <x:c r="D36" s="28" t="str">
        <x:v>PEA-A-X1</x:v>
      </x:c>
      <x:c r="E36" s="28" t="str">
        <x:v>BLD-A</x:v>
      </x:c>
      <x:c r="F36" s="28" t="str">
        <x:v>BL-X</x:v>
      </x:c>
      <x:c r="G36" s="28" t="str">
        <x:v>RFP-C2</x:v>
      </x:c>
      <x:c r="H36" s="28" t="str">
        <x:v>PTC-C</x:v>
      </x:c>
      <x:c r="I36" s="28" t="n">
        <x:v>53</x:v>
      </x:c>
      <x:c r="J36" s="28" t="n">
        <x:v>0</x:v>
      </x:c>
      <x:c r="K36" s="28" t="str">
        <x:v>RFP-C1</x:v>
      </x:c>
      <x:c r="L36" s="31" t="str"/>
      <x:c r="M36" s="31" t="str"/>
      <x:c r="N36" s="31" t="str"/>
      <x:c r="O36" s="28" t="str">
        <x:f>IF(M36="","OPEN",IF(AND(L36&lt;&gt;"",N36&lt;&gt;"",COUNTIFS(Docking!B7:B42,B36,Docking!M7:M42,"PASS")=1),"PASS","FAIL"))</x:f>
        <x:v>OPEN</x:v>
      </x:c>
    </x:row>
    <x:row r="37">
      <x:c r="B37" s="28" t="str">
        <x:v>ROT-PEA-A-X1-6</x:v>
      </x:c>
      <x:c r="C37" s="28" t="n">
        <x:v>6</x:v>
      </x:c>
      <x:c r="D37" s="28" t="str">
        <x:v>PEA-A-X1</x:v>
      </x:c>
      <x:c r="E37" s="28" t="str">
        <x:v>BLD-A</x:v>
      </x:c>
      <x:c r="F37" s="28" t="str">
        <x:v>BL-X</x:v>
      </x:c>
      <x:c r="G37" s="28" t="str">
        <x:v>RFP-A1</x:v>
      </x:c>
      <x:c r="H37" s="28" t="str">
        <x:v>PTC-A</x:v>
      </x:c>
      <x:c r="I37" s="28" t="n">
        <x:v>54</x:v>
      </x:c>
      <x:c r="J37" s="28" t="n">
        <x:v>1</x:v>
      </x:c>
      <x:c r="K37" s="28" t="str">
        <x:v>RFP-C2</x:v>
      </x:c>
      <x:c r="L37" s="31" t="str"/>
      <x:c r="M37" s="31" t="str"/>
      <x:c r="N37" s="31" t="str"/>
      <x:c r="O37" s="28" t="str">
        <x:f>IF(M37="","OPEN",IF(AND(L37&lt;&gt;"",N37&lt;&gt;"",COUNTIFS(Docking!B7:B42,B37,Docking!M7:M42,"PASS")=1),"PASS","FAIL"))</x:f>
        <x:v>OPEN</x:v>
      </x:c>
    </x:row>
    <x:row r="38">
      <x:c r="B38" s="28" t="str">
        <x:v>ROT-PEA-A-Y1-6</x:v>
      </x:c>
      <x:c r="C38" s="28" t="n">
        <x:v>6</x:v>
      </x:c>
      <x:c r="D38" s="28" t="str">
        <x:v>PEA-A-Y1</x:v>
      </x:c>
      <x:c r="E38" s="28" t="str">
        <x:v>BLD-A</x:v>
      </x:c>
      <x:c r="F38" s="28" t="str">
        <x:v>BL-Y</x:v>
      </x:c>
      <x:c r="G38" s="28" t="str">
        <x:v>RFP-A2</x:v>
      </x:c>
      <x:c r="H38" s="28" t="str">
        <x:v>PTC-A</x:v>
      </x:c>
      <x:c r="I38" s="28" t="n">
        <x:v>54</x:v>
      </x:c>
      <x:c r="J38" s="28" t="n">
        <x:v>1</x:v>
      </x:c>
      <x:c r="K38" s="28" t="str">
        <x:v>RFP-A1</x:v>
      </x:c>
      <x:c r="L38" s="31" t="str"/>
      <x:c r="M38" s="31" t="str"/>
      <x:c r="N38" s="31" t="str"/>
      <x:c r="O38" s="28" t="str">
        <x:f>IF(M38="","OPEN",IF(AND(L38&lt;&gt;"",N38&lt;&gt;"",COUNTIFS(Docking!B7:B42,B38,Docking!M7:M42,"PASS")=1),"PASS","FAIL"))</x:f>
        <x:v>OPEN</x:v>
      </x:c>
    </x:row>
    <x:row r="39">
      <x:c r="B39" s="28" t="str">
        <x:v>ROT-PEA-B-X1-6</x:v>
      </x:c>
      <x:c r="C39" s="28" t="n">
        <x:v>6</x:v>
      </x:c>
      <x:c r="D39" s="28" t="str">
        <x:v>PEA-B-X1</x:v>
      </x:c>
      <x:c r="E39" s="28" t="str">
        <x:v>BLD-B</x:v>
      </x:c>
      <x:c r="F39" s="28" t="str">
        <x:v>BL-X</x:v>
      </x:c>
      <x:c r="G39" s="28" t="str">
        <x:v>RFP-B1</x:v>
      </x:c>
      <x:c r="H39" s="28" t="str">
        <x:v>PTC-B</x:v>
      </x:c>
      <x:c r="I39" s="28" t="n">
        <x:v>54</x:v>
      </x:c>
      <x:c r="J39" s="28" t="n">
        <x:v>1</x:v>
      </x:c>
      <x:c r="K39" s="28" t="str">
        <x:v>RFP-A2</x:v>
      </x:c>
      <x:c r="L39" s="31" t="str"/>
      <x:c r="M39" s="31" t="str"/>
      <x:c r="N39" s="31" t="str"/>
      <x:c r="O39" s="28" t="str">
        <x:f>IF(M39="","OPEN",IF(AND(L39&lt;&gt;"",N39&lt;&gt;"",COUNTIFS(Docking!B7:B42,B39,Docking!M7:M42,"PASS")=1),"PASS","FAIL"))</x:f>
        <x:v>OPEN</x:v>
      </x:c>
    </x:row>
    <x:row r="40">
      <x:c r="B40" s="28" t="str">
        <x:v>ROT-PEA-B-Y1-6</x:v>
      </x:c>
      <x:c r="C40" s="28" t="n">
        <x:v>6</x:v>
      </x:c>
      <x:c r="D40" s="28" t="str">
        <x:v>PEA-B-Y1</x:v>
      </x:c>
      <x:c r="E40" s="28" t="str">
        <x:v>BLD-B</x:v>
      </x:c>
      <x:c r="F40" s="28" t="str">
        <x:v>BL-Y</x:v>
      </x:c>
      <x:c r="G40" s="28" t="str">
        <x:v>RFP-B2</x:v>
      </x:c>
      <x:c r="H40" s="28" t="str">
        <x:v>PTC-B</x:v>
      </x:c>
      <x:c r="I40" s="28" t="n">
        <x:v>54</x:v>
      </x:c>
      <x:c r="J40" s="28" t="n">
        <x:v>1</x:v>
      </x:c>
      <x:c r="K40" s="28" t="str">
        <x:v>RFP-B1</x:v>
      </x:c>
      <x:c r="L40" s="31" t="str"/>
      <x:c r="M40" s="31" t="str"/>
      <x:c r="N40" s="31" t="str"/>
      <x:c r="O40" s="28" t="str">
        <x:f>IF(M40="","OPEN",IF(AND(L40&lt;&gt;"",N40&lt;&gt;"",COUNTIFS(Docking!B7:B42,B40,Docking!M7:M42,"PASS")=1),"PASS","FAIL"))</x:f>
        <x:v>OPEN</x:v>
      </x:c>
    </x:row>
    <x:row r="41">
      <x:c r="B41" s="28" t="str">
        <x:v>ROT-PEA-C-X1-6</x:v>
      </x:c>
      <x:c r="C41" s="28" t="n">
        <x:v>6</x:v>
      </x:c>
      <x:c r="D41" s="28" t="str">
        <x:v>PEA-C-X1</x:v>
      </x:c>
      <x:c r="E41" s="28" t="str">
        <x:v>BLD-C</x:v>
      </x:c>
      <x:c r="F41" s="28" t="str">
        <x:v>BL-X</x:v>
      </x:c>
      <x:c r="G41" s="28" t="str">
        <x:v>RFP-C1</x:v>
      </x:c>
      <x:c r="H41" s="28" t="str">
        <x:v>PTC-C</x:v>
      </x:c>
      <x:c r="I41" s="28" t="n">
        <x:v>54</x:v>
      </x:c>
      <x:c r="J41" s="28" t="n">
        <x:v>1</x:v>
      </x:c>
      <x:c r="K41" s="28" t="str">
        <x:v>RFP-B2</x:v>
      </x:c>
      <x:c r="L41" s="31" t="str"/>
      <x:c r="M41" s="31" t="str"/>
      <x:c r="N41" s="31" t="str"/>
      <x:c r="O41" s="28" t="str">
        <x:f>IF(M41="","OPEN",IF(AND(L41&lt;&gt;"",N41&lt;&gt;"",COUNTIFS(Docking!B7:B42,B41,Docking!M7:M42,"PASS")=1),"PASS","FAIL"))</x:f>
        <x:v>OPEN</x:v>
      </x:c>
    </x:row>
    <x:row r="42">
      <x:c r="B42" s="28" t="str">
        <x:v>ROT-PEA-C-Y1-6</x:v>
      </x:c>
      <x:c r="C42" s="28" t="n">
        <x:v>6</x:v>
      </x:c>
      <x:c r="D42" s="28" t="str">
        <x:v>PEA-C-Y1</x:v>
      </x:c>
      <x:c r="E42" s="28" t="str">
        <x:v>BLD-C</x:v>
      </x:c>
      <x:c r="F42" s="28" t="str">
        <x:v>BL-Y</x:v>
      </x:c>
      <x:c r="G42" s="28" t="str">
        <x:v>RFP-C2</x:v>
      </x:c>
      <x:c r="H42" s="28" t="str">
        <x:v>PTC-C</x:v>
      </x:c>
      <x:c r="I42" s="28" t="n">
        <x:v>54</x:v>
      </x:c>
      <x:c r="J42" s="28" t="n">
        <x:v>1</x:v>
      </x:c>
      <x:c r="K42" s="28" t="str">
        <x:v>RFP-C1</x:v>
      </x:c>
      <x:c r="L42" s="31" t="str"/>
      <x:c r="M42" s="31" t="str"/>
      <x:c r="N42" s="31" t="str"/>
      <x:c r="O42" s="28" t="str">
        <x:f>IF(M42="","OPEN",IF(AND(L42&lt;&gt;"",N42&lt;&gt;"",COUNTIFS(Docking!B7:B42,B42,Docking!M7:M42,"PASS")=1),"PASS","FAIL"))</x:f>
        <x:v>OPEN</x:v>
      </x:c>
    </x:row>
  </x:sheetData>
  <x:conditionalFormatting sqref="O7:O42">
    <x:cfRule type="containsText" dxfId="24" priority="1" operator="containsText" text="FAIL"/>
    <x:cfRule type="containsText" dxfId="25" priority="2" operator="containsText" text="BLOCKED"/>
    <x:cfRule type="containsText" dxfId="26" priority="3" operator="containsText" text="EXPIRED"/>
    <x:cfRule type="containsText" dxfId="27" priority="4" operator="containsText" text="OPEN"/>
    <x:cfRule type="containsText" dxfId="28" priority="5" operator="containsText" text="DORMANT"/>
    <x:cfRule type="containsText" dxfId="29" priority="6" operator="containsText" text="PASS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5" hidden="0" customWidth="1"/>
    <x:col min="3" max="3" width="12" hidden="0" customWidth="1"/>
    <x:col min="4" max="4" width="17" hidden="0" customWidth="1"/>
    <x:col min="5" max="5" width="14" hidden="0" customWidth="1"/>
    <x:col min="6" max="6" width="14" hidden="0" customWidth="1"/>
    <x:col min="7" max="7" width="22" hidden="0" customWidth="1"/>
    <x:col min="8" max="8" width="20" hidden="0" customWidth="1"/>
    <x:col min="9" max="9" width="21" hidden="0" customWidth="1"/>
    <x:col min="10" max="10" width="21" hidden="0" customWidth="1"/>
    <x:col min="11" max="11" width="31" hidden="0" customWidth="1"/>
    <x:col min="12" max="12" width="31" hidden="0" customWidth="1"/>
    <x:col min="13" max="13" width="14" hidden="0" customWidth="1"/>
  </x:cols>
  <x:sheetData>
    <x:row r="2">
      <x:c r="B2" s="25" t="str">
        <x:v>Thirty-six physical docking decisions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</x:row>
    <x:row r="3">
      <x:c r="B3" s="27" t="str">
        <x:v>Each docking releases only after all twelve interface demonstrations and native mount, removal, article, rig and evidence roots close.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</x:row>
    <x:row r="6" ht="24" customHeight="1">
      <x:c r="B6" s="6" t="str">
        <x:v>Rotation</x:v>
      </x:c>
      <x:c r="C6" s="6" t="str">
        <x:v>Round</x:v>
      </x:c>
      <x:c r="D6" s="6" t="str">
        <x:v>Article</x:v>
      </x:c>
      <x:c r="E6" s="6" t="str">
        <x:v>Rig</x:v>
      </x:c>
      <x:c r="F6" s="6" t="str">
        <x:v>Campus</x:v>
      </x:c>
      <x:c r="G6" s="6" t="str">
        <x:v>Required interfaces</x:v>
      </x:c>
      <x:c r="H6" s="6" t="str">
        <x:v>Passing interfaces</x:v>
      </x:c>
      <x:c r="I6" s="6" t="str">
        <x:v>Mounted UTC</x:v>
      </x:c>
      <x:c r="J6" s="6" t="str">
        <x:v>Removed UTC</x:v>
      </x:c>
      <x:c r="K6" s="6" t="str">
        <x:v>Article root</x:v>
      </x:c>
      <x:c r="L6" s="6" t="str">
        <x:v>Rig root</x:v>
      </x:c>
      <x:c r="M6" s="6" t="str">
        <x:v>State</x:v>
      </x:c>
    </x:row>
    <x:row r="7">
      <x:c r="B7" s="28" t="str">
        <x:v>ROT-PEA-C-Y1-1</x:v>
      </x:c>
      <x:c r="C7" s="28" t="n">
        <x:v>1</x:v>
      </x:c>
      <x:c r="D7" s="28" t="str">
        <x:v>PEA-C-Y1</x:v>
      </x:c>
      <x:c r="E7" s="28" t="str">
        <x:v>RFP-A1</x:v>
      </x:c>
      <x:c r="F7" s="28" t="str">
        <x:v>PTC-A</x:v>
      </x:c>
      <x:c r="G7" s="28" t="n">
        <x:v>12</x:v>
      </x:c>
      <x:c r="H7" s="28" t="n">
        <x:f>COUNTIFS('Interface Tests'!C7:C438,B7,'Interface Tests'!L7:L438,"PASS")</x:f>
        <x:v>0</x:v>
      </x:c>
      <x:c r="I7" s="31" t="str"/>
      <x:c r="J7" s="31" t="str"/>
      <x:c r="K7" s="31" t="str"/>
      <x:c r="L7" s="31" t="str"/>
      <x:c r="M7" s="28" t="str">
        <x:f>IF(I7="","OPEN",IF(AND(H7=G7,J7&lt;&gt;"",K7&lt;&gt;"",L7&lt;&gt;""),"PASS","FAIL"))</x:f>
        <x:v>OPEN</x:v>
      </x:c>
    </x:row>
    <x:row r="8">
      <x:c r="B8" s="28" t="str">
        <x:v>ROT-PEA-A-X1-1</x:v>
      </x:c>
      <x:c r="C8" s="28" t="n">
        <x:v>1</x:v>
      </x:c>
      <x:c r="D8" s="28" t="str">
        <x:v>PEA-A-X1</x:v>
      </x:c>
      <x:c r="E8" s="28" t="str">
        <x:v>RFP-A2</x:v>
      </x:c>
      <x:c r="F8" s="28" t="str">
        <x:v>PTC-A</x:v>
      </x:c>
      <x:c r="G8" s="28" t="n">
        <x:v>12</x:v>
      </x:c>
      <x:c r="H8" s="28" t="n">
        <x:f>COUNTIFS('Interface Tests'!C7:C438,B8,'Interface Tests'!L7:L438,"PASS")</x:f>
        <x:v>0</x:v>
      </x:c>
      <x:c r="I8" s="31" t="str"/>
      <x:c r="J8" s="31" t="str"/>
      <x:c r="K8" s="31" t="str"/>
      <x:c r="L8" s="31" t="str"/>
      <x:c r="M8" s="28" t="str">
        <x:f>IF(I8="","OPEN",IF(AND(H8=G8,J8&lt;&gt;"",K8&lt;&gt;"",L8&lt;&gt;""),"PASS","FAIL"))</x:f>
        <x:v>OPEN</x:v>
      </x:c>
    </x:row>
    <x:row r="9">
      <x:c r="B9" s="28" t="str">
        <x:v>ROT-PEA-A-Y1-1</x:v>
      </x:c>
      <x:c r="C9" s="28" t="n">
        <x:v>1</x:v>
      </x:c>
      <x:c r="D9" s="28" t="str">
        <x:v>PEA-A-Y1</x:v>
      </x:c>
      <x:c r="E9" s="28" t="str">
        <x:v>RFP-B1</x:v>
      </x:c>
      <x:c r="F9" s="28" t="str">
        <x:v>PTC-B</x:v>
      </x:c>
      <x:c r="G9" s="28" t="n">
        <x:v>12</x:v>
      </x:c>
      <x:c r="H9" s="28" t="n">
        <x:f>COUNTIFS('Interface Tests'!C7:C438,B9,'Interface Tests'!L7:L438,"PASS")</x:f>
        <x:v>0</x:v>
      </x:c>
      <x:c r="I9" s="31" t="str"/>
      <x:c r="J9" s="31" t="str"/>
      <x:c r="K9" s="31" t="str"/>
      <x:c r="L9" s="31" t="str"/>
      <x:c r="M9" s="28" t="str">
        <x:f>IF(I9="","OPEN",IF(AND(H9=G9,J9&lt;&gt;"",K9&lt;&gt;"",L9&lt;&gt;""),"PASS","FAIL"))</x:f>
        <x:v>OPEN</x:v>
      </x:c>
    </x:row>
    <x:row r="10">
      <x:c r="B10" s="28" t="str">
        <x:v>ROT-PEA-B-X1-1</x:v>
      </x:c>
      <x:c r="C10" s="28" t="n">
        <x:v>1</x:v>
      </x:c>
      <x:c r="D10" s="28" t="str">
        <x:v>PEA-B-X1</x:v>
      </x:c>
      <x:c r="E10" s="28" t="str">
        <x:v>RFP-B2</x:v>
      </x:c>
      <x:c r="F10" s="28" t="str">
        <x:v>PTC-B</x:v>
      </x:c>
      <x:c r="G10" s="28" t="n">
        <x:v>12</x:v>
      </x:c>
      <x:c r="H10" s="28" t="n">
        <x:f>COUNTIFS('Interface Tests'!C7:C438,B10,'Interface Tests'!L7:L438,"PASS")</x:f>
        <x:v>0</x:v>
      </x:c>
      <x:c r="I10" s="31" t="str"/>
      <x:c r="J10" s="31" t="str"/>
      <x:c r="K10" s="31" t="str"/>
      <x:c r="L10" s="31" t="str"/>
      <x:c r="M10" s="28" t="str">
        <x:f>IF(I10="","OPEN",IF(AND(H10=G10,J10&lt;&gt;"",K10&lt;&gt;"",L10&lt;&gt;""),"PASS","FAIL"))</x:f>
        <x:v>OPEN</x:v>
      </x:c>
    </x:row>
    <x:row r="11">
      <x:c r="B11" s="28" t="str">
        <x:v>ROT-PEA-B-Y1-1</x:v>
      </x:c>
      <x:c r="C11" s="28" t="n">
        <x:v>1</x:v>
      </x:c>
      <x:c r="D11" s="28" t="str">
        <x:v>PEA-B-Y1</x:v>
      </x:c>
      <x:c r="E11" s="28" t="str">
        <x:v>RFP-C1</x:v>
      </x:c>
      <x:c r="F11" s="28" t="str">
        <x:v>PTC-C</x:v>
      </x:c>
      <x:c r="G11" s="28" t="n">
        <x:v>12</x:v>
      </x:c>
      <x:c r="H11" s="28" t="n">
        <x:f>COUNTIFS('Interface Tests'!C7:C438,B11,'Interface Tests'!L7:L438,"PASS")</x:f>
        <x:v>0</x:v>
      </x:c>
      <x:c r="I11" s="31" t="str"/>
      <x:c r="J11" s="31" t="str"/>
      <x:c r="K11" s="31" t="str"/>
      <x:c r="L11" s="31" t="str"/>
      <x:c r="M11" s="28" t="str">
        <x:f>IF(I11="","OPEN",IF(AND(H11=G11,J11&lt;&gt;"",K11&lt;&gt;"",L11&lt;&gt;""),"PASS","FAIL"))</x:f>
        <x:v>OPEN</x:v>
      </x:c>
    </x:row>
    <x:row r="12">
      <x:c r="B12" s="28" t="str">
        <x:v>ROT-PEA-C-X1-1</x:v>
      </x:c>
      <x:c r="C12" s="28" t="n">
        <x:v>1</x:v>
      </x:c>
      <x:c r="D12" s="28" t="str">
        <x:v>PEA-C-X1</x:v>
      </x:c>
      <x:c r="E12" s="28" t="str">
        <x:v>RFP-C2</x:v>
      </x:c>
      <x:c r="F12" s="28" t="str">
        <x:v>PTC-C</x:v>
      </x:c>
      <x:c r="G12" s="28" t="n">
        <x:v>12</x:v>
      </x:c>
      <x:c r="H12" s="28" t="n">
        <x:f>COUNTIFS('Interface Tests'!C7:C438,B12,'Interface Tests'!L7:L438,"PASS")</x:f>
        <x:v>0</x:v>
      </x:c>
      <x:c r="I12" s="31" t="str"/>
      <x:c r="J12" s="31" t="str"/>
      <x:c r="K12" s="31" t="str"/>
      <x:c r="L12" s="31" t="str"/>
      <x:c r="M12" s="28" t="str">
        <x:f>IF(I12="","OPEN",IF(AND(H12=G12,J12&lt;&gt;"",K12&lt;&gt;"",L12&lt;&gt;""),"PASS","FAIL"))</x:f>
        <x:v>OPEN</x:v>
      </x:c>
    </x:row>
    <x:row r="13">
      <x:c r="B13" s="28" t="str">
        <x:v>ROT-PEA-C-X1-2</x:v>
      </x:c>
      <x:c r="C13" s="28" t="n">
        <x:v>2</x:v>
      </x:c>
      <x:c r="D13" s="28" t="str">
        <x:v>PEA-C-X1</x:v>
      </x:c>
      <x:c r="E13" s="28" t="str">
        <x:v>RFP-A1</x:v>
      </x:c>
      <x:c r="F13" s="28" t="str">
        <x:v>PTC-A</x:v>
      </x:c>
      <x:c r="G13" s="28" t="n">
        <x:v>12</x:v>
      </x:c>
      <x:c r="H13" s="28" t="n">
        <x:f>COUNTIFS('Interface Tests'!C7:C438,B13,'Interface Tests'!L7:L438,"PASS")</x:f>
        <x:v>0</x:v>
      </x:c>
      <x:c r="I13" s="31" t="str"/>
      <x:c r="J13" s="31" t="str"/>
      <x:c r="K13" s="31" t="str"/>
      <x:c r="L13" s="31" t="str"/>
      <x:c r="M13" s="28" t="str">
        <x:f>IF(I13="","OPEN",IF(AND(H13=G13,J13&lt;&gt;"",K13&lt;&gt;"",L13&lt;&gt;""),"PASS","FAIL"))</x:f>
        <x:v>OPEN</x:v>
      </x:c>
    </x:row>
    <x:row r="14">
      <x:c r="B14" s="28" t="str">
        <x:v>ROT-PEA-C-Y1-2</x:v>
      </x:c>
      <x:c r="C14" s="28" t="n">
        <x:v>2</x:v>
      </x:c>
      <x:c r="D14" s="28" t="str">
        <x:v>PEA-C-Y1</x:v>
      </x:c>
      <x:c r="E14" s="28" t="str">
        <x:v>RFP-A2</x:v>
      </x:c>
      <x:c r="F14" s="28" t="str">
        <x:v>PTC-A</x:v>
      </x:c>
      <x:c r="G14" s="28" t="n">
        <x:v>12</x:v>
      </x:c>
      <x:c r="H14" s="28" t="n">
        <x:f>COUNTIFS('Interface Tests'!C7:C438,B14,'Interface Tests'!L7:L438,"PASS")</x:f>
        <x:v>0</x:v>
      </x:c>
      <x:c r="I14" s="31" t="str"/>
      <x:c r="J14" s="31" t="str"/>
      <x:c r="K14" s="31" t="str"/>
      <x:c r="L14" s="31" t="str"/>
      <x:c r="M14" s="28" t="str">
        <x:f>IF(I14="","OPEN",IF(AND(H14=G14,J14&lt;&gt;"",K14&lt;&gt;"",L14&lt;&gt;""),"PASS","FAIL"))</x:f>
        <x:v>OPEN</x:v>
      </x:c>
    </x:row>
    <x:row r="15">
      <x:c r="B15" s="28" t="str">
        <x:v>ROT-PEA-A-X1-2</x:v>
      </x:c>
      <x:c r="C15" s="28" t="n">
        <x:v>2</x:v>
      </x:c>
      <x:c r="D15" s="28" t="str">
        <x:v>PEA-A-X1</x:v>
      </x:c>
      <x:c r="E15" s="28" t="str">
        <x:v>RFP-B1</x:v>
      </x:c>
      <x:c r="F15" s="28" t="str">
        <x:v>PTC-B</x:v>
      </x:c>
      <x:c r="G15" s="28" t="n">
        <x:v>12</x:v>
      </x:c>
      <x:c r="H15" s="28" t="n">
        <x:f>COUNTIFS('Interface Tests'!C7:C438,B15,'Interface Tests'!L7:L438,"PASS")</x:f>
        <x:v>0</x:v>
      </x:c>
      <x:c r="I15" s="31" t="str"/>
      <x:c r="J15" s="31" t="str"/>
      <x:c r="K15" s="31" t="str"/>
      <x:c r="L15" s="31" t="str"/>
      <x:c r="M15" s="28" t="str">
        <x:f>IF(I15="","OPEN",IF(AND(H15=G15,J15&lt;&gt;"",K15&lt;&gt;"",L15&lt;&gt;""),"PASS","FAIL"))</x:f>
        <x:v>OPEN</x:v>
      </x:c>
    </x:row>
    <x:row r="16">
      <x:c r="B16" s="28" t="str">
        <x:v>ROT-PEA-A-Y1-2</x:v>
      </x:c>
      <x:c r="C16" s="28" t="n">
        <x:v>2</x:v>
      </x:c>
      <x:c r="D16" s="28" t="str">
        <x:v>PEA-A-Y1</x:v>
      </x:c>
      <x:c r="E16" s="28" t="str">
        <x:v>RFP-B2</x:v>
      </x:c>
      <x:c r="F16" s="28" t="str">
        <x:v>PTC-B</x:v>
      </x:c>
      <x:c r="G16" s="28" t="n">
        <x:v>12</x:v>
      </x:c>
      <x:c r="H16" s="28" t="n">
        <x:f>COUNTIFS('Interface Tests'!C7:C438,B16,'Interface Tests'!L7:L438,"PASS")</x:f>
        <x:v>0</x:v>
      </x:c>
      <x:c r="I16" s="31" t="str"/>
      <x:c r="J16" s="31" t="str"/>
      <x:c r="K16" s="31" t="str"/>
      <x:c r="L16" s="31" t="str"/>
      <x:c r="M16" s="28" t="str">
        <x:f>IF(I16="","OPEN",IF(AND(H16=G16,J16&lt;&gt;"",K16&lt;&gt;"",L16&lt;&gt;""),"PASS","FAIL"))</x:f>
        <x:v>OPEN</x:v>
      </x:c>
    </x:row>
    <x:row r="17">
      <x:c r="B17" s="28" t="str">
        <x:v>ROT-PEA-B-X1-2</x:v>
      </x:c>
      <x:c r="C17" s="28" t="n">
        <x:v>2</x:v>
      </x:c>
      <x:c r="D17" s="28" t="str">
        <x:v>PEA-B-X1</x:v>
      </x:c>
      <x:c r="E17" s="28" t="str">
        <x:v>RFP-C1</x:v>
      </x:c>
      <x:c r="F17" s="28" t="str">
        <x:v>PTC-C</x:v>
      </x:c>
      <x:c r="G17" s="28" t="n">
        <x:v>12</x:v>
      </x:c>
      <x:c r="H17" s="28" t="n">
        <x:f>COUNTIFS('Interface Tests'!C7:C438,B17,'Interface Tests'!L7:L438,"PASS")</x:f>
        <x:v>0</x:v>
      </x:c>
      <x:c r="I17" s="31" t="str"/>
      <x:c r="J17" s="31" t="str"/>
      <x:c r="K17" s="31" t="str"/>
      <x:c r="L17" s="31" t="str"/>
      <x:c r="M17" s="28" t="str">
        <x:f>IF(I17="","OPEN",IF(AND(H17=G17,J17&lt;&gt;"",K17&lt;&gt;"",L17&lt;&gt;""),"PASS","FAIL"))</x:f>
        <x:v>OPEN</x:v>
      </x:c>
    </x:row>
    <x:row r="18">
      <x:c r="B18" s="28" t="str">
        <x:v>ROT-PEA-B-Y1-2</x:v>
      </x:c>
      <x:c r="C18" s="28" t="n">
        <x:v>2</x:v>
      </x:c>
      <x:c r="D18" s="28" t="str">
        <x:v>PEA-B-Y1</x:v>
      </x:c>
      <x:c r="E18" s="28" t="str">
        <x:v>RFP-C2</x:v>
      </x:c>
      <x:c r="F18" s="28" t="str">
        <x:v>PTC-C</x:v>
      </x:c>
      <x:c r="G18" s="28" t="n">
        <x:v>12</x:v>
      </x:c>
      <x:c r="H18" s="28" t="n">
        <x:f>COUNTIFS('Interface Tests'!C7:C438,B18,'Interface Tests'!L7:L438,"PASS")</x:f>
        <x:v>0</x:v>
      </x:c>
      <x:c r="I18" s="31" t="str"/>
      <x:c r="J18" s="31" t="str"/>
      <x:c r="K18" s="31" t="str"/>
      <x:c r="L18" s="31" t="str"/>
      <x:c r="M18" s="28" t="str">
        <x:f>IF(I18="","OPEN",IF(AND(H18=G18,J18&lt;&gt;"",K18&lt;&gt;"",L18&lt;&gt;""),"PASS","FAIL"))</x:f>
        <x:v>OPEN</x:v>
      </x:c>
    </x:row>
    <x:row r="19">
      <x:c r="B19" s="28" t="str">
        <x:v>ROT-PEA-B-Y1-3</x:v>
      </x:c>
      <x:c r="C19" s="28" t="n">
        <x:v>3</x:v>
      </x:c>
      <x:c r="D19" s="28" t="str">
        <x:v>PEA-B-Y1</x:v>
      </x:c>
      <x:c r="E19" s="28" t="str">
        <x:v>RFP-A1</x:v>
      </x:c>
      <x:c r="F19" s="28" t="str">
        <x:v>PTC-A</x:v>
      </x:c>
      <x:c r="G19" s="28" t="n">
        <x:v>12</x:v>
      </x:c>
      <x:c r="H19" s="28" t="n">
        <x:f>COUNTIFS('Interface Tests'!C7:C438,B19,'Interface Tests'!L7:L438,"PASS")</x:f>
        <x:v>0</x:v>
      </x:c>
      <x:c r="I19" s="31" t="str"/>
      <x:c r="J19" s="31" t="str"/>
      <x:c r="K19" s="31" t="str"/>
      <x:c r="L19" s="31" t="str"/>
      <x:c r="M19" s="28" t="str">
        <x:f>IF(I19="","OPEN",IF(AND(H19=G19,J19&lt;&gt;"",K19&lt;&gt;"",L19&lt;&gt;""),"PASS","FAIL"))</x:f>
        <x:v>OPEN</x:v>
      </x:c>
    </x:row>
    <x:row r="20">
      <x:c r="B20" s="28" t="str">
        <x:v>ROT-PEA-C-X1-3</x:v>
      </x:c>
      <x:c r="C20" s="28" t="n">
        <x:v>3</x:v>
      </x:c>
      <x:c r="D20" s="28" t="str">
        <x:v>PEA-C-X1</x:v>
      </x:c>
      <x:c r="E20" s="28" t="str">
        <x:v>RFP-A2</x:v>
      </x:c>
      <x:c r="F20" s="28" t="str">
        <x:v>PTC-A</x:v>
      </x:c>
      <x:c r="G20" s="28" t="n">
        <x:v>12</x:v>
      </x:c>
      <x:c r="H20" s="28" t="n">
        <x:f>COUNTIFS('Interface Tests'!C7:C438,B20,'Interface Tests'!L7:L438,"PASS")</x:f>
        <x:v>0</x:v>
      </x:c>
      <x:c r="I20" s="31" t="str"/>
      <x:c r="J20" s="31" t="str"/>
      <x:c r="K20" s="31" t="str"/>
      <x:c r="L20" s="31" t="str"/>
      <x:c r="M20" s="28" t="str">
        <x:f>IF(I20="","OPEN",IF(AND(H20=G20,J20&lt;&gt;"",K20&lt;&gt;"",L20&lt;&gt;""),"PASS","FAIL"))</x:f>
        <x:v>OPEN</x:v>
      </x:c>
    </x:row>
    <x:row r="21">
      <x:c r="B21" s="28" t="str">
        <x:v>ROT-PEA-C-Y1-3</x:v>
      </x:c>
      <x:c r="C21" s="28" t="n">
        <x:v>3</x:v>
      </x:c>
      <x:c r="D21" s="28" t="str">
        <x:v>PEA-C-Y1</x:v>
      </x:c>
      <x:c r="E21" s="28" t="str">
        <x:v>RFP-B1</x:v>
      </x:c>
      <x:c r="F21" s="28" t="str">
        <x:v>PTC-B</x:v>
      </x:c>
      <x:c r="G21" s="28" t="n">
        <x:v>12</x:v>
      </x:c>
      <x:c r="H21" s="28" t="n">
        <x:f>COUNTIFS('Interface Tests'!C7:C438,B21,'Interface Tests'!L7:L438,"PASS")</x:f>
        <x:v>0</x:v>
      </x:c>
      <x:c r="I21" s="31" t="str"/>
      <x:c r="J21" s="31" t="str"/>
      <x:c r="K21" s="31" t="str"/>
      <x:c r="L21" s="31" t="str"/>
      <x:c r="M21" s="28" t="str">
        <x:f>IF(I21="","OPEN",IF(AND(H21=G21,J21&lt;&gt;"",K21&lt;&gt;"",L21&lt;&gt;""),"PASS","FAIL"))</x:f>
        <x:v>OPEN</x:v>
      </x:c>
    </x:row>
    <x:row r="22">
      <x:c r="B22" s="28" t="str">
        <x:v>ROT-PEA-A-X1-3</x:v>
      </x:c>
      <x:c r="C22" s="28" t="n">
        <x:v>3</x:v>
      </x:c>
      <x:c r="D22" s="28" t="str">
        <x:v>PEA-A-X1</x:v>
      </x:c>
      <x:c r="E22" s="28" t="str">
        <x:v>RFP-B2</x:v>
      </x:c>
      <x:c r="F22" s="28" t="str">
        <x:v>PTC-B</x:v>
      </x:c>
      <x:c r="G22" s="28" t="n">
        <x:v>12</x:v>
      </x:c>
      <x:c r="H22" s="28" t="n">
        <x:f>COUNTIFS('Interface Tests'!C7:C438,B22,'Interface Tests'!L7:L438,"PASS")</x:f>
        <x:v>0</x:v>
      </x:c>
      <x:c r="I22" s="31" t="str"/>
      <x:c r="J22" s="31" t="str"/>
      <x:c r="K22" s="31" t="str"/>
      <x:c r="L22" s="31" t="str"/>
      <x:c r="M22" s="28" t="str">
        <x:f>IF(I22="","OPEN",IF(AND(H22=G22,J22&lt;&gt;"",K22&lt;&gt;"",L22&lt;&gt;""),"PASS","FAIL"))</x:f>
        <x:v>OPEN</x:v>
      </x:c>
    </x:row>
    <x:row r="23">
      <x:c r="B23" s="28" t="str">
        <x:v>ROT-PEA-A-Y1-3</x:v>
      </x:c>
      <x:c r="C23" s="28" t="n">
        <x:v>3</x:v>
      </x:c>
      <x:c r="D23" s="28" t="str">
        <x:v>PEA-A-Y1</x:v>
      </x:c>
      <x:c r="E23" s="28" t="str">
        <x:v>RFP-C1</x:v>
      </x:c>
      <x:c r="F23" s="28" t="str">
        <x:v>PTC-C</x:v>
      </x:c>
      <x:c r="G23" s="28" t="n">
        <x:v>12</x:v>
      </x:c>
      <x:c r="H23" s="28" t="n">
        <x:f>COUNTIFS('Interface Tests'!C7:C438,B23,'Interface Tests'!L7:L438,"PASS")</x:f>
        <x:v>0</x:v>
      </x:c>
      <x:c r="I23" s="31" t="str"/>
      <x:c r="J23" s="31" t="str"/>
      <x:c r="K23" s="31" t="str"/>
      <x:c r="L23" s="31" t="str"/>
      <x:c r="M23" s="28" t="str">
        <x:f>IF(I23="","OPEN",IF(AND(H23=G23,J23&lt;&gt;"",K23&lt;&gt;"",L23&lt;&gt;""),"PASS","FAIL"))</x:f>
        <x:v>OPEN</x:v>
      </x:c>
    </x:row>
    <x:row r="24">
      <x:c r="B24" s="28" t="str">
        <x:v>ROT-PEA-B-X1-3</x:v>
      </x:c>
      <x:c r="C24" s="28" t="n">
        <x:v>3</x:v>
      </x:c>
      <x:c r="D24" s="28" t="str">
        <x:v>PEA-B-X1</x:v>
      </x:c>
      <x:c r="E24" s="28" t="str">
        <x:v>RFP-C2</x:v>
      </x:c>
      <x:c r="F24" s="28" t="str">
        <x:v>PTC-C</x:v>
      </x:c>
      <x:c r="G24" s="28" t="n">
        <x:v>12</x:v>
      </x:c>
      <x:c r="H24" s="28" t="n">
        <x:f>COUNTIFS('Interface Tests'!C7:C438,B24,'Interface Tests'!L7:L438,"PASS")</x:f>
        <x:v>0</x:v>
      </x:c>
      <x:c r="I24" s="31" t="str"/>
      <x:c r="J24" s="31" t="str"/>
      <x:c r="K24" s="31" t="str"/>
      <x:c r="L24" s="31" t="str"/>
      <x:c r="M24" s="28" t="str">
        <x:f>IF(I24="","OPEN",IF(AND(H24=G24,J24&lt;&gt;"",K24&lt;&gt;"",L24&lt;&gt;""),"PASS","FAIL"))</x:f>
        <x:v>OPEN</x:v>
      </x:c>
    </x:row>
    <x:row r="25">
      <x:c r="B25" s="28" t="str">
        <x:v>ROT-PEA-B-X1-4</x:v>
      </x:c>
      <x:c r="C25" s="28" t="n">
        <x:v>4</x:v>
      </x:c>
      <x:c r="D25" s="28" t="str">
        <x:v>PEA-B-X1</x:v>
      </x:c>
      <x:c r="E25" s="28" t="str">
        <x:v>RFP-A1</x:v>
      </x:c>
      <x:c r="F25" s="28" t="str">
        <x:v>PTC-A</x:v>
      </x:c>
      <x:c r="G25" s="28" t="n">
        <x:v>12</x:v>
      </x:c>
      <x:c r="H25" s="28" t="n">
        <x:f>COUNTIFS('Interface Tests'!C7:C438,B25,'Interface Tests'!L7:L438,"PASS")</x:f>
        <x:v>0</x:v>
      </x:c>
      <x:c r="I25" s="31" t="str"/>
      <x:c r="J25" s="31" t="str"/>
      <x:c r="K25" s="31" t="str"/>
      <x:c r="L25" s="31" t="str"/>
      <x:c r="M25" s="28" t="str">
        <x:f>IF(I25="","OPEN",IF(AND(H25=G25,J25&lt;&gt;"",K25&lt;&gt;"",L25&lt;&gt;""),"PASS","FAIL"))</x:f>
        <x:v>OPEN</x:v>
      </x:c>
    </x:row>
    <x:row r="26">
      <x:c r="B26" s="28" t="str">
        <x:v>ROT-PEA-B-Y1-4</x:v>
      </x:c>
      <x:c r="C26" s="28" t="n">
        <x:v>4</x:v>
      </x:c>
      <x:c r="D26" s="28" t="str">
        <x:v>PEA-B-Y1</x:v>
      </x:c>
      <x:c r="E26" s="28" t="str">
        <x:v>RFP-A2</x:v>
      </x:c>
      <x:c r="F26" s="28" t="str">
        <x:v>PTC-A</x:v>
      </x:c>
      <x:c r="G26" s="28" t="n">
        <x:v>12</x:v>
      </x:c>
      <x:c r="H26" s="28" t="n">
        <x:f>COUNTIFS('Interface Tests'!C7:C438,B26,'Interface Tests'!L7:L438,"PASS")</x:f>
        <x:v>0</x:v>
      </x:c>
      <x:c r="I26" s="31" t="str"/>
      <x:c r="J26" s="31" t="str"/>
      <x:c r="K26" s="31" t="str"/>
      <x:c r="L26" s="31" t="str"/>
      <x:c r="M26" s="28" t="str">
        <x:f>IF(I26="","OPEN",IF(AND(H26=G26,J26&lt;&gt;"",K26&lt;&gt;"",L26&lt;&gt;""),"PASS","FAIL"))</x:f>
        <x:v>OPEN</x:v>
      </x:c>
    </x:row>
    <x:row r="27">
      <x:c r="B27" s="28" t="str">
        <x:v>ROT-PEA-C-X1-4</x:v>
      </x:c>
      <x:c r="C27" s="28" t="n">
        <x:v>4</x:v>
      </x:c>
      <x:c r="D27" s="28" t="str">
        <x:v>PEA-C-X1</x:v>
      </x:c>
      <x:c r="E27" s="28" t="str">
        <x:v>RFP-B1</x:v>
      </x:c>
      <x:c r="F27" s="28" t="str">
        <x:v>PTC-B</x:v>
      </x:c>
      <x:c r="G27" s="28" t="n">
        <x:v>12</x:v>
      </x:c>
      <x:c r="H27" s="28" t="n">
        <x:f>COUNTIFS('Interface Tests'!C7:C438,B27,'Interface Tests'!L7:L438,"PASS")</x:f>
        <x:v>0</x:v>
      </x:c>
      <x:c r="I27" s="31" t="str"/>
      <x:c r="J27" s="31" t="str"/>
      <x:c r="K27" s="31" t="str"/>
      <x:c r="L27" s="31" t="str"/>
      <x:c r="M27" s="28" t="str">
        <x:f>IF(I27="","OPEN",IF(AND(H27=G27,J27&lt;&gt;"",K27&lt;&gt;"",L27&lt;&gt;""),"PASS","FAIL"))</x:f>
        <x:v>OPEN</x:v>
      </x:c>
    </x:row>
    <x:row r="28">
      <x:c r="B28" s="28" t="str">
        <x:v>ROT-PEA-C-Y1-4</x:v>
      </x:c>
      <x:c r="C28" s="28" t="n">
        <x:v>4</x:v>
      </x:c>
      <x:c r="D28" s="28" t="str">
        <x:v>PEA-C-Y1</x:v>
      </x:c>
      <x:c r="E28" s="28" t="str">
        <x:v>RFP-B2</x:v>
      </x:c>
      <x:c r="F28" s="28" t="str">
        <x:v>PTC-B</x:v>
      </x:c>
      <x:c r="G28" s="28" t="n">
        <x:v>12</x:v>
      </x:c>
      <x:c r="H28" s="28" t="n">
        <x:f>COUNTIFS('Interface Tests'!C7:C438,B28,'Interface Tests'!L7:L438,"PASS")</x:f>
        <x:v>0</x:v>
      </x:c>
      <x:c r="I28" s="31" t="str"/>
      <x:c r="J28" s="31" t="str"/>
      <x:c r="K28" s="31" t="str"/>
      <x:c r="L28" s="31" t="str"/>
      <x:c r="M28" s="28" t="str">
        <x:f>IF(I28="","OPEN",IF(AND(H28=G28,J28&lt;&gt;"",K28&lt;&gt;"",L28&lt;&gt;""),"PASS","FAIL"))</x:f>
        <x:v>OPEN</x:v>
      </x:c>
    </x:row>
    <x:row r="29">
      <x:c r="B29" s="28" t="str">
        <x:v>ROT-PEA-A-X1-4</x:v>
      </x:c>
      <x:c r="C29" s="28" t="n">
        <x:v>4</x:v>
      </x:c>
      <x:c r="D29" s="28" t="str">
        <x:v>PEA-A-X1</x:v>
      </x:c>
      <x:c r="E29" s="28" t="str">
        <x:v>RFP-C1</x:v>
      </x:c>
      <x:c r="F29" s="28" t="str">
        <x:v>PTC-C</x:v>
      </x:c>
      <x:c r="G29" s="28" t="n">
        <x:v>12</x:v>
      </x:c>
      <x:c r="H29" s="28" t="n">
        <x:f>COUNTIFS('Interface Tests'!C7:C438,B29,'Interface Tests'!L7:L438,"PASS")</x:f>
        <x:v>0</x:v>
      </x:c>
      <x:c r="I29" s="31" t="str"/>
      <x:c r="J29" s="31" t="str"/>
      <x:c r="K29" s="31" t="str"/>
      <x:c r="L29" s="31" t="str"/>
      <x:c r="M29" s="28" t="str">
        <x:f>IF(I29="","OPEN",IF(AND(H29=G29,J29&lt;&gt;"",K29&lt;&gt;"",L29&lt;&gt;""),"PASS","FAIL"))</x:f>
        <x:v>OPEN</x:v>
      </x:c>
    </x:row>
    <x:row r="30">
      <x:c r="B30" s="28" t="str">
        <x:v>ROT-PEA-A-Y1-4</x:v>
      </x:c>
      <x:c r="C30" s="28" t="n">
        <x:v>4</x:v>
      </x:c>
      <x:c r="D30" s="28" t="str">
        <x:v>PEA-A-Y1</x:v>
      </x:c>
      <x:c r="E30" s="28" t="str">
        <x:v>RFP-C2</x:v>
      </x:c>
      <x:c r="F30" s="28" t="str">
        <x:v>PTC-C</x:v>
      </x:c>
      <x:c r="G30" s="28" t="n">
        <x:v>12</x:v>
      </x:c>
      <x:c r="H30" s="28" t="n">
        <x:f>COUNTIFS('Interface Tests'!C7:C438,B30,'Interface Tests'!L7:L438,"PASS")</x:f>
        <x:v>0</x:v>
      </x:c>
      <x:c r="I30" s="31" t="str"/>
      <x:c r="J30" s="31" t="str"/>
      <x:c r="K30" s="31" t="str"/>
      <x:c r="L30" s="31" t="str"/>
      <x:c r="M30" s="28" t="str">
        <x:f>IF(I30="","OPEN",IF(AND(H30=G30,J30&lt;&gt;"",K30&lt;&gt;"",L30&lt;&gt;""),"PASS","FAIL"))</x:f>
        <x:v>OPEN</x:v>
      </x:c>
    </x:row>
    <x:row r="31">
      <x:c r="B31" s="28" t="str">
        <x:v>ROT-PEA-A-Y1-5</x:v>
      </x:c>
      <x:c r="C31" s="28" t="n">
        <x:v>5</x:v>
      </x:c>
      <x:c r="D31" s="28" t="str">
        <x:v>PEA-A-Y1</x:v>
      </x:c>
      <x:c r="E31" s="28" t="str">
        <x:v>RFP-A1</x:v>
      </x:c>
      <x:c r="F31" s="28" t="str">
        <x:v>PTC-A</x:v>
      </x:c>
      <x:c r="G31" s="28" t="n">
        <x:v>12</x:v>
      </x:c>
      <x:c r="H31" s="28" t="n">
        <x:f>COUNTIFS('Interface Tests'!C7:C438,B31,'Interface Tests'!L7:L438,"PASS")</x:f>
        <x:v>0</x:v>
      </x:c>
      <x:c r="I31" s="31" t="str"/>
      <x:c r="J31" s="31" t="str"/>
      <x:c r="K31" s="31" t="str"/>
      <x:c r="L31" s="31" t="str"/>
      <x:c r="M31" s="28" t="str">
        <x:f>IF(I31="","OPEN",IF(AND(H31=G31,J31&lt;&gt;"",K31&lt;&gt;"",L31&lt;&gt;""),"PASS","FAIL"))</x:f>
        <x:v>OPEN</x:v>
      </x:c>
    </x:row>
    <x:row r="32">
      <x:c r="B32" s="28" t="str">
        <x:v>ROT-PEA-B-X1-5</x:v>
      </x:c>
      <x:c r="C32" s="28" t="n">
        <x:v>5</x:v>
      </x:c>
      <x:c r="D32" s="28" t="str">
        <x:v>PEA-B-X1</x:v>
      </x:c>
      <x:c r="E32" s="28" t="str">
        <x:v>RFP-A2</x:v>
      </x:c>
      <x:c r="F32" s="28" t="str">
        <x:v>PTC-A</x:v>
      </x:c>
      <x:c r="G32" s="28" t="n">
        <x:v>12</x:v>
      </x:c>
      <x:c r="H32" s="28" t="n">
        <x:f>COUNTIFS('Interface Tests'!C7:C438,B32,'Interface Tests'!L7:L438,"PASS")</x:f>
        <x:v>0</x:v>
      </x:c>
      <x:c r="I32" s="31" t="str"/>
      <x:c r="J32" s="31" t="str"/>
      <x:c r="K32" s="31" t="str"/>
      <x:c r="L32" s="31" t="str"/>
      <x:c r="M32" s="28" t="str">
        <x:f>IF(I32="","OPEN",IF(AND(H32=G32,J32&lt;&gt;"",K32&lt;&gt;"",L32&lt;&gt;""),"PASS","FAIL"))</x:f>
        <x:v>OPEN</x:v>
      </x:c>
    </x:row>
    <x:row r="33">
      <x:c r="B33" s="28" t="str">
        <x:v>ROT-PEA-B-Y1-5</x:v>
      </x:c>
      <x:c r="C33" s="28" t="n">
        <x:v>5</x:v>
      </x:c>
      <x:c r="D33" s="28" t="str">
        <x:v>PEA-B-Y1</x:v>
      </x:c>
      <x:c r="E33" s="28" t="str">
        <x:v>RFP-B1</x:v>
      </x:c>
      <x:c r="F33" s="28" t="str">
        <x:v>PTC-B</x:v>
      </x:c>
      <x:c r="G33" s="28" t="n">
        <x:v>12</x:v>
      </x:c>
      <x:c r="H33" s="28" t="n">
        <x:f>COUNTIFS('Interface Tests'!C7:C438,B33,'Interface Tests'!L7:L438,"PASS")</x:f>
        <x:v>0</x:v>
      </x:c>
      <x:c r="I33" s="31" t="str"/>
      <x:c r="J33" s="31" t="str"/>
      <x:c r="K33" s="31" t="str"/>
      <x:c r="L33" s="31" t="str"/>
      <x:c r="M33" s="28" t="str">
        <x:f>IF(I33="","OPEN",IF(AND(H33=G33,J33&lt;&gt;"",K33&lt;&gt;"",L33&lt;&gt;""),"PASS","FAIL"))</x:f>
        <x:v>OPEN</x:v>
      </x:c>
    </x:row>
    <x:row r="34">
      <x:c r="B34" s="28" t="str">
        <x:v>ROT-PEA-C-X1-5</x:v>
      </x:c>
      <x:c r="C34" s="28" t="n">
        <x:v>5</x:v>
      </x:c>
      <x:c r="D34" s="28" t="str">
        <x:v>PEA-C-X1</x:v>
      </x:c>
      <x:c r="E34" s="28" t="str">
        <x:v>RFP-B2</x:v>
      </x:c>
      <x:c r="F34" s="28" t="str">
        <x:v>PTC-B</x:v>
      </x:c>
      <x:c r="G34" s="28" t="n">
        <x:v>12</x:v>
      </x:c>
      <x:c r="H34" s="28" t="n">
        <x:f>COUNTIFS('Interface Tests'!C7:C438,B34,'Interface Tests'!L7:L438,"PASS")</x:f>
        <x:v>0</x:v>
      </x:c>
      <x:c r="I34" s="31" t="str"/>
      <x:c r="J34" s="31" t="str"/>
      <x:c r="K34" s="31" t="str"/>
      <x:c r="L34" s="31" t="str"/>
      <x:c r="M34" s="28" t="str">
        <x:f>IF(I34="","OPEN",IF(AND(H34=G34,J34&lt;&gt;"",K34&lt;&gt;"",L34&lt;&gt;""),"PASS","FAIL"))</x:f>
        <x:v>OPEN</x:v>
      </x:c>
    </x:row>
    <x:row r="35">
      <x:c r="B35" s="28" t="str">
        <x:v>ROT-PEA-C-Y1-5</x:v>
      </x:c>
      <x:c r="C35" s="28" t="n">
        <x:v>5</x:v>
      </x:c>
      <x:c r="D35" s="28" t="str">
        <x:v>PEA-C-Y1</x:v>
      </x:c>
      <x:c r="E35" s="28" t="str">
        <x:v>RFP-C1</x:v>
      </x:c>
      <x:c r="F35" s="28" t="str">
        <x:v>PTC-C</x:v>
      </x:c>
      <x:c r="G35" s="28" t="n">
        <x:v>12</x:v>
      </x:c>
      <x:c r="H35" s="28" t="n">
        <x:f>COUNTIFS('Interface Tests'!C7:C438,B35,'Interface Tests'!L7:L438,"PASS")</x:f>
        <x:v>0</x:v>
      </x:c>
      <x:c r="I35" s="31" t="str"/>
      <x:c r="J35" s="31" t="str"/>
      <x:c r="K35" s="31" t="str"/>
      <x:c r="L35" s="31" t="str"/>
      <x:c r="M35" s="28" t="str">
        <x:f>IF(I35="","OPEN",IF(AND(H35=G35,J35&lt;&gt;"",K35&lt;&gt;"",L35&lt;&gt;""),"PASS","FAIL"))</x:f>
        <x:v>OPEN</x:v>
      </x:c>
    </x:row>
    <x:row r="36">
      <x:c r="B36" s="28" t="str">
        <x:v>ROT-PEA-A-X1-5</x:v>
      </x:c>
      <x:c r="C36" s="28" t="n">
        <x:v>5</x:v>
      </x:c>
      <x:c r="D36" s="28" t="str">
        <x:v>PEA-A-X1</x:v>
      </x:c>
      <x:c r="E36" s="28" t="str">
        <x:v>RFP-C2</x:v>
      </x:c>
      <x:c r="F36" s="28" t="str">
        <x:v>PTC-C</x:v>
      </x:c>
      <x:c r="G36" s="28" t="n">
        <x:v>12</x:v>
      </x:c>
      <x:c r="H36" s="28" t="n">
        <x:f>COUNTIFS('Interface Tests'!C7:C438,B36,'Interface Tests'!L7:L438,"PASS")</x:f>
        <x:v>0</x:v>
      </x:c>
      <x:c r="I36" s="31" t="str"/>
      <x:c r="J36" s="31" t="str"/>
      <x:c r="K36" s="31" t="str"/>
      <x:c r="L36" s="31" t="str"/>
      <x:c r="M36" s="28" t="str">
        <x:f>IF(I36="","OPEN",IF(AND(H36=G36,J36&lt;&gt;"",K36&lt;&gt;"",L36&lt;&gt;""),"PASS","FAIL"))</x:f>
        <x:v>OPEN</x:v>
      </x:c>
    </x:row>
    <x:row r="37">
      <x:c r="B37" s="28" t="str">
        <x:v>ROT-PEA-A-X1-6</x:v>
      </x:c>
      <x:c r="C37" s="28" t="n">
        <x:v>6</x:v>
      </x:c>
      <x:c r="D37" s="28" t="str">
        <x:v>PEA-A-X1</x:v>
      </x:c>
      <x:c r="E37" s="28" t="str">
        <x:v>RFP-A1</x:v>
      </x:c>
      <x:c r="F37" s="28" t="str">
        <x:v>PTC-A</x:v>
      </x:c>
      <x:c r="G37" s="28" t="n">
        <x:v>12</x:v>
      </x:c>
      <x:c r="H37" s="28" t="n">
        <x:f>COUNTIFS('Interface Tests'!C7:C438,B37,'Interface Tests'!L7:L438,"PASS")</x:f>
        <x:v>0</x:v>
      </x:c>
      <x:c r="I37" s="31" t="str"/>
      <x:c r="J37" s="31" t="str"/>
      <x:c r="K37" s="31" t="str"/>
      <x:c r="L37" s="31" t="str"/>
      <x:c r="M37" s="28" t="str">
        <x:f>IF(I37="","OPEN",IF(AND(H37=G37,J37&lt;&gt;"",K37&lt;&gt;"",L37&lt;&gt;""),"PASS","FAIL"))</x:f>
        <x:v>OPEN</x:v>
      </x:c>
    </x:row>
    <x:row r="38">
      <x:c r="B38" s="28" t="str">
        <x:v>ROT-PEA-A-Y1-6</x:v>
      </x:c>
      <x:c r="C38" s="28" t="n">
        <x:v>6</x:v>
      </x:c>
      <x:c r="D38" s="28" t="str">
        <x:v>PEA-A-Y1</x:v>
      </x:c>
      <x:c r="E38" s="28" t="str">
        <x:v>RFP-A2</x:v>
      </x:c>
      <x:c r="F38" s="28" t="str">
        <x:v>PTC-A</x:v>
      </x:c>
      <x:c r="G38" s="28" t="n">
        <x:v>12</x:v>
      </x:c>
      <x:c r="H38" s="28" t="n">
        <x:f>COUNTIFS('Interface Tests'!C7:C438,B38,'Interface Tests'!L7:L438,"PASS")</x:f>
        <x:v>0</x:v>
      </x:c>
      <x:c r="I38" s="31" t="str"/>
      <x:c r="J38" s="31" t="str"/>
      <x:c r="K38" s="31" t="str"/>
      <x:c r="L38" s="31" t="str"/>
      <x:c r="M38" s="28" t="str">
        <x:f>IF(I38="","OPEN",IF(AND(H38=G38,J38&lt;&gt;"",K38&lt;&gt;"",L38&lt;&gt;""),"PASS","FAIL"))</x:f>
        <x:v>OPEN</x:v>
      </x:c>
    </x:row>
    <x:row r="39">
      <x:c r="B39" s="28" t="str">
        <x:v>ROT-PEA-B-X1-6</x:v>
      </x:c>
      <x:c r="C39" s="28" t="n">
        <x:v>6</x:v>
      </x:c>
      <x:c r="D39" s="28" t="str">
        <x:v>PEA-B-X1</x:v>
      </x:c>
      <x:c r="E39" s="28" t="str">
        <x:v>RFP-B1</x:v>
      </x:c>
      <x:c r="F39" s="28" t="str">
        <x:v>PTC-B</x:v>
      </x:c>
      <x:c r="G39" s="28" t="n">
        <x:v>12</x:v>
      </x:c>
      <x:c r="H39" s="28" t="n">
        <x:f>COUNTIFS('Interface Tests'!C7:C438,B39,'Interface Tests'!L7:L438,"PASS")</x:f>
        <x:v>0</x:v>
      </x:c>
      <x:c r="I39" s="31" t="str"/>
      <x:c r="J39" s="31" t="str"/>
      <x:c r="K39" s="31" t="str"/>
      <x:c r="L39" s="31" t="str"/>
      <x:c r="M39" s="28" t="str">
        <x:f>IF(I39="","OPEN",IF(AND(H39=G39,J39&lt;&gt;"",K39&lt;&gt;"",L39&lt;&gt;""),"PASS","FAIL"))</x:f>
        <x:v>OPEN</x:v>
      </x:c>
    </x:row>
    <x:row r="40">
      <x:c r="B40" s="28" t="str">
        <x:v>ROT-PEA-B-Y1-6</x:v>
      </x:c>
      <x:c r="C40" s="28" t="n">
        <x:v>6</x:v>
      </x:c>
      <x:c r="D40" s="28" t="str">
        <x:v>PEA-B-Y1</x:v>
      </x:c>
      <x:c r="E40" s="28" t="str">
        <x:v>RFP-B2</x:v>
      </x:c>
      <x:c r="F40" s="28" t="str">
        <x:v>PTC-B</x:v>
      </x:c>
      <x:c r="G40" s="28" t="n">
        <x:v>12</x:v>
      </x:c>
      <x:c r="H40" s="28" t="n">
        <x:f>COUNTIFS('Interface Tests'!C7:C438,B40,'Interface Tests'!L7:L438,"PASS")</x:f>
        <x:v>0</x:v>
      </x:c>
      <x:c r="I40" s="31" t="str"/>
      <x:c r="J40" s="31" t="str"/>
      <x:c r="K40" s="31" t="str"/>
      <x:c r="L40" s="31" t="str"/>
      <x:c r="M40" s="28" t="str">
        <x:f>IF(I40="","OPEN",IF(AND(H40=G40,J40&lt;&gt;"",K40&lt;&gt;"",L40&lt;&gt;""),"PASS","FAIL"))</x:f>
        <x:v>OPEN</x:v>
      </x:c>
    </x:row>
    <x:row r="41">
      <x:c r="B41" s="28" t="str">
        <x:v>ROT-PEA-C-X1-6</x:v>
      </x:c>
      <x:c r="C41" s="28" t="n">
        <x:v>6</x:v>
      </x:c>
      <x:c r="D41" s="28" t="str">
        <x:v>PEA-C-X1</x:v>
      </x:c>
      <x:c r="E41" s="28" t="str">
        <x:v>RFP-C1</x:v>
      </x:c>
      <x:c r="F41" s="28" t="str">
        <x:v>PTC-C</x:v>
      </x:c>
      <x:c r="G41" s="28" t="n">
        <x:v>12</x:v>
      </x:c>
      <x:c r="H41" s="28" t="n">
        <x:f>COUNTIFS('Interface Tests'!C7:C438,B41,'Interface Tests'!L7:L438,"PASS")</x:f>
        <x:v>0</x:v>
      </x:c>
      <x:c r="I41" s="31" t="str"/>
      <x:c r="J41" s="31" t="str"/>
      <x:c r="K41" s="31" t="str"/>
      <x:c r="L41" s="31" t="str"/>
      <x:c r="M41" s="28" t="str">
        <x:f>IF(I41="","OPEN",IF(AND(H41=G41,J41&lt;&gt;"",K41&lt;&gt;"",L41&lt;&gt;""),"PASS","FAIL"))</x:f>
        <x:v>OPEN</x:v>
      </x:c>
    </x:row>
    <x:row r="42">
      <x:c r="B42" s="28" t="str">
        <x:v>ROT-PEA-C-Y1-6</x:v>
      </x:c>
      <x:c r="C42" s="28" t="n">
        <x:v>6</x:v>
      </x:c>
      <x:c r="D42" s="28" t="str">
        <x:v>PEA-C-Y1</x:v>
      </x:c>
      <x:c r="E42" s="28" t="str">
        <x:v>RFP-C2</x:v>
      </x:c>
      <x:c r="F42" s="28" t="str">
        <x:v>PTC-C</x:v>
      </x:c>
      <x:c r="G42" s="28" t="n">
        <x:v>12</x:v>
      </x:c>
      <x:c r="H42" s="28" t="n">
        <x:f>COUNTIFS('Interface Tests'!C7:C438,B42,'Interface Tests'!L7:L438,"PASS")</x:f>
        <x:v>0</x:v>
      </x:c>
      <x:c r="I42" s="31" t="str"/>
      <x:c r="J42" s="31" t="str"/>
      <x:c r="K42" s="31" t="str"/>
      <x:c r="L42" s="31" t="str"/>
      <x:c r="M42" s="28" t="str">
        <x:f>IF(I42="","OPEN",IF(AND(H42=G42,J42&lt;&gt;"",K42&lt;&gt;"",L42&lt;&gt;""),"PASS","FAIL"))</x:f>
        <x:v>OPEN</x:v>
      </x:c>
    </x:row>
  </x:sheetData>
  <x:conditionalFormatting sqref="M7:M42">
    <x:cfRule type="containsText" dxfId="36" priority="1" operator="containsText" text="FAIL"/>
    <x:cfRule type="containsText" dxfId="37" priority="2" operator="containsText" text="BLOCKED"/>
    <x:cfRule type="containsText" dxfId="38" priority="3" operator="containsText" text="EXPIRED"/>
    <x:cfRule type="containsText" dxfId="39" priority="4" operator="containsText" text="OPEN"/>
    <x:cfRule type="containsText" dxfId="40" priority="5" operator="containsText" text="DORMANT"/>
    <x:cfRule type="containsText" dxfId="41" priority="6" operator="containsText" text="PASS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30" hidden="0" customWidth="1"/>
    <x:col min="3" max="3" width="28" hidden="0" customWidth="1"/>
    <x:col min="4" max="4" width="17" hidden="0" customWidth="1"/>
    <x:col min="5" max="5" width="14" hidden="0" customWidth="1"/>
    <x:col min="6" max="6" width="14" hidden="0" customWidth="1"/>
    <x:col min="7" max="7" width="36" hidden="0" customWidth="1"/>
    <x:col min="8" max="8" width="20" hidden="0" customWidth="1"/>
    <x:col min="9" max="9" width="20" hidden="0" customWidth="1"/>
    <x:col min="10" max="10" width="34" hidden="0" customWidth="1"/>
    <x:col min="11" max="11" width="21" hidden="0" customWidth="1"/>
    <x:col min="12" max="12" width="14" hidden="0" customWidth="1"/>
  </x:cols>
  <x:sheetData>
    <x:row r="2">
      <x:c r="B2" s="25" t="str">
        <x:v>Four hundred thirty-two interface demonstrations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B3" s="27" t="str">
        <x:v>Each operational article proves twelve public interfaces at every rig. An accepted timestamp beside a missing observation or evidence root fails.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</x:row>
    <x:row r="6" ht="24" customHeight="1">
      <x:c r="B6" s="6" t="str">
        <x:v>Test</x:v>
      </x:c>
      <x:c r="C6" s="6" t="str">
        <x:v>Rotation</x:v>
      </x:c>
      <x:c r="D6" s="6" t="str">
        <x:v>Article</x:v>
      </x:c>
      <x:c r="E6" s="6" t="str">
        <x:v>Rig</x:v>
      </x:c>
      <x:c r="F6" s="6" t="str">
        <x:v>Interface</x:v>
      </x:c>
      <x:c r="G6" s="6" t="str">
        <x:v>Interface name</x:v>
      </x:c>
      <x:c r="H6" s="6" t="str">
        <x:v>Required result</x:v>
      </x:c>
      <x:c r="I6" s="6" t="str">
        <x:v>Observed result</x:v>
      </x:c>
      <x:c r="J6" s="6" t="str">
        <x:v>Evidence root</x:v>
      </x:c>
      <x:c r="K6" s="6" t="str">
        <x:v>Accepted UTC</x:v>
      </x:c>
      <x:c r="L6" s="6" t="str">
        <x:v>State</x:v>
      </x:c>
    </x:row>
    <x:row r="7">
      <x:c r="B7" s="28" t="str">
        <x:v>IF-ROT-PEA-C-Y1-1-01</x:v>
      </x:c>
      <x:c r="C7" s="28" t="str">
        <x:v>ROT-PEA-C-Y1-1</x:v>
      </x:c>
      <x:c r="D7" s="28" t="str">
        <x:v>PEA-C-Y1</x:v>
      </x:c>
      <x:c r="E7" s="28" t="str">
        <x:v>RFP-A1</x:v>
      </x:c>
      <x:c r="F7" s="28" t="n">
        <x:v>1</x:v>
      </x:c>
      <x:c r="G7" s="28" t="str">
        <x:v>public datum and load path</x:v>
      </x:c>
      <x:c r="H7" s="28" t="str">
        <x:v>CONFORMS</x:v>
      </x:c>
      <x:c r="I7" s="31" t="str"/>
      <x:c r="J7" s="31" t="str"/>
      <x:c r="K7" s="31" t="str"/>
      <x:c r="L7" s="28" t="str">
        <x:f>IF(K7="","OPEN",IF(OR(I7="",J7=""),"FAIL",IF(I7=H7,"PASS","FAIL")))</x:f>
        <x:v>OPEN</x:v>
      </x:c>
    </x:row>
    <x:row r="8">
      <x:c r="B8" s="28" t="str">
        <x:v>IF-ROT-PEA-C-Y1-1-02</x:v>
      </x:c>
      <x:c r="C8" s="28" t="str">
        <x:v>ROT-PEA-C-Y1-1</x:v>
      </x:c>
      <x:c r="D8" s="28" t="str">
        <x:v>PEA-C-Y1</x:v>
      </x:c>
      <x:c r="E8" s="28" t="str">
        <x:v>RFP-A1</x:v>
      </x:c>
      <x:c r="F8" s="28" t="n">
        <x:v>2</x:v>
      </x:c>
      <x:c r="G8" s="28" t="str">
        <x:v>source-origin boundary</x:v>
      </x:c>
      <x:c r="H8" s="28" t="str">
        <x:v>CONFORMS</x:v>
      </x:c>
      <x:c r="I8" s="31" t="str"/>
      <x:c r="J8" s="31" t="str"/>
      <x:c r="K8" s="31" t="str"/>
      <x:c r="L8" s="28" t="str">
        <x:f>IF(K8="","OPEN",IF(OR(I8="",J8=""),"FAIL",IF(I8=H8,"PASS","FAIL")))</x:f>
        <x:v>OPEN</x:v>
      </x:c>
    </x:row>
    <x:row r="9">
      <x:c r="B9" s="28" t="str">
        <x:v>IF-ROT-PEA-C-Y1-1-03</x:v>
      </x:c>
      <x:c r="C9" s="28" t="str">
        <x:v>ROT-PEA-C-Y1-1</x:v>
      </x:c>
      <x:c r="D9" s="28" t="str">
        <x:v>PEA-C-Y1</x:v>
      </x:c>
      <x:c r="E9" s="28" t="str">
        <x:v>RFP-A1</x:v>
      </x:c>
      <x:c r="F9" s="28" t="n">
        <x:v>3</x:v>
      </x:c>
      <x:c r="G9" s="28" t="str">
        <x:v>normal route</x:v>
      </x:c>
      <x:c r="H9" s="28" t="str">
        <x:v>CONFORMS</x:v>
      </x:c>
      <x:c r="I9" s="31" t="str"/>
      <x:c r="J9" s="31" t="str"/>
      <x:c r="K9" s="31" t="str"/>
      <x:c r="L9" s="28" t="str">
        <x:f>IF(K9="","OPEN",IF(OR(I9="",J9=""),"FAIL",IF(I9=H9,"PASS","FAIL")))</x:f>
        <x:v>OPEN</x:v>
      </x:c>
    </x:row>
    <x:row r="10">
      <x:c r="B10" s="28" t="str">
        <x:v>IF-ROT-PEA-C-Y1-1-04</x:v>
      </x:c>
      <x:c r="C10" s="28" t="str">
        <x:v>ROT-PEA-C-Y1-1</x:v>
      </x:c>
      <x:c r="D10" s="28" t="str">
        <x:v>PEA-C-Y1</x:v>
      </x:c>
      <x:c r="E10" s="28" t="str">
        <x:v>RFP-A1</x:v>
      </x:c>
      <x:c r="F10" s="28" t="n">
        <x:v>4</x:v>
      </x:c>
      <x:c r="G10" s="28" t="str">
        <x:v>casualty-source route</x:v>
      </x:c>
      <x:c r="H10" s="28" t="str">
        <x:v>CONFORMS</x:v>
      </x:c>
      <x:c r="I10" s="31" t="str"/>
      <x:c r="J10" s="31" t="str"/>
      <x:c r="K10" s="31" t="str"/>
      <x:c r="L10" s="28" t="str">
        <x:f>IF(K10="","OPEN",IF(OR(I10="",J10=""),"FAIL",IF(I10=H10,"PASS","FAIL")))</x:f>
        <x:v>OPEN</x:v>
      </x:c>
    </x:row>
    <x:row r="11">
      <x:c r="B11" s="28" t="str">
        <x:v>IF-ROT-PEA-C-Y1-1-05</x:v>
      </x:c>
      <x:c r="C11" s="28" t="str">
        <x:v>ROT-PEA-C-Y1-1</x:v>
      </x:c>
      <x:c r="D11" s="28" t="str">
        <x:v>PEA-C-Y1</x:v>
      </x:c>
      <x:c r="E11" s="28" t="str">
        <x:v>RFP-A1</x:v>
      </x:c>
      <x:c r="F11" s="28" t="n">
        <x:v>5</x:v>
      </x:c>
      <x:c r="G11" s="28" t="str">
        <x:v>water supply and return</x:v>
      </x:c>
      <x:c r="H11" s="28" t="str">
        <x:v>CONFORMS</x:v>
      </x:c>
      <x:c r="I11" s="31" t="str"/>
      <x:c r="J11" s="31" t="str"/>
      <x:c r="K11" s="31" t="str"/>
      <x:c r="L11" s="28" t="str">
        <x:f>IF(K11="","OPEN",IF(OR(I11="",J11=""),"FAIL",IF(I11=H11,"PASS","FAIL")))</x:f>
        <x:v>OPEN</x:v>
      </x:c>
    </x:row>
    <x:row r="12">
      <x:c r="B12" s="28" t="str">
        <x:v>IF-ROT-PEA-C-Y1-1-06</x:v>
      </x:c>
      <x:c r="C12" s="28" t="str">
        <x:v>ROT-PEA-C-Y1-1</x:v>
      </x:c>
      <x:c r="D12" s="28" t="str">
        <x:v>PEA-C-Y1</x:v>
      </x:c>
      <x:c r="E12" s="28" t="str">
        <x:v>RFP-A1</x:v>
      </x:c>
      <x:c r="F12" s="28" t="n">
        <x:v>6</x:v>
      </x:c>
      <x:c r="G12" s="28" t="str">
        <x:v>casualty-water route</x:v>
      </x:c>
      <x:c r="H12" s="28" t="str">
        <x:v>CONFORMS</x:v>
      </x:c>
      <x:c r="I12" s="31" t="str"/>
      <x:c r="J12" s="31" t="str"/>
      <x:c r="K12" s="31" t="str"/>
      <x:c r="L12" s="28" t="str">
        <x:f>IF(K12="","OPEN",IF(OR(I12="",J12=""),"FAIL",IF(I12=H12,"PASS","FAIL")))</x:f>
        <x:v>OPEN</x:v>
      </x:c>
    </x:row>
    <x:row r="13">
      <x:c r="B13" s="28" t="str">
        <x:v>IF-ROT-PEA-C-Y1-1-07</x:v>
      </x:c>
      <x:c r="C13" s="28" t="str">
        <x:v>ROT-PEA-C-Y1-1</x:v>
      </x:c>
      <x:c r="D13" s="28" t="str">
        <x:v>PEA-C-Y1</x:v>
      </x:c>
      <x:c r="E13" s="28" t="str">
        <x:v>RFP-A1</x:v>
      </x:c>
      <x:c r="F13" s="28" t="n">
        <x:v>7</x:v>
      </x:c>
      <x:c r="G13" s="28" t="str">
        <x:v>normal electrical power</x:v>
      </x:c>
      <x:c r="H13" s="28" t="str">
        <x:v>CONFORMS</x:v>
      </x:c>
      <x:c r="I13" s="31" t="str"/>
      <x:c r="J13" s="31" t="str"/>
      <x:c r="K13" s="31" t="str"/>
      <x:c r="L13" s="28" t="str">
        <x:f>IF(K13="","OPEN",IF(OR(I13="",J13=""),"FAIL",IF(I13=H13,"PASS","FAIL")))</x:f>
        <x:v>OPEN</x:v>
      </x:c>
    </x:row>
    <x:row r="14">
      <x:c r="B14" s="28" t="str">
        <x:v>IF-ROT-PEA-C-Y1-1-08</x:v>
      </x:c>
      <x:c r="C14" s="28" t="str">
        <x:v>ROT-PEA-C-Y1-1</x:v>
      </x:c>
      <x:c r="D14" s="28" t="str">
        <x:v>PEA-C-Y1</x:v>
      </x:c>
      <x:c r="E14" s="28" t="str">
        <x:v>RFP-A1</x:v>
      </x:c>
      <x:c r="F14" s="28" t="n">
        <x:v>8</x:v>
      </x:c>
      <x:c r="G14" s="28" t="str">
        <x:v>independent safety energy</x:v>
      </x:c>
      <x:c r="H14" s="28" t="str">
        <x:v>CONFORMS</x:v>
      </x:c>
      <x:c r="I14" s="31" t="str"/>
      <x:c r="J14" s="31" t="str"/>
      <x:c r="K14" s="31" t="str"/>
      <x:c r="L14" s="28" t="str">
        <x:f>IF(K14="","OPEN",IF(OR(I14="",J14=""),"FAIL",IF(I14=H14,"PASS","FAIL")))</x:f>
        <x:v>OPEN</x:v>
      </x:c>
    </x:row>
    <x:row r="15">
      <x:c r="B15" s="28" t="str">
        <x:v>IF-ROT-PEA-C-Y1-1-09</x:v>
      </x:c>
      <x:c r="C15" s="28" t="str">
        <x:v>ROT-PEA-C-Y1-1</x:v>
      </x:c>
      <x:c r="D15" s="28" t="str">
        <x:v>PEA-C-Y1</x:v>
      </x:c>
      <x:c r="E15" s="28" t="str">
        <x:v>RFP-A1</x:v>
      </x:c>
      <x:c r="F15" s="28" t="n">
        <x:v>9</x:v>
      </x:c>
      <x:c r="G15" s="28" t="str">
        <x:v>causal-time roots</x:v>
      </x:c>
      <x:c r="H15" s="28" t="str">
        <x:v>CONFORMS</x:v>
      </x:c>
      <x:c r="I15" s="31" t="str"/>
      <x:c r="J15" s="31" t="str"/>
      <x:c r="K15" s="31" t="str"/>
      <x:c r="L15" s="28" t="str">
        <x:f>IF(K15="","OPEN",IF(OR(I15="",J15=""),"FAIL",IF(I15=H15,"PASS","FAIL")))</x:f>
        <x:v>OPEN</x:v>
      </x:c>
    </x:row>
    <x:row r="16">
      <x:c r="B16" s="28" t="str">
        <x:v>IF-ROT-PEA-C-Y1-1-10</x:v>
      </x:c>
      <x:c r="C16" s="28" t="str">
        <x:v>ROT-PEA-C-Y1-1</x:v>
      </x:c>
      <x:c r="D16" s="28" t="str">
        <x:v>PEA-C-Y1</x:v>
      </x:c>
      <x:c r="E16" s="28" t="str">
        <x:v>RFP-A1</x:v>
      </x:c>
      <x:c r="F16" s="28" t="n">
        <x:v>10</x:v>
      </x:c>
      <x:c r="G16" s="28" t="str">
        <x:v>two evidence originals</x:v>
      </x:c>
      <x:c r="H16" s="28" t="str">
        <x:v>CONFORMS</x:v>
      </x:c>
      <x:c r="I16" s="31" t="str"/>
      <x:c r="J16" s="31" t="str"/>
      <x:c r="K16" s="31" t="str"/>
      <x:c r="L16" s="28" t="str">
        <x:f>IF(K16="","OPEN",IF(OR(I16="",J16=""),"FAIL",IF(I16=H16,"PASS","FAIL")))</x:f>
        <x:v>OPEN</x:v>
      </x:c>
    </x:row>
    <x:row r="17">
      <x:c r="B17" s="28" t="str">
        <x:v>IF-ROT-PEA-C-Y1-1-11</x:v>
      </x:c>
      <x:c r="C17" s="28" t="str">
        <x:v>ROT-PEA-C-Y1-1</x:v>
      </x:c>
      <x:c r="D17" s="28" t="str">
        <x:v>PEA-C-Y1</x:v>
      </x:c>
      <x:c r="E17" s="28" t="str">
        <x:v>RFP-A1</x:v>
      </x:c>
      <x:c r="F17" s="28" t="n">
        <x:v>11</x:v>
      </x:c>
      <x:c r="G17" s="28" t="str">
        <x:v>safeing command and final state</x:v>
      </x:c>
      <x:c r="H17" s="28" t="str">
        <x:v>CONFORMS</x:v>
      </x:c>
      <x:c r="I17" s="31" t="str"/>
      <x:c r="J17" s="31" t="str"/>
      <x:c r="K17" s="31" t="str"/>
      <x:c r="L17" s="28" t="str">
        <x:f>IF(K17="","OPEN",IF(OR(I17="",J17=""),"FAIL",IF(I17=H17,"PASS","FAIL")))</x:f>
        <x:v>OPEN</x:v>
      </x:c>
    </x:row>
    <x:row r="18">
      <x:c r="B18" s="28" t="str">
        <x:v>IF-ROT-PEA-C-Y1-1-12</x:v>
      </x:c>
      <x:c r="C18" s="28" t="str">
        <x:v>ROT-PEA-C-Y1-1</x:v>
      </x:c>
      <x:c r="D18" s="28" t="str">
        <x:v>PEA-C-Y1</x:v>
      </x:c>
      <x:c r="E18" s="28" t="str">
        <x:v>RFP-A1</x:v>
      </x:c>
      <x:c r="F18" s="28" t="n">
        <x:v>12</x:v>
      </x:c>
      <x:c r="G18" s="28" t="str">
        <x:v>rescue access</x:v>
      </x:c>
      <x:c r="H18" s="28" t="str">
        <x:v>CONFORMS</x:v>
      </x:c>
      <x:c r="I18" s="31" t="str"/>
      <x:c r="J18" s="31" t="str"/>
      <x:c r="K18" s="31" t="str"/>
      <x:c r="L18" s="28" t="str">
        <x:f>IF(K18="","OPEN",IF(OR(I18="",J18=""),"FAIL",IF(I18=H18,"PASS","FAIL")))</x:f>
        <x:v>OPEN</x:v>
      </x:c>
    </x:row>
    <x:row r="19">
      <x:c r="B19" s="28" t="str">
        <x:v>IF-ROT-PEA-A-X1-1-01</x:v>
      </x:c>
      <x:c r="C19" s="28" t="str">
        <x:v>ROT-PEA-A-X1-1</x:v>
      </x:c>
      <x:c r="D19" s="28" t="str">
        <x:v>PEA-A-X1</x:v>
      </x:c>
      <x:c r="E19" s="28" t="str">
        <x:v>RFP-A2</x:v>
      </x:c>
      <x:c r="F19" s="28" t="n">
        <x:v>1</x:v>
      </x:c>
      <x:c r="G19" s="28" t="str">
        <x:v>public datum and load path</x:v>
      </x:c>
      <x:c r="H19" s="28" t="str">
        <x:v>CONFORMS</x:v>
      </x:c>
      <x:c r="I19" s="31" t="str"/>
      <x:c r="J19" s="31" t="str"/>
      <x:c r="K19" s="31" t="str"/>
      <x:c r="L19" s="28" t="str">
        <x:f>IF(K19="","OPEN",IF(OR(I19="",J19=""),"FAIL",IF(I19=H19,"PASS","FAIL")))</x:f>
        <x:v>OPEN</x:v>
      </x:c>
    </x:row>
    <x:row r="20">
      <x:c r="B20" s="28" t="str">
        <x:v>IF-ROT-PEA-A-X1-1-02</x:v>
      </x:c>
      <x:c r="C20" s="28" t="str">
        <x:v>ROT-PEA-A-X1-1</x:v>
      </x:c>
      <x:c r="D20" s="28" t="str">
        <x:v>PEA-A-X1</x:v>
      </x:c>
      <x:c r="E20" s="28" t="str">
        <x:v>RFP-A2</x:v>
      </x:c>
      <x:c r="F20" s="28" t="n">
        <x:v>2</x:v>
      </x:c>
      <x:c r="G20" s="28" t="str">
        <x:v>source-origin boundary</x:v>
      </x:c>
      <x:c r="H20" s="28" t="str">
        <x:v>CONFORMS</x:v>
      </x:c>
      <x:c r="I20" s="31" t="str"/>
      <x:c r="J20" s="31" t="str"/>
      <x:c r="K20" s="31" t="str"/>
      <x:c r="L20" s="28" t="str">
        <x:f>IF(K20="","OPEN",IF(OR(I20="",J20=""),"FAIL",IF(I20=H20,"PASS","FAIL")))</x:f>
        <x:v>OPEN</x:v>
      </x:c>
    </x:row>
    <x:row r="21">
      <x:c r="B21" s="28" t="str">
        <x:v>IF-ROT-PEA-A-X1-1-03</x:v>
      </x:c>
      <x:c r="C21" s="28" t="str">
        <x:v>ROT-PEA-A-X1-1</x:v>
      </x:c>
      <x:c r="D21" s="28" t="str">
        <x:v>PEA-A-X1</x:v>
      </x:c>
      <x:c r="E21" s="28" t="str">
        <x:v>RFP-A2</x:v>
      </x:c>
      <x:c r="F21" s="28" t="n">
        <x:v>3</x:v>
      </x:c>
      <x:c r="G21" s="28" t="str">
        <x:v>normal route</x:v>
      </x:c>
      <x:c r="H21" s="28" t="str">
        <x:v>CONFORMS</x:v>
      </x:c>
      <x:c r="I21" s="31" t="str"/>
      <x:c r="J21" s="31" t="str"/>
      <x:c r="K21" s="31" t="str"/>
      <x:c r="L21" s="28" t="str">
        <x:f>IF(K21="","OPEN",IF(OR(I21="",J21=""),"FAIL",IF(I21=H21,"PASS","FAIL")))</x:f>
        <x:v>OPEN</x:v>
      </x:c>
    </x:row>
    <x:row r="22">
      <x:c r="B22" s="28" t="str">
        <x:v>IF-ROT-PEA-A-X1-1-04</x:v>
      </x:c>
      <x:c r="C22" s="28" t="str">
        <x:v>ROT-PEA-A-X1-1</x:v>
      </x:c>
      <x:c r="D22" s="28" t="str">
        <x:v>PEA-A-X1</x:v>
      </x:c>
      <x:c r="E22" s="28" t="str">
        <x:v>RFP-A2</x:v>
      </x:c>
      <x:c r="F22" s="28" t="n">
        <x:v>4</x:v>
      </x:c>
      <x:c r="G22" s="28" t="str">
        <x:v>casualty-source route</x:v>
      </x:c>
      <x:c r="H22" s="28" t="str">
        <x:v>CONFORMS</x:v>
      </x:c>
      <x:c r="I22" s="31" t="str"/>
      <x:c r="J22" s="31" t="str"/>
      <x:c r="K22" s="31" t="str"/>
      <x:c r="L22" s="28" t="str">
        <x:f>IF(K22="","OPEN",IF(OR(I22="",J22=""),"FAIL",IF(I22=H22,"PASS","FAIL")))</x:f>
        <x:v>OPEN</x:v>
      </x:c>
    </x:row>
    <x:row r="23">
      <x:c r="B23" s="28" t="str">
        <x:v>IF-ROT-PEA-A-X1-1-05</x:v>
      </x:c>
      <x:c r="C23" s="28" t="str">
        <x:v>ROT-PEA-A-X1-1</x:v>
      </x:c>
      <x:c r="D23" s="28" t="str">
        <x:v>PEA-A-X1</x:v>
      </x:c>
      <x:c r="E23" s="28" t="str">
        <x:v>RFP-A2</x:v>
      </x:c>
      <x:c r="F23" s="28" t="n">
        <x:v>5</x:v>
      </x:c>
      <x:c r="G23" s="28" t="str">
        <x:v>water supply and return</x:v>
      </x:c>
      <x:c r="H23" s="28" t="str">
        <x:v>CONFORMS</x:v>
      </x:c>
      <x:c r="I23" s="31" t="str"/>
      <x:c r="J23" s="31" t="str"/>
      <x:c r="K23" s="31" t="str"/>
      <x:c r="L23" s="28" t="str">
        <x:f>IF(K23="","OPEN",IF(OR(I23="",J23=""),"FAIL",IF(I23=H23,"PASS","FAIL")))</x:f>
        <x:v>OPEN</x:v>
      </x:c>
    </x:row>
    <x:row r="24">
      <x:c r="B24" s="28" t="str">
        <x:v>IF-ROT-PEA-A-X1-1-06</x:v>
      </x:c>
      <x:c r="C24" s="28" t="str">
        <x:v>ROT-PEA-A-X1-1</x:v>
      </x:c>
      <x:c r="D24" s="28" t="str">
        <x:v>PEA-A-X1</x:v>
      </x:c>
      <x:c r="E24" s="28" t="str">
        <x:v>RFP-A2</x:v>
      </x:c>
      <x:c r="F24" s="28" t="n">
        <x:v>6</x:v>
      </x:c>
      <x:c r="G24" s="28" t="str">
        <x:v>casualty-water route</x:v>
      </x:c>
      <x:c r="H24" s="28" t="str">
        <x:v>CONFORMS</x:v>
      </x:c>
      <x:c r="I24" s="31" t="str"/>
      <x:c r="J24" s="31" t="str"/>
      <x:c r="K24" s="31" t="str"/>
      <x:c r="L24" s="28" t="str">
        <x:f>IF(K24="","OPEN",IF(OR(I24="",J24=""),"FAIL",IF(I24=H24,"PASS","FAIL")))</x:f>
        <x:v>OPEN</x:v>
      </x:c>
    </x:row>
    <x:row r="25">
      <x:c r="B25" s="28" t="str">
        <x:v>IF-ROT-PEA-A-X1-1-07</x:v>
      </x:c>
      <x:c r="C25" s="28" t="str">
        <x:v>ROT-PEA-A-X1-1</x:v>
      </x:c>
      <x:c r="D25" s="28" t="str">
        <x:v>PEA-A-X1</x:v>
      </x:c>
      <x:c r="E25" s="28" t="str">
        <x:v>RFP-A2</x:v>
      </x:c>
      <x:c r="F25" s="28" t="n">
        <x:v>7</x:v>
      </x:c>
      <x:c r="G25" s="28" t="str">
        <x:v>normal electrical power</x:v>
      </x:c>
      <x:c r="H25" s="28" t="str">
        <x:v>CONFORMS</x:v>
      </x:c>
      <x:c r="I25" s="31" t="str"/>
      <x:c r="J25" s="31" t="str"/>
      <x:c r="K25" s="31" t="str"/>
      <x:c r="L25" s="28" t="str">
        <x:f>IF(K25="","OPEN",IF(OR(I25="",J25=""),"FAIL",IF(I25=H25,"PASS","FAIL")))</x:f>
        <x:v>OPEN</x:v>
      </x:c>
    </x:row>
    <x:row r="26">
      <x:c r="B26" s="28" t="str">
        <x:v>IF-ROT-PEA-A-X1-1-08</x:v>
      </x:c>
      <x:c r="C26" s="28" t="str">
        <x:v>ROT-PEA-A-X1-1</x:v>
      </x:c>
      <x:c r="D26" s="28" t="str">
        <x:v>PEA-A-X1</x:v>
      </x:c>
      <x:c r="E26" s="28" t="str">
        <x:v>RFP-A2</x:v>
      </x:c>
      <x:c r="F26" s="28" t="n">
        <x:v>8</x:v>
      </x:c>
      <x:c r="G26" s="28" t="str">
        <x:v>independent safety energy</x:v>
      </x:c>
      <x:c r="H26" s="28" t="str">
        <x:v>CONFORMS</x:v>
      </x:c>
      <x:c r="I26" s="31" t="str"/>
      <x:c r="J26" s="31" t="str"/>
      <x:c r="K26" s="31" t="str"/>
      <x:c r="L26" s="28" t="str">
        <x:f>IF(K26="","OPEN",IF(OR(I26="",J26=""),"FAIL",IF(I26=H26,"PASS","FAIL")))</x:f>
        <x:v>OPEN</x:v>
      </x:c>
    </x:row>
    <x:row r="27">
      <x:c r="B27" s="28" t="str">
        <x:v>IF-ROT-PEA-A-X1-1-09</x:v>
      </x:c>
      <x:c r="C27" s="28" t="str">
        <x:v>ROT-PEA-A-X1-1</x:v>
      </x:c>
      <x:c r="D27" s="28" t="str">
        <x:v>PEA-A-X1</x:v>
      </x:c>
      <x:c r="E27" s="28" t="str">
        <x:v>RFP-A2</x:v>
      </x:c>
      <x:c r="F27" s="28" t="n">
        <x:v>9</x:v>
      </x:c>
      <x:c r="G27" s="28" t="str">
        <x:v>causal-time roots</x:v>
      </x:c>
      <x:c r="H27" s="28" t="str">
        <x:v>CONFORMS</x:v>
      </x:c>
      <x:c r="I27" s="31" t="str"/>
      <x:c r="J27" s="31" t="str"/>
      <x:c r="K27" s="31" t="str"/>
      <x:c r="L27" s="28" t="str">
        <x:f>IF(K27="","OPEN",IF(OR(I27="",J27=""),"FAIL",IF(I27=H27,"PASS","FAIL")))</x:f>
        <x:v>OPEN</x:v>
      </x:c>
    </x:row>
    <x:row r="28">
      <x:c r="B28" s="28" t="str">
        <x:v>IF-ROT-PEA-A-X1-1-10</x:v>
      </x:c>
      <x:c r="C28" s="28" t="str">
        <x:v>ROT-PEA-A-X1-1</x:v>
      </x:c>
      <x:c r="D28" s="28" t="str">
        <x:v>PEA-A-X1</x:v>
      </x:c>
      <x:c r="E28" s="28" t="str">
        <x:v>RFP-A2</x:v>
      </x:c>
      <x:c r="F28" s="28" t="n">
        <x:v>10</x:v>
      </x:c>
      <x:c r="G28" s="28" t="str">
        <x:v>two evidence originals</x:v>
      </x:c>
      <x:c r="H28" s="28" t="str">
        <x:v>CONFORMS</x:v>
      </x:c>
      <x:c r="I28" s="31" t="str"/>
      <x:c r="J28" s="31" t="str"/>
      <x:c r="K28" s="31" t="str"/>
      <x:c r="L28" s="28" t="str">
        <x:f>IF(K28="","OPEN",IF(OR(I28="",J28=""),"FAIL",IF(I28=H28,"PASS","FAIL")))</x:f>
        <x:v>OPEN</x:v>
      </x:c>
    </x:row>
    <x:row r="29">
      <x:c r="B29" s="28" t="str">
        <x:v>IF-ROT-PEA-A-X1-1-11</x:v>
      </x:c>
      <x:c r="C29" s="28" t="str">
        <x:v>ROT-PEA-A-X1-1</x:v>
      </x:c>
      <x:c r="D29" s="28" t="str">
        <x:v>PEA-A-X1</x:v>
      </x:c>
      <x:c r="E29" s="28" t="str">
        <x:v>RFP-A2</x:v>
      </x:c>
      <x:c r="F29" s="28" t="n">
        <x:v>11</x:v>
      </x:c>
      <x:c r="G29" s="28" t="str">
        <x:v>safeing command and final state</x:v>
      </x:c>
      <x:c r="H29" s="28" t="str">
        <x:v>CONFORMS</x:v>
      </x:c>
      <x:c r="I29" s="31" t="str"/>
      <x:c r="J29" s="31" t="str"/>
      <x:c r="K29" s="31" t="str"/>
      <x:c r="L29" s="28" t="str">
        <x:f>IF(K29="","OPEN",IF(OR(I29="",J29=""),"FAIL",IF(I29=H29,"PASS","FAIL")))</x:f>
        <x:v>OPEN</x:v>
      </x:c>
    </x:row>
    <x:row r="30">
      <x:c r="B30" s="28" t="str">
        <x:v>IF-ROT-PEA-A-X1-1-12</x:v>
      </x:c>
      <x:c r="C30" s="28" t="str">
        <x:v>ROT-PEA-A-X1-1</x:v>
      </x:c>
      <x:c r="D30" s="28" t="str">
        <x:v>PEA-A-X1</x:v>
      </x:c>
      <x:c r="E30" s="28" t="str">
        <x:v>RFP-A2</x:v>
      </x:c>
      <x:c r="F30" s="28" t="n">
        <x:v>12</x:v>
      </x:c>
      <x:c r="G30" s="28" t="str">
        <x:v>rescue access</x:v>
      </x:c>
      <x:c r="H30" s="28" t="str">
        <x:v>CONFORMS</x:v>
      </x:c>
      <x:c r="I30" s="31" t="str"/>
      <x:c r="J30" s="31" t="str"/>
      <x:c r="K30" s="31" t="str"/>
      <x:c r="L30" s="28" t="str">
        <x:f>IF(K30="","OPEN",IF(OR(I30="",J30=""),"FAIL",IF(I30=H30,"PASS","FAIL")))</x:f>
        <x:v>OPEN</x:v>
      </x:c>
    </x:row>
    <x:row r="31">
      <x:c r="B31" s="28" t="str">
        <x:v>IF-ROT-PEA-A-Y1-1-01</x:v>
      </x:c>
      <x:c r="C31" s="28" t="str">
        <x:v>ROT-PEA-A-Y1-1</x:v>
      </x:c>
      <x:c r="D31" s="28" t="str">
        <x:v>PEA-A-Y1</x:v>
      </x:c>
      <x:c r="E31" s="28" t="str">
        <x:v>RFP-B1</x:v>
      </x:c>
      <x:c r="F31" s="28" t="n">
        <x:v>1</x:v>
      </x:c>
      <x:c r="G31" s="28" t="str">
        <x:v>public datum and load path</x:v>
      </x:c>
      <x:c r="H31" s="28" t="str">
        <x:v>CONFORMS</x:v>
      </x:c>
      <x:c r="I31" s="31" t="str"/>
      <x:c r="J31" s="31" t="str"/>
      <x:c r="K31" s="31" t="str"/>
      <x:c r="L31" s="28" t="str">
        <x:f>IF(K31="","OPEN",IF(OR(I31="",J31=""),"FAIL",IF(I31=H31,"PASS","FAIL")))</x:f>
        <x:v>OPEN</x:v>
      </x:c>
    </x:row>
    <x:row r="32">
      <x:c r="B32" s="28" t="str">
        <x:v>IF-ROT-PEA-A-Y1-1-02</x:v>
      </x:c>
      <x:c r="C32" s="28" t="str">
        <x:v>ROT-PEA-A-Y1-1</x:v>
      </x:c>
      <x:c r="D32" s="28" t="str">
        <x:v>PEA-A-Y1</x:v>
      </x:c>
      <x:c r="E32" s="28" t="str">
        <x:v>RFP-B1</x:v>
      </x:c>
      <x:c r="F32" s="28" t="n">
        <x:v>2</x:v>
      </x:c>
      <x:c r="G32" s="28" t="str">
        <x:v>source-origin boundary</x:v>
      </x:c>
      <x:c r="H32" s="28" t="str">
        <x:v>CONFORMS</x:v>
      </x:c>
      <x:c r="I32" s="31" t="str"/>
      <x:c r="J32" s="31" t="str"/>
      <x:c r="K32" s="31" t="str"/>
      <x:c r="L32" s="28" t="str">
        <x:f>IF(K32="","OPEN",IF(OR(I32="",J32=""),"FAIL",IF(I32=H32,"PASS","FAIL")))</x:f>
        <x:v>OPEN</x:v>
      </x:c>
    </x:row>
    <x:row r="33">
      <x:c r="B33" s="28" t="str">
        <x:v>IF-ROT-PEA-A-Y1-1-03</x:v>
      </x:c>
      <x:c r="C33" s="28" t="str">
        <x:v>ROT-PEA-A-Y1-1</x:v>
      </x:c>
      <x:c r="D33" s="28" t="str">
        <x:v>PEA-A-Y1</x:v>
      </x:c>
      <x:c r="E33" s="28" t="str">
        <x:v>RFP-B1</x:v>
      </x:c>
      <x:c r="F33" s="28" t="n">
        <x:v>3</x:v>
      </x:c>
      <x:c r="G33" s="28" t="str">
        <x:v>normal route</x:v>
      </x:c>
      <x:c r="H33" s="28" t="str">
        <x:v>CONFORMS</x:v>
      </x:c>
      <x:c r="I33" s="31" t="str"/>
      <x:c r="J33" s="31" t="str"/>
      <x:c r="K33" s="31" t="str"/>
      <x:c r="L33" s="28" t="str">
        <x:f>IF(K33="","OPEN",IF(OR(I33="",J33=""),"FAIL",IF(I33=H33,"PASS","FAIL")))</x:f>
        <x:v>OPEN</x:v>
      </x:c>
    </x:row>
    <x:row r="34">
      <x:c r="B34" s="28" t="str">
        <x:v>IF-ROT-PEA-A-Y1-1-04</x:v>
      </x:c>
      <x:c r="C34" s="28" t="str">
        <x:v>ROT-PEA-A-Y1-1</x:v>
      </x:c>
      <x:c r="D34" s="28" t="str">
        <x:v>PEA-A-Y1</x:v>
      </x:c>
      <x:c r="E34" s="28" t="str">
        <x:v>RFP-B1</x:v>
      </x:c>
      <x:c r="F34" s="28" t="n">
        <x:v>4</x:v>
      </x:c>
      <x:c r="G34" s="28" t="str">
        <x:v>casualty-source route</x:v>
      </x:c>
      <x:c r="H34" s="28" t="str">
        <x:v>CONFORMS</x:v>
      </x:c>
      <x:c r="I34" s="31" t="str"/>
      <x:c r="J34" s="31" t="str"/>
      <x:c r="K34" s="31" t="str"/>
      <x:c r="L34" s="28" t="str">
        <x:f>IF(K34="","OPEN",IF(OR(I34="",J34=""),"FAIL",IF(I34=H34,"PASS","FAIL")))</x:f>
        <x:v>OPEN</x:v>
      </x:c>
    </x:row>
    <x:row r="35">
      <x:c r="B35" s="28" t="str">
        <x:v>IF-ROT-PEA-A-Y1-1-05</x:v>
      </x:c>
      <x:c r="C35" s="28" t="str">
        <x:v>ROT-PEA-A-Y1-1</x:v>
      </x:c>
      <x:c r="D35" s="28" t="str">
        <x:v>PEA-A-Y1</x:v>
      </x:c>
      <x:c r="E35" s="28" t="str">
        <x:v>RFP-B1</x:v>
      </x:c>
      <x:c r="F35" s="28" t="n">
        <x:v>5</x:v>
      </x:c>
      <x:c r="G35" s="28" t="str">
        <x:v>water supply and return</x:v>
      </x:c>
      <x:c r="H35" s="28" t="str">
        <x:v>CONFORMS</x:v>
      </x:c>
      <x:c r="I35" s="31" t="str"/>
      <x:c r="J35" s="31" t="str"/>
      <x:c r="K35" s="31" t="str"/>
      <x:c r="L35" s="28" t="str">
        <x:f>IF(K35="","OPEN",IF(OR(I35="",J35=""),"FAIL",IF(I35=H35,"PASS","FAIL")))</x:f>
        <x:v>OPEN</x:v>
      </x:c>
    </x:row>
    <x:row r="36">
      <x:c r="B36" s="28" t="str">
        <x:v>IF-ROT-PEA-A-Y1-1-06</x:v>
      </x:c>
      <x:c r="C36" s="28" t="str">
        <x:v>ROT-PEA-A-Y1-1</x:v>
      </x:c>
      <x:c r="D36" s="28" t="str">
        <x:v>PEA-A-Y1</x:v>
      </x:c>
      <x:c r="E36" s="28" t="str">
        <x:v>RFP-B1</x:v>
      </x:c>
      <x:c r="F36" s="28" t="n">
        <x:v>6</x:v>
      </x:c>
      <x:c r="G36" s="28" t="str">
        <x:v>casualty-water route</x:v>
      </x:c>
      <x:c r="H36" s="28" t="str">
        <x:v>CONFORMS</x:v>
      </x:c>
      <x:c r="I36" s="31" t="str"/>
      <x:c r="J36" s="31" t="str"/>
      <x:c r="K36" s="31" t="str"/>
      <x:c r="L36" s="28" t="str">
        <x:f>IF(K36="","OPEN",IF(OR(I36="",J36=""),"FAIL",IF(I36=H36,"PASS","FAIL")))</x:f>
        <x:v>OPEN</x:v>
      </x:c>
    </x:row>
    <x:row r="37">
      <x:c r="B37" s="28" t="str">
        <x:v>IF-ROT-PEA-A-Y1-1-07</x:v>
      </x:c>
      <x:c r="C37" s="28" t="str">
        <x:v>ROT-PEA-A-Y1-1</x:v>
      </x:c>
      <x:c r="D37" s="28" t="str">
        <x:v>PEA-A-Y1</x:v>
      </x:c>
      <x:c r="E37" s="28" t="str">
        <x:v>RFP-B1</x:v>
      </x:c>
      <x:c r="F37" s="28" t="n">
        <x:v>7</x:v>
      </x:c>
      <x:c r="G37" s="28" t="str">
        <x:v>normal electrical power</x:v>
      </x:c>
      <x:c r="H37" s="28" t="str">
        <x:v>CONFORMS</x:v>
      </x:c>
      <x:c r="I37" s="31" t="str"/>
      <x:c r="J37" s="31" t="str"/>
      <x:c r="K37" s="31" t="str"/>
      <x:c r="L37" s="28" t="str">
        <x:f>IF(K37="","OPEN",IF(OR(I37="",J37=""),"FAIL",IF(I37=H37,"PASS","FAIL")))</x:f>
        <x:v>OPEN</x:v>
      </x:c>
    </x:row>
    <x:row r="38">
      <x:c r="B38" s="28" t="str">
        <x:v>IF-ROT-PEA-A-Y1-1-08</x:v>
      </x:c>
      <x:c r="C38" s="28" t="str">
        <x:v>ROT-PEA-A-Y1-1</x:v>
      </x:c>
      <x:c r="D38" s="28" t="str">
        <x:v>PEA-A-Y1</x:v>
      </x:c>
      <x:c r="E38" s="28" t="str">
        <x:v>RFP-B1</x:v>
      </x:c>
      <x:c r="F38" s="28" t="n">
        <x:v>8</x:v>
      </x:c>
      <x:c r="G38" s="28" t="str">
        <x:v>independent safety energy</x:v>
      </x:c>
      <x:c r="H38" s="28" t="str">
        <x:v>CONFORMS</x:v>
      </x:c>
      <x:c r="I38" s="31" t="str"/>
      <x:c r="J38" s="31" t="str"/>
      <x:c r="K38" s="31" t="str"/>
      <x:c r="L38" s="28" t="str">
        <x:f>IF(K38="","OPEN",IF(OR(I38="",J38=""),"FAIL",IF(I38=H38,"PASS","FAIL")))</x:f>
        <x:v>OPEN</x:v>
      </x:c>
    </x:row>
    <x:row r="39">
      <x:c r="B39" s="28" t="str">
        <x:v>IF-ROT-PEA-A-Y1-1-09</x:v>
      </x:c>
      <x:c r="C39" s="28" t="str">
        <x:v>ROT-PEA-A-Y1-1</x:v>
      </x:c>
      <x:c r="D39" s="28" t="str">
        <x:v>PEA-A-Y1</x:v>
      </x:c>
      <x:c r="E39" s="28" t="str">
        <x:v>RFP-B1</x:v>
      </x:c>
      <x:c r="F39" s="28" t="n">
        <x:v>9</x:v>
      </x:c>
      <x:c r="G39" s="28" t="str">
        <x:v>causal-time roots</x:v>
      </x:c>
      <x:c r="H39" s="28" t="str">
        <x:v>CONFORMS</x:v>
      </x:c>
      <x:c r="I39" s="31" t="str"/>
      <x:c r="J39" s="31" t="str"/>
      <x:c r="K39" s="31" t="str"/>
      <x:c r="L39" s="28" t="str">
        <x:f>IF(K39="","OPEN",IF(OR(I39="",J39=""),"FAIL",IF(I39=H39,"PASS","FAIL")))</x:f>
        <x:v>OPEN</x:v>
      </x:c>
    </x:row>
    <x:row r="40">
      <x:c r="B40" s="28" t="str">
        <x:v>IF-ROT-PEA-A-Y1-1-10</x:v>
      </x:c>
      <x:c r="C40" s="28" t="str">
        <x:v>ROT-PEA-A-Y1-1</x:v>
      </x:c>
      <x:c r="D40" s="28" t="str">
        <x:v>PEA-A-Y1</x:v>
      </x:c>
      <x:c r="E40" s="28" t="str">
        <x:v>RFP-B1</x:v>
      </x:c>
      <x:c r="F40" s="28" t="n">
        <x:v>10</x:v>
      </x:c>
      <x:c r="G40" s="28" t="str">
        <x:v>two evidence originals</x:v>
      </x:c>
      <x:c r="H40" s="28" t="str">
        <x:v>CONFORMS</x:v>
      </x:c>
      <x:c r="I40" s="31" t="str"/>
      <x:c r="J40" s="31" t="str"/>
      <x:c r="K40" s="31" t="str"/>
      <x:c r="L40" s="28" t="str">
        <x:f>IF(K40="","OPEN",IF(OR(I40="",J40=""),"FAIL",IF(I40=H40,"PASS","FAIL")))</x:f>
        <x:v>OPEN</x:v>
      </x:c>
    </x:row>
    <x:row r="41">
      <x:c r="B41" s="28" t="str">
        <x:v>IF-ROT-PEA-A-Y1-1-11</x:v>
      </x:c>
      <x:c r="C41" s="28" t="str">
        <x:v>ROT-PEA-A-Y1-1</x:v>
      </x:c>
      <x:c r="D41" s="28" t="str">
        <x:v>PEA-A-Y1</x:v>
      </x:c>
      <x:c r="E41" s="28" t="str">
        <x:v>RFP-B1</x:v>
      </x:c>
      <x:c r="F41" s="28" t="n">
        <x:v>11</x:v>
      </x:c>
      <x:c r="G41" s="28" t="str">
        <x:v>safeing command and final state</x:v>
      </x:c>
      <x:c r="H41" s="28" t="str">
        <x:v>CONFORMS</x:v>
      </x:c>
      <x:c r="I41" s="31" t="str"/>
      <x:c r="J41" s="31" t="str"/>
      <x:c r="K41" s="31" t="str"/>
      <x:c r="L41" s="28" t="str">
        <x:f>IF(K41="","OPEN",IF(OR(I41="",J41=""),"FAIL",IF(I41=H41,"PASS","FAIL")))</x:f>
        <x:v>OPEN</x:v>
      </x:c>
    </x:row>
    <x:row r="42">
      <x:c r="B42" s="28" t="str">
        <x:v>IF-ROT-PEA-A-Y1-1-12</x:v>
      </x:c>
      <x:c r="C42" s="28" t="str">
        <x:v>ROT-PEA-A-Y1-1</x:v>
      </x:c>
      <x:c r="D42" s="28" t="str">
        <x:v>PEA-A-Y1</x:v>
      </x:c>
      <x:c r="E42" s="28" t="str">
        <x:v>RFP-B1</x:v>
      </x:c>
      <x:c r="F42" s="28" t="n">
        <x:v>12</x:v>
      </x:c>
      <x:c r="G42" s="28" t="str">
        <x:v>rescue access</x:v>
      </x:c>
      <x:c r="H42" s="28" t="str">
        <x:v>CONFORMS</x:v>
      </x:c>
      <x:c r="I42" s="31" t="str"/>
      <x:c r="J42" s="31" t="str"/>
      <x:c r="K42" s="31" t="str"/>
      <x:c r="L42" s="28" t="str">
        <x:f>IF(K42="","OPEN",IF(OR(I42="",J42=""),"FAIL",IF(I42=H42,"PASS","FAIL")))</x:f>
        <x:v>OPEN</x:v>
      </x:c>
    </x:row>
    <x:row r="43">
      <x:c r="B43" s="28" t="str">
        <x:v>IF-ROT-PEA-B-X1-1-01</x:v>
      </x:c>
      <x:c r="C43" s="28" t="str">
        <x:v>ROT-PEA-B-X1-1</x:v>
      </x:c>
      <x:c r="D43" s="28" t="str">
        <x:v>PEA-B-X1</x:v>
      </x:c>
      <x:c r="E43" s="28" t="str">
        <x:v>RFP-B2</x:v>
      </x:c>
      <x:c r="F43" s="28" t="n">
        <x:v>1</x:v>
      </x:c>
      <x:c r="G43" s="28" t="str">
        <x:v>public datum and load path</x:v>
      </x:c>
      <x:c r="H43" s="28" t="str">
        <x:v>CONFORMS</x:v>
      </x:c>
      <x:c r="I43" s="31" t="str"/>
      <x:c r="J43" s="31" t="str"/>
      <x:c r="K43" s="31" t="str"/>
      <x:c r="L43" s="28" t="str">
        <x:f>IF(K43="","OPEN",IF(OR(I43="",J43=""),"FAIL",IF(I43=H43,"PASS","FAIL")))</x:f>
        <x:v>OPEN</x:v>
      </x:c>
    </x:row>
    <x:row r="44">
      <x:c r="B44" s="28" t="str">
        <x:v>IF-ROT-PEA-B-X1-1-02</x:v>
      </x:c>
      <x:c r="C44" s="28" t="str">
        <x:v>ROT-PEA-B-X1-1</x:v>
      </x:c>
      <x:c r="D44" s="28" t="str">
        <x:v>PEA-B-X1</x:v>
      </x:c>
      <x:c r="E44" s="28" t="str">
        <x:v>RFP-B2</x:v>
      </x:c>
      <x:c r="F44" s="28" t="n">
        <x:v>2</x:v>
      </x:c>
      <x:c r="G44" s="28" t="str">
        <x:v>source-origin boundary</x:v>
      </x:c>
      <x:c r="H44" s="28" t="str">
        <x:v>CONFORMS</x:v>
      </x:c>
      <x:c r="I44" s="31" t="str"/>
      <x:c r="J44" s="31" t="str"/>
      <x:c r="K44" s="31" t="str"/>
      <x:c r="L44" s="28" t="str">
        <x:f>IF(K44="","OPEN",IF(OR(I44="",J44=""),"FAIL",IF(I44=H44,"PASS","FAIL")))</x:f>
        <x:v>OPEN</x:v>
      </x:c>
    </x:row>
    <x:row r="45">
      <x:c r="B45" s="28" t="str">
        <x:v>IF-ROT-PEA-B-X1-1-03</x:v>
      </x:c>
      <x:c r="C45" s="28" t="str">
        <x:v>ROT-PEA-B-X1-1</x:v>
      </x:c>
      <x:c r="D45" s="28" t="str">
        <x:v>PEA-B-X1</x:v>
      </x:c>
      <x:c r="E45" s="28" t="str">
        <x:v>RFP-B2</x:v>
      </x:c>
      <x:c r="F45" s="28" t="n">
        <x:v>3</x:v>
      </x:c>
      <x:c r="G45" s="28" t="str">
        <x:v>normal route</x:v>
      </x:c>
      <x:c r="H45" s="28" t="str">
        <x:v>CONFORMS</x:v>
      </x:c>
      <x:c r="I45" s="31" t="str"/>
      <x:c r="J45" s="31" t="str"/>
      <x:c r="K45" s="31" t="str"/>
      <x:c r="L45" s="28" t="str">
        <x:f>IF(K45="","OPEN",IF(OR(I45="",J45=""),"FAIL",IF(I45=H45,"PASS","FAIL")))</x:f>
        <x:v>OPEN</x:v>
      </x:c>
    </x:row>
    <x:row r="46">
      <x:c r="B46" s="28" t="str">
        <x:v>IF-ROT-PEA-B-X1-1-04</x:v>
      </x:c>
      <x:c r="C46" s="28" t="str">
        <x:v>ROT-PEA-B-X1-1</x:v>
      </x:c>
      <x:c r="D46" s="28" t="str">
        <x:v>PEA-B-X1</x:v>
      </x:c>
      <x:c r="E46" s="28" t="str">
        <x:v>RFP-B2</x:v>
      </x:c>
      <x:c r="F46" s="28" t="n">
        <x:v>4</x:v>
      </x:c>
      <x:c r="G46" s="28" t="str">
        <x:v>casualty-source route</x:v>
      </x:c>
      <x:c r="H46" s="28" t="str">
        <x:v>CONFORMS</x:v>
      </x:c>
      <x:c r="I46" s="31" t="str"/>
      <x:c r="J46" s="31" t="str"/>
      <x:c r="K46" s="31" t="str"/>
      <x:c r="L46" s="28" t="str">
        <x:f>IF(K46="","OPEN",IF(OR(I46="",J46=""),"FAIL",IF(I46=H46,"PASS","FAIL")))</x:f>
        <x:v>OPEN</x:v>
      </x:c>
    </x:row>
    <x:row r="47">
      <x:c r="B47" s="28" t="str">
        <x:v>IF-ROT-PEA-B-X1-1-05</x:v>
      </x:c>
      <x:c r="C47" s="28" t="str">
        <x:v>ROT-PEA-B-X1-1</x:v>
      </x:c>
      <x:c r="D47" s="28" t="str">
        <x:v>PEA-B-X1</x:v>
      </x:c>
      <x:c r="E47" s="28" t="str">
        <x:v>RFP-B2</x:v>
      </x:c>
      <x:c r="F47" s="28" t="n">
        <x:v>5</x:v>
      </x:c>
      <x:c r="G47" s="28" t="str">
        <x:v>water supply and return</x:v>
      </x:c>
      <x:c r="H47" s="28" t="str">
        <x:v>CONFORMS</x:v>
      </x:c>
      <x:c r="I47" s="31" t="str"/>
      <x:c r="J47" s="31" t="str"/>
      <x:c r="K47" s="31" t="str"/>
      <x:c r="L47" s="28" t="str">
        <x:f>IF(K47="","OPEN",IF(OR(I47="",J47=""),"FAIL",IF(I47=H47,"PASS","FAIL")))</x:f>
        <x:v>OPEN</x:v>
      </x:c>
    </x:row>
    <x:row r="48">
      <x:c r="B48" s="28" t="str">
        <x:v>IF-ROT-PEA-B-X1-1-06</x:v>
      </x:c>
      <x:c r="C48" s="28" t="str">
        <x:v>ROT-PEA-B-X1-1</x:v>
      </x:c>
      <x:c r="D48" s="28" t="str">
        <x:v>PEA-B-X1</x:v>
      </x:c>
      <x:c r="E48" s="28" t="str">
        <x:v>RFP-B2</x:v>
      </x:c>
      <x:c r="F48" s="28" t="n">
        <x:v>6</x:v>
      </x:c>
      <x:c r="G48" s="28" t="str">
        <x:v>casualty-water route</x:v>
      </x:c>
      <x:c r="H48" s="28" t="str">
        <x:v>CONFORMS</x:v>
      </x:c>
      <x:c r="I48" s="31" t="str"/>
      <x:c r="J48" s="31" t="str"/>
      <x:c r="K48" s="31" t="str"/>
      <x:c r="L48" s="28" t="str">
        <x:f>IF(K48="","OPEN",IF(OR(I48="",J48=""),"FAIL",IF(I48=H48,"PASS","FAIL")))</x:f>
        <x:v>OPEN</x:v>
      </x:c>
    </x:row>
    <x:row r="49">
      <x:c r="B49" s="28" t="str">
        <x:v>IF-ROT-PEA-B-X1-1-07</x:v>
      </x:c>
      <x:c r="C49" s="28" t="str">
        <x:v>ROT-PEA-B-X1-1</x:v>
      </x:c>
      <x:c r="D49" s="28" t="str">
        <x:v>PEA-B-X1</x:v>
      </x:c>
      <x:c r="E49" s="28" t="str">
        <x:v>RFP-B2</x:v>
      </x:c>
      <x:c r="F49" s="28" t="n">
        <x:v>7</x:v>
      </x:c>
      <x:c r="G49" s="28" t="str">
        <x:v>normal electrical power</x:v>
      </x:c>
      <x:c r="H49" s="28" t="str">
        <x:v>CONFORMS</x:v>
      </x:c>
      <x:c r="I49" s="31" t="str"/>
      <x:c r="J49" s="31" t="str"/>
      <x:c r="K49" s="31" t="str"/>
      <x:c r="L49" s="28" t="str">
        <x:f>IF(K49="","OPEN",IF(OR(I49="",J49=""),"FAIL",IF(I49=H49,"PASS","FAIL")))</x:f>
        <x:v>OPEN</x:v>
      </x:c>
    </x:row>
    <x:row r="50">
      <x:c r="B50" s="28" t="str">
        <x:v>IF-ROT-PEA-B-X1-1-08</x:v>
      </x:c>
      <x:c r="C50" s="28" t="str">
        <x:v>ROT-PEA-B-X1-1</x:v>
      </x:c>
      <x:c r="D50" s="28" t="str">
        <x:v>PEA-B-X1</x:v>
      </x:c>
      <x:c r="E50" s="28" t="str">
        <x:v>RFP-B2</x:v>
      </x:c>
      <x:c r="F50" s="28" t="n">
        <x:v>8</x:v>
      </x:c>
      <x:c r="G50" s="28" t="str">
        <x:v>independent safety energy</x:v>
      </x:c>
      <x:c r="H50" s="28" t="str">
        <x:v>CONFORMS</x:v>
      </x:c>
      <x:c r="I50" s="31" t="str"/>
      <x:c r="J50" s="31" t="str"/>
      <x:c r="K50" s="31" t="str"/>
      <x:c r="L50" s="28" t="str">
        <x:f>IF(K50="","OPEN",IF(OR(I50="",J50=""),"FAIL",IF(I50=H50,"PASS","FAIL")))</x:f>
        <x:v>OPEN</x:v>
      </x:c>
    </x:row>
    <x:row r="51">
      <x:c r="B51" s="28" t="str">
        <x:v>IF-ROT-PEA-B-X1-1-09</x:v>
      </x:c>
      <x:c r="C51" s="28" t="str">
        <x:v>ROT-PEA-B-X1-1</x:v>
      </x:c>
      <x:c r="D51" s="28" t="str">
        <x:v>PEA-B-X1</x:v>
      </x:c>
      <x:c r="E51" s="28" t="str">
        <x:v>RFP-B2</x:v>
      </x:c>
      <x:c r="F51" s="28" t="n">
        <x:v>9</x:v>
      </x:c>
      <x:c r="G51" s="28" t="str">
        <x:v>causal-time roots</x:v>
      </x:c>
      <x:c r="H51" s="28" t="str">
        <x:v>CONFORMS</x:v>
      </x:c>
      <x:c r="I51" s="31" t="str"/>
      <x:c r="J51" s="31" t="str"/>
      <x:c r="K51" s="31" t="str"/>
      <x:c r="L51" s="28" t="str">
        <x:f>IF(K51="","OPEN",IF(OR(I51="",J51=""),"FAIL",IF(I51=H51,"PASS","FAIL")))</x:f>
        <x:v>OPEN</x:v>
      </x:c>
    </x:row>
    <x:row r="52">
      <x:c r="B52" s="28" t="str">
        <x:v>IF-ROT-PEA-B-X1-1-10</x:v>
      </x:c>
      <x:c r="C52" s="28" t="str">
        <x:v>ROT-PEA-B-X1-1</x:v>
      </x:c>
      <x:c r="D52" s="28" t="str">
        <x:v>PEA-B-X1</x:v>
      </x:c>
      <x:c r="E52" s="28" t="str">
        <x:v>RFP-B2</x:v>
      </x:c>
      <x:c r="F52" s="28" t="n">
        <x:v>10</x:v>
      </x:c>
      <x:c r="G52" s="28" t="str">
        <x:v>two evidence originals</x:v>
      </x:c>
      <x:c r="H52" s="28" t="str">
        <x:v>CONFORMS</x:v>
      </x:c>
      <x:c r="I52" s="31" t="str"/>
      <x:c r="J52" s="31" t="str"/>
      <x:c r="K52" s="31" t="str"/>
      <x:c r="L52" s="28" t="str">
        <x:f>IF(K52="","OPEN",IF(OR(I52="",J52=""),"FAIL",IF(I52=H52,"PASS","FAIL")))</x:f>
        <x:v>OPEN</x:v>
      </x:c>
    </x:row>
    <x:row r="53">
      <x:c r="B53" s="28" t="str">
        <x:v>IF-ROT-PEA-B-X1-1-11</x:v>
      </x:c>
      <x:c r="C53" s="28" t="str">
        <x:v>ROT-PEA-B-X1-1</x:v>
      </x:c>
      <x:c r="D53" s="28" t="str">
        <x:v>PEA-B-X1</x:v>
      </x:c>
      <x:c r="E53" s="28" t="str">
        <x:v>RFP-B2</x:v>
      </x:c>
      <x:c r="F53" s="28" t="n">
        <x:v>11</x:v>
      </x:c>
      <x:c r="G53" s="28" t="str">
        <x:v>safeing command and final state</x:v>
      </x:c>
      <x:c r="H53" s="28" t="str">
        <x:v>CONFORMS</x:v>
      </x:c>
      <x:c r="I53" s="31" t="str"/>
      <x:c r="J53" s="31" t="str"/>
      <x:c r="K53" s="31" t="str"/>
      <x:c r="L53" s="28" t="str">
        <x:f>IF(K53="","OPEN",IF(OR(I53="",J53=""),"FAIL",IF(I53=H53,"PASS","FAIL")))</x:f>
        <x:v>OPEN</x:v>
      </x:c>
    </x:row>
    <x:row r="54">
      <x:c r="B54" s="28" t="str">
        <x:v>IF-ROT-PEA-B-X1-1-12</x:v>
      </x:c>
      <x:c r="C54" s="28" t="str">
        <x:v>ROT-PEA-B-X1-1</x:v>
      </x:c>
      <x:c r="D54" s="28" t="str">
        <x:v>PEA-B-X1</x:v>
      </x:c>
      <x:c r="E54" s="28" t="str">
        <x:v>RFP-B2</x:v>
      </x:c>
      <x:c r="F54" s="28" t="n">
        <x:v>12</x:v>
      </x:c>
      <x:c r="G54" s="28" t="str">
        <x:v>rescue access</x:v>
      </x:c>
      <x:c r="H54" s="28" t="str">
        <x:v>CONFORMS</x:v>
      </x:c>
      <x:c r="I54" s="31" t="str"/>
      <x:c r="J54" s="31" t="str"/>
      <x:c r="K54" s="31" t="str"/>
      <x:c r="L54" s="28" t="str">
        <x:f>IF(K54="","OPEN",IF(OR(I54="",J54=""),"FAIL",IF(I54=H54,"PASS","FAIL")))</x:f>
        <x:v>OPEN</x:v>
      </x:c>
    </x:row>
    <x:row r="55">
      <x:c r="B55" s="28" t="str">
        <x:v>IF-ROT-PEA-B-Y1-1-01</x:v>
      </x:c>
      <x:c r="C55" s="28" t="str">
        <x:v>ROT-PEA-B-Y1-1</x:v>
      </x:c>
      <x:c r="D55" s="28" t="str">
        <x:v>PEA-B-Y1</x:v>
      </x:c>
      <x:c r="E55" s="28" t="str">
        <x:v>RFP-C1</x:v>
      </x:c>
      <x:c r="F55" s="28" t="n">
        <x:v>1</x:v>
      </x:c>
      <x:c r="G55" s="28" t="str">
        <x:v>public datum and load path</x:v>
      </x:c>
      <x:c r="H55" s="28" t="str">
        <x:v>CONFORMS</x:v>
      </x:c>
      <x:c r="I55" s="31" t="str"/>
      <x:c r="J55" s="31" t="str"/>
      <x:c r="K55" s="31" t="str"/>
      <x:c r="L55" s="28" t="str">
        <x:f>IF(K55="","OPEN",IF(OR(I55="",J55=""),"FAIL",IF(I55=H55,"PASS","FAIL")))</x:f>
        <x:v>OPEN</x:v>
      </x:c>
    </x:row>
    <x:row r="56">
      <x:c r="B56" s="28" t="str">
        <x:v>IF-ROT-PEA-B-Y1-1-02</x:v>
      </x:c>
      <x:c r="C56" s="28" t="str">
        <x:v>ROT-PEA-B-Y1-1</x:v>
      </x:c>
      <x:c r="D56" s="28" t="str">
        <x:v>PEA-B-Y1</x:v>
      </x:c>
      <x:c r="E56" s="28" t="str">
        <x:v>RFP-C1</x:v>
      </x:c>
      <x:c r="F56" s="28" t="n">
        <x:v>2</x:v>
      </x:c>
      <x:c r="G56" s="28" t="str">
        <x:v>source-origin boundary</x:v>
      </x:c>
      <x:c r="H56" s="28" t="str">
        <x:v>CONFORMS</x:v>
      </x:c>
      <x:c r="I56" s="31" t="str"/>
      <x:c r="J56" s="31" t="str"/>
      <x:c r="K56" s="31" t="str"/>
      <x:c r="L56" s="28" t="str">
        <x:f>IF(K56="","OPEN",IF(OR(I56="",J56=""),"FAIL",IF(I56=H56,"PASS","FAIL")))</x:f>
        <x:v>OPEN</x:v>
      </x:c>
    </x:row>
    <x:row r="57">
      <x:c r="B57" s="28" t="str">
        <x:v>IF-ROT-PEA-B-Y1-1-03</x:v>
      </x:c>
      <x:c r="C57" s="28" t="str">
        <x:v>ROT-PEA-B-Y1-1</x:v>
      </x:c>
      <x:c r="D57" s="28" t="str">
        <x:v>PEA-B-Y1</x:v>
      </x:c>
      <x:c r="E57" s="28" t="str">
        <x:v>RFP-C1</x:v>
      </x:c>
      <x:c r="F57" s="28" t="n">
        <x:v>3</x:v>
      </x:c>
      <x:c r="G57" s="28" t="str">
        <x:v>normal route</x:v>
      </x:c>
      <x:c r="H57" s="28" t="str">
        <x:v>CONFORMS</x:v>
      </x:c>
      <x:c r="I57" s="31" t="str"/>
      <x:c r="J57" s="31" t="str"/>
      <x:c r="K57" s="31" t="str"/>
      <x:c r="L57" s="28" t="str">
        <x:f>IF(K57="","OPEN",IF(OR(I57="",J57=""),"FAIL",IF(I57=H57,"PASS","FAIL")))</x:f>
        <x:v>OPEN</x:v>
      </x:c>
    </x:row>
    <x:row r="58">
      <x:c r="B58" s="28" t="str">
        <x:v>IF-ROT-PEA-B-Y1-1-04</x:v>
      </x:c>
      <x:c r="C58" s="28" t="str">
        <x:v>ROT-PEA-B-Y1-1</x:v>
      </x:c>
      <x:c r="D58" s="28" t="str">
        <x:v>PEA-B-Y1</x:v>
      </x:c>
      <x:c r="E58" s="28" t="str">
        <x:v>RFP-C1</x:v>
      </x:c>
      <x:c r="F58" s="28" t="n">
        <x:v>4</x:v>
      </x:c>
      <x:c r="G58" s="28" t="str">
        <x:v>casualty-source route</x:v>
      </x:c>
      <x:c r="H58" s="28" t="str">
        <x:v>CONFORMS</x:v>
      </x:c>
      <x:c r="I58" s="31" t="str"/>
      <x:c r="J58" s="31" t="str"/>
      <x:c r="K58" s="31" t="str"/>
      <x:c r="L58" s="28" t="str">
        <x:f>IF(K58="","OPEN",IF(OR(I58="",J58=""),"FAIL",IF(I58=H58,"PASS","FAIL")))</x:f>
        <x:v>OPEN</x:v>
      </x:c>
    </x:row>
    <x:row r="59">
      <x:c r="B59" s="28" t="str">
        <x:v>IF-ROT-PEA-B-Y1-1-05</x:v>
      </x:c>
      <x:c r="C59" s="28" t="str">
        <x:v>ROT-PEA-B-Y1-1</x:v>
      </x:c>
      <x:c r="D59" s="28" t="str">
        <x:v>PEA-B-Y1</x:v>
      </x:c>
      <x:c r="E59" s="28" t="str">
        <x:v>RFP-C1</x:v>
      </x:c>
      <x:c r="F59" s="28" t="n">
        <x:v>5</x:v>
      </x:c>
      <x:c r="G59" s="28" t="str">
        <x:v>water supply and return</x:v>
      </x:c>
      <x:c r="H59" s="28" t="str">
        <x:v>CONFORMS</x:v>
      </x:c>
      <x:c r="I59" s="31" t="str"/>
      <x:c r="J59" s="31" t="str"/>
      <x:c r="K59" s="31" t="str"/>
      <x:c r="L59" s="28" t="str">
        <x:f>IF(K59="","OPEN",IF(OR(I59="",J59=""),"FAIL",IF(I59=H59,"PASS","FAIL")))</x:f>
        <x:v>OPEN</x:v>
      </x:c>
    </x:row>
    <x:row r="60">
      <x:c r="B60" s="28" t="str">
        <x:v>IF-ROT-PEA-B-Y1-1-06</x:v>
      </x:c>
      <x:c r="C60" s="28" t="str">
        <x:v>ROT-PEA-B-Y1-1</x:v>
      </x:c>
      <x:c r="D60" s="28" t="str">
        <x:v>PEA-B-Y1</x:v>
      </x:c>
      <x:c r="E60" s="28" t="str">
        <x:v>RFP-C1</x:v>
      </x:c>
      <x:c r="F60" s="28" t="n">
        <x:v>6</x:v>
      </x:c>
      <x:c r="G60" s="28" t="str">
        <x:v>casualty-water route</x:v>
      </x:c>
      <x:c r="H60" s="28" t="str">
        <x:v>CONFORMS</x:v>
      </x:c>
      <x:c r="I60" s="31" t="str"/>
      <x:c r="J60" s="31" t="str"/>
      <x:c r="K60" s="31" t="str"/>
      <x:c r="L60" s="28" t="str">
        <x:f>IF(K60="","OPEN",IF(OR(I60="",J60=""),"FAIL",IF(I60=H60,"PASS","FAIL")))</x:f>
        <x:v>OPEN</x:v>
      </x:c>
    </x:row>
    <x:row r="61">
      <x:c r="B61" s="28" t="str">
        <x:v>IF-ROT-PEA-B-Y1-1-07</x:v>
      </x:c>
      <x:c r="C61" s="28" t="str">
        <x:v>ROT-PEA-B-Y1-1</x:v>
      </x:c>
      <x:c r="D61" s="28" t="str">
        <x:v>PEA-B-Y1</x:v>
      </x:c>
      <x:c r="E61" s="28" t="str">
        <x:v>RFP-C1</x:v>
      </x:c>
      <x:c r="F61" s="28" t="n">
        <x:v>7</x:v>
      </x:c>
      <x:c r="G61" s="28" t="str">
        <x:v>normal electrical power</x:v>
      </x:c>
      <x:c r="H61" s="28" t="str">
        <x:v>CONFORMS</x:v>
      </x:c>
      <x:c r="I61" s="31" t="str"/>
      <x:c r="J61" s="31" t="str"/>
      <x:c r="K61" s="31" t="str"/>
      <x:c r="L61" s="28" t="str">
        <x:f>IF(K61="","OPEN",IF(OR(I61="",J61=""),"FAIL",IF(I61=H61,"PASS","FAIL")))</x:f>
        <x:v>OPEN</x:v>
      </x:c>
    </x:row>
    <x:row r="62">
      <x:c r="B62" s="28" t="str">
        <x:v>IF-ROT-PEA-B-Y1-1-08</x:v>
      </x:c>
      <x:c r="C62" s="28" t="str">
        <x:v>ROT-PEA-B-Y1-1</x:v>
      </x:c>
      <x:c r="D62" s="28" t="str">
        <x:v>PEA-B-Y1</x:v>
      </x:c>
      <x:c r="E62" s="28" t="str">
        <x:v>RFP-C1</x:v>
      </x:c>
      <x:c r="F62" s="28" t="n">
        <x:v>8</x:v>
      </x:c>
      <x:c r="G62" s="28" t="str">
        <x:v>independent safety energy</x:v>
      </x:c>
      <x:c r="H62" s="28" t="str">
        <x:v>CONFORMS</x:v>
      </x:c>
      <x:c r="I62" s="31" t="str"/>
      <x:c r="J62" s="31" t="str"/>
      <x:c r="K62" s="31" t="str"/>
      <x:c r="L62" s="28" t="str">
        <x:f>IF(K62="","OPEN",IF(OR(I62="",J62=""),"FAIL",IF(I62=H62,"PASS","FAIL")))</x:f>
        <x:v>OPEN</x:v>
      </x:c>
    </x:row>
    <x:row r="63">
      <x:c r="B63" s="28" t="str">
        <x:v>IF-ROT-PEA-B-Y1-1-09</x:v>
      </x:c>
      <x:c r="C63" s="28" t="str">
        <x:v>ROT-PEA-B-Y1-1</x:v>
      </x:c>
      <x:c r="D63" s="28" t="str">
        <x:v>PEA-B-Y1</x:v>
      </x:c>
      <x:c r="E63" s="28" t="str">
        <x:v>RFP-C1</x:v>
      </x:c>
      <x:c r="F63" s="28" t="n">
        <x:v>9</x:v>
      </x:c>
      <x:c r="G63" s="28" t="str">
        <x:v>causal-time roots</x:v>
      </x:c>
      <x:c r="H63" s="28" t="str">
        <x:v>CONFORMS</x:v>
      </x:c>
      <x:c r="I63" s="31" t="str"/>
      <x:c r="J63" s="31" t="str"/>
      <x:c r="K63" s="31" t="str"/>
      <x:c r="L63" s="28" t="str">
        <x:f>IF(K63="","OPEN",IF(OR(I63="",J63=""),"FAIL",IF(I63=H63,"PASS","FAIL")))</x:f>
        <x:v>OPEN</x:v>
      </x:c>
    </x:row>
    <x:row r="64">
      <x:c r="B64" s="28" t="str">
        <x:v>IF-ROT-PEA-B-Y1-1-10</x:v>
      </x:c>
      <x:c r="C64" s="28" t="str">
        <x:v>ROT-PEA-B-Y1-1</x:v>
      </x:c>
      <x:c r="D64" s="28" t="str">
        <x:v>PEA-B-Y1</x:v>
      </x:c>
      <x:c r="E64" s="28" t="str">
        <x:v>RFP-C1</x:v>
      </x:c>
      <x:c r="F64" s="28" t="n">
        <x:v>10</x:v>
      </x:c>
      <x:c r="G64" s="28" t="str">
        <x:v>two evidence originals</x:v>
      </x:c>
      <x:c r="H64" s="28" t="str">
        <x:v>CONFORMS</x:v>
      </x:c>
      <x:c r="I64" s="31" t="str"/>
      <x:c r="J64" s="31" t="str"/>
      <x:c r="K64" s="31" t="str"/>
      <x:c r="L64" s="28" t="str">
        <x:f>IF(K64="","OPEN",IF(OR(I64="",J64=""),"FAIL",IF(I64=H64,"PASS","FAIL")))</x:f>
        <x:v>OPEN</x:v>
      </x:c>
    </x:row>
    <x:row r="65">
      <x:c r="B65" s="28" t="str">
        <x:v>IF-ROT-PEA-B-Y1-1-11</x:v>
      </x:c>
      <x:c r="C65" s="28" t="str">
        <x:v>ROT-PEA-B-Y1-1</x:v>
      </x:c>
      <x:c r="D65" s="28" t="str">
        <x:v>PEA-B-Y1</x:v>
      </x:c>
      <x:c r="E65" s="28" t="str">
        <x:v>RFP-C1</x:v>
      </x:c>
      <x:c r="F65" s="28" t="n">
        <x:v>11</x:v>
      </x:c>
      <x:c r="G65" s="28" t="str">
        <x:v>safeing command and final state</x:v>
      </x:c>
      <x:c r="H65" s="28" t="str">
        <x:v>CONFORMS</x:v>
      </x:c>
      <x:c r="I65" s="31" t="str"/>
      <x:c r="J65" s="31" t="str"/>
      <x:c r="K65" s="31" t="str"/>
      <x:c r="L65" s="28" t="str">
        <x:f>IF(K65="","OPEN",IF(OR(I65="",J65=""),"FAIL",IF(I65=H65,"PASS","FAIL")))</x:f>
        <x:v>OPEN</x:v>
      </x:c>
    </x:row>
    <x:row r="66">
      <x:c r="B66" s="28" t="str">
        <x:v>IF-ROT-PEA-B-Y1-1-12</x:v>
      </x:c>
      <x:c r="C66" s="28" t="str">
        <x:v>ROT-PEA-B-Y1-1</x:v>
      </x:c>
      <x:c r="D66" s="28" t="str">
        <x:v>PEA-B-Y1</x:v>
      </x:c>
      <x:c r="E66" s="28" t="str">
        <x:v>RFP-C1</x:v>
      </x:c>
      <x:c r="F66" s="28" t="n">
        <x:v>12</x:v>
      </x:c>
      <x:c r="G66" s="28" t="str">
        <x:v>rescue access</x:v>
      </x:c>
      <x:c r="H66" s="28" t="str">
        <x:v>CONFORMS</x:v>
      </x:c>
      <x:c r="I66" s="31" t="str"/>
      <x:c r="J66" s="31" t="str"/>
      <x:c r="K66" s="31" t="str"/>
      <x:c r="L66" s="28" t="str">
        <x:f>IF(K66="","OPEN",IF(OR(I66="",J66=""),"FAIL",IF(I66=H66,"PASS","FAIL")))</x:f>
        <x:v>OPEN</x:v>
      </x:c>
    </x:row>
    <x:row r="67">
      <x:c r="B67" s="28" t="str">
        <x:v>IF-ROT-PEA-C-X1-1-01</x:v>
      </x:c>
      <x:c r="C67" s="28" t="str">
        <x:v>ROT-PEA-C-X1-1</x:v>
      </x:c>
      <x:c r="D67" s="28" t="str">
        <x:v>PEA-C-X1</x:v>
      </x:c>
      <x:c r="E67" s="28" t="str">
        <x:v>RFP-C2</x:v>
      </x:c>
      <x:c r="F67" s="28" t="n">
        <x:v>1</x:v>
      </x:c>
      <x:c r="G67" s="28" t="str">
        <x:v>public datum and load path</x:v>
      </x:c>
      <x:c r="H67" s="28" t="str">
        <x:v>CONFORMS</x:v>
      </x:c>
      <x:c r="I67" s="31" t="str"/>
      <x:c r="J67" s="31" t="str"/>
      <x:c r="K67" s="31" t="str"/>
      <x:c r="L67" s="28" t="str">
        <x:f>IF(K67="","OPEN",IF(OR(I67="",J67=""),"FAIL",IF(I67=H67,"PASS","FAIL")))</x:f>
        <x:v>OPEN</x:v>
      </x:c>
    </x:row>
    <x:row r="68">
      <x:c r="B68" s="28" t="str">
        <x:v>IF-ROT-PEA-C-X1-1-02</x:v>
      </x:c>
      <x:c r="C68" s="28" t="str">
        <x:v>ROT-PEA-C-X1-1</x:v>
      </x:c>
      <x:c r="D68" s="28" t="str">
        <x:v>PEA-C-X1</x:v>
      </x:c>
      <x:c r="E68" s="28" t="str">
        <x:v>RFP-C2</x:v>
      </x:c>
      <x:c r="F68" s="28" t="n">
        <x:v>2</x:v>
      </x:c>
      <x:c r="G68" s="28" t="str">
        <x:v>source-origin boundary</x:v>
      </x:c>
      <x:c r="H68" s="28" t="str">
        <x:v>CONFORMS</x:v>
      </x:c>
      <x:c r="I68" s="31" t="str"/>
      <x:c r="J68" s="31" t="str"/>
      <x:c r="K68" s="31" t="str"/>
      <x:c r="L68" s="28" t="str">
        <x:f>IF(K68="","OPEN",IF(OR(I68="",J68=""),"FAIL",IF(I68=H68,"PASS","FAIL")))</x:f>
        <x:v>OPEN</x:v>
      </x:c>
    </x:row>
    <x:row r="69">
      <x:c r="B69" s="28" t="str">
        <x:v>IF-ROT-PEA-C-X1-1-03</x:v>
      </x:c>
      <x:c r="C69" s="28" t="str">
        <x:v>ROT-PEA-C-X1-1</x:v>
      </x:c>
      <x:c r="D69" s="28" t="str">
        <x:v>PEA-C-X1</x:v>
      </x:c>
      <x:c r="E69" s="28" t="str">
        <x:v>RFP-C2</x:v>
      </x:c>
      <x:c r="F69" s="28" t="n">
        <x:v>3</x:v>
      </x:c>
      <x:c r="G69" s="28" t="str">
        <x:v>normal route</x:v>
      </x:c>
      <x:c r="H69" s="28" t="str">
        <x:v>CONFORMS</x:v>
      </x:c>
      <x:c r="I69" s="31" t="str"/>
      <x:c r="J69" s="31" t="str"/>
      <x:c r="K69" s="31" t="str"/>
      <x:c r="L69" s="28" t="str">
        <x:f>IF(K69="","OPEN",IF(OR(I69="",J69=""),"FAIL",IF(I69=H69,"PASS","FAIL")))</x:f>
        <x:v>OPEN</x:v>
      </x:c>
    </x:row>
    <x:row r="70">
      <x:c r="B70" s="28" t="str">
        <x:v>IF-ROT-PEA-C-X1-1-04</x:v>
      </x:c>
      <x:c r="C70" s="28" t="str">
        <x:v>ROT-PEA-C-X1-1</x:v>
      </x:c>
      <x:c r="D70" s="28" t="str">
        <x:v>PEA-C-X1</x:v>
      </x:c>
      <x:c r="E70" s="28" t="str">
        <x:v>RFP-C2</x:v>
      </x:c>
      <x:c r="F70" s="28" t="n">
        <x:v>4</x:v>
      </x:c>
      <x:c r="G70" s="28" t="str">
        <x:v>casualty-source route</x:v>
      </x:c>
      <x:c r="H70" s="28" t="str">
        <x:v>CONFORMS</x:v>
      </x:c>
      <x:c r="I70" s="31" t="str"/>
      <x:c r="J70" s="31" t="str"/>
      <x:c r="K70" s="31" t="str"/>
      <x:c r="L70" s="28" t="str">
        <x:f>IF(K70="","OPEN",IF(OR(I70="",J70=""),"FAIL",IF(I70=H70,"PASS","FAIL")))</x:f>
        <x:v>OPEN</x:v>
      </x:c>
    </x:row>
    <x:row r="71">
      <x:c r="B71" s="28" t="str">
        <x:v>IF-ROT-PEA-C-X1-1-05</x:v>
      </x:c>
      <x:c r="C71" s="28" t="str">
        <x:v>ROT-PEA-C-X1-1</x:v>
      </x:c>
      <x:c r="D71" s="28" t="str">
        <x:v>PEA-C-X1</x:v>
      </x:c>
      <x:c r="E71" s="28" t="str">
        <x:v>RFP-C2</x:v>
      </x:c>
      <x:c r="F71" s="28" t="n">
        <x:v>5</x:v>
      </x:c>
      <x:c r="G71" s="28" t="str">
        <x:v>water supply and return</x:v>
      </x:c>
      <x:c r="H71" s="28" t="str">
        <x:v>CONFORMS</x:v>
      </x:c>
      <x:c r="I71" s="31" t="str"/>
      <x:c r="J71" s="31" t="str"/>
      <x:c r="K71" s="31" t="str"/>
      <x:c r="L71" s="28" t="str">
        <x:f>IF(K71="","OPEN",IF(OR(I71="",J71=""),"FAIL",IF(I71=H71,"PASS","FAIL")))</x:f>
        <x:v>OPEN</x:v>
      </x:c>
    </x:row>
    <x:row r="72">
      <x:c r="B72" s="28" t="str">
        <x:v>IF-ROT-PEA-C-X1-1-06</x:v>
      </x:c>
      <x:c r="C72" s="28" t="str">
        <x:v>ROT-PEA-C-X1-1</x:v>
      </x:c>
      <x:c r="D72" s="28" t="str">
        <x:v>PEA-C-X1</x:v>
      </x:c>
      <x:c r="E72" s="28" t="str">
        <x:v>RFP-C2</x:v>
      </x:c>
      <x:c r="F72" s="28" t="n">
        <x:v>6</x:v>
      </x:c>
      <x:c r="G72" s="28" t="str">
        <x:v>casualty-water route</x:v>
      </x:c>
      <x:c r="H72" s="28" t="str">
        <x:v>CONFORMS</x:v>
      </x:c>
      <x:c r="I72" s="31" t="str"/>
      <x:c r="J72" s="31" t="str"/>
      <x:c r="K72" s="31" t="str"/>
      <x:c r="L72" s="28" t="str">
        <x:f>IF(K72="","OPEN",IF(OR(I72="",J72=""),"FAIL",IF(I72=H72,"PASS","FAIL")))</x:f>
        <x:v>OPEN</x:v>
      </x:c>
    </x:row>
    <x:row r="73">
      <x:c r="B73" s="28" t="str">
        <x:v>IF-ROT-PEA-C-X1-1-07</x:v>
      </x:c>
      <x:c r="C73" s="28" t="str">
        <x:v>ROT-PEA-C-X1-1</x:v>
      </x:c>
      <x:c r="D73" s="28" t="str">
        <x:v>PEA-C-X1</x:v>
      </x:c>
      <x:c r="E73" s="28" t="str">
        <x:v>RFP-C2</x:v>
      </x:c>
      <x:c r="F73" s="28" t="n">
        <x:v>7</x:v>
      </x:c>
      <x:c r="G73" s="28" t="str">
        <x:v>normal electrical power</x:v>
      </x:c>
      <x:c r="H73" s="28" t="str">
        <x:v>CONFORMS</x:v>
      </x:c>
      <x:c r="I73" s="31" t="str"/>
      <x:c r="J73" s="31" t="str"/>
      <x:c r="K73" s="31" t="str"/>
      <x:c r="L73" s="28" t="str">
        <x:f>IF(K73="","OPEN",IF(OR(I73="",J73=""),"FAIL",IF(I73=H73,"PASS","FAIL")))</x:f>
        <x:v>OPEN</x:v>
      </x:c>
    </x:row>
    <x:row r="74">
      <x:c r="B74" s="28" t="str">
        <x:v>IF-ROT-PEA-C-X1-1-08</x:v>
      </x:c>
      <x:c r="C74" s="28" t="str">
        <x:v>ROT-PEA-C-X1-1</x:v>
      </x:c>
      <x:c r="D74" s="28" t="str">
        <x:v>PEA-C-X1</x:v>
      </x:c>
      <x:c r="E74" s="28" t="str">
        <x:v>RFP-C2</x:v>
      </x:c>
      <x:c r="F74" s="28" t="n">
        <x:v>8</x:v>
      </x:c>
      <x:c r="G74" s="28" t="str">
        <x:v>independent safety energy</x:v>
      </x:c>
      <x:c r="H74" s="28" t="str">
        <x:v>CONFORMS</x:v>
      </x:c>
      <x:c r="I74" s="31" t="str"/>
      <x:c r="J74" s="31" t="str"/>
      <x:c r="K74" s="31" t="str"/>
      <x:c r="L74" s="28" t="str">
        <x:f>IF(K74="","OPEN",IF(OR(I74="",J74=""),"FAIL",IF(I74=H74,"PASS","FAIL")))</x:f>
        <x:v>OPEN</x:v>
      </x:c>
    </x:row>
    <x:row r="75">
      <x:c r="B75" s="28" t="str">
        <x:v>IF-ROT-PEA-C-X1-1-09</x:v>
      </x:c>
      <x:c r="C75" s="28" t="str">
        <x:v>ROT-PEA-C-X1-1</x:v>
      </x:c>
      <x:c r="D75" s="28" t="str">
        <x:v>PEA-C-X1</x:v>
      </x:c>
      <x:c r="E75" s="28" t="str">
        <x:v>RFP-C2</x:v>
      </x:c>
      <x:c r="F75" s="28" t="n">
        <x:v>9</x:v>
      </x:c>
      <x:c r="G75" s="28" t="str">
        <x:v>causal-time roots</x:v>
      </x:c>
      <x:c r="H75" s="28" t="str">
        <x:v>CONFORMS</x:v>
      </x:c>
      <x:c r="I75" s="31" t="str"/>
      <x:c r="J75" s="31" t="str"/>
      <x:c r="K75" s="31" t="str"/>
      <x:c r="L75" s="28" t="str">
        <x:f>IF(K75="","OPEN",IF(OR(I75="",J75=""),"FAIL",IF(I75=H75,"PASS","FAIL")))</x:f>
        <x:v>OPEN</x:v>
      </x:c>
    </x:row>
    <x:row r="76">
      <x:c r="B76" s="28" t="str">
        <x:v>IF-ROT-PEA-C-X1-1-10</x:v>
      </x:c>
      <x:c r="C76" s="28" t="str">
        <x:v>ROT-PEA-C-X1-1</x:v>
      </x:c>
      <x:c r="D76" s="28" t="str">
        <x:v>PEA-C-X1</x:v>
      </x:c>
      <x:c r="E76" s="28" t="str">
        <x:v>RFP-C2</x:v>
      </x:c>
      <x:c r="F76" s="28" t="n">
        <x:v>10</x:v>
      </x:c>
      <x:c r="G76" s="28" t="str">
        <x:v>two evidence originals</x:v>
      </x:c>
      <x:c r="H76" s="28" t="str">
        <x:v>CONFORMS</x:v>
      </x:c>
      <x:c r="I76" s="31" t="str"/>
      <x:c r="J76" s="31" t="str"/>
      <x:c r="K76" s="31" t="str"/>
      <x:c r="L76" s="28" t="str">
        <x:f>IF(K76="","OPEN",IF(OR(I76="",J76=""),"FAIL",IF(I76=H76,"PASS","FAIL")))</x:f>
        <x:v>OPEN</x:v>
      </x:c>
    </x:row>
    <x:row r="77">
      <x:c r="B77" s="28" t="str">
        <x:v>IF-ROT-PEA-C-X1-1-11</x:v>
      </x:c>
      <x:c r="C77" s="28" t="str">
        <x:v>ROT-PEA-C-X1-1</x:v>
      </x:c>
      <x:c r="D77" s="28" t="str">
        <x:v>PEA-C-X1</x:v>
      </x:c>
      <x:c r="E77" s="28" t="str">
        <x:v>RFP-C2</x:v>
      </x:c>
      <x:c r="F77" s="28" t="n">
        <x:v>11</x:v>
      </x:c>
      <x:c r="G77" s="28" t="str">
        <x:v>safeing command and final state</x:v>
      </x:c>
      <x:c r="H77" s="28" t="str">
        <x:v>CONFORMS</x:v>
      </x:c>
      <x:c r="I77" s="31" t="str"/>
      <x:c r="J77" s="31" t="str"/>
      <x:c r="K77" s="31" t="str"/>
      <x:c r="L77" s="28" t="str">
        <x:f>IF(K77="","OPEN",IF(OR(I77="",J77=""),"FAIL",IF(I77=H77,"PASS","FAIL")))</x:f>
        <x:v>OPEN</x:v>
      </x:c>
    </x:row>
    <x:row r="78">
      <x:c r="B78" s="28" t="str">
        <x:v>IF-ROT-PEA-C-X1-1-12</x:v>
      </x:c>
      <x:c r="C78" s="28" t="str">
        <x:v>ROT-PEA-C-X1-1</x:v>
      </x:c>
      <x:c r="D78" s="28" t="str">
        <x:v>PEA-C-X1</x:v>
      </x:c>
      <x:c r="E78" s="28" t="str">
        <x:v>RFP-C2</x:v>
      </x:c>
      <x:c r="F78" s="28" t="n">
        <x:v>12</x:v>
      </x:c>
      <x:c r="G78" s="28" t="str">
        <x:v>rescue access</x:v>
      </x:c>
      <x:c r="H78" s="28" t="str">
        <x:v>CONFORMS</x:v>
      </x:c>
      <x:c r="I78" s="31" t="str"/>
      <x:c r="J78" s="31" t="str"/>
      <x:c r="K78" s="31" t="str"/>
      <x:c r="L78" s="28" t="str">
        <x:f>IF(K78="","OPEN",IF(OR(I78="",J78=""),"FAIL",IF(I78=H78,"PASS","FAIL")))</x:f>
        <x:v>OPEN</x:v>
      </x:c>
    </x:row>
    <x:row r="79">
      <x:c r="B79" s="28" t="str">
        <x:v>IF-ROT-PEA-C-X1-2-01</x:v>
      </x:c>
      <x:c r="C79" s="28" t="str">
        <x:v>ROT-PEA-C-X1-2</x:v>
      </x:c>
      <x:c r="D79" s="28" t="str">
        <x:v>PEA-C-X1</x:v>
      </x:c>
      <x:c r="E79" s="28" t="str">
        <x:v>RFP-A1</x:v>
      </x:c>
      <x:c r="F79" s="28" t="n">
        <x:v>1</x:v>
      </x:c>
      <x:c r="G79" s="28" t="str">
        <x:v>public datum and load path</x:v>
      </x:c>
      <x:c r="H79" s="28" t="str">
        <x:v>CONFORMS</x:v>
      </x:c>
      <x:c r="I79" s="31" t="str"/>
      <x:c r="J79" s="31" t="str"/>
      <x:c r="K79" s="31" t="str"/>
      <x:c r="L79" s="28" t="str">
        <x:f>IF(K79="","OPEN",IF(OR(I79="",J79=""),"FAIL",IF(I79=H79,"PASS","FAIL")))</x:f>
        <x:v>OPEN</x:v>
      </x:c>
    </x:row>
    <x:row r="80">
      <x:c r="B80" s="28" t="str">
        <x:v>IF-ROT-PEA-C-X1-2-02</x:v>
      </x:c>
      <x:c r="C80" s="28" t="str">
        <x:v>ROT-PEA-C-X1-2</x:v>
      </x:c>
      <x:c r="D80" s="28" t="str">
        <x:v>PEA-C-X1</x:v>
      </x:c>
      <x:c r="E80" s="28" t="str">
        <x:v>RFP-A1</x:v>
      </x:c>
      <x:c r="F80" s="28" t="n">
        <x:v>2</x:v>
      </x:c>
      <x:c r="G80" s="28" t="str">
        <x:v>source-origin boundary</x:v>
      </x:c>
      <x:c r="H80" s="28" t="str">
        <x:v>CONFORMS</x:v>
      </x:c>
      <x:c r="I80" s="31" t="str"/>
      <x:c r="J80" s="31" t="str"/>
      <x:c r="K80" s="31" t="str"/>
      <x:c r="L80" s="28" t="str">
        <x:f>IF(K80="","OPEN",IF(OR(I80="",J80=""),"FAIL",IF(I80=H80,"PASS","FAIL")))</x:f>
        <x:v>OPEN</x:v>
      </x:c>
    </x:row>
    <x:row r="81">
      <x:c r="B81" s="28" t="str">
        <x:v>IF-ROT-PEA-C-X1-2-03</x:v>
      </x:c>
      <x:c r="C81" s="28" t="str">
        <x:v>ROT-PEA-C-X1-2</x:v>
      </x:c>
      <x:c r="D81" s="28" t="str">
        <x:v>PEA-C-X1</x:v>
      </x:c>
      <x:c r="E81" s="28" t="str">
        <x:v>RFP-A1</x:v>
      </x:c>
      <x:c r="F81" s="28" t="n">
        <x:v>3</x:v>
      </x:c>
      <x:c r="G81" s="28" t="str">
        <x:v>normal route</x:v>
      </x:c>
      <x:c r="H81" s="28" t="str">
        <x:v>CONFORMS</x:v>
      </x:c>
      <x:c r="I81" s="31" t="str"/>
      <x:c r="J81" s="31" t="str"/>
      <x:c r="K81" s="31" t="str"/>
      <x:c r="L81" s="28" t="str">
        <x:f>IF(K81="","OPEN",IF(OR(I81="",J81=""),"FAIL",IF(I81=H81,"PASS","FAIL")))</x:f>
        <x:v>OPEN</x:v>
      </x:c>
    </x:row>
    <x:row r="82">
      <x:c r="B82" s="28" t="str">
        <x:v>IF-ROT-PEA-C-X1-2-04</x:v>
      </x:c>
      <x:c r="C82" s="28" t="str">
        <x:v>ROT-PEA-C-X1-2</x:v>
      </x:c>
      <x:c r="D82" s="28" t="str">
        <x:v>PEA-C-X1</x:v>
      </x:c>
      <x:c r="E82" s="28" t="str">
        <x:v>RFP-A1</x:v>
      </x:c>
      <x:c r="F82" s="28" t="n">
        <x:v>4</x:v>
      </x:c>
      <x:c r="G82" s="28" t="str">
        <x:v>casualty-source route</x:v>
      </x:c>
      <x:c r="H82" s="28" t="str">
        <x:v>CONFORMS</x:v>
      </x:c>
      <x:c r="I82" s="31" t="str"/>
      <x:c r="J82" s="31" t="str"/>
      <x:c r="K82" s="31" t="str"/>
      <x:c r="L82" s="28" t="str">
        <x:f>IF(K82="","OPEN",IF(OR(I82="",J82=""),"FAIL",IF(I82=H82,"PASS","FAIL")))</x:f>
        <x:v>OPEN</x:v>
      </x:c>
    </x:row>
    <x:row r="83">
      <x:c r="B83" s="28" t="str">
        <x:v>IF-ROT-PEA-C-X1-2-05</x:v>
      </x:c>
      <x:c r="C83" s="28" t="str">
        <x:v>ROT-PEA-C-X1-2</x:v>
      </x:c>
      <x:c r="D83" s="28" t="str">
        <x:v>PEA-C-X1</x:v>
      </x:c>
      <x:c r="E83" s="28" t="str">
        <x:v>RFP-A1</x:v>
      </x:c>
      <x:c r="F83" s="28" t="n">
        <x:v>5</x:v>
      </x:c>
      <x:c r="G83" s="28" t="str">
        <x:v>water supply and return</x:v>
      </x:c>
      <x:c r="H83" s="28" t="str">
        <x:v>CONFORMS</x:v>
      </x:c>
      <x:c r="I83" s="31" t="str"/>
      <x:c r="J83" s="31" t="str"/>
      <x:c r="K83" s="31" t="str"/>
      <x:c r="L83" s="28" t="str">
        <x:f>IF(K83="","OPEN",IF(OR(I83="",J83=""),"FAIL",IF(I83=H83,"PASS","FAIL")))</x:f>
        <x:v>OPEN</x:v>
      </x:c>
    </x:row>
    <x:row r="84">
      <x:c r="B84" s="28" t="str">
        <x:v>IF-ROT-PEA-C-X1-2-06</x:v>
      </x:c>
      <x:c r="C84" s="28" t="str">
        <x:v>ROT-PEA-C-X1-2</x:v>
      </x:c>
      <x:c r="D84" s="28" t="str">
        <x:v>PEA-C-X1</x:v>
      </x:c>
      <x:c r="E84" s="28" t="str">
        <x:v>RFP-A1</x:v>
      </x:c>
      <x:c r="F84" s="28" t="n">
        <x:v>6</x:v>
      </x:c>
      <x:c r="G84" s="28" t="str">
        <x:v>casualty-water route</x:v>
      </x:c>
      <x:c r="H84" s="28" t="str">
        <x:v>CONFORMS</x:v>
      </x:c>
      <x:c r="I84" s="31" t="str"/>
      <x:c r="J84" s="31" t="str"/>
      <x:c r="K84" s="31" t="str"/>
      <x:c r="L84" s="28" t="str">
        <x:f>IF(K84="","OPEN",IF(OR(I84="",J84=""),"FAIL",IF(I84=H84,"PASS","FAIL")))</x:f>
        <x:v>OPEN</x:v>
      </x:c>
    </x:row>
    <x:row r="85">
      <x:c r="B85" s="28" t="str">
        <x:v>IF-ROT-PEA-C-X1-2-07</x:v>
      </x:c>
      <x:c r="C85" s="28" t="str">
        <x:v>ROT-PEA-C-X1-2</x:v>
      </x:c>
      <x:c r="D85" s="28" t="str">
        <x:v>PEA-C-X1</x:v>
      </x:c>
      <x:c r="E85" s="28" t="str">
        <x:v>RFP-A1</x:v>
      </x:c>
      <x:c r="F85" s="28" t="n">
        <x:v>7</x:v>
      </x:c>
      <x:c r="G85" s="28" t="str">
        <x:v>normal electrical power</x:v>
      </x:c>
      <x:c r="H85" s="28" t="str">
        <x:v>CONFORMS</x:v>
      </x:c>
      <x:c r="I85" s="31" t="str"/>
      <x:c r="J85" s="31" t="str"/>
      <x:c r="K85" s="31" t="str"/>
      <x:c r="L85" s="28" t="str">
        <x:f>IF(K85="","OPEN",IF(OR(I85="",J85=""),"FAIL",IF(I85=H85,"PASS","FAIL")))</x:f>
        <x:v>OPEN</x:v>
      </x:c>
    </x:row>
    <x:row r="86">
      <x:c r="B86" s="28" t="str">
        <x:v>IF-ROT-PEA-C-X1-2-08</x:v>
      </x:c>
      <x:c r="C86" s="28" t="str">
        <x:v>ROT-PEA-C-X1-2</x:v>
      </x:c>
      <x:c r="D86" s="28" t="str">
        <x:v>PEA-C-X1</x:v>
      </x:c>
      <x:c r="E86" s="28" t="str">
        <x:v>RFP-A1</x:v>
      </x:c>
      <x:c r="F86" s="28" t="n">
        <x:v>8</x:v>
      </x:c>
      <x:c r="G86" s="28" t="str">
        <x:v>independent safety energy</x:v>
      </x:c>
      <x:c r="H86" s="28" t="str">
        <x:v>CONFORMS</x:v>
      </x:c>
      <x:c r="I86" s="31" t="str"/>
      <x:c r="J86" s="31" t="str"/>
      <x:c r="K86" s="31" t="str"/>
      <x:c r="L86" s="28" t="str">
        <x:f>IF(K86="","OPEN",IF(OR(I86="",J86=""),"FAIL",IF(I86=H86,"PASS","FAIL")))</x:f>
        <x:v>OPEN</x:v>
      </x:c>
    </x:row>
    <x:row r="87">
      <x:c r="B87" s="28" t="str">
        <x:v>IF-ROT-PEA-C-X1-2-09</x:v>
      </x:c>
      <x:c r="C87" s="28" t="str">
        <x:v>ROT-PEA-C-X1-2</x:v>
      </x:c>
      <x:c r="D87" s="28" t="str">
        <x:v>PEA-C-X1</x:v>
      </x:c>
      <x:c r="E87" s="28" t="str">
        <x:v>RFP-A1</x:v>
      </x:c>
      <x:c r="F87" s="28" t="n">
        <x:v>9</x:v>
      </x:c>
      <x:c r="G87" s="28" t="str">
        <x:v>causal-time roots</x:v>
      </x:c>
      <x:c r="H87" s="28" t="str">
        <x:v>CONFORMS</x:v>
      </x:c>
      <x:c r="I87" s="31" t="str"/>
      <x:c r="J87" s="31" t="str"/>
      <x:c r="K87" s="31" t="str"/>
      <x:c r="L87" s="28" t="str">
        <x:f>IF(K87="","OPEN",IF(OR(I87="",J87=""),"FAIL",IF(I87=H87,"PASS","FAIL")))</x:f>
        <x:v>OPEN</x:v>
      </x:c>
    </x:row>
    <x:row r="88">
      <x:c r="B88" s="28" t="str">
        <x:v>IF-ROT-PEA-C-X1-2-10</x:v>
      </x:c>
      <x:c r="C88" s="28" t="str">
        <x:v>ROT-PEA-C-X1-2</x:v>
      </x:c>
      <x:c r="D88" s="28" t="str">
        <x:v>PEA-C-X1</x:v>
      </x:c>
      <x:c r="E88" s="28" t="str">
        <x:v>RFP-A1</x:v>
      </x:c>
      <x:c r="F88" s="28" t="n">
        <x:v>10</x:v>
      </x:c>
      <x:c r="G88" s="28" t="str">
        <x:v>two evidence originals</x:v>
      </x:c>
      <x:c r="H88" s="28" t="str">
        <x:v>CONFORMS</x:v>
      </x:c>
      <x:c r="I88" s="31" t="str"/>
      <x:c r="J88" s="31" t="str"/>
      <x:c r="K88" s="31" t="str"/>
      <x:c r="L88" s="28" t="str">
        <x:f>IF(K88="","OPEN",IF(OR(I88="",J88=""),"FAIL",IF(I88=H88,"PASS","FAIL")))</x:f>
        <x:v>OPEN</x:v>
      </x:c>
    </x:row>
    <x:row r="89">
      <x:c r="B89" s="28" t="str">
        <x:v>IF-ROT-PEA-C-X1-2-11</x:v>
      </x:c>
      <x:c r="C89" s="28" t="str">
        <x:v>ROT-PEA-C-X1-2</x:v>
      </x:c>
      <x:c r="D89" s="28" t="str">
        <x:v>PEA-C-X1</x:v>
      </x:c>
      <x:c r="E89" s="28" t="str">
        <x:v>RFP-A1</x:v>
      </x:c>
      <x:c r="F89" s="28" t="n">
        <x:v>11</x:v>
      </x:c>
      <x:c r="G89" s="28" t="str">
        <x:v>safeing command and final state</x:v>
      </x:c>
      <x:c r="H89" s="28" t="str">
        <x:v>CONFORMS</x:v>
      </x:c>
      <x:c r="I89" s="31" t="str"/>
      <x:c r="J89" s="31" t="str"/>
      <x:c r="K89" s="31" t="str"/>
      <x:c r="L89" s="28" t="str">
        <x:f>IF(K89="","OPEN",IF(OR(I89="",J89=""),"FAIL",IF(I89=H89,"PASS","FAIL")))</x:f>
        <x:v>OPEN</x:v>
      </x:c>
    </x:row>
    <x:row r="90">
      <x:c r="B90" s="28" t="str">
        <x:v>IF-ROT-PEA-C-X1-2-12</x:v>
      </x:c>
      <x:c r="C90" s="28" t="str">
        <x:v>ROT-PEA-C-X1-2</x:v>
      </x:c>
      <x:c r="D90" s="28" t="str">
        <x:v>PEA-C-X1</x:v>
      </x:c>
      <x:c r="E90" s="28" t="str">
        <x:v>RFP-A1</x:v>
      </x:c>
      <x:c r="F90" s="28" t="n">
        <x:v>12</x:v>
      </x:c>
      <x:c r="G90" s="28" t="str">
        <x:v>rescue access</x:v>
      </x:c>
      <x:c r="H90" s="28" t="str">
        <x:v>CONFORMS</x:v>
      </x:c>
      <x:c r="I90" s="31" t="str"/>
      <x:c r="J90" s="31" t="str"/>
      <x:c r="K90" s="31" t="str"/>
      <x:c r="L90" s="28" t="str">
        <x:f>IF(K90="","OPEN",IF(OR(I90="",J90=""),"FAIL",IF(I90=H90,"PASS","FAIL")))</x:f>
        <x:v>OPEN</x:v>
      </x:c>
    </x:row>
    <x:row r="91">
      <x:c r="B91" s="28" t="str">
        <x:v>IF-ROT-PEA-C-Y1-2-01</x:v>
      </x:c>
      <x:c r="C91" s="28" t="str">
        <x:v>ROT-PEA-C-Y1-2</x:v>
      </x:c>
      <x:c r="D91" s="28" t="str">
        <x:v>PEA-C-Y1</x:v>
      </x:c>
      <x:c r="E91" s="28" t="str">
        <x:v>RFP-A2</x:v>
      </x:c>
      <x:c r="F91" s="28" t="n">
        <x:v>1</x:v>
      </x:c>
      <x:c r="G91" s="28" t="str">
        <x:v>public datum and load path</x:v>
      </x:c>
      <x:c r="H91" s="28" t="str">
        <x:v>CONFORMS</x:v>
      </x:c>
      <x:c r="I91" s="31" t="str"/>
      <x:c r="J91" s="31" t="str"/>
      <x:c r="K91" s="31" t="str"/>
      <x:c r="L91" s="28" t="str">
        <x:f>IF(K91="","OPEN",IF(OR(I91="",J91=""),"FAIL",IF(I91=H91,"PASS","FAIL")))</x:f>
        <x:v>OPEN</x:v>
      </x:c>
    </x:row>
    <x:row r="92">
      <x:c r="B92" s="28" t="str">
        <x:v>IF-ROT-PEA-C-Y1-2-02</x:v>
      </x:c>
      <x:c r="C92" s="28" t="str">
        <x:v>ROT-PEA-C-Y1-2</x:v>
      </x:c>
      <x:c r="D92" s="28" t="str">
        <x:v>PEA-C-Y1</x:v>
      </x:c>
      <x:c r="E92" s="28" t="str">
        <x:v>RFP-A2</x:v>
      </x:c>
      <x:c r="F92" s="28" t="n">
        <x:v>2</x:v>
      </x:c>
      <x:c r="G92" s="28" t="str">
        <x:v>source-origin boundary</x:v>
      </x:c>
      <x:c r="H92" s="28" t="str">
        <x:v>CONFORMS</x:v>
      </x:c>
      <x:c r="I92" s="31" t="str"/>
      <x:c r="J92" s="31" t="str"/>
      <x:c r="K92" s="31" t="str"/>
      <x:c r="L92" s="28" t="str">
        <x:f>IF(K92="","OPEN",IF(OR(I92="",J92=""),"FAIL",IF(I92=H92,"PASS","FAIL")))</x:f>
        <x:v>OPEN</x:v>
      </x:c>
    </x:row>
    <x:row r="93">
      <x:c r="B93" s="28" t="str">
        <x:v>IF-ROT-PEA-C-Y1-2-03</x:v>
      </x:c>
      <x:c r="C93" s="28" t="str">
        <x:v>ROT-PEA-C-Y1-2</x:v>
      </x:c>
      <x:c r="D93" s="28" t="str">
        <x:v>PEA-C-Y1</x:v>
      </x:c>
      <x:c r="E93" s="28" t="str">
        <x:v>RFP-A2</x:v>
      </x:c>
      <x:c r="F93" s="28" t="n">
        <x:v>3</x:v>
      </x:c>
      <x:c r="G93" s="28" t="str">
        <x:v>normal route</x:v>
      </x:c>
      <x:c r="H93" s="28" t="str">
        <x:v>CONFORMS</x:v>
      </x:c>
      <x:c r="I93" s="31" t="str"/>
      <x:c r="J93" s="31" t="str"/>
      <x:c r="K93" s="31" t="str"/>
      <x:c r="L93" s="28" t="str">
        <x:f>IF(K93="","OPEN",IF(OR(I93="",J93=""),"FAIL",IF(I93=H93,"PASS","FAIL")))</x:f>
        <x:v>OPEN</x:v>
      </x:c>
    </x:row>
    <x:row r="94">
      <x:c r="B94" s="28" t="str">
        <x:v>IF-ROT-PEA-C-Y1-2-04</x:v>
      </x:c>
      <x:c r="C94" s="28" t="str">
        <x:v>ROT-PEA-C-Y1-2</x:v>
      </x:c>
      <x:c r="D94" s="28" t="str">
        <x:v>PEA-C-Y1</x:v>
      </x:c>
      <x:c r="E94" s="28" t="str">
        <x:v>RFP-A2</x:v>
      </x:c>
      <x:c r="F94" s="28" t="n">
        <x:v>4</x:v>
      </x:c>
      <x:c r="G94" s="28" t="str">
        <x:v>casualty-source route</x:v>
      </x:c>
      <x:c r="H94" s="28" t="str">
        <x:v>CONFORMS</x:v>
      </x:c>
      <x:c r="I94" s="31" t="str"/>
      <x:c r="J94" s="31" t="str"/>
      <x:c r="K94" s="31" t="str"/>
      <x:c r="L94" s="28" t="str">
        <x:f>IF(K94="","OPEN",IF(OR(I94="",J94=""),"FAIL",IF(I94=H94,"PASS","FAIL")))</x:f>
        <x:v>OPEN</x:v>
      </x:c>
    </x:row>
    <x:row r="95">
      <x:c r="B95" s="28" t="str">
        <x:v>IF-ROT-PEA-C-Y1-2-05</x:v>
      </x:c>
      <x:c r="C95" s="28" t="str">
        <x:v>ROT-PEA-C-Y1-2</x:v>
      </x:c>
      <x:c r="D95" s="28" t="str">
        <x:v>PEA-C-Y1</x:v>
      </x:c>
      <x:c r="E95" s="28" t="str">
        <x:v>RFP-A2</x:v>
      </x:c>
      <x:c r="F95" s="28" t="n">
        <x:v>5</x:v>
      </x:c>
      <x:c r="G95" s="28" t="str">
        <x:v>water supply and return</x:v>
      </x:c>
      <x:c r="H95" s="28" t="str">
        <x:v>CONFORMS</x:v>
      </x:c>
      <x:c r="I95" s="31" t="str"/>
      <x:c r="J95" s="31" t="str"/>
      <x:c r="K95" s="31" t="str"/>
      <x:c r="L95" s="28" t="str">
        <x:f>IF(K95="","OPEN",IF(OR(I95="",J95=""),"FAIL",IF(I95=H95,"PASS","FAIL")))</x:f>
        <x:v>OPEN</x:v>
      </x:c>
    </x:row>
    <x:row r="96">
      <x:c r="B96" s="28" t="str">
        <x:v>IF-ROT-PEA-C-Y1-2-06</x:v>
      </x:c>
      <x:c r="C96" s="28" t="str">
        <x:v>ROT-PEA-C-Y1-2</x:v>
      </x:c>
      <x:c r="D96" s="28" t="str">
        <x:v>PEA-C-Y1</x:v>
      </x:c>
      <x:c r="E96" s="28" t="str">
        <x:v>RFP-A2</x:v>
      </x:c>
      <x:c r="F96" s="28" t="n">
        <x:v>6</x:v>
      </x:c>
      <x:c r="G96" s="28" t="str">
        <x:v>casualty-water route</x:v>
      </x:c>
      <x:c r="H96" s="28" t="str">
        <x:v>CONFORMS</x:v>
      </x:c>
      <x:c r="I96" s="31" t="str"/>
      <x:c r="J96" s="31" t="str"/>
      <x:c r="K96" s="31" t="str"/>
      <x:c r="L96" s="28" t="str">
        <x:f>IF(K96="","OPEN",IF(OR(I96="",J96=""),"FAIL",IF(I96=H96,"PASS","FAIL")))</x:f>
        <x:v>OPEN</x:v>
      </x:c>
    </x:row>
    <x:row r="97">
      <x:c r="B97" s="28" t="str">
        <x:v>IF-ROT-PEA-C-Y1-2-07</x:v>
      </x:c>
      <x:c r="C97" s="28" t="str">
        <x:v>ROT-PEA-C-Y1-2</x:v>
      </x:c>
      <x:c r="D97" s="28" t="str">
        <x:v>PEA-C-Y1</x:v>
      </x:c>
      <x:c r="E97" s="28" t="str">
        <x:v>RFP-A2</x:v>
      </x:c>
      <x:c r="F97" s="28" t="n">
        <x:v>7</x:v>
      </x:c>
      <x:c r="G97" s="28" t="str">
        <x:v>normal electrical power</x:v>
      </x:c>
      <x:c r="H97" s="28" t="str">
        <x:v>CONFORMS</x:v>
      </x:c>
      <x:c r="I97" s="31" t="str"/>
      <x:c r="J97" s="31" t="str"/>
      <x:c r="K97" s="31" t="str"/>
      <x:c r="L97" s="28" t="str">
        <x:f>IF(K97="","OPEN",IF(OR(I97="",J97=""),"FAIL",IF(I97=H97,"PASS","FAIL")))</x:f>
        <x:v>OPEN</x:v>
      </x:c>
    </x:row>
    <x:row r="98">
      <x:c r="B98" s="28" t="str">
        <x:v>IF-ROT-PEA-C-Y1-2-08</x:v>
      </x:c>
      <x:c r="C98" s="28" t="str">
        <x:v>ROT-PEA-C-Y1-2</x:v>
      </x:c>
      <x:c r="D98" s="28" t="str">
        <x:v>PEA-C-Y1</x:v>
      </x:c>
      <x:c r="E98" s="28" t="str">
        <x:v>RFP-A2</x:v>
      </x:c>
      <x:c r="F98" s="28" t="n">
        <x:v>8</x:v>
      </x:c>
      <x:c r="G98" s="28" t="str">
        <x:v>independent safety energy</x:v>
      </x:c>
      <x:c r="H98" s="28" t="str">
        <x:v>CONFORMS</x:v>
      </x:c>
      <x:c r="I98" s="31" t="str"/>
      <x:c r="J98" s="31" t="str"/>
      <x:c r="K98" s="31" t="str"/>
      <x:c r="L98" s="28" t="str">
        <x:f>IF(K98="","OPEN",IF(OR(I98="",J98=""),"FAIL",IF(I98=H98,"PASS","FAIL")))</x:f>
        <x:v>OPEN</x:v>
      </x:c>
    </x:row>
    <x:row r="99">
      <x:c r="B99" s="28" t="str">
        <x:v>IF-ROT-PEA-C-Y1-2-09</x:v>
      </x:c>
      <x:c r="C99" s="28" t="str">
        <x:v>ROT-PEA-C-Y1-2</x:v>
      </x:c>
      <x:c r="D99" s="28" t="str">
        <x:v>PEA-C-Y1</x:v>
      </x:c>
      <x:c r="E99" s="28" t="str">
        <x:v>RFP-A2</x:v>
      </x:c>
      <x:c r="F99" s="28" t="n">
        <x:v>9</x:v>
      </x:c>
      <x:c r="G99" s="28" t="str">
        <x:v>causal-time roots</x:v>
      </x:c>
      <x:c r="H99" s="28" t="str">
        <x:v>CONFORMS</x:v>
      </x:c>
      <x:c r="I99" s="31" t="str"/>
      <x:c r="J99" s="31" t="str"/>
      <x:c r="K99" s="31" t="str"/>
      <x:c r="L99" s="28" t="str">
        <x:f>IF(K99="","OPEN",IF(OR(I99="",J99=""),"FAIL",IF(I99=H99,"PASS","FAIL")))</x:f>
        <x:v>OPEN</x:v>
      </x:c>
    </x:row>
    <x:row r="100">
      <x:c r="B100" s="28" t="str">
        <x:v>IF-ROT-PEA-C-Y1-2-10</x:v>
      </x:c>
      <x:c r="C100" s="28" t="str">
        <x:v>ROT-PEA-C-Y1-2</x:v>
      </x:c>
      <x:c r="D100" s="28" t="str">
        <x:v>PEA-C-Y1</x:v>
      </x:c>
      <x:c r="E100" s="28" t="str">
        <x:v>RFP-A2</x:v>
      </x:c>
      <x:c r="F100" s="28" t="n">
        <x:v>10</x:v>
      </x:c>
      <x:c r="G100" s="28" t="str">
        <x:v>two evidence originals</x:v>
      </x:c>
      <x:c r="H100" s="28" t="str">
        <x:v>CONFORMS</x:v>
      </x:c>
      <x:c r="I100" s="31" t="str"/>
      <x:c r="J100" s="31" t="str"/>
      <x:c r="K100" s="31" t="str"/>
      <x:c r="L100" s="28" t="str">
        <x:f>IF(K100="","OPEN",IF(OR(I100="",J100=""),"FAIL",IF(I100=H100,"PASS","FAIL")))</x:f>
        <x:v>OPEN</x:v>
      </x:c>
    </x:row>
    <x:row r="101">
      <x:c r="B101" s="28" t="str">
        <x:v>IF-ROT-PEA-C-Y1-2-11</x:v>
      </x:c>
      <x:c r="C101" s="28" t="str">
        <x:v>ROT-PEA-C-Y1-2</x:v>
      </x:c>
      <x:c r="D101" s="28" t="str">
        <x:v>PEA-C-Y1</x:v>
      </x:c>
      <x:c r="E101" s="28" t="str">
        <x:v>RFP-A2</x:v>
      </x:c>
      <x:c r="F101" s="28" t="n">
        <x:v>11</x:v>
      </x:c>
      <x:c r="G101" s="28" t="str">
        <x:v>safeing command and final state</x:v>
      </x:c>
      <x:c r="H101" s="28" t="str">
        <x:v>CONFORMS</x:v>
      </x:c>
      <x:c r="I101" s="31" t="str"/>
      <x:c r="J101" s="31" t="str"/>
      <x:c r="K101" s="31" t="str"/>
      <x:c r="L101" s="28" t="str">
        <x:f>IF(K101="","OPEN",IF(OR(I101="",J101=""),"FAIL",IF(I101=H101,"PASS","FAIL")))</x:f>
        <x:v>OPEN</x:v>
      </x:c>
    </x:row>
    <x:row r="102">
      <x:c r="B102" s="28" t="str">
        <x:v>IF-ROT-PEA-C-Y1-2-12</x:v>
      </x:c>
      <x:c r="C102" s="28" t="str">
        <x:v>ROT-PEA-C-Y1-2</x:v>
      </x:c>
      <x:c r="D102" s="28" t="str">
        <x:v>PEA-C-Y1</x:v>
      </x:c>
      <x:c r="E102" s="28" t="str">
        <x:v>RFP-A2</x:v>
      </x:c>
      <x:c r="F102" s="28" t="n">
        <x:v>12</x:v>
      </x:c>
      <x:c r="G102" s="28" t="str">
        <x:v>rescue access</x:v>
      </x:c>
      <x:c r="H102" s="28" t="str">
        <x:v>CONFORMS</x:v>
      </x:c>
      <x:c r="I102" s="31" t="str"/>
      <x:c r="J102" s="31" t="str"/>
      <x:c r="K102" s="31" t="str"/>
      <x:c r="L102" s="28" t="str">
        <x:f>IF(K102="","OPEN",IF(OR(I102="",J102=""),"FAIL",IF(I102=H102,"PASS","FAIL")))</x:f>
        <x:v>OPEN</x:v>
      </x:c>
    </x:row>
    <x:row r="103">
      <x:c r="B103" s="28" t="str">
        <x:v>IF-ROT-PEA-A-X1-2-01</x:v>
      </x:c>
      <x:c r="C103" s="28" t="str">
        <x:v>ROT-PEA-A-X1-2</x:v>
      </x:c>
      <x:c r="D103" s="28" t="str">
        <x:v>PEA-A-X1</x:v>
      </x:c>
      <x:c r="E103" s="28" t="str">
        <x:v>RFP-B1</x:v>
      </x:c>
      <x:c r="F103" s="28" t="n">
        <x:v>1</x:v>
      </x:c>
      <x:c r="G103" s="28" t="str">
        <x:v>public datum and load path</x:v>
      </x:c>
      <x:c r="H103" s="28" t="str">
        <x:v>CONFORMS</x:v>
      </x:c>
      <x:c r="I103" s="31" t="str"/>
      <x:c r="J103" s="31" t="str"/>
      <x:c r="K103" s="31" t="str"/>
      <x:c r="L103" s="28" t="str">
        <x:f>IF(K103="","OPEN",IF(OR(I103="",J103=""),"FAIL",IF(I103=H103,"PASS","FAIL")))</x:f>
        <x:v>OPEN</x:v>
      </x:c>
    </x:row>
    <x:row r="104">
      <x:c r="B104" s="28" t="str">
        <x:v>IF-ROT-PEA-A-X1-2-02</x:v>
      </x:c>
      <x:c r="C104" s="28" t="str">
        <x:v>ROT-PEA-A-X1-2</x:v>
      </x:c>
      <x:c r="D104" s="28" t="str">
        <x:v>PEA-A-X1</x:v>
      </x:c>
      <x:c r="E104" s="28" t="str">
        <x:v>RFP-B1</x:v>
      </x:c>
      <x:c r="F104" s="28" t="n">
        <x:v>2</x:v>
      </x:c>
      <x:c r="G104" s="28" t="str">
        <x:v>source-origin boundary</x:v>
      </x:c>
      <x:c r="H104" s="28" t="str">
        <x:v>CONFORMS</x:v>
      </x:c>
      <x:c r="I104" s="31" t="str"/>
      <x:c r="J104" s="31" t="str"/>
      <x:c r="K104" s="31" t="str"/>
      <x:c r="L104" s="28" t="str">
        <x:f>IF(K104="","OPEN",IF(OR(I104="",J104=""),"FAIL",IF(I104=H104,"PASS","FAIL")))</x:f>
        <x:v>OPEN</x:v>
      </x:c>
    </x:row>
    <x:row r="105">
      <x:c r="B105" s="28" t="str">
        <x:v>IF-ROT-PEA-A-X1-2-03</x:v>
      </x:c>
      <x:c r="C105" s="28" t="str">
        <x:v>ROT-PEA-A-X1-2</x:v>
      </x:c>
      <x:c r="D105" s="28" t="str">
        <x:v>PEA-A-X1</x:v>
      </x:c>
      <x:c r="E105" s="28" t="str">
        <x:v>RFP-B1</x:v>
      </x:c>
      <x:c r="F105" s="28" t="n">
        <x:v>3</x:v>
      </x:c>
      <x:c r="G105" s="28" t="str">
        <x:v>normal route</x:v>
      </x:c>
      <x:c r="H105" s="28" t="str">
        <x:v>CONFORMS</x:v>
      </x:c>
      <x:c r="I105" s="31" t="str"/>
      <x:c r="J105" s="31" t="str"/>
      <x:c r="K105" s="31" t="str"/>
      <x:c r="L105" s="28" t="str">
        <x:f>IF(K105="","OPEN",IF(OR(I105="",J105=""),"FAIL",IF(I105=H105,"PASS","FAIL")))</x:f>
        <x:v>OPEN</x:v>
      </x:c>
    </x:row>
    <x:row r="106">
      <x:c r="B106" s="28" t="str">
        <x:v>IF-ROT-PEA-A-X1-2-04</x:v>
      </x:c>
      <x:c r="C106" s="28" t="str">
        <x:v>ROT-PEA-A-X1-2</x:v>
      </x:c>
      <x:c r="D106" s="28" t="str">
        <x:v>PEA-A-X1</x:v>
      </x:c>
      <x:c r="E106" s="28" t="str">
        <x:v>RFP-B1</x:v>
      </x:c>
      <x:c r="F106" s="28" t="n">
        <x:v>4</x:v>
      </x:c>
      <x:c r="G106" s="28" t="str">
        <x:v>casualty-source route</x:v>
      </x:c>
      <x:c r="H106" s="28" t="str">
        <x:v>CONFORMS</x:v>
      </x:c>
      <x:c r="I106" s="31" t="str"/>
      <x:c r="J106" s="31" t="str"/>
      <x:c r="K106" s="31" t="str"/>
      <x:c r="L106" s="28" t="str">
        <x:f>IF(K106="","OPEN",IF(OR(I106="",J106=""),"FAIL",IF(I106=H106,"PASS","FAIL")))</x:f>
        <x:v>OPEN</x:v>
      </x:c>
    </x:row>
    <x:row r="107">
      <x:c r="B107" s="28" t="str">
        <x:v>IF-ROT-PEA-A-X1-2-05</x:v>
      </x:c>
      <x:c r="C107" s="28" t="str">
        <x:v>ROT-PEA-A-X1-2</x:v>
      </x:c>
      <x:c r="D107" s="28" t="str">
        <x:v>PEA-A-X1</x:v>
      </x:c>
      <x:c r="E107" s="28" t="str">
        <x:v>RFP-B1</x:v>
      </x:c>
      <x:c r="F107" s="28" t="n">
        <x:v>5</x:v>
      </x:c>
      <x:c r="G107" s="28" t="str">
        <x:v>water supply and return</x:v>
      </x:c>
      <x:c r="H107" s="28" t="str">
        <x:v>CONFORMS</x:v>
      </x:c>
      <x:c r="I107" s="31" t="str"/>
      <x:c r="J107" s="31" t="str"/>
      <x:c r="K107" s="31" t="str"/>
      <x:c r="L107" s="28" t="str">
        <x:f>IF(K107="","OPEN",IF(OR(I107="",J107=""),"FAIL",IF(I107=H107,"PASS","FAIL")))</x:f>
        <x:v>OPEN</x:v>
      </x:c>
    </x:row>
    <x:row r="108">
      <x:c r="B108" s="28" t="str">
        <x:v>IF-ROT-PEA-A-X1-2-06</x:v>
      </x:c>
      <x:c r="C108" s="28" t="str">
        <x:v>ROT-PEA-A-X1-2</x:v>
      </x:c>
      <x:c r="D108" s="28" t="str">
        <x:v>PEA-A-X1</x:v>
      </x:c>
      <x:c r="E108" s="28" t="str">
        <x:v>RFP-B1</x:v>
      </x:c>
      <x:c r="F108" s="28" t="n">
        <x:v>6</x:v>
      </x:c>
      <x:c r="G108" s="28" t="str">
        <x:v>casualty-water route</x:v>
      </x:c>
      <x:c r="H108" s="28" t="str">
        <x:v>CONFORMS</x:v>
      </x:c>
      <x:c r="I108" s="31" t="str"/>
      <x:c r="J108" s="31" t="str"/>
      <x:c r="K108" s="31" t="str"/>
      <x:c r="L108" s="28" t="str">
        <x:f>IF(K108="","OPEN",IF(OR(I108="",J108=""),"FAIL",IF(I108=H108,"PASS","FAIL")))</x:f>
        <x:v>OPEN</x:v>
      </x:c>
    </x:row>
    <x:row r="109">
      <x:c r="B109" s="28" t="str">
        <x:v>IF-ROT-PEA-A-X1-2-07</x:v>
      </x:c>
      <x:c r="C109" s="28" t="str">
        <x:v>ROT-PEA-A-X1-2</x:v>
      </x:c>
      <x:c r="D109" s="28" t="str">
        <x:v>PEA-A-X1</x:v>
      </x:c>
      <x:c r="E109" s="28" t="str">
        <x:v>RFP-B1</x:v>
      </x:c>
      <x:c r="F109" s="28" t="n">
        <x:v>7</x:v>
      </x:c>
      <x:c r="G109" s="28" t="str">
        <x:v>normal electrical power</x:v>
      </x:c>
      <x:c r="H109" s="28" t="str">
        <x:v>CONFORMS</x:v>
      </x:c>
      <x:c r="I109" s="31" t="str"/>
      <x:c r="J109" s="31" t="str"/>
      <x:c r="K109" s="31" t="str"/>
      <x:c r="L109" s="28" t="str">
        <x:f>IF(K109="","OPEN",IF(OR(I109="",J109=""),"FAIL",IF(I109=H109,"PASS","FAIL")))</x:f>
        <x:v>OPEN</x:v>
      </x:c>
    </x:row>
    <x:row r="110">
      <x:c r="B110" s="28" t="str">
        <x:v>IF-ROT-PEA-A-X1-2-08</x:v>
      </x:c>
      <x:c r="C110" s="28" t="str">
        <x:v>ROT-PEA-A-X1-2</x:v>
      </x:c>
      <x:c r="D110" s="28" t="str">
        <x:v>PEA-A-X1</x:v>
      </x:c>
      <x:c r="E110" s="28" t="str">
        <x:v>RFP-B1</x:v>
      </x:c>
      <x:c r="F110" s="28" t="n">
        <x:v>8</x:v>
      </x:c>
      <x:c r="G110" s="28" t="str">
        <x:v>independent safety energy</x:v>
      </x:c>
      <x:c r="H110" s="28" t="str">
        <x:v>CONFORMS</x:v>
      </x:c>
      <x:c r="I110" s="31" t="str"/>
      <x:c r="J110" s="31" t="str"/>
      <x:c r="K110" s="31" t="str"/>
      <x:c r="L110" s="28" t="str">
        <x:f>IF(K110="","OPEN",IF(OR(I110="",J110=""),"FAIL",IF(I110=H110,"PASS","FAIL")))</x:f>
        <x:v>OPEN</x:v>
      </x:c>
    </x:row>
    <x:row r="111">
      <x:c r="B111" s="28" t="str">
        <x:v>IF-ROT-PEA-A-X1-2-09</x:v>
      </x:c>
      <x:c r="C111" s="28" t="str">
        <x:v>ROT-PEA-A-X1-2</x:v>
      </x:c>
      <x:c r="D111" s="28" t="str">
        <x:v>PEA-A-X1</x:v>
      </x:c>
      <x:c r="E111" s="28" t="str">
        <x:v>RFP-B1</x:v>
      </x:c>
      <x:c r="F111" s="28" t="n">
        <x:v>9</x:v>
      </x:c>
      <x:c r="G111" s="28" t="str">
        <x:v>causal-time roots</x:v>
      </x:c>
      <x:c r="H111" s="28" t="str">
        <x:v>CONFORMS</x:v>
      </x:c>
      <x:c r="I111" s="31" t="str"/>
      <x:c r="J111" s="31" t="str"/>
      <x:c r="K111" s="31" t="str"/>
      <x:c r="L111" s="28" t="str">
        <x:f>IF(K111="","OPEN",IF(OR(I111="",J111=""),"FAIL",IF(I111=H111,"PASS","FAIL")))</x:f>
        <x:v>OPEN</x:v>
      </x:c>
    </x:row>
    <x:row r="112">
      <x:c r="B112" s="28" t="str">
        <x:v>IF-ROT-PEA-A-X1-2-10</x:v>
      </x:c>
      <x:c r="C112" s="28" t="str">
        <x:v>ROT-PEA-A-X1-2</x:v>
      </x:c>
      <x:c r="D112" s="28" t="str">
        <x:v>PEA-A-X1</x:v>
      </x:c>
      <x:c r="E112" s="28" t="str">
        <x:v>RFP-B1</x:v>
      </x:c>
      <x:c r="F112" s="28" t="n">
        <x:v>10</x:v>
      </x:c>
      <x:c r="G112" s="28" t="str">
        <x:v>two evidence originals</x:v>
      </x:c>
      <x:c r="H112" s="28" t="str">
        <x:v>CONFORMS</x:v>
      </x:c>
      <x:c r="I112" s="31" t="str"/>
      <x:c r="J112" s="31" t="str"/>
      <x:c r="K112" s="31" t="str"/>
      <x:c r="L112" s="28" t="str">
        <x:f>IF(K112="","OPEN",IF(OR(I112="",J112=""),"FAIL",IF(I112=H112,"PASS","FAIL")))</x:f>
        <x:v>OPEN</x:v>
      </x:c>
    </x:row>
    <x:row r="113">
      <x:c r="B113" s="28" t="str">
        <x:v>IF-ROT-PEA-A-X1-2-11</x:v>
      </x:c>
      <x:c r="C113" s="28" t="str">
        <x:v>ROT-PEA-A-X1-2</x:v>
      </x:c>
      <x:c r="D113" s="28" t="str">
        <x:v>PEA-A-X1</x:v>
      </x:c>
      <x:c r="E113" s="28" t="str">
        <x:v>RFP-B1</x:v>
      </x:c>
      <x:c r="F113" s="28" t="n">
        <x:v>11</x:v>
      </x:c>
      <x:c r="G113" s="28" t="str">
        <x:v>safeing command and final state</x:v>
      </x:c>
      <x:c r="H113" s="28" t="str">
        <x:v>CONFORMS</x:v>
      </x:c>
      <x:c r="I113" s="31" t="str"/>
      <x:c r="J113" s="31" t="str"/>
      <x:c r="K113" s="31" t="str"/>
      <x:c r="L113" s="28" t="str">
        <x:f>IF(K113="","OPEN",IF(OR(I113="",J113=""),"FAIL",IF(I113=H113,"PASS","FAIL")))</x:f>
        <x:v>OPEN</x:v>
      </x:c>
    </x:row>
    <x:row r="114">
      <x:c r="B114" s="28" t="str">
        <x:v>IF-ROT-PEA-A-X1-2-12</x:v>
      </x:c>
      <x:c r="C114" s="28" t="str">
        <x:v>ROT-PEA-A-X1-2</x:v>
      </x:c>
      <x:c r="D114" s="28" t="str">
        <x:v>PEA-A-X1</x:v>
      </x:c>
      <x:c r="E114" s="28" t="str">
        <x:v>RFP-B1</x:v>
      </x:c>
      <x:c r="F114" s="28" t="n">
        <x:v>12</x:v>
      </x:c>
      <x:c r="G114" s="28" t="str">
        <x:v>rescue access</x:v>
      </x:c>
      <x:c r="H114" s="28" t="str">
        <x:v>CONFORMS</x:v>
      </x:c>
      <x:c r="I114" s="31" t="str"/>
      <x:c r="J114" s="31" t="str"/>
      <x:c r="K114" s="31" t="str"/>
      <x:c r="L114" s="28" t="str">
        <x:f>IF(K114="","OPEN",IF(OR(I114="",J114=""),"FAIL",IF(I114=H114,"PASS","FAIL")))</x:f>
        <x:v>OPEN</x:v>
      </x:c>
    </x:row>
    <x:row r="115">
      <x:c r="B115" s="28" t="str">
        <x:v>IF-ROT-PEA-A-Y1-2-01</x:v>
      </x:c>
      <x:c r="C115" s="28" t="str">
        <x:v>ROT-PEA-A-Y1-2</x:v>
      </x:c>
      <x:c r="D115" s="28" t="str">
        <x:v>PEA-A-Y1</x:v>
      </x:c>
      <x:c r="E115" s="28" t="str">
        <x:v>RFP-B2</x:v>
      </x:c>
      <x:c r="F115" s="28" t="n">
        <x:v>1</x:v>
      </x:c>
      <x:c r="G115" s="28" t="str">
        <x:v>public datum and load path</x:v>
      </x:c>
      <x:c r="H115" s="28" t="str">
        <x:v>CONFORMS</x:v>
      </x:c>
      <x:c r="I115" s="31" t="str"/>
      <x:c r="J115" s="31" t="str"/>
      <x:c r="K115" s="31" t="str"/>
      <x:c r="L115" s="28" t="str">
        <x:f>IF(K115="","OPEN",IF(OR(I115="",J115=""),"FAIL",IF(I115=H115,"PASS","FAIL")))</x:f>
        <x:v>OPEN</x:v>
      </x:c>
    </x:row>
    <x:row r="116">
      <x:c r="B116" s="28" t="str">
        <x:v>IF-ROT-PEA-A-Y1-2-02</x:v>
      </x:c>
      <x:c r="C116" s="28" t="str">
        <x:v>ROT-PEA-A-Y1-2</x:v>
      </x:c>
      <x:c r="D116" s="28" t="str">
        <x:v>PEA-A-Y1</x:v>
      </x:c>
      <x:c r="E116" s="28" t="str">
        <x:v>RFP-B2</x:v>
      </x:c>
      <x:c r="F116" s="28" t="n">
        <x:v>2</x:v>
      </x:c>
      <x:c r="G116" s="28" t="str">
        <x:v>source-origin boundary</x:v>
      </x:c>
      <x:c r="H116" s="28" t="str">
        <x:v>CONFORMS</x:v>
      </x:c>
      <x:c r="I116" s="31" t="str"/>
      <x:c r="J116" s="31" t="str"/>
      <x:c r="K116" s="31" t="str"/>
      <x:c r="L116" s="28" t="str">
        <x:f>IF(K116="","OPEN",IF(OR(I116="",J116=""),"FAIL",IF(I116=H116,"PASS","FAIL")))</x:f>
        <x:v>OPEN</x:v>
      </x:c>
    </x:row>
    <x:row r="117">
      <x:c r="B117" s="28" t="str">
        <x:v>IF-ROT-PEA-A-Y1-2-03</x:v>
      </x:c>
      <x:c r="C117" s="28" t="str">
        <x:v>ROT-PEA-A-Y1-2</x:v>
      </x:c>
      <x:c r="D117" s="28" t="str">
        <x:v>PEA-A-Y1</x:v>
      </x:c>
      <x:c r="E117" s="28" t="str">
        <x:v>RFP-B2</x:v>
      </x:c>
      <x:c r="F117" s="28" t="n">
        <x:v>3</x:v>
      </x:c>
      <x:c r="G117" s="28" t="str">
        <x:v>normal route</x:v>
      </x:c>
      <x:c r="H117" s="28" t="str">
        <x:v>CONFORMS</x:v>
      </x:c>
      <x:c r="I117" s="31" t="str"/>
      <x:c r="J117" s="31" t="str"/>
      <x:c r="K117" s="31" t="str"/>
      <x:c r="L117" s="28" t="str">
        <x:f>IF(K117="","OPEN",IF(OR(I117="",J117=""),"FAIL",IF(I117=H117,"PASS","FAIL")))</x:f>
        <x:v>OPEN</x:v>
      </x:c>
    </x:row>
    <x:row r="118">
      <x:c r="B118" s="28" t="str">
        <x:v>IF-ROT-PEA-A-Y1-2-04</x:v>
      </x:c>
      <x:c r="C118" s="28" t="str">
        <x:v>ROT-PEA-A-Y1-2</x:v>
      </x:c>
      <x:c r="D118" s="28" t="str">
        <x:v>PEA-A-Y1</x:v>
      </x:c>
      <x:c r="E118" s="28" t="str">
        <x:v>RFP-B2</x:v>
      </x:c>
      <x:c r="F118" s="28" t="n">
        <x:v>4</x:v>
      </x:c>
      <x:c r="G118" s="28" t="str">
        <x:v>casualty-source route</x:v>
      </x:c>
      <x:c r="H118" s="28" t="str">
        <x:v>CONFORMS</x:v>
      </x:c>
      <x:c r="I118" s="31" t="str"/>
      <x:c r="J118" s="31" t="str"/>
      <x:c r="K118" s="31" t="str"/>
      <x:c r="L118" s="28" t="str">
        <x:f>IF(K118="","OPEN",IF(OR(I118="",J118=""),"FAIL",IF(I118=H118,"PASS","FAIL")))</x:f>
        <x:v>OPEN</x:v>
      </x:c>
    </x:row>
    <x:row r="119">
      <x:c r="B119" s="28" t="str">
        <x:v>IF-ROT-PEA-A-Y1-2-05</x:v>
      </x:c>
      <x:c r="C119" s="28" t="str">
        <x:v>ROT-PEA-A-Y1-2</x:v>
      </x:c>
      <x:c r="D119" s="28" t="str">
        <x:v>PEA-A-Y1</x:v>
      </x:c>
      <x:c r="E119" s="28" t="str">
        <x:v>RFP-B2</x:v>
      </x:c>
      <x:c r="F119" s="28" t="n">
        <x:v>5</x:v>
      </x:c>
      <x:c r="G119" s="28" t="str">
        <x:v>water supply and return</x:v>
      </x:c>
      <x:c r="H119" s="28" t="str">
        <x:v>CONFORMS</x:v>
      </x:c>
      <x:c r="I119" s="31" t="str"/>
      <x:c r="J119" s="31" t="str"/>
      <x:c r="K119" s="31" t="str"/>
      <x:c r="L119" s="28" t="str">
        <x:f>IF(K119="","OPEN",IF(OR(I119="",J119=""),"FAIL",IF(I119=H119,"PASS","FAIL")))</x:f>
        <x:v>OPEN</x:v>
      </x:c>
    </x:row>
    <x:row r="120">
      <x:c r="B120" s="28" t="str">
        <x:v>IF-ROT-PEA-A-Y1-2-06</x:v>
      </x:c>
      <x:c r="C120" s="28" t="str">
        <x:v>ROT-PEA-A-Y1-2</x:v>
      </x:c>
      <x:c r="D120" s="28" t="str">
        <x:v>PEA-A-Y1</x:v>
      </x:c>
      <x:c r="E120" s="28" t="str">
        <x:v>RFP-B2</x:v>
      </x:c>
      <x:c r="F120" s="28" t="n">
        <x:v>6</x:v>
      </x:c>
      <x:c r="G120" s="28" t="str">
        <x:v>casualty-water route</x:v>
      </x:c>
      <x:c r="H120" s="28" t="str">
        <x:v>CONFORMS</x:v>
      </x:c>
      <x:c r="I120" s="31" t="str"/>
      <x:c r="J120" s="31" t="str"/>
      <x:c r="K120" s="31" t="str"/>
      <x:c r="L120" s="28" t="str">
        <x:f>IF(K120="","OPEN",IF(OR(I120="",J120=""),"FAIL",IF(I120=H120,"PASS","FAIL")))</x:f>
        <x:v>OPEN</x:v>
      </x:c>
    </x:row>
    <x:row r="121">
      <x:c r="B121" s="28" t="str">
        <x:v>IF-ROT-PEA-A-Y1-2-07</x:v>
      </x:c>
      <x:c r="C121" s="28" t="str">
        <x:v>ROT-PEA-A-Y1-2</x:v>
      </x:c>
      <x:c r="D121" s="28" t="str">
        <x:v>PEA-A-Y1</x:v>
      </x:c>
      <x:c r="E121" s="28" t="str">
        <x:v>RFP-B2</x:v>
      </x:c>
      <x:c r="F121" s="28" t="n">
        <x:v>7</x:v>
      </x:c>
      <x:c r="G121" s="28" t="str">
        <x:v>normal electrical power</x:v>
      </x:c>
      <x:c r="H121" s="28" t="str">
        <x:v>CONFORMS</x:v>
      </x:c>
      <x:c r="I121" s="31" t="str"/>
      <x:c r="J121" s="31" t="str"/>
      <x:c r="K121" s="31" t="str"/>
      <x:c r="L121" s="28" t="str">
        <x:f>IF(K121="","OPEN",IF(OR(I121="",J121=""),"FAIL",IF(I121=H121,"PASS","FAIL")))</x:f>
        <x:v>OPEN</x:v>
      </x:c>
    </x:row>
    <x:row r="122">
      <x:c r="B122" s="28" t="str">
        <x:v>IF-ROT-PEA-A-Y1-2-08</x:v>
      </x:c>
      <x:c r="C122" s="28" t="str">
        <x:v>ROT-PEA-A-Y1-2</x:v>
      </x:c>
      <x:c r="D122" s="28" t="str">
        <x:v>PEA-A-Y1</x:v>
      </x:c>
      <x:c r="E122" s="28" t="str">
        <x:v>RFP-B2</x:v>
      </x:c>
      <x:c r="F122" s="28" t="n">
        <x:v>8</x:v>
      </x:c>
      <x:c r="G122" s="28" t="str">
        <x:v>independent safety energy</x:v>
      </x:c>
      <x:c r="H122" s="28" t="str">
        <x:v>CONFORMS</x:v>
      </x:c>
      <x:c r="I122" s="31" t="str"/>
      <x:c r="J122" s="31" t="str"/>
      <x:c r="K122" s="31" t="str"/>
      <x:c r="L122" s="28" t="str">
        <x:f>IF(K122="","OPEN",IF(OR(I122="",J122=""),"FAIL",IF(I122=H122,"PASS","FAIL")))</x:f>
        <x:v>OPEN</x:v>
      </x:c>
    </x:row>
    <x:row r="123">
      <x:c r="B123" s="28" t="str">
        <x:v>IF-ROT-PEA-A-Y1-2-09</x:v>
      </x:c>
      <x:c r="C123" s="28" t="str">
        <x:v>ROT-PEA-A-Y1-2</x:v>
      </x:c>
      <x:c r="D123" s="28" t="str">
        <x:v>PEA-A-Y1</x:v>
      </x:c>
      <x:c r="E123" s="28" t="str">
        <x:v>RFP-B2</x:v>
      </x:c>
      <x:c r="F123" s="28" t="n">
        <x:v>9</x:v>
      </x:c>
      <x:c r="G123" s="28" t="str">
        <x:v>causal-time roots</x:v>
      </x:c>
      <x:c r="H123" s="28" t="str">
        <x:v>CONFORMS</x:v>
      </x:c>
      <x:c r="I123" s="31" t="str"/>
      <x:c r="J123" s="31" t="str"/>
      <x:c r="K123" s="31" t="str"/>
      <x:c r="L123" s="28" t="str">
        <x:f>IF(K123="","OPEN",IF(OR(I123="",J123=""),"FAIL",IF(I123=H123,"PASS","FAIL")))</x:f>
        <x:v>OPEN</x:v>
      </x:c>
    </x:row>
    <x:row r="124">
      <x:c r="B124" s="28" t="str">
        <x:v>IF-ROT-PEA-A-Y1-2-10</x:v>
      </x:c>
      <x:c r="C124" s="28" t="str">
        <x:v>ROT-PEA-A-Y1-2</x:v>
      </x:c>
      <x:c r="D124" s="28" t="str">
        <x:v>PEA-A-Y1</x:v>
      </x:c>
      <x:c r="E124" s="28" t="str">
        <x:v>RFP-B2</x:v>
      </x:c>
      <x:c r="F124" s="28" t="n">
        <x:v>10</x:v>
      </x:c>
      <x:c r="G124" s="28" t="str">
        <x:v>two evidence originals</x:v>
      </x:c>
      <x:c r="H124" s="28" t="str">
        <x:v>CONFORMS</x:v>
      </x:c>
      <x:c r="I124" s="31" t="str"/>
      <x:c r="J124" s="31" t="str"/>
      <x:c r="K124" s="31" t="str"/>
      <x:c r="L124" s="28" t="str">
        <x:f>IF(K124="","OPEN",IF(OR(I124="",J124=""),"FAIL",IF(I124=H124,"PASS","FAIL")))</x:f>
        <x:v>OPEN</x:v>
      </x:c>
    </x:row>
    <x:row r="125">
      <x:c r="B125" s="28" t="str">
        <x:v>IF-ROT-PEA-A-Y1-2-11</x:v>
      </x:c>
      <x:c r="C125" s="28" t="str">
        <x:v>ROT-PEA-A-Y1-2</x:v>
      </x:c>
      <x:c r="D125" s="28" t="str">
        <x:v>PEA-A-Y1</x:v>
      </x:c>
      <x:c r="E125" s="28" t="str">
        <x:v>RFP-B2</x:v>
      </x:c>
      <x:c r="F125" s="28" t="n">
        <x:v>11</x:v>
      </x:c>
      <x:c r="G125" s="28" t="str">
        <x:v>safeing command and final state</x:v>
      </x:c>
      <x:c r="H125" s="28" t="str">
        <x:v>CONFORMS</x:v>
      </x:c>
      <x:c r="I125" s="31" t="str"/>
      <x:c r="J125" s="31" t="str"/>
      <x:c r="K125" s="31" t="str"/>
      <x:c r="L125" s="28" t="str">
        <x:f>IF(K125="","OPEN",IF(OR(I125="",J125=""),"FAIL",IF(I125=H125,"PASS","FAIL")))</x:f>
        <x:v>OPEN</x:v>
      </x:c>
    </x:row>
    <x:row r="126">
      <x:c r="B126" s="28" t="str">
        <x:v>IF-ROT-PEA-A-Y1-2-12</x:v>
      </x:c>
      <x:c r="C126" s="28" t="str">
        <x:v>ROT-PEA-A-Y1-2</x:v>
      </x:c>
      <x:c r="D126" s="28" t="str">
        <x:v>PEA-A-Y1</x:v>
      </x:c>
      <x:c r="E126" s="28" t="str">
        <x:v>RFP-B2</x:v>
      </x:c>
      <x:c r="F126" s="28" t="n">
        <x:v>12</x:v>
      </x:c>
      <x:c r="G126" s="28" t="str">
        <x:v>rescue access</x:v>
      </x:c>
      <x:c r="H126" s="28" t="str">
        <x:v>CONFORMS</x:v>
      </x:c>
      <x:c r="I126" s="31" t="str"/>
      <x:c r="J126" s="31" t="str"/>
      <x:c r="K126" s="31" t="str"/>
      <x:c r="L126" s="28" t="str">
        <x:f>IF(K126="","OPEN",IF(OR(I126="",J126=""),"FAIL",IF(I126=H126,"PASS","FAIL")))</x:f>
        <x:v>OPEN</x:v>
      </x:c>
    </x:row>
    <x:row r="127">
      <x:c r="B127" s="28" t="str">
        <x:v>IF-ROT-PEA-B-X1-2-01</x:v>
      </x:c>
      <x:c r="C127" s="28" t="str">
        <x:v>ROT-PEA-B-X1-2</x:v>
      </x:c>
      <x:c r="D127" s="28" t="str">
        <x:v>PEA-B-X1</x:v>
      </x:c>
      <x:c r="E127" s="28" t="str">
        <x:v>RFP-C1</x:v>
      </x:c>
      <x:c r="F127" s="28" t="n">
        <x:v>1</x:v>
      </x:c>
      <x:c r="G127" s="28" t="str">
        <x:v>public datum and load path</x:v>
      </x:c>
      <x:c r="H127" s="28" t="str">
        <x:v>CONFORMS</x:v>
      </x:c>
      <x:c r="I127" s="31" t="str"/>
      <x:c r="J127" s="31" t="str"/>
      <x:c r="K127" s="31" t="str"/>
      <x:c r="L127" s="28" t="str">
        <x:f>IF(K127="","OPEN",IF(OR(I127="",J127=""),"FAIL",IF(I127=H127,"PASS","FAIL")))</x:f>
        <x:v>OPEN</x:v>
      </x:c>
    </x:row>
    <x:row r="128">
      <x:c r="B128" s="28" t="str">
        <x:v>IF-ROT-PEA-B-X1-2-02</x:v>
      </x:c>
      <x:c r="C128" s="28" t="str">
        <x:v>ROT-PEA-B-X1-2</x:v>
      </x:c>
      <x:c r="D128" s="28" t="str">
        <x:v>PEA-B-X1</x:v>
      </x:c>
      <x:c r="E128" s="28" t="str">
        <x:v>RFP-C1</x:v>
      </x:c>
      <x:c r="F128" s="28" t="n">
        <x:v>2</x:v>
      </x:c>
      <x:c r="G128" s="28" t="str">
        <x:v>source-origin boundary</x:v>
      </x:c>
      <x:c r="H128" s="28" t="str">
        <x:v>CONFORMS</x:v>
      </x:c>
      <x:c r="I128" s="31" t="str"/>
      <x:c r="J128" s="31" t="str"/>
      <x:c r="K128" s="31" t="str"/>
      <x:c r="L128" s="28" t="str">
        <x:f>IF(K128="","OPEN",IF(OR(I128="",J128=""),"FAIL",IF(I128=H128,"PASS","FAIL")))</x:f>
        <x:v>OPEN</x:v>
      </x:c>
    </x:row>
    <x:row r="129">
      <x:c r="B129" s="28" t="str">
        <x:v>IF-ROT-PEA-B-X1-2-03</x:v>
      </x:c>
      <x:c r="C129" s="28" t="str">
        <x:v>ROT-PEA-B-X1-2</x:v>
      </x:c>
      <x:c r="D129" s="28" t="str">
        <x:v>PEA-B-X1</x:v>
      </x:c>
      <x:c r="E129" s="28" t="str">
        <x:v>RFP-C1</x:v>
      </x:c>
      <x:c r="F129" s="28" t="n">
        <x:v>3</x:v>
      </x:c>
      <x:c r="G129" s="28" t="str">
        <x:v>normal route</x:v>
      </x:c>
      <x:c r="H129" s="28" t="str">
        <x:v>CONFORMS</x:v>
      </x:c>
      <x:c r="I129" s="31" t="str"/>
      <x:c r="J129" s="31" t="str"/>
      <x:c r="K129" s="31" t="str"/>
      <x:c r="L129" s="28" t="str">
        <x:f>IF(K129="","OPEN",IF(OR(I129="",J129=""),"FAIL",IF(I129=H129,"PASS","FAIL")))</x:f>
        <x:v>OPEN</x:v>
      </x:c>
    </x:row>
    <x:row r="130">
      <x:c r="B130" s="28" t="str">
        <x:v>IF-ROT-PEA-B-X1-2-04</x:v>
      </x:c>
      <x:c r="C130" s="28" t="str">
        <x:v>ROT-PEA-B-X1-2</x:v>
      </x:c>
      <x:c r="D130" s="28" t="str">
        <x:v>PEA-B-X1</x:v>
      </x:c>
      <x:c r="E130" s="28" t="str">
        <x:v>RFP-C1</x:v>
      </x:c>
      <x:c r="F130" s="28" t="n">
        <x:v>4</x:v>
      </x:c>
      <x:c r="G130" s="28" t="str">
        <x:v>casualty-source route</x:v>
      </x:c>
      <x:c r="H130" s="28" t="str">
        <x:v>CONFORMS</x:v>
      </x:c>
      <x:c r="I130" s="31" t="str"/>
      <x:c r="J130" s="31" t="str"/>
      <x:c r="K130" s="31" t="str"/>
      <x:c r="L130" s="28" t="str">
        <x:f>IF(K130="","OPEN",IF(OR(I130="",J130=""),"FAIL",IF(I130=H130,"PASS","FAIL")))</x:f>
        <x:v>OPEN</x:v>
      </x:c>
    </x:row>
    <x:row r="131">
      <x:c r="B131" s="28" t="str">
        <x:v>IF-ROT-PEA-B-X1-2-05</x:v>
      </x:c>
      <x:c r="C131" s="28" t="str">
        <x:v>ROT-PEA-B-X1-2</x:v>
      </x:c>
      <x:c r="D131" s="28" t="str">
        <x:v>PEA-B-X1</x:v>
      </x:c>
      <x:c r="E131" s="28" t="str">
        <x:v>RFP-C1</x:v>
      </x:c>
      <x:c r="F131" s="28" t="n">
        <x:v>5</x:v>
      </x:c>
      <x:c r="G131" s="28" t="str">
        <x:v>water supply and return</x:v>
      </x:c>
      <x:c r="H131" s="28" t="str">
        <x:v>CONFORMS</x:v>
      </x:c>
      <x:c r="I131" s="31" t="str"/>
      <x:c r="J131" s="31" t="str"/>
      <x:c r="K131" s="31" t="str"/>
      <x:c r="L131" s="28" t="str">
        <x:f>IF(K131="","OPEN",IF(OR(I131="",J131=""),"FAIL",IF(I131=H131,"PASS","FAIL")))</x:f>
        <x:v>OPEN</x:v>
      </x:c>
    </x:row>
    <x:row r="132">
      <x:c r="B132" s="28" t="str">
        <x:v>IF-ROT-PEA-B-X1-2-06</x:v>
      </x:c>
      <x:c r="C132" s="28" t="str">
        <x:v>ROT-PEA-B-X1-2</x:v>
      </x:c>
      <x:c r="D132" s="28" t="str">
        <x:v>PEA-B-X1</x:v>
      </x:c>
      <x:c r="E132" s="28" t="str">
        <x:v>RFP-C1</x:v>
      </x:c>
      <x:c r="F132" s="28" t="n">
        <x:v>6</x:v>
      </x:c>
      <x:c r="G132" s="28" t="str">
        <x:v>casualty-water route</x:v>
      </x:c>
      <x:c r="H132" s="28" t="str">
        <x:v>CONFORMS</x:v>
      </x:c>
      <x:c r="I132" s="31" t="str"/>
      <x:c r="J132" s="31" t="str"/>
      <x:c r="K132" s="31" t="str"/>
      <x:c r="L132" s="28" t="str">
        <x:f>IF(K132="","OPEN",IF(OR(I132="",J132=""),"FAIL",IF(I132=H132,"PASS","FAIL")))</x:f>
        <x:v>OPEN</x:v>
      </x:c>
    </x:row>
    <x:row r="133">
      <x:c r="B133" s="28" t="str">
        <x:v>IF-ROT-PEA-B-X1-2-07</x:v>
      </x:c>
      <x:c r="C133" s="28" t="str">
        <x:v>ROT-PEA-B-X1-2</x:v>
      </x:c>
      <x:c r="D133" s="28" t="str">
        <x:v>PEA-B-X1</x:v>
      </x:c>
      <x:c r="E133" s="28" t="str">
        <x:v>RFP-C1</x:v>
      </x:c>
      <x:c r="F133" s="28" t="n">
        <x:v>7</x:v>
      </x:c>
      <x:c r="G133" s="28" t="str">
        <x:v>normal electrical power</x:v>
      </x:c>
      <x:c r="H133" s="28" t="str">
        <x:v>CONFORMS</x:v>
      </x:c>
      <x:c r="I133" s="31" t="str"/>
      <x:c r="J133" s="31" t="str"/>
      <x:c r="K133" s="31" t="str"/>
      <x:c r="L133" s="28" t="str">
        <x:f>IF(K133="","OPEN",IF(OR(I133="",J133=""),"FAIL",IF(I133=H133,"PASS","FAIL")))</x:f>
        <x:v>OPEN</x:v>
      </x:c>
    </x:row>
    <x:row r="134">
      <x:c r="B134" s="28" t="str">
        <x:v>IF-ROT-PEA-B-X1-2-08</x:v>
      </x:c>
      <x:c r="C134" s="28" t="str">
        <x:v>ROT-PEA-B-X1-2</x:v>
      </x:c>
      <x:c r="D134" s="28" t="str">
        <x:v>PEA-B-X1</x:v>
      </x:c>
      <x:c r="E134" s="28" t="str">
        <x:v>RFP-C1</x:v>
      </x:c>
      <x:c r="F134" s="28" t="n">
        <x:v>8</x:v>
      </x:c>
      <x:c r="G134" s="28" t="str">
        <x:v>independent safety energy</x:v>
      </x:c>
      <x:c r="H134" s="28" t="str">
        <x:v>CONFORMS</x:v>
      </x:c>
      <x:c r="I134" s="31" t="str"/>
      <x:c r="J134" s="31" t="str"/>
      <x:c r="K134" s="31" t="str"/>
      <x:c r="L134" s="28" t="str">
        <x:f>IF(K134="","OPEN",IF(OR(I134="",J134=""),"FAIL",IF(I134=H134,"PASS","FAIL")))</x:f>
        <x:v>OPEN</x:v>
      </x:c>
    </x:row>
    <x:row r="135">
      <x:c r="B135" s="28" t="str">
        <x:v>IF-ROT-PEA-B-X1-2-09</x:v>
      </x:c>
      <x:c r="C135" s="28" t="str">
        <x:v>ROT-PEA-B-X1-2</x:v>
      </x:c>
      <x:c r="D135" s="28" t="str">
        <x:v>PEA-B-X1</x:v>
      </x:c>
      <x:c r="E135" s="28" t="str">
        <x:v>RFP-C1</x:v>
      </x:c>
      <x:c r="F135" s="28" t="n">
        <x:v>9</x:v>
      </x:c>
      <x:c r="G135" s="28" t="str">
        <x:v>causal-time roots</x:v>
      </x:c>
      <x:c r="H135" s="28" t="str">
        <x:v>CONFORMS</x:v>
      </x:c>
      <x:c r="I135" s="31" t="str"/>
      <x:c r="J135" s="31" t="str"/>
      <x:c r="K135" s="31" t="str"/>
      <x:c r="L135" s="28" t="str">
        <x:f>IF(K135="","OPEN",IF(OR(I135="",J135=""),"FAIL",IF(I135=H135,"PASS","FAIL")))</x:f>
        <x:v>OPEN</x:v>
      </x:c>
    </x:row>
    <x:row r="136">
      <x:c r="B136" s="28" t="str">
        <x:v>IF-ROT-PEA-B-X1-2-10</x:v>
      </x:c>
      <x:c r="C136" s="28" t="str">
        <x:v>ROT-PEA-B-X1-2</x:v>
      </x:c>
      <x:c r="D136" s="28" t="str">
        <x:v>PEA-B-X1</x:v>
      </x:c>
      <x:c r="E136" s="28" t="str">
        <x:v>RFP-C1</x:v>
      </x:c>
      <x:c r="F136" s="28" t="n">
        <x:v>10</x:v>
      </x:c>
      <x:c r="G136" s="28" t="str">
        <x:v>two evidence originals</x:v>
      </x:c>
      <x:c r="H136" s="28" t="str">
        <x:v>CONFORMS</x:v>
      </x:c>
      <x:c r="I136" s="31" t="str"/>
      <x:c r="J136" s="31" t="str"/>
      <x:c r="K136" s="31" t="str"/>
      <x:c r="L136" s="28" t="str">
        <x:f>IF(K136="","OPEN",IF(OR(I136="",J136=""),"FAIL",IF(I136=H136,"PASS","FAIL")))</x:f>
        <x:v>OPEN</x:v>
      </x:c>
    </x:row>
    <x:row r="137">
      <x:c r="B137" s="28" t="str">
        <x:v>IF-ROT-PEA-B-X1-2-11</x:v>
      </x:c>
      <x:c r="C137" s="28" t="str">
        <x:v>ROT-PEA-B-X1-2</x:v>
      </x:c>
      <x:c r="D137" s="28" t="str">
        <x:v>PEA-B-X1</x:v>
      </x:c>
      <x:c r="E137" s="28" t="str">
        <x:v>RFP-C1</x:v>
      </x:c>
      <x:c r="F137" s="28" t="n">
        <x:v>11</x:v>
      </x:c>
      <x:c r="G137" s="28" t="str">
        <x:v>safeing command and final state</x:v>
      </x:c>
      <x:c r="H137" s="28" t="str">
        <x:v>CONFORMS</x:v>
      </x:c>
      <x:c r="I137" s="31" t="str"/>
      <x:c r="J137" s="31" t="str"/>
      <x:c r="K137" s="31" t="str"/>
      <x:c r="L137" s="28" t="str">
        <x:f>IF(K137="","OPEN",IF(OR(I137="",J137=""),"FAIL",IF(I137=H137,"PASS","FAIL")))</x:f>
        <x:v>OPEN</x:v>
      </x:c>
    </x:row>
    <x:row r="138">
      <x:c r="B138" s="28" t="str">
        <x:v>IF-ROT-PEA-B-X1-2-12</x:v>
      </x:c>
      <x:c r="C138" s="28" t="str">
        <x:v>ROT-PEA-B-X1-2</x:v>
      </x:c>
      <x:c r="D138" s="28" t="str">
        <x:v>PEA-B-X1</x:v>
      </x:c>
      <x:c r="E138" s="28" t="str">
        <x:v>RFP-C1</x:v>
      </x:c>
      <x:c r="F138" s="28" t="n">
        <x:v>12</x:v>
      </x:c>
      <x:c r="G138" s="28" t="str">
        <x:v>rescue access</x:v>
      </x:c>
      <x:c r="H138" s="28" t="str">
        <x:v>CONFORMS</x:v>
      </x:c>
      <x:c r="I138" s="31" t="str"/>
      <x:c r="J138" s="31" t="str"/>
      <x:c r="K138" s="31" t="str"/>
      <x:c r="L138" s="28" t="str">
        <x:f>IF(K138="","OPEN",IF(OR(I138="",J138=""),"FAIL",IF(I138=H138,"PASS","FAIL")))</x:f>
        <x:v>OPEN</x:v>
      </x:c>
    </x:row>
    <x:row r="139">
      <x:c r="B139" s="28" t="str">
        <x:v>IF-ROT-PEA-B-Y1-2-01</x:v>
      </x:c>
      <x:c r="C139" s="28" t="str">
        <x:v>ROT-PEA-B-Y1-2</x:v>
      </x:c>
      <x:c r="D139" s="28" t="str">
        <x:v>PEA-B-Y1</x:v>
      </x:c>
      <x:c r="E139" s="28" t="str">
        <x:v>RFP-C2</x:v>
      </x:c>
      <x:c r="F139" s="28" t="n">
        <x:v>1</x:v>
      </x:c>
      <x:c r="G139" s="28" t="str">
        <x:v>public datum and load path</x:v>
      </x:c>
      <x:c r="H139" s="28" t="str">
        <x:v>CONFORMS</x:v>
      </x:c>
      <x:c r="I139" s="31" t="str"/>
      <x:c r="J139" s="31" t="str"/>
      <x:c r="K139" s="31" t="str"/>
      <x:c r="L139" s="28" t="str">
        <x:f>IF(K139="","OPEN",IF(OR(I139="",J139=""),"FAIL",IF(I139=H139,"PASS","FAIL")))</x:f>
        <x:v>OPEN</x:v>
      </x:c>
    </x:row>
    <x:row r="140">
      <x:c r="B140" s="28" t="str">
        <x:v>IF-ROT-PEA-B-Y1-2-02</x:v>
      </x:c>
      <x:c r="C140" s="28" t="str">
        <x:v>ROT-PEA-B-Y1-2</x:v>
      </x:c>
      <x:c r="D140" s="28" t="str">
        <x:v>PEA-B-Y1</x:v>
      </x:c>
      <x:c r="E140" s="28" t="str">
        <x:v>RFP-C2</x:v>
      </x:c>
      <x:c r="F140" s="28" t="n">
        <x:v>2</x:v>
      </x:c>
      <x:c r="G140" s="28" t="str">
        <x:v>source-origin boundary</x:v>
      </x:c>
      <x:c r="H140" s="28" t="str">
        <x:v>CONFORMS</x:v>
      </x:c>
      <x:c r="I140" s="31" t="str"/>
      <x:c r="J140" s="31" t="str"/>
      <x:c r="K140" s="31" t="str"/>
      <x:c r="L140" s="28" t="str">
        <x:f>IF(K140="","OPEN",IF(OR(I140="",J140=""),"FAIL",IF(I140=H140,"PASS","FAIL")))</x:f>
        <x:v>OPEN</x:v>
      </x:c>
    </x:row>
    <x:row r="141">
      <x:c r="B141" s="28" t="str">
        <x:v>IF-ROT-PEA-B-Y1-2-03</x:v>
      </x:c>
      <x:c r="C141" s="28" t="str">
        <x:v>ROT-PEA-B-Y1-2</x:v>
      </x:c>
      <x:c r="D141" s="28" t="str">
        <x:v>PEA-B-Y1</x:v>
      </x:c>
      <x:c r="E141" s="28" t="str">
        <x:v>RFP-C2</x:v>
      </x:c>
      <x:c r="F141" s="28" t="n">
        <x:v>3</x:v>
      </x:c>
      <x:c r="G141" s="28" t="str">
        <x:v>normal route</x:v>
      </x:c>
      <x:c r="H141" s="28" t="str">
        <x:v>CONFORMS</x:v>
      </x:c>
      <x:c r="I141" s="31" t="str"/>
      <x:c r="J141" s="31" t="str"/>
      <x:c r="K141" s="31" t="str"/>
      <x:c r="L141" s="28" t="str">
        <x:f>IF(K141="","OPEN",IF(OR(I141="",J141=""),"FAIL",IF(I141=H141,"PASS","FAIL")))</x:f>
        <x:v>OPEN</x:v>
      </x:c>
    </x:row>
    <x:row r="142">
      <x:c r="B142" s="28" t="str">
        <x:v>IF-ROT-PEA-B-Y1-2-04</x:v>
      </x:c>
      <x:c r="C142" s="28" t="str">
        <x:v>ROT-PEA-B-Y1-2</x:v>
      </x:c>
      <x:c r="D142" s="28" t="str">
        <x:v>PEA-B-Y1</x:v>
      </x:c>
      <x:c r="E142" s="28" t="str">
        <x:v>RFP-C2</x:v>
      </x:c>
      <x:c r="F142" s="28" t="n">
        <x:v>4</x:v>
      </x:c>
      <x:c r="G142" s="28" t="str">
        <x:v>casualty-source route</x:v>
      </x:c>
      <x:c r="H142" s="28" t="str">
        <x:v>CONFORMS</x:v>
      </x:c>
      <x:c r="I142" s="31" t="str"/>
      <x:c r="J142" s="31" t="str"/>
      <x:c r="K142" s="31" t="str"/>
      <x:c r="L142" s="28" t="str">
        <x:f>IF(K142="","OPEN",IF(OR(I142="",J142=""),"FAIL",IF(I142=H142,"PASS","FAIL")))</x:f>
        <x:v>OPEN</x:v>
      </x:c>
    </x:row>
    <x:row r="143">
      <x:c r="B143" s="28" t="str">
        <x:v>IF-ROT-PEA-B-Y1-2-05</x:v>
      </x:c>
      <x:c r="C143" s="28" t="str">
        <x:v>ROT-PEA-B-Y1-2</x:v>
      </x:c>
      <x:c r="D143" s="28" t="str">
        <x:v>PEA-B-Y1</x:v>
      </x:c>
      <x:c r="E143" s="28" t="str">
        <x:v>RFP-C2</x:v>
      </x:c>
      <x:c r="F143" s="28" t="n">
        <x:v>5</x:v>
      </x:c>
      <x:c r="G143" s="28" t="str">
        <x:v>water supply and return</x:v>
      </x:c>
      <x:c r="H143" s="28" t="str">
        <x:v>CONFORMS</x:v>
      </x:c>
      <x:c r="I143" s="31" t="str"/>
      <x:c r="J143" s="31" t="str"/>
      <x:c r="K143" s="31" t="str"/>
      <x:c r="L143" s="28" t="str">
        <x:f>IF(K143="","OPEN",IF(OR(I143="",J143=""),"FAIL",IF(I143=H143,"PASS","FAIL")))</x:f>
        <x:v>OPEN</x:v>
      </x:c>
    </x:row>
    <x:row r="144">
      <x:c r="B144" s="28" t="str">
        <x:v>IF-ROT-PEA-B-Y1-2-06</x:v>
      </x:c>
      <x:c r="C144" s="28" t="str">
        <x:v>ROT-PEA-B-Y1-2</x:v>
      </x:c>
      <x:c r="D144" s="28" t="str">
        <x:v>PEA-B-Y1</x:v>
      </x:c>
      <x:c r="E144" s="28" t="str">
        <x:v>RFP-C2</x:v>
      </x:c>
      <x:c r="F144" s="28" t="n">
        <x:v>6</x:v>
      </x:c>
      <x:c r="G144" s="28" t="str">
        <x:v>casualty-water route</x:v>
      </x:c>
      <x:c r="H144" s="28" t="str">
        <x:v>CONFORMS</x:v>
      </x:c>
      <x:c r="I144" s="31" t="str"/>
      <x:c r="J144" s="31" t="str"/>
      <x:c r="K144" s="31" t="str"/>
      <x:c r="L144" s="28" t="str">
        <x:f>IF(K144="","OPEN",IF(OR(I144="",J144=""),"FAIL",IF(I144=H144,"PASS","FAIL")))</x:f>
        <x:v>OPEN</x:v>
      </x:c>
    </x:row>
    <x:row r="145">
      <x:c r="B145" s="28" t="str">
        <x:v>IF-ROT-PEA-B-Y1-2-07</x:v>
      </x:c>
      <x:c r="C145" s="28" t="str">
        <x:v>ROT-PEA-B-Y1-2</x:v>
      </x:c>
      <x:c r="D145" s="28" t="str">
        <x:v>PEA-B-Y1</x:v>
      </x:c>
      <x:c r="E145" s="28" t="str">
        <x:v>RFP-C2</x:v>
      </x:c>
      <x:c r="F145" s="28" t="n">
        <x:v>7</x:v>
      </x:c>
      <x:c r="G145" s="28" t="str">
        <x:v>normal electrical power</x:v>
      </x:c>
      <x:c r="H145" s="28" t="str">
        <x:v>CONFORMS</x:v>
      </x:c>
      <x:c r="I145" s="31" t="str"/>
      <x:c r="J145" s="31" t="str"/>
      <x:c r="K145" s="31" t="str"/>
      <x:c r="L145" s="28" t="str">
        <x:f>IF(K145="","OPEN",IF(OR(I145="",J145=""),"FAIL",IF(I145=H145,"PASS","FAIL")))</x:f>
        <x:v>OPEN</x:v>
      </x:c>
    </x:row>
    <x:row r="146">
      <x:c r="B146" s="28" t="str">
        <x:v>IF-ROT-PEA-B-Y1-2-08</x:v>
      </x:c>
      <x:c r="C146" s="28" t="str">
        <x:v>ROT-PEA-B-Y1-2</x:v>
      </x:c>
      <x:c r="D146" s="28" t="str">
        <x:v>PEA-B-Y1</x:v>
      </x:c>
      <x:c r="E146" s="28" t="str">
        <x:v>RFP-C2</x:v>
      </x:c>
      <x:c r="F146" s="28" t="n">
        <x:v>8</x:v>
      </x:c>
      <x:c r="G146" s="28" t="str">
        <x:v>independent safety energy</x:v>
      </x:c>
      <x:c r="H146" s="28" t="str">
        <x:v>CONFORMS</x:v>
      </x:c>
      <x:c r="I146" s="31" t="str"/>
      <x:c r="J146" s="31" t="str"/>
      <x:c r="K146" s="31" t="str"/>
      <x:c r="L146" s="28" t="str">
        <x:f>IF(K146="","OPEN",IF(OR(I146="",J146=""),"FAIL",IF(I146=H146,"PASS","FAIL")))</x:f>
        <x:v>OPEN</x:v>
      </x:c>
    </x:row>
    <x:row r="147">
      <x:c r="B147" s="28" t="str">
        <x:v>IF-ROT-PEA-B-Y1-2-09</x:v>
      </x:c>
      <x:c r="C147" s="28" t="str">
        <x:v>ROT-PEA-B-Y1-2</x:v>
      </x:c>
      <x:c r="D147" s="28" t="str">
        <x:v>PEA-B-Y1</x:v>
      </x:c>
      <x:c r="E147" s="28" t="str">
        <x:v>RFP-C2</x:v>
      </x:c>
      <x:c r="F147" s="28" t="n">
        <x:v>9</x:v>
      </x:c>
      <x:c r="G147" s="28" t="str">
        <x:v>causal-time roots</x:v>
      </x:c>
      <x:c r="H147" s="28" t="str">
        <x:v>CONFORMS</x:v>
      </x:c>
      <x:c r="I147" s="31" t="str"/>
      <x:c r="J147" s="31" t="str"/>
      <x:c r="K147" s="31" t="str"/>
      <x:c r="L147" s="28" t="str">
        <x:f>IF(K147="","OPEN",IF(OR(I147="",J147=""),"FAIL",IF(I147=H147,"PASS","FAIL")))</x:f>
        <x:v>OPEN</x:v>
      </x:c>
    </x:row>
    <x:row r="148">
      <x:c r="B148" s="28" t="str">
        <x:v>IF-ROT-PEA-B-Y1-2-10</x:v>
      </x:c>
      <x:c r="C148" s="28" t="str">
        <x:v>ROT-PEA-B-Y1-2</x:v>
      </x:c>
      <x:c r="D148" s="28" t="str">
        <x:v>PEA-B-Y1</x:v>
      </x:c>
      <x:c r="E148" s="28" t="str">
        <x:v>RFP-C2</x:v>
      </x:c>
      <x:c r="F148" s="28" t="n">
        <x:v>10</x:v>
      </x:c>
      <x:c r="G148" s="28" t="str">
        <x:v>two evidence originals</x:v>
      </x:c>
      <x:c r="H148" s="28" t="str">
        <x:v>CONFORMS</x:v>
      </x:c>
      <x:c r="I148" s="31" t="str"/>
      <x:c r="J148" s="31" t="str"/>
      <x:c r="K148" s="31" t="str"/>
      <x:c r="L148" s="28" t="str">
        <x:f>IF(K148="","OPEN",IF(OR(I148="",J148=""),"FAIL",IF(I148=H148,"PASS","FAIL")))</x:f>
        <x:v>OPEN</x:v>
      </x:c>
    </x:row>
    <x:row r="149">
      <x:c r="B149" s="28" t="str">
        <x:v>IF-ROT-PEA-B-Y1-2-11</x:v>
      </x:c>
      <x:c r="C149" s="28" t="str">
        <x:v>ROT-PEA-B-Y1-2</x:v>
      </x:c>
      <x:c r="D149" s="28" t="str">
        <x:v>PEA-B-Y1</x:v>
      </x:c>
      <x:c r="E149" s="28" t="str">
        <x:v>RFP-C2</x:v>
      </x:c>
      <x:c r="F149" s="28" t="n">
        <x:v>11</x:v>
      </x:c>
      <x:c r="G149" s="28" t="str">
        <x:v>safeing command and final state</x:v>
      </x:c>
      <x:c r="H149" s="28" t="str">
        <x:v>CONFORMS</x:v>
      </x:c>
      <x:c r="I149" s="31" t="str"/>
      <x:c r="J149" s="31" t="str"/>
      <x:c r="K149" s="31" t="str"/>
      <x:c r="L149" s="28" t="str">
        <x:f>IF(K149="","OPEN",IF(OR(I149="",J149=""),"FAIL",IF(I149=H149,"PASS","FAIL")))</x:f>
        <x:v>OPEN</x:v>
      </x:c>
    </x:row>
    <x:row r="150">
      <x:c r="B150" s="28" t="str">
        <x:v>IF-ROT-PEA-B-Y1-2-12</x:v>
      </x:c>
      <x:c r="C150" s="28" t="str">
        <x:v>ROT-PEA-B-Y1-2</x:v>
      </x:c>
      <x:c r="D150" s="28" t="str">
        <x:v>PEA-B-Y1</x:v>
      </x:c>
      <x:c r="E150" s="28" t="str">
        <x:v>RFP-C2</x:v>
      </x:c>
      <x:c r="F150" s="28" t="n">
        <x:v>12</x:v>
      </x:c>
      <x:c r="G150" s="28" t="str">
        <x:v>rescue access</x:v>
      </x:c>
      <x:c r="H150" s="28" t="str">
        <x:v>CONFORMS</x:v>
      </x:c>
      <x:c r="I150" s="31" t="str"/>
      <x:c r="J150" s="31" t="str"/>
      <x:c r="K150" s="31" t="str"/>
      <x:c r="L150" s="28" t="str">
        <x:f>IF(K150="","OPEN",IF(OR(I150="",J150=""),"FAIL",IF(I150=H150,"PASS","FAIL")))</x:f>
        <x:v>OPEN</x:v>
      </x:c>
    </x:row>
    <x:row r="151">
      <x:c r="B151" s="28" t="str">
        <x:v>IF-ROT-PEA-B-Y1-3-01</x:v>
      </x:c>
      <x:c r="C151" s="28" t="str">
        <x:v>ROT-PEA-B-Y1-3</x:v>
      </x:c>
      <x:c r="D151" s="28" t="str">
        <x:v>PEA-B-Y1</x:v>
      </x:c>
      <x:c r="E151" s="28" t="str">
        <x:v>RFP-A1</x:v>
      </x:c>
      <x:c r="F151" s="28" t="n">
        <x:v>1</x:v>
      </x:c>
      <x:c r="G151" s="28" t="str">
        <x:v>public datum and load path</x:v>
      </x:c>
      <x:c r="H151" s="28" t="str">
        <x:v>CONFORMS</x:v>
      </x:c>
      <x:c r="I151" s="31" t="str"/>
      <x:c r="J151" s="31" t="str"/>
      <x:c r="K151" s="31" t="str"/>
      <x:c r="L151" s="28" t="str">
        <x:f>IF(K151="","OPEN",IF(OR(I151="",J151=""),"FAIL",IF(I151=H151,"PASS","FAIL")))</x:f>
        <x:v>OPEN</x:v>
      </x:c>
    </x:row>
    <x:row r="152">
      <x:c r="B152" s="28" t="str">
        <x:v>IF-ROT-PEA-B-Y1-3-02</x:v>
      </x:c>
      <x:c r="C152" s="28" t="str">
        <x:v>ROT-PEA-B-Y1-3</x:v>
      </x:c>
      <x:c r="D152" s="28" t="str">
        <x:v>PEA-B-Y1</x:v>
      </x:c>
      <x:c r="E152" s="28" t="str">
        <x:v>RFP-A1</x:v>
      </x:c>
      <x:c r="F152" s="28" t="n">
        <x:v>2</x:v>
      </x:c>
      <x:c r="G152" s="28" t="str">
        <x:v>source-origin boundary</x:v>
      </x:c>
      <x:c r="H152" s="28" t="str">
        <x:v>CONFORMS</x:v>
      </x:c>
      <x:c r="I152" s="31" t="str"/>
      <x:c r="J152" s="31" t="str"/>
      <x:c r="K152" s="31" t="str"/>
      <x:c r="L152" s="28" t="str">
        <x:f>IF(K152="","OPEN",IF(OR(I152="",J152=""),"FAIL",IF(I152=H152,"PASS","FAIL")))</x:f>
        <x:v>OPEN</x:v>
      </x:c>
    </x:row>
    <x:row r="153">
      <x:c r="B153" s="28" t="str">
        <x:v>IF-ROT-PEA-B-Y1-3-03</x:v>
      </x:c>
      <x:c r="C153" s="28" t="str">
        <x:v>ROT-PEA-B-Y1-3</x:v>
      </x:c>
      <x:c r="D153" s="28" t="str">
        <x:v>PEA-B-Y1</x:v>
      </x:c>
      <x:c r="E153" s="28" t="str">
        <x:v>RFP-A1</x:v>
      </x:c>
      <x:c r="F153" s="28" t="n">
        <x:v>3</x:v>
      </x:c>
      <x:c r="G153" s="28" t="str">
        <x:v>normal route</x:v>
      </x:c>
      <x:c r="H153" s="28" t="str">
        <x:v>CONFORMS</x:v>
      </x:c>
      <x:c r="I153" s="31" t="str"/>
      <x:c r="J153" s="31" t="str"/>
      <x:c r="K153" s="31" t="str"/>
      <x:c r="L153" s="28" t="str">
        <x:f>IF(K153="","OPEN",IF(OR(I153="",J153=""),"FAIL",IF(I153=H153,"PASS","FAIL")))</x:f>
        <x:v>OPEN</x:v>
      </x:c>
    </x:row>
    <x:row r="154">
      <x:c r="B154" s="28" t="str">
        <x:v>IF-ROT-PEA-B-Y1-3-04</x:v>
      </x:c>
      <x:c r="C154" s="28" t="str">
        <x:v>ROT-PEA-B-Y1-3</x:v>
      </x:c>
      <x:c r="D154" s="28" t="str">
        <x:v>PEA-B-Y1</x:v>
      </x:c>
      <x:c r="E154" s="28" t="str">
        <x:v>RFP-A1</x:v>
      </x:c>
      <x:c r="F154" s="28" t="n">
        <x:v>4</x:v>
      </x:c>
      <x:c r="G154" s="28" t="str">
        <x:v>casualty-source route</x:v>
      </x:c>
      <x:c r="H154" s="28" t="str">
        <x:v>CONFORMS</x:v>
      </x:c>
      <x:c r="I154" s="31" t="str"/>
      <x:c r="J154" s="31" t="str"/>
      <x:c r="K154" s="31" t="str"/>
      <x:c r="L154" s="28" t="str">
        <x:f>IF(K154="","OPEN",IF(OR(I154="",J154=""),"FAIL",IF(I154=H154,"PASS","FAIL")))</x:f>
        <x:v>OPEN</x:v>
      </x:c>
    </x:row>
    <x:row r="155">
      <x:c r="B155" s="28" t="str">
        <x:v>IF-ROT-PEA-B-Y1-3-05</x:v>
      </x:c>
      <x:c r="C155" s="28" t="str">
        <x:v>ROT-PEA-B-Y1-3</x:v>
      </x:c>
      <x:c r="D155" s="28" t="str">
        <x:v>PEA-B-Y1</x:v>
      </x:c>
      <x:c r="E155" s="28" t="str">
        <x:v>RFP-A1</x:v>
      </x:c>
      <x:c r="F155" s="28" t="n">
        <x:v>5</x:v>
      </x:c>
      <x:c r="G155" s="28" t="str">
        <x:v>water supply and return</x:v>
      </x:c>
      <x:c r="H155" s="28" t="str">
        <x:v>CONFORMS</x:v>
      </x:c>
      <x:c r="I155" s="31" t="str"/>
      <x:c r="J155" s="31" t="str"/>
      <x:c r="K155" s="31" t="str"/>
      <x:c r="L155" s="28" t="str">
        <x:f>IF(K155="","OPEN",IF(OR(I155="",J155=""),"FAIL",IF(I155=H155,"PASS","FAIL")))</x:f>
        <x:v>OPEN</x:v>
      </x:c>
    </x:row>
    <x:row r="156">
      <x:c r="B156" s="28" t="str">
        <x:v>IF-ROT-PEA-B-Y1-3-06</x:v>
      </x:c>
      <x:c r="C156" s="28" t="str">
        <x:v>ROT-PEA-B-Y1-3</x:v>
      </x:c>
      <x:c r="D156" s="28" t="str">
        <x:v>PEA-B-Y1</x:v>
      </x:c>
      <x:c r="E156" s="28" t="str">
        <x:v>RFP-A1</x:v>
      </x:c>
      <x:c r="F156" s="28" t="n">
        <x:v>6</x:v>
      </x:c>
      <x:c r="G156" s="28" t="str">
        <x:v>casualty-water route</x:v>
      </x:c>
      <x:c r="H156" s="28" t="str">
        <x:v>CONFORMS</x:v>
      </x:c>
      <x:c r="I156" s="31" t="str"/>
      <x:c r="J156" s="31" t="str"/>
      <x:c r="K156" s="31" t="str"/>
      <x:c r="L156" s="28" t="str">
        <x:f>IF(K156="","OPEN",IF(OR(I156="",J156=""),"FAIL",IF(I156=H156,"PASS","FAIL")))</x:f>
        <x:v>OPEN</x:v>
      </x:c>
    </x:row>
    <x:row r="157">
      <x:c r="B157" s="28" t="str">
        <x:v>IF-ROT-PEA-B-Y1-3-07</x:v>
      </x:c>
      <x:c r="C157" s="28" t="str">
        <x:v>ROT-PEA-B-Y1-3</x:v>
      </x:c>
      <x:c r="D157" s="28" t="str">
        <x:v>PEA-B-Y1</x:v>
      </x:c>
      <x:c r="E157" s="28" t="str">
        <x:v>RFP-A1</x:v>
      </x:c>
      <x:c r="F157" s="28" t="n">
        <x:v>7</x:v>
      </x:c>
      <x:c r="G157" s="28" t="str">
        <x:v>normal electrical power</x:v>
      </x:c>
      <x:c r="H157" s="28" t="str">
        <x:v>CONFORMS</x:v>
      </x:c>
      <x:c r="I157" s="31" t="str"/>
      <x:c r="J157" s="31" t="str"/>
      <x:c r="K157" s="31" t="str"/>
      <x:c r="L157" s="28" t="str">
        <x:f>IF(K157="","OPEN",IF(OR(I157="",J157=""),"FAIL",IF(I157=H157,"PASS","FAIL")))</x:f>
        <x:v>OPEN</x:v>
      </x:c>
    </x:row>
    <x:row r="158">
      <x:c r="B158" s="28" t="str">
        <x:v>IF-ROT-PEA-B-Y1-3-08</x:v>
      </x:c>
      <x:c r="C158" s="28" t="str">
        <x:v>ROT-PEA-B-Y1-3</x:v>
      </x:c>
      <x:c r="D158" s="28" t="str">
        <x:v>PEA-B-Y1</x:v>
      </x:c>
      <x:c r="E158" s="28" t="str">
        <x:v>RFP-A1</x:v>
      </x:c>
      <x:c r="F158" s="28" t="n">
        <x:v>8</x:v>
      </x:c>
      <x:c r="G158" s="28" t="str">
        <x:v>independent safety energy</x:v>
      </x:c>
      <x:c r="H158" s="28" t="str">
        <x:v>CONFORMS</x:v>
      </x:c>
      <x:c r="I158" s="31" t="str"/>
      <x:c r="J158" s="31" t="str"/>
      <x:c r="K158" s="31" t="str"/>
      <x:c r="L158" s="28" t="str">
        <x:f>IF(K158="","OPEN",IF(OR(I158="",J158=""),"FAIL",IF(I158=H158,"PASS","FAIL")))</x:f>
        <x:v>OPEN</x:v>
      </x:c>
    </x:row>
    <x:row r="159">
      <x:c r="B159" s="28" t="str">
        <x:v>IF-ROT-PEA-B-Y1-3-09</x:v>
      </x:c>
      <x:c r="C159" s="28" t="str">
        <x:v>ROT-PEA-B-Y1-3</x:v>
      </x:c>
      <x:c r="D159" s="28" t="str">
        <x:v>PEA-B-Y1</x:v>
      </x:c>
      <x:c r="E159" s="28" t="str">
        <x:v>RFP-A1</x:v>
      </x:c>
      <x:c r="F159" s="28" t="n">
        <x:v>9</x:v>
      </x:c>
      <x:c r="G159" s="28" t="str">
        <x:v>causal-time roots</x:v>
      </x:c>
      <x:c r="H159" s="28" t="str">
        <x:v>CONFORMS</x:v>
      </x:c>
      <x:c r="I159" s="31" t="str"/>
      <x:c r="J159" s="31" t="str"/>
      <x:c r="K159" s="31" t="str"/>
      <x:c r="L159" s="28" t="str">
        <x:f>IF(K159="","OPEN",IF(OR(I159="",J159=""),"FAIL",IF(I159=H159,"PASS","FAIL")))</x:f>
        <x:v>OPEN</x:v>
      </x:c>
    </x:row>
    <x:row r="160">
      <x:c r="B160" s="28" t="str">
        <x:v>IF-ROT-PEA-B-Y1-3-10</x:v>
      </x:c>
      <x:c r="C160" s="28" t="str">
        <x:v>ROT-PEA-B-Y1-3</x:v>
      </x:c>
      <x:c r="D160" s="28" t="str">
        <x:v>PEA-B-Y1</x:v>
      </x:c>
      <x:c r="E160" s="28" t="str">
        <x:v>RFP-A1</x:v>
      </x:c>
      <x:c r="F160" s="28" t="n">
        <x:v>10</x:v>
      </x:c>
      <x:c r="G160" s="28" t="str">
        <x:v>two evidence originals</x:v>
      </x:c>
      <x:c r="H160" s="28" t="str">
        <x:v>CONFORMS</x:v>
      </x:c>
      <x:c r="I160" s="31" t="str"/>
      <x:c r="J160" s="31" t="str"/>
      <x:c r="K160" s="31" t="str"/>
      <x:c r="L160" s="28" t="str">
        <x:f>IF(K160="","OPEN",IF(OR(I160="",J160=""),"FAIL",IF(I160=H160,"PASS","FAIL")))</x:f>
        <x:v>OPEN</x:v>
      </x:c>
    </x:row>
    <x:row r="161">
      <x:c r="B161" s="28" t="str">
        <x:v>IF-ROT-PEA-B-Y1-3-11</x:v>
      </x:c>
      <x:c r="C161" s="28" t="str">
        <x:v>ROT-PEA-B-Y1-3</x:v>
      </x:c>
      <x:c r="D161" s="28" t="str">
        <x:v>PEA-B-Y1</x:v>
      </x:c>
      <x:c r="E161" s="28" t="str">
        <x:v>RFP-A1</x:v>
      </x:c>
      <x:c r="F161" s="28" t="n">
        <x:v>11</x:v>
      </x:c>
      <x:c r="G161" s="28" t="str">
        <x:v>safeing command and final state</x:v>
      </x:c>
      <x:c r="H161" s="28" t="str">
        <x:v>CONFORMS</x:v>
      </x:c>
      <x:c r="I161" s="31" t="str"/>
      <x:c r="J161" s="31" t="str"/>
      <x:c r="K161" s="31" t="str"/>
      <x:c r="L161" s="28" t="str">
        <x:f>IF(K161="","OPEN",IF(OR(I161="",J161=""),"FAIL",IF(I161=H161,"PASS","FAIL")))</x:f>
        <x:v>OPEN</x:v>
      </x:c>
    </x:row>
    <x:row r="162">
      <x:c r="B162" s="28" t="str">
        <x:v>IF-ROT-PEA-B-Y1-3-12</x:v>
      </x:c>
      <x:c r="C162" s="28" t="str">
        <x:v>ROT-PEA-B-Y1-3</x:v>
      </x:c>
      <x:c r="D162" s="28" t="str">
        <x:v>PEA-B-Y1</x:v>
      </x:c>
      <x:c r="E162" s="28" t="str">
        <x:v>RFP-A1</x:v>
      </x:c>
      <x:c r="F162" s="28" t="n">
        <x:v>12</x:v>
      </x:c>
      <x:c r="G162" s="28" t="str">
        <x:v>rescue access</x:v>
      </x:c>
      <x:c r="H162" s="28" t="str">
        <x:v>CONFORMS</x:v>
      </x:c>
      <x:c r="I162" s="31" t="str"/>
      <x:c r="J162" s="31" t="str"/>
      <x:c r="K162" s="31" t="str"/>
      <x:c r="L162" s="28" t="str">
        <x:f>IF(K162="","OPEN",IF(OR(I162="",J162=""),"FAIL",IF(I162=H162,"PASS","FAIL")))</x:f>
        <x:v>OPEN</x:v>
      </x:c>
    </x:row>
    <x:row r="163">
      <x:c r="B163" s="28" t="str">
        <x:v>IF-ROT-PEA-C-X1-3-01</x:v>
      </x:c>
      <x:c r="C163" s="28" t="str">
        <x:v>ROT-PEA-C-X1-3</x:v>
      </x:c>
      <x:c r="D163" s="28" t="str">
        <x:v>PEA-C-X1</x:v>
      </x:c>
      <x:c r="E163" s="28" t="str">
        <x:v>RFP-A2</x:v>
      </x:c>
      <x:c r="F163" s="28" t="n">
        <x:v>1</x:v>
      </x:c>
      <x:c r="G163" s="28" t="str">
        <x:v>public datum and load path</x:v>
      </x:c>
      <x:c r="H163" s="28" t="str">
        <x:v>CONFORMS</x:v>
      </x:c>
      <x:c r="I163" s="31" t="str"/>
      <x:c r="J163" s="31" t="str"/>
      <x:c r="K163" s="31" t="str"/>
      <x:c r="L163" s="28" t="str">
        <x:f>IF(K163="","OPEN",IF(OR(I163="",J163=""),"FAIL",IF(I163=H163,"PASS","FAIL")))</x:f>
        <x:v>OPEN</x:v>
      </x:c>
    </x:row>
    <x:row r="164">
      <x:c r="B164" s="28" t="str">
        <x:v>IF-ROT-PEA-C-X1-3-02</x:v>
      </x:c>
      <x:c r="C164" s="28" t="str">
        <x:v>ROT-PEA-C-X1-3</x:v>
      </x:c>
      <x:c r="D164" s="28" t="str">
        <x:v>PEA-C-X1</x:v>
      </x:c>
      <x:c r="E164" s="28" t="str">
        <x:v>RFP-A2</x:v>
      </x:c>
      <x:c r="F164" s="28" t="n">
        <x:v>2</x:v>
      </x:c>
      <x:c r="G164" s="28" t="str">
        <x:v>source-origin boundary</x:v>
      </x:c>
      <x:c r="H164" s="28" t="str">
        <x:v>CONFORMS</x:v>
      </x:c>
      <x:c r="I164" s="31" t="str"/>
      <x:c r="J164" s="31" t="str"/>
      <x:c r="K164" s="31" t="str"/>
      <x:c r="L164" s="28" t="str">
        <x:f>IF(K164="","OPEN",IF(OR(I164="",J164=""),"FAIL",IF(I164=H164,"PASS","FAIL")))</x:f>
        <x:v>OPEN</x:v>
      </x:c>
    </x:row>
    <x:row r="165">
      <x:c r="B165" s="28" t="str">
        <x:v>IF-ROT-PEA-C-X1-3-03</x:v>
      </x:c>
      <x:c r="C165" s="28" t="str">
        <x:v>ROT-PEA-C-X1-3</x:v>
      </x:c>
      <x:c r="D165" s="28" t="str">
        <x:v>PEA-C-X1</x:v>
      </x:c>
      <x:c r="E165" s="28" t="str">
        <x:v>RFP-A2</x:v>
      </x:c>
      <x:c r="F165" s="28" t="n">
        <x:v>3</x:v>
      </x:c>
      <x:c r="G165" s="28" t="str">
        <x:v>normal route</x:v>
      </x:c>
      <x:c r="H165" s="28" t="str">
        <x:v>CONFORMS</x:v>
      </x:c>
      <x:c r="I165" s="31" t="str"/>
      <x:c r="J165" s="31" t="str"/>
      <x:c r="K165" s="31" t="str"/>
      <x:c r="L165" s="28" t="str">
        <x:f>IF(K165="","OPEN",IF(OR(I165="",J165=""),"FAIL",IF(I165=H165,"PASS","FAIL")))</x:f>
        <x:v>OPEN</x:v>
      </x:c>
    </x:row>
    <x:row r="166">
      <x:c r="B166" s="28" t="str">
        <x:v>IF-ROT-PEA-C-X1-3-04</x:v>
      </x:c>
      <x:c r="C166" s="28" t="str">
        <x:v>ROT-PEA-C-X1-3</x:v>
      </x:c>
      <x:c r="D166" s="28" t="str">
        <x:v>PEA-C-X1</x:v>
      </x:c>
      <x:c r="E166" s="28" t="str">
        <x:v>RFP-A2</x:v>
      </x:c>
      <x:c r="F166" s="28" t="n">
        <x:v>4</x:v>
      </x:c>
      <x:c r="G166" s="28" t="str">
        <x:v>casualty-source route</x:v>
      </x:c>
      <x:c r="H166" s="28" t="str">
        <x:v>CONFORMS</x:v>
      </x:c>
      <x:c r="I166" s="31" t="str"/>
      <x:c r="J166" s="31" t="str"/>
      <x:c r="K166" s="31" t="str"/>
      <x:c r="L166" s="28" t="str">
        <x:f>IF(K166="","OPEN",IF(OR(I166="",J166=""),"FAIL",IF(I166=H166,"PASS","FAIL")))</x:f>
        <x:v>OPEN</x:v>
      </x:c>
    </x:row>
    <x:row r="167">
      <x:c r="B167" s="28" t="str">
        <x:v>IF-ROT-PEA-C-X1-3-05</x:v>
      </x:c>
      <x:c r="C167" s="28" t="str">
        <x:v>ROT-PEA-C-X1-3</x:v>
      </x:c>
      <x:c r="D167" s="28" t="str">
        <x:v>PEA-C-X1</x:v>
      </x:c>
      <x:c r="E167" s="28" t="str">
        <x:v>RFP-A2</x:v>
      </x:c>
      <x:c r="F167" s="28" t="n">
        <x:v>5</x:v>
      </x:c>
      <x:c r="G167" s="28" t="str">
        <x:v>water supply and return</x:v>
      </x:c>
      <x:c r="H167" s="28" t="str">
        <x:v>CONFORMS</x:v>
      </x:c>
      <x:c r="I167" s="31" t="str"/>
      <x:c r="J167" s="31" t="str"/>
      <x:c r="K167" s="31" t="str"/>
      <x:c r="L167" s="28" t="str">
        <x:f>IF(K167="","OPEN",IF(OR(I167="",J167=""),"FAIL",IF(I167=H167,"PASS","FAIL")))</x:f>
        <x:v>OPEN</x:v>
      </x:c>
    </x:row>
    <x:row r="168">
      <x:c r="B168" s="28" t="str">
        <x:v>IF-ROT-PEA-C-X1-3-06</x:v>
      </x:c>
      <x:c r="C168" s="28" t="str">
        <x:v>ROT-PEA-C-X1-3</x:v>
      </x:c>
      <x:c r="D168" s="28" t="str">
        <x:v>PEA-C-X1</x:v>
      </x:c>
      <x:c r="E168" s="28" t="str">
        <x:v>RFP-A2</x:v>
      </x:c>
      <x:c r="F168" s="28" t="n">
        <x:v>6</x:v>
      </x:c>
      <x:c r="G168" s="28" t="str">
        <x:v>casualty-water route</x:v>
      </x:c>
      <x:c r="H168" s="28" t="str">
        <x:v>CONFORMS</x:v>
      </x:c>
      <x:c r="I168" s="31" t="str"/>
      <x:c r="J168" s="31" t="str"/>
      <x:c r="K168" s="31" t="str"/>
      <x:c r="L168" s="28" t="str">
        <x:f>IF(K168="","OPEN",IF(OR(I168="",J168=""),"FAIL",IF(I168=H168,"PASS","FAIL")))</x:f>
        <x:v>OPEN</x:v>
      </x:c>
    </x:row>
    <x:row r="169">
      <x:c r="B169" s="28" t="str">
        <x:v>IF-ROT-PEA-C-X1-3-07</x:v>
      </x:c>
      <x:c r="C169" s="28" t="str">
        <x:v>ROT-PEA-C-X1-3</x:v>
      </x:c>
      <x:c r="D169" s="28" t="str">
        <x:v>PEA-C-X1</x:v>
      </x:c>
      <x:c r="E169" s="28" t="str">
        <x:v>RFP-A2</x:v>
      </x:c>
      <x:c r="F169" s="28" t="n">
        <x:v>7</x:v>
      </x:c>
      <x:c r="G169" s="28" t="str">
        <x:v>normal electrical power</x:v>
      </x:c>
      <x:c r="H169" s="28" t="str">
        <x:v>CONFORMS</x:v>
      </x:c>
      <x:c r="I169" s="31" t="str"/>
      <x:c r="J169" s="31" t="str"/>
      <x:c r="K169" s="31" t="str"/>
      <x:c r="L169" s="28" t="str">
        <x:f>IF(K169="","OPEN",IF(OR(I169="",J169=""),"FAIL",IF(I169=H169,"PASS","FAIL")))</x:f>
        <x:v>OPEN</x:v>
      </x:c>
    </x:row>
    <x:row r="170">
      <x:c r="B170" s="28" t="str">
        <x:v>IF-ROT-PEA-C-X1-3-08</x:v>
      </x:c>
      <x:c r="C170" s="28" t="str">
        <x:v>ROT-PEA-C-X1-3</x:v>
      </x:c>
      <x:c r="D170" s="28" t="str">
        <x:v>PEA-C-X1</x:v>
      </x:c>
      <x:c r="E170" s="28" t="str">
        <x:v>RFP-A2</x:v>
      </x:c>
      <x:c r="F170" s="28" t="n">
        <x:v>8</x:v>
      </x:c>
      <x:c r="G170" s="28" t="str">
        <x:v>independent safety energy</x:v>
      </x:c>
      <x:c r="H170" s="28" t="str">
        <x:v>CONFORMS</x:v>
      </x:c>
      <x:c r="I170" s="31" t="str"/>
      <x:c r="J170" s="31" t="str"/>
      <x:c r="K170" s="31" t="str"/>
      <x:c r="L170" s="28" t="str">
        <x:f>IF(K170="","OPEN",IF(OR(I170="",J170=""),"FAIL",IF(I170=H170,"PASS","FAIL")))</x:f>
        <x:v>OPEN</x:v>
      </x:c>
    </x:row>
    <x:row r="171">
      <x:c r="B171" s="28" t="str">
        <x:v>IF-ROT-PEA-C-X1-3-09</x:v>
      </x:c>
      <x:c r="C171" s="28" t="str">
        <x:v>ROT-PEA-C-X1-3</x:v>
      </x:c>
      <x:c r="D171" s="28" t="str">
        <x:v>PEA-C-X1</x:v>
      </x:c>
      <x:c r="E171" s="28" t="str">
        <x:v>RFP-A2</x:v>
      </x:c>
      <x:c r="F171" s="28" t="n">
        <x:v>9</x:v>
      </x:c>
      <x:c r="G171" s="28" t="str">
        <x:v>causal-time roots</x:v>
      </x:c>
      <x:c r="H171" s="28" t="str">
        <x:v>CONFORMS</x:v>
      </x:c>
      <x:c r="I171" s="31" t="str"/>
      <x:c r="J171" s="31" t="str"/>
      <x:c r="K171" s="31" t="str"/>
      <x:c r="L171" s="28" t="str">
        <x:f>IF(K171="","OPEN",IF(OR(I171="",J171=""),"FAIL",IF(I171=H171,"PASS","FAIL")))</x:f>
        <x:v>OPEN</x:v>
      </x:c>
    </x:row>
    <x:row r="172">
      <x:c r="B172" s="28" t="str">
        <x:v>IF-ROT-PEA-C-X1-3-10</x:v>
      </x:c>
      <x:c r="C172" s="28" t="str">
        <x:v>ROT-PEA-C-X1-3</x:v>
      </x:c>
      <x:c r="D172" s="28" t="str">
        <x:v>PEA-C-X1</x:v>
      </x:c>
      <x:c r="E172" s="28" t="str">
        <x:v>RFP-A2</x:v>
      </x:c>
      <x:c r="F172" s="28" t="n">
        <x:v>10</x:v>
      </x:c>
      <x:c r="G172" s="28" t="str">
        <x:v>two evidence originals</x:v>
      </x:c>
      <x:c r="H172" s="28" t="str">
        <x:v>CONFORMS</x:v>
      </x:c>
      <x:c r="I172" s="31" t="str"/>
      <x:c r="J172" s="31" t="str"/>
      <x:c r="K172" s="31" t="str"/>
      <x:c r="L172" s="28" t="str">
        <x:f>IF(K172="","OPEN",IF(OR(I172="",J172=""),"FAIL",IF(I172=H172,"PASS","FAIL")))</x:f>
        <x:v>OPEN</x:v>
      </x:c>
    </x:row>
    <x:row r="173">
      <x:c r="B173" s="28" t="str">
        <x:v>IF-ROT-PEA-C-X1-3-11</x:v>
      </x:c>
      <x:c r="C173" s="28" t="str">
        <x:v>ROT-PEA-C-X1-3</x:v>
      </x:c>
      <x:c r="D173" s="28" t="str">
        <x:v>PEA-C-X1</x:v>
      </x:c>
      <x:c r="E173" s="28" t="str">
        <x:v>RFP-A2</x:v>
      </x:c>
      <x:c r="F173" s="28" t="n">
        <x:v>11</x:v>
      </x:c>
      <x:c r="G173" s="28" t="str">
        <x:v>safeing command and final state</x:v>
      </x:c>
      <x:c r="H173" s="28" t="str">
        <x:v>CONFORMS</x:v>
      </x:c>
      <x:c r="I173" s="31" t="str"/>
      <x:c r="J173" s="31" t="str"/>
      <x:c r="K173" s="31" t="str"/>
      <x:c r="L173" s="28" t="str">
        <x:f>IF(K173="","OPEN",IF(OR(I173="",J173=""),"FAIL",IF(I173=H173,"PASS","FAIL")))</x:f>
        <x:v>OPEN</x:v>
      </x:c>
    </x:row>
    <x:row r="174">
      <x:c r="B174" s="28" t="str">
        <x:v>IF-ROT-PEA-C-X1-3-12</x:v>
      </x:c>
      <x:c r="C174" s="28" t="str">
        <x:v>ROT-PEA-C-X1-3</x:v>
      </x:c>
      <x:c r="D174" s="28" t="str">
        <x:v>PEA-C-X1</x:v>
      </x:c>
      <x:c r="E174" s="28" t="str">
        <x:v>RFP-A2</x:v>
      </x:c>
      <x:c r="F174" s="28" t="n">
        <x:v>12</x:v>
      </x:c>
      <x:c r="G174" s="28" t="str">
        <x:v>rescue access</x:v>
      </x:c>
      <x:c r="H174" s="28" t="str">
        <x:v>CONFORMS</x:v>
      </x:c>
      <x:c r="I174" s="31" t="str"/>
      <x:c r="J174" s="31" t="str"/>
      <x:c r="K174" s="31" t="str"/>
      <x:c r="L174" s="28" t="str">
        <x:f>IF(K174="","OPEN",IF(OR(I174="",J174=""),"FAIL",IF(I174=H174,"PASS","FAIL")))</x:f>
        <x:v>OPEN</x:v>
      </x:c>
    </x:row>
    <x:row r="175">
      <x:c r="B175" s="28" t="str">
        <x:v>IF-ROT-PEA-C-Y1-3-01</x:v>
      </x:c>
      <x:c r="C175" s="28" t="str">
        <x:v>ROT-PEA-C-Y1-3</x:v>
      </x:c>
      <x:c r="D175" s="28" t="str">
        <x:v>PEA-C-Y1</x:v>
      </x:c>
      <x:c r="E175" s="28" t="str">
        <x:v>RFP-B1</x:v>
      </x:c>
      <x:c r="F175" s="28" t="n">
        <x:v>1</x:v>
      </x:c>
      <x:c r="G175" s="28" t="str">
        <x:v>public datum and load path</x:v>
      </x:c>
      <x:c r="H175" s="28" t="str">
        <x:v>CONFORMS</x:v>
      </x:c>
      <x:c r="I175" s="31" t="str"/>
      <x:c r="J175" s="31" t="str"/>
      <x:c r="K175" s="31" t="str"/>
      <x:c r="L175" s="28" t="str">
        <x:f>IF(K175="","OPEN",IF(OR(I175="",J175=""),"FAIL",IF(I175=H175,"PASS","FAIL")))</x:f>
        <x:v>OPEN</x:v>
      </x:c>
    </x:row>
    <x:row r="176">
      <x:c r="B176" s="28" t="str">
        <x:v>IF-ROT-PEA-C-Y1-3-02</x:v>
      </x:c>
      <x:c r="C176" s="28" t="str">
        <x:v>ROT-PEA-C-Y1-3</x:v>
      </x:c>
      <x:c r="D176" s="28" t="str">
        <x:v>PEA-C-Y1</x:v>
      </x:c>
      <x:c r="E176" s="28" t="str">
        <x:v>RFP-B1</x:v>
      </x:c>
      <x:c r="F176" s="28" t="n">
        <x:v>2</x:v>
      </x:c>
      <x:c r="G176" s="28" t="str">
        <x:v>source-origin boundary</x:v>
      </x:c>
      <x:c r="H176" s="28" t="str">
        <x:v>CONFORMS</x:v>
      </x:c>
      <x:c r="I176" s="31" t="str"/>
      <x:c r="J176" s="31" t="str"/>
      <x:c r="K176" s="31" t="str"/>
      <x:c r="L176" s="28" t="str">
        <x:f>IF(K176="","OPEN",IF(OR(I176="",J176=""),"FAIL",IF(I176=H176,"PASS","FAIL")))</x:f>
        <x:v>OPEN</x:v>
      </x:c>
    </x:row>
    <x:row r="177">
      <x:c r="B177" s="28" t="str">
        <x:v>IF-ROT-PEA-C-Y1-3-03</x:v>
      </x:c>
      <x:c r="C177" s="28" t="str">
        <x:v>ROT-PEA-C-Y1-3</x:v>
      </x:c>
      <x:c r="D177" s="28" t="str">
        <x:v>PEA-C-Y1</x:v>
      </x:c>
      <x:c r="E177" s="28" t="str">
        <x:v>RFP-B1</x:v>
      </x:c>
      <x:c r="F177" s="28" t="n">
        <x:v>3</x:v>
      </x:c>
      <x:c r="G177" s="28" t="str">
        <x:v>normal route</x:v>
      </x:c>
      <x:c r="H177" s="28" t="str">
        <x:v>CONFORMS</x:v>
      </x:c>
      <x:c r="I177" s="31" t="str"/>
      <x:c r="J177" s="31" t="str"/>
      <x:c r="K177" s="31" t="str"/>
      <x:c r="L177" s="28" t="str">
        <x:f>IF(K177="","OPEN",IF(OR(I177="",J177=""),"FAIL",IF(I177=H177,"PASS","FAIL")))</x:f>
        <x:v>OPEN</x:v>
      </x:c>
    </x:row>
    <x:row r="178">
      <x:c r="B178" s="28" t="str">
        <x:v>IF-ROT-PEA-C-Y1-3-04</x:v>
      </x:c>
      <x:c r="C178" s="28" t="str">
        <x:v>ROT-PEA-C-Y1-3</x:v>
      </x:c>
      <x:c r="D178" s="28" t="str">
        <x:v>PEA-C-Y1</x:v>
      </x:c>
      <x:c r="E178" s="28" t="str">
        <x:v>RFP-B1</x:v>
      </x:c>
      <x:c r="F178" s="28" t="n">
        <x:v>4</x:v>
      </x:c>
      <x:c r="G178" s="28" t="str">
        <x:v>casualty-source route</x:v>
      </x:c>
      <x:c r="H178" s="28" t="str">
        <x:v>CONFORMS</x:v>
      </x:c>
      <x:c r="I178" s="31" t="str"/>
      <x:c r="J178" s="31" t="str"/>
      <x:c r="K178" s="31" t="str"/>
      <x:c r="L178" s="28" t="str">
        <x:f>IF(K178="","OPEN",IF(OR(I178="",J178=""),"FAIL",IF(I178=H178,"PASS","FAIL")))</x:f>
        <x:v>OPEN</x:v>
      </x:c>
    </x:row>
    <x:row r="179">
      <x:c r="B179" s="28" t="str">
        <x:v>IF-ROT-PEA-C-Y1-3-05</x:v>
      </x:c>
      <x:c r="C179" s="28" t="str">
        <x:v>ROT-PEA-C-Y1-3</x:v>
      </x:c>
      <x:c r="D179" s="28" t="str">
        <x:v>PEA-C-Y1</x:v>
      </x:c>
      <x:c r="E179" s="28" t="str">
        <x:v>RFP-B1</x:v>
      </x:c>
      <x:c r="F179" s="28" t="n">
        <x:v>5</x:v>
      </x:c>
      <x:c r="G179" s="28" t="str">
        <x:v>water supply and return</x:v>
      </x:c>
      <x:c r="H179" s="28" t="str">
        <x:v>CONFORMS</x:v>
      </x:c>
      <x:c r="I179" s="31" t="str"/>
      <x:c r="J179" s="31" t="str"/>
      <x:c r="K179" s="31" t="str"/>
      <x:c r="L179" s="28" t="str">
        <x:f>IF(K179="","OPEN",IF(OR(I179="",J179=""),"FAIL",IF(I179=H179,"PASS","FAIL")))</x:f>
        <x:v>OPEN</x:v>
      </x:c>
    </x:row>
    <x:row r="180">
      <x:c r="B180" s="28" t="str">
        <x:v>IF-ROT-PEA-C-Y1-3-06</x:v>
      </x:c>
      <x:c r="C180" s="28" t="str">
        <x:v>ROT-PEA-C-Y1-3</x:v>
      </x:c>
      <x:c r="D180" s="28" t="str">
        <x:v>PEA-C-Y1</x:v>
      </x:c>
      <x:c r="E180" s="28" t="str">
        <x:v>RFP-B1</x:v>
      </x:c>
      <x:c r="F180" s="28" t="n">
        <x:v>6</x:v>
      </x:c>
      <x:c r="G180" s="28" t="str">
        <x:v>casualty-water route</x:v>
      </x:c>
      <x:c r="H180" s="28" t="str">
        <x:v>CONFORMS</x:v>
      </x:c>
      <x:c r="I180" s="31" t="str"/>
      <x:c r="J180" s="31" t="str"/>
      <x:c r="K180" s="31" t="str"/>
      <x:c r="L180" s="28" t="str">
        <x:f>IF(K180="","OPEN",IF(OR(I180="",J180=""),"FAIL",IF(I180=H180,"PASS","FAIL")))</x:f>
        <x:v>OPEN</x:v>
      </x:c>
    </x:row>
    <x:row r="181">
      <x:c r="B181" s="28" t="str">
        <x:v>IF-ROT-PEA-C-Y1-3-07</x:v>
      </x:c>
      <x:c r="C181" s="28" t="str">
        <x:v>ROT-PEA-C-Y1-3</x:v>
      </x:c>
      <x:c r="D181" s="28" t="str">
        <x:v>PEA-C-Y1</x:v>
      </x:c>
      <x:c r="E181" s="28" t="str">
        <x:v>RFP-B1</x:v>
      </x:c>
      <x:c r="F181" s="28" t="n">
        <x:v>7</x:v>
      </x:c>
      <x:c r="G181" s="28" t="str">
        <x:v>normal electrical power</x:v>
      </x:c>
      <x:c r="H181" s="28" t="str">
        <x:v>CONFORMS</x:v>
      </x:c>
      <x:c r="I181" s="31" t="str"/>
      <x:c r="J181" s="31" t="str"/>
      <x:c r="K181" s="31" t="str"/>
      <x:c r="L181" s="28" t="str">
        <x:f>IF(K181="","OPEN",IF(OR(I181="",J181=""),"FAIL",IF(I181=H181,"PASS","FAIL")))</x:f>
        <x:v>OPEN</x:v>
      </x:c>
    </x:row>
    <x:row r="182">
      <x:c r="B182" s="28" t="str">
        <x:v>IF-ROT-PEA-C-Y1-3-08</x:v>
      </x:c>
      <x:c r="C182" s="28" t="str">
        <x:v>ROT-PEA-C-Y1-3</x:v>
      </x:c>
      <x:c r="D182" s="28" t="str">
        <x:v>PEA-C-Y1</x:v>
      </x:c>
      <x:c r="E182" s="28" t="str">
        <x:v>RFP-B1</x:v>
      </x:c>
      <x:c r="F182" s="28" t="n">
        <x:v>8</x:v>
      </x:c>
      <x:c r="G182" s="28" t="str">
        <x:v>independent safety energy</x:v>
      </x:c>
      <x:c r="H182" s="28" t="str">
        <x:v>CONFORMS</x:v>
      </x:c>
      <x:c r="I182" s="31" t="str"/>
      <x:c r="J182" s="31" t="str"/>
      <x:c r="K182" s="31" t="str"/>
      <x:c r="L182" s="28" t="str">
        <x:f>IF(K182="","OPEN",IF(OR(I182="",J182=""),"FAIL",IF(I182=H182,"PASS","FAIL")))</x:f>
        <x:v>OPEN</x:v>
      </x:c>
    </x:row>
    <x:row r="183">
      <x:c r="B183" s="28" t="str">
        <x:v>IF-ROT-PEA-C-Y1-3-09</x:v>
      </x:c>
      <x:c r="C183" s="28" t="str">
        <x:v>ROT-PEA-C-Y1-3</x:v>
      </x:c>
      <x:c r="D183" s="28" t="str">
        <x:v>PEA-C-Y1</x:v>
      </x:c>
      <x:c r="E183" s="28" t="str">
        <x:v>RFP-B1</x:v>
      </x:c>
      <x:c r="F183" s="28" t="n">
        <x:v>9</x:v>
      </x:c>
      <x:c r="G183" s="28" t="str">
        <x:v>causal-time roots</x:v>
      </x:c>
      <x:c r="H183" s="28" t="str">
        <x:v>CONFORMS</x:v>
      </x:c>
      <x:c r="I183" s="31" t="str"/>
      <x:c r="J183" s="31" t="str"/>
      <x:c r="K183" s="31" t="str"/>
      <x:c r="L183" s="28" t="str">
        <x:f>IF(K183="","OPEN",IF(OR(I183="",J183=""),"FAIL",IF(I183=H183,"PASS","FAIL")))</x:f>
        <x:v>OPEN</x:v>
      </x:c>
    </x:row>
    <x:row r="184">
      <x:c r="B184" s="28" t="str">
        <x:v>IF-ROT-PEA-C-Y1-3-10</x:v>
      </x:c>
      <x:c r="C184" s="28" t="str">
        <x:v>ROT-PEA-C-Y1-3</x:v>
      </x:c>
      <x:c r="D184" s="28" t="str">
        <x:v>PEA-C-Y1</x:v>
      </x:c>
      <x:c r="E184" s="28" t="str">
        <x:v>RFP-B1</x:v>
      </x:c>
      <x:c r="F184" s="28" t="n">
        <x:v>10</x:v>
      </x:c>
      <x:c r="G184" s="28" t="str">
        <x:v>two evidence originals</x:v>
      </x:c>
      <x:c r="H184" s="28" t="str">
        <x:v>CONFORMS</x:v>
      </x:c>
      <x:c r="I184" s="31" t="str"/>
      <x:c r="J184" s="31" t="str"/>
      <x:c r="K184" s="31" t="str"/>
      <x:c r="L184" s="28" t="str">
        <x:f>IF(K184="","OPEN",IF(OR(I184="",J184=""),"FAIL",IF(I184=H184,"PASS","FAIL")))</x:f>
        <x:v>OPEN</x:v>
      </x:c>
    </x:row>
    <x:row r="185">
      <x:c r="B185" s="28" t="str">
        <x:v>IF-ROT-PEA-C-Y1-3-11</x:v>
      </x:c>
      <x:c r="C185" s="28" t="str">
        <x:v>ROT-PEA-C-Y1-3</x:v>
      </x:c>
      <x:c r="D185" s="28" t="str">
        <x:v>PEA-C-Y1</x:v>
      </x:c>
      <x:c r="E185" s="28" t="str">
        <x:v>RFP-B1</x:v>
      </x:c>
      <x:c r="F185" s="28" t="n">
        <x:v>11</x:v>
      </x:c>
      <x:c r="G185" s="28" t="str">
        <x:v>safeing command and final state</x:v>
      </x:c>
      <x:c r="H185" s="28" t="str">
        <x:v>CONFORMS</x:v>
      </x:c>
      <x:c r="I185" s="31" t="str"/>
      <x:c r="J185" s="31" t="str"/>
      <x:c r="K185" s="31" t="str"/>
      <x:c r="L185" s="28" t="str">
        <x:f>IF(K185="","OPEN",IF(OR(I185="",J185=""),"FAIL",IF(I185=H185,"PASS","FAIL")))</x:f>
        <x:v>OPEN</x:v>
      </x:c>
    </x:row>
    <x:row r="186">
      <x:c r="B186" s="28" t="str">
        <x:v>IF-ROT-PEA-C-Y1-3-12</x:v>
      </x:c>
      <x:c r="C186" s="28" t="str">
        <x:v>ROT-PEA-C-Y1-3</x:v>
      </x:c>
      <x:c r="D186" s="28" t="str">
        <x:v>PEA-C-Y1</x:v>
      </x:c>
      <x:c r="E186" s="28" t="str">
        <x:v>RFP-B1</x:v>
      </x:c>
      <x:c r="F186" s="28" t="n">
        <x:v>12</x:v>
      </x:c>
      <x:c r="G186" s="28" t="str">
        <x:v>rescue access</x:v>
      </x:c>
      <x:c r="H186" s="28" t="str">
        <x:v>CONFORMS</x:v>
      </x:c>
      <x:c r="I186" s="31" t="str"/>
      <x:c r="J186" s="31" t="str"/>
      <x:c r="K186" s="31" t="str"/>
      <x:c r="L186" s="28" t="str">
        <x:f>IF(K186="","OPEN",IF(OR(I186="",J186=""),"FAIL",IF(I186=H186,"PASS","FAIL")))</x:f>
        <x:v>OPEN</x:v>
      </x:c>
    </x:row>
    <x:row r="187">
      <x:c r="B187" s="28" t="str">
        <x:v>IF-ROT-PEA-A-X1-3-01</x:v>
      </x:c>
      <x:c r="C187" s="28" t="str">
        <x:v>ROT-PEA-A-X1-3</x:v>
      </x:c>
      <x:c r="D187" s="28" t="str">
        <x:v>PEA-A-X1</x:v>
      </x:c>
      <x:c r="E187" s="28" t="str">
        <x:v>RFP-B2</x:v>
      </x:c>
      <x:c r="F187" s="28" t="n">
        <x:v>1</x:v>
      </x:c>
      <x:c r="G187" s="28" t="str">
        <x:v>public datum and load path</x:v>
      </x:c>
      <x:c r="H187" s="28" t="str">
        <x:v>CONFORMS</x:v>
      </x:c>
      <x:c r="I187" s="31" t="str"/>
      <x:c r="J187" s="31" t="str"/>
      <x:c r="K187" s="31" t="str"/>
      <x:c r="L187" s="28" t="str">
        <x:f>IF(K187="","OPEN",IF(OR(I187="",J187=""),"FAIL",IF(I187=H187,"PASS","FAIL")))</x:f>
        <x:v>OPEN</x:v>
      </x:c>
    </x:row>
    <x:row r="188">
      <x:c r="B188" s="28" t="str">
        <x:v>IF-ROT-PEA-A-X1-3-02</x:v>
      </x:c>
      <x:c r="C188" s="28" t="str">
        <x:v>ROT-PEA-A-X1-3</x:v>
      </x:c>
      <x:c r="D188" s="28" t="str">
        <x:v>PEA-A-X1</x:v>
      </x:c>
      <x:c r="E188" s="28" t="str">
        <x:v>RFP-B2</x:v>
      </x:c>
      <x:c r="F188" s="28" t="n">
        <x:v>2</x:v>
      </x:c>
      <x:c r="G188" s="28" t="str">
        <x:v>source-origin boundary</x:v>
      </x:c>
      <x:c r="H188" s="28" t="str">
        <x:v>CONFORMS</x:v>
      </x:c>
      <x:c r="I188" s="31" t="str"/>
      <x:c r="J188" s="31" t="str"/>
      <x:c r="K188" s="31" t="str"/>
      <x:c r="L188" s="28" t="str">
        <x:f>IF(K188="","OPEN",IF(OR(I188="",J188=""),"FAIL",IF(I188=H188,"PASS","FAIL")))</x:f>
        <x:v>OPEN</x:v>
      </x:c>
    </x:row>
    <x:row r="189">
      <x:c r="B189" s="28" t="str">
        <x:v>IF-ROT-PEA-A-X1-3-03</x:v>
      </x:c>
      <x:c r="C189" s="28" t="str">
        <x:v>ROT-PEA-A-X1-3</x:v>
      </x:c>
      <x:c r="D189" s="28" t="str">
        <x:v>PEA-A-X1</x:v>
      </x:c>
      <x:c r="E189" s="28" t="str">
        <x:v>RFP-B2</x:v>
      </x:c>
      <x:c r="F189" s="28" t="n">
        <x:v>3</x:v>
      </x:c>
      <x:c r="G189" s="28" t="str">
        <x:v>normal route</x:v>
      </x:c>
      <x:c r="H189" s="28" t="str">
        <x:v>CONFORMS</x:v>
      </x:c>
      <x:c r="I189" s="31" t="str"/>
      <x:c r="J189" s="31" t="str"/>
      <x:c r="K189" s="31" t="str"/>
      <x:c r="L189" s="28" t="str">
        <x:f>IF(K189="","OPEN",IF(OR(I189="",J189=""),"FAIL",IF(I189=H189,"PASS","FAIL")))</x:f>
        <x:v>OPEN</x:v>
      </x:c>
    </x:row>
    <x:row r="190">
      <x:c r="B190" s="28" t="str">
        <x:v>IF-ROT-PEA-A-X1-3-04</x:v>
      </x:c>
      <x:c r="C190" s="28" t="str">
        <x:v>ROT-PEA-A-X1-3</x:v>
      </x:c>
      <x:c r="D190" s="28" t="str">
        <x:v>PEA-A-X1</x:v>
      </x:c>
      <x:c r="E190" s="28" t="str">
        <x:v>RFP-B2</x:v>
      </x:c>
      <x:c r="F190" s="28" t="n">
        <x:v>4</x:v>
      </x:c>
      <x:c r="G190" s="28" t="str">
        <x:v>casualty-source route</x:v>
      </x:c>
      <x:c r="H190" s="28" t="str">
        <x:v>CONFORMS</x:v>
      </x:c>
      <x:c r="I190" s="31" t="str"/>
      <x:c r="J190" s="31" t="str"/>
      <x:c r="K190" s="31" t="str"/>
      <x:c r="L190" s="28" t="str">
        <x:f>IF(K190="","OPEN",IF(OR(I190="",J190=""),"FAIL",IF(I190=H190,"PASS","FAIL")))</x:f>
        <x:v>OPEN</x:v>
      </x:c>
    </x:row>
    <x:row r="191">
      <x:c r="B191" s="28" t="str">
        <x:v>IF-ROT-PEA-A-X1-3-05</x:v>
      </x:c>
      <x:c r="C191" s="28" t="str">
        <x:v>ROT-PEA-A-X1-3</x:v>
      </x:c>
      <x:c r="D191" s="28" t="str">
        <x:v>PEA-A-X1</x:v>
      </x:c>
      <x:c r="E191" s="28" t="str">
        <x:v>RFP-B2</x:v>
      </x:c>
      <x:c r="F191" s="28" t="n">
        <x:v>5</x:v>
      </x:c>
      <x:c r="G191" s="28" t="str">
        <x:v>water supply and return</x:v>
      </x:c>
      <x:c r="H191" s="28" t="str">
        <x:v>CONFORMS</x:v>
      </x:c>
      <x:c r="I191" s="31" t="str"/>
      <x:c r="J191" s="31" t="str"/>
      <x:c r="K191" s="31" t="str"/>
      <x:c r="L191" s="28" t="str">
        <x:f>IF(K191="","OPEN",IF(OR(I191="",J191=""),"FAIL",IF(I191=H191,"PASS","FAIL")))</x:f>
        <x:v>OPEN</x:v>
      </x:c>
    </x:row>
    <x:row r="192">
      <x:c r="B192" s="28" t="str">
        <x:v>IF-ROT-PEA-A-X1-3-06</x:v>
      </x:c>
      <x:c r="C192" s="28" t="str">
        <x:v>ROT-PEA-A-X1-3</x:v>
      </x:c>
      <x:c r="D192" s="28" t="str">
        <x:v>PEA-A-X1</x:v>
      </x:c>
      <x:c r="E192" s="28" t="str">
        <x:v>RFP-B2</x:v>
      </x:c>
      <x:c r="F192" s="28" t="n">
        <x:v>6</x:v>
      </x:c>
      <x:c r="G192" s="28" t="str">
        <x:v>casualty-water route</x:v>
      </x:c>
      <x:c r="H192" s="28" t="str">
        <x:v>CONFORMS</x:v>
      </x:c>
      <x:c r="I192" s="31" t="str"/>
      <x:c r="J192" s="31" t="str"/>
      <x:c r="K192" s="31" t="str"/>
      <x:c r="L192" s="28" t="str">
        <x:f>IF(K192="","OPEN",IF(OR(I192="",J192=""),"FAIL",IF(I192=H192,"PASS","FAIL")))</x:f>
        <x:v>OPEN</x:v>
      </x:c>
    </x:row>
    <x:row r="193">
      <x:c r="B193" s="28" t="str">
        <x:v>IF-ROT-PEA-A-X1-3-07</x:v>
      </x:c>
      <x:c r="C193" s="28" t="str">
        <x:v>ROT-PEA-A-X1-3</x:v>
      </x:c>
      <x:c r="D193" s="28" t="str">
        <x:v>PEA-A-X1</x:v>
      </x:c>
      <x:c r="E193" s="28" t="str">
        <x:v>RFP-B2</x:v>
      </x:c>
      <x:c r="F193" s="28" t="n">
        <x:v>7</x:v>
      </x:c>
      <x:c r="G193" s="28" t="str">
        <x:v>normal electrical power</x:v>
      </x:c>
      <x:c r="H193" s="28" t="str">
        <x:v>CONFORMS</x:v>
      </x:c>
      <x:c r="I193" s="31" t="str"/>
      <x:c r="J193" s="31" t="str"/>
      <x:c r="K193" s="31" t="str"/>
      <x:c r="L193" s="28" t="str">
        <x:f>IF(K193="","OPEN",IF(OR(I193="",J193=""),"FAIL",IF(I193=H193,"PASS","FAIL")))</x:f>
        <x:v>OPEN</x:v>
      </x:c>
    </x:row>
    <x:row r="194">
      <x:c r="B194" s="28" t="str">
        <x:v>IF-ROT-PEA-A-X1-3-08</x:v>
      </x:c>
      <x:c r="C194" s="28" t="str">
        <x:v>ROT-PEA-A-X1-3</x:v>
      </x:c>
      <x:c r="D194" s="28" t="str">
        <x:v>PEA-A-X1</x:v>
      </x:c>
      <x:c r="E194" s="28" t="str">
        <x:v>RFP-B2</x:v>
      </x:c>
      <x:c r="F194" s="28" t="n">
        <x:v>8</x:v>
      </x:c>
      <x:c r="G194" s="28" t="str">
        <x:v>independent safety energy</x:v>
      </x:c>
      <x:c r="H194" s="28" t="str">
        <x:v>CONFORMS</x:v>
      </x:c>
      <x:c r="I194" s="31" t="str"/>
      <x:c r="J194" s="31" t="str"/>
      <x:c r="K194" s="31" t="str"/>
      <x:c r="L194" s="28" t="str">
        <x:f>IF(K194="","OPEN",IF(OR(I194="",J194=""),"FAIL",IF(I194=H194,"PASS","FAIL")))</x:f>
        <x:v>OPEN</x:v>
      </x:c>
    </x:row>
    <x:row r="195">
      <x:c r="B195" s="28" t="str">
        <x:v>IF-ROT-PEA-A-X1-3-09</x:v>
      </x:c>
      <x:c r="C195" s="28" t="str">
        <x:v>ROT-PEA-A-X1-3</x:v>
      </x:c>
      <x:c r="D195" s="28" t="str">
        <x:v>PEA-A-X1</x:v>
      </x:c>
      <x:c r="E195" s="28" t="str">
        <x:v>RFP-B2</x:v>
      </x:c>
      <x:c r="F195" s="28" t="n">
        <x:v>9</x:v>
      </x:c>
      <x:c r="G195" s="28" t="str">
        <x:v>causal-time roots</x:v>
      </x:c>
      <x:c r="H195" s="28" t="str">
        <x:v>CONFORMS</x:v>
      </x:c>
      <x:c r="I195" s="31" t="str"/>
      <x:c r="J195" s="31" t="str"/>
      <x:c r="K195" s="31" t="str"/>
      <x:c r="L195" s="28" t="str">
        <x:f>IF(K195="","OPEN",IF(OR(I195="",J195=""),"FAIL",IF(I195=H195,"PASS","FAIL")))</x:f>
        <x:v>OPEN</x:v>
      </x:c>
    </x:row>
    <x:row r="196">
      <x:c r="B196" s="28" t="str">
        <x:v>IF-ROT-PEA-A-X1-3-10</x:v>
      </x:c>
      <x:c r="C196" s="28" t="str">
        <x:v>ROT-PEA-A-X1-3</x:v>
      </x:c>
      <x:c r="D196" s="28" t="str">
        <x:v>PEA-A-X1</x:v>
      </x:c>
      <x:c r="E196" s="28" t="str">
        <x:v>RFP-B2</x:v>
      </x:c>
      <x:c r="F196" s="28" t="n">
        <x:v>10</x:v>
      </x:c>
      <x:c r="G196" s="28" t="str">
        <x:v>two evidence originals</x:v>
      </x:c>
      <x:c r="H196" s="28" t="str">
        <x:v>CONFORMS</x:v>
      </x:c>
      <x:c r="I196" s="31" t="str"/>
      <x:c r="J196" s="31" t="str"/>
      <x:c r="K196" s="31" t="str"/>
      <x:c r="L196" s="28" t="str">
        <x:f>IF(K196="","OPEN",IF(OR(I196="",J196=""),"FAIL",IF(I196=H196,"PASS","FAIL")))</x:f>
        <x:v>OPEN</x:v>
      </x:c>
    </x:row>
    <x:row r="197">
      <x:c r="B197" s="28" t="str">
        <x:v>IF-ROT-PEA-A-X1-3-11</x:v>
      </x:c>
      <x:c r="C197" s="28" t="str">
        <x:v>ROT-PEA-A-X1-3</x:v>
      </x:c>
      <x:c r="D197" s="28" t="str">
        <x:v>PEA-A-X1</x:v>
      </x:c>
      <x:c r="E197" s="28" t="str">
        <x:v>RFP-B2</x:v>
      </x:c>
      <x:c r="F197" s="28" t="n">
        <x:v>11</x:v>
      </x:c>
      <x:c r="G197" s="28" t="str">
        <x:v>safeing command and final state</x:v>
      </x:c>
      <x:c r="H197" s="28" t="str">
        <x:v>CONFORMS</x:v>
      </x:c>
      <x:c r="I197" s="31" t="str"/>
      <x:c r="J197" s="31" t="str"/>
      <x:c r="K197" s="31" t="str"/>
      <x:c r="L197" s="28" t="str">
        <x:f>IF(K197="","OPEN",IF(OR(I197="",J197=""),"FAIL",IF(I197=H197,"PASS","FAIL")))</x:f>
        <x:v>OPEN</x:v>
      </x:c>
    </x:row>
    <x:row r="198">
      <x:c r="B198" s="28" t="str">
        <x:v>IF-ROT-PEA-A-X1-3-12</x:v>
      </x:c>
      <x:c r="C198" s="28" t="str">
        <x:v>ROT-PEA-A-X1-3</x:v>
      </x:c>
      <x:c r="D198" s="28" t="str">
        <x:v>PEA-A-X1</x:v>
      </x:c>
      <x:c r="E198" s="28" t="str">
        <x:v>RFP-B2</x:v>
      </x:c>
      <x:c r="F198" s="28" t="n">
        <x:v>12</x:v>
      </x:c>
      <x:c r="G198" s="28" t="str">
        <x:v>rescue access</x:v>
      </x:c>
      <x:c r="H198" s="28" t="str">
        <x:v>CONFORMS</x:v>
      </x:c>
      <x:c r="I198" s="31" t="str"/>
      <x:c r="J198" s="31" t="str"/>
      <x:c r="K198" s="31" t="str"/>
      <x:c r="L198" s="28" t="str">
        <x:f>IF(K198="","OPEN",IF(OR(I198="",J198=""),"FAIL",IF(I198=H198,"PASS","FAIL")))</x:f>
        <x:v>OPEN</x:v>
      </x:c>
    </x:row>
    <x:row r="199">
      <x:c r="B199" s="28" t="str">
        <x:v>IF-ROT-PEA-A-Y1-3-01</x:v>
      </x:c>
      <x:c r="C199" s="28" t="str">
        <x:v>ROT-PEA-A-Y1-3</x:v>
      </x:c>
      <x:c r="D199" s="28" t="str">
        <x:v>PEA-A-Y1</x:v>
      </x:c>
      <x:c r="E199" s="28" t="str">
        <x:v>RFP-C1</x:v>
      </x:c>
      <x:c r="F199" s="28" t="n">
        <x:v>1</x:v>
      </x:c>
      <x:c r="G199" s="28" t="str">
        <x:v>public datum and load path</x:v>
      </x:c>
      <x:c r="H199" s="28" t="str">
        <x:v>CONFORMS</x:v>
      </x:c>
      <x:c r="I199" s="31" t="str"/>
      <x:c r="J199" s="31" t="str"/>
      <x:c r="K199" s="31" t="str"/>
      <x:c r="L199" s="28" t="str">
        <x:f>IF(K199="","OPEN",IF(OR(I199="",J199=""),"FAIL",IF(I199=H199,"PASS","FAIL")))</x:f>
        <x:v>OPEN</x:v>
      </x:c>
    </x:row>
    <x:row r="200">
      <x:c r="B200" s="28" t="str">
        <x:v>IF-ROT-PEA-A-Y1-3-02</x:v>
      </x:c>
      <x:c r="C200" s="28" t="str">
        <x:v>ROT-PEA-A-Y1-3</x:v>
      </x:c>
      <x:c r="D200" s="28" t="str">
        <x:v>PEA-A-Y1</x:v>
      </x:c>
      <x:c r="E200" s="28" t="str">
        <x:v>RFP-C1</x:v>
      </x:c>
      <x:c r="F200" s="28" t="n">
        <x:v>2</x:v>
      </x:c>
      <x:c r="G200" s="28" t="str">
        <x:v>source-origin boundary</x:v>
      </x:c>
      <x:c r="H200" s="28" t="str">
        <x:v>CONFORMS</x:v>
      </x:c>
      <x:c r="I200" s="31" t="str"/>
      <x:c r="J200" s="31" t="str"/>
      <x:c r="K200" s="31" t="str"/>
      <x:c r="L200" s="28" t="str">
        <x:f>IF(K200="","OPEN",IF(OR(I200="",J200=""),"FAIL",IF(I200=H200,"PASS","FAIL")))</x:f>
        <x:v>OPEN</x:v>
      </x:c>
    </x:row>
    <x:row r="201">
      <x:c r="B201" s="28" t="str">
        <x:v>IF-ROT-PEA-A-Y1-3-03</x:v>
      </x:c>
      <x:c r="C201" s="28" t="str">
        <x:v>ROT-PEA-A-Y1-3</x:v>
      </x:c>
      <x:c r="D201" s="28" t="str">
        <x:v>PEA-A-Y1</x:v>
      </x:c>
      <x:c r="E201" s="28" t="str">
        <x:v>RFP-C1</x:v>
      </x:c>
      <x:c r="F201" s="28" t="n">
        <x:v>3</x:v>
      </x:c>
      <x:c r="G201" s="28" t="str">
        <x:v>normal route</x:v>
      </x:c>
      <x:c r="H201" s="28" t="str">
        <x:v>CONFORMS</x:v>
      </x:c>
      <x:c r="I201" s="31" t="str"/>
      <x:c r="J201" s="31" t="str"/>
      <x:c r="K201" s="31" t="str"/>
      <x:c r="L201" s="28" t="str">
        <x:f>IF(K201="","OPEN",IF(OR(I201="",J201=""),"FAIL",IF(I201=H201,"PASS","FAIL")))</x:f>
        <x:v>OPEN</x:v>
      </x:c>
    </x:row>
    <x:row r="202">
      <x:c r="B202" s="28" t="str">
        <x:v>IF-ROT-PEA-A-Y1-3-04</x:v>
      </x:c>
      <x:c r="C202" s="28" t="str">
        <x:v>ROT-PEA-A-Y1-3</x:v>
      </x:c>
      <x:c r="D202" s="28" t="str">
        <x:v>PEA-A-Y1</x:v>
      </x:c>
      <x:c r="E202" s="28" t="str">
        <x:v>RFP-C1</x:v>
      </x:c>
      <x:c r="F202" s="28" t="n">
        <x:v>4</x:v>
      </x:c>
      <x:c r="G202" s="28" t="str">
        <x:v>casualty-source route</x:v>
      </x:c>
      <x:c r="H202" s="28" t="str">
        <x:v>CONFORMS</x:v>
      </x:c>
      <x:c r="I202" s="31" t="str"/>
      <x:c r="J202" s="31" t="str"/>
      <x:c r="K202" s="31" t="str"/>
      <x:c r="L202" s="28" t="str">
        <x:f>IF(K202="","OPEN",IF(OR(I202="",J202=""),"FAIL",IF(I202=H202,"PASS","FAIL")))</x:f>
        <x:v>OPEN</x:v>
      </x:c>
    </x:row>
    <x:row r="203">
      <x:c r="B203" s="28" t="str">
        <x:v>IF-ROT-PEA-A-Y1-3-05</x:v>
      </x:c>
      <x:c r="C203" s="28" t="str">
        <x:v>ROT-PEA-A-Y1-3</x:v>
      </x:c>
      <x:c r="D203" s="28" t="str">
        <x:v>PEA-A-Y1</x:v>
      </x:c>
      <x:c r="E203" s="28" t="str">
        <x:v>RFP-C1</x:v>
      </x:c>
      <x:c r="F203" s="28" t="n">
        <x:v>5</x:v>
      </x:c>
      <x:c r="G203" s="28" t="str">
        <x:v>water supply and return</x:v>
      </x:c>
      <x:c r="H203" s="28" t="str">
        <x:v>CONFORMS</x:v>
      </x:c>
      <x:c r="I203" s="31" t="str"/>
      <x:c r="J203" s="31" t="str"/>
      <x:c r="K203" s="31" t="str"/>
      <x:c r="L203" s="28" t="str">
        <x:f>IF(K203="","OPEN",IF(OR(I203="",J203=""),"FAIL",IF(I203=H203,"PASS","FAIL")))</x:f>
        <x:v>OPEN</x:v>
      </x:c>
    </x:row>
    <x:row r="204">
      <x:c r="B204" s="28" t="str">
        <x:v>IF-ROT-PEA-A-Y1-3-06</x:v>
      </x:c>
      <x:c r="C204" s="28" t="str">
        <x:v>ROT-PEA-A-Y1-3</x:v>
      </x:c>
      <x:c r="D204" s="28" t="str">
        <x:v>PEA-A-Y1</x:v>
      </x:c>
      <x:c r="E204" s="28" t="str">
        <x:v>RFP-C1</x:v>
      </x:c>
      <x:c r="F204" s="28" t="n">
        <x:v>6</x:v>
      </x:c>
      <x:c r="G204" s="28" t="str">
        <x:v>casualty-water route</x:v>
      </x:c>
      <x:c r="H204" s="28" t="str">
        <x:v>CONFORMS</x:v>
      </x:c>
      <x:c r="I204" s="31" t="str"/>
      <x:c r="J204" s="31" t="str"/>
      <x:c r="K204" s="31" t="str"/>
      <x:c r="L204" s="28" t="str">
        <x:f>IF(K204="","OPEN",IF(OR(I204="",J204=""),"FAIL",IF(I204=H204,"PASS","FAIL")))</x:f>
        <x:v>OPEN</x:v>
      </x:c>
    </x:row>
    <x:row r="205">
      <x:c r="B205" s="28" t="str">
        <x:v>IF-ROT-PEA-A-Y1-3-07</x:v>
      </x:c>
      <x:c r="C205" s="28" t="str">
        <x:v>ROT-PEA-A-Y1-3</x:v>
      </x:c>
      <x:c r="D205" s="28" t="str">
        <x:v>PEA-A-Y1</x:v>
      </x:c>
      <x:c r="E205" s="28" t="str">
        <x:v>RFP-C1</x:v>
      </x:c>
      <x:c r="F205" s="28" t="n">
        <x:v>7</x:v>
      </x:c>
      <x:c r="G205" s="28" t="str">
        <x:v>normal electrical power</x:v>
      </x:c>
      <x:c r="H205" s="28" t="str">
        <x:v>CONFORMS</x:v>
      </x:c>
      <x:c r="I205" s="31" t="str"/>
      <x:c r="J205" s="31" t="str"/>
      <x:c r="K205" s="31" t="str"/>
      <x:c r="L205" s="28" t="str">
        <x:f>IF(K205="","OPEN",IF(OR(I205="",J205=""),"FAIL",IF(I205=H205,"PASS","FAIL")))</x:f>
        <x:v>OPEN</x:v>
      </x:c>
    </x:row>
    <x:row r="206">
      <x:c r="B206" s="28" t="str">
        <x:v>IF-ROT-PEA-A-Y1-3-08</x:v>
      </x:c>
      <x:c r="C206" s="28" t="str">
        <x:v>ROT-PEA-A-Y1-3</x:v>
      </x:c>
      <x:c r="D206" s="28" t="str">
        <x:v>PEA-A-Y1</x:v>
      </x:c>
      <x:c r="E206" s="28" t="str">
        <x:v>RFP-C1</x:v>
      </x:c>
      <x:c r="F206" s="28" t="n">
        <x:v>8</x:v>
      </x:c>
      <x:c r="G206" s="28" t="str">
        <x:v>independent safety energy</x:v>
      </x:c>
      <x:c r="H206" s="28" t="str">
        <x:v>CONFORMS</x:v>
      </x:c>
      <x:c r="I206" s="31" t="str"/>
      <x:c r="J206" s="31" t="str"/>
      <x:c r="K206" s="31" t="str"/>
      <x:c r="L206" s="28" t="str">
        <x:f>IF(K206="","OPEN",IF(OR(I206="",J206=""),"FAIL",IF(I206=H206,"PASS","FAIL")))</x:f>
        <x:v>OPEN</x:v>
      </x:c>
    </x:row>
    <x:row r="207">
      <x:c r="B207" s="28" t="str">
        <x:v>IF-ROT-PEA-A-Y1-3-09</x:v>
      </x:c>
      <x:c r="C207" s="28" t="str">
        <x:v>ROT-PEA-A-Y1-3</x:v>
      </x:c>
      <x:c r="D207" s="28" t="str">
        <x:v>PEA-A-Y1</x:v>
      </x:c>
      <x:c r="E207" s="28" t="str">
        <x:v>RFP-C1</x:v>
      </x:c>
      <x:c r="F207" s="28" t="n">
        <x:v>9</x:v>
      </x:c>
      <x:c r="G207" s="28" t="str">
        <x:v>causal-time roots</x:v>
      </x:c>
      <x:c r="H207" s="28" t="str">
        <x:v>CONFORMS</x:v>
      </x:c>
      <x:c r="I207" s="31" t="str"/>
      <x:c r="J207" s="31" t="str"/>
      <x:c r="K207" s="31" t="str"/>
      <x:c r="L207" s="28" t="str">
        <x:f>IF(K207="","OPEN",IF(OR(I207="",J207=""),"FAIL",IF(I207=H207,"PASS","FAIL")))</x:f>
        <x:v>OPEN</x:v>
      </x:c>
    </x:row>
    <x:row r="208">
      <x:c r="B208" s="28" t="str">
        <x:v>IF-ROT-PEA-A-Y1-3-10</x:v>
      </x:c>
      <x:c r="C208" s="28" t="str">
        <x:v>ROT-PEA-A-Y1-3</x:v>
      </x:c>
      <x:c r="D208" s="28" t="str">
        <x:v>PEA-A-Y1</x:v>
      </x:c>
      <x:c r="E208" s="28" t="str">
        <x:v>RFP-C1</x:v>
      </x:c>
      <x:c r="F208" s="28" t="n">
        <x:v>10</x:v>
      </x:c>
      <x:c r="G208" s="28" t="str">
        <x:v>two evidence originals</x:v>
      </x:c>
      <x:c r="H208" s="28" t="str">
        <x:v>CONFORMS</x:v>
      </x:c>
      <x:c r="I208" s="31" t="str"/>
      <x:c r="J208" s="31" t="str"/>
      <x:c r="K208" s="31" t="str"/>
      <x:c r="L208" s="28" t="str">
        <x:f>IF(K208="","OPEN",IF(OR(I208="",J208=""),"FAIL",IF(I208=H208,"PASS","FAIL")))</x:f>
        <x:v>OPEN</x:v>
      </x:c>
    </x:row>
    <x:row r="209">
      <x:c r="B209" s="28" t="str">
        <x:v>IF-ROT-PEA-A-Y1-3-11</x:v>
      </x:c>
      <x:c r="C209" s="28" t="str">
        <x:v>ROT-PEA-A-Y1-3</x:v>
      </x:c>
      <x:c r="D209" s="28" t="str">
        <x:v>PEA-A-Y1</x:v>
      </x:c>
      <x:c r="E209" s="28" t="str">
        <x:v>RFP-C1</x:v>
      </x:c>
      <x:c r="F209" s="28" t="n">
        <x:v>11</x:v>
      </x:c>
      <x:c r="G209" s="28" t="str">
        <x:v>safeing command and final state</x:v>
      </x:c>
      <x:c r="H209" s="28" t="str">
        <x:v>CONFORMS</x:v>
      </x:c>
      <x:c r="I209" s="31" t="str"/>
      <x:c r="J209" s="31" t="str"/>
      <x:c r="K209" s="31" t="str"/>
      <x:c r="L209" s="28" t="str">
        <x:f>IF(K209="","OPEN",IF(OR(I209="",J209=""),"FAIL",IF(I209=H209,"PASS","FAIL")))</x:f>
        <x:v>OPEN</x:v>
      </x:c>
    </x:row>
    <x:row r="210">
      <x:c r="B210" s="28" t="str">
        <x:v>IF-ROT-PEA-A-Y1-3-12</x:v>
      </x:c>
      <x:c r="C210" s="28" t="str">
        <x:v>ROT-PEA-A-Y1-3</x:v>
      </x:c>
      <x:c r="D210" s="28" t="str">
        <x:v>PEA-A-Y1</x:v>
      </x:c>
      <x:c r="E210" s="28" t="str">
        <x:v>RFP-C1</x:v>
      </x:c>
      <x:c r="F210" s="28" t="n">
        <x:v>12</x:v>
      </x:c>
      <x:c r="G210" s="28" t="str">
        <x:v>rescue access</x:v>
      </x:c>
      <x:c r="H210" s="28" t="str">
        <x:v>CONFORMS</x:v>
      </x:c>
      <x:c r="I210" s="31" t="str"/>
      <x:c r="J210" s="31" t="str"/>
      <x:c r="K210" s="31" t="str"/>
      <x:c r="L210" s="28" t="str">
        <x:f>IF(K210="","OPEN",IF(OR(I210="",J210=""),"FAIL",IF(I210=H210,"PASS","FAIL")))</x:f>
        <x:v>OPEN</x:v>
      </x:c>
    </x:row>
    <x:row r="211">
      <x:c r="B211" s="28" t="str">
        <x:v>IF-ROT-PEA-B-X1-3-01</x:v>
      </x:c>
      <x:c r="C211" s="28" t="str">
        <x:v>ROT-PEA-B-X1-3</x:v>
      </x:c>
      <x:c r="D211" s="28" t="str">
        <x:v>PEA-B-X1</x:v>
      </x:c>
      <x:c r="E211" s="28" t="str">
        <x:v>RFP-C2</x:v>
      </x:c>
      <x:c r="F211" s="28" t="n">
        <x:v>1</x:v>
      </x:c>
      <x:c r="G211" s="28" t="str">
        <x:v>public datum and load path</x:v>
      </x:c>
      <x:c r="H211" s="28" t="str">
        <x:v>CONFORMS</x:v>
      </x:c>
      <x:c r="I211" s="31" t="str"/>
      <x:c r="J211" s="31" t="str"/>
      <x:c r="K211" s="31" t="str"/>
      <x:c r="L211" s="28" t="str">
        <x:f>IF(K211="","OPEN",IF(OR(I211="",J211=""),"FAIL",IF(I211=H211,"PASS","FAIL")))</x:f>
        <x:v>OPEN</x:v>
      </x:c>
    </x:row>
    <x:row r="212">
      <x:c r="B212" s="28" t="str">
        <x:v>IF-ROT-PEA-B-X1-3-02</x:v>
      </x:c>
      <x:c r="C212" s="28" t="str">
        <x:v>ROT-PEA-B-X1-3</x:v>
      </x:c>
      <x:c r="D212" s="28" t="str">
        <x:v>PEA-B-X1</x:v>
      </x:c>
      <x:c r="E212" s="28" t="str">
        <x:v>RFP-C2</x:v>
      </x:c>
      <x:c r="F212" s="28" t="n">
        <x:v>2</x:v>
      </x:c>
      <x:c r="G212" s="28" t="str">
        <x:v>source-origin boundary</x:v>
      </x:c>
      <x:c r="H212" s="28" t="str">
        <x:v>CONFORMS</x:v>
      </x:c>
      <x:c r="I212" s="31" t="str"/>
      <x:c r="J212" s="31" t="str"/>
      <x:c r="K212" s="31" t="str"/>
      <x:c r="L212" s="28" t="str">
        <x:f>IF(K212="","OPEN",IF(OR(I212="",J212=""),"FAIL",IF(I212=H212,"PASS","FAIL")))</x:f>
        <x:v>OPEN</x:v>
      </x:c>
    </x:row>
    <x:row r="213">
      <x:c r="B213" s="28" t="str">
        <x:v>IF-ROT-PEA-B-X1-3-03</x:v>
      </x:c>
      <x:c r="C213" s="28" t="str">
        <x:v>ROT-PEA-B-X1-3</x:v>
      </x:c>
      <x:c r="D213" s="28" t="str">
        <x:v>PEA-B-X1</x:v>
      </x:c>
      <x:c r="E213" s="28" t="str">
        <x:v>RFP-C2</x:v>
      </x:c>
      <x:c r="F213" s="28" t="n">
        <x:v>3</x:v>
      </x:c>
      <x:c r="G213" s="28" t="str">
        <x:v>normal route</x:v>
      </x:c>
      <x:c r="H213" s="28" t="str">
        <x:v>CONFORMS</x:v>
      </x:c>
      <x:c r="I213" s="31" t="str"/>
      <x:c r="J213" s="31" t="str"/>
      <x:c r="K213" s="31" t="str"/>
      <x:c r="L213" s="28" t="str">
        <x:f>IF(K213="","OPEN",IF(OR(I213="",J213=""),"FAIL",IF(I213=H213,"PASS","FAIL")))</x:f>
        <x:v>OPEN</x:v>
      </x:c>
    </x:row>
    <x:row r="214">
      <x:c r="B214" s="28" t="str">
        <x:v>IF-ROT-PEA-B-X1-3-04</x:v>
      </x:c>
      <x:c r="C214" s="28" t="str">
        <x:v>ROT-PEA-B-X1-3</x:v>
      </x:c>
      <x:c r="D214" s="28" t="str">
        <x:v>PEA-B-X1</x:v>
      </x:c>
      <x:c r="E214" s="28" t="str">
        <x:v>RFP-C2</x:v>
      </x:c>
      <x:c r="F214" s="28" t="n">
        <x:v>4</x:v>
      </x:c>
      <x:c r="G214" s="28" t="str">
        <x:v>casualty-source route</x:v>
      </x:c>
      <x:c r="H214" s="28" t="str">
        <x:v>CONFORMS</x:v>
      </x:c>
      <x:c r="I214" s="31" t="str"/>
      <x:c r="J214" s="31" t="str"/>
      <x:c r="K214" s="31" t="str"/>
      <x:c r="L214" s="28" t="str">
        <x:f>IF(K214="","OPEN",IF(OR(I214="",J214=""),"FAIL",IF(I214=H214,"PASS","FAIL")))</x:f>
        <x:v>OPEN</x:v>
      </x:c>
    </x:row>
    <x:row r="215">
      <x:c r="B215" s="28" t="str">
        <x:v>IF-ROT-PEA-B-X1-3-05</x:v>
      </x:c>
      <x:c r="C215" s="28" t="str">
        <x:v>ROT-PEA-B-X1-3</x:v>
      </x:c>
      <x:c r="D215" s="28" t="str">
        <x:v>PEA-B-X1</x:v>
      </x:c>
      <x:c r="E215" s="28" t="str">
        <x:v>RFP-C2</x:v>
      </x:c>
      <x:c r="F215" s="28" t="n">
        <x:v>5</x:v>
      </x:c>
      <x:c r="G215" s="28" t="str">
        <x:v>water supply and return</x:v>
      </x:c>
      <x:c r="H215" s="28" t="str">
        <x:v>CONFORMS</x:v>
      </x:c>
      <x:c r="I215" s="31" t="str"/>
      <x:c r="J215" s="31" t="str"/>
      <x:c r="K215" s="31" t="str"/>
      <x:c r="L215" s="28" t="str">
        <x:f>IF(K215="","OPEN",IF(OR(I215="",J215=""),"FAIL",IF(I215=H215,"PASS","FAIL")))</x:f>
        <x:v>OPEN</x:v>
      </x:c>
    </x:row>
    <x:row r="216">
      <x:c r="B216" s="28" t="str">
        <x:v>IF-ROT-PEA-B-X1-3-06</x:v>
      </x:c>
      <x:c r="C216" s="28" t="str">
        <x:v>ROT-PEA-B-X1-3</x:v>
      </x:c>
      <x:c r="D216" s="28" t="str">
        <x:v>PEA-B-X1</x:v>
      </x:c>
      <x:c r="E216" s="28" t="str">
        <x:v>RFP-C2</x:v>
      </x:c>
      <x:c r="F216" s="28" t="n">
        <x:v>6</x:v>
      </x:c>
      <x:c r="G216" s="28" t="str">
        <x:v>casualty-water route</x:v>
      </x:c>
      <x:c r="H216" s="28" t="str">
        <x:v>CONFORMS</x:v>
      </x:c>
      <x:c r="I216" s="31" t="str"/>
      <x:c r="J216" s="31" t="str"/>
      <x:c r="K216" s="31" t="str"/>
      <x:c r="L216" s="28" t="str">
        <x:f>IF(K216="","OPEN",IF(OR(I216="",J216=""),"FAIL",IF(I216=H216,"PASS","FAIL")))</x:f>
        <x:v>OPEN</x:v>
      </x:c>
    </x:row>
    <x:row r="217">
      <x:c r="B217" s="28" t="str">
        <x:v>IF-ROT-PEA-B-X1-3-07</x:v>
      </x:c>
      <x:c r="C217" s="28" t="str">
        <x:v>ROT-PEA-B-X1-3</x:v>
      </x:c>
      <x:c r="D217" s="28" t="str">
        <x:v>PEA-B-X1</x:v>
      </x:c>
      <x:c r="E217" s="28" t="str">
        <x:v>RFP-C2</x:v>
      </x:c>
      <x:c r="F217" s="28" t="n">
        <x:v>7</x:v>
      </x:c>
      <x:c r="G217" s="28" t="str">
        <x:v>normal electrical power</x:v>
      </x:c>
      <x:c r="H217" s="28" t="str">
        <x:v>CONFORMS</x:v>
      </x:c>
      <x:c r="I217" s="31" t="str"/>
      <x:c r="J217" s="31" t="str"/>
      <x:c r="K217" s="31" t="str"/>
      <x:c r="L217" s="28" t="str">
        <x:f>IF(K217="","OPEN",IF(OR(I217="",J217=""),"FAIL",IF(I217=H217,"PASS","FAIL")))</x:f>
        <x:v>OPEN</x:v>
      </x:c>
    </x:row>
    <x:row r="218">
      <x:c r="B218" s="28" t="str">
        <x:v>IF-ROT-PEA-B-X1-3-08</x:v>
      </x:c>
      <x:c r="C218" s="28" t="str">
        <x:v>ROT-PEA-B-X1-3</x:v>
      </x:c>
      <x:c r="D218" s="28" t="str">
        <x:v>PEA-B-X1</x:v>
      </x:c>
      <x:c r="E218" s="28" t="str">
        <x:v>RFP-C2</x:v>
      </x:c>
      <x:c r="F218" s="28" t="n">
        <x:v>8</x:v>
      </x:c>
      <x:c r="G218" s="28" t="str">
        <x:v>independent safety energy</x:v>
      </x:c>
      <x:c r="H218" s="28" t="str">
        <x:v>CONFORMS</x:v>
      </x:c>
      <x:c r="I218" s="31" t="str"/>
      <x:c r="J218" s="31" t="str"/>
      <x:c r="K218" s="31" t="str"/>
      <x:c r="L218" s="28" t="str">
        <x:f>IF(K218="","OPEN",IF(OR(I218="",J218=""),"FAIL",IF(I218=H218,"PASS","FAIL")))</x:f>
        <x:v>OPEN</x:v>
      </x:c>
    </x:row>
    <x:row r="219">
      <x:c r="B219" s="28" t="str">
        <x:v>IF-ROT-PEA-B-X1-3-09</x:v>
      </x:c>
      <x:c r="C219" s="28" t="str">
        <x:v>ROT-PEA-B-X1-3</x:v>
      </x:c>
      <x:c r="D219" s="28" t="str">
        <x:v>PEA-B-X1</x:v>
      </x:c>
      <x:c r="E219" s="28" t="str">
        <x:v>RFP-C2</x:v>
      </x:c>
      <x:c r="F219" s="28" t="n">
        <x:v>9</x:v>
      </x:c>
      <x:c r="G219" s="28" t="str">
        <x:v>causal-time roots</x:v>
      </x:c>
      <x:c r="H219" s="28" t="str">
        <x:v>CONFORMS</x:v>
      </x:c>
      <x:c r="I219" s="31" t="str"/>
      <x:c r="J219" s="31" t="str"/>
      <x:c r="K219" s="31" t="str"/>
      <x:c r="L219" s="28" t="str">
        <x:f>IF(K219="","OPEN",IF(OR(I219="",J219=""),"FAIL",IF(I219=H219,"PASS","FAIL")))</x:f>
        <x:v>OPEN</x:v>
      </x:c>
    </x:row>
    <x:row r="220">
      <x:c r="B220" s="28" t="str">
        <x:v>IF-ROT-PEA-B-X1-3-10</x:v>
      </x:c>
      <x:c r="C220" s="28" t="str">
        <x:v>ROT-PEA-B-X1-3</x:v>
      </x:c>
      <x:c r="D220" s="28" t="str">
        <x:v>PEA-B-X1</x:v>
      </x:c>
      <x:c r="E220" s="28" t="str">
        <x:v>RFP-C2</x:v>
      </x:c>
      <x:c r="F220" s="28" t="n">
        <x:v>10</x:v>
      </x:c>
      <x:c r="G220" s="28" t="str">
        <x:v>two evidence originals</x:v>
      </x:c>
      <x:c r="H220" s="28" t="str">
        <x:v>CONFORMS</x:v>
      </x:c>
      <x:c r="I220" s="31" t="str"/>
      <x:c r="J220" s="31" t="str"/>
      <x:c r="K220" s="31" t="str"/>
      <x:c r="L220" s="28" t="str">
        <x:f>IF(K220="","OPEN",IF(OR(I220="",J220=""),"FAIL",IF(I220=H220,"PASS","FAIL")))</x:f>
        <x:v>OPEN</x:v>
      </x:c>
    </x:row>
    <x:row r="221">
      <x:c r="B221" s="28" t="str">
        <x:v>IF-ROT-PEA-B-X1-3-11</x:v>
      </x:c>
      <x:c r="C221" s="28" t="str">
        <x:v>ROT-PEA-B-X1-3</x:v>
      </x:c>
      <x:c r="D221" s="28" t="str">
        <x:v>PEA-B-X1</x:v>
      </x:c>
      <x:c r="E221" s="28" t="str">
        <x:v>RFP-C2</x:v>
      </x:c>
      <x:c r="F221" s="28" t="n">
        <x:v>11</x:v>
      </x:c>
      <x:c r="G221" s="28" t="str">
        <x:v>safeing command and final state</x:v>
      </x:c>
      <x:c r="H221" s="28" t="str">
        <x:v>CONFORMS</x:v>
      </x:c>
      <x:c r="I221" s="31" t="str"/>
      <x:c r="J221" s="31" t="str"/>
      <x:c r="K221" s="31" t="str"/>
      <x:c r="L221" s="28" t="str">
        <x:f>IF(K221="","OPEN",IF(OR(I221="",J221=""),"FAIL",IF(I221=H221,"PASS","FAIL")))</x:f>
        <x:v>OPEN</x:v>
      </x:c>
    </x:row>
    <x:row r="222">
      <x:c r="B222" s="28" t="str">
        <x:v>IF-ROT-PEA-B-X1-3-12</x:v>
      </x:c>
      <x:c r="C222" s="28" t="str">
        <x:v>ROT-PEA-B-X1-3</x:v>
      </x:c>
      <x:c r="D222" s="28" t="str">
        <x:v>PEA-B-X1</x:v>
      </x:c>
      <x:c r="E222" s="28" t="str">
        <x:v>RFP-C2</x:v>
      </x:c>
      <x:c r="F222" s="28" t="n">
        <x:v>12</x:v>
      </x:c>
      <x:c r="G222" s="28" t="str">
        <x:v>rescue access</x:v>
      </x:c>
      <x:c r="H222" s="28" t="str">
        <x:v>CONFORMS</x:v>
      </x:c>
      <x:c r="I222" s="31" t="str"/>
      <x:c r="J222" s="31" t="str"/>
      <x:c r="K222" s="31" t="str"/>
      <x:c r="L222" s="28" t="str">
        <x:f>IF(K222="","OPEN",IF(OR(I222="",J222=""),"FAIL",IF(I222=H222,"PASS","FAIL")))</x:f>
        <x:v>OPEN</x:v>
      </x:c>
    </x:row>
    <x:row r="223">
      <x:c r="B223" s="28" t="str">
        <x:v>IF-ROT-PEA-B-X1-4-01</x:v>
      </x:c>
      <x:c r="C223" s="28" t="str">
        <x:v>ROT-PEA-B-X1-4</x:v>
      </x:c>
      <x:c r="D223" s="28" t="str">
        <x:v>PEA-B-X1</x:v>
      </x:c>
      <x:c r="E223" s="28" t="str">
        <x:v>RFP-A1</x:v>
      </x:c>
      <x:c r="F223" s="28" t="n">
        <x:v>1</x:v>
      </x:c>
      <x:c r="G223" s="28" t="str">
        <x:v>public datum and load path</x:v>
      </x:c>
      <x:c r="H223" s="28" t="str">
        <x:v>CONFORMS</x:v>
      </x:c>
      <x:c r="I223" s="31" t="str"/>
      <x:c r="J223" s="31" t="str"/>
      <x:c r="K223" s="31" t="str"/>
      <x:c r="L223" s="28" t="str">
        <x:f>IF(K223="","OPEN",IF(OR(I223="",J223=""),"FAIL",IF(I223=H223,"PASS","FAIL")))</x:f>
        <x:v>OPEN</x:v>
      </x:c>
    </x:row>
    <x:row r="224">
      <x:c r="B224" s="28" t="str">
        <x:v>IF-ROT-PEA-B-X1-4-02</x:v>
      </x:c>
      <x:c r="C224" s="28" t="str">
        <x:v>ROT-PEA-B-X1-4</x:v>
      </x:c>
      <x:c r="D224" s="28" t="str">
        <x:v>PEA-B-X1</x:v>
      </x:c>
      <x:c r="E224" s="28" t="str">
        <x:v>RFP-A1</x:v>
      </x:c>
      <x:c r="F224" s="28" t="n">
        <x:v>2</x:v>
      </x:c>
      <x:c r="G224" s="28" t="str">
        <x:v>source-origin boundary</x:v>
      </x:c>
      <x:c r="H224" s="28" t="str">
        <x:v>CONFORMS</x:v>
      </x:c>
      <x:c r="I224" s="31" t="str"/>
      <x:c r="J224" s="31" t="str"/>
      <x:c r="K224" s="31" t="str"/>
      <x:c r="L224" s="28" t="str">
        <x:f>IF(K224="","OPEN",IF(OR(I224="",J224=""),"FAIL",IF(I224=H224,"PASS","FAIL")))</x:f>
        <x:v>OPEN</x:v>
      </x:c>
    </x:row>
    <x:row r="225">
      <x:c r="B225" s="28" t="str">
        <x:v>IF-ROT-PEA-B-X1-4-03</x:v>
      </x:c>
      <x:c r="C225" s="28" t="str">
        <x:v>ROT-PEA-B-X1-4</x:v>
      </x:c>
      <x:c r="D225" s="28" t="str">
        <x:v>PEA-B-X1</x:v>
      </x:c>
      <x:c r="E225" s="28" t="str">
        <x:v>RFP-A1</x:v>
      </x:c>
      <x:c r="F225" s="28" t="n">
        <x:v>3</x:v>
      </x:c>
      <x:c r="G225" s="28" t="str">
        <x:v>normal route</x:v>
      </x:c>
      <x:c r="H225" s="28" t="str">
        <x:v>CONFORMS</x:v>
      </x:c>
      <x:c r="I225" s="31" t="str"/>
      <x:c r="J225" s="31" t="str"/>
      <x:c r="K225" s="31" t="str"/>
      <x:c r="L225" s="28" t="str">
        <x:f>IF(K225="","OPEN",IF(OR(I225="",J225=""),"FAIL",IF(I225=H225,"PASS","FAIL")))</x:f>
        <x:v>OPEN</x:v>
      </x:c>
    </x:row>
    <x:row r="226">
      <x:c r="B226" s="28" t="str">
        <x:v>IF-ROT-PEA-B-X1-4-04</x:v>
      </x:c>
      <x:c r="C226" s="28" t="str">
        <x:v>ROT-PEA-B-X1-4</x:v>
      </x:c>
      <x:c r="D226" s="28" t="str">
        <x:v>PEA-B-X1</x:v>
      </x:c>
      <x:c r="E226" s="28" t="str">
        <x:v>RFP-A1</x:v>
      </x:c>
      <x:c r="F226" s="28" t="n">
        <x:v>4</x:v>
      </x:c>
      <x:c r="G226" s="28" t="str">
        <x:v>casualty-source route</x:v>
      </x:c>
      <x:c r="H226" s="28" t="str">
        <x:v>CONFORMS</x:v>
      </x:c>
      <x:c r="I226" s="31" t="str"/>
      <x:c r="J226" s="31" t="str"/>
      <x:c r="K226" s="31" t="str"/>
      <x:c r="L226" s="28" t="str">
        <x:f>IF(K226="","OPEN",IF(OR(I226="",J226=""),"FAIL",IF(I226=H226,"PASS","FAIL")))</x:f>
        <x:v>OPEN</x:v>
      </x:c>
    </x:row>
    <x:row r="227">
      <x:c r="B227" s="28" t="str">
        <x:v>IF-ROT-PEA-B-X1-4-05</x:v>
      </x:c>
      <x:c r="C227" s="28" t="str">
        <x:v>ROT-PEA-B-X1-4</x:v>
      </x:c>
      <x:c r="D227" s="28" t="str">
        <x:v>PEA-B-X1</x:v>
      </x:c>
      <x:c r="E227" s="28" t="str">
        <x:v>RFP-A1</x:v>
      </x:c>
      <x:c r="F227" s="28" t="n">
        <x:v>5</x:v>
      </x:c>
      <x:c r="G227" s="28" t="str">
        <x:v>water supply and return</x:v>
      </x:c>
      <x:c r="H227" s="28" t="str">
        <x:v>CONFORMS</x:v>
      </x:c>
      <x:c r="I227" s="31" t="str"/>
      <x:c r="J227" s="31" t="str"/>
      <x:c r="K227" s="31" t="str"/>
      <x:c r="L227" s="28" t="str">
        <x:f>IF(K227="","OPEN",IF(OR(I227="",J227=""),"FAIL",IF(I227=H227,"PASS","FAIL")))</x:f>
        <x:v>OPEN</x:v>
      </x:c>
    </x:row>
    <x:row r="228">
      <x:c r="B228" s="28" t="str">
        <x:v>IF-ROT-PEA-B-X1-4-06</x:v>
      </x:c>
      <x:c r="C228" s="28" t="str">
        <x:v>ROT-PEA-B-X1-4</x:v>
      </x:c>
      <x:c r="D228" s="28" t="str">
        <x:v>PEA-B-X1</x:v>
      </x:c>
      <x:c r="E228" s="28" t="str">
        <x:v>RFP-A1</x:v>
      </x:c>
      <x:c r="F228" s="28" t="n">
        <x:v>6</x:v>
      </x:c>
      <x:c r="G228" s="28" t="str">
        <x:v>casualty-water route</x:v>
      </x:c>
      <x:c r="H228" s="28" t="str">
        <x:v>CONFORMS</x:v>
      </x:c>
      <x:c r="I228" s="31" t="str"/>
      <x:c r="J228" s="31" t="str"/>
      <x:c r="K228" s="31" t="str"/>
      <x:c r="L228" s="28" t="str">
        <x:f>IF(K228="","OPEN",IF(OR(I228="",J228=""),"FAIL",IF(I228=H228,"PASS","FAIL")))</x:f>
        <x:v>OPEN</x:v>
      </x:c>
    </x:row>
    <x:row r="229">
      <x:c r="B229" s="28" t="str">
        <x:v>IF-ROT-PEA-B-X1-4-07</x:v>
      </x:c>
      <x:c r="C229" s="28" t="str">
        <x:v>ROT-PEA-B-X1-4</x:v>
      </x:c>
      <x:c r="D229" s="28" t="str">
        <x:v>PEA-B-X1</x:v>
      </x:c>
      <x:c r="E229" s="28" t="str">
        <x:v>RFP-A1</x:v>
      </x:c>
      <x:c r="F229" s="28" t="n">
        <x:v>7</x:v>
      </x:c>
      <x:c r="G229" s="28" t="str">
        <x:v>normal electrical power</x:v>
      </x:c>
      <x:c r="H229" s="28" t="str">
        <x:v>CONFORMS</x:v>
      </x:c>
      <x:c r="I229" s="31" t="str"/>
      <x:c r="J229" s="31" t="str"/>
      <x:c r="K229" s="31" t="str"/>
      <x:c r="L229" s="28" t="str">
        <x:f>IF(K229="","OPEN",IF(OR(I229="",J229=""),"FAIL",IF(I229=H229,"PASS","FAIL")))</x:f>
        <x:v>OPEN</x:v>
      </x:c>
    </x:row>
    <x:row r="230">
      <x:c r="B230" s="28" t="str">
        <x:v>IF-ROT-PEA-B-X1-4-08</x:v>
      </x:c>
      <x:c r="C230" s="28" t="str">
        <x:v>ROT-PEA-B-X1-4</x:v>
      </x:c>
      <x:c r="D230" s="28" t="str">
        <x:v>PEA-B-X1</x:v>
      </x:c>
      <x:c r="E230" s="28" t="str">
        <x:v>RFP-A1</x:v>
      </x:c>
      <x:c r="F230" s="28" t="n">
        <x:v>8</x:v>
      </x:c>
      <x:c r="G230" s="28" t="str">
        <x:v>independent safety energy</x:v>
      </x:c>
      <x:c r="H230" s="28" t="str">
        <x:v>CONFORMS</x:v>
      </x:c>
      <x:c r="I230" s="31" t="str"/>
      <x:c r="J230" s="31" t="str"/>
      <x:c r="K230" s="31" t="str"/>
      <x:c r="L230" s="28" t="str">
        <x:f>IF(K230="","OPEN",IF(OR(I230="",J230=""),"FAIL",IF(I230=H230,"PASS","FAIL")))</x:f>
        <x:v>OPEN</x:v>
      </x:c>
    </x:row>
    <x:row r="231">
      <x:c r="B231" s="28" t="str">
        <x:v>IF-ROT-PEA-B-X1-4-09</x:v>
      </x:c>
      <x:c r="C231" s="28" t="str">
        <x:v>ROT-PEA-B-X1-4</x:v>
      </x:c>
      <x:c r="D231" s="28" t="str">
        <x:v>PEA-B-X1</x:v>
      </x:c>
      <x:c r="E231" s="28" t="str">
        <x:v>RFP-A1</x:v>
      </x:c>
      <x:c r="F231" s="28" t="n">
        <x:v>9</x:v>
      </x:c>
      <x:c r="G231" s="28" t="str">
        <x:v>causal-time roots</x:v>
      </x:c>
      <x:c r="H231" s="28" t="str">
        <x:v>CONFORMS</x:v>
      </x:c>
      <x:c r="I231" s="31" t="str"/>
      <x:c r="J231" s="31" t="str"/>
      <x:c r="K231" s="31" t="str"/>
      <x:c r="L231" s="28" t="str">
        <x:f>IF(K231="","OPEN",IF(OR(I231="",J231=""),"FAIL",IF(I231=H231,"PASS","FAIL")))</x:f>
        <x:v>OPEN</x:v>
      </x:c>
    </x:row>
    <x:row r="232">
      <x:c r="B232" s="28" t="str">
        <x:v>IF-ROT-PEA-B-X1-4-10</x:v>
      </x:c>
      <x:c r="C232" s="28" t="str">
        <x:v>ROT-PEA-B-X1-4</x:v>
      </x:c>
      <x:c r="D232" s="28" t="str">
        <x:v>PEA-B-X1</x:v>
      </x:c>
      <x:c r="E232" s="28" t="str">
        <x:v>RFP-A1</x:v>
      </x:c>
      <x:c r="F232" s="28" t="n">
        <x:v>10</x:v>
      </x:c>
      <x:c r="G232" s="28" t="str">
        <x:v>two evidence originals</x:v>
      </x:c>
      <x:c r="H232" s="28" t="str">
        <x:v>CONFORMS</x:v>
      </x:c>
      <x:c r="I232" s="31" t="str"/>
      <x:c r="J232" s="31" t="str"/>
      <x:c r="K232" s="31" t="str"/>
      <x:c r="L232" s="28" t="str">
        <x:f>IF(K232="","OPEN",IF(OR(I232="",J232=""),"FAIL",IF(I232=H232,"PASS","FAIL")))</x:f>
        <x:v>OPEN</x:v>
      </x:c>
    </x:row>
    <x:row r="233">
      <x:c r="B233" s="28" t="str">
        <x:v>IF-ROT-PEA-B-X1-4-11</x:v>
      </x:c>
      <x:c r="C233" s="28" t="str">
        <x:v>ROT-PEA-B-X1-4</x:v>
      </x:c>
      <x:c r="D233" s="28" t="str">
        <x:v>PEA-B-X1</x:v>
      </x:c>
      <x:c r="E233" s="28" t="str">
        <x:v>RFP-A1</x:v>
      </x:c>
      <x:c r="F233" s="28" t="n">
        <x:v>11</x:v>
      </x:c>
      <x:c r="G233" s="28" t="str">
        <x:v>safeing command and final state</x:v>
      </x:c>
      <x:c r="H233" s="28" t="str">
        <x:v>CONFORMS</x:v>
      </x:c>
      <x:c r="I233" s="31" t="str"/>
      <x:c r="J233" s="31" t="str"/>
      <x:c r="K233" s="31" t="str"/>
      <x:c r="L233" s="28" t="str">
        <x:f>IF(K233="","OPEN",IF(OR(I233="",J233=""),"FAIL",IF(I233=H233,"PASS","FAIL")))</x:f>
        <x:v>OPEN</x:v>
      </x:c>
    </x:row>
    <x:row r="234">
      <x:c r="B234" s="28" t="str">
        <x:v>IF-ROT-PEA-B-X1-4-12</x:v>
      </x:c>
      <x:c r="C234" s="28" t="str">
        <x:v>ROT-PEA-B-X1-4</x:v>
      </x:c>
      <x:c r="D234" s="28" t="str">
        <x:v>PEA-B-X1</x:v>
      </x:c>
      <x:c r="E234" s="28" t="str">
        <x:v>RFP-A1</x:v>
      </x:c>
      <x:c r="F234" s="28" t="n">
        <x:v>12</x:v>
      </x:c>
      <x:c r="G234" s="28" t="str">
        <x:v>rescue access</x:v>
      </x:c>
      <x:c r="H234" s="28" t="str">
        <x:v>CONFORMS</x:v>
      </x:c>
      <x:c r="I234" s="31" t="str"/>
      <x:c r="J234" s="31" t="str"/>
      <x:c r="K234" s="31" t="str"/>
      <x:c r="L234" s="28" t="str">
        <x:f>IF(K234="","OPEN",IF(OR(I234="",J234=""),"FAIL",IF(I234=H234,"PASS","FAIL")))</x:f>
        <x:v>OPEN</x:v>
      </x:c>
    </x:row>
    <x:row r="235">
      <x:c r="B235" s="28" t="str">
        <x:v>IF-ROT-PEA-B-Y1-4-01</x:v>
      </x:c>
      <x:c r="C235" s="28" t="str">
        <x:v>ROT-PEA-B-Y1-4</x:v>
      </x:c>
      <x:c r="D235" s="28" t="str">
        <x:v>PEA-B-Y1</x:v>
      </x:c>
      <x:c r="E235" s="28" t="str">
        <x:v>RFP-A2</x:v>
      </x:c>
      <x:c r="F235" s="28" t="n">
        <x:v>1</x:v>
      </x:c>
      <x:c r="G235" s="28" t="str">
        <x:v>public datum and load path</x:v>
      </x:c>
      <x:c r="H235" s="28" t="str">
        <x:v>CONFORMS</x:v>
      </x:c>
      <x:c r="I235" s="31" t="str"/>
      <x:c r="J235" s="31" t="str"/>
      <x:c r="K235" s="31" t="str"/>
      <x:c r="L235" s="28" t="str">
        <x:f>IF(K235="","OPEN",IF(OR(I235="",J235=""),"FAIL",IF(I235=H235,"PASS","FAIL")))</x:f>
        <x:v>OPEN</x:v>
      </x:c>
    </x:row>
    <x:row r="236">
      <x:c r="B236" s="28" t="str">
        <x:v>IF-ROT-PEA-B-Y1-4-02</x:v>
      </x:c>
      <x:c r="C236" s="28" t="str">
        <x:v>ROT-PEA-B-Y1-4</x:v>
      </x:c>
      <x:c r="D236" s="28" t="str">
        <x:v>PEA-B-Y1</x:v>
      </x:c>
      <x:c r="E236" s="28" t="str">
        <x:v>RFP-A2</x:v>
      </x:c>
      <x:c r="F236" s="28" t="n">
        <x:v>2</x:v>
      </x:c>
      <x:c r="G236" s="28" t="str">
        <x:v>source-origin boundary</x:v>
      </x:c>
      <x:c r="H236" s="28" t="str">
        <x:v>CONFORMS</x:v>
      </x:c>
      <x:c r="I236" s="31" t="str"/>
      <x:c r="J236" s="31" t="str"/>
      <x:c r="K236" s="31" t="str"/>
      <x:c r="L236" s="28" t="str">
        <x:f>IF(K236="","OPEN",IF(OR(I236="",J236=""),"FAIL",IF(I236=H236,"PASS","FAIL")))</x:f>
        <x:v>OPEN</x:v>
      </x:c>
    </x:row>
    <x:row r="237">
      <x:c r="B237" s="28" t="str">
        <x:v>IF-ROT-PEA-B-Y1-4-03</x:v>
      </x:c>
      <x:c r="C237" s="28" t="str">
        <x:v>ROT-PEA-B-Y1-4</x:v>
      </x:c>
      <x:c r="D237" s="28" t="str">
        <x:v>PEA-B-Y1</x:v>
      </x:c>
      <x:c r="E237" s="28" t="str">
        <x:v>RFP-A2</x:v>
      </x:c>
      <x:c r="F237" s="28" t="n">
        <x:v>3</x:v>
      </x:c>
      <x:c r="G237" s="28" t="str">
        <x:v>normal route</x:v>
      </x:c>
      <x:c r="H237" s="28" t="str">
        <x:v>CONFORMS</x:v>
      </x:c>
      <x:c r="I237" s="31" t="str"/>
      <x:c r="J237" s="31" t="str"/>
      <x:c r="K237" s="31" t="str"/>
      <x:c r="L237" s="28" t="str">
        <x:f>IF(K237="","OPEN",IF(OR(I237="",J237=""),"FAIL",IF(I237=H237,"PASS","FAIL")))</x:f>
        <x:v>OPEN</x:v>
      </x:c>
    </x:row>
    <x:row r="238">
      <x:c r="B238" s="28" t="str">
        <x:v>IF-ROT-PEA-B-Y1-4-04</x:v>
      </x:c>
      <x:c r="C238" s="28" t="str">
        <x:v>ROT-PEA-B-Y1-4</x:v>
      </x:c>
      <x:c r="D238" s="28" t="str">
        <x:v>PEA-B-Y1</x:v>
      </x:c>
      <x:c r="E238" s="28" t="str">
        <x:v>RFP-A2</x:v>
      </x:c>
      <x:c r="F238" s="28" t="n">
        <x:v>4</x:v>
      </x:c>
      <x:c r="G238" s="28" t="str">
        <x:v>casualty-source route</x:v>
      </x:c>
      <x:c r="H238" s="28" t="str">
        <x:v>CONFORMS</x:v>
      </x:c>
      <x:c r="I238" s="31" t="str"/>
      <x:c r="J238" s="31" t="str"/>
      <x:c r="K238" s="31" t="str"/>
      <x:c r="L238" s="28" t="str">
        <x:f>IF(K238="","OPEN",IF(OR(I238="",J238=""),"FAIL",IF(I238=H238,"PASS","FAIL")))</x:f>
        <x:v>OPEN</x:v>
      </x:c>
    </x:row>
    <x:row r="239">
      <x:c r="B239" s="28" t="str">
        <x:v>IF-ROT-PEA-B-Y1-4-05</x:v>
      </x:c>
      <x:c r="C239" s="28" t="str">
        <x:v>ROT-PEA-B-Y1-4</x:v>
      </x:c>
      <x:c r="D239" s="28" t="str">
        <x:v>PEA-B-Y1</x:v>
      </x:c>
      <x:c r="E239" s="28" t="str">
        <x:v>RFP-A2</x:v>
      </x:c>
      <x:c r="F239" s="28" t="n">
        <x:v>5</x:v>
      </x:c>
      <x:c r="G239" s="28" t="str">
        <x:v>water supply and return</x:v>
      </x:c>
      <x:c r="H239" s="28" t="str">
        <x:v>CONFORMS</x:v>
      </x:c>
      <x:c r="I239" s="31" t="str"/>
      <x:c r="J239" s="31" t="str"/>
      <x:c r="K239" s="31" t="str"/>
      <x:c r="L239" s="28" t="str">
        <x:f>IF(K239="","OPEN",IF(OR(I239="",J239=""),"FAIL",IF(I239=H239,"PASS","FAIL")))</x:f>
        <x:v>OPEN</x:v>
      </x:c>
    </x:row>
    <x:row r="240">
      <x:c r="B240" s="28" t="str">
        <x:v>IF-ROT-PEA-B-Y1-4-06</x:v>
      </x:c>
      <x:c r="C240" s="28" t="str">
        <x:v>ROT-PEA-B-Y1-4</x:v>
      </x:c>
      <x:c r="D240" s="28" t="str">
        <x:v>PEA-B-Y1</x:v>
      </x:c>
      <x:c r="E240" s="28" t="str">
        <x:v>RFP-A2</x:v>
      </x:c>
      <x:c r="F240" s="28" t="n">
        <x:v>6</x:v>
      </x:c>
      <x:c r="G240" s="28" t="str">
        <x:v>casualty-water route</x:v>
      </x:c>
      <x:c r="H240" s="28" t="str">
        <x:v>CONFORMS</x:v>
      </x:c>
      <x:c r="I240" s="31" t="str"/>
      <x:c r="J240" s="31" t="str"/>
      <x:c r="K240" s="31" t="str"/>
      <x:c r="L240" s="28" t="str">
        <x:f>IF(K240="","OPEN",IF(OR(I240="",J240=""),"FAIL",IF(I240=H240,"PASS","FAIL")))</x:f>
        <x:v>OPEN</x:v>
      </x:c>
    </x:row>
    <x:row r="241">
      <x:c r="B241" s="28" t="str">
        <x:v>IF-ROT-PEA-B-Y1-4-07</x:v>
      </x:c>
      <x:c r="C241" s="28" t="str">
        <x:v>ROT-PEA-B-Y1-4</x:v>
      </x:c>
      <x:c r="D241" s="28" t="str">
        <x:v>PEA-B-Y1</x:v>
      </x:c>
      <x:c r="E241" s="28" t="str">
        <x:v>RFP-A2</x:v>
      </x:c>
      <x:c r="F241" s="28" t="n">
        <x:v>7</x:v>
      </x:c>
      <x:c r="G241" s="28" t="str">
        <x:v>normal electrical power</x:v>
      </x:c>
      <x:c r="H241" s="28" t="str">
        <x:v>CONFORMS</x:v>
      </x:c>
      <x:c r="I241" s="31" t="str"/>
      <x:c r="J241" s="31" t="str"/>
      <x:c r="K241" s="31" t="str"/>
      <x:c r="L241" s="28" t="str">
        <x:f>IF(K241="","OPEN",IF(OR(I241="",J241=""),"FAIL",IF(I241=H241,"PASS","FAIL")))</x:f>
        <x:v>OPEN</x:v>
      </x:c>
    </x:row>
    <x:row r="242">
      <x:c r="B242" s="28" t="str">
        <x:v>IF-ROT-PEA-B-Y1-4-08</x:v>
      </x:c>
      <x:c r="C242" s="28" t="str">
        <x:v>ROT-PEA-B-Y1-4</x:v>
      </x:c>
      <x:c r="D242" s="28" t="str">
        <x:v>PEA-B-Y1</x:v>
      </x:c>
      <x:c r="E242" s="28" t="str">
        <x:v>RFP-A2</x:v>
      </x:c>
      <x:c r="F242" s="28" t="n">
        <x:v>8</x:v>
      </x:c>
      <x:c r="G242" s="28" t="str">
        <x:v>independent safety energy</x:v>
      </x:c>
      <x:c r="H242" s="28" t="str">
        <x:v>CONFORMS</x:v>
      </x:c>
      <x:c r="I242" s="31" t="str"/>
      <x:c r="J242" s="31" t="str"/>
      <x:c r="K242" s="31" t="str"/>
      <x:c r="L242" s="28" t="str">
        <x:f>IF(K242="","OPEN",IF(OR(I242="",J242=""),"FAIL",IF(I242=H242,"PASS","FAIL")))</x:f>
        <x:v>OPEN</x:v>
      </x:c>
    </x:row>
    <x:row r="243">
      <x:c r="B243" s="28" t="str">
        <x:v>IF-ROT-PEA-B-Y1-4-09</x:v>
      </x:c>
      <x:c r="C243" s="28" t="str">
        <x:v>ROT-PEA-B-Y1-4</x:v>
      </x:c>
      <x:c r="D243" s="28" t="str">
        <x:v>PEA-B-Y1</x:v>
      </x:c>
      <x:c r="E243" s="28" t="str">
        <x:v>RFP-A2</x:v>
      </x:c>
      <x:c r="F243" s="28" t="n">
        <x:v>9</x:v>
      </x:c>
      <x:c r="G243" s="28" t="str">
        <x:v>causal-time roots</x:v>
      </x:c>
      <x:c r="H243" s="28" t="str">
        <x:v>CONFORMS</x:v>
      </x:c>
      <x:c r="I243" s="31" t="str"/>
      <x:c r="J243" s="31" t="str"/>
      <x:c r="K243" s="31" t="str"/>
      <x:c r="L243" s="28" t="str">
        <x:f>IF(K243="","OPEN",IF(OR(I243="",J243=""),"FAIL",IF(I243=H243,"PASS","FAIL")))</x:f>
        <x:v>OPEN</x:v>
      </x:c>
    </x:row>
    <x:row r="244">
      <x:c r="B244" s="28" t="str">
        <x:v>IF-ROT-PEA-B-Y1-4-10</x:v>
      </x:c>
      <x:c r="C244" s="28" t="str">
        <x:v>ROT-PEA-B-Y1-4</x:v>
      </x:c>
      <x:c r="D244" s="28" t="str">
        <x:v>PEA-B-Y1</x:v>
      </x:c>
      <x:c r="E244" s="28" t="str">
        <x:v>RFP-A2</x:v>
      </x:c>
      <x:c r="F244" s="28" t="n">
        <x:v>10</x:v>
      </x:c>
      <x:c r="G244" s="28" t="str">
        <x:v>two evidence originals</x:v>
      </x:c>
      <x:c r="H244" s="28" t="str">
        <x:v>CONFORMS</x:v>
      </x:c>
      <x:c r="I244" s="31" t="str"/>
      <x:c r="J244" s="31" t="str"/>
      <x:c r="K244" s="31" t="str"/>
      <x:c r="L244" s="28" t="str">
        <x:f>IF(K244="","OPEN",IF(OR(I244="",J244=""),"FAIL",IF(I244=H244,"PASS","FAIL")))</x:f>
        <x:v>OPEN</x:v>
      </x:c>
    </x:row>
    <x:row r="245">
      <x:c r="B245" s="28" t="str">
        <x:v>IF-ROT-PEA-B-Y1-4-11</x:v>
      </x:c>
      <x:c r="C245" s="28" t="str">
        <x:v>ROT-PEA-B-Y1-4</x:v>
      </x:c>
      <x:c r="D245" s="28" t="str">
        <x:v>PEA-B-Y1</x:v>
      </x:c>
      <x:c r="E245" s="28" t="str">
        <x:v>RFP-A2</x:v>
      </x:c>
      <x:c r="F245" s="28" t="n">
        <x:v>11</x:v>
      </x:c>
      <x:c r="G245" s="28" t="str">
        <x:v>safeing command and final state</x:v>
      </x:c>
      <x:c r="H245" s="28" t="str">
        <x:v>CONFORMS</x:v>
      </x:c>
      <x:c r="I245" s="31" t="str"/>
      <x:c r="J245" s="31" t="str"/>
      <x:c r="K245" s="31" t="str"/>
      <x:c r="L245" s="28" t="str">
        <x:f>IF(K245="","OPEN",IF(OR(I245="",J245=""),"FAIL",IF(I245=H245,"PASS","FAIL")))</x:f>
        <x:v>OPEN</x:v>
      </x:c>
    </x:row>
    <x:row r="246">
      <x:c r="B246" s="28" t="str">
        <x:v>IF-ROT-PEA-B-Y1-4-12</x:v>
      </x:c>
      <x:c r="C246" s="28" t="str">
        <x:v>ROT-PEA-B-Y1-4</x:v>
      </x:c>
      <x:c r="D246" s="28" t="str">
        <x:v>PEA-B-Y1</x:v>
      </x:c>
      <x:c r="E246" s="28" t="str">
        <x:v>RFP-A2</x:v>
      </x:c>
      <x:c r="F246" s="28" t="n">
        <x:v>12</x:v>
      </x:c>
      <x:c r="G246" s="28" t="str">
        <x:v>rescue access</x:v>
      </x:c>
      <x:c r="H246" s="28" t="str">
        <x:v>CONFORMS</x:v>
      </x:c>
      <x:c r="I246" s="31" t="str"/>
      <x:c r="J246" s="31" t="str"/>
      <x:c r="K246" s="31" t="str"/>
      <x:c r="L246" s="28" t="str">
        <x:f>IF(K246="","OPEN",IF(OR(I246="",J246=""),"FAIL",IF(I246=H246,"PASS","FAIL")))</x:f>
        <x:v>OPEN</x:v>
      </x:c>
    </x:row>
    <x:row r="247">
      <x:c r="B247" s="28" t="str">
        <x:v>IF-ROT-PEA-C-X1-4-01</x:v>
      </x:c>
      <x:c r="C247" s="28" t="str">
        <x:v>ROT-PEA-C-X1-4</x:v>
      </x:c>
      <x:c r="D247" s="28" t="str">
        <x:v>PEA-C-X1</x:v>
      </x:c>
      <x:c r="E247" s="28" t="str">
        <x:v>RFP-B1</x:v>
      </x:c>
      <x:c r="F247" s="28" t="n">
        <x:v>1</x:v>
      </x:c>
      <x:c r="G247" s="28" t="str">
        <x:v>public datum and load path</x:v>
      </x:c>
      <x:c r="H247" s="28" t="str">
        <x:v>CONFORMS</x:v>
      </x:c>
      <x:c r="I247" s="31" t="str"/>
      <x:c r="J247" s="31" t="str"/>
      <x:c r="K247" s="31" t="str"/>
      <x:c r="L247" s="28" t="str">
        <x:f>IF(K247="","OPEN",IF(OR(I247="",J247=""),"FAIL",IF(I247=H247,"PASS","FAIL")))</x:f>
        <x:v>OPEN</x:v>
      </x:c>
    </x:row>
    <x:row r="248">
      <x:c r="B248" s="28" t="str">
        <x:v>IF-ROT-PEA-C-X1-4-02</x:v>
      </x:c>
      <x:c r="C248" s="28" t="str">
        <x:v>ROT-PEA-C-X1-4</x:v>
      </x:c>
      <x:c r="D248" s="28" t="str">
        <x:v>PEA-C-X1</x:v>
      </x:c>
      <x:c r="E248" s="28" t="str">
        <x:v>RFP-B1</x:v>
      </x:c>
      <x:c r="F248" s="28" t="n">
        <x:v>2</x:v>
      </x:c>
      <x:c r="G248" s="28" t="str">
        <x:v>source-origin boundary</x:v>
      </x:c>
      <x:c r="H248" s="28" t="str">
        <x:v>CONFORMS</x:v>
      </x:c>
      <x:c r="I248" s="31" t="str"/>
      <x:c r="J248" s="31" t="str"/>
      <x:c r="K248" s="31" t="str"/>
      <x:c r="L248" s="28" t="str">
        <x:f>IF(K248="","OPEN",IF(OR(I248="",J248=""),"FAIL",IF(I248=H248,"PASS","FAIL")))</x:f>
        <x:v>OPEN</x:v>
      </x:c>
    </x:row>
    <x:row r="249">
      <x:c r="B249" s="28" t="str">
        <x:v>IF-ROT-PEA-C-X1-4-03</x:v>
      </x:c>
      <x:c r="C249" s="28" t="str">
        <x:v>ROT-PEA-C-X1-4</x:v>
      </x:c>
      <x:c r="D249" s="28" t="str">
        <x:v>PEA-C-X1</x:v>
      </x:c>
      <x:c r="E249" s="28" t="str">
        <x:v>RFP-B1</x:v>
      </x:c>
      <x:c r="F249" s="28" t="n">
        <x:v>3</x:v>
      </x:c>
      <x:c r="G249" s="28" t="str">
        <x:v>normal route</x:v>
      </x:c>
      <x:c r="H249" s="28" t="str">
        <x:v>CONFORMS</x:v>
      </x:c>
      <x:c r="I249" s="31" t="str"/>
      <x:c r="J249" s="31" t="str"/>
      <x:c r="K249" s="31" t="str"/>
      <x:c r="L249" s="28" t="str">
        <x:f>IF(K249="","OPEN",IF(OR(I249="",J249=""),"FAIL",IF(I249=H249,"PASS","FAIL")))</x:f>
        <x:v>OPEN</x:v>
      </x:c>
    </x:row>
    <x:row r="250">
      <x:c r="B250" s="28" t="str">
        <x:v>IF-ROT-PEA-C-X1-4-04</x:v>
      </x:c>
      <x:c r="C250" s="28" t="str">
        <x:v>ROT-PEA-C-X1-4</x:v>
      </x:c>
      <x:c r="D250" s="28" t="str">
        <x:v>PEA-C-X1</x:v>
      </x:c>
      <x:c r="E250" s="28" t="str">
        <x:v>RFP-B1</x:v>
      </x:c>
      <x:c r="F250" s="28" t="n">
        <x:v>4</x:v>
      </x:c>
      <x:c r="G250" s="28" t="str">
        <x:v>casualty-source route</x:v>
      </x:c>
      <x:c r="H250" s="28" t="str">
        <x:v>CONFORMS</x:v>
      </x:c>
      <x:c r="I250" s="31" t="str"/>
      <x:c r="J250" s="31" t="str"/>
      <x:c r="K250" s="31" t="str"/>
      <x:c r="L250" s="28" t="str">
        <x:f>IF(K250="","OPEN",IF(OR(I250="",J250=""),"FAIL",IF(I250=H250,"PASS","FAIL")))</x:f>
        <x:v>OPEN</x:v>
      </x:c>
    </x:row>
    <x:row r="251">
      <x:c r="B251" s="28" t="str">
        <x:v>IF-ROT-PEA-C-X1-4-05</x:v>
      </x:c>
      <x:c r="C251" s="28" t="str">
        <x:v>ROT-PEA-C-X1-4</x:v>
      </x:c>
      <x:c r="D251" s="28" t="str">
        <x:v>PEA-C-X1</x:v>
      </x:c>
      <x:c r="E251" s="28" t="str">
        <x:v>RFP-B1</x:v>
      </x:c>
      <x:c r="F251" s="28" t="n">
        <x:v>5</x:v>
      </x:c>
      <x:c r="G251" s="28" t="str">
        <x:v>water supply and return</x:v>
      </x:c>
      <x:c r="H251" s="28" t="str">
        <x:v>CONFORMS</x:v>
      </x:c>
      <x:c r="I251" s="31" t="str"/>
      <x:c r="J251" s="31" t="str"/>
      <x:c r="K251" s="31" t="str"/>
      <x:c r="L251" s="28" t="str">
        <x:f>IF(K251="","OPEN",IF(OR(I251="",J251=""),"FAIL",IF(I251=H251,"PASS","FAIL")))</x:f>
        <x:v>OPEN</x:v>
      </x:c>
    </x:row>
    <x:row r="252">
      <x:c r="B252" s="28" t="str">
        <x:v>IF-ROT-PEA-C-X1-4-06</x:v>
      </x:c>
      <x:c r="C252" s="28" t="str">
        <x:v>ROT-PEA-C-X1-4</x:v>
      </x:c>
      <x:c r="D252" s="28" t="str">
        <x:v>PEA-C-X1</x:v>
      </x:c>
      <x:c r="E252" s="28" t="str">
        <x:v>RFP-B1</x:v>
      </x:c>
      <x:c r="F252" s="28" t="n">
        <x:v>6</x:v>
      </x:c>
      <x:c r="G252" s="28" t="str">
        <x:v>casualty-water route</x:v>
      </x:c>
      <x:c r="H252" s="28" t="str">
        <x:v>CONFORMS</x:v>
      </x:c>
      <x:c r="I252" s="31" t="str"/>
      <x:c r="J252" s="31" t="str"/>
      <x:c r="K252" s="31" t="str"/>
      <x:c r="L252" s="28" t="str">
        <x:f>IF(K252="","OPEN",IF(OR(I252="",J252=""),"FAIL",IF(I252=H252,"PASS","FAIL")))</x:f>
        <x:v>OPEN</x:v>
      </x:c>
    </x:row>
    <x:row r="253">
      <x:c r="B253" s="28" t="str">
        <x:v>IF-ROT-PEA-C-X1-4-07</x:v>
      </x:c>
      <x:c r="C253" s="28" t="str">
        <x:v>ROT-PEA-C-X1-4</x:v>
      </x:c>
      <x:c r="D253" s="28" t="str">
        <x:v>PEA-C-X1</x:v>
      </x:c>
      <x:c r="E253" s="28" t="str">
        <x:v>RFP-B1</x:v>
      </x:c>
      <x:c r="F253" s="28" t="n">
        <x:v>7</x:v>
      </x:c>
      <x:c r="G253" s="28" t="str">
        <x:v>normal electrical power</x:v>
      </x:c>
      <x:c r="H253" s="28" t="str">
        <x:v>CONFORMS</x:v>
      </x:c>
      <x:c r="I253" s="31" t="str"/>
      <x:c r="J253" s="31" t="str"/>
      <x:c r="K253" s="31" t="str"/>
      <x:c r="L253" s="28" t="str">
        <x:f>IF(K253="","OPEN",IF(OR(I253="",J253=""),"FAIL",IF(I253=H253,"PASS","FAIL")))</x:f>
        <x:v>OPEN</x:v>
      </x:c>
    </x:row>
    <x:row r="254">
      <x:c r="B254" s="28" t="str">
        <x:v>IF-ROT-PEA-C-X1-4-08</x:v>
      </x:c>
      <x:c r="C254" s="28" t="str">
        <x:v>ROT-PEA-C-X1-4</x:v>
      </x:c>
      <x:c r="D254" s="28" t="str">
        <x:v>PEA-C-X1</x:v>
      </x:c>
      <x:c r="E254" s="28" t="str">
        <x:v>RFP-B1</x:v>
      </x:c>
      <x:c r="F254" s="28" t="n">
        <x:v>8</x:v>
      </x:c>
      <x:c r="G254" s="28" t="str">
        <x:v>independent safety energy</x:v>
      </x:c>
      <x:c r="H254" s="28" t="str">
        <x:v>CONFORMS</x:v>
      </x:c>
      <x:c r="I254" s="31" t="str"/>
      <x:c r="J254" s="31" t="str"/>
      <x:c r="K254" s="31" t="str"/>
      <x:c r="L254" s="28" t="str">
        <x:f>IF(K254="","OPEN",IF(OR(I254="",J254=""),"FAIL",IF(I254=H254,"PASS","FAIL")))</x:f>
        <x:v>OPEN</x:v>
      </x:c>
    </x:row>
    <x:row r="255">
      <x:c r="B255" s="28" t="str">
        <x:v>IF-ROT-PEA-C-X1-4-09</x:v>
      </x:c>
      <x:c r="C255" s="28" t="str">
        <x:v>ROT-PEA-C-X1-4</x:v>
      </x:c>
      <x:c r="D255" s="28" t="str">
        <x:v>PEA-C-X1</x:v>
      </x:c>
      <x:c r="E255" s="28" t="str">
        <x:v>RFP-B1</x:v>
      </x:c>
      <x:c r="F255" s="28" t="n">
        <x:v>9</x:v>
      </x:c>
      <x:c r="G255" s="28" t="str">
        <x:v>causal-time roots</x:v>
      </x:c>
      <x:c r="H255" s="28" t="str">
        <x:v>CONFORMS</x:v>
      </x:c>
      <x:c r="I255" s="31" t="str"/>
      <x:c r="J255" s="31" t="str"/>
      <x:c r="K255" s="31" t="str"/>
      <x:c r="L255" s="28" t="str">
        <x:f>IF(K255="","OPEN",IF(OR(I255="",J255=""),"FAIL",IF(I255=H255,"PASS","FAIL")))</x:f>
        <x:v>OPEN</x:v>
      </x:c>
    </x:row>
    <x:row r="256">
      <x:c r="B256" s="28" t="str">
        <x:v>IF-ROT-PEA-C-X1-4-10</x:v>
      </x:c>
      <x:c r="C256" s="28" t="str">
        <x:v>ROT-PEA-C-X1-4</x:v>
      </x:c>
      <x:c r="D256" s="28" t="str">
        <x:v>PEA-C-X1</x:v>
      </x:c>
      <x:c r="E256" s="28" t="str">
        <x:v>RFP-B1</x:v>
      </x:c>
      <x:c r="F256" s="28" t="n">
        <x:v>10</x:v>
      </x:c>
      <x:c r="G256" s="28" t="str">
        <x:v>two evidence originals</x:v>
      </x:c>
      <x:c r="H256" s="28" t="str">
        <x:v>CONFORMS</x:v>
      </x:c>
      <x:c r="I256" s="31" t="str"/>
      <x:c r="J256" s="31" t="str"/>
      <x:c r="K256" s="31" t="str"/>
      <x:c r="L256" s="28" t="str">
        <x:f>IF(K256="","OPEN",IF(OR(I256="",J256=""),"FAIL",IF(I256=H256,"PASS","FAIL")))</x:f>
        <x:v>OPEN</x:v>
      </x:c>
    </x:row>
    <x:row r="257">
      <x:c r="B257" s="28" t="str">
        <x:v>IF-ROT-PEA-C-X1-4-11</x:v>
      </x:c>
      <x:c r="C257" s="28" t="str">
        <x:v>ROT-PEA-C-X1-4</x:v>
      </x:c>
      <x:c r="D257" s="28" t="str">
        <x:v>PEA-C-X1</x:v>
      </x:c>
      <x:c r="E257" s="28" t="str">
        <x:v>RFP-B1</x:v>
      </x:c>
      <x:c r="F257" s="28" t="n">
        <x:v>11</x:v>
      </x:c>
      <x:c r="G257" s="28" t="str">
        <x:v>safeing command and final state</x:v>
      </x:c>
      <x:c r="H257" s="28" t="str">
        <x:v>CONFORMS</x:v>
      </x:c>
      <x:c r="I257" s="31" t="str"/>
      <x:c r="J257" s="31" t="str"/>
      <x:c r="K257" s="31" t="str"/>
      <x:c r="L257" s="28" t="str">
        <x:f>IF(K257="","OPEN",IF(OR(I257="",J257=""),"FAIL",IF(I257=H257,"PASS","FAIL")))</x:f>
        <x:v>OPEN</x:v>
      </x:c>
    </x:row>
    <x:row r="258">
      <x:c r="B258" s="28" t="str">
        <x:v>IF-ROT-PEA-C-X1-4-12</x:v>
      </x:c>
      <x:c r="C258" s="28" t="str">
        <x:v>ROT-PEA-C-X1-4</x:v>
      </x:c>
      <x:c r="D258" s="28" t="str">
        <x:v>PEA-C-X1</x:v>
      </x:c>
      <x:c r="E258" s="28" t="str">
        <x:v>RFP-B1</x:v>
      </x:c>
      <x:c r="F258" s="28" t="n">
        <x:v>12</x:v>
      </x:c>
      <x:c r="G258" s="28" t="str">
        <x:v>rescue access</x:v>
      </x:c>
      <x:c r="H258" s="28" t="str">
        <x:v>CONFORMS</x:v>
      </x:c>
      <x:c r="I258" s="31" t="str"/>
      <x:c r="J258" s="31" t="str"/>
      <x:c r="K258" s="31" t="str"/>
      <x:c r="L258" s="28" t="str">
        <x:f>IF(K258="","OPEN",IF(OR(I258="",J258=""),"FAIL",IF(I258=H258,"PASS","FAIL")))</x:f>
        <x:v>OPEN</x:v>
      </x:c>
    </x:row>
    <x:row r="259">
      <x:c r="B259" s="28" t="str">
        <x:v>IF-ROT-PEA-C-Y1-4-01</x:v>
      </x:c>
      <x:c r="C259" s="28" t="str">
        <x:v>ROT-PEA-C-Y1-4</x:v>
      </x:c>
      <x:c r="D259" s="28" t="str">
        <x:v>PEA-C-Y1</x:v>
      </x:c>
      <x:c r="E259" s="28" t="str">
        <x:v>RFP-B2</x:v>
      </x:c>
      <x:c r="F259" s="28" t="n">
        <x:v>1</x:v>
      </x:c>
      <x:c r="G259" s="28" t="str">
        <x:v>public datum and load path</x:v>
      </x:c>
      <x:c r="H259" s="28" t="str">
        <x:v>CONFORMS</x:v>
      </x:c>
      <x:c r="I259" s="31" t="str"/>
      <x:c r="J259" s="31" t="str"/>
      <x:c r="K259" s="31" t="str"/>
      <x:c r="L259" s="28" t="str">
        <x:f>IF(K259="","OPEN",IF(OR(I259="",J259=""),"FAIL",IF(I259=H259,"PASS","FAIL")))</x:f>
        <x:v>OPEN</x:v>
      </x:c>
    </x:row>
    <x:row r="260">
      <x:c r="B260" s="28" t="str">
        <x:v>IF-ROT-PEA-C-Y1-4-02</x:v>
      </x:c>
      <x:c r="C260" s="28" t="str">
        <x:v>ROT-PEA-C-Y1-4</x:v>
      </x:c>
      <x:c r="D260" s="28" t="str">
        <x:v>PEA-C-Y1</x:v>
      </x:c>
      <x:c r="E260" s="28" t="str">
        <x:v>RFP-B2</x:v>
      </x:c>
      <x:c r="F260" s="28" t="n">
        <x:v>2</x:v>
      </x:c>
      <x:c r="G260" s="28" t="str">
        <x:v>source-origin boundary</x:v>
      </x:c>
      <x:c r="H260" s="28" t="str">
        <x:v>CONFORMS</x:v>
      </x:c>
      <x:c r="I260" s="31" t="str"/>
      <x:c r="J260" s="31" t="str"/>
      <x:c r="K260" s="31" t="str"/>
      <x:c r="L260" s="28" t="str">
        <x:f>IF(K260="","OPEN",IF(OR(I260="",J260=""),"FAIL",IF(I260=H260,"PASS","FAIL")))</x:f>
        <x:v>OPEN</x:v>
      </x:c>
    </x:row>
    <x:row r="261">
      <x:c r="B261" s="28" t="str">
        <x:v>IF-ROT-PEA-C-Y1-4-03</x:v>
      </x:c>
      <x:c r="C261" s="28" t="str">
        <x:v>ROT-PEA-C-Y1-4</x:v>
      </x:c>
      <x:c r="D261" s="28" t="str">
        <x:v>PEA-C-Y1</x:v>
      </x:c>
      <x:c r="E261" s="28" t="str">
        <x:v>RFP-B2</x:v>
      </x:c>
      <x:c r="F261" s="28" t="n">
        <x:v>3</x:v>
      </x:c>
      <x:c r="G261" s="28" t="str">
        <x:v>normal route</x:v>
      </x:c>
      <x:c r="H261" s="28" t="str">
        <x:v>CONFORMS</x:v>
      </x:c>
      <x:c r="I261" s="31" t="str"/>
      <x:c r="J261" s="31" t="str"/>
      <x:c r="K261" s="31" t="str"/>
      <x:c r="L261" s="28" t="str">
        <x:f>IF(K261="","OPEN",IF(OR(I261="",J261=""),"FAIL",IF(I261=H261,"PASS","FAIL")))</x:f>
        <x:v>OPEN</x:v>
      </x:c>
    </x:row>
    <x:row r="262">
      <x:c r="B262" s="28" t="str">
        <x:v>IF-ROT-PEA-C-Y1-4-04</x:v>
      </x:c>
      <x:c r="C262" s="28" t="str">
        <x:v>ROT-PEA-C-Y1-4</x:v>
      </x:c>
      <x:c r="D262" s="28" t="str">
        <x:v>PEA-C-Y1</x:v>
      </x:c>
      <x:c r="E262" s="28" t="str">
        <x:v>RFP-B2</x:v>
      </x:c>
      <x:c r="F262" s="28" t="n">
        <x:v>4</x:v>
      </x:c>
      <x:c r="G262" s="28" t="str">
        <x:v>casualty-source route</x:v>
      </x:c>
      <x:c r="H262" s="28" t="str">
        <x:v>CONFORMS</x:v>
      </x:c>
      <x:c r="I262" s="31" t="str"/>
      <x:c r="J262" s="31" t="str"/>
      <x:c r="K262" s="31" t="str"/>
      <x:c r="L262" s="28" t="str">
        <x:f>IF(K262="","OPEN",IF(OR(I262="",J262=""),"FAIL",IF(I262=H262,"PASS","FAIL")))</x:f>
        <x:v>OPEN</x:v>
      </x:c>
    </x:row>
    <x:row r="263">
      <x:c r="B263" s="28" t="str">
        <x:v>IF-ROT-PEA-C-Y1-4-05</x:v>
      </x:c>
      <x:c r="C263" s="28" t="str">
        <x:v>ROT-PEA-C-Y1-4</x:v>
      </x:c>
      <x:c r="D263" s="28" t="str">
        <x:v>PEA-C-Y1</x:v>
      </x:c>
      <x:c r="E263" s="28" t="str">
        <x:v>RFP-B2</x:v>
      </x:c>
      <x:c r="F263" s="28" t="n">
        <x:v>5</x:v>
      </x:c>
      <x:c r="G263" s="28" t="str">
        <x:v>water supply and return</x:v>
      </x:c>
      <x:c r="H263" s="28" t="str">
        <x:v>CONFORMS</x:v>
      </x:c>
      <x:c r="I263" s="31" t="str"/>
      <x:c r="J263" s="31" t="str"/>
      <x:c r="K263" s="31" t="str"/>
      <x:c r="L263" s="28" t="str">
        <x:f>IF(K263="","OPEN",IF(OR(I263="",J263=""),"FAIL",IF(I263=H263,"PASS","FAIL")))</x:f>
        <x:v>OPEN</x:v>
      </x:c>
    </x:row>
    <x:row r="264">
      <x:c r="B264" s="28" t="str">
        <x:v>IF-ROT-PEA-C-Y1-4-06</x:v>
      </x:c>
      <x:c r="C264" s="28" t="str">
        <x:v>ROT-PEA-C-Y1-4</x:v>
      </x:c>
      <x:c r="D264" s="28" t="str">
        <x:v>PEA-C-Y1</x:v>
      </x:c>
      <x:c r="E264" s="28" t="str">
        <x:v>RFP-B2</x:v>
      </x:c>
      <x:c r="F264" s="28" t="n">
        <x:v>6</x:v>
      </x:c>
      <x:c r="G264" s="28" t="str">
        <x:v>casualty-water route</x:v>
      </x:c>
      <x:c r="H264" s="28" t="str">
        <x:v>CONFORMS</x:v>
      </x:c>
      <x:c r="I264" s="31" t="str"/>
      <x:c r="J264" s="31" t="str"/>
      <x:c r="K264" s="31" t="str"/>
      <x:c r="L264" s="28" t="str">
        <x:f>IF(K264="","OPEN",IF(OR(I264="",J264=""),"FAIL",IF(I264=H264,"PASS","FAIL")))</x:f>
        <x:v>OPEN</x:v>
      </x:c>
    </x:row>
    <x:row r="265">
      <x:c r="B265" s="28" t="str">
        <x:v>IF-ROT-PEA-C-Y1-4-07</x:v>
      </x:c>
      <x:c r="C265" s="28" t="str">
        <x:v>ROT-PEA-C-Y1-4</x:v>
      </x:c>
      <x:c r="D265" s="28" t="str">
        <x:v>PEA-C-Y1</x:v>
      </x:c>
      <x:c r="E265" s="28" t="str">
        <x:v>RFP-B2</x:v>
      </x:c>
      <x:c r="F265" s="28" t="n">
        <x:v>7</x:v>
      </x:c>
      <x:c r="G265" s="28" t="str">
        <x:v>normal electrical power</x:v>
      </x:c>
      <x:c r="H265" s="28" t="str">
        <x:v>CONFORMS</x:v>
      </x:c>
      <x:c r="I265" s="31" t="str"/>
      <x:c r="J265" s="31" t="str"/>
      <x:c r="K265" s="31" t="str"/>
      <x:c r="L265" s="28" t="str">
        <x:f>IF(K265="","OPEN",IF(OR(I265="",J265=""),"FAIL",IF(I265=H265,"PASS","FAIL")))</x:f>
        <x:v>OPEN</x:v>
      </x:c>
    </x:row>
    <x:row r="266">
      <x:c r="B266" s="28" t="str">
        <x:v>IF-ROT-PEA-C-Y1-4-08</x:v>
      </x:c>
      <x:c r="C266" s="28" t="str">
        <x:v>ROT-PEA-C-Y1-4</x:v>
      </x:c>
      <x:c r="D266" s="28" t="str">
        <x:v>PEA-C-Y1</x:v>
      </x:c>
      <x:c r="E266" s="28" t="str">
        <x:v>RFP-B2</x:v>
      </x:c>
      <x:c r="F266" s="28" t="n">
        <x:v>8</x:v>
      </x:c>
      <x:c r="G266" s="28" t="str">
        <x:v>independent safety energy</x:v>
      </x:c>
      <x:c r="H266" s="28" t="str">
        <x:v>CONFORMS</x:v>
      </x:c>
      <x:c r="I266" s="31" t="str"/>
      <x:c r="J266" s="31" t="str"/>
      <x:c r="K266" s="31" t="str"/>
      <x:c r="L266" s="28" t="str">
        <x:f>IF(K266="","OPEN",IF(OR(I266="",J266=""),"FAIL",IF(I266=H266,"PASS","FAIL")))</x:f>
        <x:v>OPEN</x:v>
      </x:c>
    </x:row>
    <x:row r="267">
      <x:c r="B267" s="28" t="str">
        <x:v>IF-ROT-PEA-C-Y1-4-09</x:v>
      </x:c>
      <x:c r="C267" s="28" t="str">
        <x:v>ROT-PEA-C-Y1-4</x:v>
      </x:c>
      <x:c r="D267" s="28" t="str">
        <x:v>PEA-C-Y1</x:v>
      </x:c>
      <x:c r="E267" s="28" t="str">
        <x:v>RFP-B2</x:v>
      </x:c>
      <x:c r="F267" s="28" t="n">
        <x:v>9</x:v>
      </x:c>
      <x:c r="G267" s="28" t="str">
        <x:v>causal-time roots</x:v>
      </x:c>
      <x:c r="H267" s="28" t="str">
        <x:v>CONFORMS</x:v>
      </x:c>
      <x:c r="I267" s="31" t="str"/>
      <x:c r="J267" s="31" t="str"/>
      <x:c r="K267" s="31" t="str"/>
      <x:c r="L267" s="28" t="str">
        <x:f>IF(K267="","OPEN",IF(OR(I267="",J267=""),"FAIL",IF(I267=H267,"PASS","FAIL")))</x:f>
        <x:v>OPEN</x:v>
      </x:c>
    </x:row>
    <x:row r="268">
      <x:c r="B268" s="28" t="str">
        <x:v>IF-ROT-PEA-C-Y1-4-10</x:v>
      </x:c>
      <x:c r="C268" s="28" t="str">
        <x:v>ROT-PEA-C-Y1-4</x:v>
      </x:c>
      <x:c r="D268" s="28" t="str">
        <x:v>PEA-C-Y1</x:v>
      </x:c>
      <x:c r="E268" s="28" t="str">
        <x:v>RFP-B2</x:v>
      </x:c>
      <x:c r="F268" s="28" t="n">
        <x:v>10</x:v>
      </x:c>
      <x:c r="G268" s="28" t="str">
        <x:v>two evidence originals</x:v>
      </x:c>
      <x:c r="H268" s="28" t="str">
        <x:v>CONFORMS</x:v>
      </x:c>
      <x:c r="I268" s="31" t="str"/>
      <x:c r="J268" s="31" t="str"/>
      <x:c r="K268" s="31" t="str"/>
      <x:c r="L268" s="28" t="str">
        <x:f>IF(K268="","OPEN",IF(OR(I268="",J268=""),"FAIL",IF(I268=H268,"PASS","FAIL")))</x:f>
        <x:v>OPEN</x:v>
      </x:c>
    </x:row>
    <x:row r="269">
      <x:c r="B269" s="28" t="str">
        <x:v>IF-ROT-PEA-C-Y1-4-11</x:v>
      </x:c>
      <x:c r="C269" s="28" t="str">
        <x:v>ROT-PEA-C-Y1-4</x:v>
      </x:c>
      <x:c r="D269" s="28" t="str">
        <x:v>PEA-C-Y1</x:v>
      </x:c>
      <x:c r="E269" s="28" t="str">
        <x:v>RFP-B2</x:v>
      </x:c>
      <x:c r="F269" s="28" t="n">
        <x:v>11</x:v>
      </x:c>
      <x:c r="G269" s="28" t="str">
        <x:v>safeing command and final state</x:v>
      </x:c>
      <x:c r="H269" s="28" t="str">
        <x:v>CONFORMS</x:v>
      </x:c>
      <x:c r="I269" s="31" t="str"/>
      <x:c r="J269" s="31" t="str"/>
      <x:c r="K269" s="31" t="str"/>
      <x:c r="L269" s="28" t="str">
        <x:f>IF(K269="","OPEN",IF(OR(I269="",J269=""),"FAIL",IF(I269=H269,"PASS","FAIL")))</x:f>
        <x:v>OPEN</x:v>
      </x:c>
    </x:row>
    <x:row r="270">
      <x:c r="B270" s="28" t="str">
        <x:v>IF-ROT-PEA-C-Y1-4-12</x:v>
      </x:c>
      <x:c r="C270" s="28" t="str">
        <x:v>ROT-PEA-C-Y1-4</x:v>
      </x:c>
      <x:c r="D270" s="28" t="str">
        <x:v>PEA-C-Y1</x:v>
      </x:c>
      <x:c r="E270" s="28" t="str">
        <x:v>RFP-B2</x:v>
      </x:c>
      <x:c r="F270" s="28" t="n">
        <x:v>12</x:v>
      </x:c>
      <x:c r="G270" s="28" t="str">
        <x:v>rescue access</x:v>
      </x:c>
      <x:c r="H270" s="28" t="str">
        <x:v>CONFORMS</x:v>
      </x:c>
      <x:c r="I270" s="31" t="str"/>
      <x:c r="J270" s="31" t="str"/>
      <x:c r="K270" s="31" t="str"/>
      <x:c r="L270" s="28" t="str">
        <x:f>IF(K270="","OPEN",IF(OR(I270="",J270=""),"FAIL",IF(I270=H270,"PASS","FAIL")))</x:f>
        <x:v>OPEN</x:v>
      </x:c>
    </x:row>
    <x:row r="271">
      <x:c r="B271" s="28" t="str">
        <x:v>IF-ROT-PEA-A-X1-4-01</x:v>
      </x:c>
      <x:c r="C271" s="28" t="str">
        <x:v>ROT-PEA-A-X1-4</x:v>
      </x:c>
      <x:c r="D271" s="28" t="str">
        <x:v>PEA-A-X1</x:v>
      </x:c>
      <x:c r="E271" s="28" t="str">
        <x:v>RFP-C1</x:v>
      </x:c>
      <x:c r="F271" s="28" t="n">
        <x:v>1</x:v>
      </x:c>
      <x:c r="G271" s="28" t="str">
        <x:v>public datum and load path</x:v>
      </x:c>
      <x:c r="H271" s="28" t="str">
        <x:v>CONFORMS</x:v>
      </x:c>
      <x:c r="I271" s="31" t="str"/>
      <x:c r="J271" s="31" t="str"/>
      <x:c r="K271" s="31" t="str"/>
      <x:c r="L271" s="28" t="str">
        <x:f>IF(K271="","OPEN",IF(OR(I271="",J271=""),"FAIL",IF(I271=H271,"PASS","FAIL")))</x:f>
        <x:v>OPEN</x:v>
      </x:c>
    </x:row>
    <x:row r="272">
      <x:c r="B272" s="28" t="str">
        <x:v>IF-ROT-PEA-A-X1-4-02</x:v>
      </x:c>
      <x:c r="C272" s="28" t="str">
        <x:v>ROT-PEA-A-X1-4</x:v>
      </x:c>
      <x:c r="D272" s="28" t="str">
        <x:v>PEA-A-X1</x:v>
      </x:c>
      <x:c r="E272" s="28" t="str">
        <x:v>RFP-C1</x:v>
      </x:c>
      <x:c r="F272" s="28" t="n">
        <x:v>2</x:v>
      </x:c>
      <x:c r="G272" s="28" t="str">
        <x:v>source-origin boundary</x:v>
      </x:c>
      <x:c r="H272" s="28" t="str">
        <x:v>CONFORMS</x:v>
      </x:c>
      <x:c r="I272" s="31" t="str"/>
      <x:c r="J272" s="31" t="str"/>
      <x:c r="K272" s="31" t="str"/>
      <x:c r="L272" s="28" t="str">
        <x:f>IF(K272="","OPEN",IF(OR(I272="",J272=""),"FAIL",IF(I272=H272,"PASS","FAIL")))</x:f>
        <x:v>OPEN</x:v>
      </x:c>
    </x:row>
    <x:row r="273">
      <x:c r="B273" s="28" t="str">
        <x:v>IF-ROT-PEA-A-X1-4-03</x:v>
      </x:c>
      <x:c r="C273" s="28" t="str">
        <x:v>ROT-PEA-A-X1-4</x:v>
      </x:c>
      <x:c r="D273" s="28" t="str">
        <x:v>PEA-A-X1</x:v>
      </x:c>
      <x:c r="E273" s="28" t="str">
        <x:v>RFP-C1</x:v>
      </x:c>
      <x:c r="F273" s="28" t="n">
        <x:v>3</x:v>
      </x:c>
      <x:c r="G273" s="28" t="str">
        <x:v>normal route</x:v>
      </x:c>
      <x:c r="H273" s="28" t="str">
        <x:v>CONFORMS</x:v>
      </x:c>
      <x:c r="I273" s="31" t="str"/>
      <x:c r="J273" s="31" t="str"/>
      <x:c r="K273" s="31" t="str"/>
      <x:c r="L273" s="28" t="str">
        <x:f>IF(K273="","OPEN",IF(OR(I273="",J273=""),"FAIL",IF(I273=H273,"PASS","FAIL")))</x:f>
        <x:v>OPEN</x:v>
      </x:c>
    </x:row>
    <x:row r="274">
      <x:c r="B274" s="28" t="str">
        <x:v>IF-ROT-PEA-A-X1-4-04</x:v>
      </x:c>
      <x:c r="C274" s="28" t="str">
        <x:v>ROT-PEA-A-X1-4</x:v>
      </x:c>
      <x:c r="D274" s="28" t="str">
        <x:v>PEA-A-X1</x:v>
      </x:c>
      <x:c r="E274" s="28" t="str">
        <x:v>RFP-C1</x:v>
      </x:c>
      <x:c r="F274" s="28" t="n">
        <x:v>4</x:v>
      </x:c>
      <x:c r="G274" s="28" t="str">
        <x:v>casualty-source route</x:v>
      </x:c>
      <x:c r="H274" s="28" t="str">
        <x:v>CONFORMS</x:v>
      </x:c>
      <x:c r="I274" s="31" t="str"/>
      <x:c r="J274" s="31" t="str"/>
      <x:c r="K274" s="31" t="str"/>
      <x:c r="L274" s="28" t="str">
        <x:f>IF(K274="","OPEN",IF(OR(I274="",J274=""),"FAIL",IF(I274=H274,"PASS","FAIL")))</x:f>
        <x:v>OPEN</x:v>
      </x:c>
    </x:row>
    <x:row r="275">
      <x:c r="B275" s="28" t="str">
        <x:v>IF-ROT-PEA-A-X1-4-05</x:v>
      </x:c>
      <x:c r="C275" s="28" t="str">
        <x:v>ROT-PEA-A-X1-4</x:v>
      </x:c>
      <x:c r="D275" s="28" t="str">
        <x:v>PEA-A-X1</x:v>
      </x:c>
      <x:c r="E275" s="28" t="str">
        <x:v>RFP-C1</x:v>
      </x:c>
      <x:c r="F275" s="28" t="n">
        <x:v>5</x:v>
      </x:c>
      <x:c r="G275" s="28" t="str">
        <x:v>water supply and return</x:v>
      </x:c>
      <x:c r="H275" s="28" t="str">
        <x:v>CONFORMS</x:v>
      </x:c>
      <x:c r="I275" s="31" t="str"/>
      <x:c r="J275" s="31" t="str"/>
      <x:c r="K275" s="31" t="str"/>
      <x:c r="L275" s="28" t="str">
        <x:f>IF(K275="","OPEN",IF(OR(I275="",J275=""),"FAIL",IF(I275=H275,"PASS","FAIL")))</x:f>
        <x:v>OPEN</x:v>
      </x:c>
    </x:row>
    <x:row r="276">
      <x:c r="B276" s="28" t="str">
        <x:v>IF-ROT-PEA-A-X1-4-06</x:v>
      </x:c>
      <x:c r="C276" s="28" t="str">
        <x:v>ROT-PEA-A-X1-4</x:v>
      </x:c>
      <x:c r="D276" s="28" t="str">
        <x:v>PEA-A-X1</x:v>
      </x:c>
      <x:c r="E276" s="28" t="str">
        <x:v>RFP-C1</x:v>
      </x:c>
      <x:c r="F276" s="28" t="n">
        <x:v>6</x:v>
      </x:c>
      <x:c r="G276" s="28" t="str">
        <x:v>casualty-water route</x:v>
      </x:c>
      <x:c r="H276" s="28" t="str">
        <x:v>CONFORMS</x:v>
      </x:c>
      <x:c r="I276" s="31" t="str"/>
      <x:c r="J276" s="31" t="str"/>
      <x:c r="K276" s="31" t="str"/>
      <x:c r="L276" s="28" t="str">
        <x:f>IF(K276="","OPEN",IF(OR(I276="",J276=""),"FAIL",IF(I276=H276,"PASS","FAIL")))</x:f>
        <x:v>OPEN</x:v>
      </x:c>
    </x:row>
    <x:row r="277">
      <x:c r="B277" s="28" t="str">
        <x:v>IF-ROT-PEA-A-X1-4-07</x:v>
      </x:c>
      <x:c r="C277" s="28" t="str">
        <x:v>ROT-PEA-A-X1-4</x:v>
      </x:c>
      <x:c r="D277" s="28" t="str">
        <x:v>PEA-A-X1</x:v>
      </x:c>
      <x:c r="E277" s="28" t="str">
        <x:v>RFP-C1</x:v>
      </x:c>
      <x:c r="F277" s="28" t="n">
        <x:v>7</x:v>
      </x:c>
      <x:c r="G277" s="28" t="str">
        <x:v>normal electrical power</x:v>
      </x:c>
      <x:c r="H277" s="28" t="str">
        <x:v>CONFORMS</x:v>
      </x:c>
      <x:c r="I277" s="31" t="str"/>
      <x:c r="J277" s="31" t="str"/>
      <x:c r="K277" s="31" t="str"/>
      <x:c r="L277" s="28" t="str">
        <x:f>IF(K277="","OPEN",IF(OR(I277="",J277=""),"FAIL",IF(I277=H277,"PASS","FAIL")))</x:f>
        <x:v>OPEN</x:v>
      </x:c>
    </x:row>
    <x:row r="278">
      <x:c r="B278" s="28" t="str">
        <x:v>IF-ROT-PEA-A-X1-4-08</x:v>
      </x:c>
      <x:c r="C278" s="28" t="str">
        <x:v>ROT-PEA-A-X1-4</x:v>
      </x:c>
      <x:c r="D278" s="28" t="str">
        <x:v>PEA-A-X1</x:v>
      </x:c>
      <x:c r="E278" s="28" t="str">
        <x:v>RFP-C1</x:v>
      </x:c>
      <x:c r="F278" s="28" t="n">
        <x:v>8</x:v>
      </x:c>
      <x:c r="G278" s="28" t="str">
        <x:v>independent safety energy</x:v>
      </x:c>
      <x:c r="H278" s="28" t="str">
        <x:v>CONFORMS</x:v>
      </x:c>
      <x:c r="I278" s="31" t="str"/>
      <x:c r="J278" s="31" t="str"/>
      <x:c r="K278" s="31" t="str"/>
      <x:c r="L278" s="28" t="str">
        <x:f>IF(K278="","OPEN",IF(OR(I278="",J278=""),"FAIL",IF(I278=H278,"PASS","FAIL")))</x:f>
        <x:v>OPEN</x:v>
      </x:c>
    </x:row>
    <x:row r="279">
      <x:c r="B279" s="28" t="str">
        <x:v>IF-ROT-PEA-A-X1-4-09</x:v>
      </x:c>
      <x:c r="C279" s="28" t="str">
        <x:v>ROT-PEA-A-X1-4</x:v>
      </x:c>
      <x:c r="D279" s="28" t="str">
        <x:v>PEA-A-X1</x:v>
      </x:c>
      <x:c r="E279" s="28" t="str">
        <x:v>RFP-C1</x:v>
      </x:c>
      <x:c r="F279" s="28" t="n">
        <x:v>9</x:v>
      </x:c>
      <x:c r="G279" s="28" t="str">
        <x:v>causal-time roots</x:v>
      </x:c>
      <x:c r="H279" s="28" t="str">
        <x:v>CONFORMS</x:v>
      </x:c>
      <x:c r="I279" s="31" t="str"/>
      <x:c r="J279" s="31" t="str"/>
      <x:c r="K279" s="31" t="str"/>
      <x:c r="L279" s="28" t="str">
        <x:f>IF(K279="","OPEN",IF(OR(I279="",J279=""),"FAIL",IF(I279=H279,"PASS","FAIL")))</x:f>
        <x:v>OPEN</x:v>
      </x:c>
    </x:row>
    <x:row r="280">
      <x:c r="B280" s="28" t="str">
        <x:v>IF-ROT-PEA-A-X1-4-10</x:v>
      </x:c>
      <x:c r="C280" s="28" t="str">
        <x:v>ROT-PEA-A-X1-4</x:v>
      </x:c>
      <x:c r="D280" s="28" t="str">
        <x:v>PEA-A-X1</x:v>
      </x:c>
      <x:c r="E280" s="28" t="str">
        <x:v>RFP-C1</x:v>
      </x:c>
      <x:c r="F280" s="28" t="n">
        <x:v>10</x:v>
      </x:c>
      <x:c r="G280" s="28" t="str">
        <x:v>two evidence originals</x:v>
      </x:c>
      <x:c r="H280" s="28" t="str">
        <x:v>CONFORMS</x:v>
      </x:c>
      <x:c r="I280" s="31" t="str"/>
      <x:c r="J280" s="31" t="str"/>
      <x:c r="K280" s="31" t="str"/>
      <x:c r="L280" s="28" t="str">
        <x:f>IF(K280="","OPEN",IF(OR(I280="",J280=""),"FAIL",IF(I280=H280,"PASS","FAIL")))</x:f>
        <x:v>OPEN</x:v>
      </x:c>
    </x:row>
    <x:row r="281">
      <x:c r="B281" s="28" t="str">
        <x:v>IF-ROT-PEA-A-X1-4-11</x:v>
      </x:c>
      <x:c r="C281" s="28" t="str">
        <x:v>ROT-PEA-A-X1-4</x:v>
      </x:c>
      <x:c r="D281" s="28" t="str">
        <x:v>PEA-A-X1</x:v>
      </x:c>
      <x:c r="E281" s="28" t="str">
        <x:v>RFP-C1</x:v>
      </x:c>
      <x:c r="F281" s="28" t="n">
        <x:v>11</x:v>
      </x:c>
      <x:c r="G281" s="28" t="str">
        <x:v>safeing command and final state</x:v>
      </x:c>
      <x:c r="H281" s="28" t="str">
        <x:v>CONFORMS</x:v>
      </x:c>
      <x:c r="I281" s="31" t="str"/>
      <x:c r="J281" s="31" t="str"/>
      <x:c r="K281" s="31" t="str"/>
      <x:c r="L281" s="28" t="str">
        <x:f>IF(K281="","OPEN",IF(OR(I281="",J281=""),"FAIL",IF(I281=H281,"PASS","FAIL")))</x:f>
        <x:v>OPEN</x:v>
      </x:c>
    </x:row>
    <x:row r="282">
      <x:c r="B282" s="28" t="str">
        <x:v>IF-ROT-PEA-A-X1-4-12</x:v>
      </x:c>
      <x:c r="C282" s="28" t="str">
        <x:v>ROT-PEA-A-X1-4</x:v>
      </x:c>
      <x:c r="D282" s="28" t="str">
        <x:v>PEA-A-X1</x:v>
      </x:c>
      <x:c r="E282" s="28" t="str">
        <x:v>RFP-C1</x:v>
      </x:c>
      <x:c r="F282" s="28" t="n">
        <x:v>12</x:v>
      </x:c>
      <x:c r="G282" s="28" t="str">
        <x:v>rescue access</x:v>
      </x:c>
      <x:c r="H282" s="28" t="str">
        <x:v>CONFORMS</x:v>
      </x:c>
      <x:c r="I282" s="31" t="str"/>
      <x:c r="J282" s="31" t="str"/>
      <x:c r="K282" s="31" t="str"/>
      <x:c r="L282" s="28" t="str">
        <x:f>IF(K282="","OPEN",IF(OR(I282="",J282=""),"FAIL",IF(I282=H282,"PASS","FAIL")))</x:f>
        <x:v>OPEN</x:v>
      </x:c>
    </x:row>
    <x:row r="283">
      <x:c r="B283" s="28" t="str">
        <x:v>IF-ROT-PEA-A-Y1-4-01</x:v>
      </x:c>
      <x:c r="C283" s="28" t="str">
        <x:v>ROT-PEA-A-Y1-4</x:v>
      </x:c>
      <x:c r="D283" s="28" t="str">
        <x:v>PEA-A-Y1</x:v>
      </x:c>
      <x:c r="E283" s="28" t="str">
        <x:v>RFP-C2</x:v>
      </x:c>
      <x:c r="F283" s="28" t="n">
        <x:v>1</x:v>
      </x:c>
      <x:c r="G283" s="28" t="str">
        <x:v>public datum and load path</x:v>
      </x:c>
      <x:c r="H283" s="28" t="str">
        <x:v>CONFORMS</x:v>
      </x:c>
      <x:c r="I283" s="31" t="str"/>
      <x:c r="J283" s="31" t="str"/>
      <x:c r="K283" s="31" t="str"/>
      <x:c r="L283" s="28" t="str">
        <x:f>IF(K283="","OPEN",IF(OR(I283="",J283=""),"FAIL",IF(I283=H283,"PASS","FAIL")))</x:f>
        <x:v>OPEN</x:v>
      </x:c>
    </x:row>
    <x:row r="284">
      <x:c r="B284" s="28" t="str">
        <x:v>IF-ROT-PEA-A-Y1-4-02</x:v>
      </x:c>
      <x:c r="C284" s="28" t="str">
        <x:v>ROT-PEA-A-Y1-4</x:v>
      </x:c>
      <x:c r="D284" s="28" t="str">
        <x:v>PEA-A-Y1</x:v>
      </x:c>
      <x:c r="E284" s="28" t="str">
        <x:v>RFP-C2</x:v>
      </x:c>
      <x:c r="F284" s="28" t="n">
        <x:v>2</x:v>
      </x:c>
      <x:c r="G284" s="28" t="str">
        <x:v>source-origin boundary</x:v>
      </x:c>
      <x:c r="H284" s="28" t="str">
        <x:v>CONFORMS</x:v>
      </x:c>
      <x:c r="I284" s="31" t="str"/>
      <x:c r="J284" s="31" t="str"/>
      <x:c r="K284" s="31" t="str"/>
      <x:c r="L284" s="28" t="str">
        <x:f>IF(K284="","OPEN",IF(OR(I284="",J284=""),"FAIL",IF(I284=H284,"PASS","FAIL")))</x:f>
        <x:v>OPEN</x:v>
      </x:c>
    </x:row>
    <x:row r="285">
      <x:c r="B285" s="28" t="str">
        <x:v>IF-ROT-PEA-A-Y1-4-03</x:v>
      </x:c>
      <x:c r="C285" s="28" t="str">
        <x:v>ROT-PEA-A-Y1-4</x:v>
      </x:c>
      <x:c r="D285" s="28" t="str">
        <x:v>PEA-A-Y1</x:v>
      </x:c>
      <x:c r="E285" s="28" t="str">
        <x:v>RFP-C2</x:v>
      </x:c>
      <x:c r="F285" s="28" t="n">
        <x:v>3</x:v>
      </x:c>
      <x:c r="G285" s="28" t="str">
        <x:v>normal route</x:v>
      </x:c>
      <x:c r="H285" s="28" t="str">
        <x:v>CONFORMS</x:v>
      </x:c>
      <x:c r="I285" s="31" t="str"/>
      <x:c r="J285" s="31" t="str"/>
      <x:c r="K285" s="31" t="str"/>
      <x:c r="L285" s="28" t="str">
        <x:f>IF(K285="","OPEN",IF(OR(I285="",J285=""),"FAIL",IF(I285=H285,"PASS","FAIL")))</x:f>
        <x:v>OPEN</x:v>
      </x:c>
    </x:row>
    <x:row r="286">
      <x:c r="B286" s="28" t="str">
        <x:v>IF-ROT-PEA-A-Y1-4-04</x:v>
      </x:c>
      <x:c r="C286" s="28" t="str">
        <x:v>ROT-PEA-A-Y1-4</x:v>
      </x:c>
      <x:c r="D286" s="28" t="str">
        <x:v>PEA-A-Y1</x:v>
      </x:c>
      <x:c r="E286" s="28" t="str">
        <x:v>RFP-C2</x:v>
      </x:c>
      <x:c r="F286" s="28" t="n">
        <x:v>4</x:v>
      </x:c>
      <x:c r="G286" s="28" t="str">
        <x:v>casualty-source route</x:v>
      </x:c>
      <x:c r="H286" s="28" t="str">
        <x:v>CONFORMS</x:v>
      </x:c>
      <x:c r="I286" s="31" t="str"/>
      <x:c r="J286" s="31" t="str"/>
      <x:c r="K286" s="31" t="str"/>
      <x:c r="L286" s="28" t="str">
        <x:f>IF(K286="","OPEN",IF(OR(I286="",J286=""),"FAIL",IF(I286=H286,"PASS","FAIL")))</x:f>
        <x:v>OPEN</x:v>
      </x:c>
    </x:row>
    <x:row r="287">
      <x:c r="B287" s="28" t="str">
        <x:v>IF-ROT-PEA-A-Y1-4-05</x:v>
      </x:c>
      <x:c r="C287" s="28" t="str">
        <x:v>ROT-PEA-A-Y1-4</x:v>
      </x:c>
      <x:c r="D287" s="28" t="str">
        <x:v>PEA-A-Y1</x:v>
      </x:c>
      <x:c r="E287" s="28" t="str">
        <x:v>RFP-C2</x:v>
      </x:c>
      <x:c r="F287" s="28" t="n">
        <x:v>5</x:v>
      </x:c>
      <x:c r="G287" s="28" t="str">
        <x:v>water supply and return</x:v>
      </x:c>
      <x:c r="H287" s="28" t="str">
        <x:v>CONFORMS</x:v>
      </x:c>
      <x:c r="I287" s="31" t="str"/>
      <x:c r="J287" s="31" t="str"/>
      <x:c r="K287" s="31" t="str"/>
      <x:c r="L287" s="28" t="str">
        <x:f>IF(K287="","OPEN",IF(OR(I287="",J287=""),"FAIL",IF(I287=H287,"PASS","FAIL")))</x:f>
        <x:v>OPEN</x:v>
      </x:c>
    </x:row>
    <x:row r="288">
      <x:c r="B288" s="28" t="str">
        <x:v>IF-ROT-PEA-A-Y1-4-06</x:v>
      </x:c>
      <x:c r="C288" s="28" t="str">
        <x:v>ROT-PEA-A-Y1-4</x:v>
      </x:c>
      <x:c r="D288" s="28" t="str">
        <x:v>PEA-A-Y1</x:v>
      </x:c>
      <x:c r="E288" s="28" t="str">
        <x:v>RFP-C2</x:v>
      </x:c>
      <x:c r="F288" s="28" t="n">
        <x:v>6</x:v>
      </x:c>
      <x:c r="G288" s="28" t="str">
        <x:v>casualty-water route</x:v>
      </x:c>
      <x:c r="H288" s="28" t="str">
        <x:v>CONFORMS</x:v>
      </x:c>
      <x:c r="I288" s="31" t="str"/>
      <x:c r="J288" s="31" t="str"/>
      <x:c r="K288" s="31" t="str"/>
      <x:c r="L288" s="28" t="str">
        <x:f>IF(K288="","OPEN",IF(OR(I288="",J288=""),"FAIL",IF(I288=H288,"PASS","FAIL")))</x:f>
        <x:v>OPEN</x:v>
      </x:c>
    </x:row>
    <x:row r="289">
      <x:c r="B289" s="28" t="str">
        <x:v>IF-ROT-PEA-A-Y1-4-07</x:v>
      </x:c>
      <x:c r="C289" s="28" t="str">
        <x:v>ROT-PEA-A-Y1-4</x:v>
      </x:c>
      <x:c r="D289" s="28" t="str">
        <x:v>PEA-A-Y1</x:v>
      </x:c>
      <x:c r="E289" s="28" t="str">
        <x:v>RFP-C2</x:v>
      </x:c>
      <x:c r="F289" s="28" t="n">
        <x:v>7</x:v>
      </x:c>
      <x:c r="G289" s="28" t="str">
        <x:v>normal electrical power</x:v>
      </x:c>
      <x:c r="H289" s="28" t="str">
        <x:v>CONFORMS</x:v>
      </x:c>
      <x:c r="I289" s="31" t="str"/>
      <x:c r="J289" s="31" t="str"/>
      <x:c r="K289" s="31" t="str"/>
      <x:c r="L289" s="28" t="str">
        <x:f>IF(K289="","OPEN",IF(OR(I289="",J289=""),"FAIL",IF(I289=H289,"PASS","FAIL")))</x:f>
        <x:v>OPEN</x:v>
      </x:c>
    </x:row>
    <x:row r="290">
      <x:c r="B290" s="28" t="str">
        <x:v>IF-ROT-PEA-A-Y1-4-08</x:v>
      </x:c>
      <x:c r="C290" s="28" t="str">
        <x:v>ROT-PEA-A-Y1-4</x:v>
      </x:c>
      <x:c r="D290" s="28" t="str">
        <x:v>PEA-A-Y1</x:v>
      </x:c>
      <x:c r="E290" s="28" t="str">
        <x:v>RFP-C2</x:v>
      </x:c>
      <x:c r="F290" s="28" t="n">
        <x:v>8</x:v>
      </x:c>
      <x:c r="G290" s="28" t="str">
        <x:v>independent safety energy</x:v>
      </x:c>
      <x:c r="H290" s="28" t="str">
        <x:v>CONFORMS</x:v>
      </x:c>
      <x:c r="I290" s="31" t="str"/>
      <x:c r="J290" s="31" t="str"/>
      <x:c r="K290" s="31" t="str"/>
      <x:c r="L290" s="28" t="str">
        <x:f>IF(K290="","OPEN",IF(OR(I290="",J290=""),"FAIL",IF(I290=H290,"PASS","FAIL")))</x:f>
        <x:v>OPEN</x:v>
      </x:c>
    </x:row>
    <x:row r="291">
      <x:c r="B291" s="28" t="str">
        <x:v>IF-ROT-PEA-A-Y1-4-09</x:v>
      </x:c>
      <x:c r="C291" s="28" t="str">
        <x:v>ROT-PEA-A-Y1-4</x:v>
      </x:c>
      <x:c r="D291" s="28" t="str">
        <x:v>PEA-A-Y1</x:v>
      </x:c>
      <x:c r="E291" s="28" t="str">
        <x:v>RFP-C2</x:v>
      </x:c>
      <x:c r="F291" s="28" t="n">
        <x:v>9</x:v>
      </x:c>
      <x:c r="G291" s="28" t="str">
        <x:v>causal-time roots</x:v>
      </x:c>
      <x:c r="H291" s="28" t="str">
        <x:v>CONFORMS</x:v>
      </x:c>
      <x:c r="I291" s="31" t="str"/>
      <x:c r="J291" s="31" t="str"/>
      <x:c r="K291" s="31" t="str"/>
      <x:c r="L291" s="28" t="str">
        <x:f>IF(K291="","OPEN",IF(OR(I291="",J291=""),"FAIL",IF(I291=H291,"PASS","FAIL")))</x:f>
        <x:v>OPEN</x:v>
      </x:c>
    </x:row>
    <x:row r="292">
      <x:c r="B292" s="28" t="str">
        <x:v>IF-ROT-PEA-A-Y1-4-10</x:v>
      </x:c>
      <x:c r="C292" s="28" t="str">
        <x:v>ROT-PEA-A-Y1-4</x:v>
      </x:c>
      <x:c r="D292" s="28" t="str">
        <x:v>PEA-A-Y1</x:v>
      </x:c>
      <x:c r="E292" s="28" t="str">
        <x:v>RFP-C2</x:v>
      </x:c>
      <x:c r="F292" s="28" t="n">
        <x:v>10</x:v>
      </x:c>
      <x:c r="G292" s="28" t="str">
        <x:v>two evidence originals</x:v>
      </x:c>
      <x:c r="H292" s="28" t="str">
        <x:v>CONFORMS</x:v>
      </x:c>
      <x:c r="I292" s="31" t="str"/>
      <x:c r="J292" s="31" t="str"/>
      <x:c r="K292" s="31" t="str"/>
      <x:c r="L292" s="28" t="str">
        <x:f>IF(K292="","OPEN",IF(OR(I292="",J292=""),"FAIL",IF(I292=H292,"PASS","FAIL")))</x:f>
        <x:v>OPEN</x:v>
      </x:c>
    </x:row>
    <x:row r="293">
      <x:c r="B293" s="28" t="str">
        <x:v>IF-ROT-PEA-A-Y1-4-11</x:v>
      </x:c>
      <x:c r="C293" s="28" t="str">
        <x:v>ROT-PEA-A-Y1-4</x:v>
      </x:c>
      <x:c r="D293" s="28" t="str">
        <x:v>PEA-A-Y1</x:v>
      </x:c>
      <x:c r="E293" s="28" t="str">
        <x:v>RFP-C2</x:v>
      </x:c>
      <x:c r="F293" s="28" t="n">
        <x:v>11</x:v>
      </x:c>
      <x:c r="G293" s="28" t="str">
        <x:v>safeing command and final state</x:v>
      </x:c>
      <x:c r="H293" s="28" t="str">
        <x:v>CONFORMS</x:v>
      </x:c>
      <x:c r="I293" s="31" t="str"/>
      <x:c r="J293" s="31" t="str"/>
      <x:c r="K293" s="31" t="str"/>
      <x:c r="L293" s="28" t="str">
        <x:f>IF(K293="","OPEN",IF(OR(I293="",J293=""),"FAIL",IF(I293=H293,"PASS","FAIL")))</x:f>
        <x:v>OPEN</x:v>
      </x:c>
    </x:row>
    <x:row r="294">
      <x:c r="B294" s="28" t="str">
        <x:v>IF-ROT-PEA-A-Y1-4-12</x:v>
      </x:c>
      <x:c r="C294" s="28" t="str">
        <x:v>ROT-PEA-A-Y1-4</x:v>
      </x:c>
      <x:c r="D294" s="28" t="str">
        <x:v>PEA-A-Y1</x:v>
      </x:c>
      <x:c r="E294" s="28" t="str">
        <x:v>RFP-C2</x:v>
      </x:c>
      <x:c r="F294" s="28" t="n">
        <x:v>12</x:v>
      </x:c>
      <x:c r="G294" s="28" t="str">
        <x:v>rescue access</x:v>
      </x:c>
      <x:c r="H294" s="28" t="str">
        <x:v>CONFORMS</x:v>
      </x:c>
      <x:c r="I294" s="31" t="str"/>
      <x:c r="J294" s="31" t="str"/>
      <x:c r="K294" s="31" t="str"/>
      <x:c r="L294" s="28" t="str">
        <x:f>IF(K294="","OPEN",IF(OR(I294="",J294=""),"FAIL",IF(I294=H294,"PASS","FAIL")))</x:f>
        <x:v>OPEN</x:v>
      </x:c>
    </x:row>
    <x:row r="295">
      <x:c r="B295" s="28" t="str">
        <x:v>IF-ROT-PEA-A-Y1-5-01</x:v>
      </x:c>
      <x:c r="C295" s="28" t="str">
        <x:v>ROT-PEA-A-Y1-5</x:v>
      </x:c>
      <x:c r="D295" s="28" t="str">
        <x:v>PEA-A-Y1</x:v>
      </x:c>
      <x:c r="E295" s="28" t="str">
        <x:v>RFP-A1</x:v>
      </x:c>
      <x:c r="F295" s="28" t="n">
        <x:v>1</x:v>
      </x:c>
      <x:c r="G295" s="28" t="str">
        <x:v>public datum and load path</x:v>
      </x:c>
      <x:c r="H295" s="28" t="str">
        <x:v>CONFORMS</x:v>
      </x:c>
      <x:c r="I295" s="31" t="str"/>
      <x:c r="J295" s="31" t="str"/>
      <x:c r="K295" s="31" t="str"/>
      <x:c r="L295" s="28" t="str">
        <x:f>IF(K295="","OPEN",IF(OR(I295="",J295=""),"FAIL",IF(I295=H295,"PASS","FAIL")))</x:f>
        <x:v>OPEN</x:v>
      </x:c>
    </x:row>
    <x:row r="296">
      <x:c r="B296" s="28" t="str">
        <x:v>IF-ROT-PEA-A-Y1-5-02</x:v>
      </x:c>
      <x:c r="C296" s="28" t="str">
        <x:v>ROT-PEA-A-Y1-5</x:v>
      </x:c>
      <x:c r="D296" s="28" t="str">
        <x:v>PEA-A-Y1</x:v>
      </x:c>
      <x:c r="E296" s="28" t="str">
        <x:v>RFP-A1</x:v>
      </x:c>
      <x:c r="F296" s="28" t="n">
        <x:v>2</x:v>
      </x:c>
      <x:c r="G296" s="28" t="str">
        <x:v>source-origin boundary</x:v>
      </x:c>
      <x:c r="H296" s="28" t="str">
        <x:v>CONFORMS</x:v>
      </x:c>
      <x:c r="I296" s="31" t="str"/>
      <x:c r="J296" s="31" t="str"/>
      <x:c r="K296" s="31" t="str"/>
      <x:c r="L296" s="28" t="str">
        <x:f>IF(K296="","OPEN",IF(OR(I296="",J296=""),"FAIL",IF(I296=H296,"PASS","FAIL")))</x:f>
        <x:v>OPEN</x:v>
      </x:c>
    </x:row>
    <x:row r="297">
      <x:c r="B297" s="28" t="str">
        <x:v>IF-ROT-PEA-A-Y1-5-03</x:v>
      </x:c>
      <x:c r="C297" s="28" t="str">
        <x:v>ROT-PEA-A-Y1-5</x:v>
      </x:c>
      <x:c r="D297" s="28" t="str">
        <x:v>PEA-A-Y1</x:v>
      </x:c>
      <x:c r="E297" s="28" t="str">
        <x:v>RFP-A1</x:v>
      </x:c>
      <x:c r="F297" s="28" t="n">
        <x:v>3</x:v>
      </x:c>
      <x:c r="G297" s="28" t="str">
        <x:v>normal route</x:v>
      </x:c>
      <x:c r="H297" s="28" t="str">
        <x:v>CONFORMS</x:v>
      </x:c>
      <x:c r="I297" s="31" t="str"/>
      <x:c r="J297" s="31" t="str"/>
      <x:c r="K297" s="31" t="str"/>
      <x:c r="L297" s="28" t="str">
        <x:f>IF(K297="","OPEN",IF(OR(I297="",J297=""),"FAIL",IF(I297=H297,"PASS","FAIL")))</x:f>
        <x:v>OPEN</x:v>
      </x:c>
    </x:row>
    <x:row r="298">
      <x:c r="B298" s="28" t="str">
        <x:v>IF-ROT-PEA-A-Y1-5-04</x:v>
      </x:c>
      <x:c r="C298" s="28" t="str">
        <x:v>ROT-PEA-A-Y1-5</x:v>
      </x:c>
      <x:c r="D298" s="28" t="str">
        <x:v>PEA-A-Y1</x:v>
      </x:c>
      <x:c r="E298" s="28" t="str">
        <x:v>RFP-A1</x:v>
      </x:c>
      <x:c r="F298" s="28" t="n">
        <x:v>4</x:v>
      </x:c>
      <x:c r="G298" s="28" t="str">
        <x:v>casualty-source route</x:v>
      </x:c>
      <x:c r="H298" s="28" t="str">
        <x:v>CONFORMS</x:v>
      </x:c>
      <x:c r="I298" s="31" t="str"/>
      <x:c r="J298" s="31" t="str"/>
      <x:c r="K298" s="31" t="str"/>
      <x:c r="L298" s="28" t="str">
        <x:f>IF(K298="","OPEN",IF(OR(I298="",J298=""),"FAIL",IF(I298=H298,"PASS","FAIL")))</x:f>
        <x:v>OPEN</x:v>
      </x:c>
    </x:row>
    <x:row r="299">
      <x:c r="B299" s="28" t="str">
        <x:v>IF-ROT-PEA-A-Y1-5-05</x:v>
      </x:c>
      <x:c r="C299" s="28" t="str">
        <x:v>ROT-PEA-A-Y1-5</x:v>
      </x:c>
      <x:c r="D299" s="28" t="str">
        <x:v>PEA-A-Y1</x:v>
      </x:c>
      <x:c r="E299" s="28" t="str">
        <x:v>RFP-A1</x:v>
      </x:c>
      <x:c r="F299" s="28" t="n">
        <x:v>5</x:v>
      </x:c>
      <x:c r="G299" s="28" t="str">
        <x:v>water supply and return</x:v>
      </x:c>
      <x:c r="H299" s="28" t="str">
        <x:v>CONFORMS</x:v>
      </x:c>
      <x:c r="I299" s="31" t="str"/>
      <x:c r="J299" s="31" t="str"/>
      <x:c r="K299" s="31" t="str"/>
      <x:c r="L299" s="28" t="str">
        <x:f>IF(K299="","OPEN",IF(OR(I299="",J299=""),"FAIL",IF(I299=H299,"PASS","FAIL")))</x:f>
        <x:v>OPEN</x:v>
      </x:c>
    </x:row>
    <x:row r="300">
      <x:c r="B300" s="28" t="str">
        <x:v>IF-ROT-PEA-A-Y1-5-06</x:v>
      </x:c>
      <x:c r="C300" s="28" t="str">
        <x:v>ROT-PEA-A-Y1-5</x:v>
      </x:c>
      <x:c r="D300" s="28" t="str">
        <x:v>PEA-A-Y1</x:v>
      </x:c>
      <x:c r="E300" s="28" t="str">
        <x:v>RFP-A1</x:v>
      </x:c>
      <x:c r="F300" s="28" t="n">
        <x:v>6</x:v>
      </x:c>
      <x:c r="G300" s="28" t="str">
        <x:v>casualty-water route</x:v>
      </x:c>
      <x:c r="H300" s="28" t="str">
        <x:v>CONFORMS</x:v>
      </x:c>
      <x:c r="I300" s="31" t="str"/>
      <x:c r="J300" s="31" t="str"/>
      <x:c r="K300" s="31" t="str"/>
      <x:c r="L300" s="28" t="str">
        <x:f>IF(K300="","OPEN",IF(OR(I300="",J300=""),"FAIL",IF(I300=H300,"PASS","FAIL")))</x:f>
        <x:v>OPEN</x:v>
      </x:c>
    </x:row>
    <x:row r="301">
      <x:c r="B301" s="28" t="str">
        <x:v>IF-ROT-PEA-A-Y1-5-07</x:v>
      </x:c>
      <x:c r="C301" s="28" t="str">
        <x:v>ROT-PEA-A-Y1-5</x:v>
      </x:c>
      <x:c r="D301" s="28" t="str">
        <x:v>PEA-A-Y1</x:v>
      </x:c>
      <x:c r="E301" s="28" t="str">
        <x:v>RFP-A1</x:v>
      </x:c>
      <x:c r="F301" s="28" t="n">
        <x:v>7</x:v>
      </x:c>
      <x:c r="G301" s="28" t="str">
        <x:v>normal electrical power</x:v>
      </x:c>
      <x:c r="H301" s="28" t="str">
        <x:v>CONFORMS</x:v>
      </x:c>
      <x:c r="I301" s="31" t="str"/>
      <x:c r="J301" s="31" t="str"/>
      <x:c r="K301" s="31" t="str"/>
      <x:c r="L301" s="28" t="str">
        <x:f>IF(K301="","OPEN",IF(OR(I301="",J301=""),"FAIL",IF(I301=H301,"PASS","FAIL")))</x:f>
        <x:v>OPEN</x:v>
      </x:c>
    </x:row>
    <x:row r="302">
      <x:c r="B302" s="28" t="str">
        <x:v>IF-ROT-PEA-A-Y1-5-08</x:v>
      </x:c>
      <x:c r="C302" s="28" t="str">
        <x:v>ROT-PEA-A-Y1-5</x:v>
      </x:c>
      <x:c r="D302" s="28" t="str">
        <x:v>PEA-A-Y1</x:v>
      </x:c>
      <x:c r="E302" s="28" t="str">
        <x:v>RFP-A1</x:v>
      </x:c>
      <x:c r="F302" s="28" t="n">
        <x:v>8</x:v>
      </x:c>
      <x:c r="G302" s="28" t="str">
        <x:v>independent safety energy</x:v>
      </x:c>
      <x:c r="H302" s="28" t="str">
        <x:v>CONFORMS</x:v>
      </x:c>
      <x:c r="I302" s="31" t="str"/>
      <x:c r="J302" s="31" t="str"/>
      <x:c r="K302" s="31" t="str"/>
      <x:c r="L302" s="28" t="str">
        <x:f>IF(K302="","OPEN",IF(OR(I302="",J302=""),"FAIL",IF(I302=H302,"PASS","FAIL")))</x:f>
        <x:v>OPEN</x:v>
      </x:c>
    </x:row>
    <x:row r="303">
      <x:c r="B303" s="28" t="str">
        <x:v>IF-ROT-PEA-A-Y1-5-09</x:v>
      </x:c>
      <x:c r="C303" s="28" t="str">
        <x:v>ROT-PEA-A-Y1-5</x:v>
      </x:c>
      <x:c r="D303" s="28" t="str">
        <x:v>PEA-A-Y1</x:v>
      </x:c>
      <x:c r="E303" s="28" t="str">
        <x:v>RFP-A1</x:v>
      </x:c>
      <x:c r="F303" s="28" t="n">
        <x:v>9</x:v>
      </x:c>
      <x:c r="G303" s="28" t="str">
        <x:v>causal-time roots</x:v>
      </x:c>
      <x:c r="H303" s="28" t="str">
        <x:v>CONFORMS</x:v>
      </x:c>
      <x:c r="I303" s="31" t="str"/>
      <x:c r="J303" s="31" t="str"/>
      <x:c r="K303" s="31" t="str"/>
      <x:c r="L303" s="28" t="str">
        <x:f>IF(K303="","OPEN",IF(OR(I303="",J303=""),"FAIL",IF(I303=H303,"PASS","FAIL")))</x:f>
        <x:v>OPEN</x:v>
      </x:c>
    </x:row>
    <x:row r="304">
      <x:c r="B304" s="28" t="str">
        <x:v>IF-ROT-PEA-A-Y1-5-10</x:v>
      </x:c>
      <x:c r="C304" s="28" t="str">
        <x:v>ROT-PEA-A-Y1-5</x:v>
      </x:c>
      <x:c r="D304" s="28" t="str">
        <x:v>PEA-A-Y1</x:v>
      </x:c>
      <x:c r="E304" s="28" t="str">
        <x:v>RFP-A1</x:v>
      </x:c>
      <x:c r="F304" s="28" t="n">
        <x:v>10</x:v>
      </x:c>
      <x:c r="G304" s="28" t="str">
        <x:v>two evidence originals</x:v>
      </x:c>
      <x:c r="H304" s="28" t="str">
        <x:v>CONFORMS</x:v>
      </x:c>
      <x:c r="I304" s="31" t="str"/>
      <x:c r="J304" s="31" t="str"/>
      <x:c r="K304" s="31" t="str"/>
      <x:c r="L304" s="28" t="str">
        <x:f>IF(K304="","OPEN",IF(OR(I304="",J304=""),"FAIL",IF(I304=H304,"PASS","FAIL")))</x:f>
        <x:v>OPEN</x:v>
      </x:c>
    </x:row>
    <x:row r="305">
      <x:c r="B305" s="28" t="str">
        <x:v>IF-ROT-PEA-A-Y1-5-11</x:v>
      </x:c>
      <x:c r="C305" s="28" t="str">
        <x:v>ROT-PEA-A-Y1-5</x:v>
      </x:c>
      <x:c r="D305" s="28" t="str">
        <x:v>PEA-A-Y1</x:v>
      </x:c>
      <x:c r="E305" s="28" t="str">
        <x:v>RFP-A1</x:v>
      </x:c>
      <x:c r="F305" s="28" t="n">
        <x:v>11</x:v>
      </x:c>
      <x:c r="G305" s="28" t="str">
        <x:v>safeing command and final state</x:v>
      </x:c>
      <x:c r="H305" s="28" t="str">
        <x:v>CONFORMS</x:v>
      </x:c>
      <x:c r="I305" s="31" t="str"/>
      <x:c r="J305" s="31" t="str"/>
      <x:c r="K305" s="31" t="str"/>
      <x:c r="L305" s="28" t="str">
        <x:f>IF(K305="","OPEN",IF(OR(I305="",J305=""),"FAIL",IF(I305=H305,"PASS","FAIL")))</x:f>
        <x:v>OPEN</x:v>
      </x:c>
    </x:row>
    <x:row r="306">
      <x:c r="B306" s="28" t="str">
        <x:v>IF-ROT-PEA-A-Y1-5-12</x:v>
      </x:c>
      <x:c r="C306" s="28" t="str">
        <x:v>ROT-PEA-A-Y1-5</x:v>
      </x:c>
      <x:c r="D306" s="28" t="str">
        <x:v>PEA-A-Y1</x:v>
      </x:c>
      <x:c r="E306" s="28" t="str">
        <x:v>RFP-A1</x:v>
      </x:c>
      <x:c r="F306" s="28" t="n">
        <x:v>12</x:v>
      </x:c>
      <x:c r="G306" s="28" t="str">
        <x:v>rescue access</x:v>
      </x:c>
      <x:c r="H306" s="28" t="str">
        <x:v>CONFORMS</x:v>
      </x:c>
      <x:c r="I306" s="31" t="str"/>
      <x:c r="J306" s="31" t="str"/>
      <x:c r="K306" s="31" t="str"/>
      <x:c r="L306" s="28" t="str">
        <x:f>IF(K306="","OPEN",IF(OR(I306="",J306=""),"FAIL",IF(I306=H306,"PASS","FAIL")))</x:f>
        <x:v>OPEN</x:v>
      </x:c>
    </x:row>
    <x:row r="307">
      <x:c r="B307" s="28" t="str">
        <x:v>IF-ROT-PEA-B-X1-5-01</x:v>
      </x:c>
      <x:c r="C307" s="28" t="str">
        <x:v>ROT-PEA-B-X1-5</x:v>
      </x:c>
      <x:c r="D307" s="28" t="str">
        <x:v>PEA-B-X1</x:v>
      </x:c>
      <x:c r="E307" s="28" t="str">
        <x:v>RFP-A2</x:v>
      </x:c>
      <x:c r="F307" s="28" t="n">
        <x:v>1</x:v>
      </x:c>
      <x:c r="G307" s="28" t="str">
        <x:v>public datum and load path</x:v>
      </x:c>
      <x:c r="H307" s="28" t="str">
        <x:v>CONFORMS</x:v>
      </x:c>
      <x:c r="I307" s="31" t="str"/>
      <x:c r="J307" s="31" t="str"/>
      <x:c r="K307" s="31" t="str"/>
      <x:c r="L307" s="28" t="str">
        <x:f>IF(K307="","OPEN",IF(OR(I307="",J307=""),"FAIL",IF(I307=H307,"PASS","FAIL")))</x:f>
        <x:v>OPEN</x:v>
      </x:c>
    </x:row>
    <x:row r="308">
      <x:c r="B308" s="28" t="str">
        <x:v>IF-ROT-PEA-B-X1-5-02</x:v>
      </x:c>
      <x:c r="C308" s="28" t="str">
        <x:v>ROT-PEA-B-X1-5</x:v>
      </x:c>
      <x:c r="D308" s="28" t="str">
        <x:v>PEA-B-X1</x:v>
      </x:c>
      <x:c r="E308" s="28" t="str">
        <x:v>RFP-A2</x:v>
      </x:c>
      <x:c r="F308" s="28" t="n">
        <x:v>2</x:v>
      </x:c>
      <x:c r="G308" s="28" t="str">
        <x:v>source-origin boundary</x:v>
      </x:c>
      <x:c r="H308" s="28" t="str">
        <x:v>CONFORMS</x:v>
      </x:c>
      <x:c r="I308" s="31" t="str"/>
      <x:c r="J308" s="31" t="str"/>
      <x:c r="K308" s="31" t="str"/>
      <x:c r="L308" s="28" t="str">
        <x:f>IF(K308="","OPEN",IF(OR(I308="",J308=""),"FAIL",IF(I308=H308,"PASS","FAIL")))</x:f>
        <x:v>OPEN</x:v>
      </x:c>
    </x:row>
    <x:row r="309">
      <x:c r="B309" s="28" t="str">
        <x:v>IF-ROT-PEA-B-X1-5-03</x:v>
      </x:c>
      <x:c r="C309" s="28" t="str">
        <x:v>ROT-PEA-B-X1-5</x:v>
      </x:c>
      <x:c r="D309" s="28" t="str">
        <x:v>PEA-B-X1</x:v>
      </x:c>
      <x:c r="E309" s="28" t="str">
        <x:v>RFP-A2</x:v>
      </x:c>
      <x:c r="F309" s="28" t="n">
        <x:v>3</x:v>
      </x:c>
      <x:c r="G309" s="28" t="str">
        <x:v>normal route</x:v>
      </x:c>
      <x:c r="H309" s="28" t="str">
        <x:v>CONFORMS</x:v>
      </x:c>
      <x:c r="I309" s="31" t="str"/>
      <x:c r="J309" s="31" t="str"/>
      <x:c r="K309" s="31" t="str"/>
      <x:c r="L309" s="28" t="str">
        <x:f>IF(K309="","OPEN",IF(OR(I309="",J309=""),"FAIL",IF(I309=H309,"PASS","FAIL")))</x:f>
        <x:v>OPEN</x:v>
      </x:c>
    </x:row>
    <x:row r="310">
      <x:c r="B310" s="28" t="str">
        <x:v>IF-ROT-PEA-B-X1-5-04</x:v>
      </x:c>
      <x:c r="C310" s="28" t="str">
        <x:v>ROT-PEA-B-X1-5</x:v>
      </x:c>
      <x:c r="D310" s="28" t="str">
        <x:v>PEA-B-X1</x:v>
      </x:c>
      <x:c r="E310" s="28" t="str">
        <x:v>RFP-A2</x:v>
      </x:c>
      <x:c r="F310" s="28" t="n">
        <x:v>4</x:v>
      </x:c>
      <x:c r="G310" s="28" t="str">
        <x:v>casualty-source route</x:v>
      </x:c>
      <x:c r="H310" s="28" t="str">
        <x:v>CONFORMS</x:v>
      </x:c>
      <x:c r="I310" s="31" t="str"/>
      <x:c r="J310" s="31" t="str"/>
      <x:c r="K310" s="31" t="str"/>
      <x:c r="L310" s="28" t="str">
        <x:f>IF(K310="","OPEN",IF(OR(I310="",J310=""),"FAIL",IF(I310=H310,"PASS","FAIL")))</x:f>
        <x:v>OPEN</x:v>
      </x:c>
    </x:row>
    <x:row r="311">
      <x:c r="B311" s="28" t="str">
        <x:v>IF-ROT-PEA-B-X1-5-05</x:v>
      </x:c>
      <x:c r="C311" s="28" t="str">
        <x:v>ROT-PEA-B-X1-5</x:v>
      </x:c>
      <x:c r="D311" s="28" t="str">
        <x:v>PEA-B-X1</x:v>
      </x:c>
      <x:c r="E311" s="28" t="str">
        <x:v>RFP-A2</x:v>
      </x:c>
      <x:c r="F311" s="28" t="n">
        <x:v>5</x:v>
      </x:c>
      <x:c r="G311" s="28" t="str">
        <x:v>water supply and return</x:v>
      </x:c>
      <x:c r="H311" s="28" t="str">
        <x:v>CONFORMS</x:v>
      </x:c>
      <x:c r="I311" s="31" t="str"/>
      <x:c r="J311" s="31" t="str"/>
      <x:c r="K311" s="31" t="str"/>
      <x:c r="L311" s="28" t="str">
        <x:f>IF(K311="","OPEN",IF(OR(I311="",J311=""),"FAIL",IF(I311=H311,"PASS","FAIL")))</x:f>
        <x:v>OPEN</x:v>
      </x:c>
    </x:row>
    <x:row r="312">
      <x:c r="B312" s="28" t="str">
        <x:v>IF-ROT-PEA-B-X1-5-06</x:v>
      </x:c>
      <x:c r="C312" s="28" t="str">
        <x:v>ROT-PEA-B-X1-5</x:v>
      </x:c>
      <x:c r="D312" s="28" t="str">
        <x:v>PEA-B-X1</x:v>
      </x:c>
      <x:c r="E312" s="28" t="str">
        <x:v>RFP-A2</x:v>
      </x:c>
      <x:c r="F312" s="28" t="n">
        <x:v>6</x:v>
      </x:c>
      <x:c r="G312" s="28" t="str">
        <x:v>casualty-water route</x:v>
      </x:c>
      <x:c r="H312" s="28" t="str">
        <x:v>CONFORMS</x:v>
      </x:c>
      <x:c r="I312" s="31" t="str"/>
      <x:c r="J312" s="31" t="str"/>
      <x:c r="K312" s="31" t="str"/>
      <x:c r="L312" s="28" t="str">
        <x:f>IF(K312="","OPEN",IF(OR(I312="",J312=""),"FAIL",IF(I312=H312,"PASS","FAIL")))</x:f>
        <x:v>OPEN</x:v>
      </x:c>
    </x:row>
    <x:row r="313">
      <x:c r="B313" s="28" t="str">
        <x:v>IF-ROT-PEA-B-X1-5-07</x:v>
      </x:c>
      <x:c r="C313" s="28" t="str">
        <x:v>ROT-PEA-B-X1-5</x:v>
      </x:c>
      <x:c r="D313" s="28" t="str">
        <x:v>PEA-B-X1</x:v>
      </x:c>
      <x:c r="E313" s="28" t="str">
        <x:v>RFP-A2</x:v>
      </x:c>
      <x:c r="F313" s="28" t="n">
        <x:v>7</x:v>
      </x:c>
      <x:c r="G313" s="28" t="str">
        <x:v>normal electrical power</x:v>
      </x:c>
      <x:c r="H313" s="28" t="str">
        <x:v>CONFORMS</x:v>
      </x:c>
      <x:c r="I313" s="31" t="str"/>
      <x:c r="J313" s="31" t="str"/>
      <x:c r="K313" s="31" t="str"/>
      <x:c r="L313" s="28" t="str">
        <x:f>IF(K313="","OPEN",IF(OR(I313="",J313=""),"FAIL",IF(I313=H313,"PASS","FAIL")))</x:f>
        <x:v>OPEN</x:v>
      </x:c>
    </x:row>
    <x:row r="314">
      <x:c r="B314" s="28" t="str">
        <x:v>IF-ROT-PEA-B-X1-5-08</x:v>
      </x:c>
      <x:c r="C314" s="28" t="str">
        <x:v>ROT-PEA-B-X1-5</x:v>
      </x:c>
      <x:c r="D314" s="28" t="str">
        <x:v>PEA-B-X1</x:v>
      </x:c>
      <x:c r="E314" s="28" t="str">
        <x:v>RFP-A2</x:v>
      </x:c>
      <x:c r="F314" s="28" t="n">
        <x:v>8</x:v>
      </x:c>
      <x:c r="G314" s="28" t="str">
        <x:v>independent safety energy</x:v>
      </x:c>
      <x:c r="H314" s="28" t="str">
        <x:v>CONFORMS</x:v>
      </x:c>
      <x:c r="I314" s="31" t="str"/>
      <x:c r="J314" s="31" t="str"/>
      <x:c r="K314" s="31" t="str"/>
      <x:c r="L314" s="28" t="str">
        <x:f>IF(K314="","OPEN",IF(OR(I314="",J314=""),"FAIL",IF(I314=H314,"PASS","FAIL")))</x:f>
        <x:v>OPEN</x:v>
      </x:c>
    </x:row>
    <x:row r="315">
      <x:c r="B315" s="28" t="str">
        <x:v>IF-ROT-PEA-B-X1-5-09</x:v>
      </x:c>
      <x:c r="C315" s="28" t="str">
        <x:v>ROT-PEA-B-X1-5</x:v>
      </x:c>
      <x:c r="D315" s="28" t="str">
        <x:v>PEA-B-X1</x:v>
      </x:c>
      <x:c r="E315" s="28" t="str">
        <x:v>RFP-A2</x:v>
      </x:c>
      <x:c r="F315" s="28" t="n">
        <x:v>9</x:v>
      </x:c>
      <x:c r="G315" s="28" t="str">
        <x:v>causal-time roots</x:v>
      </x:c>
      <x:c r="H315" s="28" t="str">
        <x:v>CONFORMS</x:v>
      </x:c>
      <x:c r="I315" s="31" t="str"/>
      <x:c r="J315" s="31" t="str"/>
      <x:c r="K315" s="31" t="str"/>
      <x:c r="L315" s="28" t="str">
        <x:f>IF(K315="","OPEN",IF(OR(I315="",J315=""),"FAIL",IF(I315=H315,"PASS","FAIL")))</x:f>
        <x:v>OPEN</x:v>
      </x:c>
    </x:row>
    <x:row r="316">
      <x:c r="B316" s="28" t="str">
        <x:v>IF-ROT-PEA-B-X1-5-10</x:v>
      </x:c>
      <x:c r="C316" s="28" t="str">
        <x:v>ROT-PEA-B-X1-5</x:v>
      </x:c>
      <x:c r="D316" s="28" t="str">
        <x:v>PEA-B-X1</x:v>
      </x:c>
      <x:c r="E316" s="28" t="str">
        <x:v>RFP-A2</x:v>
      </x:c>
      <x:c r="F316" s="28" t="n">
        <x:v>10</x:v>
      </x:c>
      <x:c r="G316" s="28" t="str">
        <x:v>two evidence originals</x:v>
      </x:c>
      <x:c r="H316" s="28" t="str">
        <x:v>CONFORMS</x:v>
      </x:c>
      <x:c r="I316" s="31" t="str"/>
      <x:c r="J316" s="31" t="str"/>
      <x:c r="K316" s="31" t="str"/>
      <x:c r="L316" s="28" t="str">
        <x:f>IF(K316="","OPEN",IF(OR(I316="",J316=""),"FAIL",IF(I316=H316,"PASS","FAIL")))</x:f>
        <x:v>OPEN</x:v>
      </x:c>
    </x:row>
    <x:row r="317">
      <x:c r="B317" s="28" t="str">
        <x:v>IF-ROT-PEA-B-X1-5-11</x:v>
      </x:c>
      <x:c r="C317" s="28" t="str">
        <x:v>ROT-PEA-B-X1-5</x:v>
      </x:c>
      <x:c r="D317" s="28" t="str">
        <x:v>PEA-B-X1</x:v>
      </x:c>
      <x:c r="E317" s="28" t="str">
        <x:v>RFP-A2</x:v>
      </x:c>
      <x:c r="F317" s="28" t="n">
        <x:v>11</x:v>
      </x:c>
      <x:c r="G317" s="28" t="str">
        <x:v>safeing command and final state</x:v>
      </x:c>
      <x:c r="H317" s="28" t="str">
        <x:v>CONFORMS</x:v>
      </x:c>
      <x:c r="I317" s="31" t="str"/>
      <x:c r="J317" s="31" t="str"/>
      <x:c r="K317" s="31" t="str"/>
      <x:c r="L317" s="28" t="str">
        <x:f>IF(K317="","OPEN",IF(OR(I317="",J317=""),"FAIL",IF(I317=H317,"PASS","FAIL")))</x:f>
        <x:v>OPEN</x:v>
      </x:c>
    </x:row>
    <x:row r="318">
      <x:c r="B318" s="28" t="str">
        <x:v>IF-ROT-PEA-B-X1-5-12</x:v>
      </x:c>
      <x:c r="C318" s="28" t="str">
        <x:v>ROT-PEA-B-X1-5</x:v>
      </x:c>
      <x:c r="D318" s="28" t="str">
        <x:v>PEA-B-X1</x:v>
      </x:c>
      <x:c r="E318" s="28" t="str">
        <x:v>RFP-A2</x:v>
      </x:c>
      <x:c r="F318" s="28" t="n">
        <x:v>12</x:v>
      </x:c>
      <x:c r="G318" s="28" t="str">
        <x:v>rescue access</x:v>
      </x:c>
      <x:c r="H318" s="28" t="str">
        <x:v>CONFORMS</x:v>
      </x:c>
      <x:c r="I318" s="31" t="str"/>
      <x:c r="J318" s="31" t="str"/>
      <x:c r="K318" s="31" t="str"/>
      <x:c r="L318" s="28" t="str">
        <x:f>IF(K318="","OPEN",IF(OR(I318="",J318=""),"FAIL",IF(I318=H318,"PASS","FAIL")))</x:f>
        <x:v>OPEN</x:v>
      </x:c>
    </x:row>
    <x:row r="319">
      <x:c r="B319" s="28" t="str">
        <x:v>IF-ROT-PEA-B-Y1-5-01</x:v>
      </x:c>
      <x:c r="C319" s="28" t="str">
        <x:v>ROT-PEA-B-Y1-5</x:v>
      </x:c>
      <x:c r="D319" s="28" t="str">
        <x:v>PEA-B-Y1</x:v>
      </x:c>
      <x:c r="E319" s="28" t="str">
        <x:v>RFP-B1</x:v>
      </x:c>
      <x:c r="F319" s="28" t="n">
        <x:v>1</x:v>
      </x:c>
      <x:c r="G319" s="28" t="str">
        <x:v>public datum and load path</x:v>
      </x:c>
      <x:c r="H319" s="28" t="str">
        <x:v>CONFORMS</x:v>
      </x:c>
      <x:c r="I319" s="31" t="str"/>
      <x:c r="J319" s="31" t="str"/>
      <x:c r="K319" s="31" t="str"/>
      <x:c r="L319" s="28" t="str">
        <x:f>IF(K319="","OPEN",IF(OR(I319="",J319=""),"FAIL",IF(I319=H319,"PASS","FAIL")))</x:f>
        <x:v>OPEN</x:v>
      </x:c>
    </x:row>
    <x:row r="320">
      <x:c r="B320" s="28" t="str">
        <x:v>IF-ROT-PEA-B-Y1-5-02</x:v>
      </x:c>
      <x:c r="C320" s="28" t="str">
        <x:v>ROT-PEA-B-Y1-5</x:v>
      </x:c>
      <x:c r="D320" s="28" t="str">
        <x:v>PEA-B-Y1</x:v>
      </x:c>
      <x:c r="E320" s="28" t="str">
        <x:v>RFP-B1</x:v>
      </x:c>
      <x:c r="F320" s="28" t="n">
        <x:v>2</x:v>
      </x:c>
      <x:c r="G320" s="28" t="str">
        <x:v>source-origin boundary</x:v>
      </x:c>
      <x:c r="H320" s="28" t="str">
        <x:v>CONFORMS</x:v>
      </x:c>
      <x:c r="I320" s="31" t="str"/>
      <x:c r="J320" s="31" t="str"/>
      <x:c r="K320" s="31" t="str"/>
      <x:c r="L320" s="28" t="str">
        <x:f>IF(K320="","OPEN",IF(OR(I320="",J320=""),"FAIL",IF(I320=H320,"PASS","FAIL")))</x:f>
        <x:v>OPEN</x:v>
      </x:c>
    </x:row>
    <x:row r="321">
      <x:c r="B321" s="28" t="str">
        <x:v>IF-ROT-PEA-B-Y1-5-03</x:v>
      </x:c>
      <x:c r="C321" s="28" t="str">
        <x:v>ROT-PEA-B-Y1-5</x:v>
      </x:c>
      <x:c r="D321" s="28" t="str">
        <x:v>PEA-B-Y1</x:v>
      </x:c>
      <x:c r="E321" s="28" t="str">
        <x:v>RFP-B1</x:v>
      </x:c>
      <x:c r="F321" s="28" t="n">
        <x:v>3</x:v>
      </x:c>
      <x:c r="G321" s="28" t="str">
        <x:v>normal route</x:v>
      </x:c>
      <x:c r="H321" s="28" t="str">
        <x:v>CONFORMS</x:v>
      </x:c>
      <x:c r="I321" s="31" t="str"/>
      <x:c r="J321" s="31" t="str"/>
      <x:c r="K321" s="31" t="str"/>
      <x:c r="L321" s="28" t="str">
        <x:f>IF(K321="","OPEN",IF(OR(I321="",J321=""),"FAIL",IF(I321=H321,"PASS","FAIL")))</x:f>
        <x:v>OPEN</x:v>
      </x:c>
    </x:row>
    <x:row r="322">
      <x:c r="B322" s="28" t="str">
        <x:v>IF-ROT-PEA-B-Y1-5-04</x:v>
      </x:c>
      <x:c r="C322" s="28" t="str">
        <x:v>ROT-PEA-B-Y1-5</x:v>
      </x:c>
      <x:c r="D322" s="28" t="str">
        <x:v>PEA-B-Y1</x:v>
      </x:c>
      <x:c r="E322" s="28" t="str">
        <x:v>RFP-B1</x:v>
      </x:c>
      <x:c r="F322" s="28" t="n">
        <x:v>4</x:v>
      </x:c>
      <x:c r="G322" s="28" t="str">
        <x:v>casualty-source route</x:v>
      </x:c>
      <x:c r="H322" s="28" t="str">
        <x:v>CONFORMS</x:v>
      </x:c>
      <x:c r="I322" s="31" t="str"/>
      <x:c r="J322" s="31" t="str"/>
      <x:c r="K322" s="31" t="str"/>
      <x:c r="L322" s="28" t="str">
        <x:f>IF(K322="","OPEN",IF(OR(I322="",J322=""),"FAIL",IF(I322=H322,"PASS","FAIL")))</x:f>
        <x:v>OPEN</x:v>
      </x:c>
    </x:row>
    <x:row r="323">
      <x:c r="B323" s="28" t="str">
        <x:v>IF-ROT-PEA-B-Y1-5-05</x:v>
      </x:c>
      <x:c r="C323" s="28" t="str">
        <x:v>ROT-PEA-B-Y1-5</x:v>
      </x:c>
      <x:c r="D323" s="28" t="str">
        <x:v>PEA-B-Y1</x:v>
      </x:c>
      <x:c r="E323" s="28" t="str">
        <x:v>RFP-B1</x:v>
      </x:c>
      <x:c r="F323" s="28" t="n">
        <x:v>5</x:v>
      </x:c>
      <x:c r="G323" s="28" t="str">
        <x:v>water supply and return</x:v>
      </x:c>
      <x:c r="H323" s="28" t="str">
        <x:v>CONFORMS</x:v>
      </x:c>
      <x:c r="I323" s="31" t="str"/>
      <x:c r="J323" s="31" t="str"/>
      <x:c r="K323" s="31" t="str"/>
      <x:c r="L323" s="28" t="str">
        <x:f>IF(K323="","OPEN",IF(OR(I323="",J323=""),"FAIL",IF(I323=H323,"PASS","FAIL")))</x:f>
        <x:v>OPEN</x:v>
      </x:c>
    </x:row>
    <x:row r="324">
      <x:c r="B324" s="28" t="str">
        <x:v>IF-ROT-PEA-B-Y1-5-06</x:v>
      </x:c>
      <x:c r="C324" s="28" t="str">
        <x:v>ROT-PEA-B-Y1-5</x:v>
      </x:c>
      <x:c r="D324" s="28" t="str">
        <x:v>PEA-B-Y1</x:v>
      </x:c>
      <x:c r="E324" s="28" t="str">
        <x:v>RFP-B1</x:v>
      </x:c>
      <x:c r="F324" s="28" t="n">
        <x:v>6</x:v>
      </x:c>
      <x:c r="G324" s="28" t="str">
        <x:v>casualty-water route</x:v>
      </x:c>
      <x:c r="H324" s="28" t="str">
        <x:v>CONFORMS</x:v>
      </x:c>
      <x:c r="I324" s="31" t="str"/>
      <x:c r="J324" s="31" t="str"/>
      <x:c r="K324" s="31" t="str"/>
      <x:c r="L324" s="28" t="str">
        <x:f>IF(K324="","OPEN",IF(OR(I324="",J324=""),"FAIL",IF(I324=H324,"PASS","FAIL")))</x:f>
        <x:v>OPEN</x:v>
      </x:c>
    </x:row>
    <x:row r="325">
      <x:c r="B325" s="28" t="str">
        <x:v>IF-ROT-PEA-B-Y1-5-07</x:v>
      </x:c>
      <x:c r="C325" s="28" t="str">
        <x:v>ROT-PEA-B-Y1-5</x:v>
      </x:c>
      <x:c r="D325" s="28" t="str">
        <x:v>PEA-B-Y1</x:v>
      </x:c>
      <x:c r="E325" s="28" t="str">
        <x:v>RFP-B1</x:v>
      </x:c>
      <x:c r="F325" s="28" t="n">
        <x:v>7</x:v>
      </x:c>
      <x:c r="G325" s="28" t="str">
        <x:v>normal electrical power</x:v>
      </x:c>
      <x:c r="H325" s="28" t="str">
        <x:v>CONFORMS</x:v>
      </x:c>
      <x:c r="I325" s="31" t="str"/>
      <x:c r="J325" s="31" t="str"/>
      <x:c r="K325" s="31" t="str"/>
      <x:c r="L325" s="28" t="str">
        <x:f>IF(K325="","OPEN",IF(OR(I325="",J325=""),"FAIL",IF(I325=H325,"PASS","FAIL")))</x:f>
        <x:v>OPEN</x:v>
      </x:c>
    </x:row>
    <x:row r="326">
      <x:c r="B326" s="28" t="str">
        <x:v>IF-ROT-PEA-B-Y1-5-08</x:v>
      </x:c>
      <x:c r="C326" s="28" t="str">
        <x:v>ROT-PEA-B-Y1-5</x:v>
      </x:c>
      <x:c r="D326" s="28" t="str">
        <x:v>PEA-B-Y1</x:v>
      </x:c>
      <x:c r="E326" s="28" t="str">
        <x:v>RFP-B1</x:v>
      </x:c>
      <x:c r="F326" s="28" t="n">
        <x:v>8</x:v>
      </x:c>
      <x:c r="G326" s="28" t="str">
        <x:v>independent safety energy</x:v>
      </x:c>
      <x:c r="H326" s="28" t="str">
        <x:v>CONFORMS</x:v>
      </x:c>
      <x:c r="I326" s="31" t="str"/>
      <x:c r="J326" s="31" t="str"/>
      <x:c r="K326" s="31" t="str"/>
      <x:c r="L326" s="28" t="str">
        <x:f>IF(K326="","OPEN",IF(OR(I326="",J326=""),"FAIL",IF(I326=H326,"PASS","FAIL")))</x:f>
        <x:v>OPEN</x:v>
      </x:c>
    </x:row>
    <x:row r="327">
      <x:c r="B327" s="28" t="str">
        <x:v>IF-ROT-PEA-B-Y1-5-09</x:v>
      </x:c>
      <x:c r="C327" s="28" t="str">
        <x:v>ROT-PEA-B-Y1-5</x:v>
      </x:c>
      <x:c r="D327" s="28" t="str">
        <x:v>PEA-B-Y1</x:v>
      </x:c>
      <x:c r="E327" s="28" t="str">
        <x:v>RFP-B1</x:v>
      </x:c>
      <x:c r="F327" s="28" t="n">
        <x:v>9</x:v>
      </x:c>
      <x:c r="G327" s="28" t="str">
        <x:v>causal-time roots</x:v>
      </x:c>
      <x:c r="H327" s="28" t="str">
        <x:v>CONFORMS</x:v>
      </x:c>
      <x:c r="I327" s="31" t="str"/>
      <x:c r="J327" s="31" t="str"/>
      <x:c r="K327" s="31" t="str"/>
      <x:c r="L327" s="28" t="str">
        <x:f>IF(K327="","OPEN",IF(OR(I327="",J327=""),"FAIL",IF(I327=H327,"PASS","FAIL")))</x:f>
        <x:v>OPEN</x:v>
      </x:c>
    </x:row>
    <x:row r="328">
      <x:c r="B328" s="28" t="str">
        <x:v>IF-ROT-PEA-B-Y1-5-10</x:v>
      </x:c>
      <x:c r="C328" s="28" t="str">
        <x:v>ROT-PEA-B-Y1-5</x:v>
      </x:c>
      <x:c r="D328" s="28" t="str">
        <x:v>PEA-B-Y1</x:v>
      </x:c>
      <x:c r="E328" s="28" t="str">
        <x:v>RFP-B1</x:v>
      </x:c>
      <x:c r="F328" s="28" t="n">
        <x:v>10</x:v>
      </x:c>
      <x:c r="G328" s="28" t="str">
        <x:v>two evidence originals</x:v>
      </x:c>
      <x:c r="H328" s="28" t="str">
        <x:v>CONFORMS</x:v>
      </x:c>
      <x:c r="I328" s="31" t="str"/>
      <x:c r="J328" s="31" t="str"/>
      <x:c r="K328" s="31" t="str"/>
      <x:c r="L328" s="28" t="str">
        <x:f>IF(K328="","OPEN",IF(OR(I328="",J328=""),"FAIL",IF(I328=H328,"PASS","FAIL")))</x:f>
        <x:v>OPEN</x:v>
      </x:c>
    </x:row>
    <x:row r="329">
      <x:c r="B329" s="28" t="str">
        <x:v>IF-ROT-PEA-B-Y1-5-11</x:v>
      </x:c>
      <x:c r="C329" s="28" t="str">
        <x:v>ROT-PEA-B-Y1-5</x:v>
      </x:c>
      <x:c r="D329" s="28" t="str">
        <x:v>PEA-B-Y1</x:v>
      </x:c>
      <x:c r="E329" s="28" t="str">
        <x:v>RFP-B1</x:v>
      </x:c>
      <x:c r="F329" s="28" t="n">
        <x:v>11</x:v>
      </x:c>
      <x:c r="G329" s="28" t="str">
        <x:v>safeing command and final state</x:v>
      </x:c>
      <x:c r="H329" s="28" t="str">
        <x:v>CONFORMS</x:v>
      </x:c>
      <x:c r="I329" s="31" t="str"/>
      <x:c r="J329" s="31" t="str"/>
      <x:c r="K329" s="31" t="str"/>
      <x:c r="L329" s="28" t="str">
        <x:f>IF(K329="","OPEN",IF(OR(I329="",J329=""),"FAIL",IF(I329=H329,"PASS","FAIL")))</x:f>
        <x:v>OPEN</x:v>
      </x:c>
    </x:row>
    <x:row r="330">
      <x:c r="B330" s="28" t="str">
        <x:v>IF-ROT-PEA-B-Y1-5-12</x:v>
      </x:c>
      <x:c r="C330" s="28" t="str">
        <x:v>ROT-PEA-B-Y1-5</x:v>
      </x:c>
      <x:c r="D330" s="28" t="str">
        <x:v>PEA-B-Y1</x:v>
      </x:c>
      <x:c r="E330" s="28" t="str">
        <x:v>RFP-B1</x:v>
      </x:c>
      <x:c r="F330" s="28" t="n">
        <x:v>12</x:v>
      </x:c>
      <x:c r="G330" s="28" t="str">
        <x:v>rescue access</x:v>
      </x:c>
      <x:c r="H330" s="28" t="str">
        <x:v>CONFORMS</x:v>
      </x:c>
      <x:c r="I330" s="31" t="str"/>
      <x:c r="J330" s="31" t="str"/>
      <x:c r="K330" s="31" t="str"/>
      <x:c r="L330" s="28" t="str">
        <x:f>IF(K330="","OPEN",IF(OR(I330="",J330=""),"FAIL",IF(I330=H330,"PASS","FAIL")))</x:f>
        <x:v>OPEN</x:v>
      </x:c>
    </x:row>
    <x:row r="331">
      <x:c r="B331" s="28" t="str">
        <x:v>IF-ROT-PEA-C-X1-5-01</x:v>
      </x:c>
      <x:c r="C331" s="28" t="str">
        <x:v>ROT-PEA-C-X1-5</x:v>
      </x:c>
      <x:c r="D331" s="28" t="str">
        <x:v>PEA-C-X1</x:v>
      </x:c>
      <x:c r="E331" s="28" t="str">
        <x:v>RFP-B2</x:v>
      </x:c>
      <x:c r="F331" s="28" t="n">
        <x:v>1</x:v>
      </x:c>
      <x:c r="G331" s="28" t="str">
        <x:v>public datum and load path</x:v>
      </x:c>
      <x:c r="H331" s="28" t="str">
        <x:v>CONFORMS</x:v>
      </x:c>
      <x:c r="I331" s="31" t="str"/>
      <x:c r="J331" s="31" t="str"/>
      <x:c r="K331" s="31" t="str"/>
      <x:c r="L331" s="28" t="str">
        <x:f>IF(K331="","OPEN",IF(OR(I331="",J331=""),"FAIL",IF(I331=H331,"PASS","FAIL")))</x:f>
        <x:v>OPEN</x:v>
      </x:c>
    </x:row>
    <x:row r="332">
      <x:c r="B332" s="28" t="str">
        <x:v>IF-ROT-PEA-C-X1-5-02</x:v>
      </x:c>
      <x:c r="C332" s="28" t="str">
        <x:v>ROT-PEA-C-X1-5</x:v>
      </x:c>
      <x:c r="D332" s="28" t="str">
        <x:v>PEA-C-X1</x:v>
      </x:c>
      <x:c r="E332" s="28" t="str">
        <x:v>RFP-B2</x:v>
      </x:c>
      <x:c r="F332" s="28" t="n">
        <x:v>2</x:v>
      </x:c>
      <x:c r="G332" s="28" t="str">
        <x:v>source-origin boundary</x:v>
      </x:c>
      <x:c r="H332" s="28" t="str">
        <x:v>CONFORMS</x:v>
      </x:c>
      <x:c r="I332" s="31" t="str"/>
      <x:c r="J332" s="31" t="str"/>
      <x:c r="K332" s="31" t="str"/>
      <x:c r="L332" s="28" t="str">
        <x:f>IF(K332="","OPEN",IF(OR(I332="",J332=""),"FAIL",IF(I332=H332,"PASS","FAIL")))</x:f>
        <x:v>OPEN</x:v>
      </x:c>
    </x:row>
    <x:row r="333">
      <x:c r="B333" s="28" t="str">
        <x:v>IF-ROT-PEA-C-X1-5-03</x:v>
      </x:c>
      <x:c r="C333" s="28" t="str">
        <x:v>ROT-PEA-C-X1-5</x:v>
      </x:c>
      <x:c r="D333" s="28" t="str">
        <x:v>PEA-C-X1</x:v>
      </x:c>
      <x:c r="E333" s="28" t="str">
        <x:v>RFP-B2</x:v>
      </x:c>
      <x:c r="F333" s="28" t="n">
        <x:v>3</x:v>
      </x:c>
      <x:c r="G333" s="28" t="str">
        <x:v>normal route</x:v>
      </x:c>
      <x:c r="H333" s="28" t="str">
        <x:v>CONFORMS</x:v>
      </x:c>
      <x:c r="I333" s="31" t="str"/>
      <x:c r="J333" s="31" t="str"/>
      <x:c r="K333" s="31" t="str"/>
      <x:c r="L333" s="28" t="str">
        <x:f>IF(K333="","OPEN",IF(OR(I333="",J333=""),"FAIL",IF(I333=H333,"PASS","FAIL")))</x:f>
        <x:v>OPEN</x:v>
      </x:c>
    </x:row>
    <x:row r="334">
      <x:c r="B334" s="28" t="str">
        <x:v>IF-ROT-PEA-C-X1-5-04</x:v>
      </x:c>
      <x:c r="C334" s="28" t="str">
        <x:v>ROT-PEA-C-X1-5</x:v>
      </x:c>
      <x:c r="D334" s="28" t="str">
        <x:v>PEA-C-X1</x:v>
      </x:c>
      <x:c r="E334" s="28" t="str">
        <x:v>RFP-B2</x:v>
      </x:c>
      <x:c r="F334" s="28" t="n">
        <x:v>4</x:v>
      </x:c>
      <x:c r="G334" s="28" t="str">
        <x:v>casualty-source route</x:v>
      </x:c>
      <x:c r="H334" s="28" t="str">
        <x:v>CONFORMS</x:v>
      </x:c>
      <x:c r="I334" s="31" t="str"/>
      <x:c r="J334" s="31" t="str"/>
      <x:c r="K334" s="31" t="str"/>
      <x:c r="L334" s="28" t="str">
        <x:f>IF(K334="","OPEN",IF(OR(I334="",J334=""),"FAIL",IF(I334=H334,"PASS","FAIL")))</x:f>
        <x:v>OPEN</x:v>
      </x:c>
    </x:row>
    <x:row r="335">
      <x:c r="B335" s="28" t="str">
        <x:v>IF-ROT-PEA-C-X1-5-05</x:v>
      </x:c>
      <x:c r="C335" s="28" t="str">
        <x:v>ROT-PEA-C-X1-5</x:v>
      </x:c>
      <x:c r="D335" s="28" t="str">
        <x:v>PEA-C-X1</x:v>
      </x:c>
      <x:c r="E335" s="28" t="str">
        <x:v>RFP-B2</x:v>
      </x:c>
      <x:c r="F335" s="28" t="n">
        <x:v>5</x:v>
      </x:c>
      <x:c r="G335" s="28" t="str">
        <x:v>water supply and return</x:v>
      </x:c>
      <x:c r="H335" s="28" t="str">
        <x:v>CONFORMS</x:v>
      </x:c>
      <x:c r="I335" s="31" t="str"/>
      <x:c r="J335" s="31" t="str"/>
      <x:c r="K335" s="31" t="str"/>
      <x:c r="L335" s="28" t="str">
        <x:f>IF(K335="","OPEN",IF(OR(I335="",J335=""),"FAIL",IF(I335=H335,"PASS","FAIL")))</x:f>
        <x:v>OPEN</x:v>
      </x:c>
    </x:row>
    <x:row r="336">
      <x:c r="B336" s="28" t="str">
        <x:v>IF-ROT-PEA-C-X1-5-06</x:v>
      </x:c>
      <x:c r="C336" s="28" t="str">
        <x:v>ROT-PEA-C-X1-5</x:v>
      </x:c>
      <x:c r="D336" s="28" t="str">
        <x:v>PEA-C-X1</x:v>
      </x:c>
      <x:c r="E336" s="28" t="str">
        <x:v>RFP-B2</x:v>
      </x:c>
      <x:c r="F336" s="28" t="n">
        <x:v>6</x:v>
      </x:c>
      <x:c r="G336" s="28" t="str">
        <x:v>casualty-water route</x:v>
      </x:c>
      <x:c r="H336" s="28" t="str">
        <x:v>CONFORMS</x:v>
      </x:c>
      <x:c r="I336" s="31" t="str"/>
      <x:c r="J336" s="31" t="str"/>
      <x:c r="K336" s="31" t="str"/>
      <x:c r="L336" s="28" t="str">
        <x:f>IF(K336="","OPEN",IF(OR(I336="",J336=""),"FAIL",IF(I336=H336,"PASS","FAIL")))</x:f>
        <x:v>OPEN</x:v>
      </x:c>
    </x:row>
    <x:row r="337">
      <x:c r="B337" s="28" t="str">
        <x:v>IF-ROT-PEA-C-X1-5-07</x:v>
      </x:c>
      <x:c r="C337" s="28" t="str">
        <x:v>ROT-PEA-C-X1-5</x:v>
      </x:c>
      <x:c r="D337" s="28" t="str">
        <x:v>PEA-C-X1</x:v>
      </x:c>
      <x:c r="E337" s="28" t="str">
        <x:v>RFP-B2</x:v>
      </x:c>
      <x:c r="F337" s="28" t="n">
        <x:v>7</x:v>
      </x:c>
      <x:c r="G337" s="28" t="str">
        <x:v>normal electrical power</x:v>
      </x:c>
      <x:c r="H337" s="28" t="str">
        <x:v>CONFORMS</x:v>
      </x:c>
      <x:c r="I337" s="31" t="str"/>
      <x:c r="J337" s="31" t="str"/>
      <x:c r="K337" s="31" t="str"/>
      <x:c r="L337" s="28" t="str">
        <x:f>IF(K337="","OPEN",IF(OR(I337="",J337=""),"FAIL",IF(I337=H337,"PASS","FAIL")))</x:f>
        <x:v>OPEN</x:v>
      </x:c>
    </x:row>
    <x:row r="338">
      <x:c r="B338" s="28" t="str">
        <x:v>IF-ROT-PEA-C-X1-5-08</x:v>
      </x:c>
      <x:c r="C338" s="28" t="str">
        <x:v>ROT-PEA-C-X1-5</x:v>
      </x:c>
      <x:c r="D338" s="28" t="str">
        <x:v>PEA-C-X1</x:v>
      </x:c>
      <x:c r="E338" s="28" t="str">
        <x:v>RFP-B2</x:v>
      </x:c>
      <x:c r="F338" s="28" t="n">
        <x:v>8</x:v>
      </x:c>
      <x:c r="G338" s="28" t="str">
        <x:v>independent safety energy</x:v>
      </x:c>
      <x:c r="H338" s="28" t="str">
        <x:v>CONFORMS</x:v>
      </x:c>
      <x:c r="I338" s="31" t="str"/>
      <x:c r="J338" s="31" t="str"/>
      <x:c r="K338" s="31" t="str"/>
      <x:c r="L338" s="28" t="str">
        <x:f>IF(K338="","OPEN",IF(OR(I338="",J338=""),"FAIL",IF(I338=H338,"PASS","FAIL")))</x:f>
        <x:v>OPEN</x:v>
      </x:c>
    </x:row>
    <x:row r="339">
      <x:c r="B339" s="28" t="str">
        <x:v>IF-ROT-PEA-C-X1-5-09</x:v>
      </x:c>
      <x:c r="C339" s="28" t="str">
        <x:v>ROT-PEA-C-X1-5</x:v>
      </x:c>
      <x:c r="D339" s="28" t="str">
        <x:v>PEA-C-X1</x:v>
      </x:c>
      <x:c r="E339" s="28" t="str">
        <x:v>RFP-B2</x:v>
      </x:c>
      <x:c r="F339" s="28" t="n">
        <x:v>9</x:v>
      </x:c>
      <x:c r="G339" s="28" t="str">
        <x:v>causal-time roots</x:v>
      </x:c>
      <x:c r="H339" s="28" t="str">
        <x:v>CONFORMS</x:v>
      </x:c>
      <x:c r="I339" s="31" t="str"/>
      <x:c r="J339" s="31" t="str"/>
      <x:c r="K339" s="31" t="str"/>
      <x:c r="L339" s="28" t="str">
        <x:f>IF(K339="","OPEN",IF(OR(I339="",J339=""),"FAIL",IF(I339=H339,"PASS","FAIL")))</x:f>
        <x:v>OPEN</x:v>
      </x:c>
    </x:row>
    <x:row r="340">
      <x:c r="B340" s="28" t="str">
        <x:v>IF-ROT-PEA-C-X1-5-10</x:v>
      </x:c>
      <x:c r="C340" s="28" t="str">
        <x:v>ROT-PEA-C-X1-5</x:v>
      </x:c>
      <x:c r="D340" s="28" t="str">
        <x:v>PEA-C-X1</x:v>
      </x:c>
      <x:c r="E340" s="28" t="str">
        <x:v>RFP-B2</x:v>
      </x:c>
      <x:c r="F340" s="28" t="n">
        <x:v>10</x:v>
      </x:c>
      <x:c r="G340" s="28" t="str">
        <x:v>two evidence originals</x:v>
      </x:c>
      <x:c r="H340" s="28" t="str">
        <x:v>CONFORMS</x:v>
      </x:c>
      <x:c r="I340" s="31" t="str"/>
      <x:c r="J340" s="31" t="str"/>
      <x:c r="K340" s="31" t="str"/>
      <x:c r="L340" s="28" t="str">
        <x:f>IF(K340="","OPEN",IF(OR(I340="",J340=""),"FAIL",IF(I340=H340,"PASS","FAIL")))</x:f>
        <x:v>OPEN</x:v>
      </x:c>
    </x:row>
    <x:row r="341">
      <x:c r="B341" s="28" t="str">
        <x:v>IF-ROT-PEA-C-X1-5-11</x:v>
      </x:c>
      <x:c r="C341" s="28" t="str">
        <x:v>ROT-PEA-C-X1-5</x:v>
      </x:c>
      <x:c r="D341" s="28" t="str">
        <x:v>PEA-C-X1</x:v>
      </x:c>
      <x:c r="E341" s="28" t="str">
        <x:v>RFP-B2</x:v>
      </x:c>
      <x:c r="F341" s="28" t="n">
        <x:v>11</x:v>
      </x:c>
      <x:c r="G341" s="28" t="str">
        <x:v>safeing command and final state</x:v>
      </x:c>
      <x:c r="H341" s="28" t="str">
        <x:v>CONFORMS</x:v>
      </x:c>
      <x:c r="I341" s="31" t="str"/>
      <x:c r="J341" s="31" t="str"/>
      <x:c r="K341" s="31" t="str"/>
      <x:c r="L341" s="28" t="str">
        <x:f>IF(K341="","OPEN",IF(OR(I341="",J341=""),"FAIL",IF(I341=H341,"PASS","FAIL")))</x:f>
        <x:v>OPEN</x:v>
      </x:c>
    </x:row>
    <x:row r="342">
      <x:c r="B342" s="28" t="str">
        <x:v>IF-ROT-PEA-C-X1-5-12</x:v>
      </x:c>
      <x:c r="C342" s="28" t="str">
        <x:v>ROT-PEA-C-X1-5</x:v>
      </x:c>
      <x:c r="D342" s="28" t="str">
        <x:v>PEA-C-X1</x:v>
      </x:c>
      <x:c r="E342" s="28" t="str">
        <x:v>RFP-B2</x:v>
      </x:c>
      <x:c r="F342" s="28" t="n">
        <x:v>12</x:v>
      </x:c>
      <x:c r="G342" s="28" t="str">
        <x:v>rescue access</x:v>
      </x:c>
      <x:c r="H342" s="28" t="str">
        <x:v>CONFORMS</x:v>
      </x:c>
      <x:c r="I342" s="31" t="str"/>
      <x:c r="J342" s="31" t="str"/>
      <x:c r="K342" s="31" t="str"/>
      <x:c r="L342" s="28" t="str">
        <x:f>IF(K342="","OPEN",IF(OR(I342="",J342=""),"FAIL",IF(I342=H342,"PASS","FAIL")))</x:f>
        <x:v>OPEN</x:v>
      </x:c>
    </x:row>
    <x:row r="343">
      <x:c r="B343" s="28" t="str">
        <x:v>IF-ROT-PEA-C-Y1-5-01</x:v>
      </x:c>
      <x:c r="C343" s="28" t="str">
        <x:v>ROT-PEA-C-Y1-5</x:v>
      </x:c>
      <x:c r="D343" s="28" t="str">
        <x:v>PEA-C-Y1</x:v>
      </x:c>
      <x:c r="E343" s="28" t="str">
        <x:v>RFP-C1</x:v>
      </x:c>
      <x:c r="F343" s="28" t="n">
        <x:v>1</x:v>
      </x:c>
      <x:c r="G343" s="28" t="str">
        <x:v>public datum and load path</x:v>
      </x:c>
      <x:c r="H343" s="28" t="str">
        <x:v>CONFORMS</x:v>
      </x:c>
      <x:c r="I343" s="31" t="str"/>
      <x:c r="J343" s="31" t="str"/>
      <x:c r="K343" s="31" t="str"/>
      <x:c r="L343" s="28" t="str">
        <x:f>IF(K343="","OPEN",IF(OR(I343="",J343=""),"FAIL",IF(I343=H343,"PASS","FAIL")))</x:f>
        <x:v>OPEN</x:v>
      </x:c>
    </x:row>
    <x:row r="344">
      <x:c r="B344" s="28" t="str">
        <x:v>IF-ROT-PEA-C-Y1-5-02</x:v>
      </x:c>
      <x:c r="C344" s="28" t="str">
        <x:v>ROT-PEA-C-Y1-5</x:v>
      </x:c>
      <x:c r="D344" s="28" t="str">
        <x:v>PEA-C-Y1</x:v>
      </x:c>
      <x:c r="E344" s="28" t="str">
        <x:v>RFP-C1</x:v>
      </x:c>
      <x:c r="F344" s="28" t="n">
        <x:v>2</x:v>
      </x:c>
      <x:c r="G344" s="28" t="str">
        <x:v>source-origin boundary</x:v>
      </x:c>
      <x:c r="H344" s="28" t="str">
        <x:v>CONFORMS</x:v>
      </x:c>
      <x:c r="I344" s="31" t="str"/>
      <x:c r="J344" s="31" t="str"/>
      <x:c r="K344" s="31" t="str"/>
      <x:c r="L344" s="28" t="str">
        <x:f>IF(K344="","OPEN",IF(OR(I344="",J344=""),"FAIL",IF(I344=H344,"PASS","FAIL")))</x:f>
        <x:v>OPEN</x:v>
      </x:c>
    </x:row>
    <x:row r="345">
      <x:c r="B345" s="28" t="str">
        <x:v>IF-ROT-PEA-C-Y1-5-03</x:v>
      </x:c>
      <x:c r="C345" s="28" t="str">
        <x:v>ROT-PEA-C-Y1-5</x:v>
      </x:c>
      <x:c r="D345" s="28" t="str">
        <x:v>PEA-C-Y1</x:v>
      </x:c>
      <x:c r="E345" s="28" t="str">
        <x:v>RFP-C1</x:v>
      </x:c>
      <x:c r="F345" s="28" t="n">
        <x:v>3</x:v>
      </x:c>
      <x:c r="G345" s="28" t="str">
        <x:v>normal route</x:v>
      </x:c>
      <x:c r="H345" s="28" t="str">
        <x:v>CONFORMS</x:v>
      </x:c>
      <x:c r="I345" s="31" t="str"/>
      <x:c r="J345" s="31" t="str"/>
      <x:c r="K345" s="31" t="str"/>
      <x:c r="L345" s="28" t="str">
        <x:f>IF(K345="","OPEN",IF(OR(I345="",J345=""),"FAIL",IF(I345=H345,"PASS","FAIL")))</x:f>
        <x:v>OPEN</x:v>
      </x:c>
    </x:row>
    <x:row r="346">
      <x:c r="B346" s="28" t="str">
        <x:v>IF-ROT-PEA-C-Y1-5-04</x:v>
      </x:c>
      <x:c r="C346" s="28" t="str">
        <x:v>ROT-PEA-C-Y1-5</x:v>
      </x:c>
      <x:c r="D346" s="28" t="str">
        <x:v>PEA-C-Y1</x:v>
      </x:c>
      <x:c r="E346" s="28" t="str">
        <x:v>RFP-C1</x:v>
      </x:c>
      <x:c r="F346" s="28" t="n">
        <x:v>4</x:v>
      </x:c>
      <x:c r="G346" s="28" t="str">
        <x:v>casualty-source route</x:v>
      </x:c>
      <x:c r="H346" s="28" t="str">
        <x:v>CONFORMS</x:v>
      </x:c>
      <x:c r="I346" s="31" t="str"/>
      <x:c r="J346" s="31" t="str"/>
      <x:c r="K346" s="31" t="str"/>
      <x:c r="L346" s="28" t="str">
        <x:f>IF(K346="","OPEN",IF(OR(I346="",J346=""),"FAIL",IF(I346=H346,"PASS","FAIL")))</x:f>
        <x:v>OPEN</x:v>
      </x:c>
    </x:row>
    <x:row r="347">
      <x:c r="B347" s="28" t="str">
        <x:v>IF-ROT-PEA-C-Y1-5-05</x:v>
      </x:c>
      <x:c r="C347" s="28" t="str">
        <x:v>ROT-PEA-C-Y1-5</x:v>
      </x:c>
      <x:c r="D347" s="28" t="str">
        <x:v>PEA-C-Y1</x:v>
      </x:c>
      <x:c r="E347" s="28" t="str">
        <x:v>RFP-C1</x:v>
      </x:c>
      <x:c r="F347" s="28" t="n">
        <x:v>5</x:v>
      </x:c>
      <x:c r="G347" s="28" t="str">
        <x:v>water supply and return</x:v>
      </x:c>
      <x:c r="H347" s="28" t="str">
        <x:v>CONFORMS</x:v>
      </x:c>
      <x:c r="I347" s="31" t="str"/>
      <x:c r="J347" s="31" t="str"/>
      <x:c r="K347" s="31" t="str"/>
      <x:c r="L347" s="28" t="str">
        <x:f>IF(K347="","OPEN",IF(OR(I347="",J347=""),"FAIL",IF(I347=H347,"PASS","FAIL")))</x:f>
        <x:v>OPEN</x:v>
      </x:c>
    </x:row>
    <x:row r="348">
      <x:c r="B348" s="28" t="str">
        <x:v>IF-ROT-PEA-C-Y1-5-06</x:v>
      </x:c>
      <x:c r="C348" s="28" t="str">
        <x:v>ROT-PEA-C-Y1-5</x:v>
      </x:c>
      <x:c r="D348" s="28" t="str">
        <x:v>PEA-C-Y1</x:v>
      </x:c>
      <x:c r="E348" s="28" t="str">
        <x:v>RFP-C1</x:v>
      </x:c>
      <x:c r="F348" s="28" t="n">
        <x:v>6</x:v>
      </x:c>
      <x:c r="G348" s="28" t="str">
        <x:v>casualty-water route</x:v>
      </x:c>
      <x:c r="H348" s="28" t="str">
        <x:v>CONFORMS</x:v>
      </x:c>
      <x:c r="I348" s="31" t="str"/>
      <x:c r="J348" s="31" t="str"/>
      <x:c r="K348" s="31" t="str"/>
      <x:c r="L348" s="28" t="str">
        <x:f>IF(K348="","OPEN",IF(OR(I348="",J348=""),"FAIL",IF(I348=H348,"PASS","FAIL")))</x:f>
        <x:v>OPEN</x:v>
      </x:c>
    </x:row>
    <x:row r="349">
      <x:c r="B349" s="28" t="str">
        <x:v>IF-ROT-PEA-C-Y1-5-07</x:v>
      </x:c>
      <x:c r="C349" s="28" t="str">
        <x:v>ROT-PEA-C-Y1-5</x:v>
      </x:c>
      <x:c r="D349" s="28" t="str">
        <x:v>PEA-C-Y1</x:v>
      </x:c>
      <x:c r="E349" s="28" t="str">
        <x:v>RFP-C1</x:v>
      </x:c>
      <x:c r="F349" s="28" t="n">
        <x:v>7</x:v>
      </x:c>
      <x:c r="G349" s="28" t="str">
        <x:v>normal electrical power</x:v>
      </x:c>
      <x:c r="H349" s="28" t="str">
        <x:v>CONFORMS</x:v>
      </x:c>
      <x:c r="I349" s="31" t="str"/>
      <x:c r="J349" s="31" t="str"/>
      <x:c r="K349" s="31" t="str"/>
      <x:c r="L349" s="28" t="str">
        <x:f>IF(K349="","OPEN",IF(OR(I349="",J349=""),"FAIL",IF(I349=H349,"PASS","FAIL")))</x:f>
        <x:v>OPEN</x:v>
      </x:c>
    </x:row>
    <x:row r="350">
      <x:c r="B350" s="28" t="str">
        <x:v>IF-ROT-PEA-C-Y1-5-08</x:v>
      </x:c>
      <x:c r="C350" s="28" t="str">
        <x:v>ROT-PEA-C-Y1-5</x:v>
      </x:c>
      <x:c r="D350" s="28" t="str">
        <x:v>PEA-C-Y1</x:v>
      </x:c>
      <x:c r="E350" s="28" t="str">
        <x:v>RFP-C1</x:v>
      </x:c>
      <x:c r="F350" s="28" t="n">
        <x:v>8</x:v>
      </x:c>
      <x:c r="G350" s="28" t="str">
        <x:v>independent safety energy</x:v>
      </x:c>
      <x:c r="H350" s="28" t="str">
        <x:v>CONFORMS</x:v>
      </x:c>
      <x:c r="I350" s="31" t="str"/>
      <x:c r="J350" s="31" t="str"/>
      <x:c r="K350" s="31" t="str"/>
      <x:c r="L350" s="28" t="str">
        <x:f>IF(K350="","OPEN",IF(OR(I350="",J350=""),"FAIL",IF(I350=H350,"PASS","FAIL")))</x:f>
        <x:v>OPEN</x:v>
      </x:c>
    </x:row>
    <x:row r="351">
      <x:c r="B351" s="28" t="str">
        <x:v>IF-ROT-PEA-C-Y1-5-09</x:v>
      </x:c>
      <x:c r="C351" s="28" t="str">
        <x:v>ROT-PEA-C-Y1-5</x:v>
      </x:c>
      <x:c r="D351" s="28" t="str">
        <x:v>PEA-C-Y1</x:v>
      </x:c>
      <x:c r="E351" s="28" t="str">
        <x:v>RFP-C1</x:v>
      </x:c>
      <x:c r="F351" s="28" t="n">
        <x:v>9</x:v>
      </x:c>
      <x:c r="G351" s="28" t="str">
        <x:v>causal-time roots</x:v>
      </x:c>
      <x:c r="H351" s="28" t="str">
        <x:v>CONFORMS</x:v>
      </x:c>
      <x:c r="I351" s="31" t="str"/>
      <x:c r="J351" s="31" t="str"/>
      <x:c r="K351" s="31" t="str"/>
      <x:c r="L351" s="28" t="str">
        <x:f>IF(K351="","OPEN",IF(OR(I351="",J351=""),"FAIL",IF(I351=H351,"PASS","FAIL")))</x:f>
        <x:v>OPEN</x:v>
      </x:c>
    </x:row>
    <x:row r="352">
      <x:c r="B352" s="28" t="str">
        <x:v>IF-ROT-PEA-C-Y1-5-10</x:v>
      </x:c>
      <x:c r="C352" s="28" t="str">
        <x:v>ROT-PEA-C-Y1-5</x:v>
      </x:c>
      <x:c r="D352" s="28" t="str">
        <x:v>PEA-C-Y1</x:v>
      </x:c>
      <x:c r="E352" s="28" t="str">
        <x:v>RFP-C1</x:v>
      </x:c>
      <x:c r="F352" s="28" t="n">
        <x:v>10</x:v>
      </x:c>
      <x:c r="G352" s="28" t="str">
        <x:v>two evidence originals</x:v>
      </x:c>
      <x:c r="H352" s="28" t="str">
        <x:v>CONFORMS</x:v>
      </x:c>
      <x:c r="I352" s="31" t="str"/>
      <x:c r="J352" s="31" t="str"/>
      <x:c r="K352" s="31" t="str"/>
      <x:c r="L352" s="28" t="str">
        <x:f>IF(K352="","OPEN",IF(OR(I352="",J352=""),"FAIL",IF(I352=H352,"PASS","FAIL")))</x:f>
        <x:v>OPEN</x:v>
      </x:c>
    </x:row>
    <x:row r="353">
      <x:c r="B353" s="28" t="str">
        <x:v>IF-ROT-PEA-C-Y1-5-11</x:v>
      </x:c>
      <x:c r="C353" s="28" t="str">
        <x:v>ROT-PEA-C-Y1-5</x:v>
      </x:c>
      <x:c r="D353" s="28" t="str">
        <x:v>PEA-C-Y1</x:v>
      </x:c>
      <x:c r="E353" s="28" t="str">
        <x:v>RFP-C1</x:v>
      </x:c>
      <x:c r="F353" s="28" t="n">
        <x:v>11</x:v>
      </x:c>
      <x:c r="G353" s="28" t="str">
        <x:v>safeing command and final state</x:v>
      </x:c>
      <x:c r="H353" s="28" t="str">
        <x:v>CONFORMS</x:v>
      </x:c>
      <x:c r="I353" s="31" t="str"/>
      <x:c r="J353" s="31" t="str"/>
      <x:c r="K353" s="31" t="str"/>
      <x:c r="L353" s="28" t="str">
        <x:f>IF(K353="","OPEN",IF(OR(I353="",J353=""),"FAIL",IF(I353=H353,"PASS","FAIL")))</x:f>
        <x:v>OPEN</x:v>
      </x:c>
    </x:row>
    <x:row r="354">
      <x:c r="B354" s="28" t="str">
        <x:v>IF-ROT-PEA-C-Y1-5-12</x:v>
      </x:c>
      <x:c r="C354" s="28" t="str">
        <x:v>ROT-PEA-C-Y1-5</x:v>
      </x:c>
      <x:c r="D354" s="28" t="str">
        <x:v>PEA-C-Y1</x:v>
      </x:c>
      <x:c r="E354" s="28" t="str">
        <x:v>RFP-C1</x:v>
      </x:c>
      <x:c r="F354" s="28" t="n">
        <x:v>12</x:v>
      </x:c>
      <x:c r="G354" s="28" t="str">
        <x:v>rescue access</x:v>
      </x:c>
      <x:c r="H354" s="28" t="str">
        <x:v>CONFORMS</x:v>
      </x:c>
      <x:c r="I354" s="31" t="str"/>
      <x:c r="J354" s="31" t="str"/>
      <x:c r="K354" s="31" t="str"/>
      <x:c r="L354" s="28" t="str">
        <x:f>IF(K354="","OPEN",IF(OR(I354="",J354=""),"FAIL",IF(I354=H354,"PASS","FAIL")))</x:f>
        <x:v>OPEN</x:v>
      </x:c>
    </x:row>
    <x:row r="355">
      <x:c r="B355" s="28" t="str">
        <x:v>IF-ROT-PEA-A-X1-5-01</x:v>
      </x:c>
      <x:c r="C355" s="28" t="str">
        <x:v>ROT-PEA-A-X1-5</x:v>
      </x:c>
      <x:c r="D355" s="28" t="str">
        <x:v>PEA-A-X1</x:v>
      </x:c>
      <x:c r="E355" s="28" t="str">
        <x:v>RFP-C2</x:v>
      </x:c>
      <x:c r="F355" s="28" t="n">
        <x:v>1</x:v>
      </x:c>
      <x:c r="G355" s="28" t="str">
        <x:v>public datum and load path</x:v>
      </x:c>
      <x:c r="H355" s="28" t="str">
        <x:v>CONFORMS</x:v>
      </x:c>
      <x:c r="I355" s="31" t="str"/>
      <x:c r="J355" s="31" t="str"/>
      <x:c r="K355" s="31" t="str"/>
      <x:c r="L355" s="28" t="str">
        <x:f>IF(K355="","OPEN",IF(OR(I355="",J355=""),"FAIL",IF(I355=H355,"PASS","FAIL")))</x:f>
        <x:v>OPEN</x:v>
      </x:c>
    </x:row>
    <x:row r="356">
      <x:c r="B356" s="28" t="str">
        <x:v>IF-ROT-PEA-A-X1-5-02</x:v>
      </x:c>
      <x:c r="C356" s="28" t="str">
        <x:v>ROT-PEA-A-X1-5</x:v>
      </x:c>
      <x:c r="D356" s="28" t="str">
        <x:v>PEA-A-X1</x:v>
      </x:c>
      <x:c r="E356" s="28" t="str">
        <x:v>RFP-C2</x:v>
      </x:c>
      <x:c r="F356" s="28" t="n">
        <x:v>2</x:v>
      </x:c>
      <x:c r="G356" s="28" t="str">
        <x:v>source-origin boundary</x:v>
      </x:c>
      <x:c r="H356" s="28" t="str">
        <x:v>CONFORMS</x:v>
      </x:c>
      <x:c r="I356" s="31" t="str"/>
      <x:c r="J356" s="31" t="str"/>
      <x:c r="K356" s="31" t="str"/>
      <x:c r="L356" s="28" t="str">
        <x:f>IF(K356="","OPEN",IF(OR(I356="",J356=""),"FAIL",IF(I356=H356,"PASS","FAIL")))</x:f>
        <x:v>OPEN</x:v>
      </x:c>
    </x:row>
    <x:row r="357">
      <x:c r="B357" s="28" t="str">
        <x:v>IF-ROT-PEA-A-X1-5-03</x:v>
      </x:c>
      <x:c r="C357" s="28" t="str">
        <x:v>ROT-PEA-A-X1-5</x:v>
      </x:c>
      <x:c r="D357" s="28" t="str">
        <x:v>PEA-A-X1</x:v>
      </x:c>
      <x:c r="E357" s="28" t="str">
        <x:v>RFP-C2</x:v>
      </x:c>
      <x:c r="F357" s="28" t="n">
        <x:v>3</x:v>
      </x:c>
      <x:c r="G357" s="28" t="str">
        <x:v>normal route</x:v>
      </x:c>
      <x:c r="H357" s="28" t="str">
        <x:v>CONFORMS</x:v>
      </x:c>
      <x:c r="I357" s="31" t="str"/>
      <x:c r="J357" s="31" t="str"/>
      <x:c r="K357" s="31" t="str"/>
      <x:c r="L357" s="28" t="str">
        <x:f>IF(K357="","OPEN",IF(OR(I357="",J357=""),"FAIL",IF(I357=H357,"PASS","FAIL")))</x:f>
        <x:v>OPEN</x:v>
      </x:c>
    </x:row>
    <x:row r="358">
      <x:c r="B358" s="28" t="str">
        <x:v>IF-ROT-PEA-A-X1-5-04</x:v>
      </x:c>
      <x:c r="C358" s="28" t="str">
        <x:v>ROT-PEA-A-X1-5</x:v>
      </x:c>
      <x:c r="D358" s="28" t="str">
        <x:v>PEA-A-X1</x:v>
      </x:c>
      <x:c r="E358" s="28" t="str">
        <x:v>RFP-C2</x:v>
      </x:c>
      <x:c r="F358" s="28" t="n">
        <x:v>4</x:v>
      </x:c>
      <x:c r="G358" s="28" t="str">
        <x:v>casualty-source route</x:v>
      </x:c>
      <x:c r="H358" s="28" t="str">
        <x:v>CONFORMS</x:v>
      </x:c>
      <x:c r="I358" s="31" t="str"/>
      <x:c r="J358" s="31" t="str"/>
      <x:c r="K358" s="31" t="str"/>
      <x:c r="L358" s="28" t="str">
        <x:f>IF(K358="","OPEN",IF(OR(I358="",J358=""),"FAIL",IF(I358=H358,"PASS","FAIL")))</x:f>
        <x:v>OPEN</x:v>
      </x:c>
    </x:row>
    <x:row r="359">
      <x:c r="B359" s="28" t="str">
        <x:v>IF-ROT-PEA-A-X1-5-05</x:v>
      </x:c>
      <x:c r="C359" s="28" t="str">
        <x:v>ROT-PEA-A-X1-5</x:v>
      </x:c>
      <x:c r="D359" s="28" t="str">
        <x:v>PEA-A-X1</x:v>
      </x:c>
      <x:c r="E359" s="28" t="str">
        <x:v>RFP-C2</x:v>
      </x:c>
      <x:c r="F359" s="28" t="n">
        <x:v>5</x:v>
      </x:c>
      <x:c r="G359" s="28" t="str">
        <x:v>water supply and return</x:v>
      </x:c>
      <x:c r="H359" s="28" t="str">
        <x:v>CONFORMS</x:v>
      </x:c>
      <x:c r="I359" s="31" t="str"/>
      <x:c r="J359" s="31" t="str"/>
      <x:c r="K359" s="31" t="str"/>
      <x:c r="L359" s="28" t="str">
        <x:f>IF(K359="","OPEN",IF(OR(I359="",J359=""),"FAIL",IF(I359=H359,"PASS","FAIL")))</x:f>
        <x:v>OPEN</x:v>
      </x:c>
    </x:row>
    <x:row r="360">
      <x:c r="B360" s="28" t="str">
        <x:v>IF-ROT-PEA-A-X1-5-06</x:v>
      </x:c>
      <x:c r="C360" s="28" t="str">
        <x:v>ROT-PEA-A-X1-5</x:v>
      </x:c>
      <x:c r="D360" s="28" t="str">
        <x:v>PEA-A-X1</x:v>
      </x:c>
      <x:c r="E360" s="28" t="str">
        <x:v>RFP-C2</x:v>
      </x:c>
      <x:c r="F360" s="28" t="n">
        <x:v>6</x:v>
      </x:c>
      <x:c r="G360" s="28" t="str">
        <x:v>casualty-water route</x:v>
      </x:c>
      <x:c r="H360" s="28" t="str">
        <x:v>CONFORMS</x:v>
      </x:c>
      <x:c r="I360" s="31" t="str"/>
      <x:c r="J360" s="31" t="str"/>
      <x:c r="K360" s="31" t="str"/>
      <x:c r="L360" s="28" t="str">
        <x:f>IF(K360="","OPEN",IF(OR(I360="",J360=""),"FAIL",IF(I360=H360,"PASS","FAIL")))</x:f>
        <x:v>OPEN</x:v>
      </x:c>
    </x:row>
    <x:row r="361">
      <x:c r="B361" s="28" t="str">
        <x:v>IF-ROT-PEA-A-X1-5-07</x:v>
      </x:c>
      <x:c r="C361" s="28" t="str">
        <x:v>ROT-PEA-A-X1-5</x:v>
      </x:c>
      <x:c r="D361" s="28" t="str">
        <x:v>PEA-A-X1</x:v>
      </x:c>
      <x:c r="E361" s="28" t="str">
        <x:v>RFP-C2</x:v>
      </x:c>
      <x:c r="F361" s="28" t="n">
        <x:v>7</x:v>
      </x:c>
      <x:c r="G361" s="28" t="str">
        <x:v>normal electrical power</x:v>
      </x:c>
      <x:c r="H361" s="28" t="str">
        <x:v>CONFORMS</x:v>
      </x:c>
      <x:c r="I361" s="31" t="str"/>
      <x:c r="J361" s="31" t="str"/>
      <x:c r="K361" s="31" t="str"/>
      <x:c r="L361" s="28" t="str">
        <x:f>IF(K361="","OPEN",IF(OR(I361="",J361=""),"FAIL",IF(I361=H361,"PASS","FAIL")))</x:f>
        <x:v>OPEN</x:v>
      </x:c>
    </x:row>
    <x:row r="362">
      <x:c r="B362" s="28" t="str">
        <x:v>IF-ROT-PEA-A-X1-5-08</x:v>
      </x:c>
      <x:c r="C362" s="28" t="str">
        <x:v>ROT-PEA-A-X1-5</x:v>
      </x:c>
      <x:c r="D362" s="28" t="str">
        <x:v>PEA-A-X1</x:v>
      </x:c>
      <x:c r="E362" s="28" t="str">
        <x:v>RFP-C2</x:v>
      </x:c>
      <x:c r="F362" s="28" t="n">
        <x:v>8</x:v>
      </x:c>
      <x:c r="G362" s="28" t="str">
        <x:v>independent safety energy</x:v>
      </x:c>
      <x:c r="H362" s="28" t="str">
        <x:v>CONFORMS</x:v>
      </x:c>
      <x:c r="I362" s="31" t="str"/>
      <x:c r="J362" s="31" t="str"/>
      <x:c r="K362" s="31" t="str"/>
      <x:c r="L362" s="28" t="str">
        <x:f>IF(K362="","OPEN",IF(OR(I362="",J362=""),"FAIL",IF(I362=H362,"PASS","FAIL")))</x:f>
        <x:v>OPEN</x:v>
      </x:c>
    </x:row>
    <x:row r="363">
      <x:c r="B363" s="28" t="str">
        <x:v>IF-ROT-PEA-A-X1-5-09</x:v>
      </x:c>
      <x:c r="C363" s="28" t="str">
        <x:v>ROT-PEA-A-X1-5</x:v>
      </x:c>
      <x:c r="D363" s="28" t="str">
        <x:v>PEA-A-X1</x:v>
      </x:c>
      <x:c r="E363" s="28" t="str">
        <x:v>RFP-C2</x:v>
      </x:c>
      <x:c r="F363" s="28" t="n">
        <x:v>9</x:v>
      </x:c>
      <x:c r="G363" s="28" t="str">
        <x:v>causal-time roots</x:v>
      </x:c>
      <x:c r="H363" s="28" t="str">
        <x:v>CONFORMS</x:v>
      </x:c>
      <x:c r="I363" s="31" t="str"/>
      <x:c r="J363" s="31" t="str"/>
      <x:c r="K363" s="31" t="str"/>
      <x:c r="L363" s="28" t="str">
        <x:f>IF(K363="","OPEN",IF(OR(I363="",J363=""),"FAIL",IF(I363=H363,"PASS","FAIL")))</x:f>
        <x:v>OPEN</x:v>
      </x:c>
    </x:row>
    <x:row r="364">
      <x:c r="B364" s="28" t="str">
        <x:v>IF-ROT-PEA-A-X1-5-10</x:v>
      </x:c>
      <x:c r="C364" s="28" t="str">
        <x:v>ROT-PEA-A-X1-5</x:v>
      </x:c>
      <x:c r="D364" s="28" t="str">
        <x:v>PEA-A-X1</x:v>
      </x:c>
      <x:c r="E364" s="28" t="str">
        <x:v>RFP-C2</x:v>
      </x:c>
      <x:c r="F364" s="28" t="n">
        <x:v>10</x:v>
      </x:c>
      <x:c r="G364" s="28" t="str">
        <x:v>two evidence originals</x:v>
      </x:c>
      <x:c r="H364" s="28" t="str">
        <x:v>CONFORMS</x:v>
      </x:c>
      <x:c r="I364" s="31" t="str"/>
      <x:c r="J364" s="31" t="str"/>
      <x:c r="K364" s="31" t="str"/>
      <x:c r="L364" s="28" t="str">
        <x:f>IF(K364="","OPEN",IF(OR(I364="",J364=""),"FAIL",IF(I364=H364,"PASS","FAIL")))</x:f>
        <x:v>OPEN</x:v>
      </x:c>
    </x:row>
    <x:row r="365">
      <x:c r="B365" s="28" t="str">
        <x:v>IF-ROT-PEA-A-X1-5-11</x:v>
      </x:c>
      <x:c r="C365" s="28" t="str">
        <x:v>ROT-PEA-A-X1-5</x:v>
      </x:c>
      <x:c r="D365" s="28" t="str">
        <x:v>PEA-A-X1</x:v>
      </x:c>
      <x:c r="E365" s="28" t="str">
        <x:v>RFP-C2</x:v>
      </x:c>
      <x:c r="F365" s="28" t="n">
        <x:v>11</x:v>
      </x:c>
      <x:c r="G365" s="28" t="str">
        <x:v>safeing command and final state</x:v>
      </x:c>
      <x:c r="H365" s="28" t="str">
        <x:v>CONFORMS</x:v>
      </x:c>
      <x:c r="I365" s="31" t="str"/>
      <x:c r="J365" s="31" t="str"/>
      <x:c r="K365" s="31" t="str"/>
      <x:c r="L365" s="28" t="str">
        <x:f>IF(K365="","OPEN",IF(OR(I365="",J365=""),"FAIL",IF(I365=H365,"PASS","FAIL")))</x:f>
        <x:v>OPEN</x:v>
      </x:c>
    </x:row>
    <x:row r="366">
      <x:c r="B366" s="28" t="str">
        <x:v>IF-ROT-PEA-A-X1-5-12</x:v>
      </x:c>
      <x:c r="C366" s="28" t="str">
        <x:v>ROT-PEA-A-X1-5</x:v>
      </x:c>
      <x:c r="D366" s="28" t="str">
        <x:v>PEA-A-X1</x:v>
      </x:c>
      <x:c r="E366" s="28" t="str">
        <x:v>RFP-C2</x:v>
      </x:c>
      <x:c r="F366" s="28" t="n">
        <x:v>12</x:v>
      </x:c>
      <x:c r="G366" s="28" t="str">
        <x:v>rescue access</x:v>
      </x:c>
      <x:c r="H366" s="28" t="str">
        <x:v>CONFORMS</x:v>
      </x:c>
      <x:c r="I366" s="31" t="str"/>
      <x:c r="J366" s="31" t="str"/>
      <x:c r="K366" s="31" t="str"/>
      <x:c r="L366" s="28" t="str">
        <x:f>IF(K366="","OPEN",IF(OR(I366="",J366=""),"FAIL",IF(I366=H366,"PASS","FAIL")))</x:f>
        <x:v>OPEN</x:v>
      </x:c>
    </x:row>
    <x:row r="367">
      <x:c r="B367" s="28" t="str">
        <x:v>IF-ROT-PEA-A-X1-6-01</x:v>
      </x:c>
      <x:c r="C367" s="28" t="str">
        <x:v>ROT-PEA-A-X1-6</x:v>
      </x:c>
      <x:c r="D367" s="28" t="str">
        <x:v>PEA-A-X1</x:v>
      </x:c>
      <x:c r="E367" s="28" t="str">
        <x:v>RFP-A1</x:v>
      </x:c>
      <x:c r="F367" s="28" t="n">
        <x:v>1</x:v>
      </x:c>
      <x:c r="G367" s="28" t="str">
        <x:v>public datum and load path</x:v>
      </x:c>
      <x:c r="H367" s="28" t="str">
        <x:v>CONFORMS</x:v>
      </x:c>
      <x:c r="I367" s="31" t="str"/>
      <x:c r="J367" s="31" t="str"/>
      <x:c r="K367" s="31" t="str"/>
      <x:c r="L367" s="28" t="str">
        <x:f>IF(K367="","OPEN",IF(OR(I367="",J367=""),"FAIL",IF(I367=H367,"PASS","FAIL")))</x:f>
        <x:v>OPEN</x:v>
      </x:c>
    </x:row>
    <x:row r="368">
      <x:c r="B368" s="28" t="str">
        <x:v>IF-ROT-PEA-A-X1-6-02</x:v>
      </x:c>
      <x:c r="C368" s="28" t="str">
        <x:v>ROT-PEA-A-X1-6</x:v>
      </x:c>
      <x:c r="D368" s="28" t="str">
        <x:v>PEA-A-X1</x:v>
      </x:c>
      <x:c r="E368" s="28" t="str">
        <x:v>RFP-A1</x:v>
      </x:c>
      <x:c r="F368" s="28" t="n">
        <x:v>2</x:v>
      </x:c>
      <x:c r="G368" s="28" t="str">
        <x:v>source-origin boundary</x:v>
      </x:c>
      <x:c r="H368" s="28" t="str">
        <x:v>CONFORMS</x:v>
      </x:c>
      <x:c r="I368" s="31" t="str"/>
      <x:c r="J368" s="31" t="str"/>
      <x:c r="K368" s="31" t="str"/>
      <x:c r="L368" s="28" t="str">
        <x:f>IF(K368="","OPEN",IF(OR(I368="",J368=""),"FAIL",IF(I368=H368,"PASS","FAIL")))</x:f>
        <x:v>OPEN</x:v>
      </x:c>
    </x:row>
    <x:row r="369">
      <x:c r="B369" s="28" t="str">
        <x:v>IF-ROT-PEA-A-X1-6-03</x:v>
      </x:c>
      <x:c r="C369" s="28" t="str">
        <x:v>ROT-PEA-A-X1-6</x:v>
      </x:c>
      <x:c r="D369" s="28" t="str">
        <x:v>PEA-A-X1</x:v>
      </x:c>
      <x:c r="E369" s="28" t="str">
        <x:v>RFP-A1</x:v>
      </x:c>
      <x:c r="F369" s="28" t="n">
        <x:v>3</x:v>
      </x:c>
      <x:c r="G369" s="28" t="str">
        <x:v>normal route</x:v>
      </x:c>
      <x:c r="H369" s="28" t="str">
        <x:v>CONFORMS</x:v>
      </x:c>
      <x:c r="I369" s="31" t="str"/>
      <x:c r="J369" s="31" t="str"/>
      <x:c r="K369" s="31" t="str"/>
      <x:c r="L369" s="28" t="str">
        <x:f>IF(K369="","OPEN",IF(OR(I369="",J369=""),"FAIL",IF(I369=H369,"PASS","FAIL")))</x:f>
        <x:v>OPEN</x:v>
      </x:c>
    </x:row>
    <x:row r="370">
      <x:c r="B370" s="28" t="str">
        <x:v>IF-ROT-PEA-A-X1-6-04</x:v>
      </x:c>
      <x:c r="C370" s="28" t="str">
        <x:v>ROT-PEA-A-X1-6</x:v>
      </x:c>
      <x:c r="D370" s="28" t="str">
        <x:v>PEA-A-X1</x:v>
      </x:c>
      <x:c r="E370" s="28" t="str">
        <x:v>RFP-A1</x:v>
      </x:c>
      <x:c r="F370" s="28" t="n">
        <x:v>4</x:v>
      </x:c>
      <x:c r="G370" s="28" t="str">
        <x:v>casualty-source route</x:v>
      </x:c>
      <x:c r="H370" s="28" t="str">
        <x:v>CONFORMS</x:v>
      </x:c>
      <x:c r="I370" s="31" t="str"/>
      <x:c r="J370" s="31" t="str"/>
      <x:c r="K370" s="31" t="str"/>
      <x:c r="L370" s="28" t="str">
        <x:f>IF(K370="","OPEN",IF(OR(I370="",J370=""),"FAIL",IF(I370=H370,"PASS","FAIL")))</x:f>
        <x:v>OPEN</x:v>
      </x:c>
    </x:row>
    <x:row r="371">
      <x:c r="B371" s="28" t="str">
        <x:v>IF-ROT-PEA-A-X1-6-05</x:v>
      </x:c>
      <x:c r="C371" s="28" t="str">
        <x:v>ROT-PEA-A-X1-6</x:v>
      </x:c>
      <x:c r="D371" s="28" t="str">
        <x:v>PEA-A-X1</x:v>
      </x:c>
      <x:c r="E371" s="28" t="str">
        <x:v>RFP-A1</x:v>
      </x:c>
      <x:c r="F371" s="28" t="n">
        <x:v>5</x:v>
      </x:c>
      <x:c r="G371" s="28" t="str">
        <x:v>water supply and return</x:v>
      </x:c>
      <x:c r="H371" s="28" t="str">
        <x:v>CONFORMS</x:v>
      </x:c>
      <x:c r="I371" s="31" t="str"/>
      <x:c r="J371" s="31" t="str"/>
      <x:c r="K371" s="31" t="str"/>
      <x:c r="L371" s="28" t="str">
        <x:f>IF(K371="","OPEN",IF(OR(I371="",J371=""),"FAIL",IF(I371=H371,"PASS","FAIL")))</x:f>
        <x:v>OPEN</x:v>
      </x:c>
    </x:row>
    <x:row r="372">
      <x:c r="B372" s="28" t="str">
        <x:v>IF-ROT-PEA-A-X1-6-06</x:v>
      </x:c>
      <x:c r="C372" s="28" t="str">
        <x:v>ROT-PEA-A-X1-6</x:v>
      </x:c>
      <x:c r="D372" s="28" t="str">
        <x:v>PEA-A-X1</x:v>
      </x:c>
      <x:c r="E372" s="28" t="str">
        <x:v>RFP-A1</x:v>
      </x:c>
      <x:c r="F372" s="28" t="n">
        <x:v>6</x:v>
      </x:c>
      <x:c r="G372" s="28" t="str">
        <x:v>casualty-water route</x:v>
      </x:c>
      <x:c r="H372" s="28" t="str">
        <x:v>CONFORMS</x:v>
      </x:c>
      <x:c r="I372" s="31" t="str"/>
      <x:c r="J372" s="31" t="str"/>
      <x:c r="K372" s="31" t="str"/>
      <x:c r="L372" s="28" t="str">
        <x:f>IF(K372="","OPEN",IF(OR(I372="",J372=""),"FAIL",IF(I372=H372,"PASS","FAIL")))</x:f>
        <x:v>OPEN</x:v>
      </x:c>
    </x:row>
    <x:row r="373">
      <x:c r="B373" s="28" t="str">
        <x:v>IF-ROT-PEA-A-X1-6-07</x:v>
      </x:c>
      <x:c r="C373" s="28" t="str">
        <x:v>ROT-PEA-A-X1-6</x:v>
      </x:c>
      <x:c r="D373" s="28" t="str">
        <x:v>PEA-A-X1</x:v>
      </x:c>
      <x:c r="E373" s="28" t="str">
        <x:v>RFP-A1</x:v>
      </x:c>
      <x:c r="F373" s="28" t="n">
        <x:v>7</x:v>
      </x:c>
      <x:c r="G373" s="28" t="str">
        <x:v>normal electrical power</x:v>
      </x:c>
      <x:c r="H373" s="28" t="str">
        <x:v>CONFORMS</x:v>
      </x:c>
      <x:c r="I373" s="31" t="str"/>
      <x:c r="J373" s="31" t="str"/>
      <x:c r="K373" s="31" t="str"/>
      <x:c r="L373" s="28" t="str">
        <x:f>IF(K373="","OPEN",IF(OR(I373="",J373=""),"FAIL",IF(I373=H373,"PASS","FAIL")))</x:f>
        <x:v>OPEN</x:v>
      </x:c>
    </x:row>
    <x:row r="374">
      <x:c r="B374" s="28" t="str">
        <x:v>IF-ROT-PEA-A-X1-6-08</x:v>
      </x:c>
      <x:c r="C374" s="28" t="str">
        <x:v>ROT-PEA-A-X1-6</x:v>
      </x:c>
      <x:c r="D374" s="28" t="str">
        <x:v>PEA-A-X1</x:v>
      </x:c>
      <x:c r="E374" s="28" t="str">
        <x:v>RFP-A1</x:v>
      </x:c>
      <x:c r="F374" s="28" t="n">
        <x:v>8</x:v>
      </x:c>
      <x:c r="G374" s="28" t="str">
        <x:v>independent safety energy</x:v>
      </x:c>
      <x:c r="H374" s="28" t="str">
        <x:v>CONFORMS</x:v>
      </x:c>
      <x:c r="I374" s="31" t="str"/>
      <x:c r="J374" s="31" t="str"/>
      <x:c r="K374" s="31" t="str"/>
      <x:c r="L374" s="28" t="str">
        <x:f>IF(K374="","OPEN",IF(OR(I374="",J374=""),"FAIL",IF(I374=H374,"PASS","FAIL")))</x:f>
        <x:v>OPEN</x:v>
      </x:c>
    </x:row>
    <x:row r="375">
      <x:c r="B375" s="28" t="str">
        <x:v>IF-ROT-PEA-A-X1-6-09</x:v>
      </x:c>
      <x:c r="C375" s="28" t="str">
        <x:v>ROT-PEA-A-X1-6</x:v>
      </x:c>
      <x:c r="D375" s="28" t="str">
        <x:v>PEA-A-X1</x:v>
      </x:c>
      <x:c r="E375" s="28" t="str">
        <x:v>RFP-A1</x:v>
      </x:c>
      <x:c r="F375" s="28" t="n">
        <x:v>9</x:v>
      </x:c>
      <x:c r="G375" s="28" t="str">
        <x:v>causal-time roots</x:v>
      </x:c>
      <x:c r="H375" s="28" t="str">
        <x:v>CONFORMS</x:v>
      </x:c>
      <x:c r="I375" s="31" t="str"/>
      <x:c r="J375" s="31" t="str"/>
      <x:c r="K375" s="31" t="str"/>
      <x:c r="L375" s="28" t="str">
        <x:f>IF(K375="","OPEN",IF(OR(I375="",J375=""),"FAIL",IF(I375=H375,"PASS","FAIL")))</x:f>
        <x:v>OPEN</x:v>
      </x:c>
    </x:row>
    <x:row r="376">
      <x:c r="B376" s="28" t="str">
        <x:v>IF-ROT-PEA-A-X1-6-10</x:v>
      </x:c>
      <x:c r="C376" s="28" t="str">
        <x:v>ROT-PEA-A-X1-6</x:v>
      </x:c>
      <x:c r="D376" s="28" t="str">
        <x:v>PEA-A-X1</x:v>
      </x:c>
      <x:c r="E376" s="28" t="str">
        <x:v>RFP-A1</x:v>
      </x:c>
      <x:c r="F376" s="28" t="n">
        <x:v>10</x:v>
      </x:c>
      <x:c r="G376" s="28" t="str">
        <x:v>two evidence originals</x:v>
      </x:c>
      <x:c r="H376" s="28" t="str">
        <x:v>CONFORMS</x:v>
      </x:c>
      <x:c r="I376" s="31" t="str"/>
      <x:c r="J376" s="31" t="str"/>
      <x:c r="K376" s="31" t="str"/>
      <x:c r="L376" s="28" t="str">
        <x:f>IF(K376="","OPEN",IF(OR(I376="",J376=""),"FAIL",IF(I376=H376,"PASS","FAIL")))</x:f>
        <x:v>OPEN</x:v>
      </x:c>
    </x:row>
    <x:row r="377">
      <x:c r="B377" s="28" t="str">
        <x:v>IF-ROT-PEA-A-X1-6-11</x:v>
      </x:c>
      <x:c r="C377" s="28" t="str">
        <x:v>ROT-PEA-A-X1-6</x:v>
      </x:c>
      <x:c r="D377" s="28" t="str">
        <x:v>PEA-A-X1</x:v>
      </x:c>
      <x:c r="E377" s="28" t="str">
        <x:v>RFP-A1</x:v>
      </x:c>
      <x:c r="F377" s="28" t="n">
        <x:v>11</x:v>
      </x:c>
      <x:c r="G377" s="28" t="str">
        <x:v>safeing command and final state</x:v>
      </x:c>
      <x:c r="H377" s="28" t="str">
        <x:v>CONFORMS</x:v>
      </x:c>
      <x:c r="I377" s="31" t="str"/>
      <x:c r="J377" s="31" t="str"/>
      <x:c r="K377" s="31" t="str"/>
      <x:c r="L377" s="28" t="str">
        <x:f>IF(K377="","OPEN",IF(OR(I377="",J377=""),"FAIL",IF(I377=H377,"PASS","FAIL")))</x:f>
        <x:v>OPEN</x:v>
      </x:c>
    </x:row>
    <x:row r="378">
      <x:c r="B378" s="28" t="str">
        <x:v>IF-ROT-PEA-A-X1-6-12</x:v>
      </x:c>
      <x:c r="C378" s="28" t="str">
        <x:v>ROT-PEA-A-X1-6</x:v>
      </x:c>
      <x:c r="D378" s="28" t="str">
        <x:v>PEA-A-X1</x:v>
      </x:c>
      <x:c r="E378" s="28" t="str">
        <x:v>RFP-A1</x:v>
      </x:c>
      <x:c r="F378" s="28" t="n">
        <x:v>12</x:v>
      </x:c>
      <x:c r="G378" s="28" t="str">
        <x:v>rescue access</x:v>
      </x:c>
      <x:c r="H378" s="28" t="str">
        <x:v>CONFORMS</x:v>
      </x:c>
      <x:c r="I378" s="31" t="str"/>
      <x:c r="J378" s="31" t="str"/>
      <x:c r="K378" s="31" t="str"/>
      <x:c r="L378" s="28" t="str">
        <x:f>IF(K378="","OPEN",IF(OR(I378="",J378=""),"FAIL",IF(I378=H378,"PASS","FAIL")))</x:f>
        <x:v>OPEN</x:v>
      </x:c>
    </x:row>
    <x:row r="379">
      <x:c r="B379" s="28" t="str">
        <x:v>IF-ROT-PEA-A-Y1-6-01</x:v>
      </x:c>
      <x:c r="C379" s="28" t="str">
        <x:v>ROT-PEA-A-Y1-6</x:v>
      </x:c>
      <x:c r="D379" s="28" t="str">
        <x:v>PEA-A-Y1</x:v>
      </x:c>
      <x:c r="E379" s="28" t="str">
        <x:v>RFP-A2</x:v>
      </x:c>
      <x:c r="F379" s="28" t="n">
        <x:v>1</x:v>
      </x:c>
      <x:c r="G379" s="28" t="str">
        <x:v>public datum and load path</x:v>
      </x:c>
      <x:c r="H379" s="28" t="str">
        <x:v>CONFORMS</x:v>
      </x:c>
      <x:c r="I379" s="31" t="str"/>
      <x:c r="J379" s="31" t="str"/>
      <x:c r="K379" s="31" t="str"/>
      <x:c r="L379" s="28" t="str">
        <x:f>IF(K379="","OPEN",IF(OR(I379="",J379=""),"FAIL",IF(I379=H379,"PASS","FAIL")))</x:f>
        <x:v>OPEN</x:v>
      </x:c>
    </x:row>
    <x:row r="380">
      <x:c r="B380" s="28" t="str">
        <x:v>IF-ROT-PEA-A-Y1-6-02</x:v>
      </x:c>
      <x:c r="C380" s="28" t="str">
        <x:v>ROT-PEA-A-Y1-6</x:v>
      </x:c>
      <x:c r="D380" s="28" t="str">
        <x:v>PEA-A-Y1</x:v>
      </x:c>
      <x:c r="E380" s="28" t="str">
        <x:v>RFP-A2</x:v>
      </x:c>
      <x:c r="F380" s="28" t="n">
        <x:v>2</x:v>
      </x:c>
      <x:c r="G380" s="28" t="str">
        <x:v>source-origin boundary</x:v>
      </x:c>
      <x:c r="H380" s="28" t="str">
        <x:v>CONFORMS</x:v>
      </x:c>
      <x:c r="I380" s="31" t="str"/>
      <x:c r="J380" s="31" t="str"/>
      <x:c r="K380" s="31" t="str"/>
      <x:c r="L380" s="28" t="str">
        <x:f>IF(K380="","OPEN",IF(OR(I380="",J380=""),"FAIL",IF(I380=H380,"PASS","FAIL")))</x:f>
        <x:v>OPEN</x:v>
      </x:c>
    </x:row>
    <x:row r="381">
      <x:c r="B381" s="28" t="str">
        <x:v>IF-ROT-PEA-A-Y1-6-03</x:v>
      </x:c>
      <x:c r="C381" s="28" t="str">
        <x:v>ROT-PEA-A-Y1-6</x:v>
      </x:c>
      <x:c r="D381" s="28" t="str">
        <x:v>PEA-A-Y1</x:v>
      </x:c>
      <x:c r="E381" s="28" t="str">
        <x:v>RFP-A2</x:v>
      </x:c>
      <x:c r="F381" s="28" t="n">
        <x:v>3</x:v>
      </x:c>
      <x:c r="G381" s="28" t="str">
        <x:v>normal route</x:v>
      </x:c>
      <x:c r="H381" s="28" t="str">
        <x:v>CONFORMS</x:v>
      </x:c>
      <x:c r="I381" s="31" t="str"/>
      <x:c r="J381" s="31" t="str"/>
      <x:c r="K381" s="31" t="str"/>
      <x:c r="L381" s="28" t="str">
        <x:f>IF(K381="","OPEN",IF(OR(I381="",J381=""),"FAIL",IF(I381=H381,"PASS","FAIL")))</x:f>
        <x:v>OPEN</x:v>
      </x:c>
    </x:row>
    <x:row r="382">
      <x:c r="B382" s="28" t="str">
        <x:v>IF-ROT-PEA-A-Y1-6-04</x:v>
      </x:c>
      <x:c r="C382" s="28" t="str">
        <x:v>ROT-PEA-A-Y1-6</x:v>
      </x:c>
      <x:c r="D382" s="28" t="str">
        <x:v>PEA-A-Y1</x:v>
      </x:c>
      <x:c r="E382" s="28" t="str">
        <x:v>RFP-A2</x:v>
      </x:c>
      <x:c r="F382" s="28" t="n">
        <x:v>4</x:v>
      </x:c>
      <x:c r="G382" s="28" t="str">
        <x:v>casualty-source route</x:v>
      </x:c>
      <x:c r="H382" s="28" t="str">
        <x:v>CONFORMS</x:v>
      </x:c>
      <x:c r="I382" s="31" t="str"/>
      <x:c r="J382" s="31" t="str"/>
      <x:c r="K382" s="31" t="str"/>
      <x:c r="L382" s="28" t="str">
        <x:f>IF(K382="","OPEN",IF(OR(I382="",J382=""),"FAIL",IF(I382=H382,"PASS","FAIL")))</x:f>
        <x:v>OPEN</x:v>
      </x:c>
    </x:row>
    <x:row r="383">
      <x:c r="B383" s="28" t="str">
        <x:v>IF-ROT-PEA-A-Y1-6-05</x:v>
      </x:c>
      <x:c r="C383" s="28" t="str">
        <x:v>ROT-PEA-A-Y1-6</x:v>
      </x:c>
      <x:c r="D383" s="28" t="str">
        <x:v>PEA-A-Y1</x:v>
      </x:c>
      <x:c r="E383" s="28" t="str">
        <x:v>RFP-A2</x:v>
      </x:c>
      <x:c r="F383" s="28" t="n">
        <x:v>5</x:v>
      </x:c>
      <x:c r="G383" s="28" t="str">
        <x:v>water supply and return</x:v>
      </x:c>
      <x:c r="H383" s="28" t="str">
        <x:v>CONFORMS</x:v>
      </x:c>
      <x:c r="I383" s="31" t="str"/>
      <x:c r="J383" s="31" t="str"/>
      <x:c r="K383" s="31" t="str"/>
      <x:c r="L383" s="28" t="str">
        <x:f>IF(K383="","OPEN",IF(OR(I383="",J383=""),"FAIL",IF(I383=H383,"PASS","FAIL")))</x:f>
        <x:v>OPEN</x:v>
      </x:c>
    </x:row>
    <x:row r="384">
      <x:c r="B384" s="28" t="str">
        <x:v>IF-ROT-PEA-A-Y1-6-06</x:v>
      </x:c>
      <x:c r="C384" s="28" t="str">
        <x:v>ROT-PEA-A-Y1-6</x:v>
      </x:c>
      <x:c r="D384" s="28" t="str">
        <x:v>PEA-A-Y1</x:v>
      </x:c>
      <x:c r="E384" s="28" t="str">
        <x:v>RFP-A2</x:v>
      </x:c>
      <x:c r="F384" s="28" t="n">
        <x:v>6</x:v>
      </x:c>
      <x:c r="G384" s="28" t="str">
        <x:v>casualty-water route</x:v>
      </x:c>
      <x:c r="H384" s="28" t="str">
        <x:v>CONFORMS</x:v>
      </x:c>
      <x:c r="I384" s="31" t="str"/>
      <x:c r="J384" s="31" t="str"/>
      <x:c r="K384" s="31" t="str"/>
      <x:c r="L384" s="28" t="str">
        <x:f>IF(K384="","OPEN",IF(OR(I384="",J384=""),"FAIL",IF(I384=H384,"PASS","FAIL")))</x:f>
        <x:v>OPEN</x:v>
      </x:c>
    </x:row>
    <x:row r="385">
      <x:c r="B385" s="28" t="str">
        <x:v>IF-ROT-PEA-A-Y1-6-07</x:v>
      </x:c>
      <x:c r="C385" s="28" t="str">
        <x:v>ROT-PEA-A-Y1-6</x:v>
      </x:c>
      <x:c r="D385" s="28" t="str">
        <x:v>PEA-A-Y1</x:v>
      </x:c>
      <x:c r="E385" s="28" t="str">
        <x:v>RFP-A2</x:v>
      </x:c>
      <x:c r="F385" s="28" t="n">
        <x:v>7</x:v>
      </x:c>
      <x:c r="G385" s="28" t="str">
        <x:v>normal electrical power</x:v>
      </x:c>
      <x:c r="H385" s="28" t="str">
        <x:v>CONFORMS</x:v>
      </x:c>
      <x:c r="I385" s="31" t="str"/>
      <x:c r="J385" s="31" t="str"/>
      <x:c r="K385" s="31" t="str"/>
      <x:c r="L385" s="28" t="str">
        <x:f>IF(K385="","OPEN",IF(OR(I385="",J385=""),"FAIL",IF(I385=H385,"PASS","FAIL")))</x:f>
        <x:v>OPEN</x:v>
      </x:c>
    </x:row>
    <x:row r="386">
      <x:c r="B386" s="28" t="str">
        <x:v>IF-ROT-PEA-A-Y1-6-08</x:v>
      </x:c>
      <x:c r="C386" s="28" t="str">
        <x:v>ROT-PEA-A-Y1-6</x:v>
      </x:c>
      <x:c r="D386" s="28" t="str">
        <x:v>PEA-A-Y1</x:v>
      </x:c>
      <x:c r="E386" s="28" t="str">
        <x:v>RFP-A2</x:v>
      </x:c>
      <x:c r="F386" s="28" t="n">
        <x:v>8</x:v>
      </x:c>
      <x:c r="G386" s="28" t="str">
        <x:v>independent safety energy</x:v>
      </x:c>
      <x:c r="H386" s="28" t="str">
        <x:v>CONFORMS</x:v>
      </x:c>
      <x:c r="I386" s="31" t="str"/>
      <x:c r="J386" s="31" t="str"/>
      <x:c r="K386" s="31" t="str"/>
      <x:c r="L386" s="28" t="str">
        <x:f>IF(K386="","OPEN",IF(OR(I386="",J386=""),"FAIL",IF(I386=H386,"PASS","FAIL")))</x:f>
        <x:v>OPEN</x:v>
      </x:c>
    </x:row>
    <x:row r="387">
      <x:c r="B387" s="28" t="str">
        <x:v>IF-ROT-PEA-A-Y1-6-09</x:v>
      </x:c>
      <x:c r="C387" s="28" t="str">
        <x:v>ROT-PEA-A-Y1-6</x:v>
      </x:c>
      <x:c r="D387" s="28" t="str">
        <x:v>PEA-A-Y1</x:v>
      </x:c>
      <x:c r="E387" s="28" t="str">
        <x:v>RFP-A2</x:v>
      </x:c>
      <x:c r="F387" s="28" t="n">
        <x:v>9</x:v>
      </x:c>
      <x:c r="G387" s="28" t="str">
        <x:v>causal-time roots</x:v>
      </x:c>
      <x:c r="H387" s="28" t="str">
        <x:v>CONFORMS</x:v>
      </x:c>
      <x:c r="I387" s="31" t="str"/>
      <x:c r="J387" s="31" t="str"/>
      <x:c r="K387" s="31" t="str"/>
      <x:c r="L387" s="28" t="str">
        <x:f>IF(K387="","OPEN",IF(OR(I387="",J387=""),"FAIL",IF(I387=H387,"PASS","FAIL")))</x:f>
        <x:v>OPEN</x:v>
      </x:c>
    </x:row>
    <x:row r="388">
      <x:c r="B388" s="28" t="str">
        <x:v>IF-ROT-PEA-A-Y1-6-10</x:v>
      </x:c>
      <x:c r="C388" s="28" t="str">
        <x:v>ROT-PEA-A-Y1-6</x:v>
      </x:c>
      <x:c r="D388" s="28" t="str">
        <x:v>PEA-A-Y1</x:v>
      </x:c>
      <x:c r="E388" s="28" t="str">
        <x:v>RFP-A2</x:v>
      </x:c>
      <x:c r="F388" s="28" t="n">
        <x:v>10</x:v>
      </x:c>
      <x:c r="G388" s="28" t="str">
        <x:v>two evidence originals</x:v>
      </x:c>
      <x:c r="H388" s="28" t="str">
        <x:v>CONFORMS</x:v>
      </x:c>
      <x:c r="I388" s="31" t="str"/>
      <x:c r="J388" s="31" t="str"/>
      <x:c r="K388" s="31" t="str"/>
      <x:c r="L388" s="28" t="str">
        <x:f>IF(K388="","OPEN",IF(OR(I388="",J388=""),"FAIL",IF(I388=H388,"PASS","FAIL")))</x:f>
        <x:v>OPEN</x:v>
      </x:c>
    </x:row>
    <x:row r="389">
      <x:c r="B389" s="28" t="str">
        <x:v>IF-ROT-PEA-A-Y1-6-11</x:v>
      </x:c>
      <x:c r="C389" s="28" t="str">
        <x:v>ROT-PEA-A-Y1-6</x:v>
      </x:c>
      <x:c r="D389" s="28" t="str">
        <x:v>PEA-A-Y1</x:v>
      </x:c>
      <x:c r="E389" s="28" t="str">
        <x:v>RFP-A2</x:v>
      </x:c>
      <x:c r="F389" s="28" t="n">
        <x:v>11</x:v>
      </x:c>
      <x:c r="G389" s="28" t="str">
        <x:v>safeing command and final state</x:v>
      </x:c>
      <x:c r="H389" s="28" t="str">
        <x:v>CONFORMS</x:v>
      </x:c>
      <x:c r="I389" s="31" t="str"/>
      <x:c r="J389" s="31" t="str"/>
      <x:c r="K389" s="31" t="str"/>
      <x:c r="L389" s="28" t="str">
        <x:f>IF(K389="","OPEN",IF(OR(I389="",J389=""),"FAIL",IF(I389=H389,"PASS","FAIL")))</x:f>
        <x:v>OPEN</x:v>
      </x:c>
    </x:row>
    <x:row r="390">
      <x:c r="B390" s="28" t="str">
        <x:v>IF-ROT-PEA-A-Y1-6-12</x:v>
      </x:c>
      <x:c r="C390" s="28" t="str">
        <x:v>ROT-PEA-A-Y1-6</x:v>
      </x:c>
      <x:c r="D390" s="28" t="str">
        <x:v>PEA-A-Y1</x:v>
      </x:c>
      <x:c r="E390" s="28" t="str">
        <x:v>RFP-A2</x:v>
      </x:c>
      <x:c r="F390" s="28" t="n">
        <x:v>12</x:v>
      </x:c>
      <x:c r="G390" s="28" t="str">
        <x:v>rescue access</x:v>
      </x:c>
      <x:c r="H390" s="28" t="str">
        <x:v>CONFORMS</x:v>
      </x:c>
      <x:c r="I390" s="31" t="str"/>
      <x:c r="J390" s="31" t="str"/>
      <x:c r="K390" s="31" t="str"/>
      <x:c r="L390" s="28" t="str">
        <x:f>IF(K390="","OPEN",IF(OR(I390="",J390=""),"FAIL",IF(I390=H390,"PASS","FAIL")))</x:f>
        <x:v>OPEN</x:v>
      </x:c>
    </x:row>
    <x:row r="391">
      <x:c r="B391" s="28" t="str">
        <x:v>IF-ROT-PEA-B-X1-6-01</x:v>
      </x:c>
      <x:c r="C391" s="28" t="str">
        <x:v>ROT-PEA-B-X1-6</x:v>
      </x:c>
      <x:c r="D391" s="28" t="str">
        <x:v>PEA-B-X1</x:v>
      </x:c>
      <x:c r="E391" s="28" t="str">
        <x:v>RFP-B1</x:v>
      </x:c>
      <x:c r="F391" s="28" t="n">
        <x:v>1</x:v>
      </x:c>
      <x:c r="G391" s="28" t="str">
        <x:v>public datum and load path</x:v>
      </x:c>
      <x:c r="H391" s="28" t="str">
        <x:v>CONFORMS</x:v>
      </x:c>
      <x:c r="I391" s="31" t="str"/>
      <x:c r="J391" s="31" t="str"/>
      <x:c r="K391" s="31" t="str"/>
      <x:c r="L391" s="28" t="str">
        <x:f>IF(K391="","OPEN",IF(OR(I391="",J391=""),"FAIL",IF(I391=H391,"PASS","FAIL")))</x:f>
        <x:v>OPEN</x:v>
      </x:c>
    </x:row>
    <x:row r="392">
      <x:c r="B392" s="28" t="str">
        <x:v>IF-ROT-PEA-B-X1-6-02</x:v>
      </x:c>
      <x:c r="C392" s="28" t="str">
        <x:v>ROT-PEA-B-X1-6</x:v>
      </x:c>
      <x:c r="D392" s="28" t="str">
        <x:v>PEA-B-X1</x:v>
      </x:c>
      <x:c r="E392" s="28" t="str">
        <x:v>RFP-B1</x:v>
      </x:c>
      <x:c r="F392" s="28" t="n">
        <x:v>2</x:v>
      </x:c>
      <x:c r="G392" s="28" t="str">
        <x:v>source-origin boundary</x:v>
      </x:c>
      <x:c r="H392" s="28" t="str">
        <x:v>CONFORMS</x:v>
      </x:c>
      <x:c r="I392" s="31" t="str"/>
      <x:c r="J392" s="31" t="str"/>
      <x:c r="K392" s="31" t="str"/>
      <x:c r="L392" s="28" t="str">
        <x:f>IF(K392="","OPEN",IF(OR(I392="",J392=""),"FAIL",IF(I392=H392,"PASS","FAIL")))</x:f>
        <x:v>OPEN</x:v>
      </x:c>
    </x:row>
    <x:row r="393">
      <x:c r="B393" s="28" t="str">
        <x:v>IF-ROT-PEA-B-X1-6-03</x:v>
      </x:c>
      <x:c r="C393" s="28" t="str">
        <x:v>ROT-PEA-B-X1-6</x:v>
      </x:c>
      <x:c r="D393" s="28" t="str">
        <x:v>PEA-B-X1</x:v>
      </x:c>
      <x:c r="E393" s="28" t="str">
        <x:v>RFP-B1</x:v>
      </x:c>
      <x:c r="F393" s="28" t="n">
        <x:v>3</x:v>
      </x:c>
      <x:c r="G393" s="28" t="str">
        <x:v>normal route</x:v>
      </x:c>
      <x:c r="H393" s="28" t="str">
        <x:v>CONFORMS</x:v>
      </x:c>
      <x:c r="I393" s="31" t="str"/>
      <x:c r="J393" s="31" t="str"/>
      <x:c r="K393" s="31" t="str"/>
      <x:c r="L393" s="28" t="str">
        <x:f>IF(K393="","OPEN",IF(OR(I393="",J393=""),"FAIL",IF(I393=H393,"PASS","FAIL")))</x:f>
        <x:v>OPEN</x:v>
      </x:c>
    </x:row>
    <x:row r="394">
      <x:c r="B394" s="28" t="str">
        <x:v>IF-ROT-PEA-B-X1-6-04</x:v>
      </x:c>
      <x:c r="C394" s="28" t="str">
        <x:v>ROT-PEA-B-X1-6</x:v>
      </x:c>
      <x:c r="D394" s="28" t="str">
        <x:v>PEA-B-X1</x:v>
      </x:c>
      <x:c r="E394" s="28" t="str">
        <x:v>RFP-B1</x:v>
      </x:c>
      <x:c r="F394" s="28" t="n">
        <x:v>4</x:v>
      </x:c>
      <x:c r="G394" s="28" t="str">
        <x:v>casualty-source route</x:v>
      </x:c>
      <x:c r="H394" s="28" t="str">
        <x:v>CONFORMS</x:v>
      </x:c>
      <x:c r="I394" s="31" t="str"/>
      <x:c r="J394" s="31" t="str"/>
      <x:c r="K394" s="31" t="str"/>
      <x:c r="L394" s="28" t="str">
        <x:f>IF(K394="","OPEN",IF(OR(I394="",J394=""),"FAIL",IF(I394=H394,"PASS","FAIL")))</x:f>
        <x:v>OPEN</x:v>
      </x:c>
    </x:row>
    <x:row r="395">
      <x:c r="B395" s="28" t="str">
        <x:v>IF-ROT-PEA-B-X1-6-05</x:v>
      </x:c>
      <x:c r="C395" s="28" t="str">
        <x:v>ROT-PEA-B-X1-6</x:v>
      </x:c>
      <x:c r="D395" s="28" t="str">
        <x:v>PEA-B-X1</x:v>
      </x:c>
      <x:c r="E395" s="28" t="str">
        <x:v>RFP-B1</x:v>
      </x:c>
      <x:c r="F395" s="28" t="n">
        <x:v>5</x:v>
      </x:c>
      <x:c r="G395" s="28" t="str">
        <x:v>water supply and return</x:v>
      </x:c>
      <x:c r="H395" s="28" t="str">
        <x:v>CONFORMS</x:v>
      </x:c>
      <x:c r="I395" s="31" t="str"/>
      <x:c r="J395" s="31" t="str"/>
      <x:c r="K395" s="31" t="str"/>
      <x:c r="L395" s="28" t="str">
        <x:f>IF(K395="","OPEN",IF(OR(I395="",J395=""),"FAIL",IF(I395=H395,"PASS","FAIL")))</x:f>
        <x:v>OPEN</x:v>
      </x:c>
    </x:row>
    <x:row r="396">
      <x:c r="B396" s="28" t="str">
        <x:v>IF-ROT-PEA-B-X1-6-06</x:v>
      </x:c>
      <x:c r="C396" s="28" t="str">
        <x:v>ROT-PEA-B-X1-6</x:v>
      </x:c>
      <x:c r="D396" s="28" t="str">
        <x:v>PEA-B-X1</x:v>
      </x:c>
      <x:c r="E396" s="28" t="str">
        <x:v>RFP-B1</x:v>
      </x:c>
      <x:c r="F396" s="28" t="n">
        <x:v>6</x:v>
      </x:c>
      <x:c r="G396" s="28" t="str">
        <x:v>casualty-water route</x:v>
      </x:c>
      <x:c r="H396" s="28" t="str">
        <x:v>CONFORMS</x:v>
      </x:c>
      <x:c r="I396" s="31" t="str"/>
      <x:c r="J396" s="31" t="str"/>
      <x:c r="K396" s="31" t="str"/>
      <x:c r="L396" s="28" t="str">
        <x:f>IF(K396="","OPEN",IF(OR(I396="",J396=""),"FAIL",IF(I396=H396,"PASS","FAIL")))</x:f>
        <x:v>OPEN</x:v>
      </x:c>
    </x:row>
    <x:row r="397">
      <x:c r="B397" s="28" t="str">
        <x:v>IF-ROT-PEA-B-X1-6-07</x:v>
      </x:c>
      <x:c r="C397" s="28" t="str">
        <x:v>ROT-PEA-B-X1-6</x:v>
      </x:c>
      <x:c r="D397" s="28" t="str">
        <x:v>PEA-B-X1</x:v>
      </x:c>
      <x:c r="E397" s="28" t="str">
        <x:v>RFP-B1</x:v>
      </x:c>
      <x:c r="F397" s="28" t="n">
        <x:v>7</x:v>
      </x:c>
      <x:c r="G397" s="28" t="str">
        <x:v>normal electrical power</x:v>
      </x:c>
      <x:c r="H397" s="28" t="str">
        <x:v>CONFORMS</x:v>
      </x:c>
      <x:c r="I397" s="31" t="str"/>
      <x:c r="J397" s="31" t="str"/>
      <x:c r="K397" s="31" t="str"/>
      <x:c r="L397" s="28" t="str">
        <x:f>IF(K397="","OPEN",IF(OR(I397="",J397=""),"FAIL",IF(I397=H397,"PASS","FAIL")))</x:f>
        <x:v>OPEN</x:v>
      </x:c>
    </x:row>
    <x:row r="398">
      <x:c r="B398" s="28" t="str">
        <x:v>IF-ROT-PEA-B-X1-6-08</x:v>
      </x:c>
      <x:c r="C398" s="28" t="str">
        <x:v>ROT-PEA-B-X1-6</x:v>
      </x:c>
      <x:c r="D398" s="28" t="str">
        <x:v>PEA-B-X1</x:v>
      </x:c>
      <x:c r="E398" s="28" t="str">
        <x:v>RFP-B1</x:v>
      </x:c>
      <x:c r="F398" s="28" t="n">
        <x:v>8</x:v>
      </x:c>
      <x:c r="G398" s="28" t="str">
        <x:v>independent safety energy</x:v>
      </x:c>
      <x:c r="H398" s="28" t="str">
        <x:v>CONFORMS</x:v>
      </x:c>
      <x:c r="I398" s="31" t="str"/>
      <x:c r="J398" s="31" t="str"/>
      <x:c r="K398" s="31" t="str"/>
      <x:c r="L398" s="28" t="str">
        <x:f>IF(K398="","OPEN",IF(OR(I398="",J398=""),"FAIL",IF(I398=H398,"PASS","FAIL")))</x:f>
        <x:v>OPEN</x:v>
      </x:c>
    </x:row>
    <x:row r="399">
      <x:c r="B399" s="28" t="str">
        <x:v>IF-ROT-PEA-B-X1-6-09</x:v>
      </x:c>
      <x:c r="C399" s="28" t="str">
        <x:v>ROT-PEA-B-X1-6</x:v>
      </x:c>
      <x:c r="D399" s="28" t="str">
        <x:v>PEA-B-X1</x:v>
      </x:c>
      <x:c r="E399" s="28" t="str">
        <x:v>RFP-B1</x:v>
      </x:c>
      <x:c r="F399" s="28" t="n">
        <x:v>9</x:v>
      </x:c>
      <x:c r="G399" s="28" t="str">
        <x:v>causal-time roots</x:v>
      </x:c>
      <x:c r="H399" s="28" t="str">
        <x:v>CONFORMS</x:v>
      </x:c>
      <x:c r="I399" s="31" t="str"/>
      <x:c r="J399" s="31" t="str"/>
      <x:c r="K399" s="31" t="str"/>
      <x:c r="L399" s="28" t="str">
        <x:f>IF(K399="","OPEN",IF(OR(I399="",J399=""),"FAIL",IF(I399=H399,"PASS","FAIL")))</x:f>
        <x:v>OPEN</x:v>
      </x:c>
    </x:row>
    <x:row r="400">
      <x:c r="B400" s="28" t="str">
        <x:v>IF-ROT-PEA-B-X1-6-10</x:v>
      </x:c>
      <x:c r="C400" s="28" t="str">
        <x:v>ROT-PEA-B-X1-6</x:v>
      </x:c>
      <x:c r="D400" s="28" t="str">
        <x:v>PEA-B-X1</x:v>
      </x:c>
      <x:c r="E400" s="28" t="str">
        <x:v>RFP-B1</x:v>
      </x:c>
      <x:c r="F400" s="28" t="n">
        <x:v>10</x:v>
      </x:c>
      <x:c r="G400" s="28" t="str">
        <x:v>two evidence originals</x:v>
      </x:c>
      <x:c r="H400" s="28" t="str">
        <x:v>CONFORMS</x:v>
      </x:c>
      <x:c r="I400" s="31" t="str"/>
      <x:c r="J400" s="31" t="str"/>
      <x:c r="K400" s="31" t="str"/>
      <x:c r="L400" s="28" t="str">
        <x:f>IF(K400="","OPEN",IF(OR(I400="",J400=""),"FAIL",IF(I400=H400,"PASS","FAIL")))</x:f>
        <x:v>OPEN</x:v>
      </x:c>
    </x:row>
    <x:row r="401">
      <x:c r="B401" s="28" t="str">
        <x:v>IF-ROT-PEA-B-X1-6-11</x:v>
      </x:c>
      <x:c r="C401" s="28" t="str">
        <x:v>ROT-PEA-B-X1-6</x:v>
      </x:c>
      <x:c r="D401" s="28" t="str">
        <x:v>PEA-B-X1</x:v>
      </x:c>
      <x:c r="E401" s="28" t="str">
        <x:v>RFP-B1</x:v>
      </x:c>
      <x:c r="F401" s="28" t="n">
        <x:v>11</x:v>
      </x:c>
      <x:c r="G401" s="28" t="str">
        <x:v>safeing command and final state</x:v>
      </x:c>
      <x:c r="H401" s="28" t="str">
        <x:v>CONFORMS</x:v>
      </x:c>
      <x:c r="I401" s="31" t="str"/>
      <x:c r="J401" s="31" t="str"/>
      <x:c r="K401" s="31" t="str"/>
      <x:c r="L401" s="28" t="str">
        <x:f>IF(K401="","OPEN",IF(OR(I401="",J401=""),"FAIL",IF(I401=H401,"PASS","FAIL")))</x:f>
        <x:v>OPEN</x:v>
      </x:c>
    </x:row>
    <x:row r="402">
      <x:c r="B402" s="28" t="str">
        <x:v>IF-ROT-PEA-B-X1-6-12</x:v>
      </x:c>
      <x:c r="C402" s="28" t="str">
        <x:v>ROT-PEA-B-X1-6</x:v>
      </x:c>
      <x:c r="D402" s="28" t="str">
        <x:v>PEA-B-X1</x:v>
      </x:c>
      <x:c r="E402" s="28" t="str">
        <x:v>RFP-B1</x:v>
      </x:c>
      <x:c r="F402" s="28" t="n">
        <x:v>12</x:v>
      </x:c>
      <x:c r="G402" s="28" t="str">
        <x:v>rescue access</x:v>
      </x:c>
      <x:c r="H402" s="28" t="str">
        <x:v>CONFORMS</x:v>
      </x:c>
      <x:c r="I402" s="31" t="str"/>
      <x:c r="J402" s="31" t="str"/>
      <x:c r="K402" s="31" t="str"/>
      <x:c r="L402" s="28" t="str">
        <x:f>IF(K402="","OPEN",IF(OR(I402="",J402=""),"FAIL",IF(I402=H402,"PASS","FAIL")))</x:f>
        <x:v>OPEN</x:v>
      </x:c>
    </x:row>
    <x:row r="403">
      <x:c r="B403" s="28" t="str">
        <x:v>IF-ROT-PEA-B-Y1-6-01</x:v>
      </x:c>
      <x:c r="C403" s="28" t="str">
        <x:v>ROT-PEA-B-Y1-6</x:v>
      </x:c>
      <x:c r="D403" s="28" t="str">
        <x:v>PEA-B-Y1</x:v>
      </x:c>
      <x:c r="E403" s="28" t="str">
        <x:v>RFP-B2</x:v>
      </x:c>
      <x:c r="F403" s="28" t="n">
        <x:v>1</x:v>
      </x:c>
      <x:c r="G403" s="28" t="str">
        <x:v>public datum and load path</x:v>
      </x:c>
      <x:c r="H403" s="28" t="str">
        <x:v>CONFORMS</x:v>
      </x:c>
      <x:c r="I403" s="31" t="str"/>
      <x:c r="J403" s="31" t="str"/>
      <x:c r="K403" s="31" t="str"/>
      <x:c r="L403" s="28" t="str">
        <x:f>IF(K403="","OPEN",IF(OR(I403="",J403=""),"FAIL",IF(I403=H403,"PASS","FAIL")))</x:f>
        <x:v>OPEN</x:v>
      </x:c>
    </x:row>
    <x:row r="404">
      <x:c r="B404" s="28" t="str">
        <x:v>IF-ROT-PEA-B-Y1-6-02</x:v>
      </x:c>
      <x:c r="C404" s="28" t="str">
        <x:v>ROT-PEA-B-Y1-6</x:v>
      </x:c>
      <x:c r="D404" s="28" t="str">
        <x:v>PEA-B-Y1</x:v>
      </x:c>
      <x:c r="E404" s="28" t="str">
        <x:v>RFP-B2</x:v>
      </x:c>
      <x:c r="F404" s="28" t="n">
        <x:v>2</x:v>
      </x:c>
      <x:c r="G404" s="28" t="str">
        <x:v>source-origin boundary</x:v>
      </x:c>
      <x:c r="H404" s="28" t="str">
        <x:v>CONFORMS</x:v>
      </x:c>
      <x:c r="I404" s="31" t="str"/>
      <x:c r="J404" s="31" t="str"/>
      <x:c r="K404" s="31" t="str"/>
      <x:c r="L404" s="28" t="str">
        <x:f>IF(K404="","OPEN",IF(OR(I404="",J404=""),"FAIL",IF(I404=H404,"PASS","FAIL")))</x:f>
        <x:v>OPEN</x:v>
      </x:c>
    </x:row>
    <x:row r="405">
      <x:c r="B405" s="28" t="str">
        <x:v>IF-ROT-PEA-B-Y1-6-03</x:v>
      </x:c>
      <x:c r="C405" s="28" t="str">
        <x:v>ROT-PEA-B-Y1-6</x:v>
      </x:c>
      <x:c r="D405" s="28" t="str">
        <x:v>PEA-B-Y1</x:v>
      </x:c>
      <x:c r="E405" s="28" t="str">
        <x:v>RFP-B2</x:v>
      </x:c>
      <x:c r="F405" s="28" t="n">
        <x:v>3</x:v>
      </x:c>
      <x:c r="G405" s="28" t="str">
        <x:v>normal route</x:v>
      </x:c>
      <x:c r="H405" s="28" t="str">
        <x:v>CONFORMS</x:v>
      </x:c>
      <x:c r="I405" s="31" t="str"/>
      <x:c r="J405" s="31" t="str"/>
      <x:c r="K405" s="31" t="str"/>
      <x:c r="L405" s="28" t="str">
        <x:f>IF(K405="","OPEN",IF(OR(I405="",J405=""),"FAIL",IF(I405=H405,"PASS","FAIL")))</x:f>
        <x:v>OPEN</x:v>
      </x:c>
    </x:row>
    <x:row r="406">
      <x:c r="B406" s="28" t="str">
        <x:v>IF-ROT-PEA-B-Y1-6-04</x:v>
      </x:c>
      <x:c r="C406" s="28" t="str">
        <x:v>ROT-PEA-B-Y1-6</x:v>
      </x:c>
      <x:c r="D406" s="28" t="str">
        <x:v>PEA-B-Y1</x:v>
      </x:c>
      <x:c r="E406" s="28" t="str">
        <x:v>RFP-B2</x:v>
      </x:c>
      <x:c r="F406" s="28" t="n">
        <x:v>4</x:v>
      </x:c>
      <x:c r="G406" s="28" t="str">
        <x:v>casualty-source route</x:v>
      </x:c>
      <x:c r="H406" s="28" t="str">
        <x:v>CONFORMS</x:v>
      </x:c>
      <x:c r="I406" s="31" t="str"/>
      <x:c r="J406" s="31" t="str"/>
      <x:c r="K406" s="31" t="str"/>
      <x:c r="L406" s="28" t="str">
        <x:f>IF(K406="","OPEN",IF(OR(I406="",J406=""),"FAIL",IF(I406=H406,"PASS","FAIL")))</x:f>
        <x:v>OPEN</x:v>
      </x:c>
    </x:row>
    <x:row r="407">
      <x:c r="B407" s="28" t="str">
        <x:v>IF-ROT-PEA-B-Y1-6-05</x:v>
      </x:c>
      <x:c r="C407" s="28" t="str">
        <x:v>ROT-PEA-B-Y1-6</x:v>
      </x:c>
      <x:c r="D407" s="28" t="str">
        <x:v>PEA-B-Y1</x:v>
      </x:c>
      <x:c r="E407" s="28" t="str">
        <x:v>RFP-B2</x:v>
      </x:c>
      <x:c r="F407" s="28" t="n">
        <x:v>5</x:v>
      </x:c>
      <x:c r="G407" s="28" t="str">
        <x:v>water supply and return</x:v>
      </x:c>
      <x:c r="H407" s="28" t="str">
        <x:v>CONFORMS</x:v>
      </x:c>
      <x:c r="I407" s="31" t="str"/>
      <x:c r="J407" s="31" t="str"/>
      <x:c r="K407" s="31" t="str"/>
      <x:c r="L407" s="28" t="str">
        <x:f>IF(K407="","OPEN",IF(OR(I407="",J407=""),"FAIL",IF(I407=H407,"PASS","FAIL")))</x:f>
        <x:v>OPEN</x:v>
      </x:c>
    </x:row>
    <x:row r="408">
      <x:c r="B408" s="28" t="str">
        <x:v>IF-ROT-PEA-B-Y1-6-06</x:v>
      </x:c>
      <x:c r="C408" s="28" t="str">
        <x:v>ROT-PEA-B-Y1-6</x:v>
      </x:c>
      <x:c r="D408" s="28" t="str">
        <x:v>PEA-B-Y1</x:v>
      </x:c>
      <x:c r="E408" s="28" t="str">
        <x:v>RFP-B2</x:v>
      </x:c>
      <x:c r="F408" s="28" t="n">
        <x:v>6</x:v>
      </x:c>
      <x:c r="G408" s="28" t="str">
        <x:v>casualty-water route</x:v>
      </x:c>
      <x:c r="H408" s="28" t="str">
        <x:v>CONFORMS</x:v>
      </x:c>
      <x:c r="I408" s="31" t="str"/>
      <x:c r="J408" s="31" t="str"/>
      <x:c r="K408" s="31" t="str"/>
      <x:c r="L408" s="28" t="str">
        <x:f>IF(K408="","OPEN",IF(OR(I408="",J408=""),"FAIL",IF(I408=H408,"PASS","FAIL")))</x:f>
        <x:v>OPEN</x:v>
      </x:c>
    </x:row>
    <x:row r="409">
      <x:c r="B409" s="28" t="str">
        <x:v>IF-ROT-PEA-B-Y1-6-07</x:v>
      </x:c>
      <x:c r="C409" s="28" t="str">
        <x:v>ROT-PEA-B-Y1-6</x:v>
      </x:c>
      <x:c r="D409" s="28" t="str">
        <x:v>PEA-B-Y1</x:v>
      </x:c>
      <x:c r="E409" s="28" t="str">
        <x:v>RFP-B2</x:v>
      </x:c>
      <x:c r="F409" s="28" t="n">
        <x:v>7</x:v>
      </x:c>
      <x:c r="G409" s="28" t="str">
        <x:v>normal electrical power</x:v>
      </x:c>
      <x:c r="H409" s="28" t="str">
        <x:v>CONFORMS</x:v>
      </x:c>
      <x:c r="I409" s="31" t="str"/>
      <x:c r="J409" s="31" t="str"/>
      <x:c r="K409" s="31" t="str"/>
      <x:c r="L409" s="28" t="str">
        <x:f>IF(K409="","OPEN",IF(OR(I409="",J409=""),"FAIL",IF(I409=H409,"PASS","FAIL")))</x:f>
        <x:v>OPEN</x:v>
      </x:c>
    </x:row>
    <x:row r="410">
      <x:c r="B410" s="28" t="str">
        <x:v>IF-ROT-PEA-B-Y1-6-08</x:v>
      </x:c>
      <x:c r="C410" s="28" t="str">
        <x:v>ROT-PEA-B-Y1-6</x:v>
      </x:c>
      <x:c r="D410" s="28" t="str">
        <x:v>PEA-B-Y1</x:v>
      </x:c>
      <x:c r="E410" s="28" t="str">
        <x:v>RFP-B2</x:v>
      </x:c>
      <x:c r="F410" s="28" t="n">
        <x:v>8</x:v>
      </x:c>
      <x:c r="G410" s="28" t="str">
        <x:v>independent safety energy</x:v>
      </x:c>
      <x:c r="H410" s="28" t="str">
        <x:v>CONFORMS</x:v>
      </x:c>
      <x:c r="I410" s="31" t="str"/>
      <x:c r="J410" s="31" t="str"/>
      <x:c r="K410" s="31" t="str"/>
      <x:c r="L410" s="28" t="str">
        <x:f>IF(K410="","OPEN",IF(OR(I410="",J410=""),"FAIL",IF(I410=H410,"PASS","FAIL")))</x:f>
        <x:v>OPEN</x:v>
      </x:c>
    </x:row>
    <x:row r="411">
      <x:c r="B411" s="28" t="str">
        <x:v>IF-ROT-PEA-B-Y1-6-09</x:v>
      </x:c>
      <x:c r="C411" s="28" t="str">
        <x:v>ROT-PEA-B-Y1-6</x:v>
      </x:c>
      <x:c r="D411" s="28" t="str">
        <x:v>PEA-B-Y1</x:v>
      </x:c>
      <x:c r="E411" s="28" t="str">
        <x:v>RFP-B2</x:v>
      </x:c>
      <x:c r="F411" s="28" t="n">
        <x:v>9</x:v>
      </x:c>
      <x:c r="G411" s="28" t="str">
        <x:v>causal-time roots</x:v>
      </x:c>
      <x:c r="H411" s="28" t="str">
        <x:v>CONFORMS</x:v>
      </x:c>
      <x:c r="I411" s="31" t="str"/>
      <x:c r="J411" s="31" t="str"/>
      <x:c r="K411" s="31" t="str"/>
      <x:c r="L411" s="28" t="str">
        <x:f>IF(K411="","OPEN",IF(OR(I411="",J411=""),"FAIL",IF(I411=H411,"PASS","FAIL")))</x:f>
        <x:v>OPEN</x:v>
      </x:c>
    </x:row>
    <x:row r="412">
      <x:c r="B412" s="28" t="str">
        <x:v>IF-ROT-PEA-B-Y1-6-10</x:v>
      </x:c>
      <x:c r="C412" s="28" t="str">
        <x:v>ROT-PEA-B-Y1-6</x:v>
      </x:c>
      <x:c r="D412" s="28" t="str">
        <x:v>PEA-B-Y1</x:v>
      </x:c>
      <x:c r="E412" s="28" t="str">
        <x:v>RFP-B2</x:v>
      </x:c>
      <x:c r="F412" s="28" t="n">
        <x:v>10</x:v>
      </x:c>
      <x:c r="G412" s="28" t="str">
        <x:v>two evidence originals</x:v>
      </x:c>
      <x:c r="H412" s="28" t="str">
        <x:v>CONFORMS</x:v>
      </x:c>
      <x:c r="I412" s="31" t="str"/>
      <x:c r="J412" s="31" t="str"/>
      <x:c r="K412" s="31" t="str"/>
      <x:c r="L412" s="28" t="str">
        <x:f>IF(K412="","OPEN",IF(OR(I412="",J412=""),"FAIL",IF(I412=H412,"PASS","FAIL")))</x:f>
        <x:v>OPEN</x:v>
      </x:c>
    </x:row>
    <x:row r="413">
      <x:c r="B413" s="28" t="str">
        <x:v>IF-ROT-PEA-B-Y1-6-11</x:v>
      </x:c>
      <x:c r="C413" s="28" t="str">
        <x:v>ROT-PEA-B-Y1-6</x:v>
      </x:c>
      <x:c r="D413" s="28" t="str">
        <x:v>PEA-B-Y1</x:v>
      </x:c>
      <x:c r="E413" s="28" t="str">
        <x:v>RFP-B2</x:v>
      </x:c>
      <x:c r="F413" s="28" t="n">
        <x:v>11</x:v>
      </x:c>
      <x:c r="G413" s="28" t="str">
        <x:v>safeing command and final state</x:v>
      </x:c>
      <x:c r="H413" s="28" t="str">
        <x:v>CONFORMS</x:v>
      </x:c>
      <x:c r="I413" s="31" t="str"/>
      <x:c r="J413" s="31" t="str"/>
      <x:c r="K413" s="31" t="str"/>
      <x:c r="L413" s="28" t="str">
        <x:f>IF(K413="","OPEN",IF(OR(I413="",J413=""),"FAIL",IF(I413=H413,"PASS","FAIL")))</x:f>
        <x:v>OPEN</x:v>
      </x:c>
    </x:row>
    <x:row r="414">
      <x:c r="B414" s="28" t="str">
        <x:v>IF-ROT-PEA-B-Y1-6-12</x:v>
      </x:c>
      <x:c r="C414" s="28" t="str">
        <x:v>ROT-PEA-B-Y1-6</x:v>
      </x:c>
      <x:c r="D414" s="28" t="str">
        <x:v>PEA-B-Y1</x:v>
      </x:c>
      <x:c r="E414" s="28" t="str">
        <x:v>RFP-B2</x:v>
      </x:c>
      <x:c r="F414" s="28" t="n">
        <x:v>12</x:v>
      </x:c>
      <x:c r="G414" s="28" t="str">
        <x:v>rescue access</x:v>
      </x:c>
      <x:c r="H414" s="28" t="str">
        <x:v>CONFORMS</x:v>
      </x:c>
      <x:c r="I414" s="31" t="str"/>
      <x:c r="J414" s="31" t="str"/>
      <x:c r="K414" s="31" t="str"/>
      <x:c r="L414" s="28" t="str">
        <x:f>IF(K414="","OPEN",IF(OR(I414="",J414=""),"FAIL",IF(I414=H414,"PASS","FAIL")))</x:f>
        <x:v>OPEN</x:v>
      </x:c>
    </x:row>
    <x:row r="415">
      <x:c r="B415" s="28" t="str">
        <x:v>IF-ROT-PEA-C-X1-6-01</x:v>
      </x:c>
      <x:c r="C415" s="28" t="str">
        <x:v>ROT-PEA-C-X1-6</x:v>
      </x:c>
      <x:c r="D415" s="28" t="str">
        <x:v>PEA-C-X1</x:v>
      </x:c>
      <x:c r="E415" s="28" t="str">
        <x:v>RFP-C1</x:v>
      </x:c>
      <x:c r="F415" s="28" t="n">
        <x:v>1</x:v>
      </x:c>
      <x:c r="G415" s="28" t="str">
        <x:v>public datum and load path</x:v>
      </x:c>
      <x:c r="H415" s="28" t="str">
        <x:v>CONFORMS</x:v>
      </x:c>
      <x:c r="I415" s="31" t="str"/>
      <x:c r="J415" s="31" t="str"/>
      <x:c r="K415" s="31" t="str"/>
      <x:c r="L415" s="28" t="str">
        <x:f>IF(K415="","OPEN",IF(OR(I415="",J415=""),"FAIL",IF(I415=H415,"PASS","FAIL")))</x:f>
        <x:v>OPEN</x:v>
      </x:c>
    </x:row>
    <x:row r="416">
      <x:c r="B416" s="28" t="str">
        <x:v>IF-ROT-PEA-C-X1-6-02</x:v>
      </x:c>
      <x:c r="C416" s="28" t="str">
        <x:v>ROT-PEA-C-X1-6</x:v>
      </x:c>
      <x:c r="D416" s="28" t="str">
        <x:v>PEA-C-X1</x:v>
      </x:c>
      <x:c r="E416" s="28" t="str">
        <x:v>RFP-C1</x:v>
      </x:c>
      <x:c r="F416" s="28" t="n">
        <x:v>2</x:v>
      </x:c>
      <x:c r="G416" s="28" t="str">
        <x:v>source-origin boundary</x:v>
      </x:c>
      <x:c r="H416" s="28" t="str">
        <x:v>CONFORMS</x:v>
      </x:c>
      <x:c r="I416" s="31" t="str"/>
      <x:c r="J416" s="31" t="str"/>
      <x:c r="K416" s="31" t="str"/>
      <x:c r="L416" s="28" t="str">
        <x:f>IF(K416="","OPEN",IF(OR(I416="",J416=""),"FAIL",IF(I416=H416,"PASS","FAIL")))</x:f>
        <x:v>OPEN</x:v>
      </x:c>
    </x:row>
    <x:row r="417">
      <x:c r="B417" s="28" t="str">
        <x:v>IF-ROT-PEA-C-X1-6-03</x:v>
      </x:c>
      <x:c r="C417" s="28" t="str">
        <x:v>ROT-PEA-C-X1-6</x:v>
      </x:c>
      <x:c r="D417" s="28" t="str">
        <x:v>PEA-C-X1</x:v>
      </x:c>
      <x:c r="E417" s="28" t="str">
        <x:v>RFP-C1</x:v>
      </x:c>
      <x:c r="F417" s="28" t="n">
        <x:v>3</x:v>
      </x:c>
      <x:c r="G417" s="28" t="str">
        <x:v>normal route</x:v>
      </x:c>
      <x:c r="H417" s="28" t="str">
        <x:v>CONFORMS</x:v>
      </x:c>
      <x:c r="I417" s="31" t="str"/>
      <x:c r="J417" s="31" t="str"/>
      <x:c r="K417" s="31" t="str"/>
      <x:c r="L417" s="28" t="str">
        <x:f>IF(K417="","OPEN",IF(OR(I417="",J417=""),"FAIL",IF(I417=H417,"PASS","FAIL")))</x:f>
        <x:v>OPEN</x:v>
      </x:c>
    </x:row>
    <x:row r="418">
      <x:c r="B418" s="28" t="str">
        <x:v>IF-ROT-PEA-C-X1-6-04</x:v>
      </x:c>
      <x:c r="C418" s="28" t="str">
        <x:v>ROT-PEA-C-X1-6</x:v>
      </x:c>
      <x:c r="D418" s="28" t="str">
        <x:v>PEA-C-X1</x:v>
      </x:c>
      <x:c r="E418" s="28" t="str">
        <x:v>RFP-C1</x:v>
      </x:c>
      <x:c r="F418" s="28" t="n">
        <x:v>4</x:v>
      </x:c>
      <x:c r="G418" s="28" t="str">
        <x:v>casualty-source route</x:v>
      </x:c>
      <x:c r="H418" s="28" t="str">
        <x:v>CONFORMS</x:v>
      </x:c>
      <x:c r="I418" s="31" t="str"/>
      <x:c r="J418" s="31" t="str"/>
      <x:c r="K418" s="31" t="str"/>
      <x:c r="L418" s="28" t="str">
        <x:f>IF(K418="","OPEN",IF(OR(I418="",J418=""),"FAIL",IF(I418=H418,"PASS","FAIL")))</x:f>
        <x:v>OPEN</x:v>
      </x:c>
    </x:row>
    <x:row r="419">
      <x:c r="B419" s="28" t="str">
        <x:v>IF-ROT-PEA-C-X1-6-05</x:v>
      </x:c>
      <x:c r="C419" s="28" t="str">
        <x:v>ROT-PEA-C-X1-6</x:v>
      </x:c>
      <x:c r="D419" s="28" t="str">
        <x:v>PEA-C-X1</x:v>
      </x:c>
      <x:c r="E419" s="28" t="str">
        <x:v>RFP-C1</x:v>
      </x:c>
      <x:c r="F419" s="28" t="n">
        <x:v>5</x:v>
      </x:c>
      <x:c r="G419" s="28" t="str">
        <x:v>water supply and return</x:v>
      </x:c>
      <x:c r="H419" s="28" t="str">
        <x:v>CONFORMS</x:v>
      </x:c>
      <x:c r="I419" s="31" t="str"/>
      <x:c r="J419" s="31" t="str"/>
      <x:c r="K419" s="31" t="str"/>
      <x:c r="L419" s="28" t="str">
        <x:f>IF(K419="","OPEN",IF(OR(I419="",J419=""),"FAIL",IF(I419=H419,"PASS","FAIL")))</x:f>
        <x:v>OPEN</x:v>
      </x:c>
    </x:row>
    <x:row r="420">
      <x:c r="B420" s="28" t="str">
        <x:v>IF-ROT-PEA-C-X1-6-06</x:v>
      </x:c>
      <x:c r="C420" s="28" t="str">
        <x:v>ROT-PEA-C-X1-6</x:v>
      </x:c>
      <x:c r="D420" s="28" t="str">
        <x:v>PEA-C-X1</x:v>
      </x:c>
      <x:c r="E420" s="28" t="str">
        <x:v>RFP-C1</x:v>
      </x:c>
      <x:c r="F420" s="28" t="n">
        <x:v>6</x:v>
      </x:c>
      <x:c r="G420" s="28" t="str">
        <x:v>casualty-water route</x:v>
      </x:c>
      <x:c r="H420" s="28" t="str">
        <x:v>CONFORMS</x:v>
      </x:c>
      <x:c r="I420" s="31" t="str"/>
      <x:c r="J420" s="31" t="str"/>
      <x:c r="K420" s="31" t="str"/>
      <x:c r="L420" s="28" t="str">
        <x:f>IF(K420="","OPEN",IF(OR(I420="",J420=""),"FAIL",IF(I420=H420,"PASS","FAIL")))</x:f>
        <x:v>OPEN</x:v>
      </x:c>
    </x:row>
    <x:row r="421">
      <x:c r="B421" s="28" t="str">
        <x:v>IF-ROT-PEA-C-X1-6-07</x:v>
      </x:c>
      <x:c r="C421" s="28" t="str">
        <x:v>ROT-PEA-C-X1-6</x:v>
      </x:c>
      <x:c r="D421" s="28" t="str">
        <x:v>PEA-C-X1</x:v>
      </x:c>
      <x:c r="E421" s="28" t="str">
        <x:v>RFP-C1</x:v>
      </x:c>
      <x:c r="F421" s="28" t="n">
        <x:v>7</x:v>
      </x:c>
      <x:c r="G421" s="28" t="str">
        <x:v>normal electrical power</x:v>
      </x:c>
      <x:c r="H421" s="28" t="str">
        <x:v>CONFORMS</x:v>
      </x:c>
      <x:c r="I421" s="31" t="str"/>
      <x:c r="J421" s="31" t="str"/>
      <x:c r="K421" s="31" t="str"/>
      <x:c r="L421" s="28" t="str">
        <x:f>IF(K421="","OPEN",IF(OR(I421="",J421=""),"FAIL",IF(I421=H421,"PASS","FAIL")))</x:f>
        <x:v>OPEN</x:v>
      </x:c>
    </x:row>
    <x:row r="422">
      <x:c r="B422" s="28" t="str">
        <x:v>IF-ROT-PEA-C-X1-6-08</x:v>
      </x:c>
      <x:c r="C422" s="28" t="str">
        <x:v>ROT-PEA-C-X1-6</x:v>
      </x:c>
      <x:c r="D422" s="28" t="str">
        <x:v>PEA-C-X1</x:v>
      </x:c>
      <x:c r="E422" s="28" t="str">
        <x:v>RFP-C1</x:v>
      </x:c>
      <x:c r="F422" s="28" t="n">
        <x:v>8</x:v>
      </x:c>
      <x:c r="G422" s="28" t="str">
        <x:v>independent safety energy</x:v>
      </x:c>
      <x:c r="H422" s="28" t="str">
        <x:v>CONFORMS</x:v>
      </x:c>
      <x:c r="I422" s="31" t="str"/>
      <x:c r="J422" s="31" t="str"/>
      <x:c r="K422" s="31" t="str"/>
      <x:c r="L422" s="28" t="str">
        <x:f>IF(K422="","OPEN",IF(OR(I422="",J422=""),"FAIL",IF(I422=H422,"PASS","FAIL")))</x:f>
        <x:v>OPEN</x:v>
      </x:c>
    </x:row>
    <x:row r="423">
      <x:c r="B423" s="28" t="str">
        <x:v>IF-ROT-PEA-C-X1-6-09</x:v>
      </x:c>
      <x:c r="C423" s="28" t="str">
        <x:v>ROT-PEA-C-X1-6</x:v>
      </x:c>
      <x:c r="D423" s="28" t="str">
        <x:v>PEA-C-X1</x:v>
      </x:c>
      <x:c r="E423" s="28" t="str">
        <x:v>RFP-C1</x:v>
      </x:c>
      <x:c r="F423" s="28" t="n">
        <x:v>9</x:v>
      </x:c>
      <x:c r="G423" s="28" t="str">
        <x:v>causal-time roots</x:v>
      </x:c>
      <x:c r="H423" s="28" t="str">
        <x:v>CONFORMS</x:v>
      </x:c>
      <x:c r="I423" s="31" t="str"/>
      <x:c r="J423" s="31" t="str"/>
      <x:c r="K423" s="31" t="str"/>
      <x:c r="L423" s="28" t="str">
        <x:f>IF(K423="","OPEN",IF(OR(I423="",J423=""),"FAIL",IF(I423=H423,"PASS","FAIL")))</x:f>
        <x:v>OPEN</x:v>
      </x:c>
    </x:row>
    <x:row r="424">
      <x:c r="B424" s="28" t="str">
        <x:v>IF-ROT-PEA-C-X1-6-10</x:v>
      </x:c>
      <x:c r="C424" s="28" t="str">
        <x:v>ROT-PEA-C-X1-6</x:v>
      </x:c>
      <x:c r="D424" s="28" t="str">
        <x:v>PEA-C-X1</x:v>
      </x:c>
      <x:c r="E424" s="28" t="str">
        <x:v>RFP-C1</x:v>
      </x:c>
      <x:c r="F424" s="28" t="n">
        <x:v>10</x:v>
      </x:c>
      <x:c r="G424" s="28" t="str">
        <x:v>two evidence originals</x:v>
      </x:c>
      <x:c r="H424" s="28" t="str">
        <x:v>CONFORMS</x:v>
      </x:c>
      <x:c r="I424" s="31" t="str"/>
      <x:c r="J424" s="31" t="str"/>
      <x:c r="K424" s="31" t="str"/>
      <x:c r="L424" s="28" t="str">
        <x:f>IF(K424="","OPEN",IF(OR(I424="",J424=""),"FAIL",IF(I424=H424,"PASS","FAIL")))</x:f>
        <x:v>OPEN</x:v>
      </x:c>
    </x:row>
    <x:row r="425">
      <x:c r="B425" s="28" t="str">
        <x:v>IF-ROT-PEA-C-X1-6-11</x:v>
      </x:c>
      <x:c r="C425" s="28" t="str">
        <x:v>ROT-PEA-C-X1-6</x:v>
      </x:c>
      <x:c r="D425" s="28" t="str">
        <x:v>PEA-C-X1</x:v>
      </x:c>
      <x:c r="E425" s="28" t="str">
        <x:v>RFP-C1</x:v>
      </x:c>
      <x:c r="F425" s="28" t="n">
        <x:v>11</x:v>
      </x:c>
      <x:c r="G425" s="28" t="str">
        <x:v>safeing command and final state</x:v>
      </x:c>
      <x:c r="H425" s="28" t="str">
        <x:v>CONFORMS</x:v>
      </x:c>
      <x:c r="I425" s="31" t="str"/>
      <x:c r="J425" s="31" t="str"/>
      <x:c r="K425" s="31" t="str"/>
      <x:c r="L425" s="28" t="str">
        <x:f>IF(K425="","OPEN",IF(OR(I425="",J425=""),"FAIL",IF(I425=H425,"PASS","FAIL")))</x:f>
        <x:v>OPEN</x:v>
      </x:c>
    </x:row>
    <x:row r="426">
      <x:c r="B426" s="28" t="str">
        <x:v>IF-ROT-PEA-C-X1-6-12</x:v>
      </x:c>
      <x:c r="C426" s="28" t="str">
        <x:v>ROT-PEA-C-X1-6</x:v>
      </x:c>
      <x:c r="D426" s="28" t="str">
        <x:v>PEA-C-X1</x:v>
      </x:c>
      <x:c r="E426" s="28" t="str">
        <x:v>RFP-C1</x:v>
      </x:c>
      <x:c r="F426" s="28" t="n">
        <x:v>12</x:v>
      </x:c>
      <x:c r="G426" s="28" t="str">
        <x:v>rescue access</x:v>
      </x:c>
      <x:c r="H426" s="28" t="str">
        <x:v>CONFORMS</x:v>
      </x:c>
      <x:c r="I426" s="31" t="str"/>
      <x:c r="J426" s="31" t="str"/>
      <x:c r="K426" s="31" t="str"/>
      <x:c r="L426" s="28" t="str">
        <x:f>IF(K426="","OPEN",IF(OR(I426="",J426=""),"FAIL",IF(I426=H426,"PASS","FAIL")))</x:f>
        <x:v>OPEN</x:v>
      </x:c>
    </x:row>
    <x:row r="427">
      <x:c r="B427" s="28" t="str">
        <x:v>IF-ROT-PEA-C-Y1-6-01</x:v>
      </x:c>
      <x:c r="C427" s="28" t="str">
        <x:v>ROT-PEA-C-Y1-6</x:v>
      </x:c>
      <x:c r="D427" s="28" t="str">
        <x:v>PEA-C-Y1</x:v>
      </x:c>
      <x:c r="E427" s="28" t="str">
        <x:v>RFP-C2</x:v>
      </x:c>
      <x:c r="F427" s="28" t="n">
        <x:v>1</x:v>
      </x:c>
      <x:c r="G427" s="28" t="str">
        <x:v>public datum and load path</x:v>
      </x:c>
      <x:c r="H427" s="28" t="str">
        <x:v>CONFORMS</x:v>
      </x:c>
      <x:c r="I427" s="31" t="str"/>
      <x:c r="J427" s="31" t="str"/>
      <x:c r="K427" s="31" t="str"/>
      <x:c r="L427" s="28" t="str">
        <x:f>IF(K427="","OPEN",IF(OR(I427="",J427=""),"FAIL",IF(I427=H427,"PASS","FAIL")))</x:f>
        <x:v>OPEN</x:v>
      </x:c>
    </x:row>
    <x:row r="428">
      <x:c r="B428" s="28" t="str">
        <x:v>IF-ROT-PEA-C-Y1-6-02</x:v>
      </x:c>
      <x:c r="C428" s="28" t="str">
        <x:v>ROT-PEA-C-Y1-6</x:v>
      </x:c>
      <x:c r="D428" s="28" t="str">
        <x:v>PEA-C-Y1</x:v>
      </x:c>
      <x:c r="E428" s="28" t="str">
        <x:v>RFP-C2</x:v>
      </x:c>
      <x:c r="F428" s="28" t="n">
        <x:v>2</x:v>
      </x:c>
      <x:c r="G428" s="28" t="str">
        <x:v>source-origin boundary</x:v>
      </x:c>
      <x:c r="H428" s="28" t="str">
        <x:v>CONFORMS</x:v>
      </x:c>
      <x:c r="I428" s="31" t="str"/>
      <x:c r="J428" s="31" t="str"/>
      <x:c r="K428" s="31" t="str"/>
      <x:c r="L428" s="28" t="str">
        <x:f>IF(K428="","OPEN",IF(OR(I428="",J428=""),"FAIL",IF(I428=H428,"PASS","FAIL")))</x:f>
        <x:v>OPEN</x:v>
      </x:c>
    </x:row>
    <x:row r="429">
      <x:c r="B429" s="28" t="str">
        <x:v>IF-ROT-PEA-C-Y1-6-03</x:v>
      </x:c>
      <x:c r="C429" s="28" t="str">
        <x:v>ROT-PEA-C-Y1-6</x:v>
      </x:c>
      <x:c r="D429" s="28" t="str">
        <x:v>PEA-C-Y1</x:v>
      </x:c>
      <x:c r="E429" s="28" t="str">
        <x:v>RFP-C2</x:v>
      </x:c>
      <x:c r="F429" s="28" t="n">
        <x:v>3</x:v>
      </x:c>
      <x:c r="G429" s="28" t="str">
        <x:v>normal route</x:v>
      </x:c>
      <x:c r="H429" s="28" t="str">
        <x:v>CONFORMS</x:v>
      </x:c>
      <x:c r="I429" s="31" t="str"/>
      <x:c r="J429" s="31" t="str"/>
      <x:c r="K429" s="31" t="str"/>
      <x:c r="L429" s="28" t="str">
        <x:f>IF(K429="","OPEN",IF(OR(I429="",J429=""),"FAIL",IF(I429=H429,"PASS","FAIL")))</x:f>
        <x:v>OPEN</x:v>
      </x:c>
    </x:row>
    <x:row r="430">
      <x:c r="B430" s="28" t="str">
        <x:v>IF-ROT-PEA-C-Y1-6-04</x:v>
      </x:c>
      <x:c r="C430" s="28" t="str">
        <x:v>ROT-PEA-C-Y1-6</x:v>
      </x:c>
      <x:c r="D430" s="28" t="str">
        <x:v>PEA-C-Y1</x:v>
      </x:c>
      <x:c r="E430" s="28" t="str">
        <x:v>RFP-C2</x:v>
      </x:c>
      <x:c r="F430" s="28" t="n">
        <x:v>4</x:v>
      </x:c>
      <x:c r="G430" s="28" t="str">
        <x:v>casualty-source route</x:v>
      </x:c>
      <x:c r="H430" s="28" t="str">
        <x:v>CONFORMS</x:v>
      </x:c>
      <x:c r="I430" s="31" t="str"/>
      <x:c r="J430" s="31" t="str"/>
      <x:c r="K430" s="31" t="str"/>
      <x:c r="L430" s="28" t="str">
        <x:f>IF(K430="","OPEN",IF(OR(I430="",J430=""),"FAIL",IF(I430=H430,"PASS","FAIL")))</x:f>
        <x:v>OPEN</x:v>
      </x:c>
    </x:row>
    <x:row r="431">
      <x:c r="B431" s="28" t="str">
        <x:v>IF-ROT-PEA-C-Y1-6-05</x:v>
      </x:c>
      <x:c r="C431" s="28" t="str">
        <x:v>ROT-PEA-C-Y1-6</x:v>
      </x:c>
      <x:c r="D431" s="28" t="str">
        <x:v>PEA-C-Y1</x:v>
      </x:c>
      <x:c r="E431" s="28" t="str">
        <x:v>RFP-C2</x:v>
      </x:c>
      <x:c r="F431" s="28" t="n">
        <x:v>5</x:v>
      </x:c>
      <x:c r="G431" s="28" t="str">
        <x:v>water supply and return</x:v>
      </x:c>
      <x:c r="H431" s="28" t="str">
        <x:v>CONFORMS</x:v>
      </x:c>
      <x:c r="I431" s="31" t="str"/>
      <x:c r="J431" s="31" t="str"/>
      <x:c r="K431" s="31" t="str"/>
      <x:c r="L431" s="28" t="str">
        <x:f>IF(K431="","OPEN",IF(OR(I431="",J431=""),"FAIL",IF(I431=H431,"PASS","FAIL")))</x:f>
        <x:v>OPEN</x:v>
      </x:c>
    </x:row>
    <x:row r="432">
      <x:c r="B432" s="28" t="str">
        <x:v>IF-ROT-PEA-C-Y1-6-06</x:v>
      </x:c>
      <x:c r="C432" s="28" t="str">
        <x:v>ROT-PEA-C-Y1-6</x:v>
      </x:c>
      <x:c r="D432" s="28" t="str">
        <x:v>PEA-C-Y1</x:v>
      </x:c>
      <x:c r="E432" s="28" t="str">
        <x:v>RFP-C2</x:v>
      </x:c>
      <x:c r="F432" s="28" t="n">
        <x:v>6</x:v>
      </x:c>
      <x:c r="G432" s="28" t="str">
        <x:v>casualty-water route</x:v>
      </x:c>
      <x:c r="H432" s="28" t="str">
        <x:v>CONFORMS</x:v>
      </x:c>
      <x:c r="I432" s="31" t="str"/>
      <x:c r="J432" s="31" t="str"/>
      <x:c r="K432" s="31" t="str"/>
      <x:c r="L432" s="28" t="str">
        <x:f>IF(K432="","OPEN",IF(OR(I432="",J432=""),"FAIL",IF(I432=H432,"PASS","FAIL")))</x:f>
        <x:v>OPEN</x:v>
      </x:c>
    </x:row>
    <x:row r="433">
      <x:c r="B433" s="28" t="str">
        <x:v>IF-ROT-PEA-C-Y1-6-07</x:v>
      </x:c>
      <x:c r="C433" s="28" t="str">
        <x:v>ROT-PEA-C-Y1-6</x:v>
      </x:c>
      <x:c r="D433" s="28" t="str">
        <x:v>PEA-C-Y1</x:v>
      </x:c>
      <x:c r="E433" s="28" t="str">
        <x:v>RFP-C2</x:v>
      </x:c>
      <x:c r="F433" s="28" t="n">
        <x:v>7</x:v>
      </x:c>
      <x:c r="G433" s="28" t="str">
        <x:v>normal electrical power</x:v>
      </x:c>
      <x:c r="H433" s="28" t="str">
        <x:v>CONFORMS</x:v>
      </x:c>
      <x:c r="I433" s="31" t="str"/>
      <x:c r="J433" s="31" t="str"/>
      <x:c r="K433" s="31" t="str"/>
      <x:c r="L433" s="28" t="str">
        <x:f>IF(K433="","OPEN",IF(OR(I433="",J433=""),"FAIL",IF(I433=H433,"PASS","FAIL")))</x:f>
        <x:v>OPEN</x:v>
      </x:c>
    </x:row>
    <x:row r="434">
      <x:c r="B434" s="28" t="str">
        <x:v>IF-ROT-PEA-C-Y1-6-08</x:v>
      </x:c>
      <x:c r="C434" s="28" t="str">
        <x:v>ROT-PEA-C-Y1-6</x:v>
      </x:c>
      <x:c r="D434" s="28" t="str">
        <x:v>PEA-C-Y1</x:v>
      </x:c>
      <x:c r="E434" s="28" t="str">
        <x:v>RFP-C2</x:v>
      </x:c>
      <x:c r="F434" s="28" t="n">
        <x:v>8</x:v>
      </x:c>
      <x:c r="G434" s="28" t="str">
        <x:v>independent safety energy</x:v>
      </x:c>
      <x:c r="H434" s="28" t="str">
        <x:v>CONFORMS</x:v>
      </x:c>
      <x:c r="I434" s="31" t="str"/>
      <x:c r="J434" s="31" t="str"/>
      <x:c r="K434" s="31" t="str"/>
      <x:c r="L434" s="28" t="str">
        <x:f>IF(K434="","OPEN",IF(OR(I434="",J434=""),"FAIL",IF(I434=H434,"PASS","FAIL")))</x:f>
        <x:v>OPEN</x:v>
      </x:c>
    </x:row>
    <x:row r="435">
      <x:c r="B435" s="28" t="str">
        <x:v>IF-ROT-PEA-C-Y1-6-09</x:v>
      </x:c>
      <x:c r="C435" s="28" t="str">
        <x:v>ROT-PEA-C-Y1-6</x:v>
      </x:c>
      <x:c r="D435" s="28" t="str">
        <x:v>PEA-C-Y1</x:v>
      </x:c>
      <x:c r="E435" s="28" t="str">
        <x:v>RFP-C2</x:v>
      </x:c>
      <x:c r="F435" s="28" t="n">
        <x:v>9</x:v>
      </x:c>
      <x:c r="G435" s="28" t="str">
        <x:v>causal-time roots</x:v>
      </x:c>
      <x:c r="H435" s="28" t="str">
        <x:v>CONFORMS</x:v>
      </x:c>
      <x:c r="I435" s="31" t="str"/>
      <x:c r="J435" s="31" t="str"/>
      <x:c r="K435" s="31" t="str"/>
      <x:c r="L435" s="28" t="str">
        <x:f>IF(K435="","OPEN",IF(OR(I435="",J435=""),"FAIL",IF(I435=H435,"PASS","FAIL")))</x:f>
        <x:v>OPEN</x:v>
      </x:c>
    </x:row>
    <x:row r="436">
      <x:c r="B436" s="28" t="str">
        <x:v>IF-ROT-PEA-C-Y1-6-10</x:v>
      </x:c>
      <x:c r="C436" s="28" t="str">
        <x:v>ROT-PEA-C-Y1-6</x:v>
      </x:c>
      <x:c r="D436" s="28" t="str">
        <x:v>PEA-C-Y1</x:v>
      </x:c>
      <x:c r="E436" s="28" t="str">
        <x:v>RFP-C2</x:v>
      </x:c>
      <x:c r="F436" s="28" t="n">
        <x:v>10</x:v>
      </x:c>
      <x:c r="G436" s="28" t="str">
        <x:v>two evidence originals</x:v>
      </x:c>
      <x:c r="H436" s="28" t="str">
        <x:v>CONFORMS</x:v>
      </x:c>
      <x:c r="I436" s="31" t="str"/>
      <x:c r="J436" s="31" t="str"/>
      <x:c r="K436" s="31" t="str"/>
      <x:c r="L436" s="28" t="str">
        <x:f>IF(K436="","OPEN",IF(OR(I436="",J436=""),"FAIL",IF(I436=H436,"PASS","FAIL")))</x:f>
        <x:v>OPEN</x:v>
      </x:c>
    </x:row>
    <x:row r="437">
      <x:c r="B437" s="28" t="str">
        <x:v>IF-ROT-PEA-C-Y1-6-11</x:v>
      </x:c>
      <x:c r="C437" s="28" t="str">
        <x:v>ROT-PEA-C-Y1-6</x:v>
      </x:c>
      <x:c r="D437" s="28" t="str">
        <x:v>PEA-C-Y1</x:v>
      </x:c>
      <x:c r="E437" s="28" t="str">
        <x:v>RFP-C2</x:v>
      </x:c>
      <x:c r="F437" s="28" t="n">
        <x:v>11</x:v>
      </x:c>
      <x:c r="G437" s="28" t="str">
        <x:v>safeing command and final state</x:v>
      </x:c>
      <x:c r="H437" s="28" t="str">
        <x:v>CONFORMS</x:v>
      </x:c>
      <x:c r="I437" s="31" t="str"/>
      <x:c r="J437" s="31" t="str"/>
      <x:c r="K437" s="31" t="str"/>
      <x:c r="L437" s="28" t="str">
        <x:f>IF(K437="","OPEN",IF(OR(I437="",J437=""),"FAIL",IF(I437=H437,"PASS","FAIL")))</x:f>
        <x:v>OPEN</x:v>
      </x:c>
    </x:row>
    <x:row r="438">
      <x:c r="B438" s="28" t="str">
        <x:v>IF-ROT-PEA-C-Y1-6-12</x:v>
      </x:c>
      <x:c r="C438" s="28" t="str">
        <x:v>ROT-PEA-C-Y1-6</x:v>
      </x:c>
      <x:c r="D438" s="28" t="str">
        <x:v>PEA-C-Y1</x:v>
      </x:c>
      <x:c r="E438" s="28" t="str">
        <x:v>RFP-C2</x:v>
      </x:c>
      <x:c r="F438" s="28" t="n">
        <x:v>12</x:v>
      </x:c>
      <x:c r="G438" s="28" t="str">
        <x:v>rescue access</x:v>
      </x:c>
      <x:c r="H438" s="28" t="str">
        <x:v>CONFORMS</x:v>
      </x:c>
      <x:c r="I438" s="31" t="str"/>
      <x:c r="J438" s="31" t="str"/>
      <x:c r="K438" s="31" t="str"/>
      <x:c r="L438" s="28" t="str">
        <x:f>IF(K438="","OPEN",IF(OR(I438="",J438=""),"FAIL",IF(I438=H438,"PASS","FAIL")))</x:f>
        <x:v>OPEN</x:v>
      </x:c>
    </x:row>
  </x:sheetData>
  <x:conditionalFormatting sqref="L7:L438">
    <x:cfRule type="containsText" dxfId="30" priority="1" operator="containsText" text="FAIL"/>
    <x:cfRule type="containsText" dxfId="31" priority="2" operator="containsText" text="BLOCKED"/>
    <x:cfRule type="containsText" dxfId="32" priority="3" operator="containsText" text="EXPIRED"/>
    <x:cfRule type="containsText" dxfId="33" priority="4" operator="containsText" text="OPEN"/>
    <x:cfRule type="containsText" dxfId="34" priority="5" operator="containsText" text="DORMANT"/>
    <x:cfRule type="containsText" dxfId="35" priority="6" operator="containsText" text="PASS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31" hidden="0" customWidth="1"/>
    <x:col min="3" max="3" width="24" hidden="0" customWidth="1"/>
    <x:col min="4" max="4" width="13" hidden="0" customWidth="1"/>
    <x:col min="5" max="5" width="14" hidden="0" customWidth="1"/>
    <x:col min="6" max="6" width="14" hidden="0" customWidth="1"/>
    <x:col min="7" max="7" width="12" hidden="0" customWidth="1"/>
    <x:col min="8" max="8" width="22" hidden="0" customWidth="1"/>
    <x:col min="9" max="9" width="20" hidden="0" customWidth="1"/>
    <x:col min="10" max="10" width="21" hidden="0" customWidth="1"/>
    <x:col min="11" max="11" width="14" hidden="0" customWidth="1"/>
  </x:cols>
  <x:sheetData>
    <x:row r="2">
      <x:c r="B2" s="25" t="str">
        <x:v>Eighteen calibration-article rig sessions</x:v>
      </x:c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B3" s="27" t="str">
        <x:v>Every rig receives all three calibration articles. Each session requires all twenty-four measurement families.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</x:row>
    <x:row r="6" ht="24" customHeight="1">
      <x:c r="B6" s="6" t="str">
        <x:v>Session</x:v>
      </x:c>
      <x:c r="C6" s="6" t="str">
        <x:v>Calibration article</x:v>
      </x:c>
      <x:c r="D6" s="6" t="str">
        <x:v>Lineage</x:v>
      </x:c>
      <x:c r="E6" s="6" t="str">
        <x:v>Rig</x:v>
      </x:c>
      <x:c r="F6" s="6" t="str">
        <x:v>Campus</x:v>
      </x:c>
      <x:c r="G6" s="6" t="str">
        <x:v>Round</x:v>
      </x:c>
      <x:c r="H6" s="6" t="str">
        <x:v>Required families</x:v>
      </x:c>
      <x:c r="I6" s="6" t="str">
        <x:v>Passing families</x:v>
      </x:c>
      <x:c r="J6" s="6" t="str">
        <x:v>Accepted UTC</x:v>
      </x:c>
      <x:c r="K6" s="6" t="str">
        <x:v>State</x:v>
      </x:c>
    </x:row>
    <x:row r="7">
      <x:c r="B7" s="28" t="str">
        <x:v>CAL-PEA-A-X3-RFP-A1</x:v>
      </x:c>
      <x:c r="C7" s="28" t="str">
        <x:v>PEA-A-X3</x:v>
      </x:c>
      <x:c r="D7" s="28" t="str">
        <x:v>BL-X</x:v>
      </x:c>
      <x:c r="E7" s="28" t="str">
        <x:v>RFP-A1</x:v>
      </x:c>
      <x:c r="F7" s="28" t="str">
        <x:v>PTC-A</x:v>
      </x:c>
      <x:c r="G7" s="28" t="n">
        <x:v>1</x:v>
      </x:c>
      <x:c r="H7" s="28" t="n">
        <x:v>24</x:v>
      </x:c>
      <x:c r="I7" s="28" t="n">
        <x:f>COUNTIFS('Calibration Records'!C7:C438,B7,'Calibration Records'!N7:N438,"PASS")</x:f>
        <x:v>0</x:v>
      </x:c>
      <x:c r="J7" s="31" t="str"/>
      <x:c r="K7" s="28" t="str">
        <x:f>IF(J7="","OPEN",IF(I7=H7,"PASS","FAIL"))</x:f>
        <x:v>OPEN</x:v>
      </x:c>
    </x:row>
    <x:row r="8">
      <x:c r="B8" s="28" t="str">
        <x:v>CAL-PEA-B-X3-RFP-B1</x:v>
      </x:c>
      <x:c r="C8" s="28" t="str">
        <x:v>PEA-B-X3</x:v>
      </x:c>
      <x:c r="D8" s="28" t="str">
        <x:v>BL-X</x:v>
      </x:c>
      <x:c r="E8" s="28" t="str">
        <x:v>RFP-B1</x:v>
      </x:c>
      <x:c r="F8" s="28" t="str">
        <x:v>PTC-B</x:v>
      </x:c>
      <x:c r="G8" s="28" t="n">
        <x:v>1</x:v>
      </x:c>
      <x:c r="H8" s="28" t="n">
        <x:v>24</x:v>
      </x:c>
      <x:c r="I8" s="28" t="n">
        <x:f>COUNTIFS('Calibration Records'!C7:C438,B8,'Calibration Records'!N7:N438,"PASS")</x:f>
        <x:v>0</x:v>
      </x:c>
      <x:c r="J8" s="31" t="str"/>
      <x:c r="K8" s="28" t="str">
        <x:f>IF(J8="","OPEN",IF(I8=H8,"PASS","FAIL"))</x:f>
        <x:v>OPEN</x:v>
      </x:c>
    </x:row>
    <x:row r="9">
      <x:c r="B9" s="28" t="str">
        <x:v>CAL-PEA-C-Y3-RFP-C1</x:v>
      </x:c>
      <x:c r="C9" s="28" t="str">
        <x:v>PEA-C-Y3</x:v>
      </x:c>
      <x:c r="D9" s="28" t="str">
        <x:v>BL-Y</x:v>
      </x:c>
      <x:c r="E9" s="28" t="str">
        <x:v>RFP-C1</x:v>
      </x:c>
      <x:c r="F9" s="28" t="str">
        <x:v>PTC-C</x:v>
      </x:c>
      <x:c r="G9" s="28" t="n">
        <x:v>1</x:v>
      </x:c>
      <x:c r="H9" s="28" t="n">
        <x:v>24</x:v>
      </x:c>
      <x:c r="I9" s="28" t="n">
        <x:f>COUNTIFS('Calibration Records'!C7:C438,B9,'Calibration Records'!N7:N438,"PASS")</x:f>
        <x:v>0</x:v>
      </x:c>
      <x:c r="J9" s="31" t="str"/>
      <x:c r="K9" s="28" t="str">
        <x:f>IF(J9="","OPEN",IF(I9=H9,"PASS","FAIL"))</x:f>
        <x:v>OPEN</x:v>
      </x:c>
    </x:row>
    <x:row r="10">
      <x:c r="B10" s="28" t="str">
        <x:v>CAL-PEA-A-X3-RFP-A2</x:v>
      </x:c>
      <x:c r="C10" s="28" t="str">
        <x:v>PEA-A-X3</x:v>
      </x:c>
      <x:c r="D10" s="28" t="str">
        <x:v>BL-X</x:v>
      </x:c>
      <x:c r="E10" s="28" t="str">
        <x:v>RFP-A2</x:v>
      </x:c>
      <x:c r="F10" s="28" t="str">
        <x:v>PTC-A</x:v>
      </x:c>
      <x:c r="G10" s="28" t="n">
        <x:v>2</x:v>
      </x:c>
      <x:c r="H10" s="28" t="n">
        <x:v>24</x:v>
      </x:c>
      <x:c r="I10" s="28" t="n">
        <x:f>COUNTIFS('Calibration Records'!C7:C438,B10,'Calibration Records'!N7:N438,"PASS")</x:f>
        <x:v>0</x:v>
      </x:c>
      <x:c r="J10" s="31" t="str"/>
      <x:c r="K10" s="28" t="str">
        <x:f>IF(J10="","OPEN",IF(I10=H10,"PASS","FAIL"))</x:f>
        <x:v>OPEN</x:v>
      </x:c>
    </x:row>
    <x:row r="11">
      <x:c r="B11" s="28" t="str">
        <x:v>CAL-PEA-B-X3-RFP-B2</x:v>
      </x:c>
      <x:c r="C11" s="28" t="str">
        <x:v>PEA-B-X3</x:v>
      </x:c>
      <x:c r="D11" s="28" t="str">
        <x:v>BL-X</x:v>
      </x:c>
      <x:c r="E11" s="28" t="str">
        <x:v>RFP-B2</x:v>
      </x:c>
      <x:c r="F11" s="28" t="str">
        <x:v>PTC-B</x:v>
      </x:c>
      <x:c r="G11" s="28" t="n">
        <x:v>2</x:v>
      </x:c>
      <x:c r="H11" s="28" t="n">
        <x:v>24</x:v>
      </x:c>
      <x:c r="I11" s="28" t="n">
        <x:f>COUNTIFS('Calibration Records'!C7:C438,B11,'Calibration Records'!N7:N438,"PASS")</x:f>
        <x:v>0</x:v>
      </x:c>
      <x:c r="J11" s="31" t="str"/>
      <x:c r="K11" s="28" t="str">
        <x:f>IF(J11="","OPEN",IF(I11=H11,"PASS","FAIL"))</x:f>
        <x:v>OPEN</x:v>
      </x:c>
    </x:row>
    <x:row r="12">
      <x:c r="B12" s="28" t="str">
        <x:v>CAL-PEA-C-Y3-RFP-C2</x:v>
      </x:c>
      <x:c r="C12" s="28" t="str">
        <x:v>PEA-C-Y3</x:v>
      </x:c>
      <x:c r="D12" s="28" t="str">
        <x:v>BL-Y</x:v>
      </x:c>
      <x:c r="E12" s="28" t="str">
        <x:v>RFP-C2</x:v>
      </x:c>
      <x:c r="F12" s="28" t="str">
        <x:v>PTC-C</x:v>
      </x:c>
      <x:c r="G12" s="28" t="n">
        <x:v>2</x:v>
      </x:c>
      <x:c r="H12" s="28" t="n">
        <x:v>24</x:v>
      </x:c>
      <x:c r="I12" s="28" t="n">
        <x:f>COUNTIFS('Calibration Records'!C7:C438,B12,'Calibration Records'!N7:N438,"PASS")</x:f>
        <x:v>0</x:v>
      </x:c>
      <x:c r="J12" s="31" t="str"/>
      <x:c r="K12" s="28" t="str">
        <x:f>IF(J12="","OPEN",IF(I12=H12,"PASS","FAIL"))</x:f>
        <x:v>OPEN</x:v>
      </x:c>
    </x:row>
    <x:row r="13">
      <x:c r="B13" s="28" t="str">
        <x:v>CAL-PEA-C-Y3-RFP-A1</x:v>
      </x:c>
      <x:c r="C13" s="28" t="str">
        <x:v>PEA-C-Y3</x:v>
      </x:c>
      <x:c r="D13" s="28" t="str">
        <x:v>BL-Y</x:v>
      </x:c>
      <x:c r="E13" s="28" t="str">
        <x:v>RFP-A1</x:v>
      </x:c>
      <x:c r="F13" s="28" t="str">
        <x:v>PTC-A</x:v>
      </x:c>
      <x:c r="G13" s="28" t="n">
        <x:v>3</x:v>
      </x:c>
      <x:c r="H13" s="28" t="n">
        <x:v>24</x:v>
      </x:c>
      <x:c r="I13" s="28" t="n">
        <x:f>COUNTIFS('Calibration Records'!C7:C438,B13,'Calibration Records'!N7:N438,"PASS")</x:f>
        <x:v>0</x:v>
      </x:c>
      <x:c r="J13" s="31" t="str"/>
      <x:c r="K13" s="28" t="str">
        <x:f>IF(J13="","OPEN",IF(I13=H13,"PASS","FAIL"))</x:f>
        <x:v>OPEN</x:v>
      </x:c>
    </x:row>
    <x:row r="14">
      <x:c r="B14" s="28" t="str">
        <x:v>CAL-PEA-A-X3-RFP-B1</x:v>
      </x:c>
      <x:c r="C14" s="28" t="str">
        <x:v>PEA-A-X3</x:v>
      </x:c>
      <x:c r="D14" s="28" t="str">
        <x:v>BL-X</x:v>
      </x:c>
      <x:c r="E14" s="28" t="str">
        <x:v>RFP-B1</x:v>
      </x:c>
      <x:c r="F14" s="28" t="str">
        <x:v>PTC-B</x:v>
      </x:c>
      <x:c r="G14" s="28" t="n">
        <x:v>3</x:v>
      </x:c>
      <x:c r="H14" s="28" t="n">
        <x:v>24</x:v>
      </x:c>
      <x:c r="I14" s="28" t="n">
        <x:f>COUNTIFS('Calibration Records'!C7:C438,B14,'Calibration Records'!N7:N438,"PASS")</x:f>
        <x:v>0</x:v>
      </x:c>
      <x:c r="J14" s="31" t="str"/>
      <x:c r="K14" s="28" t="str">
        <x:f>IF(J14="","OPEN",IF(I14=H14,"PASS","FAIL"))</x:f>
        <x:v>OPEN</x:v>
      </x:c>
    </x:row>
    <x:row r="15">
      <x:c r="B15" s="28" t="str">
        <x:v>CAL-PEA-B-X3-RFP-C1</x:v>
      </x:c>
      <x:c r="C15" s="28" t="str">
        <x:v>PEA-B-X3</x:v>
      </x:c>
      <x:c r="D15" s="28" t="str">
        <x:v>BL-X</x:v>
      </x:c>
      <x:c r="E15" s="28" t="str">
        <x:v>RFP-C1</x:v>
      </x:c>
      <x:c r="F15" s="28" t="str">
        <x:v>PTC-C</x:v>
      </x:c>
      <x:c r="G15" s="28" t="n">
        <x:v>3</x:v>
      </x:c>
      <x:c r="H15" s="28" t="n">
        <x:v>24</x:v>
      </x:c>
      <x:c r="I15" s="28" t="n">
        <x:f>COUNTIFS('Calibration Records'!C7:C438,B15,'Calibration Records'!N7:N438,"PASS")</x:f>
        <x:v>0</x:v>
      </x:c>
      <x:c r="J15" s="31" t="str"/>
      <x:c r="K15" s="28" t="str">
        <x:f>IF(J15="","OPEN",IF(I15=H15,"PASS","FAIL"))</x:f>
        <x:v>OPEN</x:v>
      </x:c>
    </x:row>
    <x:row r="16">
      <x:c r="B16" s="28" t="str">
        <x:v>CAL-PEA-C-Y3-RFP-A2</x:v>
      </x:c>
      <x:c r="C16" s="28" t="str">
        <x:v>PEA-C-Y3</x:v>
      </x:c>
      <x:c r="D16" s="28" t="str">
        <x:v>BL-Y</x:v>
      </x:c>
      <x:c r="E16" s="28" t="str">
        <x:v>RFP-A2</x:v>
      </x:c>
      <x:c r="F16" s="28" t="str">
        <x:v>PTC-A</x:v>
      </x:c>
      <x:c r="G16" s="28" t="n">
        <x:v>4</x:v>
      </x:c>
      <x:c r="H16" s="28" t="n">
        <x:v>24</x:v>
      </x:c>
      <x:c r="I16" s="28" t="n">
        <x:f>COUNTIFS('Calibration Records'!C7:C438,B16,'Calibration Records'!N7:N438,"PASS")</x:f>
        <x:v>0</x:v>
      </x:c>
      <x:c r="J16" s="31" t="str"/>
      <x:c r="K16" s="28" t="str">
        <x:f>IF(J16="","OPEN",IF(I16=H16,"PASS","FAIL"))</x:f>
        <x:v>OPEN</x:v>
      </x:c>
    </x:row>
    <x:row r="17">
      <x:c r="B17" s="28" t="str">
        <x:v>CAL-PEA-A-X3-RFP-B2</x:v>
      </x:c>
      <x:c r="C17" s="28" t="str">
        <x:v>PEA-A-X3</x:v>
      </x:c>
      <x:c r="D17" s="28" t="str">
        <x:v>BL-X</x:v>
      </x:c>
      <x:c r="E17" s="28" t="str">
        <x:v>RFP-B2</x:v>
      </x:c>
      <x:c r="F17" s="28" t="str">
        <x:v>PTC-B</x:v>
      </x:c>
      <x:c r="G17" s="28" t="n">
        <x:v>4</x:v>
      </x:c>
      <x:c r="H17" s="28" t="n">
        <x:v>24</x:v>
      </x:c>
      <x:c r="I17" s="28" t="n">
        <x:f>COUNTIFS('Calibration Records'!C7:C438,B17,'Calibration Records'!N7:N438,"PASS")</x:f>
        <x:v>0</x:v>
      </x:c>
      <x:c r="J17" s="31" t="str"/>
      <x:c r="K17" s="28" t="str">
        <x:f>IF(J17="","OPEN",IF(I17=H17,"PASS","FAIL"))</x:f>
        <x:v>OPEN</x:v>
      </x:c>
    </x:row>
    <x:row r="18">
      <x:c r="B18" s="28" t="str">
        <x:v>CAL-PEA-B-X3-RFP-C2</x:v>
      </x:c>
      <x:c r="C18" s="28" t="str">
        <x:v>PEA-B-X3</x:v>
      </x:c>
      <x:c r="D18" s="28" t="str">
        <x:v>BL-X</x:v>
      </x:c>
      <x:c r="E18" s="28" t="str">
        <x:v>RFP-C2</x:v>
      </x:c>
      <x:c r="F18" s="28" t="str">
        <x:v>PTC-C</x:v>
      </x:c>
      <x:c r="G18" s="28" t="n">
        <x:v>4</x:v>
      </x:c>
      <x:c r="H18" s="28" t="n">
        <x:v>24</x:v>
      </x:c>
      <x:c r="I18" s="28" t="n">
        <x:f>COUNTIFS('Calibration Records'!C7:C438,B18,'Calibration Records'!N7:N438,"PASS")</x:f>
        <x:v>0</x:v>
      </x:c>
      <x:c r="J18" s="31" t="str"/>
      <x:c r="K18" s="28" t="str">
        <x:f>IF(J18="","OPEN",IF(I18=H18,"PASS","FAIL"))</x:f>
        <x:v>OPEN</x:v>
      </x:c>
    </x:row>
    <x:row r="19">
      <x:c r="B19" s="28" t="str">
        <x:v>CAL-PEA-B-X3-RFP-A1</x:v>
      </x:c>
      <x:c r="C19" s="28" t="str">
        <x:v>PEA-B-X3</x:v>
      </x:c>
      <x:c r="D19" s="28" t="str">
        <x:v>BL-X</x:v>
      </x:c>
      <x:c r="E19" s="28" t="str">
        <x:v>RFP-A1</x:v>
      </x:c>
      <x:c r="F19" s="28" t="str">
        <x:v>PTC-A</x:v>
      </x:c>
      <x:c r="G19" s="28" t="n">
        <x:v>5</x:v>
      </x:c>
      <x:c r="H19" s="28" t="n">
        <x:v>24</x:v>
      </x:c>
      <x:c r="I19" s="28" t="n">
        <x:f>COUNTIFS('Calibration Records'!C7:C438,B19,'Calibration Records'!N7:N438,"PASS")</x:f>
        <x:v>0</x:v>
      </x:c>
      <x:c r="J19" s="31" t="str"/>
      <x:c r="K19" s="28" t="str">
        <x:f>IF(J19="","OPEN",IF(I19=H19,"PASS","FAIL"))</x:f>
        <x:v>OPEN</x:v>
      </x:c>
    </x:row>
    <x:row r="20">
      <x:c r="B20" s="28" t="str">
        <x:v>CAL-PEA-C-Y3-RFP-B1</x:v>
      </x:c>
      <x:c r="C20" s="28" t="str">
        <x:v>PEA-C-Y3</x:v>
      </x:c>
      <x:c r="D20" s="28" t="str">
        <x:v>BL-Y</x:v>
      </x:c>
      <x:c r="E20" s="28" t="str">
        <x:v>RFP-B1</x:v>
      </x:c>
      <x:c r="F20" s="28" t="str">
        <x:v>PTC-B</x:v>
      </x:c>
      <x:c r="G20" s="28" t="n">
        <x:v>5</x:v>
      </x:c>
      <x:c r="H20" s="28" t="n">
        <x:v>24</x:v>
      </x:c>
      <x:c r="I20" s="28" t="n">
        <x:f>COUNTIFS('Calibration Records'!C7:C438,B20,'Calibration Records'!N7:N438,"PASS")</x:f>
        <x:v>0</x:v>
      </x:c>
      <x:c r="J20" s="31" t="str"/>
      <x:c r="K20" s="28" t="str">
        <x:f>IF(J20="","OPEN",IF(I20=H20,"PASS","FAIL"))</x:f>
        <x:v>OPEN</x:v>
      </x:c>
    </x:row>
    <x:row r="21">
      <x:c r="B21" s="28" t="str">
        <x:v>CAL-PEA-A-X3-RFP-C1</x:v>
      </x:c>
      <x:c r="C21" s="28" t="str">
        <x:v>PEA-A-X3</x:v>
      </x:c>
      <x:c r="D21" s="28" t="str">
        <x:v>BL-X</x:v>
      </x:c>
      <x:c r="E21" s="28" t="str">
        <x:v>RFP-C1</x:v>
      </x:c>
      <x:c r="F21" s="28" t="str">
        <x:v>PTC-C</x:v>
      </x:c>
      <x:c r="G21" s="28" t="n">
        <x:v>5</x:v>
      </x:c>
      <x:c r="H21" s="28" t="n">
        <x:v>24</x:v>
      </x:c>
      <x:c r="I21" s="28" t="n">
        <x:f>COUNTIFS('Calibration Records'!C7:C438,B21,'Calibration Records'!N7:N438,"PASS")</x:f>
        <x:v>0</x:v>
      </x:c>
      <x:c r="J21" s="31" t="str"/>
      <x:c r="K21" s="28" t="str">
        <x:f>IF(J21="","OPEN",IF(I21=H21,"PASS","FAIL"))</x:f>
        <x:v>OPEN</x:v>
      </x:c>
    </x:row>
    <x:row r="22">
      <x:c r="B22" s="28" t="str">
        <x:v>CAL-PEA-B-X3-RFP-A2</x:v>
      </x:c>
      <x:c r="C22" s="28" t="str">
        <x:v>PEA-B-X3</x:v>
      </x:c>
      <x:c r="D22" s="28" t="str">
        <x:v>BL-X</x:v>
      </x:c>
      <x:c r="E22" s="28" t="str">
        <x:v>RFP-A2</x:v>
      </x:c>
      <x:c r="F22" s="28" t="str">
        <x:v>PTC-A</x:v>
      </x:c>
      <x:c r="G22" s="28" t="n">
        <x:v>6</x:v>
      </x:c>
      <x:c r="H22" s="28" t="n">
        <x:v>24</x:v>
      </x:c>
      <x:c r="I22" s="28" t="n">
        <x:f>COUNTIFS('Calibration Records'!C7:C438,B22,'Calibration Records'!N7:N438,"PASS")</x:f>
        <x:v>0</x:v>
      </x:c>
      <x:c r="J22" s="31" t="str"/>
      <x:c r="K22" s="28" t="str">
        <x:f>IF(J22="","OPEN",IF(I22=H22,"PASS","FAIL"))</x:f>
        <x:v>OPEN</x:v>
      </x:c>
    </x:row>
    <x:row r="23">
      <x:c r="B23" s="28" t="str">
        <x:v>CAL-PEA-C-Y3-RFP-B2</x:v>
      </x:c>
      <x:c r="C23" s="28" t="str">
        <x:v>PEA-C-Y3</x:v>
      </x:c>
      <x:c r="D23" s="28" t="str">
        <x:v>BL-Y</x:v>
      </x:c>
      <x:c r="E23" s="28" t="str">
        <x:v>RFP-B2</x:v>
      </x:c>
      <x:c r="F23" s="28" t="str">
        <x:v>PTC-B</x:v>
      </x:c>
      <x:c r="G23" s="28" t="n">
        <x:v>6</x:v>
      </x:c>
      <x:c r="H23" s="28" t="n">
        <x:v>24</x:v>
      </x:c>
      <x:c r="I23" s="28" t="n">
        <x:f>COUNTIFS('Calibration Records'!C7:C438,B23,'Calibration Records'!N7:N438,"PASS")</x:f>
        <x:v>0</x:v>
      </x:c>
      <x:c r="J23" s="31" t="str"/>
      <x:c r="K23" s="28" t="str">
        <x:f>IF(J23="","OPEN",IF(I23=H23,"PASS","FAIL"))</x:f>
        <x:v>OPEN</x:v>
      </x:c>
    </x:row>
    <x:row r="24">
      <x:c r="B24" s="28" t="str">
        <x:v>CAL-PEA-A-X3-RFP-C2</x:v>
      </x:c>
      <x:c r="C24" s="28" t="str">
        <x:v>PEA-A-X3</x:v>
      </x:c>
      <x:c r="D24" s="28" t="str">
        <x:v>BL-X</x:v>
      </x:c>
      <x:c r="E24" s="28" t="str">
        <x:v>RFP-C2</x:v>
      </x:c>
      <x:c r="F24" s="28" t="str">
        <x:v>PTC-C</x:v>
      </x:c>
      <x:c r="G24" s="28" t="n">
        <x:v>6</x:v>
      </x:c>
      <x:c r="H24" s="28" t="n">
        <x:v>24</x:v>
      </x:c>
      <x:c r="I24" s="28" t="n">
        <x:f>COUNTIFS('Calibration Records'!C7:C438,B24,'Calibration Records'!N7:N438,"PASS")</x:f>
        <x:v>0</x:v>
      </x:c>
      <x:c r="J24" s="31" t="str"/>
      <x:c r="K24" s="28" t="str">
        <x:f>IF(J24="","OPEN",IF(I24=H24,"PASS","FAIL"))</x:f>
        <x:v>OPEN</x:v>
      </x:c>
    </x:row>
  </x:sheetData>
  <x:conditionalFormatting sqref="K7:K24">
    <x:cfRule type="containsText" dxfId="48" priority="1" operator="containsText" text="FAIL"/>
    <x:cfRule type="containsText" dxfId="49" priority="2" operator="containsText" text="BLOCKED"/>
    <x:cfRule type="containsText" dxfId="50" priority="3" operator="containsText" text="EXPIRED"/>
    <x:cfRule type="containsText" dxfId="51" priority="4" operator="containsText" text="OPEN"/>
    <x:cfRule type="containsText" dxfId="52" priority="5" operator="containsText" text="DORMANT"/>
    <x:cfRule type="containsText" dxfId="53" priority="6" operator="containsText" text="PASS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31" hidden="0" customWidth="1"/>
    <x:col min="3" max="3" width="31" hidden="0" customWidth="1"/>
    <x:col min="4" max="4" width="17" hidden="0" customWidth="1"/>
    <x:col min="5" max="5" width="14" hidden="0" customWidth="1"/>
    <x:col min="6" max="6" width="12" hidden="0" customWidth="1"/>
    <x:col min="7" max="7" width="34" hidden="0" customWidth="1"/>
    <x:col min="8" max="8" width="19" hidden="0" customWidth="1"/>
    <x:col min="9" max="9" width="19" hidden="0" customWidth="1"/>
    <x:col min="10" max="10" width="15" hidden="0" customWidth="1"/>
    <x:col min="11" max="11" width="15" hidden="0" customWidth="1"/>
    <x:col min="12" max="12" width="32" hidden="0" customWidth="1"/>
    <x:col min="13" max="13" width="21" hidden="0" customWidth="1"/>
    <x:col min="14" max="14" width="14" hidden="0" customWidth="1"/>
  </x:cols>
  <x:sheetData>
    <x:row r="2">
      <x:c r="B2" s="25" t="str">
        <x:v>Four hundred thirty-two rig-transfer observations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B3" s="27" t="str">
        <x:v>Three physical calibration articles carry all twenty-four measurement families through every public rig.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 ht="24" customHeight="1">
      <x:c r="B6" s="6" t="str">
        <x:v>Record</x:v>
      </x:c>
      <x:c r="C6" s="6" t="str">
        <x:v>Session</x:v>
      </x:c>
      <x:c r="D6" s="6" t="str">
        <x:v>Article</x:v>
      </x:c>
      <x:c r="E6" s="6" t="str">
        <x:v>Rig</x:v>
      </x:c>
      <x:c r="F6" s="6" t="str">
        <x:v>Family</x:v>
      </x:c>
      <x:c r="G6" s="6" t="str">
        <x:v>Measurement</x:v>
      </x:c>
      <x:c r="H6" s="6" t="str">
        <x:v>Reference value</x:v>
      </x:c>
      <x:c r="I6" s="6" t="str">
        <x:v>Observed value</x:v>
      </x:c>
      <x:c r="J6" s="6" t="str">
        <x:v>Error</x:v>
      </x:c>
      <x:c r="K6" s="6" t="str">
        <x:v>Tolerance</x:v>
      </x:c>
      <x:c r="L6" s="6" t="str">
        <x:v>Evidence root</x:v>
      </x:c>
      <x:c r="M6" s="6" t="str">
        <x:v>Accepted UTC</x:v>
      </x:c>
      <x:c r="N6" s="6" t="str">
        <x:v>State</x:v>
      </x:c>
    </x:row>
    <x:row r="7">
      <x:c r="B7" s="28" t="str">
        <x:v>CR-CAL-PEA-A-X3-RFP-A1-01</x:v>
      </x:c>
      <x:c r="C7" s="28" t="str">
        <x:v>CAL-PEA-A-X3-RFP-A1</x:v>
      </x:c>
      <x:c r="D7" s="28" t="str">
        <x:v>PEA-A-X3</x:v>
      </x:c>
      <x:c r="E7" s="28" t="str">
        <x:v>RFP-A1</x:v>
      </x:c>
      <x:c r="F7" s="28" t="n">
        <x:v>1</x:v>
      </x:c>
      <x:c r="G7" s="28" t="str">
        <x:v>vessel mass</x:v>
      </x:c>
      <x:c r="H7" s="34" t="n">
        <x:v>1</x:v>
      </x:c>
      <x:c r="I7" s="35" t="str"/>
      <x:c r="J7" s="34" t="str">
        <x:f>IF(OR(NOT(ISNUMBER(H7)),NOT(ISNUMBER(I7))),"",I7-H7)</x:f>
      </x:c>
      <x:c r="K7" s="34" t="n">
        <x:v>0.05</x:v>
      </x:c>
      <x:c r="L7" s="31" t="str"/>
      <x:c r="M7" s="31" t="str"/>
      <x:c r="N7" s="28" t="str">
        <x:f>IF(M7="","OPEN",IF(OR(L7="",NOT(ISNUMBER(I7))),"FAIL",IF(ABS(J7)&lt;=K7,"PASS","FAIL")))</x:f>
        <x:v>OPEN</x:v>
      </x:c>
    </x:row>
    <x:row r="8">
      <x:c r="B8" s="28" t="str">
        <x:v>CR-CAL-PEA-A-X3-RFP-A1-02</x:v>
      </x:c>
      <x:c r="C8" s="28" t="str">
        <x:v>CAL-PEA-A-X3-RFP-A1</x:v>
      </x:c>
      <x:c r="D8" s="28" t="str">
        <x:v>PEA-A-X3</x:v>
      </x:c>
      <x:c r="E8" s="28" t="str">
        <x:v>RFP-A1</x:v>
      </x:c>
      <x:c r="F8" s="28" t="n">
        <x:v>2</x:v>
      </x:c>
      <x:c r="G8" s="28" t="str">
        <x:v>integrated transfer mass</x:v>
      </x:c>
      <x:c r="H8" s="34" t="n">
        <x:v>1</x:v>
      </x:c>
      <x:c r="I8" s="35" t="str"/>
      <x:c r="J8" s="34" t="str">
        <x:f>IF(OR(NOT(ISNUMBER(H8)),NOT(ISNUMBER(I8))),"",I8-H8)</x:f>
      </x:c>
      <x:c r="K8" s="34" t="n">
        <x:v>0.05</x:v>
      </x:c>
      <x:c r="L8" s="31" t="str"/>
      <x:c r="M8" s="31" t="str"/>
      <x:c r="N8" s="28" t="str">
        <x:f>IF(M8="","OPEN",IF(OR(L8="",NOT(ISNUMBER(I8))),"FAIL",IF(ABS(J8)&lt;=K8,"PASS","FAIL")))</x:f>
        <x:v>OPEN</x:v>
      </x:c>
    </x:row>
    <x:row r="9">
      <x:c r="B9" s="28" t="str">
        <x:v>CR-CAL-PEA-A-X3-RFP-A1-03</x:v>
      </x:c>
      <x:c r="C9" s="28" t="str">
        <x:v>CAL-PEA-A-X3-RFP-A1</x:v>
      </x:c>
      <x:c r="D9" s="28" t="str">
        <x:v>PEA-A-X3</x:v>
      </x:c>
      <x:c r="E9" s="28" t="str">
        <x:v>RFP-A1</x:v>
      </x:c>
      <x:c r="F9" s="28" t="n">
        <x:v>3</x:v>
      </x:c>
      <x:c r="G9" s="28" t="str">
        <x:v>pressure</x:v>
      </x:c>
      <x:c r="H9" s="34" t="n">
        <x:v>1</x:v>
      </x:c>
      <x:c r="I9" s="35" t="str"/>
      <x:c r="J9" s="34" t="str">
        <x:f>IF(OR(NOT(ISNUMBER(H9)),NOT(ISNUMBER(I9))),"",I9-H9)</x:f>
      </x:c>
      <x:c r="K9" s="34" t="n">
        <x:v>0.05</x:v>
      </x:c>
      <x:c r="L9" s="31" t="str"/>
      <x:c r="M9" s="31" t="str"/>
      <x:c r="N9" s="28" t="str">
        <x:f>IF(M9="","OPEN",IF(OR(L9="",NOT(ISNUMBER(I9))),"FAIL",IF(ABS(J9)&lt;=K9,"PASS","FAIL")))</x:f>
        <x:v>OPEN</x:v>
      </x:c>
    </x:row>
    <x:row r="10">
      <x:c r="B10" s="28" t="str">
        <x:v>CR-CAL-PEA-A-X3-RFP-A1-04</x:v>
      </x:c>
      <x:c r="C10" s="28" t="str">
        <x:v>CAL-PEA-A-X3-RFP-A1</x:v>
      </x:c>
      <x:c r="D10" s="28" t="str">
        <x:v>PEA-A-X3</x:v>
      </x:c>
      <x:c r="E10" s="28" t="str">
        <x:v>RFP-A1</x:v>
      </x:c>
      <x:c r="F10" s="28" t="n">
        <x:v>4</x:v>
      </x:c>
      <x:c r="G10" s="28" t="str">
        <x:v>temperature</x:v>
      </x:c>
      <x:c r="H10" s="34" t="n">
        <x:v>1</x:v>
      </x:c>
      <x:c r="I10" s="35" t="str"/>
      <x:c r="J10" s="34" t="str">
        <x:f>IF(OR(NOT(ISNUMBER(H10)),NOT(ISNUMBER(I10))),"",I10-H10)</x:f>
      </x:c>
      <x:c r="K10" s="34" t="n">
        <x:v>0.05</x:v>
      </x:c>
      <x:c r="L10" s="31" t="str"/>
      <x:c r="M10" s="31" t="str"/>
      <x:c r="N10" s="28" t="str">
        <x:f>IF(M10="","OPEN",IF(OR(L10="",NOT(ISNUMBER(I10))),"FAIL",IF(ABS(J10)&lt;=K10,"PASS","FAIL")))</x:f>
        <x:v>OPEN</x:v>
      </x:c>
    </x:row>
    <x:row r="11">
      <x:c r="B11" s="28" t="str">
        <x:v>CR-CAL-PEA-A-X3-RFP-A1-05</x:v>
      </x:c>
      <x:c r="C11" s="28" t="str">
        <x:v>CAL-PEA-A-X3-RFP-A1</x:v>
      </x:c>
      <x:c r="D11" s="28" t="str">
        <x:v>PEA-A-X3</x:v>
      </x:c>
      <x:c r="E11" s="28" t="str">
        <x:v>RFP-A1</x:v>
      </x:c>
      <x:c r="F11" s="28" t="n">
        <x:v>5</x:v>
      </x:c>
      <x:c r="G11" s="28" t="str">
        <x:v>hold-up tomography</x:v>
      </x:c>
      <x:c r="H11" s="34" t="n">
        <x:v>1</x:v>
      </x:c>
      <x:c r="I11" s="35" t="str"/>
      <x:c r="J11" s="34" t="str">
        <x:f>IF(OR(NOT(ISNUMBER(H11)),NOT(ISNUMBER(I11))),"",I11-H11)</x:f>
      </x:c>
      <x:c r="K11" s="34" t="n">
        <x:v>0.05</x:v>
      </x:c>
      <x:c r="L11" s="31" t="str"/>
      <x:c r="M11" s="31" t="str"/>
      <x:c r="N11" s="28" t="str">
        <x:f>IF(M11="","OPEN",IF(OR(L11="",NOT(ISNUMBER(I11))),"FAIL",IF(ABS(J11)&lt;=K11,"PASS","FAIL")))</x:f>
        <x:v>OPEN</x:v>
      </x:c>
    </x:row>
    <x:row r="12">
      <x:c r="B12" s="28" t="str">
        <x:v>CR-CAL-PEA-A-X3-RFP-A1-06</x:v>
      </x:c>
      <x:c r="C12" s="28" t="str">
        <x:v>CAL-PEA-A-X3-RFP-A1</x:v>
      </x:c>
      <x:c r="D12" s="28" t="str">
        <x:v>PEA-A-X3</x:v>
      </x:c>
      <x:c r="E12" s="28" t="str">
        <x:v>RFP-A1</x:v>
      </x:c>
      <x:c r="F12" s="28" t="n">
        <x:v>6</x:v>
      </x:c>
      <x:c r="G12" s="28" t="str">
        <x:v>pan level</x:v>
      </x:c>
      <x:c r="H12" s="34" t="n">
        <x:v>1</x:v>
      </x:c>
      <x:c r="I12" s="35" t="str"/>
      <x:c r="J12" s="34" t="str">
        <x:f>IF(OR(NOT(ISNUMBER(H12)),NOT(ISNUMBER(I12))),"",I12-H12)</x:f>
      </x:c>
      <x:c r="K12" s="34" t="n">
        <x:v>0.05</x:v>
      </x:c>
      <x:c r="L12" s="31" t="str"/>
      <x:c r="M12" s="31" t="str"/>
      <x:c r="N12" s="28" t="str">
        <x:f>IF(M12="","OPEN",IF(OR(L12="",NOT(ISNUMBER(I12))),"FAIL",IF(ABS(J12)&lt;=K12,"PASS","FAIL")))</x:f>
        <x:v>OPEN</x:v>
      </x:c>
    </x:row>
    <x:row r="13">
      <x:c r="B13" s="28" t="str">
        <x:v>CR-CAL-PEA-A-X3-RFP-A1-07</x:v>
      </x:c>
      <x:c r="C13" s="28" t="str">
        <x:v>CAL-PEA-A-X3-RFP-A1</x:v>
      </x:c>
      <x:c r="D13" s="28" t="str">
        <x:v>PEA-A-X3</x:v>
      </x:c>
      <x:c r="E13" s="28" t="str">
        <x:v>RFP-A1</x:v>
      </x:c>
      <x:c r="F13" s="28" t="n">
        <x:v>7</x:v>
      </x:c>
      <x:c r="G13" s="28" t="str">
        <x:v>receiver mass</x:v>
      </x:c>
      <x:c r="H13" s="34" t="n">
        <x:v>1</x:v>
      </x:c>
      <x:c r="I13" s="35" t="str"/>
      <x:c r="J13" s="34" t="str">
        <x:f>IF(OR(NOT(ISNUMBER(H13)),NOT(ISNUMBER(I13))),"",I13-H13)</x:f>
      </x:c>
      <x:c r="K13" s="34" t="n">
        <x:v>0.05</x:v>
      </x:c>
      <x:c r="L13" s="31" t="str"/>
      <x:c r="M13" s="31" t="str"/>
      <x:c r="N13" s="28" t="str">
        <x:f>IF(M13="","OPEN",IF(OR(L13="",NOT(ISNUMBER(I13))),"FAIL",IF(ABS(J13)&lt;=K13,"PASS","FAIL")))</x:f>
        <x:v>OPEN</x:v>
      </x:c>
    </x:row>
    <x:row r="14">
      <x:c r="B14" s="28" t="str">
        <x:v>CR-CAL-PEA-A-X3-RFP-A1-08</x:v>
      </x:c>
      <x:c r="C14" s="28" t="str">
        <x:v>CAL-PEA-A-X3-RFP-A1</x:v>
      </x:c>
      <x:c r="D14" s="28" t="str">
        <x:v>PEA-A-X3</x:v>
      </x:c>
      <x:c r="E14" s="28" t="str">
        <x:v>RFP-A1</x:v>
      </x:c>
      <x:c r="F14" s="28" t="n">
        <x:v>8</x:v>
      </x:c>
      <x:c r="G14" s="28" t="str">
        <x:v>geometry and slope</x:v>
      </x:c>
      <x:c r="H14" s="34" t="n">
        <x:v>1</x:v>
      </x:c>
      <x:c r="I14" s="35" t="str"/>
      <x:c r="J14" s="34" t="str">
        <x:f>IF(OR(NOT(ISNUMBER(H14)),NOT(ISNUMBER(I14))),"",I14-H14)</x:f>
      </x:c>
      <x:c r="K14" s="34" t="n">
        <x:v>0.05</x:v>
      </x:c>
      <x:c r="L14" s="31" t="str"/>
      <x:c r="M14" s="31" t="str"/>
      <x:c r="N14" s="28" t="str">
        <x:f>IF(M14="","OPEN",IF(OR(L14="",NOT(ISNUMBER(I14))),"FAIL",IF(ABS(J14)&lt;=K14,"PASS","FAIL")))</x:f>
        <x:v>OPEN</x:v>
      </x:c>
    </x:row>
    <x:row r="15">
      <x:c r="B15" s="28" t="str">
        <x:v>CR-CAL-PEA-A-X3-RFP-A1-09</x:v>
      </x:c>
      <x:c r="C15" s="28" t="str">
        <x:v>CAL-PEA-A-X3-RFP-A1</x:v>
      </x:c>
      <x:c r="D15" s="28" t="str">
        <x:v>PEA-A-X3</x:v>
      </x:c>
      <x:c r="E15" s="28" t="str">
        <x:v>RFP-A1</x:v>
      </x:c>
      <x:c r="F15" s="28" t="n">
        <x:v>9</x:v>
      </x:c>
      <x:c r="G15" s="28" t="str">
        <x:v>primary state witness</x:v>
      </x:c>
      <x:c r="H15" s="34" t="n">
        <x:v>1</x:v>
      </x:c>
      <x:c r="I15" s="35" t="str"/>
      <x:c r="J15" s="34" t="str">
        <x:f>IF(OR(NOT(ISNUMBER(H15)),NOT(ISNUMBER(I15))),"",I15-H15)</x:f>
      </x:c>
      <x:c r="K15" s="34" t="n">
        <x:v>0.05</x:v>
      </x:c>
      <x:c r="L15" s="31" t="str"/>
      <x:c r="M15" s="31" t="str"/>
      <x:c r="N15" s="28" t="str">
        <x:f>IF(M15="","OPEN",IF(OR(L15="",NOT(ISNUMBER(I15))),"FAIL",IF(ABS(J15)&lt;=K15,"PASS","FAIL")))</x:f>
        <x:v>OPEN</x:v>
      </x:c>
    </x:row>
    <x:row r="16">
      <x:c r="B16" s="28" t="str">
        <x:v>CR-CAL-PEA-A-X3-RFP-A1-10</x:v>
      </x:c>
      <x:c r="C16" s="28" t="str">
        <x:v>CAL-PEA-A-X3-RFP-A1</x:v>
      </x:c>
      <x:c r="D16" s="28" t="str">
        <x:v>PEA-A-X3</x:v>
      </x:c>
      <x:c r="E16" s="28" t="str">
        <x:v>RFP-A1</x:v>
      </x:c>
      <x:c r="F16" s="28" t="n">
        <x:v>10</x:v>
      </x:c>
      <x:c r="G16" s="28" t="str">
        <x:v>diverse state witness</x:v>
      </x:c>
      <x:c r="H16" s="34" t="n">
        <x:v>1</x:v>
      </x:c>
      <x:c r="I16" s="35" t="str"/>
      <x:c r="J16" s="34" t="str">
        <x:f>IF(OR(NOT(ISNUMBER(H16)),NOT(ISNUMBER(I16))),"",I16-H16)</x:f>
      </x:c>
      <x:c r="K16" s="34" t="n">
        <x:v>0.05</x:v>
      </x:c>
      <x:c r="L16" s="31" t="str"/>
      <x:c r="M16" s="31" t="str"/>
      <x:c r="N16" s="28" t="str">
        <x:f>IF(M16="","OPEN",IF(OR(L16="",NOT(ISNUMBER(I16))),"FAIL",IF(ABS(J16)&lt;=K16,"PASS","FAIL")))</x:f>
        <x:v>OPEN</x:v>
      </x:c>
    </x:row>
    <x:row r="17">
      <x:c r="B17" s="28" t="str">
        <x:v>CR-CAL-PEA-A-X3-RFP-A1-11</x:v>
      </x:c>
      <x:c r="C17" s="28" t="str">
        <x:v>CAL-PEA-A-X3-RFP-A1</x:v>
      </x:c>
      <x:c r="D17" s="28" t="str">
        <x:v>PEA-A-X3</x:v>
      </x:c>
      <x:c r="E17" s="28" t="str">
        <x:v>RFP-A1</x:v>
      </x:c>
      <x:c r="F17" s="28" t="n">
        <x:v>11</x:v>
      </x:c>
      <x:c r="G17" s="28" t="str">
        <x:v>manual state witness</x:v>
      </x:c>
      <x:c r="H17" s="34" t="n">
        <x:v>1</x:v>
      </x:c>
      <x:c r="I17" s="35" t="str"/>
      <x:c r="J17" s="34" t="str">
        <x:f>IF(OR(NOT(ISNUMBER(H17)),NOT(ISNUMBER(I17))),"",I17-H17)</x:f>
      </x:c>
      <x:c r="K17" s="34" t="n">
        <x:v>0.05</x:v>
      </x:c>
      <x:c r="L17" s="31" t="str"/>
      <x:c r="M17" s="31" t="str"/>
      <x:c r="N17" s="28" t="str">
        <x:f>IF(M17="","OPEN",IF(OR(L17="",NOT(ISNUMBER(I17))),"FAIL",IF(ABS(J17)&lt;=K17,"PASS","FAIL")))</x:f>
        <x:v>OPEN</x:v>
      </x:c>
    </x:row>
    <x:row r="18">
      <x:c r="B18" s="28" t="str">
        <x:v>CR-CAL-PEA-A-X3-RFP-A1-12</x:v>
      </x:c>
      <x:c r="C18" s="28" t="str">
        <x:v>CAL-PEA-A-X3-RFP-A1</x:v>
      </x:c>
      <x:c r="D18" s="28" t="str">
        <x:v>PEA-A-X3</x:v>
      </x:c>
      <x:c r="E18" s="28" t="str">
        <x:v>RFP-A1</x:v>
      </x:c>
      <x:c r="F18" s="28" t="n">
        <x:v>12</x:v>
      </x:c>
      <x:c r="G18" s="28" t="str">
        <x:v>final-element reference</x:v>
      </x:c>
      <x:c r="H18" s="34" t="n">
        <x:v>1</x:v>
      </x:c>
      <x:c r="I18" s="35" t="str"/>
      <x:c r="J18" s="34" t="str">
        <x:f>IF(OR(NOT(ISNUMBER(H18)),NOT(ISNUMBER(I18))),"",I18-H18)</x:f>
      </x:c>
      <x:c r="K18" s="34" t="n">
        <x:v>0.05</x:v>
      </x:c>
      <x:c r="L18" s="31" t="str"/>
      <x:c r="M18" s="31" t="str"/>
      <x:c r="N18" s="28" t="str">
        <x:f>IF(M18="","OPEN",IF(OR(L18="",NOT(ISNUMBER(I18))),"FAIL",IF(ABS(J18)&lt;=K18,"PASS","FAIL")))</x:f>
        <x:v>OPEN</x:v>
      </x:c>
    </x:row>
    <x:row r="19">
      <x:c r="B19" s="28" t="str">
        <x:v>CR-CAL-PEA-A-X3-RFP-A1-13</x:v>
      </x:c>
      <x:c r="C19" s="28" t="str">
        <x:v>CAL-PEA-A-X3-RFP-A1</x:v>
      </x:c>
      <x:c r="D19" s="28" t="str">
        <x:v>PEA-A-X3</x:v>
      </x:c>
      <x:c r="E19" s="28" t="str">
        <x:v>RFP-A1</x:v>
      </x:c>
      <x:c r="F19" s="28" t="n">
        <x:v>13</x:v>
      </x:c>
      <x:c r="G19" s="28" t="str">
        <x:v>causal time</x:v>
      </x:c>
      <x:c r="H19" s="34" t="n">
        <x:v>1</x:v>
      </x:c>
      <x:c r="I19" s="35" t="str"/>
      <x:c r="J19" s="34" t="str">
        <x:f>IF(OR(NOT(ISNUMBER(H19)),NOT(ISNUMBER(I19))),"",I19-H19)</x:f>
      </x:c>
      <x:c r="K19" s="34" t="n">
        <x:v>0.05</x:v>
      </x:c>
      <x:c r="L19" s="31" t="str"/>
      <x:c r="M19" s="31" t="str"/>
      <x:c r="N19" s="28" t="str">
        <x:f>IF(M19="","OPEN",IF(OR(L19="",NOT(ISNUMBER(I19))),"FAIL",IF(ABS(J19)&lt;=K19,"PASS","FAIL")))</x:f>
        <x:v>OPEN</x:v>
      </x:c>
    </x:row>
    <x:row r="20">
      <x:c r="B20" s="28" t="str">
        <x:v>CR-CAL-PEA-A-X3-RFP-A1-14</x:v>
      </x:c>
      <x:c r="C20" s="28" t="str">
        <x:v>CAL-PEA-A-X3-RFP-A1</x:v>
      </x:c>
      <x:c r="D20" s="28" t="str">
        <x:v>PEA-A-X3</x:v>
      </x:c>
      <x:c r="E20" s="28" t="str">
        <x:v>RFP-A1</x:v>
      </x:c>
      <x:c r="F20" s="28" t="n">
        <x:v>14</x:v>
      </x:c>
      <x:c r="G20" s="28" t="str">
        <x:v>motive energy</x:v>
      </x:c>
      <x:c r="H20" s="34" t="n">
        <x:v>1</x:v>
      </x:c>
      <x:c r="I20" s="35" t="str"/>
      <x:c r="J20" s="34" t="str">
        <x:f>IF(OR(NOT(ISNUMBER(H20)),NOT(ISNUMBER(I20))),"",I20-H20)</x:f>
      </x:c>
      <x:c r="K20" s="34" t="n">
        <x:v>0.05</x:v>
      </x:c>
      <x:c r="L20" s="31" t="str"/>
      <x:c r="M20" s="31" t="str"/>
      <x:c r="N20" s="28" t="str">
        <x:f>IF(M20="","OPEN",IF(OR(L20="",NOT(ISNUMBER(I20))),"FAIL",IF(ABS(J20)&lt;=K20,"PASS","FAIL")))</x:f>
        <x:v>OPEN</x:v>
      </x:c>
    </x:row>
    <x:row r="21">
      <x:c r="B21" s="28" t="str">
        <x:v>CR-CAL-PEA-A-X3-RFP-A1-15</x:v>
      </x:c>
      <x:c r="C21" s="28" t="str">
        <x:v>CAL-PEA-A-X3-RFP-A1</x:v>
      </x:c>
      <x:c r="D21" s="28" t="str">
        <x:v>PEA-A-X3</x:v>
      </x:c>
      <x:c r="E21" s="28" t="str">
        <x:v>RFP-A1</x:v>
      </x:c>
      <x:c r="F21" s="28" t="n">
        <x:v>15</x:v>
      </x:c>
      <x:c r="G21" s="28" t="str">
        <x:v>normal electrical power</x:v>
      </x:c>
      <x:c r="H21" s="34" t="n">
        <x:v>1</x:v>
      </x:c>
      <x:c r="I21" s="35" t="str"/>
      <x:c r="J21" s="34" t="str">
        <x:f>IF(OR(NOT(ISNUMBER(H21)),NOT(ISNUMBER(I21))),"",I21-H21)</x:f>
      </x:c>
      <x:c r="K21" s="34" t="n">
        <x:v>0.05</x:v>
      </x:c>
      <x:c r="L21" s="31" t="str"/>
      <x:c r="M21" s="31" t="str"/>
      <x:c r="N21" s="28" t="str">
        <x:f>IF(M21="","OPEN",IF(OR(L21="",NOT(ISNUMBER(I21))),"FAIL",IF(ABS(J21)&lt;=K21,"PASS","FAIL")))</x:f>
        <x:v>OPEN</x:v>
      </x:c>
    </x:row>
    <x:row r="22">
      <x:c r="B22" s="28" t="str">
        <x:v>CR-CAL-PEA-A-X3-RFP-A1-16</x:v>
      </x:c>
      <x:c r="C22" s="28" t="str">
        <x:v>CAL-PEA-A-X3-RFP-A1</x:v>
      </x:c>
      <x:c r="D22" s="28" t="str">
        <x:v>PEA-A-X3</x:v>
      </x:c>
      <x:c r="E22" s="28" t="str">
        <x:v>RFP-A1</x:v>
      </x:c>
      <x:c r="F22" s="28" t="n">
        <x:v>16</x:v>
      </x:c>
      <x:c r="G22" s="28" t="str">
        <x:v>independent power</x:v>
      </x:c>
      <x:c r="H22" s="34" t="n">
        <x:v>1</x:v>
      </x:c>
      <x:c r="I22" s="35" t="str"/>
      <x:c r="J22" s="34" t="str">
        <x:f>IF(OR(NOT(ISNUMBER(H22)),NOT(ISNUMBER(I22))),"",I22-H22)</x:f>
      </x:c>
      <x:c r="K22" s="34" t="n">
        <x:v>0.05</x:v>
      </x:c>
      <x:c r="L22" s="31" t="str"/>
      <x:c r="M22" s="31" t="str"/>
      <x:c r="N22" s="28" t="str">
        <x:f>IF(M22="","OPEN",IF(OR(L22="",NOT(ISNUMBER(I22))),"FAIL",IF(ABS(J22)&lt;=K22,"PASS","FAIL")))</x:f>
        <x:v>OPEN</x:v>
      </x:c>
    </x:row>
    <x:row r="23">
      <x:c r="B23" s="28" t="str">
        <x:v>CR-CAL-PEA-A-X3-RFP-A1-17</x:v>
      </x:c>
      <x:c r="C23" s="28" t="str">
        <x:v>CAL-PEA-A-X3-RFP-A1</x:v>
      </x:c>
      <x:c r="D23" s="28" t="str">
        <x:v>PEA-A-X3</x:v>
      </x:c>
      <x:c r="E23" s="28" t="str">
        <x:v>RFP-A1</x:v>
      </x:c>
      <x:c r="F23" s="28" t="n">
        <x:v>17</x:v>
      </x:c>
      <x:c r="G23" s="28" t="str">
        <x:v>leak collection</x:v>
      </x:c>
      <x:c r="H23" s="34" t="n">
        <x:v>1</x:v>
      </x:c>
      <x:c r="I23" s="35" t="str"/>
      <x:c r="J23" s="34" t="str">
        <x:f>IF(OR(NOT(ISNUMBER(H23)),NOT(ISNUMBER(I23))),"",I23-H23)</x:f>
      </x:c>
      <x:c r="K23" s="34" t="n">
        <x:v>0.05</x:v>
      </x:c>
      <x:c r="L23" s="31" t="str"/>
      <x:c r="M23" s="31" t="str"/>
      <x:c r="N23" s="28" t="str">
        <x:f>IF(M23="","OPEN",IF(OR(L23="",NOT(ISNUMBER(I23))),"FAIL",IF(ABS(J23)&lt;=K23,"PASS","FAIL")))</x:f>
        <x:v>OPEN</x:v>
      </x:c>
    </x:row>
    <x:row r="24">
      <x:c r="B24" s="28" t="str">
        <x:v>CR-CAL-PEA-A-X3-RFP-A1-18</x:v>
      </x:c>
      <x:c r="C24" s="28" t="str">
        <x:v>CAL-PEA-A-X3-RFP-A1</x:v>
      </x:c>
      <x:c r="D24" s="28" t="str">
        <x:v>PEA-A-X3</x:v>
      </x:c>
      <x:c r="E24" s="28" t="str">
        <x:v>RFP-A1</x:v>
      </x:c>
      <x:c r="F24" s="28" t="n">
        <x:v>18</x:v>
      </x:c>
      <x:c r="G24" s="28" t="str">
        <x:v>occupied area</x:v>
      </x:c>
      <x:c r="H24" s="34" t="n">
        <x:v>1</x:v>
      </x:c>
      <x:c r="I24" s="35" t="str"/>
      <x:c r="J24" s="34" t="str">
        <x:f>IF(OR(NOT(ISNUMBER(H24)),NOT(ISNUMBER(I24))),"",I24-H24)</x:f>
      </x:c>
      <x:c r="K24" s="34" t="n">
        <x:v>0.05</x:v>
      </x:c>
      <x:c r="L24" s="31" t="str"/>
      <x:c r="M24" s="31" t="str"/>
      <x:c r="N24" s="28" t="str">
        <x:f>IF(M24="","OPEN",IF(OR(L24="",NOT(ISNUMBER(I24))),"FAIL",IF(ABS(J24)&lt;=K24,"PASS","FAIL")))</x:f>
        <x:v>OPEN</x:v>
      </x:c>
    </x:row>
    <x:row r="25">
      <x:c r="B25" s="28" t="str">
        <x:v>CR-CAL-PEA-A-X3-RFP-A1-19</x:v>
      </x:c>
      <x:c r="C25" s="28" t="str">
        <x:v>CAL-PEA-A-X3-RFP-A1</x:v>
      </x:c>
      <x:c r="D25" s="28" t="str">
        <x:v>PEA-A-X3</x:v>
      </x:c>
      <x:c r="E25" s="28" t="str">
        <x:v>RFP-A1</x:v>
      </x:c>
      <x:c r="F25" s="28" t="n">
        <x:v>19</x:v>
      </x:c>
      <x:c r="G25" s="28" t="str">
        <x:v>water flow</x:v>
      </x:c>
      <x:c r="H25" s="34" t="n">
        <x:v>1</x:v>
      </x:c>
      <x:c r="I25" s="35" t="str"/>
      <x:c r="J25" s="34" t="str">
        <x:f>IF(OR(NOT(ISNUMBER(H25)),NOT(ISNUMBER(I25))),"",I25-H25)</x:f>
      </x:c>
      <x:c r="K25" s="34" t="n">
        <x:v>0.05</x:v>
      </x:c>
      <x:c r="L25" s="31" t="str"/>
      <x:c r="M25" s="31" t="str"/>
      <x:c r="N25" s="28" t="str">
        <x:f>IF(M25="","OPEN",IF(OR(L25="",NOT(ISNUMBER(I25))),"FAIL",IF(ABS(J25)&lt;=K25,"PASS","FAIL")))</x:f>
        <x:v>OPEN</x:v>
      </x:c>
    </x:row>
    <x:row r="26">
      <x:c r="B26" s="28" t="str">
        <x:v>CR-CAL-PEA-A-X3-RFP-A1-20</x:v>
      </x:c>
      <x:c r="C26" s="28" t="str">
        <x:v>CAL-PEA-A-X3-RFP-A1</x:v>
      </x:c>
      <x:c r="D26" s="28" t="str">
        <x:v>PEA-A-X3</x:v>
      </x:c>
      <x:c r="E26" s="28" t="str">
        <x:v>RFP-A1</x:v>
      </x:c>
      <x:c r="F26" s="28" t="n">
        <x:v>20</x:v>
      </x:c>
      <x:c r="G26" s="28" t="str">
        <x:v>source ancestry root A</x:v>
      </x:c>
      <x:c r="H26" s="34" t="n">
        <x:v>1</x:v>
      </x:c>
      <x:c r="I26" s="35" t="str"/>
      <x:c r="J26" s="34" t="str">
        <x:f>IF(OR(NOT(ISNUMBER(H26)),NOT(ISNUMBER(I26))),"",I26-H26)</x:f>
      </x:c>
      <x:c r="K26" s="34" t="n">
        <x:v>0.05</x:v>
      </x:c>
      <x:c r="L26" s="31" t="str"/>
      <x:c r="M26" s="31" t="str"/>
      <x:c r="N26" s="28" t="str">
        <x:f>IF(M26="","OPEN",IF(OR(L26="",NOT(ISNUMBER(I26))),"FAIL",IF(ABS(J26)&lt;=K26,"PASS","FAIL")))</x:f>
        <x:v>OPEN</x:v>
      </x:c>
    </x:row>
    <x:row r="27">
      <x:c r="B27" s="28" t="str">
        <x:v>CR-CAL-PEA-A-X3-RFP-A1-21</x:v>
      </x:c>
      <x:c r="C27" s="28" t="str">
        <x:v>CAL-PEA-A-X3-RFP-A1</x:v>
      </x:c>
      <x:c r="D27" s="28" t="str">
        <x:v>PEA-A-X3</x:v>
      </x:c>
      <x:c r="E27" s="28" t="str">
        <x:v>RFP-A1</x:v>
      </x:c>
      <x:c r="F27" s="28" t="n">
        <x:v>21</x:v>
      </x:c>
      <x:c r="G27" s="28" t="str">
        <x:v>source ancestry root B</x:v>
      </x:c>
      <x:c r="H27" s="34" t="n">
        <x:v>1</x:v>
      </x:c>
      <x:c r="I27" s="35" t="str"/>
      <x:c r="J27" s="34" t="str">
        <x:f>IF(OR(NOT(ISNUMBER(H27)),NOT(ISNUMBER(I27))),"",I27-H27)</x:f>
      </x:c>
      <x:c r="K27" s="34" t="n">
        <x:v>0.05</x:v>
      </x:c>
      <x:c r="L27" s="31" t="str"/>
      <x:c r="M27" s="31" t="str"/>
      <x:c r="N27" s="28" t="str">
        <x:f>IF(M27="","OPEN",IF(OR(L27="",NOT(ISNUMBER(I27))),"FAIL",IF(ABS(J27)&lt;=K27,"PASS","FAIL")))</x:f>
        <x:v>OPEN</x:v>
      </x:c>
    </x:row>
    <x:row r="28">
      <x:c r="B28" s="28" t="str">
        <x:v>CR-CAL-PEA-A-X3-RFP-A1-22</x:v>
      </x:c>
      <x:c r="C28" s="28" t="str">
        <x:v>CAL-PEA-A-X3-RFP-A1</x:v>
      </x:c>
      <x:c r="D28" s="28" t="str">
        <x:v>PEA-A-X3</x:v>
      </x:c>
      <x:c r="E28" s="28" t="str">
        <x:v>RFP-A1</x:v>
      </x:c>
      <x:c r="F28" s="28" t="n">
        <x:v>22</x:v>
      </x:c>
      <x:c r="G28" s="28" t="str">
        <x:v>environmental release</x:v>
      </x:c>
      <x:c r="H28" s="34" t="n">
        <x:v>1</x:v>
      </x:c>
      <x:c r="I28" s="35" t="str"/>
      <x:c r="J28" s="34" t="str">
        <x:f>IF(OR(NOT(ISNUMBER(H28)),NOT(ISNUMBER(I28))),"",I28-H28)</x:f>
      </x:c>
      <x:c r="K28" s="34" t="n">
        <x:v>0.05</x:v>
      </x:c>
      <x:c r="L28" s="31" t="str"/>
      <x:c r="M28" s="31" t="str"/>
      <x:c r="N28" s="28" t="str">
        <x:f>IF(M28="","OPEN",IF(OR(L28="",NOT(ISNUMBER(I28))),"FAIL",IF(ABS(J28)&lt;=K28,"PASS","FAIL")))</x:f>
        <x:v>OPEN</x:v>
      </x:c>
    </x:row>
    <x:row r="29">
      <x:c r="B29" s="28" t="str">
        <x:v>CR-CAL-PEA-A-X3-RFP-A1-23</x:v>
      </x:c>
      <x:c r="C29" s="28" t="str">
        <x:v>CAL-PEA-A-X3-RFP-A1</x:v>
      </x:c>
      <x:c r="D29" s="28" t="str">
        <x:v>PEA-A-X3</x:v>
      </x:c>
      <x:c r="E29" s="28" t="str">
        <x:v>RFP-A1</x:v>
      </x:c>
      <x:c r="F29" s="28" t="n">
        <x:v>23</x:v>
      </x:c>
      <x:c r="G29" s="28" t="str">
        <x:v>image trigger</x:v>
      </x:c>
      <x:c r="H29" s="34" t="n">
        <x:v>1</x:v>
      </x:c>
      <x:c r="I29" s="35" t="str"/>
      <x:c r="J29" s="34" t="str">
        <x:f>IF(OR(NOT(ISNUMBER(H29)),NOT(ISNUMBER(I29))),"",I29-H29)</x:f>
      </x:c>
      <x:c r="K29" s="34" t="n">
        <x:v>0.05</x:v>
      </x:c>
      <x:c r="L29" s="31" t="str"/>
      <x:c r="M29" s="31" t="str"/>
      <x:c r="N29" s="28" t="str">
        <x:f>IF(M29="","OPEN",IF(OR(L29="",NOT(ISNUMBER(I29))),"FAIL",IF(ABS(J29)&lt;=K29,"PASS","FAIL")))</x:f>
        <x:v>OPEN</x:v>
      </x:c>
    </x:row>
    <x:row r="30">
      <x:c r="B30" s="28" t="str">
        <x:v>CR-CAL-PEA-A-X3-RFP-A1-24</x:v>
      </x:c>
      <x:c r="C30" s="28" t="str">
        <x:v>CAL-PEA-A-X3-RFP-A1</x:v>
      </x:c>
      <x:c r="D30" s="28" t="str">
        <x:v>PEA-A-X3</x:v>
      </x:c>
      <x:c r="E30" s="28" t="str">
        <x:v>RFP-A1</x:v>
      </x:c>
      <x:c r="F30" s="28" t="n">
        <x:v>24</x:v>
      </x:c>
      <x:c r="G30" s="28" t="str">
        <x:v>evidence health</x:v>
      </x:c>
      <x:c r="H30" s="34" t="n">
        <x:v>1</x:v>
      </x:c>
      <x:c r="I30" s="35" t="str"/>
      <x:c r="J30" s="34" t="str">
        <x:f>IF(OR(NOT(ISNUMBER(H30)),NOT(ISNUMBER(I30))),"",I30-H30)</x:f>
      </x:c>
      <x:c r="K30" s="34" t="n">
        <x:v>0.05</x:v>
      </x:c>
      <x:c r="L30" s="31" t="str"/>
      <x:c r="M30" s="31" t="str"/>
      <x:c r="N30" s="28" t="str">
        <x:f>IF(M30="","OPEN",IF(OR(L30="",NOT(ISNUMBER(I30))),"FAIL",IF(ABS(J30)&lt;=K30,"PASS","FAIL")))</x:f>
        <x:v>OPEN</x:v>
      </x:c>
    </x:row>
    <x:row r="31">
      <x:c r="B31" s="28" t="str">
        <x:v>CR-CAL-PEA-B-X3-RFP-B1-01</x:v>
      </x:c>
      <x:c r="C31" s="28" t="str">
        <x:v>CAL-PEA-B-X3-RFP-B1</x:v>
      </x:c>
      <x:c r="D31" s="28" t="str">
        <x:v>PEA-B-X3</x:v>
      </x:c>
      <x:c r="E31" s="28" t="str">
        <x:v>RFP-B1</x:v>
      </x:c>
      <x:c r="F31" s="28" t="n">
        <x:v>1</x:v>
      </x:c>
      <x:c r="G31" s="28" t="str">
        <x:v>vessel mass</x:v>
      </x:c>
      <x:c r="H31" s="34" t="n">
        <x:v>1</x:v>
      </x:c>
      <x:c r="I31" s="35" t="str"/>
      <x:c r="J31" s="34" t="str">
        <x:f>IF(OR(NOT(ISNUMBER(H31)),NOT(ISNUMBER(I31))),"",I31-H31)</x:f>
      </x:c>
      <x:c r="K31" s="34" t="n">
        <x:v>0.05</x:v>
      </x:c>
      <x:c r="L31" s="31" t="str"/>
      <x:c r="M31" s="31" t="str"/>
      <x:c r="N31" s="28" t="str">
        <x:f>IF(M31="","OPEN",IF(OR(L31="",NOT(ISNUMBER(I31))),"FAIL",IF(ABS(J31)&lt;=K31,"PASS","FAIL")))</x:f>
        <x:v>OPEN</x:v>
      </x:c>
    </x:row>
    <x:row r="32">
      <x:c r="B32" s="28" t="str">
        <x:v>CR-CAL-PEA-B-X3-RFP-B1-02</x:v>
      </x:c>
      <x:c r="C32" s="28" t="str">
        <x:v>CAL-PEA-B-X3-RFP-B1</x:v>
      </x:c>
      <x:c r="D32" s="28" t="str">
        <x:v>PEA-B-X3</x:v>
      </x:c>
      <x:c r="E32" s="28" t="str">
        <x:v>RFP-B1</x:v>
      </x:c>
      <x:c r="F32" s="28" t="n">
        <x:v>2</x:v>
      </x:c>
      <x:c r="G32" s="28" t="str">
        <x:v>integrated transfer mass</x:v>
      </x:c>
      <x:c r="H32" s="34" t="n">
        <x:v>1</x:v>
      </x:c>
      <x:c r="I32" s="35" t="str"/>
      <x:c r="J32" s="34" t="str">
        <x:f>IF(OR(NOT(ISNUMBER(H32)),NOT(ISNUMBER(I32))),"",I32-H32)</x:f>
      </x:c>
      <x:c r="K32" s="34" t="n">
        <x:v>0.05</x:v>
      </x:c>
      <x:c r="L32" s="31" t="str"/>
      <x:c r="M32" s="31" t="str"/>
      <x:c r="N32" s="28" t="str">
        <x:f>IF(M32="","OPEN",IF(OR(L32="",NOT(ISNUMBER(I32))),"FAIL",IF(ABS(J32)&lt;=K32,"PASS","FAIL")))</x:f>
        <x:v>OPEN</x:v>
      </x:c>
    </x:row>
    <x:row r="33">
      <x:c r="B33" s="28" t="str">
        <x:v>CR-CAL-PEA-B-X3-RFP-B1-03</x:v>
      </x:c>
      <x:c r="C33" s="28" t="str">
        <x:v>CAL-PEA-B-X3-RFP-B1</x:v>
      </x:c>
      <x:c r="D33" s="28" t="str">
        <x:v>PEA-B-X3</x:v>
      </x:c>
      <x:c r="E33" s="28" t="str">
        <x:v>RFP-B1</x:v>
      </x:c>
      <x:c r="F33" s="28" t="n">
        <x:v>3</x:v>
      </x:c>
      <x:c r="G33" s="28" t="str">
        <x:v>pressure</x:v>
      </x:c>
      <x:c r="H33" s="34" t="n">
        <x:v>1</x:v>
      </x:c>
      <x:c r="I33" s="35" t="str"/>
      <x:c r="J33" s="34" t="str">
        <x:f>IF(OR(NOT(ISNUMBER(H33)),NOT(ISNUMBER(I33))),"",I33-H33)</x:f>
      </x:c>
      <x:c r="K33" s="34" t="n">
        <x:v>0.05</x:v>
      </x:c>
      <x:c r="L33" s="31" t="str"/>
      <x:c r="M33" s="31" t="str"/>
      <x:c r="N33" s="28" t="str">
        <x:f>IF(M33="","OPEN",IF(OR(L33="",NOT(ISNUMBER(I33))),"FAIL",IF(ABS(J33)&lt;=K33,"PASS","FAIL")))</x:f>
        <x:v>OPEN</x:v>
      </x:c>
    </x:row>
    <x:row r="34">
      <x:c r="B34" s="28" t="str">
        <x:v>CR-CAL-PEA-B-X3-RFP-B1-04</x:v>
      </x:c>
      <x:c r="C34" s="28" t="str">
        <x:v>CAL-PEA-B-X3-RFP-B1</x:v>
      </x:c>
      <x:c r="D34" s="28" t="str">
        <x:v>PEA-B-X3</x:v>
      </x:c>
      <x:c r="E34" s="28" t="str">
        <x:v>RFP-B1</x:v>
      </x:c>
      <x:c r="F34" s="28" t="n">
        <x:v>4</x:v>
      </x:c>
      <x:c r="G34" s="28" t="str">
        <x:v>temperature</x:v>
      </x:c>
      <x:c r="H34" s="34" t="n">
        <x:v>1</x:v>
      </x:c>
      <x:c r="I34" s="35" t="str"/>
      <x:c r="J34" s="34" t="str">
        <x:f>IF(OR(NOT(ISNUMBER(H34)),NOT(ISNUMBER(I34))),"",I34-H34)</x:f>
      </x:c>
      <x:c r="K34" s="34" t="n">
        <x:v>0.05</x:v>
      </x:c>
      <x:c r="L34" s="31" t="str"/>
      <x:c r="M34" s="31" t="str"/>
      <x:c r="N34" s="28" t="str">
        <x:f>IF(M34="","OPEN",IF(OR(L34="",NOT(ISNUMBER(I34))),"FAIL",IF(ABS(J34)&lt;=K34,"PASS","FAIL")))</x:f>
        <x:v>OPEN</x:v>
      </x:c>
    </x:row>
    <x:row r="35">
      <x:c r="B35" s="28" t="str">
        <x:v>CR-CAL-PEA-B-X3-RFP-B1-05</x:v>
      </x:c>
      <x:c r="C35" s="28" t="str">
        <x:v>CAL-PEA-B-X3-RFP-B1</x:v>
      </x:c>
      <x:c r="D35" s="28" t="str">
        <x:v>PEA-B-X3</x:v>
      </x:c>
      <x:c r="E35" s="28" t="str">
        <x:v>RFP-B1</x:v>
      </x:c>
      <x:c r="F35" s="28" t="n">
        <x:v>5</x:v>
      </x:c>
      <x:c r="G35" s="28" t="str">
        <x:v>hold-up tomography</x:v>
      </x:c>
      <x:c r="H35" s="34" t="n">
        <x:v>1</x:v>
      </x:c>
      <x:c r="I35" s="35" t="str"/>
      <x:c r="J35" s="34" t="str">
        <x:f>IF(OR(NOT(ISNUMBER(H35)),NOT(ISNUMBER(I35))),"",I35-H35)</x:f>
      </x:c>
      <x:c r="K35" s="34" t="n">
        <x:v>0.05</x:v>
      </x:c>
      <x:c r="L35" s="31" t="str"/>
      <x:c r="M35" s="31" t="str"/>
      <x:c r="N35" s="28" t="str">
        <x:f>IF(M35="","OPEN",IF(OR(L35="",NOT(ISNUMBER(I35))),"FAIL",IF(ABS(J35)&lt;=K35,"PASS","FAIL")))</x:f>
        <x:v>OPEN</x:v>
      </x:c>
    </x:row>
    <x:row r="36">
      <x:c r="B36" s="28" t="str">
        <x:v>CR-CAL-PEA-B-X3-RFP-B1-06</x:v>
      </x:c>
      <x:c r="C36" s="28" t="str">
        <x:v>CAL-PEA-B-X3-RFP-B1</x:v>
      </x:c>
      <x:c r="D36" s="28" t="str">
        <x:v>PEA-B-X3</x:v>
      </x:c>
      <x:c r="E36" s="28" t="str">
        <x:v>RFP-B1</x:v>
      </x:c>
      <x:c r="F36" s="28" t="n">
        <x:v>6</x:v>
      </x:c>
      <x:c r="G36" s="28" t="str">
        <x:v>pan level</x:v>
      </x:c>
      <x:c r="H36" s="34" t="n">
        <x:v>1</x:v>
      </x:c>
      <x:c r="I36" s="35" t="str"/>
      <x:c r="J36" s="34" t="str">
        <x:f>IF(OR(NOT(ISNUMBER(H36)),NOT(ISNUMBER(I36))),"",I36-H36)</x:f>
      </x:c>
      <x:c r="K36" s="34" t="n">
        <x:v>0.05</x:v>
      </x:c>
      <x:c r="L36" s="31" t="str"/>
      <x:c r="M36" s="31" t="str"/>
      <x:c r="N36" s="28" t="str">
        <x:f>IF(M36="","OPEN",IF(OR(L36="",NOT(ISNUMBER(I36))),"FAIL",IF(ABS(J36)&lt;=K36,"PASS","FAIL")))</x:f>
        <x:v>OPEN</x:v>
      </x:c>
    </x:row>
    <x:row r="37">
      <x:c r="B37" s="28" t="str">
        <x:v>CR-CAL-PEA-B-X3-RFP-B1-07</x:v>
      </x:c>
      <x:c r="C37" s="28" t="str">
        <x:v>CAL-PEA-B-X3-RFP-B1</x:v>
      </x:c>
      <x:c r="D37" s="28" t="str">
        <x:v>PEA-B-X3</x:v>
      </x:c>
      <x:c r="E37" s="28" t="str">
        <x:v>RFP-B1</x:v>
      </x:c>
      <x:c r="F37" s="28" t="n">
        <x:v>7</x:v>
      </x:c>
      <x:c r="G37" s="28" t="str">
        <x:v>receiver mass</x:v>
      </x:c>
      <x:c r="H37" s="34" t="n">
        <x:v>1</x:v>
      </x:c>
      <x:c r="I37" s="35" t="str"/>
      <x:c r="J37" s="34" t="str">
        <x:f>IF(OR(NOT(ISNUMBER(H37)),NOT(ISNUMBER(I37))),"",I37-H37)</x:f>
      </x:c>
      <x:c r="K37" s="34" t="n">
        <x:v>0.05</x:v>
      </x:c>
      <x:c r="L37" s="31" t="str"/>
      <x:c r="M37" s="31" t="str"/>
      <x:c r="N37" s="28" t="str">
        <x:f>IF(M37="","OPEN",IF(OR(L37="",NOT(ISNUMBER(I37))),"FAIL",IF(ABS(J37)&lt;=K37,"PASS","FAIL")))</x:f>
        <x:v>OPEN</x:v>
      </x:c>
    </x:row>
    <x:row r="38">
      <x:c r="B38" s="28" t="str">
        <x:v>CR-CAL-PEA-B-X3-RFP-B1-08</x:v>
      </x:c>
      <x:c r="C38" s="28" t="str">
        <x:v>CAL-PEA-B-X3-RFP-B1</x:v>
      </x:c>
      <x:c r="D38" s="28" t="str">
        <x:v>PEA-B-X3</x:v>
      </x:c>
      <x:c r="E38" s="28" t="str">
        <x:v>RFP-B1</x:v>
      </x:c>
      <x:c r="F38" s="28" t="n">
        <x:v>8</x:v>
      </x:c>
      <x:c r="G38" s="28" t="str">
        <x:v>geometry and slope</x:v>
      </x:c>
      <x:c r="H38" s="34" t="n">
        <x:v>1</x:v>
      </x:c>
      <x:c r="I38" s="35" t="str"/>
      <x:c r="J38" s="34" t="str">
        <x:f>IF(OR(NOT(ISNUMBER(H38)),NOT(ISNUMBER(I38))),"",I38-H38)</x:f>
      </x:c>
      <x:c r="K38" s="34" t="n">
        <x:v>0.05</x:v>
      </x:c>
      <x:c r="L38" s="31" t="str"/>
      <x:c r="M38" s="31" t="str"/>
      <x:c r="N38" s="28" t="str">
        <x:f>IF(M38="","OPEN",IF(OR(L38="",NOT(ISNUMBER(I38))),"FAIL",IF(ABS(J38)&lt;=K38,"PASS","FAIL")))</x:f>
        <x:v>OPEN</x:v>
      </x:c>
    </x:row>
    <x:row r="39">
      <x:c r="B39" s="28" t="str">
        <x:v>CR-CAL-PEA-B-X3-RFP-B1-09</x:v>
      </x:c>
      <x:c r="C39" s="28" t="str">
        <x:v>CAL-PEA-B-X3-RFP-B1</x:v>
      </x:c>
      <x:c r="D39" s="28" t="str">
        <x:v>PEA-B-X3</x:v>
      </x:c>
      <x:c r="E39" s="28" t="str">
        <x:v>RFP-B1</x:v>
      </x:c>
      <x:c r="F39" s="28" t="n">
        <x:v>9</x:v>
      </x:c>
      <x:c r="G39" s="28" t="str">
        <x:v>primary state witness</x:v>
      </x:c>
      <x:c r="H39" s="34" t="n">
        <x:v>1</x:v>
      </x:c>
      <x:c r="I39" s="35" t="str"/>
      <x:c r="J39" s="34" t="str">
        <x:f>IF(OR(NOT(ISNUMBER(H39)),NOT(ISNUMBER(I39))),"",I39-H39)</x:f>
      </x:c>
      <x:c r="K39" s="34" t="n">
        <x:v>0.05</x:v>
      </x:c>
      <x:c r="L39" s="31" t="str"/>
      <x:c r="M39" s="31" t="str"/>
      <x:c r="N39" s="28" t="str">
        <x:f>IF(M39="","OPEN",IF(OR(L39="",NOT(ISNUMBER(I39))),"FAIL",IF(ABS(J39)&lt;=K39,"PASS","FAIL")))</x:f>
        <x:v>OPEN</x:v>
      </x:c>
    </x:row>
    <x:row r="40">
      <x:c r="B40" s="28" t="str">
        <x:v>CR-CAL-PEA-B-X3-RFP-B1-10</x:v>
      </x:c>
      <x:c r="C40" s="28" t="str">
        <x:v>CAL-PEA-B-X3-RFP-B1</x:v>
      </x:c>
      <x:c r="D40" s="28" t="str">
        <x:v>PEA-B-X3</x:v>
      </x:c>
      <x:c r="E40" s="28" t="str">
        <x:v>RFP-B1</x:v>
      </x:c>
      <x:c r="F40" s="28" t="n">
        <x:v>10</x:v>
      </x:c>
      <x:c r="G40" s="28" t="str">
        <x:v>diverse state witness</x:v>
      </x:c>
      <x:c r="H40" s="34" t="n">
        <x:v>1</x:v>
      </x:c>
      <x:c r="I40" s="35" t="str"/>
      <x:c r="J40" s="34" t="str">
        <x:f>IF(OR(NOT(ISNUMBER(H40)),NOT(ISNUMBER(I40))),"",I40-H40)</x:f>
      </x:c>
      <x:c r="K40" s="34" t="n">
        <x:v>0.05</x:v>
      </x:c>
      <x:c r="L40" s="31" t="str"/>
      <x:c r="M40" s="31" t="str"/>
      <x:c r="N40" s="28" t="str">
        <x:f>IF(M40="","OPEN",IF(OR(L40="",NOT(ISNUMBER(I40))),"FAIL",IF(ABS(J40)&lt;=K40,"PASS","FAIL")))</x:f>
        <x:v>OPEN</x:v>
      </x:c>
    </x:row>
    <x:row r="41">
      <x:c r="B41" s="28" t="str">
        <x:v>CR-CAL-PEA-B-X3-RFP-B1-11</x:v>
      </x:c>
      <x:c r="C41" s="28" t="str">
        <x:v>CAL-PEA-B-X3-RFP-B1</x:v>
      </x:c>
      <x:c r="D41" s="28" t="str">
        <x:v>PEA-B-X3</x:v>
      </x:c>
      <x:c r="E41" s="28" t="str">
        <x:v>RFP-B1</x:v>
      </x:c>
      <x:c r="F41" s="28" t="n">
        <x:v>11</x:v>
      </x:c>
      <x:c r="G41" s="28" t="str">
        <x:v>manual state witness</x:v>
      </x:c>
      <x:c r="H41" s="34" t="n">
        <x:v>1</x:v>
      </x:c>
      <x:c r="I41" s="35" t="str"/>
      <x:c r="J41" s="34" t="str">
        <x:f>IF(OR(NOT(ISNUMBER(H41)),NOT(ISNUMBER(I41))),"",I41-H41)</x:f>
      </x:c>
      <x:c r="K41" s="34" t="n">
        <x:v>0.05</x:v>
      </x:c>
      <x:c r="L41" s="31" t="str"/>
      <x:c r="M41" s="31" t="str"/>
      <x:c r="N41" s="28" t="str">
        <x:f>IF(M41="","OPEN",IF(OR(L41="",NOT(ISNUMBER(I41))),"FAIL",IF(ABS(J41)&lt;=K41,"PASS","FAIL")))</x:f>
        <x:v>OPEN</x:v>
      </x:c>
    </x:row>
    <x:row r="42">
      <x:c r="B42" s="28" t="str">
        <x:v>CR-CAL-PEA-B-X3-RFP-B1-12</x:v>
      </x:c>
      <x:c r="C42" s="28" t="str">
        <x:v>CAL-PEA-B-X3-RFP-B1</x:v>
      </x:c>
      <x:c r="D42" s="28" t="str">
        <x:v>PEA-B-X3</x:v>
      </x:c>
      <x:c r="E42" s="28" t="str">
        <x:v>RFP-B1</x:v>
      </x:c>
      <x:c r="F42" s="28" t="n">
        <x:v>12</x:v>
      </x:c>
      <x:c r="G42" s="28" t="str">
        <x:v>final-element reference</x:v>
      </x:c>
      <x:c r="H42" s="34" t="n">
        <x:v>1</x:v>
      </x:c>
      <x:c r="I42" s="35" t="str"/>
      <x:c r="J42" s="34" t="str">
        <x:f>IF(OR(NOT(ISNUMBER(H42)),NOT(ISNUMBER(I42))),"",I42-H42)</x:f>
      </x:c>
      <x:c r="K42" s="34" t="n">
        <x:v>0.05</x:v>
      </x:c>
      <x:c r="L42" s="31" t="str"/>
      <x:c r="M42" s="31" t="str"/>
      <x:c r="N42" s="28" t="str">
        <x:f>IF(M42="","OPEN",IF(OR(L42="",NOT(ISNUMBER(I42))),"FAIL",IF(ABS(J42)&lt;=K42,"PASS","FAIL")))</x:f>
        <x:v>OPEN</x:v>
      </x:c>
    </x:row>
    <x:row r="43">
      <x:c r="B43" s="28" t="str">
        <x:v>CR-CAL-PEA-B-X3-RFP-B1-13</x:v>
      </x:c>
      <x:c r="C43" s="28" t="str">
        <x:v>CAL-PEA-B-X3-RFP-B1</x:v>
      </x:c>
      <x:c r="D43" s="28" t="str">
        <x:v>PEA-B-X3</x:v>
      </x:c>
      <x:c r="E43" s="28" t="str">
        <x:v>RFP-B1</x:v>
      </x:c>
      <x:c r="F43" s="28" t="n">
        <x:v>13</x:v>
      </x:c>
      <x:c r="G43" s="28" t="str">
        <x:v>causal time</x:v>
      </x:c>
      <x:c r="H43" s="34" t="n">
        <x:v>1</x:v>
      </x:c>
      <x:c r="I43" s="35" t="str"/>
      <x:c r="J43" s="34" t="str">
        <x:f>IF(OR(NOT(ISNUMBER(H43)),NOT(ISNUMBER(I43))),"",I43-H43)</x:f>
      </x:c>
      <x:c r="K43" s="34" t="n">
        <x:v>0.05</x:v>
      </x:c>
      <x:c r="L43" s="31" t="str"/>
      <x:c r="M43" s="31" t="str"/>
      <x:c r="N43" s="28" t="str">
        <x:f>IF(M43="","OPEN",IF(OR(L43="",NOT(ISNUMBER(I43))),"FAIL",IF(ABS(J43)&lt;=K43,"PASS","FAIL")))</x:f>
        <x:v>OPEN</x:v>
      </x:c>
    </x:row>
    <x:row r="44">
      <x:c r="B44" s="28" t="str">
        <x:v>CR-CAL-PEA-B-X3-RFP-B1-14</x:v>
      </x:c>
      <x:c r="C44" s="28" t="str">
        <x:v>CAL-PEA-B-X3-RFP-B1</x:v>
      </x:c>
      <x:c r="D44" s="28" t="str">
        <x:v>PEA-B-X3</x:v>
      </x:c>
      <x:c r="E44" s="28" t="str">
        <x:v>RFP-B1</x:v>
      </x:c>
      <x:c r="F44" s="28" t="n">
        <x:v>14</x:v>
      </x:c>
      <x:c r="G44" s="28" t="str">
        <x:v>motive energy</x:v>
      </x:c>
      <x:c r="H44" s="34" t="n">
        <x:v>1</x:v>
      </x:c>
      <x:c r="I44" s="35" t="str"/>
      <x:c r="J44" s="34" t="str">
        <x:f>IF(OR(NOT(ISNUMBER(H44)),NOT(ISNUMBER(I44))),"",I44-H44)</x:f>
      </x:c>
      <x:c r="K44" s="34" t="n">
        <x:v>0.05</x:v>
      </x:c>
      <x:c r="L44" s="31" t="str"/>
      <x:c r="M44" s="31" t="str"/>
      <x:c r="N44" s="28" t="str">
        <x:f>IF(M44="","OPEN",IF(OR(L44="",NOT(ISNUMBER(I44))),"FAIL",IF(ABS(J44)&lt;=K44,"PASS","FAIL")))</x:f>
        <x:v>OPEN</x:v>
      </x:c>
    </x:row>
    <x:row r="45">
      <x:c r="B45" s="28" t="str">
        <x:v>CR-CAL-PEA-B-X3-RFP-B1-15</x:v>
      </x:c>
      <x:c r="C45" s="28" t="str">
        <x:v>CAL-PEA-B-X3-RFP-B1</x:v>
      </x:c>
      <x:c r="D45" s="28" t="str">
        <x:v>PEA-B-X3</x:v>
      </x:c>
      <x:c r="E45" s="28" t="str">
        <x:v>RFP-B1</x:v>
      </x:c>
      <x:c r="F45" s="28" t="n">
        <x:v>15</x:v>
      </x:c>
      <x:c r="G45" s="28" t="str">
        <x:v>normal electrical power</x:v>
      </x:c>
      <x:c r="H45" s="34" t="n">
        <x:v>1</x:v>
      </x:c>
      <x:c r="I45" s="35" t="str"/>
      <x:c r="J45" s="34" t="str">
        <x:f>IF(OR(NOT(ISNUMBER(H45)),NOT(ISNUMBER(I45))),"",I45-H45)</x:f>
      </x:c>
      <x:c r="K45" s="34" t="n">
        <x:v>0.05</x:v>
      </x:c>
      <x:c r="L45" s="31" t="str"/>
      <x:c r="M45" s="31" t="str"/>
      <x:c r="N45" s="28" t="str">
        <x:f>IF(M45="","OPEN",IF(OR(L45="",NOT(ISNUMBER(I45))),"FAIL",IF(ABS(J45)&lt;=K45,"PASS","FAIL")))</x:f>
        <x:v>OPEN</x:v>
      </x:c>
    </x:row>
    <x:row r="46">
      <x:c r="B46" s="28" t="str">
        <x:v>CR-CAL-PEA-B-X3-RFP-B1-16</x:v>
      </x:c>
      <x:c r="C46" s="28" t="str">
        <x:v>CAL-PEA-B-X3-RFP-B1</x:v>
      </x:c>
      <x:c r="D46" s="28" t="str">
        <x:v>PEA-B-X3</x:v>
      </x:c>
      <x:c r="E46" s="28" t="str">
        <x:v>RFP-B1</x:v>
      </x:c>
      <x:c r="F46" s="28" t="n">
        <x:v>16</x:v>
      </x:c>
      <x:c r="G46" s="28" t="str">
        <x:v>independent power</x:v>
      </x:c>
      <x:c r="H46" s="34" t="n">
        <x:v>1</x:v>
      </x:c>
      <x:c r="I46" s="35" t="str"/>
      <x:c r="J46" s="34" t="str">
        <x:f>IF(OR(NOT(ISNUMBER(H46)),NOT(ISNUMBER(I46))),"",I46-H46)</x:f>
      </x:c>
      <x:c r="K46" s="34" t="n">
        <x:v>0.05</x:v>
      </x:c>
      <x:c r="L46" s="31" t="str"/>
      <x:c r="M46" s="31" t="str"/>
      <x:c r="N46" s="28" t="str">
        <x:f>IF(M46="","OPEN",IF(OR(L46="",NOT(ISNUMBER(I46))),"FAIL",IF(ABS(J46)&lt;=K46,"PASS","FAIL")))</x:f>
        <x:v>OPEN</x:v>
      </x:c>
    </x:row>
    <x:row r="47">
      <x:c r="B47" s="28" t="str">
        <x:v>CR-CAL-PEA-B-X3-RFP-B1-17</x:v>
      </x:c>
      <x:c r="C47" s="28" t="str">
        <x:v>CAL-PEA-B-X3-RFP-B1</x:v>
      </x:c>
      <x:c r="D47" s="28" t="str">
        <x:v>PEA-B-X3</x:v>
      </x:c>
      <x:c r="E47" s="28" t="str">
        <x:v>RFP-B1</x:v>
      </x:c>
      <x:c r="F47" s="28" t="n">
        <x:v>17</x:v>
      </x:c>
      <x:c r="G47" s="28" t="str">
        <x:v>leak collection</x:v>
      </x:c>
      <x:c r="H47" s="34" t="n">
        <x:v>1</x:v>
      </x:c>
      <x:c r="I47" s="35" t="str"/>
      <x:c r="J47" s="34" t="str">
        <x:f>IF(OR(NOT(ISNUMBER(H47)),NOT(ISNUMBER(I47))),"",I47-H47)</x:f>
      </x:c>
      <x:c r="K47" s="34" t="n">
        <x:v>0.05</x:v>
      </x:c>
      <x:c r="L47" s="31" t="str"/>
      <x:c r="M47" s="31" t="str"/>
      <x:c r="N47" s="28" t="str">
        <x:f>IF(M47="","OPEN",IF(OR(L47="",NOT(ISNUMBER(I47))),"FAIL",IF(ABS(J47)&lt;=K47,"PASS","FAIL")))</x:f>
        <x:v>OPEN</x:v>
      </x:c>
    </x:row>
    <x:row r="48">
      <x:c r="B48" s="28" t="str">
        <x:v>CR-CAL-PEA-B-X3-RFP-B1-18</x:v>
      </x:c>
      <x:c r="C48" s="28" t="str">
        <x:v>CAL-PEA-B-X3-RFP-B1</x:v>
      </x:c>
      <x:c r="D48" s="28" t="str">
        <x:v>PEA-B-X3</x:v>
      </x:c>
      <x:c r="E48" s="28" t="str">
        <x:v>RFP-B1</x:v>
      </x:c>
      <x:c r="F48" s="28" t="n">
        <x:v>18</x:v>
      </x:c>
      <x:c r="G48" s="28" t="str">
        <x:v>occupied area</x:v>
      </x:c>
      <x:c r="H48" s="34" t="n">
        <x:v>1</x:v>
      </x:c>
      <x:c r="I48" s="35" t="str"/>
      <x:c r="J48" s="34" t="str">
        <x:f>IF(OR(NOT(ISNUMBER(H48)),NOT(ISNUMBER(I48))),"",I48-H48)</x:f>
      </x:c>
      <x:c r="K48" s="34" t="n">
        <x:v>0.05</x:v>
      </x:c>
      <x:c r="L48" s="31" t="str"/>
      <x:c r="M48" s="31" t="str"/>
      <x:c r="N48" s="28" t="str">
        <x:f>IF(M48="","OPEN",IF(OR(L48="",NOT(ISNUMBER(I48))),"FAIL",IF(ABS(J48)&lt;=K48,"PASS","FAIL")))</x:f>
        <x:v>OPEN</x:v>
      </x:c>
    </x:row>
    <x:row r="49">
      <x:c r="B49" s="28" t="str">
        <x:v>CR-CAL-PEA-B-X3-RFP-B1-19</x:v>
      </x:c>
      <x:c r="C49" s="28" t="str">
        <x:v>CAL-PEA-B-X3-RFP-B1</x:v>
      </x:c>
      <x:c r="D49" s="28" t="str">
        <x:v>PEA-B-X3</x:v>
      </x:c>
      <x:c r="E49" s="28" t="str">
        <x:v>RFP-B1</x:v>
      </x:c>
      <x:c r="F49" s="28" t="n">
        <x:v>19</x:v>
      </x:c>
      <x:c r="G49" s="28" t="str">
        <x:v>water flow</x:v>
      </x:c>
      <x:c r="H49" s="34" t="n">
        <x:v>1</x:v>
      </x:c>
      <x:c r="I49" s="35" t="str"/>
      <x:c r="J49" s="34" t="str">
        <x:f>IF(OR(NOT(ISNUMBER(H49)),NOT(ISNUMBER(I49))),"",I49-H49)</x:f>
      </x:c>
      <x:c r="K49" s="34" t="n">
        <x:v>0.05</x:v>
      </x:c>
      <x:c r="L49" s="31" t="str"/>
      <x:c r="M49" s="31" t="str"/>
      <x:c r="N49" s="28" t="str">
        <x:f>IF(M49="","OPEN",IF(OR(L49="",NOT(ISNUMBER(I49))),"FAIL",IF(ABS(J49)&lt;=K49,"PASS","FAIL")))</x:f>
        <x:v>OPEN</x:v>
      </x:c>
    </x:row>
    <x:row r="50">
      <x:c r="B50" s="28" t="str">
        <x:v>CR-CAL-PEA-B-X3-RFP-B1-20</x:v>
      </x:c>
      <x:c r="C50" s="28" t="str">
        <x:v>CAL-PEA-B-X3-RFP-B1</x:v>
      </x:c>
      <x:c r="D50" s="28" t="str">
        <x:v>PEA-B-X3</x:v>
      </x:c>
      <x:c r="E50" s="28" t="str">
        <x:v>RFP-B1</x:v>
      </x:c>
      <x:c r="F50" s="28" t="n">
        <x:v>20</x:v>
      </x:c>
      <x:c r="G50" s="28" t="str">
        <x:v>source ancestry root A</x:v>
      </x:c>
      <x:c r="H50" s="34" t="n">
        <x:v>1</x:v>
      </x:c>
      <x:c r="I50" s="35" t="str"/>
      <x:c r="J50" s="34" t="str">
        <x:f>IF(OR(NOT(ISNUMBER(H50)),NOT(ISNUMBER(I50))),"",I50-H50)</x:f>
      </x:c>
      <x:c r="K50" s="34" t="n">
        <x:v>0.05</x:v>
      </x:c>
      <x:c r="L50" s="31" t="str"/>
      <x:c r="M50" s="31" t="str"/>
      <x:c r="N50" s="28" t="str">
        <x:f>IF(M50="","OPEN",IF(OR(L50="",NOT(ISNUMBER(I50))),"FAIL",IF(ABS(J50)&lt;=K50,"PASS","FAIL")))</x:f>
        <x:v>OPEN</x:v>
      </x:c>
    </x:row>
    <x:row r="51">
      <x:c r="B51" s="28" t="str">
        <x:v>CR-CAL-PEA-B-X3-RFP-B1-21</x:v>
      </x:c>
      <x:c r="C51" s="28" t="str">
        <x:v>CAL-PEA-B-X3-RFP-B1</x:v>
      </x:c>
      <x:c r="D51" s="28" t="str">
        <x:v>PEA-B-X3</x:v>
      </x:c>
      <x:c r="E51" s="28" t="str">
        <x:v>RFP-B1</x:v>
      </x:c>
      <x:c r="F51" s="28" t="n">
        <x:v>21</x:v>
      </x:c>
      <x:c r="G51" s="28" t="str">
        <x:v>source ancestry root B</x:v>
      </x:c>
      <x:c r="H51" s="34" t="n">
        <x:v>1</x:v>
      </x:c>
      <x:c r="I51" s="35" t="str"/>
      <x:c r="J51" s="34" t="str">
        <x:f>IF(OR(NOT(ISNUMBER(H51)),NOT(ISNUMBER(I51))),"",I51-H51)</x:f>
      </x:c>
      <x:c r="K51" s="34" t="n">
        <x:v>0.05</x:v>
      </x:c>
      <x:c r="L51" s="31" t="str"/>
      <x:c r="M51" s="31" t="str"/>
      <x:c r="N51" s="28" t="str">
        <x:f>IF(M51="","OPEN",IF(OR(L51="",NOT(ISNUMBER(I51))),"FAIL",IF(ABS(J51)&lt;=K51,"PASS","FAIL")))</x:f>
        <x:v>OPEN</x:v>
      </x:c>
    </x:row>
    <x:row r="52">
      <x:c r="B52" s="28" t="str">
        <x:v>CR-CAL-PEA-B-X3-RFP-B1-22</x:v>
      </x:c>
      <x:c r="C52" s="28" t="str">
        <x:v>CAL-PEA-B-X3-RFP-B1</x:v>
      </x:c>
      <x:c r="D52" s="28" t="str">
        <x:v>PEA-B-X3</x:v>
      </x:c>
      <x:c r="E52" s="28" t="str">
        <x:v>RFP-B1</x:v>
      </x:c>
      <x:c r="F52" s="28" t="n">
        <x:v>22</x:v>
      </x:c>
      <x:c r="G52" s="28" t="str">
        <x:v>environmental release</x:v>
      </x:c>
      <x:c r="H52" s="34" t="n">
        <x:v>1</x:v>
      </x:c>
      <x:c r="I52" s="35" t="str"/>
      <x:c r="J52" s="34" t="str">
        <x:f>IF(OR(NOT(ISNUMBER(H52)),NOT(ISNUMBER(I52))),"",I52-H52)</x:f>
      </x:c>
      <x:c r="K52" s="34" t="n">
        <x:v>0.05</x:v>
      </x:c>
      <x:c r="L52" s="31" t="str"/>
      <x:c r="M52" s="31" t="str"/>
      <x:c r="N52" s="28" t="str">
        <x:f>IF(M52="","OPEN",IF(OR(L52="",NOT(ISNUMBER(I52))),"FAIL",IF(ABS(J52)&lt;=K52,"PASS","FAIL")))</x:f>
        <x:v>OPEN</x:v>
      </x:c>
    </x:row>
    <x:row r="53">
      <x:c r="B53" s="28" t="str">
        <x:v>CR-CAL-PEA-B-X3-RFP-B1-23</x:v>
      </x:c>
      <x:c r="C53" s="28" t="str">
        <x:v>CAL-PEA-B-X3-RFP-B1</x:v>
      </x:c>
      <x:c r="D53" s="28" t="str">
        <x:v>PEA-B-X3</x:v>
      </x:c>
      <x:c r="E53" s="28" t="str">
        <x:v>RFP-B1</x:v>
      </x:c>
      <x:c r="F53" s="28" t="n">
        <x:v>23</x:v>
      </x:c>
      <x:c r="G53" s="28" t="str">
        <x:v>image trigger</x:v>
      </x:c>
      <x:c r="H53" s="34" t="n">
        <x:v>1</x:v>
      </x:c>
      <x:c r="I53" s="35" t="str"/>
      <x:c r="J53" s="34" t="str">
        <x:f>IF(OR(NOT(ISNUMBER(H53)),NOT(ISNUMBER(I53))),"",I53-H53)</x:f>
      </x:c>
      <x:c r="K53" s="34" t="n">
        <x:v>0.05</x:v>
      </x:c>
      <x:c r="L53" s="31" t="str"/>
      <x:c r="M53" s="31" t="str"/>
      <x:c r="N53" s="28" t="str">
        <x:f>IF(M53="","OPEN",IF(OR(L53="",NOT(ISNUMBER(I53))),"FAIL",IF(ABS(J53)&lt;=K53,"PASS","FAIL")))</x:f>
        <x:v>OPEN</x:v>
      </x:c>
    </x:row>
    <x:row r="54">
      <x:c r="B54" s="28" t="str">
        <x:v>CR-CAL-PEA-B-X3-RFP-B1-24</x:v>
      </x:c>
      <x:c r="C54" s="28" t="str">
        <x:v>CAL-PEA-B-X3-RFP-B1</x:v>
      </x:c>
      <x:c r="D54" s="28" t="str">
        <x:v>PEA-B-X3</x:v>
      </x:c>
      <x:c r="E54" s="28" t="str">
        <x:v>RFP-B1</x:v>
      </x:c>
      <x:c r="F54" s="28" t="n">
        <x:v>24</x:v>
      </x:c>
      <x:c r="G54" s="28" t="str">
        <x:v>evidence health</x:v>
      </x:c>
      <x:c r="H54" s="34" t="n">
        <x:v>1</x:v>
      </x:c>
      <x:c r="I54" s="35" t="str"/>
      <x:c r="J54" s="34" t="str">
        <x:f>IF(OR(NOT(ISNUMBER(H54)),NOT(ISNUMBER(I54))),"",I54-H54)</x:f>
      </x:c>
      <x:c r="K54" s="34" t="n">
        <x:v>0.05</x:v>
      </x:c>
      <x:c r="L54" s="31" t="str"/>
      <x:c r="M54" s="31" t="str"/>
      <x:c r="N54" s="28" t="str">
        <x:f>IF(M54="","OPEN",IF(OR(L54="",NOT(ISNUMBER(I54))),"FAIL",IF(ABS(J54)&lt;=K54,"PASS","FAIL")))</x:f>
        <x:v>OPEN</x:v>
      </x:c>
    </x:row>
    <x:row r="55">
      <x:c r="B55" s="28" t="str">
        <x:v>CR-CAL-PEA-C-Y3-RFP-C1-01</x:v>
      </x:c>
      <x:c r="C55" s="28" t="str">
        <x:v>CAL-PEA-C-Y3-RFP-C1</x:v>
      </x:c>
      <x:c r="D55" s="28" t="str">
        <x:v>PEA-C-Y3</x:v>
      </x:c>
      <x:c r="E55" s="28" t="str">
        <x:v>RFP-C1</x:v>
      </x:c>
      <x:c r="F55" s="28" t="n">
        <x:v>1</x:v>
      </x:c>
      <x:c r="G55" s="28" t="str">
        <x:v>vessel mass</x:v>
      </x:c>
      <x:c r="H55" s="34" t="n">
        <x:v>1</x:v>
      </x:c>
      <x:c r="I55" s="35" t="str"/>
      <x:c r="J55" s="34" t="str">
        <x:f>IF(OR(NOT(ISNUMBER(H55)),NOT(ISNUMBER(I55))),"",I55-H55)</x:f>
      </x:c>
      <x:c r="K55" s="34" t="n">
        <x:v>0.05</x:v>
      </x:c>
      <x:c r="L55" s="31" t="str"/>
      <x:c r="M55" s="31" t="str"/>
      <x:c r="N55" s="28" t="str">
        <x:f>IF(M55="","OPEN",IF(OR(L55="",NOT(ISNUMBER(I55))),"FAIL",IF(ABS(J55)&lt;=K55,"PASS","FAIL")))</x:f>
        <x:v>OPEN</x:v>
      </x:c>
    </x:row>
    <x:row r="56">
      <x:c r="B56" s="28" t="str">
        <x:v>CR-CAL-PEA-C-Y3-RFP-C1-02</x:v>
      </x:c>
      <x:c r="C56" s="28" t="str">
        <x:v>CAL-PEA-C-Y3-RFP-C1</x:v>
      </x:c>
      <x:c r="D56" s="28" t="str">
        <x:v>PEA-C-Y3</x:v>
      </x:c>
      <x:c r="E56" s="28" t="str">
        <x:v>RFP-C1</x:v>
      </x:c>
      <x:c r="F56" s="28" t="n">
        <x:v>2</x:v>
      </x:c>
      <x:c r="G56" s="28" t="str">
        <x:v>integrated transfer mass</x:v>
      </x:c>
      <x:c r="H56" s="34" t="n">
        <x:v>1</x:v>
      </x:c>
      <x:c r="I56" s="35" t="str"/>
      <x:c r="J56" s="34" t="str">
        <x:f>IF(OR(NOT(ISNUMBER(H56)),NOT(ISNUMBER(I56))),"",I56-H56)</x:f>
      </x:c>
      <x:c r="K56" s="34" t="n">
        <x:v>0.05</x:v>
      </x:c>
      <x:c r="L56" s="31" t="str"/>
      <x:c r="M56" s="31" t="str"/>
      <x:c r="N56" s="28" t="str">
        <x:f>IF(M56="","OPEN",IF(OR(L56="",NOT(ISNUMBER(I56))),"FAIL",IF(ABS(J56)&lt;=K56,"PASS","FAIL")))</x:f>
        <x:v>OPEN</x:v>
      </x:c>
    </x:row>
    <x:row r="57">
      <x:c r="B57" s="28" t="str">
        <x:v>CR-CAL-PEA-C-Y3-RFP-C1-03</x:v>
      </x:c>
      <x:c r="C57" s="28" t="str">
        <x:v>CAL-PEA-C-Y3-RFP-C1</x:v>
      </x:c>
      <x:c r="D57" s="28" t="str">
        <x:v>PEA-C-Y3</x:v>
      </x:c>
      <x:c r="E57" s="28" t="str">
        <x:v>RFP-C1</x:v>
      </x:c>
      <x:c r="F57" s="28" t="n">
        <x:v>3</x:v>
      </x:c>
      <x:c r="G57" s="28" t="str">
        <x:v>pressure</x:v>
      </x:c>
      <x:c r="H57" s="34" t="n">
        <x:v>1</x:v>
      </x:c>
      <x:c r="I57" s="35" t="str"/>
      <x:c r="J57" s="34" t="str">
        <x:f>IF(OR(NOT(ISNUMBER(H57)),NOT(ISNUMBER(I57))),"",I57-H57)</x:f>
      </x:c>
      <x:c r="K57" s="34" t="n">
        <x:v>0.05</x:v>
      </x:c>
      <x:c r="L57" s="31" t="str"/>
      <x:c r="M57" s="31" t="str"/>
      <x:c r="N57" s="28" t="str">
        <x:f>IF(M57="","OPEN",IF(OR(L57="",NOT(ISNUMBER(I57))),"FAIL",IF(ABS(J57)&lt;=K57,"PASS","FAIL")))</x:f>
        <x:v>OPEN</x:v>
      </x:c>
    </x:row>
    <x:row r="58">
      <x:c r="B58" s="28" t="str">
        <x:v>CR-CAL-PEA-C-Y3-RFP-C1-04</x:v>
      </x:c>
      <x:c r="C58" s="28" t="str">
        <x:v>CAL-PEA-C-Y3-RFP-C1</x:v>
      </x:c>
      <x:c r="D58" s="28" t="str">
        <x:v>PEA-C-Y3</x:v>
      </x:c>
      <x:c r="E58" s="28" t="str">
        <x:v>RFP-C1</x:v>
      </x:c>
      <x:c r="F58" s="28" t="n">
        <x:v>4</x:v>
      </x:c>
      <x:c r="G58" s="28" t="str">
        <x:v>temperature</x:v>
      </x:c>
      <x:c r="H58" s="34" t="n">
        <x:v>1</x:v>
      </x:c>
      <x:c r="I58" s="35" t="str"/>
      <x:c r="J58" s="34" t="str">
        <x:f>IF(OR(NOT(ISNUMBER(H58)),NOT(ISNUMBER(I58))),"",I58-H58)</x:f>
      </x:c>
      <x:c r="K58" s="34" t="n">
        <x:v>0.05</x:v>
      </x:c>
      <x:c r="L58" s="31" t="str"/>
      <x:c r="M58" s="31" t="str"/>
      <x:c r="N58" s="28" t="str">
        <x:f>IF(M58="","OPEN",IF(OR(L58="",NOT(ISNUMBER(I58))),"FAIL",IF(ABS(J58)&lt;=K58,"PASS","FAIL")))</x:f>
        <x:v>OPEN</x:v>
      </x:c>
    </x:row>
    <x:row r="59">
      <x:c r="B59" s="28" t="str">
        <x:v>CR-CAL-PEA-C-Y3-RFP-C1-05</x:v>
      </x:c>
      <x:c r="C59" s="28" t="str">
        <x:v>CAL-PEA-C-Y3-RFP-C1</x:v>
      </x:c>
      <x:c r="D59" s="28" t="str">
        <x:v>PEA-C-Y3</x:v>
      </x:c>
      <x:c r="E59" s="28" t="str">
        <x:v>RFP-C1</x:v>
      </x:c>
      <x:c r="F59" s="28" t="n">
        <x:v>5</x:v>
      </x:c>
      <x:c r="G59" s="28" t="str">
        <x:v>hold-up tomography</x:v>
      </x:c>
      <x:c r="H59" s="34" t="n">
        <x:v>1</x:v>
      </x:c>
      <x:c r="I59" s="35" t="str"/>
      <x:c r="J59" s="34" t="str">
        <x:f>IF(OR(NOT(ISNUMBER(H59)),NOT(ISNUMBER(I59))),"",I59-H59)</x:f>
      </x:c>
      <x:c r="K59" s="34" t="n">
        <x:v>0.05</x:v>
      </x:c>
      <x:c r="L59" s="31" t="str"/>
      <x:c r="M59" s="31" t="str"/>
      <x:c r="N59" s="28" t="str">
        <x:f>IF(M59="","OPEN",IF(OR(L59="",NOT(ISNUMBER(I59))),"FAIL",IF(ABS(J59)&lt;=K59,"PASS","FAIL")))</x:f>
        <x:v>OPEN</x:v>
      </x:c>
    </x:row>
    <x:row r="60">
      <x:c r="B60" s="28" t="str">
        <x:v>CR-CAL-PEA-C-Y3-RFP-C1-06</x:v>
      </x:c>
      <x:c r="C60" s="28" t="str">
        <x:v>CAL-PEA-C-Y3-RFP-C1</x:v>
      </x:c>
      <x:c r="D60" s="28" t="str">
        <x:v>PEA-C-Y3</x:v>
      </x:c>
      <x:c r="E60" s="28" t="str">
        <x:v>RFP-C1</x:v>
      </x:c>
      <x:c r="F60" s="28" t="n">
        <x:v>6</x:v>
      </x:c>
      <x:c r="G60" s="28" t="str">
        <x:v>pan level</x:v>
      </x:c>
      <x:c r="H60" s="34" t="n">
        <x:v>1</x:v>
      </x:c>
      <x:c r="I60" s="35" t="str"/>
      <x:c r="J60" s="34" t="str">
        <x:f>IF(OR(NOT(ISNUMBER(H60)),NOT(ISNUMBER(I60))),"",I60-H60)</x:f>
      </x:c>
      <x:c r="K60" s="34" t="n">
        <x:v>0.05</x:v>
      </x:c>
      <x:c r="L60" s="31" t="str"/>
      <x:c r="M60" s="31" t="str"/>
      <x:c r="N60" s="28" t="str">
        <x:f>IF(M60="","OPEN",IF(OR(L60="",NOT(ISNUMBER(I60))),"FAIL",IF(ABS(J60)&lt;=K60,"PASS","FAIL")))</x:f>
        <x:v>OPEN</x:v>
      </x:c>
    </x:row>
    <x:row r="61">
      <x:c r="B61" s="28" t="str">
        <x:v>CR-CAL-PEA-C-Y3-RFP-C1-07</x:v>
      </x:c>
      <x:c r="C61" s="28" t="str">
        <x:v>CAL-PEA-C-Y3-RFP-C1</x:v>
      </x:c>
      <x:c r="D61" s="28" t="str">
        <x:v>PEA-C-Y3</x:v>
      </x:c>
      <x:c r="E61" s="28" t="str">
        <x:v>RFP-C1</x:v>
      </x:c>
      <x:c r="F61" s="28" t="n">
        <x:v>7</x:v>
      </x:c>
      <x:c r="G61" s="28" t="str">
        <x:v>receiver mass</x:v>
      </x:c>
      <x:c r="H61" s="34" t="n">
        <x:v>1</x:v>
      </x:c>
      <x:c r="I61" s="35" t="str"/>
      <x:c r="J61" s="34" t="str">
        <x:f>IF(OR(NOT(ISNUMBER(H61)),NOT(ISNUMBER(I61))),"",I61-H61)</x:f>
      </x:c>
      <x:c r="K61" s="34" t="n">
        <x:v>0.05</x:v>
      </x:c>
      <x:c r="L61" s="31" t="str"/>
      <x:c r="M61" s="31" t="str"/>
      <x:c r="N61" s="28" t="str">
        <x:f>IF(M61="","OPEN",IF(OR(L61="",NOT(ISNUMBER(I61))),"FAIL",IF(ABS(J61)&lt;=K61,"PASS","FAIL")))</x:f>
        <x:v>OPEN</x:v>
      </x:c>
    </x:row>
    <x:row r="62">
      <x:c r="B62" s="28" t="str">
        <x:v>CR-CAL-PEA-C-Y3-RFP-C1-08</x:v>
      </x:c>
      <x:c r="C62" s="28" t="str">
        <x:v>CAL-PEA-C-Y3-RFP-C1</x:v>
      </x:c>
      <x:c r="D62" s="28" t="str">
        <x:v>PEA-C-Y3</x:v>
      </x:c>
      <x:c r="E62" s="28" t="str">
        <x:v>RFP-C1</x:v>
      </x:c>
      <x:c r="F62" s="28" t="n">
        <x:v>8</x:v>
      </x:c>
      <x:c r="G62" s="28" t="str">
        <x:v>geometry and slope</x:v>
      </x:c>
      <x:c r="H62" s="34" t="n">
        <x:v>1</x:v>
      </x:c>
      <x:c r="I62" s="35" t="str"/>
      <x:c r="J62" s="34" t="str">
        <x:f>IF(OR(NOT(ISNUMBER(H62)),NOT(ISNUMBER(I62))),"",I62-H62)</x:f>
      </x:c>
      <x:c r="K62" s="34" t="n">
        <x:v>0.05</x:v>
      </x:c>
      <x:c r="L62" s="31" t="str"/>
      <x:c r="M62" s="31" t="str"/>
      <x:c r="N62" s="28" t="str">
        <x:f>IF(M62="","OPEN",IF(OR(L62="",NOT(ISNUMBER(I62))),"FAIL",IF(ABS(J62)&lt;=K62,"PASS","FAIL")))</x:f>
        <x:v>OPEN</x:v>
      </x:c>
    </x:row>
    <x:row r="63">
      <x:c r="B63" s="28" t="str">
        <x:v>CR-CAL-PEA-C-Y3-RFP-C1-09</x:v>
      </x:c>
      <x:c r="C63" s="28" t="str">
        <x:v>CAL-PEA-C-Y3-RFP-C1</x:v>
      </x:c>
      <x:c r="D63" s="28" t="str">
        <x:v>PEA-C-Y3</x:v>
      </x:c>
      <x:c r="E63" s="28" t="str">
        <x:v>RFP-C1</x:v>
      </x:c>
      <x:c r="F63" s="28" t="n">
        <x:v>9</x:v>
      </x:c>
      <x:c r="G63" s="28" t="str">
        <x:v>primary state witness</x:v>
      </x:c>
      <x:c r="H63" s="34" t="n">
        <x:v>1</x:v>
      </x:c>
      <x:c r="I63" s="35" t="str"/>
      <x:c r="J63" s="34" t="str">
        <x:f>IF(OR(NOT(ISNUMBER(H63)),NOT(ISNUMBER(I63))),"",I63-H63)</x:f>
      </x:c>
      <x:c r="K63" s="34" t="n">
        <x:v>0.05</x:v>
      </x:c>
      <x:c r="L63" s="31" t="str"/>
      <x:c r="M63" s="31" t="str"/>
      <x:c r="N63" s="28" t="str">
        <x:f>IF(M63="","OPEN",IF(OR(L63="",NOT(ISNUMBER(I63))),"FAIL",IF(ABS(J63)&lt;=K63,"PASS","FAIL")))</x:f>
        <x:v>OPEN</x:v>
      </x:c>
    </x:row>
    <x:row r="64">
      <x:c r="B64" s="28" t="str">
        <x:v>CR-CAL-PEA-C-Y3-RFP-C1-10</x:v>
      </x:c>
      <x:c r="C64" s="28" t="str">
        <x:v>CAL-PEA-C-Y3-RFP-C1</x:v>
      </x:c>
      <x:c r="D64" s="28" t="str">
        <x:v>PEA-C-Y3</x:v>
      </x:c>
      <x:c r="E64" s="28" t="str">
        <x:v>RFP-C1</x:v>
      </x:c>
      <x:c r="F64" s="28" t="n">
        <x:v>10</x:v>
      </x:c>
      <x:c r="G64" s="28" t="str">
        <x:v>diverse state witness</x:v>
      </x:c>
      <x:c r="H64" s="34" t="n">
        <x:v>1</x:v>
      </x:c>
      <x:c r="I64" s="35" t="str"/>
      <x:c r="J64" s="34" t="str">
        <x:f>IF(OR(NOT(ISNUMBER(H64)),NOT(ISNUMBER(I64))),"",I64-H64)</x:f>
      </x:c>
      <x:c r="K64" s="34" t="n">
        <x:v>0.05</x:v>
      </x:c>
      <x:c r="L64" s="31" t="str"/>
      <x:c r="M64" s="31" t="str"/>
      <x:c r="N64" s="28" t="str">
        <x:f>IF(M64="","OPEN",IF(OR(L64="",NOT(ISNUMBER(I64))),"FAIL",IF(ABS(J64)&lt;=K64,"PASS","FAIL")))</x:f>
        <x:v>OPEN</x:v>
      </x:c>
    </x:row>
    <x:row r="65">
      <x:c r="B65" s="28" t="str">
        <x:v>CR-CAL-PEA-C-Y3-RFP-C1-11</x:v>
      </x:c>
      <x:c r="C65" s="28" t="str">
        <x:v>CAL-PEA-C-Y3-RFP-C1</x:v>
      </x:c>
      <x:c r="D65" s="28" t="str">
        <x:v>PEA-C-Y3</x:v>
      </x:c>
      <x:c r="E65" s="28" t="str">
        <x:v>RFP-C1</x:v>
      </x:c>
      <x:c r="F65" s="28" t="n">
        <x:v>11</x:v>
      </x:c>
      <x:c r="G65" s="28" t="str">
        <x:v>manual state witness</x:v>
      </x:c>
      <x:c r="H65" s="34" t="n">
        <x:v>1</x:v>
      </x:c>
      <x:c r="I65" s="35" t="str"/>
      <x:c r="J65" s="34" t="str">
        <x:f>IF(OR(NOT(ISNUMBER(H65)),NOT(ISNUMBER(I65))),"",I65-H65)</x:f>
      </x:c>
      <x:c r="K65" s="34" t="n">
        <x:v>0.05</x:v>
      </x:c>
      <x:c r="L65" s="31" t="str"/>
      <x:c r="M65" s="31" t="str"/>
      <x:c r="N65" s="28" t="str">
        <x:f>IF(M65="","OPEN",IF(OR(L65="",NOT(ISNUMBER(I65))),"FAIL",IF(ABS(J65)&lt;=K65,"PASS","FAIL")))</x:f>
        <x:v>OPEN</x:v>
      </x:c>
    </x:row>
    <x:row r="66">
      <x:c r="B66" s="28" t="str">
        <x:v>CR-CAL-PEA-C-Y3-RFP-C1-12</x:v>
      </x:c>
      <x:c r="C66" s="28" t="str">
        <x:v>CAL-PEA-C-Y3-RFP-C1</x:v>
      </x:c>
      <x:c r="D66" s="28" t="str">
        <x:v>PEA-C-Y3</x:v>
      </x:c>
      <x:c r="E66" s="28" t="str">
        <x:v>RFP-C1</x:v>
      </x:c>
      <x:c r="F66" s="28" t="n">
        <x:v>12</x:v>
      </x:c>
      <x:c r="G66" s="28" t="str">
        <x:v>final-element reference</x:v>
      </x:c>
      <x:c r="H66" s="34" t="n">
        <x:v>1</x:v>
      </x:c>
      <x:c r="I66" s="35" t="str"/>
      <x:c r="J66" s="34" t="str">
        <x:f>IF(OR(NOT(ISNUMBER(H66)),NOT(ISNUMBER(I66))),"",I66-H66)</x:f>
      </x:c>
      <x:c r="K66" s="34" t="n">
        <x:v>0.05</x:v>
      </x:c>
      <x:c r="L66" s="31" t="str"/>
      <x:c r="M66" s="31" t="str"/>
      <x:c r="N66" s="28" t="str">
        <x:f>IF(M66="","OPEN",IF(OR(L66="",NOT(ISNUMBER(I66))),"FAIL",IF(ABS(J66)&lt;=K66,"PASS","FAIL")))</x:f>
        <x:v>OPEN</x:v>
      </x:c>
    </x:row>
    <x:row r="67">
      <x:c r="B67" s="28" t="str">
        <x:v>CR-CAL-PEA-C-Y3-RFP-C1-13</x:v>
      </x:c>
      <x:c r="C67" s="28" t="str">
        <x:v>CAL-PEA-C-Y3-RFP-C1</x:v>
      </x:c>
      <x:c r="D67" s="28" t="str">
        <x:v>PEA-C-Y3</x:v>
      </x:c>
      <x:c r="E67" s="28" t="str">
        <x:v>RFP-C1</x:v>
      </x:c>
      <x:c r="F67" s="28" t="n">
        <x:v>13</x:v>
      </x:c>
      <x:c r="G67" s="28" t="str">
        <x:v>causal time</x:v>
      </x:c>
      <x:c r="H67" s="34" t="n">
        <x:v>1</x:v>
      </x:c>
      <x:c r="I67" s="35" t="str"/>
      <x:c r="J67" s="34" t="str">
        <x:f>IF(OR(NOT(ISNUMBER(H67)),NOT(ISNUMBER(I67))),"",I67-H67)</x:f>
      </x:c>
      <x:c r="K67" s="34" t="n">
        <x:v>0.05</x:v>
      </x:c>
      <x:c r="L67" s="31" t="str"/>
      <x:c r="M67" s="31" t="str"/>
      <x:c r="N67" s="28" t="str">
        <x:f>IF(M67="","OPEN",IF(OR(L67="",NOT(ISNUMBER(I67))),"FAIL",IF(ABS(J67)&lt;=K67,"PASS","FAIL")))</x:f>
        <x:v>OPEN</x:v>
      </x:c>
    </x:row>
    <x:row r="68">
      <x:c r="B68" s="28" t="str">
        <x:v>CR-CAL-PEA-C-Y3-RFP-C1-14</x:v>
      </x:c>
      <x:c r="C68" s="28" t="str">
        <x:v>CAL-PEA-C-Y3-RFP-C1</x:v>
      </x:c>
      <x:c r="D68" s="28" t="str">
        <x:v>PEA-C-Y3</x:v>
      </x:c>
      <x:c r="E68" s="28" t="str">
        <x:v>RFP-C1</x:v>
      </x:c>
      <x:c r="F68" s="28" t="n">
        <x:v>14</x:v>
      </x:c>
      <x:c r="G68" s="28" t="str">
        <x:v>motive energy</x:v>
      </x:c>
      <x:c r="H68" s="34" t="n">
        <x:v>1</x:v>
      </x:c>
      <x:c r="I68" s="35" t="str"/>
      <x:c r="J68" s="34" t="str">
        <x:f>IF(OR(NOT(ISNUMBER(H68)),NOT(ISNUMBER(I68))),"",I68-H68)</x:f>
      </x:c>
      <x:c r="K68" s="34" t="n">
        <x:v>0.05</x:v>
      </x:c>
      <x:c r="L68" s="31" t="str"/>
      <x:c r="M68" s="31" t="str"/>
      <x:c r="N68" s="28" t="str">
        <x:f>IF(M68="","OPEN",IF(OR(L68="",NOT(ISNUMBER(I68))),"FAIL",IF(ABS(J68)&lt;=K68,"PASS","FAIL")))</x:f>
        <x:v>OPEN</x:v>
      </x:c>
    </x:row>
    <x:row r="69">
      <x:c r="B69" s="28" t="str">
        <x:v>CR-CAL-PEA-C-Y3-RFP-C1-15</x:v>
      </x:c>
      <x:c r="C69" s="28" t="str">
        <x:v>CAL-PEA-C-Y3-RFP-C1</x:v>
      </x:c>
      <x:c r="D69" s="28" t="str">
        <x:v>PEA-C-Y3</x:v>
      </x:c>
      <x:c r="E69" s="28" t="str">
        <x:v>RFP-C1</x:v>
      </x:c>
      <x:c r="F69" s="28" t="n">
        <x:v>15</x:v>
      </x:c>
      <x:c r="G69" s="28" t="str">
        <x:v>normal electrical power</x:v>
      </x:c>
      <x:c r="H69" s="34" t="n">
        <x:v>1</x:v>
      </x:c>
      <x:c r="I69" s="35" t="str"/>
      <x:c r="J69" s="34" t="str">
        <x:f>IF(OR(NOT(ISNUMBER(H69)),NOT(ISNUMBER(I69))),"",I69-H69)</x:f>
      </x:c>
      <x:c r="K69" s="34" t="n">
        <x:v>0.05</x:v>
      </x:c>
      <x:c r="L69" s="31" t="str"/>
      <x:c r="M69" s="31" t="str"/>
      <x:c r="N69" s="28" t="str">
        <x:f>IF(M69="","OPEN",IF(OR(L69="",NOT(ISNUMBER(I69))),"FAIL",IF(ABS(J69)&lt;=K69,"PASS","FAIL")))</x:f>
        <x:v>OPEN</x:v>
      </x:c>
    </x:row>
    <x:row r="70">
      <x:c r="B70" s="28" t="str">
        <x:v>CR-CAL-PEA-C-Y3-RFP-C1-16</x:v>
      </x:c>
      <x:c r="C70" s="28" t="str">
        <x:v>CAL-PEA-C-Y3-RFP-C1</x:v>
      </x:c>
      <x:c r="D70" s="28" t="str">
        <x:v>PEA-C-Y3</x:v>
      </x:c>
      <x:c r="E70" s="28" t="str">
        <x:v>RFP-C1</x:v>
      </x:c>
      <x:c r="F70" s="28" t="n">
        <x:v>16</x:v>
      </x:c>
      <x:c r="G70" s="28" t="str">
        <x:v>independent power</x:v>
      </x:c>
      <x:c r="H70" s="34" t="n">
        <x:v>1</x:v>
      </x:c>
      <x:c r="I70" s="35" t="str"/>
      <x:c r="J70" s="34" t="str">
        <x:f>IF(OR(NOT(ISNUMBER(H70)),NOT(ISNUMBER(I70))),"",I70-H70)</x:f>
      </x:c>
      <x:c r="K70" s="34" t="n">
        <x:v>0.05</x:v>
      </x:c>
      <x:c r="L70" s="31" t="str"/>
      <x:c r="M70" s="31" t="str"/>
      <x:c r="N70" s="28" t="str">
        <x:f>IF(M70="","OPEN",IF(OR(L70="",NOT(ISNUMBER(I70))),"FAIL",IF(ABS(J70)&lt;=K70,"PASS","FAIL")))</x:f>
        <x:v>OPEN</x:v>
      </x:c>
    </x:row>
    <x:row r="71">
      <x:c r="B71" s="28" t="str">
        <x:v>CR-CAL-PEA-C-Y3-RFP-C1-17</x:v>
      </x:c>
      <x:c r="C71" s="28" t="str">
        <x:v>CAL-PEA-C-Y3-RFP-C1</x:v>
      </x:c>
      <x:c r="D71" s="28" t="str">
        <x:v>PEA-C-Y3</x:v>
      </x:c>
      <x:c r="E71" s="28" t="str">
        <x:v>RFP-C1</x:v>
      </x:c>
      <x:c r="F71" s="28" t="n">
        <x:v>17</x:v>
      </x:c>
      <x:c r="G71" s="28" t="str">
        <x:v>leak collection</x:v>
      </x:c>
      <x:c r="H71" s="34" t="n">
        <x:v>1</x:v>
      </x:c>
      <x:c r="I71" s="35" t="str"/>
      <x:c r="J71" s="34" t="str">
        <x:f>IF(OR(NOT(ISNUMBER(H71)),NOT(ISNUMBER(I71))),"",I71-H71)</x:f>
      </x:c>
      <x:c r="K71" s="34" t="n">
        <x:v>0.05</x:v>
      </x:c>
      <x:c r="L71" s="31" t="str"/>
      <x:c r="M71" s="31" t="str"/>
      <x:c r="N71" s="28" t="str">
        <x:f>IF(M71="","OPEN",IF(OR(L71="",NOT(ISNUMBER(I71))),"FAIL",IF(ABS(J71)&lt;=K71,"PASS","FAIL")))</x:f>
        <x:v>OPEN</x:v>
      </x:c>
    </x:row>
    <x:row r="72">
      <x:c r="B72" s="28" t="str">
        <x:v>CR-CAL-PEA-C-Y3-RFP-C1-18</x:v>
      </x:c>
      <x:c r="C72" s="28" t="str">
        <x:v>CAL-PEA-C-Y3-RFP-C1</x:v>
      </x:c>
      <x:c r="D72" s="28" t="str">
        <x:v>PEA-C-Y3</x:v>
      </x:c>
      <x:c r="E72" s="28" t="str">
        <x:v>RFP-C1</x:v>
      </x:c>
      <x:c r="F72" s="28" t="n">
        <x:v>18</x:v>
      </x:c>
      <x:c r="G72" s="28" t="str">
        <x:v>occupied area</x:v>
      </x:c>
      <x:c r="H72" s="34" t="n">
        <x:v>1</x:v>
      </x:c>
      <x:c r="I72" s="35" t="str"/>
      <x:c r="J72" s="34" t="str">
        <x:f>IF(OR(NOT(ISNUMBER(H72)),NOT(ISNUMBER(I72))),"",I72-H72)</x:f>
      </x:c>
      <x:c r="K72" s="34" t="n">
        <x:v>0.05</x:v>
      </x:c>
      <x:c r="L72" s="31" t="str"/>
      <x:c r="M72" s="31" t="str"/>
      <x:c r="N72" s="28" t="str">
        <x:f>IF(M72="","OPEN",IF(OR(L72="",NOT(ISNUMBER(I72))),"FAIL",IF(ABS(J72)&lt;=K72,"PASS","FAIL")))</x:f>
        <x:v>OPEN</x:v>
      </x:c>
    </x:row>
    <x:row r="73">
      <x:c r="B73" s="28" t="str">
        <x:v>CR-CAL-PEA-C-Y3-RFP-C1-19</x:v>
      </x:c>
      <x:c r="C73" s="28" t="str">
        <x:v>CAL-PEA-C-Y3-RFP-C1</x:v>
      </x:c>
      <x:c r="D73" s="28" t="str">
        <x:v>PEA-C-Y3</x:v>
      </x:c>
      <x:c r="E73" s="28" t="str">
        <x:v>RFP-C1</x:v>
      </x:c>
      <x:c r="F73" s="28" t="n">
        <x:v>19</x:v>
      </x:c>
      <x:c r="G73" s="28" t="str">
        <x:v>water flow</x:v>
      </x:c>
      <x:c r="H73" s="34" t="n">
        <x:v>1</x:v>
      </x:c>
      <x:c r="I73" s="35" t="str"/>
      <x:c r="J73" s="34" t="str">
        <x:f>IF(OR(NOT(ISNUMBER(H73)),NOT(ISNUMBER(I73))),"",I73-H73)</x:f>
      </x:c>
      <x:c r="K73" s="34" t="n">
        <x:v>0.05</x:v>
      </x:c>
      <x:c r="L73" s="31" t="str"/>
      <x:c r="M73" s="31" t="str"/>
      <x:c r="N73" s="28" t="str">
        <x:f>IF(M73="","OPEN",IF(OR(L73="",NOT(ISNUMBER(I73))),"FAIL",IF(ABS(J73)&lt;=K73,"PASS","FAIL")))</x:f>
        <x:v>OPEN</x:v>
      </x:c>
    </x:row>
    <x:row r="74">
      <x:c r="B74" s="28" t="str">
        <x:v>CR-CAL-PEA-C-Y3-RFP-C1-20</x:v>
      </x:c>
      <x:c r="C74" s="28" t="str">
        <x:v>CAL-PEA-C-Y3-RFP-C1</x:v>
      </x:c>
      <x:c r="D74" s="28" t="str">
        <x:v>PEA-C-Y3</x:v>
      </x:c>
      <x:c r="E74" s="28" t="str">
        <x:v>RFP-C1</x:v>
      </x:c>
      <x:c r="F74" s="28" t="n">
        <x:v>20</x:v>
      </x:c>
      <x:c r="G74" s="28" t="str">
        <x:v>source ancestry root A</x:v>
      </x:c>
      <x:c r="H74" s="34" t="n">
        <x:v>1</x:v>
      </x:c>
      <x:c r="I74" s="35" t="str"/>
      <x:c r="J74" s="34" t="str">
        <x:f>IF(OR(NOT(ISNUMBER(H74)),NOT(ISNUMBER(I74))),"",I74-H74)</x:f>
      </x:c>
      <x:c r="K74" s="34" t="n">
        <x:v>0.05</x:v>
      </x:c>
      <x:c r="L74" s="31" t="str"/>
      <x:c r="M74" s="31" t="str"/>
      <x:c r="N74" s="28" t="str">
        <x:f>IF(M74="","OPEN",IF(OR(L74="",NOT(ISNUMBER(I74))),"FAIL",IF(ABS(J74)&lt;=K74,"PASS","FAIL")))</x:f>
        <x:v>OPEN</x:v>
      </x:c>
    </x:row>
    <x:row r="75">
      <x:c r="B75" s="28" t="str">
        <x:v>CR-CAL-PEA-C-Y3-RFP-C1-21</x:v>
      </x:c>
      <x:c r="C75" s="28" t="str">
        <x:v>CAL-PEA-C-Y3-RFP-C1</x:v>
      </x:c>
      <x:c r="D75" s="28" t="str">
        <x:v>PEA-C-Y3</x:v>
      </x:c>
      <x:c r="E75" s="28" t="str">
        <x:v>RFP-C1</x:v>
      </x:c>
      <x:c r="F75" s="28" t="n">
        <x:v>21</x:v>
      </x:c>
      <x:c r="G75" s="28" t="str">
        <x:v>source ancestry root B</x:v>
      </x:c>
      <x:c r="H75" s="34" t="n">
        <x:v>1</x:v>
      </x:c>
      <x:c r="I75" s="35" t="str"/>
      <x:c r="J75" s="34" t="str">
        <x:f>IF(OR(NOT(ISNUMBER(H75)),NOT(ISNUMBER(I75))),"",I75-H75)</x:f>
      </x:c>
      <x:c r="K75" s="34" t="n">
        <x:v>0.05</x:v>
      </x:c>
      <x:c r="L75" s="31" t="str"/>
      <x:c r="M75" s="31" t="str"/>
      <x:c r="N75" s="28" t="str">
        <x:f>IF(M75="","OPEN",IF(OR(L75="",NOT(ISNUMBER(I75))),"FAIL",IF(ABS(J75)&lt;=K75,"PASS","FAIL")))</x:f>
        <x:v>OPEN</x:v>
      </x:c>
    </x:row>
    <x:row r="76">
      <x:c r="B76" s="28" t="str">
        <x:v>CR-CAL-PEA-C-Y3-RFP-C1-22</x:v>
      </x:c>
      <x:c r="C76" s="28" t="str">
        <x:v>CAL-PEA-C-Y3-RFP-C1</x:v>
      </x:c>
      <x:c r="D76" s="28" t="str">
        <x:v>PEA-C-Y3</x:v>
      </x:c>
      <x:c r="E76" s="28" t="str">
        <x:v>RFP-C1</x:v>
      </x:c>
      <x:c r="F76" s="28" t="n">
        <x:v>22</x:v>
      </x:c>
      <x:c r="G76" s="28" t="str">
        <x:v>environmental release</x:v>
      </x:c>
      <x:c r="H76" s="34" t="n">
        <x:v>1</x:v>
      </x:c>
      <x:c r="I76" s="35" t="str"/>
      <x:c r="J76" s="34" t="str">
        <x:f>IF(OR(NOT(ISNUMBER(H76)),NOT(ISNUMBER(I76))),"",I76-H76)</x:f>
      </x:c>
      <x:c r="K76" s="34" t="n">
        <x:v>0.05</x:v>
      </x:c>
      <x:c r="L76" s="31" t="str"/>
      <x:c r="M76" s="31" t="str"/>
      <x:c r="N76" s="28" t="str">
        <x:f>IF(M76="","OPEN",IF(OR(L76="",NOT(ISNUMBER(I76))),"FAIL",IF(ABS(J76)&lt;=K76,"PASS","FAIL")))</x:f>
        <x:v>OPEN</x:v>
      </x:c>
    </x:row>
    <x:row r="77">
      <x:c r="B77" s="28" t="str">
        <x:v>CR-CAL-PEA-C-Y3-RFP-C1-23</x:v>
      </x:c>
      <x:c r="C77" s="28" t="str">
        <x:v>CAL-PEA-C-Y3-RFP-C1</x:v>
      </x:c>
      <x:c r="D77" s="28" t="str">
        <x:v>PEA-C-Y3</x:v>
      </x:c>
      <x:c r="E77" s="28" t="str">
        <x:v>RFP-C1</x:v>
      </x:c>
      <x:c r="F77" s="28" t="n">
        <x:v>23</x:v>
      </x:c>
      <x:c r="G77" s="28" t="str">
        <x:v>image trigger</x:v>
      </x:c>
      <x:c r="H77" s="34" t="n">
        <x:v>1</x:v>
      </x:c>
      <x:c r="I77" s="35" t="str"/>
      <x:c r="J77" s="34" t="str">
        <x:f>IF(OR(NOT(ISNUMBER(H77)),NOT(ISNUMBER(I77))),"",I77-H77)</x:f>
      </x:c>
      <x:c r="K77" s="34" t="n">
        <x:v>0.05</x:v>
      </x:c>
      <x:c r="L77" s="31" t="str"/>
      <x:c r="M77" s="31" t="str"/>
      <x:c r="N77" s="28" t="str">
        <x:f>IF(M77="","OPEN",IF(OR(L77="",NOT(ISNUMBER(I77))),"FAIL",IF(ABS(J77)&lt;=K77,"PASS","FAIL")))</x:f>
        <x:v>OPEN</x:v>
      </x:c>
    </x:row>
    <x:row r="78">
      <x:c r="B78" s="28" t="str">
        <x:v>CR-CAL-PEA-C-Y3-RFP-C1-24</x:v>
      </x:c>
      <x:c r="C78" s="28" t="str">
        <x:v>CAL-PEA-C-Y3-RFP-C1</x:v>
      </x:c>
      <x:c r="D78" s="28" t="str">
        <x:v>PEA-C-Y3</x:v>
      </x:c>
      <x:c r="E78" s="28" t="str">
        <x:v>RFP-C1</x:v>
      </x:c>
      <x:c r="F78" s="28" t="n">
        <x:v>24</x:v>
      </x:c>
      <x:c r="G78" s="28" t="str">
        <x:v>evidence health</x:v>
      </x:c>
      <x:c r="H78" s="34" t="n">
        <x:v>1</x:v>
      </x:c>
      <x:c r="I78" s="35" t="str"/>
      <x:c r="J78" s="34" t="str">
        <x:f>IF(OR(NOT(ISNUMBER(H78)),NOT(ISNUMBER(I78))),"",I78-H78)</x:f>
      </x:c>
      <x:c r="K78" s="34" t="n">
        <x:v>0.05</x:v>
      </x:c>
      <x:c r="L78" s="31" t="str"/>
      <x:c r="M78" s="31" t="str"/>
      <x:c r="N78" s="28" t="str">
        <x:f>IF(M78="","OPEN",IF(OR(L78="",NOT(ISNUMBER(I78))),"FAIL",IF(ABS(J78)&lt;=K78,"PASS","FAIL")))</x:f>
        <x:v>OPEN</x:v>
      </x:c>
    </x:row>
    <x:row r="79">
      <x:c r="B79" s="28" t="str">
        <x:v>CR-CAL-PEA-A-X3-RFP-A2-01</x:v>
      </x:c>
      <x:c r="C79" s="28" t="str">
        <x:v>CAL-PEA-A-X3-RFP-A2</x:v>
      </x:c>
      <x:c r="D79" s="28" t="str">
        <x:v>PEA-A-X3</x:v>
      </x:c>
      <x:c r="E79" s="28" t="str">
        <x:v>RFP-A2</x:v>
      </x:c>
      <x:c r="F79" s="28" t="n">
        <x:v>1</x:v>
      </x:c>
      <x:c r="G79" s="28" t="str">
        <x:v>vessel mass</x:v>
      </x:c>
      <x:c r="H79" s="34" t="n">
        <x:v>1</x:v>
      </x:c>
      <x:c r="I79" s="35" t="str"/>
      <x:c r="J79" s="34" t="str">
        <x:f>IF(OR(NOT(ISNUMBER(H79)),NOT(ISNUMBER(I79))),"",I79-H79)</x:f>
      </x:c>
      <x:c r="K79" s="34" t="n">
        <x:v>0.05</x:v>
      </x:c>
      <x:c r="L79" s="31" t="str"/>
      <x:c r="M79" s="31" t="str"/>
      <x:c r="N79" s="28" t="str">
        <x:f>IF(M79="","OPEN",IF(OR(L79="",NOT(ISNUMBER(I79))),"FAIL",IF(ABS(J79)&lt;=K79,"PASS","FAIL")))</x:f>
        <x:v>OPEN</x:v>
      </x:c>
    </x:row>
    <x:row r="80">
      <x:c r="B80" s="28" t="str">
        <x:v>CR-CAL-PEA-A-X3-RFP-A2-02</x:v>
      </x:c>
      <x:c r="C80" s="28" t="str">
        <x:v>CAL-PEA-A-X3-RFP-A2</x:v>
      </x:c>
      <x:c r="D80" s="28" t="str">
        <x:v>PEA-A-X3</x:v>
      </x:c>
      <x:c r="E80" s="28" t="str">
        <x:v>RFP-A2</x:v>
      </x:c>
      <x:c r="F80" s="28" t="n">
        <x:v>2</x:v>
      </x:c>
      <x:c r="G80" s="28" t="str">
        <x:v>integrated transfer mass</x:v>
      </x:c>
      <x:c r="H80" s="34" t="n">
        <x:v>1</x:v>
      </x:c>
      <x:c r="I80" s="35" t="str"/>
      <x:c r="J80" s="34" t="str">
        <x:f>IF(OR(NOT(ISNUMBER(H80)),NOT(ISNUMBER(I80))),"",I80-H80)</x:f>
      </x:c>
      <x:c r="K80" s="34" t="n">
        <x:v>0.05</x:v>
      </x:c>
      <x:c r="L80" s="31" t="str"/>
      <x:c r="M80" s="31" t="str"/>
      <x:c r="N80" s="28" t="str">
        <x:f>IF(M80="","OPEN",IF(OR(L80="",NOT(ISNUMBER(I80))),"FAIL",IF(ABS(J80)&lt;=K80,"PASS","FAIL")))</x:f>
        <x:v>OPEN</x:v>
      </x:c>
    </x:row>
    <x:row r="81">
      <x:c r="B81" s="28" t="str">
        <x:v>CR-CAL-PEA-A-X3-RFP-A2-03</x:v>
      </x:c>
      <x:c r="C81" s="28" t="str">
        <x:v>CAL-PEA-A-X3-RFP-A2</x:v>
      </x:c>
      <x:c r="D81" s="28" t="str">
        <x:v>PEA-A-X3</x:v>
      </x:c>
      <x:c r="E81" s="28" t="str">
        <x:v>RFP-A2</x:v>
      </x:c>
      <x:c r="F81" s="28" t="n">
        <x:v>3</x:v>
      </x:c>
      <x:c r="G81" s="28" t="str">
        <x:v>pressure</x:v>
      </x:c>
      <x:c r="H81" s="34" t="n">
        <x:v>1</x:v>
      </x:c>
      <x:c r="I81" s="35" t="str"/>
      <x:c r="J81" s="34" t="str">
        <x:f>IF(OR(NOT(ISNUMBER(H81)),NOT(ISNUMBER(I81))),"",I81-H81)</x:f>
      </x:c>
      <x:c r="K81" s="34" t="n">
        <x:v>0.05</x:v>
      </x:c>
      <x:c r="L81" s="31" t="str"/>
      <x:c r="M81" s="31" t="str"/>
      <x:c r="N81" s="28" t="str">
        <x:f>IF(M81="","OPEN",IF(OR(L81="",NOT(ISNUMBER(I81))),"FAIL",IF(ABS(J81)&lt;=K81,"PASS","FAIL")))</x:f>
        <x:v>OPEN</x:v>
      </x:c>
    </x:row>
    <x:row r="82">
      <x:c r="B82" s="28" t="str">
        <x:v>CR-CAL-PEA-A-X3-RFP-A2-04</x:v>
      </x:c>
      <x:c r="C82" s="28" t="str">
        <x:v>CAL-PEA-A-X3-RFP-A2</x:v>
      </x:c>
      <x:c r="D82" s="28" t="str">
        <x:v>PEA-A-X3</x:v>
      </x:c>
      <x:c r="E82" s="28" t="str">
        <x:v>RFP-A2</x:v>
      </x:c>
      <x:c r="F82" s="28" t="n">
        <x:v>4</x:v>
      </x:c>
      <x:c r="G82" s="28" t="str">
        <x:v>temperature</x:v>
      </x:c>
      <x:c r="H82" s="34" t="n">
        <x:v>1</x:v>
      </x:c>
      <x:c r="I82" s="35" t="str"/>
      <x:c r="J82" s="34" t="str">
        <x:f>IF(OR(NOT(ISNUMBER(H82)),NOT(ISNUMBER(I82))),"",I82-H82)</x:f>
      </x:c>
      <x:c r="K82" s="34" t="n">
        <x:v>0.05</x:v>
      </x:c>
      <x:c r="L82" s="31" t="str"/>
      <x:c r="M82" s="31" t="str"/>
      <x:c r="N82" s="28" t="str">
        <x:f>IF(M82="","OPEN",IF(OR(L82="",NOT(ISNUMBER(I82))),"FAIL",IF(ABS(J82)&lt;=K82,"PASS","FAIL")))</x:f>
        <x:v>OPEN</x:v>
      </x:c>
    </x:row>
    <x:row r="83">
      <x:c r="B83" s="28" t="str">
        <x:v>CR-CAL-PEA-A-X3-RFP-A2-05</x:v>
      </x:c>
      <x:c r="C83" s="28" t="str">
        <x:v>CAL-PEA-A-X3-RFP-A2</x:v>
      </x:c>
      <x:c r="D83" s="28" t="str">
        <x:v>PEA-A-X3</x:v>
      </x:c>
      <x:c r="E83" s="28" t="str">
        <x:v>RFP-A2</x:v>
      </x:c>
      <x:c r="F83" s="28" t="n">
        <x:v>5</x:v>
      </x:c>
      <x:c r="G83" s="28" t="str">
        <x:v>hold-up tomography</x:v>
      </x:c>
      <x:c r="H83" s="34" t="n">
        <x:v>1</x:v>
      </x:c>
      <x:c r="I83" s="35" t="str"/>
      <x:c r="J83" s="34" t="str">
        <x:f>IF(OR(NOT(ISNUMBER(H83)),NOT(ISNUMBER(I83))),"",I83-H83)</x:f>
      </x:c>
      <x:c r="K83" s="34" t="n">
        <x:v>0.05</x:v>
      </x:c>
      <x:c r="L83" s="31" t="str"/>
      <x:c r="M83" s="31" t="str"/>
      <x:c r="N83" s="28" t="str">
        <x:f>IF(M83="","OPEN",IF(OR(L83="",NOT(ISNUMBER(I83))),"FAIL",IF(ABS(J83)&lt;=K83,"PASS","FAIL")))</x:f>
        <x:v>OPEN</x:v>
      </x:c>
    </x:row>
    <x:row r="84">
      <x:c r="B84" s="28" t="str">
        <x:v>CR-CAL-PEA-A-X3-RFP-A2-06</x:v>
      </x:c>
      <x:c r="C84" s="28" t="str">
        <x:v>CAL-PEA-A-X3-RFP-A2</x:v>
      </x:c>
      <x:c r="D84" s="28" t="str">
        <x:v>PEA-A-X3</x:v>
      </x:c>
      <x:c r="E84" s="28" t="str">
        <x:v>RFP-A2</x:v>
      </x:c>
      <x:c r="F84" s="28" t="n">
        <x:v>6</x:v>
      </x:c>
      <x:c r="G84" s="28" t="str">
        <x:v>pan level</x:v>
      </x:c>
      <x:c r="H84" s="34" t="n">
        <x:v>1</x:v>
      </x:c>
      <x:c r="I84" s="35" t="str"/>
      <x:c r="J84" s="34" t="str">
        <x:f>IF(OR(NOT(ISNUMBER(H84)),NOT(ISNUMBER(I84))),"",I84-H84)</x:f>
      </x:c>
      <x:c r="K84" s="34" t="n">
        <x:v>0.05</x:v>
      </x:c>
      <x:c r="L84" s="31" t="str"/>
      <x:c r="M84" s="31" t="str"/>
      <x:c r="N84" s="28" t="str">
        <x:f>IF(M84="","OPEN",IF(OR(L84="",NOT(ISNUMBER(I84))),"FAIL",IF(ABS(J84)&lt;=K84,"PASS","FAIL")))</x:f>
        <x:v>OPEN</x:v>
      </x:c>
    </x:row>
    <x:row r="85">
      <x:c r="B85" s="28" t="str">
        <x:v>CR-CAL-PEA-A-X3-RFP-A2-07</x:v>
      </x:c>
      <x:c r="C85" s="28" t="str">
        <x:v>CAL-PEA-A-X3-RFP-A2</x:v>
      </x:c>
      <x:c r="D85" s="28" t="str">
        <x:v>PEA-A-X3</x:v>
      </x:c>
      <x:c r="E85" s="28" t="str">
        <x:v>RFP-A2</x:v>
      </x:c>
      <x:c r="F85" s="28" t="n">
        <x:v>7</x:v>
      </x:c>
      <x:c r="G85" s="28" t="str">
        <x:v>receiver mass</x:v>
      </x:c>
      <x:c r="H85" s="34" t="n">
        <x:v>1</x:v>
      </x:c>
      <x:c r="I85" s="35" t="str"/>
      <x:c r="J85" s="34" t="str">
        <x:f>IF(OR(NOT(ISNUMBER(H85)),NOT(ISNUMBER(I85))),"",I85-H85)</x:f>
      </x:c>
      <x:c r="K85" s="34" t="n">
        <x:v>0.05</x:v>
      </x:c>
      <x:c r="L85" s="31" t="str"/>
      <x:c r="M85" s="31" t="str"/>
      <x:c r="N85" s="28" t="str">
        <x:f>IF(M85="","OPEN",IF(OR(L85="",NOT(ISNUMBER(I85))),"FAIL",IF(ABS(J85)&lt;=K85,"PASS","FAIL")))</x:f>
        <x:v>OPEN</x:v>
      </x:c>
    </x:row>
    <x:row r="86">
      <x:c r="B86" s="28" t="str">
        <x:v>CR-CAL-PEA-A-X3-RFP-A2-08</x:v>
      </x:c>
      <x:c r="C86" s="28" t="str">
        <x:v>CAL-PEA-A-X3-RFP-A2</x:v>
      </x:c>
      <x:c r="D86" s="28" t="str">
        <x:v>PEA-A-X3</x:v>
      </x:c>
      <x:c r="E86" s="28" t="str">
        <x:v>RFP-A2</x:v>
      </x:c>
      <x:c r="F86" s="28" t="n">
        <x:v>8</x:v>
      </x:c>
      <x:c r="G86" s="28" t="str">
        <x:v>geometry and slope</x:v>
      </x:c>
      <x:c r="H86" s="34" t="n">
        <x:v>1</x:v>
      </x:c>
      <x:c r="I86" s="35" t="str"/>
      <x:c r="J86" s="34" t="str">
        <x:f>IF(OR(NOT(ISNUMBER(H86)),NOT(ISNUMBER(I86))),"",I86-H86)</x:f>
      </x:c>
      <x:c r="K86" s="34" t="n">
        <x:v>0.05</x:v>
      </x:c>
      <x:c r="L86" s="31" t="str"/>
      <x:c r="M86" s="31" t="str"/>
      <x:c r="N86" s="28" t="str">
        <x:f>IF(M86="","OPEN",IF(OR(L86="",NOT(ISNUMBER(I86))),"FAIL",IF(ABS(J86)&lt;=K86,"PASS","FAIL")))</x:f>
        <x:v>OPEN</x:v>
      </x:c>
    </x:row>
    <x:row r="87">
      <x:c r="B87" s="28" t="str">
        <x:v>CR-CAL-PEA-A-X3-RFP-A2-09</x:v>
      </x:c>
      <x:c r="C87" s="28" t="str">
        <x:v>CAL-PEA-A-X3-RFP-A2</x:v>
      </x:c>
      <x:c r="D87" s="28" t="str">
        <x:v>PEA-A-X3</x:v>
      </x:c>
      <x:c r="E87" s="28" t="str">
        <x:v>RFP-A2</x:v>
      </x:c>
      <x:c r="F87" s="28" t="n">
        <x:v>9</x:v>
      </x:c>
      <x:c r="G87" s="28" t="str">
        <x:v>primary state witness</x:v>
      </x:c>
      <x:c r="H87" s="34" t="n">
        <x:v>1</x:v>
      </x:c>
      <x:c r="I87" s="35" t="str"/>
      <x:c r="J87" s="34" t="str">
        <x:f>IF(OR(NOT(ISNUMBER(H87)),NOT(ISNUMBER(I87))),"",I87-H87)</x:f>
      </x:c>
      <x:c r="K87" s="34" t="n">
        <x:v>0.05</x:v>
      </x:c>
      <x:c r="L87" s="31" t="str"/>
      <x:c r="M87" s="31" t="str"/>
      <x:c r="N87" s="28" t="str">
        <x:f>IF(M87="","OPEN",IF(OR(L87="",NOT(ISNUMBER(I87))),"FAIL",IF(ABS(J87)&lt;=K87,"PASS","FAIL")))</x:f>
        <x:v>OPEN</x:v>
      </x:c>
    </x:row>
    <x:row r="88">
      <x:c r="B88" s="28" t="str">
        <x:v>CR-CAL-PEA-A-X3-RFP-A2-10</x:v>
      </x:c>
      <x:c r="C88" s="28" t="str">
        <x:v>CAL-PEA-A-X3-RFP-A2</x:v>
      </x:c>
      <x:c r="D88" s="28" t="str">
        <x:v>PEA-A-X3</x:v>
      </x:c>
      <x:c r="E88" s="28" t="str">
        <x:v>RFP-A2</x:v>
      </x:c>
      <x:c r="F88" s="28" t="n">
        <x:v>10</x:v>
      </x:c>
      <x:c r="G88" s="28" t="str">
        <x:v>diverse state witness</x:v>
      </x:c>
      <x:c r="H88" s="34" t="n">
        <x:v>1</x:v>
      </x:c>
      <x:c r="I88" s="35" t="str"/>
      <x:c r="J88" s="34" t="str">
        <x:f>IF(OR(NOT(ISNUMBER(H88)),NOT(ISNUMBER(I88))),"",I88-H88)</x:f>
      </x:c>
      <x:c r="K88" s="34" t="n">
        <x:v>0.05</x:v>
      </x:c>
      <x:c r="L88" s="31" t="str"/>
      <x:c r="M88" s="31" t="str"/>
      <x:c r="N88" s="28" t="str">
        <x:f>IF(M88="","OPEN",IF(OR(L88="",NOT(ISNUMBER(I88))),"FAIL",IF(ABS(J88)&lt;=K88,"PASS","FAIL")))</x:f>
        <x:v>OPEN</x:v>
      </x:c>
    </x:row>
    <x:row r="89">
      <x:c r="B89" s="28" t="str">
        <x:v>CR-CAL-PEA-A-X3-RFP-A2-11</x:v>
      </x:c>
      <x:c r="C89" s="28" t="str">
        <x:v>CAL-PEA-A-X3-RFP-A2</x:v>
      </x:c>
      <x:c r="D89" s="28" t="str">
        <x:v>PEA-A-X3</x:v>
      </x:c>
      <x:c r="E89" s="28" t="str">
        <x:v>RFP-A2</x:v>
      </x:c>
      <x:c r="F89" s="28" t="n">
        <x:v>11</x:v>
      </x:c>
      <x:c r="G89" s="28" t="str">
        <x:v>manual state witness</x:v>
      </x:c>
      <x:c r="H89" s="34" t="n">
        <x:v>1</x:v>
      </x:c>
      <x:c r="I89" s="35" t="str"/>
      <x:c r="J89" s="34" t="str">
        <x:f>IF(OR(NOT(ISNUMBER(H89)),NOT(ISNUMBER(I89))),"",I89-H89)</x:f>
      </x:c>
      <x:c r="K89" s="34" t="n">
        <x:v>0.05</x:v>
      </x:c>
      <x:c r="L89" s="31" t="str"/>
      <x:c r="M89" s="31" t="str"/>
      <x:c r="N89" s="28" t="str">
        <x:f>IF(M89="","OPEN",IF(OR(L89="",NOT(ISNUMBER(I89))),"FAIL",IF(ABS(J89)&lt;=K89,"PASS","FAIL")))</x:f>
        <x:v>OPEN</x:v>
      </x:c>
    </x:row>
    <x:row r="90">
      <x:c r="B90" s="28" t="str">
        <x:v>CR-CAL-PEA-A-X3-RFP-A2-12</x:v>
      </x:c>
      <x:c r="C90" s="28" t="str">
        <x:v>CAL-PEA-A-X3-RFP-A2</x:v>
      </x:c>
      <x:c r="D90" s="28" t="str">
        <x:v>PEA-A-X3</x:v>
      </x:c>
      <x:c r="E90" s="28" t="str">
        <x:v>RFP-A2</x:v>
      </x:c>
      <x:c r="F90" s="28" t="n">
        <x:v>12</x:v>
      </x:c>
      <x:c r="G90" s="28" t="str">
        <x:v>final-element reference</x:v>
      </x:c>
      <x:c r="H90" s="34" t="n">
        <x:v>1</x:v>
      </x:c>
      <x:c r="I90" s="35" t="str"/>
      <x:c r="J90" s="34" t="str">
        <x:f>IF(OR(NOT(ISNUMBER(H90)),NOT(ISNUMBER(I90))),"",I90-H90)</x:f>
      </x:c>
      <x:c r="K90" s="34" t="n">
        <x:v>0.05</x:v>
      </x:c>
      <x:c r="L90" s="31" t="str"/>
      <x:c r="M90" s="31" t="str"/>
      <x:c r="N90" s="28" t="str">
        <x:f>IF(M90="","OPEN",IF(OR(L90="",NOT(ISNUMBER(I90))),"FAIL",IF(ABS(J90)&lt;=K90,"PASS","FAIL")))</x:f>
        <x:v>OPEN</x:v>
      </x:c>
    </x:row>
    <x:row r="91">
      <x:c r="B91" s="28" t="str">
        <x:v>CR-CAL-PEA-A-X3-RFP-A2-13</x:v>
      </x:c>
      <x:c r="C91" s="28" t="str">
        <x:v>CAL-PEA-A-X3-RFP-A2</x:v>
      </x:c>
      <x:c r="D91" s="28" t="str">
        <x:v>PEA-A-X3</x:v>
      </x:c>
      <x:c r="E91" s="28" t="str">
        <x:v>RFP-A2</x:v>
      </x:c>
      <x:c r="F91" s="28" t="n">
        <x:v>13</x:v>
      </x:c>
      <x:c r="G91" s="28" t="str">
        <x:v>causal time</x:v>
      </x:c>
      <x:c r="H91" s="34" t="n">
        <x:v>1</x:v>
      </x:c>
      <x:c r="I91" s="35" t="str"/>
      <x:c r="J91" s="34" t="str">
        <x:f>IF(OR(NOT(ISNUMBER(H91)),NOT(ISNUMBER(I91))),"",I91-H91)</x:f>
      </x:c>
      <x:c r="K91" s="34" t="n">
        <x:v>0.05</x:v>
      </x:c>
      <x:c r="L91" s="31" t="str"/>
      <x:c r="M91" s="31" t="str"/>
      <x:c r="N91" s="28" t="str">
        <x:f>IF(M91="","OPEN",IF(OR(L91="",NOT(ISNUMBER(I91))),"FAIL",IF(ABS(J91)&lt;=K91,"PASS","FAIL")))</x:f>
        <x:v>OPEN</x:v>
      </x:c>
    </x:row>
    <x:row r="92">
      <x:c r="B92" s="28" t="str">
        <x:v>CR-CAL-PEA-A-X3-RFP-A2-14</x:v>
      </x:c>
      <x:c r="C92" s="28" t="str">
        <x:v>CAL-PEA-A-X3-RFP-A2</x:v>
      </x:c>
      <x:c r="D92" s="28" t="str">
        <x:v>PEA-A-X3</x:v>
      </x:c>
      <x:c r="E92" s="28" t="str">
        <x:v>RFP-A2</x:v>
      </x:c>
      <x:c r="F92" s="28" t="n">
        <x:v>14</x:v>
      </x:c>
      <x:c r="G92" s="28" t="str">
        <x:v>motive energy</x:v>
      </x:c>
      <x:c r="H92" s="34" t="n">
        <x:v>1</x:v>
      </x:c>
      <x:c r="I92" s="35" t="str"/>
      <x:c r="J92" s="34" t="str">
        <x:f>IF(OR(NOT(ISNUMBER(H92)),NOT(ISNUMBER(I92))),"",I92-H92)</x:f>
      </x:c>
      <x:c r="K92" s="34" t="n">
        <x:v>0.05</x:v>
      </x:c>
      <x:c r="L92" s="31" t="str"/>
      <x:c r="M92" s="31" t="str"/>
      <x:c r="N92" s="28" t="str">
        <x:f>IF(M92="","OPEN",IF(OR(L92="",NOT(ISNUMBER(I92))),"FAIL",IF(ABS(J92)&lt;=K92,"PASS","FAIL")))</x:f>
        <x:v>OPEN</x:v>
      </x:c>
    </x:row>
    <x:row r="93">
      <x:c r="B93" s="28" t="str">
        <x:v>CR-CAL-PEA-A-X3-RFP-A2-15</x:v>
      </x:c>
      <x:c r="C93" s="28" t="str">
        <x:v>CAL-PEA-A-X3-RFP-A2</x:v>
      </x:c>
      <x:c r="D93" s="28" t="str">
        <x:v>PEA-A-X3</x:v>
      </x:c>
      <x:c r="E93" s="28" t="str">
        <x:v>RFP-A2</x:v>
      </x:c>
      <x:c r="F93" s="28" t="n">
        <x:v>15</x:v>
      </x:c>
      <x:c r="G93" s="28" t="str">
        <x:v>normal electrical power</x:v>
      </x:c>
      <x:c r="H93" s="34" t="n">
        <x:v>1</x:v>
      </x:c>
      <x:c r="I93" s="35" t="str"/>
      <x:c r="J93" s="34" t="str">
        <x:f>IF(OR(NOT(ISNUMBER(H93)),NOT(ISNUMBER(I93))),"",I93-H93)</x:f>
      </x:c>
      <x:c r="K93" s="34" t="n">
        <x:v>0.05</x:v>
      </x:c>
      <x:c r="L93" s="31" t="str"/>
      <x:c r="M93" s="31" t="str"/>
      <x:c r="N93" s="28" t="str">
        <x:f>IF(M93="","OPEN",IF(OR(L93="",NOT(ISNUMBER(I93))),"FAIL",IF(ABS(J93)&lt;=K93,"PASS","FAIL")))</x:f>
        <x:v>OPEN</x:v>
      </x:c>
    </x:row>
    <x:row r="94">
      <x:c r="B94" s="28" t="str">
        <x:v>CR-CAL-PEA-A-X3-RFP-A2-16</x:v>
      </x:c>
      <x:c r="C94" s="28" t="str">
        <x:v>CAL-PEA-A-X3-RFP-A2</x:v>
      </x:c>
      <x:c r="D94" s="28" t="str">
        <x:v>PEA-A-X3</x:v>
      </x:c>
      <x:c r="E94" s="28" t="str">
        <x:v>RFP-A2</x:v>
      </x:c>
      <x:c r="F94" s="28" t="n">
        <x:v>16</x:v>
      </x:c>
      <x:c r="G94" s="28" t="str">
        <x:v>independent power</x:v>
      </x:c>
      <x:c r="H94" s="34" t="n">
        <x:v>1</x:v>
      </x:c>
      <x:c r="I94" s="35" t="str"/>
      <x:c r="J94" s="34" t="str">
        <x:f>IF(OR(NOT(ISNUMBER(H94)),NOT(ISNUMBER(I94))),"",I94-H94)</x:f>
      </x:c>
      <x:c r="K94" s="34" t="n">
        <x:v>0.05</x:v>
      </x:c>
      <x:c r="L94" s="31" t="str"/>
      <x:c r="M94" s="31" t="str"/>
      <x:c r="N94" s="28" t="str">
        <x:f>IF(M94="","OPEN",IF(OR(L94="",NOT(ISNUMBER(I94))),"FAIL",IF(ABS(J94)&lt;=K94,"PASS","FAIL")))</x:f>
        <x:v>OPEN</x:v>
      </x:c>
    </x:row>
    <x:row r="95">
      <x:c r="B95" s="28" t="str">
        <x:v>CR-CAL-PEA-A-X3-RFP-A2-17</x:v>
      </x:c>
      <x:c r="C95" s="28" t="str">
        <x:v>CAL-PEA-A-X3-RFP-A2</x:v>
      </x:c>
      <x:c r="D95" s="28" t="str">
        <x:v>PEA-A-X3</x:v>
      </x:c>
      <x:c r="E95" s="28" t="str">
        <x:v>RFP-A2</x:v>
      </x:c>
      <x:c r="F95" s="28" t="n">
        <x:v>17</x:v>
      </x:c>
      <x:c r="G95" s="28" t="str">
        <x:v>leak collection</x:v>
      </x:c>
      <x:c r="H95" s="34" t="n">
        <x:v>1</x:v>
      </x:c>
      <x:c r="I95" s="35" t="str"/>
      <x:c r="J95" s="34" t="str">
        <x:f>IF(OR(NOT(ISNUMBER(H95)),NOT(ISNUMBER(I95))),"",I95-H95)</x:f>
      </x:c>
      <x:c r="K95" s="34" t="n">
        <x:v>0.05</x:v>
      </x:c>
      <x:c r="L95" s="31" t="str"/>
      <x:c r="M95" s="31" t="str"/>
      <x:c r="N95" s="28" t="str">
        <x:f>IF(M95="","OPEN",IF(OR(L95="",NOT(ISNUMBER(I95))),"FAIL",IF(ABS(J95)&lt;=K95,"PASS","FAIL")))</x:f>
        <x:v>OPEN</x:v>
      </x:c>
    </x:row>
    <x:row r="96">
      <x:c r="B96" s="28" t="str">
        <x:v>CR-CAL-PEA-A-X3-RFP-A2-18</x:v>
      </x:c>
      <x:c r="C96" s="28" t="str">
        <x:v>CAL-PEA-A-X3-RFP-A2</x:v>
      </x:c>
      <x:c r="D96" s="28" t="str">
        <x:v>PEA-A-X3</x:v>
      </x:c>
      <x:c r="E96" s="28" t="str">
        <x:v>RFP-A2</x:v>
      </x:c>
      <x:c r="F96" s="28" t="n">
        <x:v>18</x:v>
      </x:c>
      <x:c r="G96" s="28" t="str">
        <x:v>occupied area</x:v>
      </x:c>
      <x:c r="H96" s="34" t="n">
        <x:v>1</x:v>
      </x:c>
      <x:c r="I96" s="35" t="str"/>
      <x:c r="J96" s="34" t="str">
        <x:f>IF(OR(NOT(ISNUMBER(H96)),NOT(ISNUMBER(I96))),"",I96-H96)</x:f>
      </x:c>
      <x:c r="K96" s="34" t="n">
        <x:v>0.05</x:v>
      </x:c>
      <x:c r="L96" s="31" t="str"/>
      <x:c r="M96" s="31" t="str"/>
      <x:c r="N96" s="28" t="str">
        <x:f>IF(M96="","OPEN",IF(OR(L96="",NOT(ISNUMBER(I96))),"FAIL",IF(ABS(J96)&lt;=K96,"PASS","FAIL")))</x:f>
        <x:v>OPEN</x:v>
      </x:c>
    </x:row>
    <x:row r="97">
      <x:c r="B97" s="28" t="str">
        <x:v>CR-CAL-PEA-A-X3-RFP-A2-19</x:v>
      </x:c>
      <x:c r="C97" s="28" t="str">
        <x:v>CAL-PEA-A-X3-RFP-A2</x:v>
      </x:c>
      <x:c r="D97" s="28" t="str">
        <x:v>PEA-A-X3</x:v>
      </x:c>
      <x:c r="E97" s="28" t="str">
        <x:v>RFP-A2</x:v>
      </x:c>
      <x:c r="F97" s="28" t="n">
        <x:v>19</x:v>
      </x:c>
      <x:c r="G97" s="28" t="str">
        <x:v>water flow</x:v>
      </x:c>
      <x:c r="H97" s="34" t="n">
        <x:v>1</x:v>
      </x:c>
      <x:c r="I97" s="35" t="str"/>
      <x:c r="J97" s="34" t="str">
        <x:f>IF(OR(NOT(ISNUMBER(H97)),NOT(ISNUMBER(I97))),"",I97-H97)</x:f>
      </x:c>
      <x:c r="K97" s="34" t="n">
        <x:v>0.05</x:v>
      </x:c>
      <x:c r="L97" s="31" t="str"/>
      <x:c r="M97" s="31" t="str"/>
      <x:c r="N97" s="28" t="str">
        <x:f>IF(M97="","OPEN",IF(OR(L97="",NOT(ISNUMBER(I97))),"FAIL",IF(ABS(J97)&lt;=K97,"PASS","FAIL")))</x:f>
        <x:v>OPEN</x:v>
      </x:c>
    </x:row>
    <x:row r="98">
      <x:c r="B98" s="28" t="str">
        <x:v>CR-CAL-PEA-A-X3-RFP-A2-20</x:v>
      </x:c>
      <x:c r="C98" s="28" t="str">
        <x:v>CAL-PEA-A-X3-RFP-A2</x:v>
      </x:c>
      <x:c r="D98" s="28" t="str">
        <x:v>PEA-A-X3</x:v>
      </x:c>
      <x:c r="E98" s="28" t="str">
        <x:v>RFP-A2</x:v>
      </x:c>
      <x:c r="F98" s="28" t="n">
        <x:v>20</x:v>
      </x:c>
      <x:c r="G98" s="28" t="str">
        <x:v>source ancestry root A</x:v>
      </x:c>
      <x:c r="H98" s="34" t="n">
        <x:v>1</x:v>
      </x:c>
      <x:c r="I98" s="35" t="str"/>
      <x:c r="J98" s="34" t="str">
        <x:f>IF(OR(NOT(ISNUMBER(H98)),NOT(ISNUMBER(I98))),"",I98-H98)</x:f>
      </x:c>
      <x:c r="K98" s="34" t="n">
        <x:v>0.05</x:v>
      </x:c>
      <x:c r="L98" s="31" t="str"/>
      <x:c r="M98" s="31" t="str"/>
      <x:c r="N98" s="28" t="str">
        <x:f>IF(M98="","OPEN",IF(OR(L98="",NOT(ISNUMBER(I98))),"FAIL",IF(ABS(J98)&lt;=K98,"PASS","FAIL")))</x:f>
        <x:v>OPEN</x:v>
      </x:c>
    </x:row>
    <x:row r="99">
      <x:c r="B99" s="28" t="str">
        <x:v>CR-CAL-PEA-A-X3-RFP-A2-21</x:v>
      </x:c>
      <x:c r="C99" s="28" t="str">
        <x:v>CAL-PEA-A-X3-RFP-A2</x:v>
      </x:c>
      <x:c r="D99" s="28" t="str">
        <x:v>PEA-A-X3</x:v>
      </x:c>
      <x:c r="E99" s="28" t="str">
        <x:v>RFP-A2</x:v>
      </x:c>
      <x:c r="F99" s="28" t="n">
        <x:v>21</x:v>
      </x:c>
      <x:c r="G99" s="28" t="str">
        <x:v>source ancestry root B</x:v>
      </x:c>
      <x:c r="H99" s="34" t="n">
        <x:v>1</x:v>
      </x:c>
      <x:c r="I99" s="35" t="str"/>
      <x:c r="J99" s="34" t="str">
        <x:f>IF(OR(NOT(ISNUMBER(H99)),NOT(ISNUMBER(I99))),"",I99-H99)</x:f>
      </x:c>
      <x:c r="K99" s="34" t="n">
        <x:v>0.05</x:v>
      </x:c>
      <x:c r="L99" s="31" t="str"/>
      <x:c r="M99" s="31" t="str"/>
      <x:c r="N99" s="28" t="str">
        <x:f>IF(M99="","OPEN",IF(OR(L99="",NOT(ISNUMBER(I99))),"FAIL",IF(ABS(J99)&lt;=K99,"PASS","FAIL")))</x:f>
        <x:v>OPEN</x:v>
      </x:c>
    </x:row>
    <x:row r="100">
      <x:c r="B100" s="28" t="str">
        <x:v>CR-CAL-PEA-A-X3-RFP-A2-22</x:v>
      </x:c>
      <x:c r="C100" s="28" t="str">
        <x:v>CAL-PEA-A-X3-RFP-A2</x:v>
      </x:c>
      <x:c r="D100" s="28" t="str">
        <x:v>PEA-A-X3</x:v>
      </x:c>
      <x:c r="E100" s="28" t="str">
        <x:v>RFP-A2</x:v>
      </x:c>
      <x:c r="F100" s="28" t="n">
        <x:v>22</x:v>
      </x:c>
      <x:c r="G100" s="28" t="str">
        <x:v>environmental release</x:v>
      </x:c>
      <x:c r="H100" s="34" t="n">
        <x:v>1</x:v>
      </x:c>
      <x:c r="I100" s="35" t="str"/>
      <x:c r="J100" s="34" t="str">
        <x:f>IF(OR(NOT(ISNUMBER(H100)),NOT(ISNUMBER(I100))),"",I100-H100)</x:f>
      </x:c>
      <x:c r="K100" s="34" t="n">
        <x:v>0.05</x:v>
      </x:c>
      <x:c r="L100" s="31" t="str"/>
      <x:c r="M100" s="31" t="str"/>
      <x:c r="N100" s="28" t="str">
        <x:f>IF(M100="","OPEN",IF(OR(L100="",NOT(ISNUMBER(I100))),"FAIL",IF(ABS(J100)&lt;=K100,"PASS","FAIL")))</x:f>
        <x:v>OPEN</x:v>
      </x:c>
    </x:row>
    <x:row r="101">
      <x:c r="B101" s="28" t="str">
        <x:v>CR-CAL-PEA-A-X3-RFP-A2-23</x:v>
      </x:c>
      <x:c r="C101" s="28" t="str">
        <x:v>CAL-PEA-A-X3-RFP-A2</x:v>
      </x:c>
      <x:c r="D101" s="28" t="str">
        <x:v>PEA-A-X3</x:v>
      </x:c>
      <x:c r="E101" s="28" t="str">
        <x:v>RFP-A2</x:v>
      </x:c>
      <x:c r="F101" s="28" t="n">
        <x:v>23</x:v>
      </x:c>
      <x:c r="G101" s="28" t="str">
        <x:v>image trigger</x:v>
      </x:c>
      <x:c r="H101" s="34" t="n">
        <x:v>1</x:v>
      </x:c>
      <x:c r="I101" s="35" t="str"/>
      <x:c r="J101" s="34" t="str">
        <x:f>IF(OR(NOT(ISNUMBER(H101)),NOT(ISNUMBER(I101))),"",I101-H101)</x:f>
      </x:c>
      <x:c r="K101" s="34" t="n">
        <x:v>0.05</x:v>
      </x:c>
      <x:c r="L101" s="31" t="str"/>
      <x:c r="M101" s="31" t="str"/>
      <x:c r="N101" s="28" t="str">
        <x:f>IF(M101="","OPEN",IF(OR(L101="",NOT(ISNUMBER(I101))),"FAIL",IF(ABS(J101)&lt;=K101,"PASS","FAIL")))</x:f>
        <x:v>OPEN</x:v>
      </x:c>
    </x:row>
    <x:row r="102">
      <x:c r="B102" s="28" t="str">
        <x:v>CR-CAL-PEA-A-X3-RFP-A2-24</x:v>
      </x:c>
      <x:c r="C102" s="28" t="str">
        <x:v>CAL-PEA-A-X3-RFP-A2</x:v>
      </x:c>
      <x:c r="D102" s="28" t="str">
        <x:v>PEA-A-X3</x:v>
      </x:c>
      <x:c r="E102" s="28" t="str">
        <x:v>RFP-A2</x:v>
      </x:c>
      <x:c r="F102" s="28" t="n">
        <x:v>24</x:v>
      </x:c>
      <x:c r="G102" s="28" t="str">
        <x:v>evidence health</x:v>
      </x:c>
      <x:c r="H102" s="34" t="n">
        <x:v>1</x:v>
      </x:c>
      <x:c r="I102" s="35" t="str"/>
      <x:c r="J102" s="34" t="str">
        <x:f>IF(OR(NOT(ISNUMBER(H102)),NOT(ISNUMBER(I102))),"",I102-H102)</x:f>
      </x:c>
      <x:c r="K102" s="34" t="n">
        <x:v>0.05</x:v>
      </x:c>
      <x:c r="L102" s="31" t="str"/>
      <x:c r="M102" s="31" t="str"/>
      <x:c r="N102" s="28" t="str">
        <x:f>IF(M102="","OPEN",IF(OR(L102="",NOT(ISNUMBER(I102))),"FAIL",IF(ABS(J102)&lt;=K102,"PASS","FAIL")))</x:f>
        <x:v>OPEN</x:v>
      </x:c>
    </x:row>
    <x:row r="103">
      <x:c r="B103" s="28" t="str">
        <x:v>CR-CAL-PEA-B-X3-RFP-B2-01</x:v>
      </x:c>
      <x:c r="C103" s="28" t="str">
        <x:v>CAL-PEA-B-X3-RFP-B2</x:v>
      </x:c>
      <x:c r="D103" s="28" t="str">
        <x:v>PEA-B-X3</x:v>
      </x:c>
      <x:c r="E103" s="28" t="str">
        <x:v>RFP-B2</x:v>
      </x:c>
      <x:c r="F103" s="28" t="n">
        <x:v>1</x:v>
      </x:c>
      <x:c r="G103" s="28" t="str">
        <x:v>vessel mass</x:v>
      </x:c>
      <x:c r="H103" s="34" t="n">
        <x:v>1</x:v>
      </x:c>
      <x:c r="I103" s="35" t="str"/>
      <x:c r="J103" s="34" t="str">
        <x:f>IF(OR(NOT(ISNUMBER(H103)),NOT(ISNUMBER(I103))),"",I103-H103)</x:f>
      </x:c>
      <x:c r="K103" s="34" t="n">
        <x:v>0.05</x:v>
      </x:c>
      <x:c r="L103" s="31" t="str"/>
      <x:c r="M103" s="31" t="str"/>
      <x:c r="N103" s="28" t="str">
        <x:f>IF(M103="","OPEN",IF(OR(L103="",NOT(ISNUMBER(I103))),"FAIL",IF(ABS(J103)&lt;=K103,"PASS","FAIL")))</x:f>
        <x:v>OPEN</x:v>
      </x:c>
    </x:row>
    <x:row r="104">
      <x:c r="B104" s="28" t="str">
        <x:v>CR-CAL-PEA-B-X3-RFP-B2-02</x:v>
      </x:c>
      <x:c r="C104" s="28" t="str">
        <x:v>CAL-PEA-B-X3-RFP-B2</x:v>
      </x:c>
      <x:c r="D104" s="28" t="str">
        <x:v>PEA-B-X3</x:v>
      </x:c>
      <x:c r="E104" s="28" t="str">
        <x:v>RFP-B2</x:v>
      </x:c>
      <x:c r="F104" s="28" t="n">
        <x:v>2</x:v>
      </x:c>
      <x:c r="G104" s="28" t="str">
        <x:v>integrated transfer mass</x:v>
      </x:c>
      <x:c r="H104" s="34" t="n">
        <x:v>1</x:v>
      </x:c>
      <x:c r="I104" s="35" t="str"/>
      <x:c r="J104" s="34" t="str">
        <x:f>IF(OR(NOT(ISNUMBER(H104)),NOT(ISNUMBER(I104))),"",I104-H104)</x:f>
      </x:c>
      <x:c r="K104" s="34" t="n">
        <x:v>0.05</x:v>
      </x:c>
      <x:c r="L104" s="31" t="str"/>
      <x:c r="M104" s="31" t="str"/>
      <x:c r="N104" s="28" t="str">
        <x:f>IF(M104="","OPEN",IF(OR(L104="",NOT(ISNUMBER(I104))),"FAIL",IF(ABS(J104)&lt;=K104,"PASS","FAIL")))</x:f>
        <x:v>OPEN</x:v>
      </x:c>
    </x:row>
    <x:row r="105">
      <x:c r="B105" s="28" t="str">
        <x:v>CR-CAL-PEA-B-X3-RFP-B2-03</x:v>
      </x:c>
      <x:c r="C105" s="28" t="str">
        <x:v>CAL-PEA-B-X3-RFP-B2</x:v>
      </x:c>
      <x:c r="D105" s="28" t="str">
        <x:v>PEA-B-X3</x:v>
      </x:c>
      <x:c r="E105" s="28" t="str">
        <x:v>RFP-B2</x:v>
      </x:c>
      <x:c r="F105" s="28" t="n">
        <x:v>3</x:v>
      </x:c>
      <x:c r="G105" s="28" t="str">
        <x:v>pressure</x:v>
      </x:c>
      <x:c r="H105" s="34" t="n">
        <x:v>1</x:v>
      </x:c>
      <x:c r="I105" s="35" t="str"/>
      <x:c r="J105" s="34" t="str">
        <x:f>IF(OR(NOT(ISNUMBER(H105)),NOT(ISNUMBER(I105))),"",I105-H105)</x:f>
      </x:c>
      <x:c r="K105" s="34" t="n">
        <x:v>0.05</x:v>
      </x:c>
      <x:c r="L105" s="31" t="str"/>
      <x:c r="M105" s="31" t="str"/>
      <x:c r="N105" s="28" t="str">
        <x:f>IF(M105="","OPEN",IF(OR(L105="",NOT(ISNUMBER(I105))),"FAIL",IF(ABS(J105)&lt;=K105,"PASS","FAIL")))</x:f>
        <x:v>OPEN</x:v>
      </x:c>
    </x:row>
    <x:row r="106">
      <x:c r="B106" s="28" t="str">
        <x:v>CR-CAL-PEA-B-X3-RFP-B2-04</x:v>
      </x:c>
      <x:c r="C106" s="28" t="str">
        <x:v>CAL-PEA-B-X3-RFP-B2</x:v>
      </x:c>
      <x:c r="D106" s="28" t="str">
        <x:v>PEA-B-X3</x:v>
      </x:c>
      <x:c r="E106" s="28" t="str">
        <x:v>RFP-B2</x:v>
      </x:c>
      <x:c r="F106" s="28" t="n">
        <x:v>4</x:v>
      </x:c>
      <x:c r="G106" s="28" t="str">
        <x:v>temperature</x:v>
      </x:c>
      <x:c r="H106" s="34" t="n">
        <x:v>1</x:v>
      </x:c>
      <x:c r="I106" s="35" t="str"/>
      <x:c r="J106" s="34" t="str">
        <x:f>IF(OR(NOT(ISNUMBER(H106)),NOT(ISNUMBER(I106))),"",I106-H106)</x:f>
      </x:c>
      <x:c r="K106" s="34" t="n">
        <x:v>0.05</x:v>
      </x:c>
      <x:c r="L106" s="31" t="str"/>
      <x:c r="M106" s="31" t="str"/>
      <x:c r="N106" s="28" t="str">
        <x:f>IF(M106="","OPEN",IF(OR(L106="",NOT(ISNUMBER(I106))),"FAIL",IF(ABS(J106)&lt;=K106,"PASS","FAIL")))</x:f>
        <x:v>OPEN</x:v>
      </x:c>
    </x:row>
    <x:row r="107">
      <x:c r="B107" s="28" t="str">
        <x:v>CR-CAL-PEA-B-X3-RFP-B2-05</x:v>
      </x:c>
      <x:c r="C107" s="28" t="str">
        <x:v>CAL-PEA-B-X3-RFP-B2</x:v>
      </x:c>
      <x:c r="D107" s="28" t="str">
        <x:v>PEA-B-X3</x:v>
      </x:c>
      <x:c r="E107" s="28" t="str">
        <x:v>RFP-B2</x:v>
      </x:c>
      <x:c r="F107" s="28" t="n">
        <x:v>5</x:v>
      </x:c>
      <x:c r="G107" s="28" t="str">
        <x:v>hold-up tomography</x:v>
      </x:c>
      <x:c r="H107" s="34" t="n">
        <x:v>1</x:v>
      </x:c>
      <x:c r="I107" s="35" t="str"/>
      <x:c r="J107" s="34" t="str">
        <x:f>IF(OR(NOT(ISNUMBER(H107)),NOT(ISNUMBER(I107))),"",I107-H107)</x:f>
      </x:c>
      <x:c r="K107" s="34" t="n">
        <x:v>0.05</x:v>
      </x:c>
      <x:c r="L107" s="31" t="str"/>
      <x:c r="M107" s="31" t="str"/>
      <x:c r="N107" s="28" t="str">
        <x:f>IF(M107="","OPEN",IF(OR(L107="",NOT(ISNUMBER(I107))),"FAIL",IF(ABS(J107)&lt;=K107,"PASS","FAIL")))</x:f>
        <x:v>OPEN</x:v>
      </x:c>
    </x:row>
    <x:row r="108">
      <x:c r="B108" s="28" t="str">
        <x:v>CR-CAL-PEA-B-X3-RFP-B2-06</x:v>
      </x:c>
      <x:c r="C108" s="28" t="str">
        <x:v>CAL-PEA-B-X3-RFP-B2</x:v>
      </x:c>
      <x:c r="D108" s="28" t="str">
        <x:v>PEA-B-X3</x:v>
      </x:c>
      <x:c r="E108" s="28" t="str">
        <x:v>RFP-B2</x:v>
      </x:c>
      <x:c r="F108" s="28" t="n">
        <x:v>6</x:v>
      </x:c>
      <x:c r="G108" s="28" t="str">
        <x:v>pan level</x:v>
      </x:c>
      <x:c r="H108" s="34" t="n">
        <x:v>1</x:v>
      </x:c>
      <x:c r="I108" s="35" t="str"/>
      <x:c r="J108" s="34" t="str">
        <x:f>IF(OR(NOT(ISNUMBER(H108)),NOT(ISNUMBER(I108))),"",I108-H108)</x:f>
      </x:c>
      <x:c r="K108" s="34" t="n">
        <x:v>0.05</x:v>
      </x:c>
      <x:c r="L108" s="31" t="str"/>
      <x:c r="M108" s="31" t="str"/>
      <x:c r="N108" s="28" t="str">
        <x:f>IF(M108="","OPEN",IF(OR(L108="",NOT(ISNUMBER(I108))),"FAIL",IF(ABS(J108)&lt;=K108,"PASS","FAIL")))</x:f>
        <x:v>OPEN</x:v>
      </x:c>
    </x:row>
    <x:row r="109">
      <x:c r="B109" s="28" t="str">
        <x:v>CR-CAL-PEA-B-X3-RFP-B2-07</x:v>
      </x:c>
      <x:c r="C109" s="28" t="str">
        <x:v>CAL-PEA-B-X3-RFP-B2</x:v>
      </x:c>
      <x:c r="D109" s="28" t="str">
        <x:v>PEA-B-X3</x:v>
      </x:c>
      <x:c r="E109" s="28" t="str">
        <x:v>RFP-B2</x:v>
      </x:c>
      <x:c r="F109" s="28" t="n">
        <x:v>7</x:v>
      </x:c>
      <x:c r="G109" s="28" t="str">
        <x:v>receiver mass</x:v>
      </x:c>
      <x:c r="H109" s="34" t="n">
        <x:v>1</x:v>
      </x:c>
      <x:c r="I109" s="35" t="str"/>
      <x:c r="J109" s="34" t="str">
        <x:f>IF(OR(NOT(ISNUMBER(H109)),NOT(ISNUMBER(I109))),"",I109-H109)</x:f>
      </x:c>
      <x:c r="K109" s="34" t="n">
        <x:v>0.05</x:v>
      </x:c>
      <x:c r="L109" s="31" t="str"/>
      <x:c r="M109" s="31" t="str"/>
      <x:c r="N109" s="28" t="str">
        <x:f>IF(M109="","OPEN",IF(OR(L109="",NOT(ISNUMBER(I109))),"FAIL",IF(ABS(J109)&lt;=K109,"PASS","FAIL")))</x:f>
        <x:v>OPEN</x:v>
      </x:c>
    </x:row>
    <x:row r="110">
      <x:c r="B110" s="28" t="str">
        <x:v>CR-CAL-PEA-B-X3-RFP-B2-08</x:v>
      </x:c>
      <x:c r="C110" s="28" t="str">
        <x:v>CAL-PEA-B-X3-RFP-B2</x:v>
      </x:c>
      <x:c r="D110" s="28" t="str">
        <x:v>PEA-B-X3</x:v>
      </x:c>
      <x:c r="E110" s="28" t="str">
        <x:v>RFP-B2</x:v>
      </x:c>
      <x:c r="F110" s="28" t="n">
        <x:v>8</x:v>
      </x:c>
      <x:c r="G110" s="28" t="str">
        <x:v>geometry and slope</x:v>
      </x:c>
      <x:c r="H110" s="34" t="n">
        <x:v>1</x:v>
      </x:c>
      <x:c r="I110" s="35" t="str"/>
      <x:c r="J110" s="34" t="str">
        <x:f>IF(OR(NOT(ISNUMBER(H110)),NOT(ISNUMBER(I110))),"",I110-H110)</x:f>
      </x:c>
      <x:c r="K110" s="34" t="n">
        <x:v>0.05</x:v>
      </x:c>
      <x:c r="L110" s="31" t="str"/>
      <x:c r="M110" s="31" t="str"/>
      <x:c r="N110" s="28" t="str">
        <x:f>IF(M110="","OPEN",IF(OR(L110="",NOT(ISNUMBER(I110))),"FAIL",IF(ABS(J110)&lt;=K110,"PASS","FAIL")))</x:f>
        <x:v>OPEN</x:v>
      </x:c>
    </x:row>
    <x:row r="111">
      <x:c r="B111" s="28" t="str">
        <x:v>CR-CAL-PEA-B-X3-RFP-B2-09</x:v>
      </x:c>
      <x:c r="C111" s="28" t="str">
        <x:v>CAL-PEA-B-X3-RFP-B2</x:v>
      </x:c>
      <x:c r="D111" s="28" t="str">
        <x:v>PEA-B-X3</x:v>
      </x:c>
      <x:c r="E111" s="28" t="str">
        <x:v>RFP-B2</x:v>
      </x:c>
      <x:c r="F111" s="28" t="n">
        <x:v>9</x:v>
      </x:c>
      <x:c r="G111" s="28" t="str">
        <x:v>primary state witness</x:v>
      </x:c>
      <x:c r="H111" s="34" t="n">
        <x:v>1</x:v>
      </x:c>
      <x:c r="I111" s="35" t="str"/>
      <x:c r="J111" s="34" t="str">
        <x:f>IF(OR(NOT(ISNUMBER(H111)),NOT(ISNUMBER(I111))),"",I111-H111)</x:f>
      </x:c>
      <x:c r="K111" s="34" t="n">
        <x:v>0.05</x:v>
      </x:c>
      <x:c r="L111" s="31" t="str"/>
      <x:c r="M111" s="31" t="str"/>
      <x:c r="N111" s="28" t="str">
        <x:f>IF(M111="","OPEN",IF(OR(L111="",NOT(ISNUMBER(I111))),"FAIL",IF(ABS(J111)&lt;=K111,"PASS","FAIL")))</x:f>
        <x:v>OPEN</x:v>
      </x:c>
    </x:row>
    <x:row r="112">
      <x:c r="B112" s="28" t="str">
        <x:v>CR-CAL-PEA-B-X3-RFP-B2-10</x:v>
      </x:c>
      <x:c r="C112" s="28" t="str">
        <x:v>CAL-PEA-B-X3-RFP-B2</x:v>
      </x:c>
      <x:c r="D112" s="28" t="str">
        <x:v>PEA-B-X3</x:v>
      </x:c>
      <x:c r="E112" s="28" t="str">
        <x:v>RFP-B2</x:v>
      </x:c>
      <x:c r="F112" s="28" t="n">
        <x:v>10</x:v>
      </x:c>
      <x:c r="G112" s="28" t="str">
        <x:v>diverse state witness</x:v>
      </x:c>
      <x:c r="H112" s="34" t="n">
        <x:v>1</x:v>
      </x:c>
      <x:c r="I112" s="35" t="str"/>
      <x:c r="J112" s="34" t="str">
        <x:f>IF(OR(NOT(ISNUMBER(H112)),NOT(ISNUMBER(I112))),"",I112-H112)</x:f>
      </x:c>
      <x:c r="K112" s="34" t="n">
        <x:v>0.05</x:v>
      </x:c>
      <x:c r="L112" s="31" t="str"/>
      <x:c r="M112" s="31" t="str"/>
      <x:c r="N112" s="28" t="str">
        <x:f>IF(M112="","OPEN",IF(OR(L112="",NOT(ISNUMBER(I112))),"FAIL",IF(ABS(J112)&lt;=K112,"PASS","FAIL")))</x:f>
        <x:v>OPEN</x:v>
      </x:c>
    </x:row>
    <x:row r="113">
      <x:c r="B113" s="28" t="str">
        <x:v>CR-CAL-PEA-B-X3-RFP-B2-11</x:v>
      </x:c>
      <x:c r="C113" s="28" t="str">
        <x:v>CAL-PEA-B-X3-RFP-B2</x:v>
      </x:c>
      <x:c r="D113" s="28" t="str">
        <x:v>PEA-B-X3</x:v>
      </x:c>
      <x:c r="E113" s="28" t="str">
        <x:v>RFP-B2</x:v>
      </x:c>
      <x:c r="F113" s="28" t="n">
        <x:v>11</x:v>
      </x:c>
      <x:c r="G113" s="28" t="str">
        <x:v>manual state witness</x:v>
      </x:c>
      <x:c r="H113" s="34" t="n">
        <x:v>1</x:v>
      </x:c>
      <x:c r="I113" s="35" t="str"/>
      <x:c r="J113" s="34" t="str">
        <x:f>IF(OR(NOT(ISNUMBER(H113)),NOT(ISNUMBER(I113))),"",I113-H113)</x:f>
      </x:c>
      <x:c r="K113" s="34" t="n">
        <x:v>0.05</x:v>
      </x:c>
      <x:c r="L113" s="31" t="str"/>
      <x:c r="M113" s="31" t="str"/>
      <x:c r="N113" s="28" t="str">
        <x:f>IF(M113="","OPEN",IF(OR(L113="",NOT(ISNUMBER(I113))),"FAIL",IF(ABS(J113)&lt;=K113,"PASS","FAIL")))</x:f>
        <x:v>OPEN</x:v>
      </x:c>
    </x:row>
    <x:row r="114">
      <x:c r="B114" s="28" t="str">
        <x:v>CR-CAL-PEA-B-X3-RFP-B2-12</x:v>
      </x:c>
      <x:c r="C114" s="28" t="str">
        <x:v>CAL-PEA-B-X3-RFP-B2</x:v>
      </x:c>
      <x:c r="D114" s="28" t="str">
        <x:v>PEA-B-X3</x:v>
      </x:c>
      <x:c r="E114" s="28" t="str">
        <x:v>RFP-B2</x:v>
      </x:c>
      <x:c r="F114" s="28" t="n">
        <x:v>12</x:v>
      </x:c>
      <x:c r="G114" s="28" t="str">
        <x:v>final-element reference</x:v>
      </x:c>
      <x:c r="H114" s="34" t="n">
        <x:v>1</x:v>
      </x:c>
      <x:c r="I114" s="35" t="str"/>
      <x:c r="J114" s="34" t="str">
        <x:f>IF(OR(NOT(ISNUMBER(H114)),NOT(ISNUMBER(I114))),"",I114-H114)</x:f>
      </x:c>
      <x:c r="K114" s="34" t="n">
        <x:v>0.05</x:v>
      </x:c>
      <x:c r="L114" s="31" t="str"/>
      <x:c r="M114" s="31" t="str"/>
      <x:c r="N114" s="28" t="str">
        <x:f>IF(M114="","OPEN",IF(OR(L114="",NOT(ISNUMBER(I114))),"FAIL",IF(ABS(J114)&lt;=K114,"PASS","FAIL")))</x:f>
        <x:v>OPEN</x:v>
      </x:c>
    </x:row>
    <x:row r="115">
      <x:c r="B115" s="28" t="str">
        <x:v>CR-CAL-PEA-B-X3-RFP-B2-13</x:v>
      </x:c>
      <x:c r="C115" s="28" t="str">
        <x:v>CAL-PEA-B-X3-RFP-B2</x:v>
      </x:c>
      <x:c r="D115" s="28" t="str">
        <x:v>PEA-B-X3</x:v>
      </x:c>
      <x:c r="E115" s="28" t="str">
        <x:v>RFP-B2</x:v>
      </x:c>
      <x:c r="F115" s="28" t="n">
        <x:v>13</x:v>
      </x:c>
      <x:c r="G115" s="28" t="str">
        <x:v>causal time</x:v>
      </x:c>
      <x:c r="H115" s="34" t="n">
        <x:v>1</x:v>
      </x:c>
      <x:c r="I115" s="35" t="str"/>
      <x:c r="J115" s="34" t="str">
        <x:f>IF(OR(NOT(ISNUMBER(H115)),NOT(ISNUMBER(I115))),"",I115-H115)</x:f>
      </x:c>
      <x:c r="K115" s="34" t="n">
        <x:v>0.05</x:v>
      </x:c>
      <x:c r="L115" s="31" t="str"/>
      <x:c r="M115" s="31" t="str"/>
      <x:c r="N115" s="28" t="str">
        <x:f>IF(M115="","OPEN",IF(OR(L115="",NOT(ISNUMBER(I115))),"FAIL",IF(ABS(J115)&lt;=K115,"PASS","FAIL")))</x:f>
        <x:v>OPEN</x:v>
      </x:c>
    </x:row>
    <x:row r="116">
      <x:c r="B116" s="28" t="str">
        <x:v>CR-CAL-PEA-B-X3-RFP-B2-14</x:v>
      </x:c>
      <x:c r="C116" s="28" t="str">
        <x:v>CAL-PEA-B-X3-RFP-B2</x:v>
      </x:c>
      <x:c r="D116" s="28" t="str">
        <x:v>PEA-B-X3</x:v>
      </x:c>
      <x:c r="E116" s="28" t="str">
        <x:v>RFP-B2</x:v>
      </x:c>
      <x:c r="F116" s="28" t="n">
        <x:v>14</x:v>
      </x:c>
      <x:c r="G116" s="28" t="str">
        <x:v>motive energy</x:v>
      </x:c>
      <x:c r="H116" s="34" t="n">
        <x:v>1</x:v>
      </x:c>
      <x:c r="I116" s="35" t="str"/>
      <x:c r="J116" s="34" t="str">
        <x:f>IF(OR(NOT(ISNUMBER(H116)),NOT(ISNUMBER(I116))),"",I116-H116)</x:f>
      </x:c>
      <x:c r="K116" s="34" t="n">
        <x:v>0.05</x:v>
      </x:c>
      <x:c r="L116" s="31" t="str"/>
      <x:c r="M116" s="31" t="str"/>
      <x:c r="N116" s="28" t="str">
        <x:f>IF(M116="","OPEN",IF(OR(L116="",NOT(ISNUMBER(I116))),"FAIL",IF(ABS(J116)&lt;=K116,"PASS","FAIL")))</x:f>
        <x:v>OPEN</x:v>
      </x:c>
    </x:row>
    <x:row r="117">
      <x:c r="B117" s="28" t="str">
        <x:v>CR-CAL-PEA-B-X3-RFP-B2-15</x:v>
      </x:c>
      <x:c r="C117" s="28" t="str">
        <x:v>CAL-PEA-B-X3-RFP-B2</x:v>
      </x:c>
      <x:c r="D117" s="28" t="str">
        <x:v>PEA-B-X3</x:v>
      </x:c>
      <x:c r="E117" s="28" t="str">
        <x:v>RFP-B2</x:v>
      </x:c>
      <x:c r="F117" s="28" t="n">
        <x:v>15</x:v>
      </x:c>
      <x:c r="G117" s="28" t="str">
        <x:v>normal electrical power</x:v>
      </x:c>
      <x:c r="H117" s="34" t="n">
        <x:v>1</x:v>
      </x:c>
      <x:c r="I117" s="35" t="str"/>
      <x:c r="J117" s="34" t="str">
        <x:f>IF(OR(NOT(ISNUMBER(H117)),NOT(ISNUMBER(I117))),"",I117-H117)</x:f>
      </x:c>
      <x:c r="K117" s="34" t="n">
        <x:v>0.05</x:v>
      </x:c>
      <x:c r="L117" s="31" t="str"/>
      <x:c r="M117" s="31" t="str"/>
      <x:c r="N117" s="28" t="str">
        <x:f>IF(M117="","OPEN",IF(OR(L117="",NOT(ISNUMBER(I117))),"FAIL",IF(ABS(J117)&lt;=K117,"PASS","FAIL")))</x:f>
        <x:v>OPEN</x:v>
      </x:c>
    </x:row>
    <x:row r="118">
      <x:c r="B118" s="28" t="str">
        <x:v>CR-CAL-PEA-B-X3-RFP-B2-16</x:v>
      </x:c>
      <x:c r="C118" s="28" t="str">
        <x:v>CAL-PEA-B-X3-RFP-B2</x:v>
      </x:c>
      <x:c r="D118" s="28" t="str">
        <x:v>PEA-B-X3</x:v>
      </x:c>
      <x:c r="E118" s="28" t="str">
        <x:v>RFP-B2</x:v>
      </x:c>
      <x:c r="F118" s="28" t="n">
        <x:v>16</x:v>
      </x:c>
      <x:c r="G118" s="28" t="str">
        <x:v>independent power</x:v>
      </x:c>
      <x:c r="H118" s="34" t="n">
        <x:v>1</x:v>
      </x:c>
      <x:c r="I118" s="35" t="str"/>
      <x:c r="J118" s="34" t="str">
        <x:f>IF(OR(NOT(ISNUMBER(H118)),NOT(ISNUMBER(I118))),"",I118-H118)</x:f>
      </x:c>
      <x:c r="K118" s="34" t="n">
        <x:v>0.05</x:v>
      </x:c>
      <x:c r="L118" s="31" t="str"/>
      <x:c r="M118" s="31" t="str"/>
      <x:c r="N118" s="28" t="str">
        <x:f>IF(M118="","OPEN",IF(OR(L118="",NOT(ISNUMBER(I118))),"FAIL",IF(ABS(J118)&lt;=K118,"PASS","FAIL")))</x:f>
        <x:v>OPEN</x:v>
      </x:c>
    </x:row>
    <x:row r="119">
      <x:c r="B119" s="28" t="str">
        <x:v>CR-CAL-PEA-B-X3-RFP-B2-17</x:v>
      </x:c>
      <x:c r="C119" s="28" t="str">
        <x:v>CAL-PEA-B-X3-RFP-B2</x:v>
      </x:c>
      <x:c r="D119" s="28" t="str">
        <x:v>PEA-B-X3</x:v>
      </x:c>
      <x:c r="E119" s="28" t="str">
        <x:v>RFP-B2</x:v>
      </x:c>
      <x:c r="F119" s="28" t="n">
        <x:v>17</x:v>
      </x:c>
      <x:c r="G119" s="28" t="str">
        <x:v>leak collection</x:v>
      </x:c>
      <x:c r="H119" s="34" t="n">
        <x:v>1</x:v>
      </x:c>
      <x:c r="I119" s="35" t="str"/>
      <x:c r="J119" s="34" t="str">
        <x:f>IF(OR(NOT(ISNUMBER(H119)),NOT(ISNUMBER(I119))),"",I119-H119)</x:f>
      </x:c>
      <x:c r="K119" s="34" t="n">
        <x:v>0.05</x:v>
      </x:c>
      <x:c r="L119" s="31" t="str"/>
      <x:c r="M119" s="31" t="str"/>
      <x:c r="N119" s="28" t="str">
        <x:f>IF(M119="","OPEN",IF(OR(L119="",NOT(ISNUMBER(I119))),"FAIL",IF(ABS(J119)&lt;=K119,"PASS","FAIL")))</x:f>
        <x:v>OPEN</x:v>
      </x:c>
    </x:row>
    <x:row r="120">
      <x:c r="B120" s="28" t="str">
        <x:v>CR-CAL-PEA-B-X3-RFP-B2-18</x:v>
      </x:c>
      <x:c r="C120" s="28" t="str">
        <x:v>CAL-PEA-B-X3-RFP-B2</x:v>
      </x:c>
      <x:c r="D120" s="28" t="str">
        <x:v>PEA-B-X3</x:v>
      </x:c>
      <x:c r="E120" s="28" t="str">
        <x:v>RFP-B2</x:v>
      </x:c>
      <x:c r="F120" s="28" t="n">
        <x:v>18</x:v>
      </x:c>
      <x:c r="G120" s="28" t="str">
        <x:v>occupied area</x:v>
      </x:c>
      <x:c r="H120" s="34" t="n">
        <x:v>1</x:v>
      </x:c>
      <x:c r="I120" s="35" t="str"/>
      <x:c r="J120" s="34" t="str">
        <x:f>IF(OR(NOT(ISNUMBER(H120)),NOT(ISNUMBER(I120))),"",I120-H120)</x:f>
      </x:c>
      <x:c r="K120" s="34" t="n">
        <x:v>0.05</x:v>
      </x:c>
      <x:c r="L120" s="31" t="str"/>
      <x:c r="M120" s="31" t="str"/>
      <x:c r="N120" s="28" t="str">
        <x:f>IF(M120="","OPEN",IF(OR(L120="",NOT(ISNUMBER(I120))),"FAIL",IF(ABS(J120)&lt;=K120,"PASS","FAIL")))</x:f>
        <x:v>OPEN</x:v>
      </x:c>
    </x:row>
    <x:row r="121">
      <x:c r="B121" s="28" t="str">
        <x:v>CR-CAL-PEA-B-X3-RFP-B2-19</x:v>
      </x:c>
      <x:c r="C121" s="28" t="str">
        <x:v>CAL-PEA-B-X3-RFP-B2</x:v>
      </x:c>
      <x:c r="D121" s="28" t="str">
        <x:v>PEA-B-X3</x:v>
      </x:c>
      <x:c r="E121" s="28" t="str">
        <x:v>RFP-B2</x:v>
      </x:c>
      <x:c r="F121" s="28" t="n">
        <x:v>19</x:v>
      </x:c>
      <x:c r="G121" s="28" t="str">
        <x:v>water flow</x:v>
      </x:c>
      <x:c r="H121" s="34" t="n">
        <x:v>1</x:v>
      </x:c>
      <x:c r="I121" s="35" t="str"/>
      <x:c r="J121" s="34" t="str">
        <x:f>IF(OR(NOT(ISNUMBER(H121)),NOT(ISNUMBER(I121))),"",I121-H121)</x:f>
      </x:c>
      <x:c r="K121" s="34" t="n">
        <x:v>0.05</x:v>
      </x:c>
      <x:c r="L121" s="31" t="str"/>
      <x:c r="M121" s="31" t="str"/>
      <x:c r="N121" s="28" t="str">
        <x:f>IF(M121="","OPEN",IF(OR(L121="",NOT(ISNUMBER(I121))),"FAIL",IF(ABS(J121)&lt;=K121,"PASS","FAIL")))</x:f>
        <x:v>OPEN</x:v>
      </x:c>
    </x:row>
    <x:row r="122">
      <x:c r="B122" s="28" t="str">
        <x:v>CR-CAL-PEA-B-X3-RFP-B2-20</x:v>
      </x:c>
      <x:c r="C122" s="28" t="str">
        <x:v>CAL-PEA-B-X3-RFP-B2</x:v>
      </x:c>
      <x:c r="D122" s="28" t="str">
        <x:v>PEA-B-X3</x:v>
      </x:c>
      <x:c r="E122" s="28" t="str">
        <x:v>RFP-B2</x:v>
      </x:c>
      <x:c r="F122" s="28" t="n">
        <x:v>20</x:v>
      </x:c>
      <x:c r="G122" s="28" t="str">
        <x:v>source ancestry root A</x:v>
      </x:c>
      <x:c r="H122" s="34" t="n">
        <x:v>1</x:v>
      </x:c>
      <x:c r="I122" s="35" t="str"/>
      <x:c r="J122" s="34" t="str">
        <x:f>IF(OR(NOT(ISNUMBER(H122)),NOT(ISNUMBER(I122))),"",I122-H122)</x:f>
      </x:c>
      <x:c r="K122" s="34" t="n">
        <x:v>0.05</x:v>
      </x:c>
      <x:c r="L122" s="31" t="str"/>
      <x:c r="M122" s="31" t="str"/>
      <x:c r="N122" s="28" t="str">
        <x:f>IF(M122="","OPEN",IF(OR(L122="",NOT(ISNUMBER(I122))),"FAIL",IF(ABS(J122)&lt;=K122,"PASS","FAIL")))</x:f>
        <x:v>OPEN</x:v>
      </x:c>
    </x:row>
    <x:row r="123">
      <x:c r="B123" s="28" t="str">
        <x:v>CR-CAL-PEA-B-X3-RFP-B2-21</x:v>
      </x:c>
      <x:c r="C123" s="28" t="str">
        <x:v>CAL-PEA-B-X3-RFP-B2</x:v>
      </x:c>
      <x:c r="D123" s="28" t="str">
        <x:v>PEA-B-X3</x:v>
      </x:c>
      <x:c r="E123" s="28" t="str">
        <x:v>RFP-B2</x:v>
      </x:c>
      <x:c r="F123" s="28" t="n">
        <x:v>21</x:v>
      </x:c>
      <x:c r="G123" s="28" t="str">
        <x:v>source ancestry root B</x:v>
      </x:c>
      <x:c r="H123" s="34" t="n">
        <x:v>1</x:v>
      </x:c>
      <x:c r="I123" s="35" t="str"/>
      <x:c r="J123" s="34" t="str">
        <x:f>IF(OR(NOT(ISNUMBER(H123)),NOT(ISNUMBER(I123))),"",I123-H123)</x:f>
      </x:c>
      <x:c r="K123" s="34" t="n">
        <x:v>0.05</x:v>
      </x:c>
      <x:c r="L123" s="31" t="str"/>
      <x:c r="M123" s="31" t="str"/>
      <x:c r="N123" s="28" t="str">
        <x:f>IF(M123="","OPEN",IF(OR(L123="",NOT(ISNUMBER(I123))),"FAIL",IF(ABS(J123)&lt;=K123,"PASS","FAIL")))</x:f>
        <x:v>OPEN</x:v>
      </x:c>
    </x:row>
    <x:row r="124">
      <x:c r="B124" s="28" t="str">
        <x:v>CR-CAL-PEA-B-X3-RFP-B2-22</x:v>
      </x:c>
      <x:c r="C124" s="28" t="str">
        <x:v>CAL-PEA-B-X3-RFP-B2</x:v>
      </x:c>
      <x:c r="D124" s="28" t="str">
        <x:v>PEA-B-X3</x:v>
      </x:c>
      <x:c r="E124" s="28" t="str">
        <x:v>RFP-B2</x:v>
      </x:c>
      <x:c r="F124" s="28" t="n">
        <x:v>22</x:v>
      </x:c>
      <x:c r="G124" s="28" t="str">
        <x:v>environmental release</x:v>
      </x:c>
      <x:c r="H124" s="34" t="n">
        <x:v>1</x:v>
      </x:c>
      <x:c r="I124" s="35" t="str"/>
      <x:c r="J124" s="34" t="str">
        <x:f>IF(OR(NOT(ISNUMBER(H124)),NOT(ISNUMBER(I124))),"",I124-H124)</x:f>
      </x:c>
      <x:c r="K124" s="34" t="n">
        <x:v>0.05</x:v>
      </x:c>
      <x:c r="L124" s="31" t="str"/>
      <x:c r="M124" s="31" t="str"/>
      <x:c r="N124" s="28" t="str">
        <x:f>IF(M124="","OPEN",IF(OR(L124="",NOT(ISNUMBER(I124))),"FAIL",IF(ABS(J124)&lt;=K124,"PASS","FAIL")))</x:f>
        <x:v>OPEN</x:v>
      </x:c>
    </x:row>
    <x:row r="125">
      <x:c r="B125" s="28" t="str">
        <x:v>CR-CAL-PEA-B-X3-RFP-B2-23</x:v>
      </x:c>
      <x:c r="C125" s="28" t="str">
        <x:v>CAL-PEA-B-X3-RFP-B2</x:v>
      </x:c>
      <x:c r="D125" s="28" t="str">
        <x:v>PEA-B-X3</x:v>
      </x:c>
      <x:c r="E125" s="28" t="str">
        <x:v>RFP-B2</x:v>
      </x:c>
      <x:c r="F125" s="28" t="n">
        <x:v>23</x:v>
      </x:c>
      <x:c r="G125" s="28" t="str">
        <x:v>image trigger</x:v>
      </x:c>
      <x:c r="H125" s="34" t="n">
        <x:v>1</x:v>
      </x:c>
      <x:c r="I125" s="35" t="str"/>
      <x:c r="J125" s="34" t="str">
        <x:f>IF(OR(NOT(ISNUMBER(H125)),NOT(ISNUMBER(I125))),"",I125-H125)</x:f>
      </x:c>
      <x:c r="K125" s="34" t="n">
        <x:v>0.05</x:v>
      </x:c>
      <x:c r="L125" s="31" t="str"/>
      <x:c r="M125" s="31" t="str"/>
      <x:c r="N125" s="28" t="str">
        <x:f>IF(M125="","OPEN",IF(OR(L125="",NOT(ISNUMBER(I125))),"FAIL",IF(ABS(J125)&lt;=K125,"PASS","FAIL")))</x:f>
        <x:v>OPEN</x:v>
      </x:c>
    </x:row>
    <x:row r="126">
      <x:c r="B126" s="28" t="str">
        <x:v>CR-CAL-PEA-B-X3-RFP-B2-24</x:v>
      </x:c>
      <x:c r="C126" s="28" t="str">
        <x:v>CAL-PEA-B-X3-RFP-B2</x:v>
      </x:c>
      <x:c r="D126" s="28" t="str">
        <x:v>PEA-B-X3</x:v>
      </x:c>
      <x:c r="E126" s="28" t="str">
        <x:v>RFP-B2</x:v>
      </x:c>
      <x:c r="F126" s="28" t="n">
        <x:v>24</x:v>
      </x:c>
      <x:c r="G126" s="28" t="str">
        <x:v>evidence health</x:v>
      </x:c>
      <x:c r="H126" s="34" t="n">
        <x:v>1</x:v>
      </x:c>
      <x:c r="I126" s="35" t="str"/>
      <x:c r="J126" s="34" t="str">
        <x:f>IF(OR(NOT(ISNUMBER(H126)),NOT(ISNUMBER(I126))),"",I126-H126)</x:f>
      </x:c>
      <x:c r="K126" s="34" t="n">
        <x:v>0.05</x:v>
      </x:c>
      <x:c r="L126" s="31" t="str"/>
      <x:c r="M126" s="31" t="str"/>
      <x:c r="N126" s="28" t="str">
        <x:f>IF(M126="","OPEN",IF(OR(L126="",NOT(ISNUMBER(I126))),"FAIL",IF(ABS(J126)&lt;=K126,"PASS","FAIL")))</x:f>
        <x:v>OPEN</x:v>
      </x:c>
    </x:row>
    <x:row r="127">
      <x:c r="B127" s="28" t="str">
        <x:v>CR-CAL-PEA-C-Y3-RFP-C2-01</x:v>
      </x:c>
      <x:c r="C127" s="28" t="str">
        <x:v>CAL-PEA-C-Y3-RFP-C2</x:v>
      </x:c>
      <x:c r="D127" s="28" t="str">
        <x:v>PEA-C-Y3</x:v>
      </x:c>
      <x:c r="E127" s="28" t="str">
        <x:v>RFP-C2</x:v>
      </x:c>
      <x:c r="F127" s="28" t="n">
        <x:v>1</x:v>
      </x:c>
      <x:c r="G127" s="28" t="str">
        <x:v>vessel mass</x:v>
      </x:c>
      <x:c r="H127" s="34" t="n">
        <x:v>1</x:v>
      </x:c>
      <x:c r="I127" s="35" t="str"/>
      <x:c r="J127" s="34" t="str">
        <x:f>IF(OR(NOT(ISNUMBER(H127)),NOT(ISNUMBER(I127))),"",I127-H127)</x:f>
      </x:c>
      <x:c r="K127" s="34" t="n">
        <x:v>0.05</x:v>
      </x:c>
      <x:c r="L127" s="31" t="str"/>
      <x:c r="M127" s="31" t="str"/>
      <x:c r="N127" s="28" t="str">
        <x:f>IF(M127="","OPEN",IF(OR(L127="",NOT(ISNUMBER(I127))),"FAIL",IF(ABS(J127)&lt;=K127,"PASS","FAIL")))</x:f>
        <x:v>OPEN</x:v>
      </x:c>
    </x:row>
    <x:row r="128">
      <x:c r="B128" s="28" t="str">
        <x:v>CR-CAL-PEA-C-Y3-RFP-C2-02</x:v>
      </x:c>
      <x:c r="C128" s="28" t="str">
        <x:v>CAL-PEA-C-Y3-RFP-C2</x:v>
      </x:c>
      <x:c r="D128" s="28" t="str">
        <x:v>PEA-C-Y3</x:v>
      </x:c>
      <x:c r="E128" s="28" t="str">
        <x:v>RFP-C2</x:v>
      </x:c>
      <x:c r="F128" s="28" t="n">
        <x:v>2</x:v>
      </x:c>
      <x:c r="G128" s="28" t="str">
        <x:v>integrated transfer mass</x:v>
      </x:c>
      <x:c r="H128" s="34" t="n">
        <x:v>1</x:v>
      </x:c>
      <x:c r="I128" s="35" t="str"/>
      <x:c r="J128" s="34" t="str">
        <x:f>IF(OR(NOT(ISNUMBER(H128)),NOT(ISNUMBER(I128))),"",I128-H128)</x:f>
      </x:c>
      <x:c r="K128" s="34" t="n">
        <x:v>0.05</x:v>
      </x:c>
      <x:c r="L128" s="31" t="str"/>
      <x:c r="M128" s="31" t="str"/>
      <x:c r="N128" s="28" t="str">
        <x:f>IF(M128="","OPEN",IF(OR(L128="",NOT(ISNUMBER(I128))),"FAIL",IF(ABS(J128)&lt;=K128,"PASS","FAIL")))</x:f>
        <x:v>OPEN</x:v>
      </x:c>
    </x:row>
    <x:row r="129">
      <x:c r="B129" s="28" t="str">
        <x:v>CR-CAL-PEA-C-Y3-RFP-C2-03</x:v>
      </x:c>
      <x:c r="C129" s="28" t="str">
        <x:v>CAL-PEA-C-Y3-RFP-C2</x:v>
      </x:c>
      <x:c r="D129" s="28" t="str">
        <x:v>PEA-C-Y3</x:v>
      </x:c>
      <x:c r="E129" s="28" t="str">
        <x:v>RFP-C2</x:v>
      </x:c>
      <x:c r="F129" s="28" t="n">
        <x:v>3</x:v>
      </x:c>
      <x:c r="G129" s="28" t="str">
        <x:v>pressure</x:v>
      </x:c>
      <x:c r="H129" s="34" t="n">
        <x:v>1</x:v>
      </x:c>
      <x:c r="I129" s="35" t="str"/>
      <x:c r="J129" s="34" t="str">
        <x:f>IF(OR(NOT(ISNUMBER(H129)),NOT(ISNUMBER(I129))),"",I129-H129)</x:f>
      </x:c>
      <x:c r="K129" s="34" t="n">
        <x:v>0.05</x:v>
      </x:c>
      <x:c r="L129" s="31" t="str"/>
      <x:c r="M129" s="31" t="str"/>
      <x:c r="N129" s="28" t="str">
        <x:f>IF(M129="","OPEN",IF(OR(L129="",NOT(ISNUMBER(I129))),"FAIL",IF(ABS(J129)&lt;=K129,"PASS","FAIL")))</x:f>
        <x:v>OPEN</x:v>
      </x:c>
    </x:row>
    <x:row r="130">
      <x:c r="B130" s="28" t="str">
        <x:v>CR-CAL-PEA-C-Y3-RFP-C2-04</x:v>
      </x:c>
      <x:c r="C130" s="28" t="str">
        <x:v>CAL-PEA-C-Y3-RFP-C2</x:v>
      </x:c>
      <x:c r="D130" s="28" t="str">
        <x:v>PEA-C-Y3</x:v>
      </x:c>
      <x:c r="E130" s="28" t="str">
        <x:v>RFP-C2</x:v>
      </x:c>
      <x:c r="F130" s="28" t="n">
        <x:v>4</x:v>
      </x:c>
      <x:c r="G130" s="28" t="str">
        <x:v>temperature</x:v>
      </x:c>
      <x:c r="H130" s="34" t="n">
        <x:v>1</x:v>
      </x:c>
      <x:c r="I130" s="35" t="str"/>
      <x:c r="J130" s="34" t="str">
        <x:f>IF(OR(NOT(ISNUMBER(H130)),NOT(ISNUMBER(I130))),"",I130-H130)</x:f>
      </x:c>
      <x:c r="K130" s="34" t="n">
        <x:v>0.05</x:v>
      </x:c>
      <x:c r="L130" s="31" t="str"/>
      <x:c r="M130" s="31" t="str"/>
      <x:c r="N130" s="28" t="str">
        <x:f>IF(M130="","OPEN",IF(OR(L130="",NOT(ISNUMBER(I130))),"FAIL",IF(ABS(J130)&lt;=K130,"PASS","FAIL")))</x:f>
        <x:v>OPEN</x:v>
      </x:c>
    </x:row>
    <x:row r="131">
      <x:c r="B131" s="28" t="str">
        <x:v>CR-CAL-PEA-C-Y3-RFP-C2-05</x:v>
      </x:c>
      <x:c r="C131" s="28" t="str">
        <x:v>CAL-PEA-C-Y3-RFP-C2</x:v>
      </x:c>
      <x:c r="D131" s="28" t="str">
        <x:v>PEA-C-Y3</x:v>
      </x:c>
      <x:c r="E131" s="28" t="str">
        <x:v>RFP-C2</x:v>
      </x:c>
      <x:c r="F131" s="28" t="n">
        <x:v>5</x:v>
      </x:c>
      <x:c r="G131" s="28" t="str">
        <x:v>hold-up tomography</x:v>
      </x:c>
      <x:c r="H131" s="34" t="n">
        <x:v>1</x:v>
      </x:c>
      <x:c r="I131" s="35" t="str"/>
      <x:c r="J131" s="34" t="str">
        <x:f>IF(OR(NOT(ISNUMBER(H131)),NOT(ISNUMBER(I131))),"",I131-H131)</x:f>
      </x:c>
      <x:c r="K131" s="34" t="n">
        <x:v>0.05</x:v>
      </x:c>
      <x:c r="L131" s="31" t="str"/>
      <x:c r="M131" s="31" t="str"/>
      <x:c r="N131" s="28" t="str">
        <x:f>IF(M131="","OPEN",IF(OR(L131="",NOT(ISNUMBER(I131))),"FAIL",IF(ABS(J131)&lt;=K131,"PASS","FAIL")))</x:f>
        <x:v>OPEN</x:v>
      </x:c>
    </x:row>
    <x:row r="132">
      <x:c r="B132" s="28" t="str">
        <x:v>CR-CAL-PEA-C-Y3-RFP-C2-06</x:v>
      </x:c>
      <x:c r="C132" s="28" t="str">
        <x:v>CAL-PEA-C-Y3-RFP-C2</x:v>
      </x:c>
      <x:c r="D132" s="28" t="str">
        <x:v>PEA-C-Y3</x:v>
      </x:c>
      <x:c r="E132" s="28" t="str">
        <x:v>RFP-C2</x:v>
      </x:c>
      <x:c r="F132" s="28" t="n">
        <x:v>6</x:v>
      </x:c>
      <x:c r="G132" s="28" t="str">
        <x:v>pan level</x:v>
      </x:c>
      <x:c r="H132" s="34" t="n">
        <x:v>1</x:v>
      </x:c>
      <x:c r="I132" s="35" t="str"/>
      <x:c r="J132" s="34" t="str">
        <x:f>IF(OR(NOT(ISNUMBER(H132)),NOT(ISNUMBER(I132))),"",I132-H132)</x:f>
      </x:c>
      <x:c r="K132" s="34" t="n">
        <x:v>0.05</x:v>
      </x:c>
      <x:c r="L132" s="31" t="str"/>
      <x:c r="M132" s="31" t="str"/>
      <x:c r="N132" s="28" t="str">
        <x:f>IF(M132="","OPEN",IF(OR(L132="",NOT(ISNUMBER(I132))),"FAIL",IF(ABS(J132)&lt;=K132,"PASS","FAIL")))</x:f>
        <x:v>OPEN</x:v>
      </x:c>
    </x:row>
    <x:row r="133">
      <x:c r="B133" s="28" t="str">
        <x:v>CR-CAL-PEA-C-Y3-RFP-C2-07</x:v>
      </x:c>
      <x:c r="C133" s="28" t="str">
        <x:v>CAL-PEA-C-Y3-RFP-C2</x:v>
      </x:c>
      <x:c r="D133" s="28" t="str">
        <x:v>PEA-C-Y3</x:v>
      </x:c>
      <x:c r="E133" s="28" t="str">
        <x:v>RFP-C2</x:v>
      </x:c>
      <x:c r="F133" s="28" t="n">
        <x:v>7</x:v>
      </x:c>
      <x:c r="G133" s="28" t="str">
        <x:v>receiver mass</x:v>
      </x:c>
      <x:c r="H133" s="34" t="n">
        <x:v>1</x:v>
      </x:c>
      <x:c r="I133" s="35" t="str"/>
      <x:c r="J133" s="34" t="str">
        <x:f>IF(OR(NOT(ISNUMBER(H133)),NOT(ISNUMBER(I133))),"",I133-H133)</x:f>
      </x:c>
      <x:c r="K133" s="34" t="n">
        <x:v>0.05</x:v>
      </x:c>
      <x:c r="L133" s="31" t="str"/>
      <x:c r="M133" s="31" t="str"/>
      <x:c r="N133" s="28" t="str">
        <x:f>IF(M133="","OPEN",IF(OR(L133="",NOT(ISNUMBER(I133))),"FAIL",IF(ABS(J133)&lt;=K133,"PASS","FAIL")))</x:f>
        <x:v>OPEN</x:v>
      </x:c>
    </x:row>
    <x:row r="134">
      <x:c r="B134" s="28" t="str">
        <x:v>CR-CAL-PEA-C-Y3-RFP-C2-08</x:v>
      </x:c>
      <x:c r="C134" s="28" t="str">
        <x:v>CAL-PEA-C-Y3-RFP-C2</x:v>
      </x:c>
      <x:c r="D134" s="28" t="str">
        <x:v>PEA-C-Y3</x:v>
      </x:c>
      <x:c r="E134" s="28" t="str">
        <x:v>RFP-C2</x:v>
      </x:c>
      <x:c r="F134" s="28" t="n">
        <x:v>8</x:v>
      </x:c>
      <x:c r="G134" s="28" t="str">
        <x:v>geometry and slope</x:v>
      </x:c>
      <x:c r="H134" s="34" t="n">
        <x:v>1</x:v>
      </x:c>
      <x:c r="I134" s="35" t="str"/>
      <x:c r="J134" s="34" t="str">
        <x:f>IF(OR(NOT(ISNUMBER(H134)),NOT(ISNUMBER(I134))),"",I134-H134)</x:f>
      </x:c>
      <x:c r="K134" s="34" t="n">
        <x:v>0.05</x:v>
      </x:c>
      <x:c r="L134" s="31" t="str"/>
      <x:c r="M134" s="31" t="str"/>
      <x:c r="N134" s="28" t="str">
        <x:f>IF(M134="","OPEN",IF(OR(L134="",NOT(ISNUMBER(I134))),"FAIL",IF(ABS(J134)&lt;=K134,"PASS","FAIL")))</x:f>
        <x:v>OPEN</x:v>
      </x:c>
    </x:row>
    <x:row r="135">
      <x:c r="B135" s="28" t="str">
        <x:v>CR-CAL-PEA-C-Y3-RFP-C2-09</x:v>
      </x:c>
      <x:c r="C135" s="28" t="str">
        <x:v>CAL-PEA-C-Y3-RFP-C2</x:v>
      </x:c>
      <x:c r="D135" s="28" t="str">
        <x:v>PEA-C-Y3</x:v>
      </x:c>
      <x:c r="E135" s="28" t="str">
        <x:v>RFP-C2</x:v>
      </x:c>
      <x:c r="F135" s="28" t="n">
        <x:v>9</x:v>
      </x:c>
      <x:c r="G135" s="28" t="str">
        <x:v>primary state witness</x:v>
      </x:c>
      <x:c r="H135" s="34" t="n">
        <x:v>1</x:v>
      </x:c>
      <x:c r="I135" s="35" t="str"/>
      <x:c r="J135" s="34" t="str">
        <x:f>IF(OR(NOT(ISNUMBER(H135)),NOT(ISNUMBER(I135))),"",I135-H135)</x:f>
      </x:c>
      <x:c r="K135" s="34" t="n">
        <x:v>0.05</x:v>
      </x:c>
      <x:c r="L135" s="31" t="str"/>
      <x:c r="M135" s="31" t="str"/>
      <x:c r="N135" s="28" t="str">
        <x:f>IF(M135="","OPEN",IF(OR(L135="",NOT(ISNUMBER(I135))),"FAIL",IF(ABS(J135)&lt;=K135,"PASS","FAIL")))</x:f>
        <x:v>OPEN</x:v>
      </x:c>
    </x:row>
    <x:row r="136">
      <x:c r="B136" s="28" t="str">
        <x:v>CR-CAL-PEA-C-Y3-RFP-C2-10</x:v>
      </x:c>
      <x:c r="C136" s="28" t="str">
        <x:v>CAL-PEA-C-Y3-RFP-C2</x:v>
      </x:c>
      <x:c r="D136" s="28" t="str">
        <x:v>PEA-C-Y3</x:v>
      </x:c>
      <x:c r="E136" s="28" t="str">
        <x:v>RFP-C2</x:v>
      </x:c>
      <x:c r="F136" s="28" t="n">
        <x:v>10</x:v>
      </x:c>
      <x:c r="G136" s="28" t="str">
        <x:v>diverse state witness</x:v>
      </x:c>
      <x:c r="H136" s="34" t="n">
        <x:v>1</x:v>
      </x:c>
      <x:c r="I136" s="35" t="str"/>
      <x:c r="J136" s="34" t="str">
        <x:f>IF(OR(NOT(ISNUMBER(H136)),NOT(ISNUMBER(I136))),"",I136-H136)</x:f>
      </x:c>
      <x:c r="K136" s="34" t="n">
        <x:v>0.05</x:v>
      </x:c>
      <x:c r="L136" s="31" t="str"/>
      <x:c r="M136" s="31" t="str"/>
      <x:c r="N136" s="28" t="str">
        <x:f>IF(M136="","OPEN",IF(OR(L136="",NOT(ISNUMBER(I136))),"FAIL",IF(ABS(J136)&lt;=K136,"PASS","FAIL")))</x:f>
        <x:v>OPEN</x:v>
      </x:c>
    </x:row>
    <x:row r="137">
      <x:c r="B137" s="28" t="str">
        <x:v>CR-CAL-PEA-C-Y3-RFP-C2-11</x:v>
      </x:c>
      <x:c r="C137" s="28" t="str">
        <x:v>CAL-PEA-C-Y3-RFP-C2</x:v>
      </x:c>
      <x:c r="D137" s="28" t="str">
        <x:v>PEA-C-Y3</x:v>
      </x:c>
      <x:c r="E137" s="28" t="str">
        <x:v>RFP-C2</x:v>
      </x:c>
      <x:c r="F137" s="28" t="n">
        <x:v>11</x:v>
      </x:c>
      <x:c r="G137" s="28" t="str">
        <x:v>manual state witness</x:v>
      </x:c>
      <x:c r="H137" s="34" t="n">
        <x:v>1</x:v>
      </x:c>
      <x:c r="I137" s="35" t="str"/>
      <x:c r="J137" s="34" t="str">
        <x:f>IF(OR(NOT(ISNUMBER(H137)),NOT(ISNUMBER(I137))),"",I137-H137)</x:f>
      </x:c>
      <x:c r="K137" s="34" t="n">
        <x:v>0.05</x:v>
      </x:c>
      <x:c r="L137" s="31" t="str"/>
      <x:c r="M137" s="31" t="str"/>
      <x:c r="N137" s="28" t="str">
        <x:f>IF(M137="","OPEN",IF(OR(L137="",NOT(ISNUMBER(I137))),"FAIL",IF(ABS(J137)&lt;=K137,"PASS","FAIL")))</x:f>
        <x:v>OPEN</x:v>
      </x:c>
    </x:row>
    <x:row r="138">
      <x:c r="B138" s="28" t="str">
        <x:v>CR-CAL-PEA-C-Y3-RFP-C2-12</x:v>
      </x:c>
      <x:c r="C138" s="28" t="str">
        <x:v>CAL-PEA-C-Y3-RFP-C2</x:v>
      </x:c>
      <x:c r="D138" s="28" t="str">
        <x:v>PEA-C-Y3</x:v>
      </x:c>
      <x:c r="E138" s="28" t="str">
        <x:v>RFP-C2</x:v>
      </x:c>
      <x:c r="F138" s="28" t="n">
        <x:v>12</x:v>
      </x:c>
      <x:c r="G138" s="28" t="str">
        <x:v>final-element reference</x:v>
      </x:c>
      <x:c r="H138" s="34" t="n">
        <x:v>1</x:v>
      </x:c>
      <x:c r="I138" s="35" t="str"/>
      <x:c r="J138" s="34" t="str">
        <x:f>IF(OR(NOT(ISNUMBER(H138)),NOT(ISNUMBER(I138))),"",I138-H138)</x:f>
      </x:c>
      <x:c r="K138" s="34" t="n">
        <x:v>0.05</x:v>
      </x:c>
      <x:c r="L138" s="31" t="str"/>
      <x:c r="M138" s="31" t="str"/>
      <x:c r="N138" s="28" t="str">
        <x:f>IF(M138="","OPEN",IF(OR(L138="",NOT(ISNUMBER(I138))),"FAIL",IF(ABS(J138)&lt;=K138,"PASS","FAIL")))</x:f>
        <x:v>OPEN</x:v>
      </x:c>
    </x:row>
    <x:row r="139">
      <x:c r="B139" s="28" t="str">
        <x:v>CR-CAL-PEA-C-Y3-RFP-C2-13</x:v>
      </x:c>
      <x:c r="C139" s="28" t="str">
        <x:v>CAL-PEA-C-Y3-RFP-C2</x:v>
      </x:c>
      <x:c r="D139" s="28" t="str">
        <x:v>PEA-C-Y3</x:v>
      </x:c>
      <x:c r="E139" s="28" t="str">
        <x:v>RFP-C2</x:v>
      </x:c>
      <x:c r="F139" s="28" t="n">
        <x:v>13</x:v>
      </x:c>
      <x:c r="G139" s="28" t="str">
        <x:v>causal time</x:v>
      </x:c>
      <x:c r="H139" s="34" t="n">
        <x:v>1</x:v>
      </x:c>
      <x:c r="I139" s="35" t="str"/>
      <x:c r="J139" s="34" t="str">
        <x:f>IF(OR(NOT(ISNUMBER(H139)),NOT(ISNUMBER(I139))),"",I139-H139)</x:f>
      </x:c>
      <x:c r="K139" s="34" t="n">
        <x:v>0.05</x:v>
      </x:c>
      <x:c r="L139" s="31" t="str"/>
      <x:c r="M139" s="31" t="str"/>
      <x:c r="N139" s="28" t="str">
        <x:f>IF(M139="","OPEN",IF(OR(L139="",NOT(ISNUMBER(I139))),"FAIL",IF(ABS(J139)&lt;=K139,"PASS","FAIL")))</x:f>
        <x:v>OPEN</x:v>
      </x:c>
    </x:row>
    <x:row r="140">
      <x:c r="B140" s="28" t="str">
        <x:v>CR-CAL-PEA-C-Y3-RFP-C2-14</x:v>
      </x:c>
      <x:c r="C140" s="28" t="str">
        <x:v>CAL-PEA-C-Y3-RFP-C2</x:v>
      </x:c>
      <x:c r="D140" s="28" t="str">
        <x:v>PEA-C-Y3</x:v>
      </x:c>
      <x:c r="E140" s="28" t="str">
        <x:v>RFP-C2</x:v>
      </x:c>
      <x:c r="F140" s="28" t="n">
        <x:v>14</x:v>
      </x:c>
      <x:c r="G140" s="28" t="str">
        <x:v>motive energy</x:v>
      </x:c>
      <x:c r="H140" s="34" t="n">
        <x:v>1</x:v>
      </x:c>
      <x:c r="I140" s="35" t="str"/>
      <x:c r="J140" s="34" t="str">
        <x:f>IF(OR(NOT(ISNUMBER(H140)),NOT(ISNUMBER(I140))),"",I140-H140)</x:f>
      </x:c>
      <x:c r="K140" s="34" t="n">
        <x:v>0.05</x:v>
      </x:c>
      <x:c r="L140" s="31" t="str"/>
      <x:c r="M140" s="31" t="str"/>
      <x:c r="N140" s="28" t="str">
        <x:f>IF(M140="","OPEN",IF(OR(L140="",NOT(ISNUMBER(I140))),"FAIL",IF(ABS(J140)&lt;=K140,"PASS","FAIL")))</x:f>
        <x:v>OPEN</x:v>
      </x:c>
    </x:row>
    <x:row r="141">
      <x:c r="B141" s="28" t="str">
        <x:v>CR-CAL-PEA-C-Y3-RFP-C2-15</x:v>
      </x:c>
      <x:c r="C141" s="28" t="str">
        <x:v>CAL-PEA-C-Y3-RFP-C2</x:v>
      </x:c>
      <x:c r="D141" s="28" t="str">
        <x:v>PEA-C-Y3</x:v>
      </x:c>
      <x:c r="E141" s="28" t="str">
        <x:v>RFP-C2</x:v>
      </x:c>
      <x:c r="F141" s="28" t="n">
        <x:v>15</x:v>
      </x:c>
      <x:c r="G141" s="28" t="str">
        <x:v>normal electrical power</x:v>
      </x:c>
      <x:c r="H141" s="34" t="n">
        <x:v>1</x:v>
      </x:c>
      <x:c r="I141" s="35" t="str"/>
      <x:c r="J141" s="34" t="str">
        <x:f>IF(OR(NOT(ISNUMBER(H141)),NOT(ISNUMBER(I141))),"",I141-H141)</x:f>
      </x:c>
      <x:c r="K141" s="34" t="n">
        <x:v>0.05</x:v>
      </x:c>
      <x:c r="L141" s="31" t="str"/>
      <x:c r="M141" s="31" t="str"/>
      <x:c r="N141" s="28" t="str">
        <x:f>IF(M141="","OPEN",IF(OR(L141="",NOT(ISNUMBER(I141))),"FAIL",IF(ABS(J141)&lt;=K141,"PASS","FAIL")))</x:f>
        <x:v>OPEN</x:v>
      </x:c>
    </x:row>
    <x:row r="142">
      <x:c r="B142" s="28" t="str">
        <x:v>CR-CAL-PEA-C-Y3-RFP-C2-16</x:v>
      </x:c>
      <x:c r="C142" s="28" t="str">
        <x:v>CAL-PEA-C-Y3-RFP-C2</x:v>
      </x:c>
      <x:c r="D142" s="28" t="str">
        <x:v>PEA-C-Y3</x:v>
      </x:c>
      <x:c r="E142" s="28" t="str">
        <x:v>RFP-C2</x:v>
      </x:c>
      <x:c r="F142" s="28" t="n">
        <x:v>16</x:v>
      </x:c>
      <x:c r="G142" s="28" t="str">
        <x:v>independent power</x:v>
      </x:c>
      <x:c r="H142" s="34" t="n">
        <x:v>1</x:v>
      </x:c>
      <x:c r="I142" s="35" t="str"/>
      <x:c r="J142" s="34" t="str">
        <x:f>IF(OR(NOT(ISNUMBER(H142)),NOT(ISNUMBER(I142))),"",I142-H142)</x:f>
      </x:c>
      <x:c r="K142" s="34" t="n">
        <x:v>0.05</x:v>
      </x:c>
      <x:c r="L142" s="31" t="str"/>
      <x:c r="M142" s="31" t="str"/>
      <x:c r="N142" s="28" t="str">
        <x:f>IF(M142="","OPEN",IF(OR(L142="",NOT(ISNUMBER(I142))),"FAIL",IF(ABS(J142)&lt;=K142,"PASS","FAIL")))</x:f>
        <x:v>OPEN</x:v>
      </x:c>
    </x:row>
    <x:row r="143">
      <x:c r="B143" s="28" t="str">
        <x:v>CR-CAL-PEA-C-Y3-RFP-C2-17</x:v>
      </x:c>
      <x:c r="C143" s="28" t="str">
        <x:v>CAL-PEA-C-Y3-RFP-C2</x:v>
      </x:c>
      <x:c r="D143" s="28" t="str">
        <x:v>PEA-C-Y3</x:v>
      </x:c>
      <x:c r="E143" s="28" t="str">
        <x:v>RFP-C2</x:v>
      </x:c>
      <x:c r="F143" s="28" t="n">
        <x:v>17</x:v>
      </x:c>
      <x:c r="G143" s="28" t="str">
        <x:v>leak collection</x:v>
      </x:c>
      <x:c r="H143" s="34" t="n">
        <x:v>1</x:v>
      </x:c>
      <x:c r="I143" s="35" t="str"/>
      <x:c r="J143" s="34" t="str">
        <x:f>IF(OR(NOT(ISNUMBER(H143)),NOT(ISNUMBER(I143))),"",I143-H143)</x:f>
      </x:c>
      <x:c r="K143" s="34" t="n">
        <x:v>0.05</x:v>
      </x:c>
      <x:c r="L143" s="31" t="str"/>
      <x:c r="M143" s="31" t="str"/>
      <x:c r="N143" s="28" t="str">
        <x:f>IF(M143="","OPEN",IF(OR(L143="",NOT(ISNUMBER(I143))),"FAIL",IF(ABS(J143)&lt;=K143,"PASS","FAIL")))</x:f>
        <x:v>OPEN</x:v>
      </x:c>
    </x:row>
    <x:row r="144">
      <x:c r="B144" s="28" t="str">
        <x:v>CR-CAL-PEA-C-Y3-RFP-C2-18</x:v>
      </x:c>
      <x:c r="C144" s="28" t="str">
        <x:v>CAL-PEA-C-Y3-RFP-C2</x:v>
      </x:c>
      <x:c r="D144" s="28" t="str">
        <x:v>PEA-C-Y3</x:v>
      </x:c>
      <x:c r="E144" s="28" t="str">
        <x:v>RFP-C2</x:v>
      </x:c>
      <x:c r="F144" s="28" t="n">
        <x:v>18</x:v>
      </x:c>
      <x:c r="G144" s="28" t="str">
        <x:v>occupied area</x:v>
      </x:c>
      <x:c r="H144" s="34" t="n">
        <x:v>1</x:v>
      </x:c>
      <x:c r="I144" s="35" t="str"/>
      <x:c r="J144" s="34" t="str">
        <x:f>IF(OR(NOT(ISNUMBER(H144)),NOT(ISNUMBER(I144))),"",I144-H144)</x:f>
      </x:c>
      <x:c r="K144" s="34" t="n">
        <x:v>0.05</x:v>
      </x:c>
      <x:c r="L144" s="31" t="str"/>
      <x:c r="M144" s="31" t="str"/>
      <x:c r="N144" s="28" t="str">
        <x:f>IF(M144="","OPEN",IF(OR(L144="",NOT(ISNUMBER(I144))),"FAIL",IF(ABS(J144)&lt;=K144,"PASS","FAIL")))</x:f>
        <x:v>OPEN</x:v>
      </x:c>
    </x:row>
    <x:row r="145">
      <x:c r="B145" s="28" t="str">
        <x:v>CR-CAL-PEA-C-Y3-RFP-C2-19</x:v>
      </x:c>
      <x:c r="C145" s="28" t="str">
        <x:v>CAL-PEA-C-Y3-RFP-C2</x:v>
      </x:c>
      <x:c r="D145" s="28" t="str">
        <x:v>PEA-C-Y3</x:v>
      </x:c>
      <x:c r="E145" s="28" t="str">
        <x:v>RFP-C2</x:v>
      </x:c>
      <x:c r="F145" s="28" t="n">
        <x:v>19</x:v>
      </x:c>
      <x:c r="G145" s="28" t="str">
        <x:v>water flow</x:v>
      </x:c>
      <x:c r="H145" s="34" t="n">
        <x:v>1</x:v>
      </x:c>
      <x:c r="I145" s="35" t="str"/>
      <x:c r="J145" s="34" t="str">
        <x:f>IF(OR(NOT(ISNUMBER(H145)),NOT(ISNUMBER(I145))),"",I145-H145)</x:f>
      </x:c>
      <x:c r="K145" s="34" t="n">
        <x:v>0.05</x:v>
      </x:c>
      <x:c r="L145" s="31" t="str"/>
      <x:c r="M145" s="31" t="str"/>
      <x:c r="N145" s="28" t="str">
        <x:f>IF(M145="","OPEN",IF(OR(L145="",NOT(ISNUMBER(I145))),"FAIL",IF(ABS(J145)&lt;=K145,"PASS","FAIL")))</x:f>
        <x:v>OPEN</x:v>
      </x:c>
    </x:row>
    <x:row r="146">
      <x:c r="B146" s="28" t="str">
        <x:v>CR-CAL-PEA-C-Y3-RFP-C2-20</x:v>
      </x:c>
      <x:c r="C146" s="28" t="str">
        <x:v>CAL-PEA-C-Y3-RFP-C2</x:v>
      </x:c>
      <x:c r="D146" s="28" t="str">
        <x:v>PEA-C-Y3</x:v>
      </x:c>
      <x:c r="E146" s="28" t="str">
        <x:v>RFP-C2</x:v>
      </x:c>
      <x:c r="F146" s="28" t="n">
        <x:v>20</x:v>
      </x:c>
      <x:c r="G146" s="28" t="str">
        <x:v>source ancestry root A</x:v>
      </x:c>
      <x:c r="H146" s="34" t="n">
        <x:v>1</x:v>
      </x:c>
      <x:c r="I146" s="35" t="str"/>
      <x:c r="J146" s="34" t="str">
        <x:f>IF(OR(NOT(ISNUMBER(H146)),NOT(ISNUMBER(I146))),"",I146-H146)</x:f>
      </x:c>
      <x:c r="K146" s="34" t="n">
        <x:v>0.05</x:v>
      </x:c>
      <x:c r="L146" s="31" t="str"/>
      <x:c r="M146" s="31" t="str"/>
      <x:c r="N146" s="28" t="str">
        <x:f>IF(M146="","OPEN",IF(OR(L146="",NOT(ISNUMBER(I146))),"FAIL",IF(ABS(J146)&lt;=K146,"PASS","FAIL")))</x:f>
        <x:v>OPEN</x:v>
      </x:c>
    </x:row>
    <x:row r="147">
      <x:c r="B147" s="28" t="str">
        <x:v>CR-CAL-PEA-C-Y3-RFP-C2-21</x:v>
      </x:c>
      <x:c r="C147" s="28" t="str">
        <x:v>CAL-PEA-C-Y3-RFP-C2</x:v>
      </x:c>
      <x:c r="D147" s="28" t="str">
        <x:v>PEA-C-Y3</x:v>
      </x:c>
      <x:c r="E147" s="28" t="str">
        <x:v>RFP-C2</x:v>
      </x:c>
      <x:c r="F147" s="28" t="n">
        <x:v>21</x:v>
      </x:c>
      <x:c r="G147" s="28" t="str">
        <x:v>source ancestry root B</x:v>
      </x:c>
      <x:c r="H147" s="34" t="n">
        <x:v>1</x:v>
      </x:c>
      <x:c r="I147" s="35" t="str"/>
      <x:c r="J147" s="34" t="str">
        <x:f>IF(OR(NOT(ISNUMBER(H147)),NOT(ISNUMBER(I147))),"",I147-H147)</x:f>
      </x:c>
      <x:c r="K147" s="34" t="n">
        <x:v>0.05</x:v>
      </x:c>
      <x:c r="L147" s="31" t="str"/>
      <x:c r="M147" s="31" t="str"/>
      <x:c r="N147" s="28" t="str">
        <x:f>IF(M147="","OPEN",IF(OR(L147="",NOT(ISNUMBER(I147))),"FAIL",IF(ABS(J147)&lt;=K147,"PASS","FAIL")))</x:f>
        <x:v>OPEN</x:v>
      </x:c>
    </x:row>
    <x:row r="148">
      <x:c r="B148" s="28" t="str">
        <x:v>CR-CAL-PEA-C-Y3-RFP-C2-22</x:v>
      </x:c>
      <x:c r="C148" s="28" t="str">
        <x:v>CAL-PEA-C-Y3-RFP-C2</x:v>
      </x:c>
      <x:c r="D148" s="28" t="str">
        <x:v>PEA-C-Y3</x:v>
      </x:c>
      <x:c r="E148" s="28" t="str">
        <x:v>RFP-C2</x:v>
      </x:c>
      <x:c r="F148" s="28" t="n">
        <x:v>22</x:v>
      </x:c>
      <x:c r="G148" s="28" t="str">
        <x:v>environmental release</x:v>
      </x:c>
      <x:c r="H148" s="34" t="n">
        <x:v>1</x:v>
      </x:c>
      <x:c r="I148" s="35" t="str"/>
      <x:c r="J148" s="34" t="str">
        <x:f>IF(OR(NOT(ISNUMBER(H148)),NOT(ISNUMBER(I148))),"",I148-H148)</x:f>
      </x:c>
      <x:c r="K148" s="34" t="n">
        <x:v>0.05</x:v>
      </x:c>
      <x:c r="L148" s="31" t="str"/>
      <x:c r="M148" s="31" t="str"/>
      <x:c r="N148" s="28" t="str">
        <x:f>IF(M148="","OPEN",IF(OR(L148="",NOT(ISNUMBER(I148))),"FAIL",IF(ABS(J148)&lt;=K148,"PASS","FAIL")))</x:f>
        <x:v>OPEN</x:v>
      </x:c>
    </x:row>
    <x:row r="149">
      <x:c r="B149" s="28" t="str">
        <x:v>CR-CAL-PEA-C-Y3-RFP-C2-23</x:v>
      </x:c>
      <x:c r="C149" s="28" t="str">
        <x:v>CAL-PEA-C-Y3-RFP-C2</x:v>
      </x:c>
      <x:c r="D149" s="28" t="str">
        <x:v>PEA-C-Y3</x:v>
      </x:c>
      <x:c r="E149" s="28" t="str">
        <x:v>RFP-C2</x:v>
      </x:c>
      <x:c r="F149" s="28" t="n">
        <x:v>23</x:v>
      </x:c>
      <x:c r="G149" s="28" t="str">
        <x:v>image trigger</x:v>
      </x:c>
      <x:c r="H149" s="34" t="n">
        <x:v>1</x:v>
      </x:c>
      <x:c r="I149" s="35" t="str"/>
      <x:c r="J149" s="34" t="str">
        <x:f>IF(OR(NOT(ISNUMBER(H149)),NOT(ISNUMBER(I149))),"",I149-H149)</x:f>
      </x:c>
      <x:c r="K149" s="34" t="n">
        <x:v>0.05</x:v>
      </x:c>
      <x:c r="L149" s="31" t="str"/>
      <x:c r="M149" s="31" t="str"/>
      <x:c r="N149" s="28" t="str">
        <x:f>IF(M149="","OPEN",IF(OR(L149="",NOT(ISNUMBER(I149))),"FAIL",IF(ABS(J149)&lt;=K149,"PASS","FAIL")))</x:f>
        <x:v>OPEN</x:v>
      </x:c>
    </x:row>
    <x:row r="150">
      <x:c r="B150" s="28" t="str">
        <x:v>CR-CAL-PEA-C-Y3-RFP-C2-24</x:v>
      </x:c>
      <x:c r="C150" s="28" t="str">
        <x:v>CAL-PEA-C-Y3-RFP-C2</x:v>
      </x:c>
      <x:c r="D150" s="28" t="str">
        <x:v>PEA-C-Y3</x:v>
      </x:c>
      <x:c r="E150" s="28" t="str">
        <x:v>RFP-C2</x:v>
      </x:c>
      <x:c r="F150" s="28" t="n">
        <x:v>24</x:v>
      </x:c>
      <x:c r="G150" s="28" t="str">
        <x:v>evidence health</x:v>
      </x:c>
      <x:c r="H150" s="34" t="n">
        <x:v>1</x:v>
      </x:c>
      <x:c r="I150" s="35" t="str"/>
      <x:c r="J150" s="34" t="str">
        <x:f>IF(OR(NOT(ISNUMBER(H150)),NOT(ISNUMBER(I150))),"",I150-H150)</x:f>
      </x:c>
      <x:c r="K150" s="34" t="n">
        <x:v>0.05</x:v>
      </x:c>
      <x:c r="L150" s="31" t="str"/>
      <x:c r="M150" s="31" t="str"/>
      <x:c r="N150" s="28" t="str">
        <x:f>IF(M150="","OPEN",IF(OR(L150="",NOT(ISNUMBER(I150))),"FAIL",IF(ABS(J150)&lt;=K150,"PASS","FAIL")))</x:f>
        <x:v>OPEN</x:v>
      </x:c>
    </x:row>
    <x:row r="151">
      <x:c r="B151" s="28" t="str">
        <x:v>CR-CAL-PEA-C-Y3-RFP-A1-01</x:v>
      </x:c>
      <x:c r="C151" s="28" t="str">
        <x:v>CAL-PEA-C-Y3-RFP-A1</x:v>
      </x:c>
      <x:c r="D151" s="28" t="str">
        <x:v>PEA-C-Y3</x:v>
      </x:c>
      <x:c r="E151" s="28" t="str">
        <x:v>RFP-A1</x:v>
      </x:c>
      <x:c r="F151" s="28" t="n">
        <x:v>1</x:v>
      </x:c>
      <x:c r="G151" s="28" t="str">
        <x:v>vessel mass</x:v>
      </x:c>
      <x:c r="H151" s="34" t="n">
        <x:v>1</x:v>
      </x:c>
      <x:c r="I151" s="35" t="str"/>
      <x:c r="J151" s="34" t="str">
        <x:f>IF(OR(NOT(ISNUMBER(H151)),NOT(ISNUMBER(I151))),"",I151-H151)</x:f>
      </x:c>
      <x:c r="K151" s="34" t="n">
        <x:v>0.05</x:v>
      </x:c>
      <x:c r="L151" s="31" t="str"/>
      <x:c r="M151" s="31" t="str"/>
      <x:c r="N151" s="28" t="str">
        <x:f>IF(M151="","OPEN",IF(OR(L151="",NOT(ISNUMBER(I151))),"FAIL",IF(ABS(J151)&lt;=K151,"PASS","FAIL")))</x:f>
        <x:v>OPEN</x:v>
      </x:c>
    </x:row>
    <x:row r="152">
      <x:c r="B152" s="28" t="str">
        <x:v>CR-CAL-PEA-C-Y3-RFP-A1-02</x:v>
      </x:c>
      <x:c r="C152" s="28" t="str">
        <x:v>CAL-PEA-C-Y3-RFP-A1</x:v>
      </x:c>
      <x:c r="D152" s="28" t="str">
        <x:v>PEA-C-Y3</x:v>
      </x:c>
      <x:c r="E152" s="28" t="str">
        <x:v>RFP-A1</x:v>
      </x:c>
      <x:c r="F152" s="28" t="n">
        <x:v>2</x:v>
      </x:c>
      <x:c r="G152" s="28" t="str">
        <x:v>integrated transfer mass</x:v>
      </x:c>
      <x:c r="H152" s="34" t="n">
        <x:v>1</x:v>
      </x:c>
      <x:c r="I152" s="35" t="str"/>
      <x:c r="J152" s="34" t="str">
        <x:f>IF(OR(NOT(ISNUMBER(H152)),NOT(ISNUMBER(I152))),"",I152-H152)</x:f>
      </x:c>
      <x:c r="K152" s="34" t="n">
        <x:v>0.05</x:v>
      </x:c>
      <x:c r="L152" s="31" t="str"/>
      <x:c r="M152" s="31" t="str"/>
      <x:c r="N152" s="28" t="str">
        <x:f>IF(M152="","OPEN",IF(OR(L152="",NOT(ISNUMBER(I152))),"FAIL",IF(ABS(J152)&lt;=K152,"PASS","FAIL")))</x:f>
        <x:v>OPEN</x:v>
      </x:c>
    </x:row>
    <x:row r="153">
      <x:c r="B153" s="28" t="str">
        <x:v>CR-CAL-PEA-C-Y3-RFP-A1-03</x:v>
      </x:c>
      <x:c r="C153" s="28" t="str">
        <x:v>CAL-PEA-C-Y3-RFP-A1</x:v>
      </x:c>
      <x:c r="D153" s="28" t="str">
        <x:v>PEA-C-Y3</x:v>
      </x:c>
      <x:c r="E153" s="28" t="str">
        <x:v>RFP-A1</x:v>
      </x:c>
      <x:c r="F153" s="28" t="n">
        <x:v>3</x:v>
      </x:c>
      <x:c r="G153" s="28" t="str">
        <x:v>pressure</x:v>
      </x:c>
      <x:c r="H153" s="34" t="n">
        <x:v>1</x:v>
      </x:c>
      <x:c r="I153" s="35" t="str"/>
      <x:c r="J153" s="34" t="str">
        <x:f>IF(OR(NOT(ISNUMBER(H153)),NOT(ISNUMBER(I153))),"",I153-H153)</x:f>
      </x:c>
      <x:c r="K153" s="34" t="n">
        <x:v>0.05</x:v>
      </x:c>
      <x:c r="L153" s="31" t="str"/>
      <x:c r="M153" s="31" t="str"/>
      <x:c r="N153" s="28" t="str">
        <x:f>IF(M153="","OPEN",IF(OR(L153="",NOT(ISNUMBER(I153))),"FAIL",IF(ABS(J153)&lt;=K153,"PASS","FAIL")))</x:f>
        <x:v>OPEN</x:v>
      </x:c>
    </x:row>
    <x:row r="154">
      <x:c r="B154" s="28" t="str">
        <x:v>CR-CAL-PEA-C-Y3-RFP-A1-04</x:v>
      </x:c>
      <x:c r="C154" s="28" t="str">
        <x:v>CAL-PEA-C-Y3-RFP-A1</x:v>
      </x:c>
      <x:c r="D154" s="28" t="str">
        <x:v>PEA-C-Y3</x:v>
      </x:c>
      <x:c r="E154" s="28" t="str">
        <x:v>RFP-A1</x:v>
      </x:c>
      <x:c r="F154" s="28" t="n">
        <x:v>4</x:v>
      </x:c>
      <x:c r="G154" s="28" t="str">
        <x:v>temperature</x:v>
      </x:c>
      <x:c r="H154" s="34" t="n">
        <x:v>1</x:v>
      </x:c>
      <x:c r="I154" s="35" t="str"/>
      <x:c r="J154" s="34" t="str">
        <x:f>IF(OR(NOT(ISNUMBER(H154)),NOT(ISNUMBER(I154))),"",I154-H154)</x:f>
      </x:c>
      <x:c r="K154" s="34" t="n">
        <x:v>0.05</x:v>
      </x:c>
      <x:c r="L154" s="31" t="str"/>
      <x:c r="M154" s="31" t="str"/>
      <x:c r="N154" s="28" t="str">
        <x:f>IF(M154="","OPEN",IF(OR(L154="",NOT(ISNUMBER(I154))),"FAIL",IF(ABS(J154)&lt;=K154,"PASS","FAIL")))</x:f>
        <x:v>OPEN</x:v>
      </x:c>
    </x:row>
    <x:row r="155">
      <x:c r="B155" s="28" t="str">
        <x:v>CR-CAL-PEA-C-Y3-RFP-A1-05</x:v>
      </x:c>
      <x:c r="C155" s="28" t="str">
        <x:v>CAL-PEA-C-Y3-RFP-A1</x:v>
      </x:c>
      <x:c r="D155" s="28" t="str">
        <x:v>PEA-C-Y3</x:v>
      </x:c>
      <x:c r="E155" s="28" t="str">
        <x:v>RFP-A1</x:v>
      </x:c>
      <x:c r="F155" s="28" t="n">
        <x:v>5</x:v>
      </x:c>
      <x:c r="G155" s="28" t="str">
        <x:v>hold-up tomography</x:v>
      </x:c>
      <x:c r="H155" s="34" t="n">
        <x:v>1</x:v>
      </x:c>
      <x:c r="I155" s="35" t="str"/>
      <x:c r="J155" s="34" t="str">
        <x:f>IF(OR(NOT(ISNUMBER(H155)),NOT(ISNUMBER(I155))),"",I155-H155)</x:f>
      </x:c>
      <x:c r="K155" s="34" t="n">
        <x:v>0.05</x:v>
      </x:c>
      <x:c r="L155" s="31" t="str"/>
      <x:c r="M155" s="31" t="str"/>
      <x:c r="N155" s="28" t="str">
        <x:f>IF(M155="","OPEN",IF(OR(L155="",NOT(ISNUMBER(I155))),"FAIL",IF(ABS(J155)&lt;=K155,"PASS","FAIL")))</x:f>
        <x:v>OPEN</x:v>
      </x:c>
    </x:row>
    <x:row r="156">
      <x:c r="B156" s="28" t="str">
        <x:v>CR-CAL-PEA-C-Y3-RFP-A1-06</x:v>
      </x:c>
      <x:c r="C156" s="28" t="str">
        <x:v>CAL-PEA-C-Y3-RFP-A1</x:v>
      </x:c>
      <x:c r="D156" s="28" t="str">
        <x:v>PEA-C-Y3</x:v>
      </x:c>
      <x:c r="E156" s="28" t="str">
        <x:v>RFP-A1</x:v>
      </x:c>
      <x:c r="F156" s="28" t="n">
        <x:v>6</x:v>
      </x:c>
      <x:c r="G156" s="28" t="str">
        <x:v>pan level</x:v>
      </x:c>
      <x:c r="H156" s="34" t="n">
        <x:v>1</x:v>
      </x:c>
      <x:c r="I156" s="35" t="str"/>
      <x:c r="J156" s="34" t="str">
        <x:f>IF(OR(NOT(ISNUMBER(H156)),NOT(ISNUMBER(I156))),"",I156-H156)</x:f>
      </x:c>
      <x:c r="K156" s="34" t="n">
        <x:v>0.05</x:v>
      </x:c>
      <x:c r="L156" s="31" t="str"/>
      <x:c r="M156" s="31" t="str"/>
      <x:c r="N156" s="28" t="str">
        <x:f>IF(M156="","OPEN",IF(OR(L156="",NOT(ISNUMBER(I156))),"FAIL",IF(ABS(J156)&lt;=K156,"PASS","FAIL")))</x:f>
        <x:v>OPEN</x:v>
      </x:c>
    </x:row>
    <x:row r="157">
      <x:c r="B157" s="28" t="str">
        <x:v>CR-CAL-PEA-C-Y3-RFP-A1-07</x:v>
      </x:c>
      <x:c r="C157" s="28" t="str">
        <x:v>CAL-PEA-C-Y3-RFP-A1</x:v>
      </x:c>
      <x:c r="D157" s="28" t="str">
        <x:v>PEA-C-Y3</x:v>
      </x:c>
      <x:c r="E157" s="28" t="str">
        <x:v>RFP-A1</x:v>
      </x:c>
      <x:c r="F157" s="28" t="n">
        <x:v>7</x:v>
      </x:c>
      <x:c r="G157" s="28" t="str">
        <x:v>receiver mass</x:v>
      </x:c>
      <x:c r="H157" s="34" t="n">
        <x:v>1</x:v>
      </x:c>
      <x:c r="I157" s="35" t="str"/>
      <x:c r="J157" s="34" t="str">
        <x:f>IF(OR(NOT(ISNUMBER(H157)),NOT(ISNUMBER(I157))),"",I157-H157)</x:f>
      </x:c>
      <x:c r="K157" s="34" t="n">
        <x:v>0.05</x:v>
      </x:c>
      <x:c r="L157" s="31" t="str"/>
      <x:c r="M157" s="31" t="str"/>
      <x:c r="N157" s="28" t="str">
        <x:f>IF(M157="","OPEN",IF(OR(L157="",NOT(ISNUMBER(I157))),"FAIL",IF(ABS(J157)&lt;=K157,"PASS","FAIL")))</x:f>
        <x:v>OPEN</x:v>
      </x:c>
    </x:row>
    <x:row r="158">
      <x:c r="B158" s="28" t="str">
        <x:v>CR-CAL-PEA-C-Y3-RFP-A1-08</x:v>
      </x:c>
      <x:c r="C158" s="28" t="str">
        <x:v>CAL-PEA-C-Y3-RFP-A1</x:v>
      </x:c>
      <x:c r="D158" s="28" t="str">
        <x:v>PEA-C-Y3</x:v>
      </x:c>
      <x:c r="E158" s="28" t="str">
        <x:v>RFP-A1</x:v>
      </x:c>
      <x:c r="F158" s="28" t="n">
        <x:v>8</x:v>
      </x:c>
      <x:c r="G158" s="28" t="str">
        <x:v>geometry and slope</x:v>
      </x:c>
      <x:c r="H158" s="34" t="n">
        <x:v>1</x:v>
      </x:c>
      <x:c r="I158" s="35" t="str"/>
      <x:c r="J158" s="34" t="str">
        <x:f>IF(OR(NOT(ISNUMBER(H158)),NOT(ISNUMBER(I158))),"",I158-H158)</x:f>
      </x:c>
      <x:c r="K158" s="34" t="n">
        <x:v>0.05</x:v>
      </x:c>
      <x:c r="L158" s="31" t="str"/>
      <x:c r="M158" s="31" t="str"/>
      <x:c r="N158" s="28" t="str">
        <x:f>IF(M158="","OPEN",IF(OR(L158="",NOT(ISNUMBER(I158))),"FAIL",IF(ABS(J158)&lt;=K158,"PASS","FAIL")))</x:f>
        <x:v>OPEN</x:v>
      </x:c>
    </x:row>
    <x:row r="159">
      <x:c r="B159" s="28" t="str">
        <x:v>CR-CAL-PEA-C-Y3-RFP-A1-09</x:v>
      </x:c>
      <x:c r="C159" s="28" t="str">
        <x:v>CAL-PEA-C-Y3-RFP-A1</x:v>
      </x:c>
      <x:c r="D159" s="28" t="str">
        <x:v>PEA-C-Y3</x:v>
      </x:c>
      <x:c r="E159" s="28" t="str">
        <x:v>RFP-A1</x:v>
      </x:c>
      <x:c r="F159" s="28" t="n">
        <x:v>9</x:v>
      </x:c>
      <x:c r="G159" s="28" t="str">
        <x:v>primary state witness</x:v>
      </x:c>
      <x:c r="H159" s="34" t="n">
        <x:v>1</x:v>
      </x:c>
      <x:c r="I159" s="35" t="str"/>
      <x:c r="J159" s="34" t="str">
        <x:f>IF(OR(NOT(ISNUMBER(H159)),NOT(ISNUMBER(I159))),"",I159-H159)</x:f>
      </x:c>
      <x:c r="K159" s="34" t="n">
        <x:v>0.05</x:v>
      </x:c>
      <x:c r="L159" s="31" t="str"/>
      <x:c r="M159" s="31" t="str"/>
      <x:c r="N159" s="28" t="str">
        <x:f>IF(M159="","OPEN",IF(OR(L159="",NOT(ISNUMBER(I159))),"FAIL",IF(ABS(J159)&lt;=K159,"PASS","FAIL")))</x:f>
        <x:v>OPEN</x:v>
      </x:c>
    </x:row>
    <x:row r="160">
      <x:c r="B160" s="28" t="str">
        <x:v>CR-CAL-PEA-C-Y3-RFP-A1-10</x:v>
      </x:c>
      <x:c r="C160" s="28" t="str">
        <x:v>CAL-PEA-C-Y3-RFP-A1</x:v>
      </x:c>
      <x:c r="D160" s="28" t="str">
        <x:v>PEA-C-Y3</x:v>
      </x:c>
      <x:c r="E160" s="28" t="str">
        <x:v>RFP-A1</x:v>
      </x:c>
      <x:c r="F160" s="28" t="n">
        <x:v>10</x:v>
      </x:c>
      <x:c r="G160" s="28" t="str">
        <x:v>diverse state witness</x:v>
      </x:c>
      <x:c r="H160" s="34" t="n">
        <x:v>1</x:v>
      </x:c>
      <x:c r="I160" s="35" t="str"/>
      <x:c r="J160" s="34" t="str">
        <x:f>IF(OR(NOT(ISNUMBER(H160)),NOT(ISNUMBER(I160))),"",I160-H160)</x:f>
      </x:c>
      <x:c r="K160" s="34" t="n">
        <x:v>0.05</x:v>
      </x:c>
      <x:c r="L160" s="31" t="str"/>
      <x:c r="M160" s="31" t="str"/>
      <x:c r="N160" s="28" t="str">
        <x:f>IF(M160="","OPEN",IF(OR(L160="",NOT(ISNUMBER(I160))),"FAIL",IF(ABS(J160)&lt;=K160,"PASS","FAIL")))</x:f>
        <x:v>OPEN</x:v>
      </x:c>
    </x:row>
    <x:row r="161">
      <x:c r="B161" s="28" t="str">
        <x:v>CR-CAL-PEA-C-Y3-RFP-A1-11</x:v>
      </x:c>
      <x:c r="C161" s="28" t="str">
        <x:v>CAL-PEA-C-Y3-RFP-A1</x:v>
      </x:c>
      <x:c r="D161" s="28" t="str">
        <x:v>PEA-C-Y3</x:v>
      </x:c>
      <x:c r="E161" s="28" t="str">
        <x:v>RFP-A1</x:v>
      </x:c>
      <x:c r="F161" s="28" t="n">
        <x:v>11</x:v>
      </x:c>
      <x:c r="G161" s="28" t="str">
        <x:v>manual state witness</x:v>
      </x:c>
      <x:c r="H161" s="34" t="n">
        <x:v>1</x:v>
      </x:c>
      <x:c r="I161" s="35" t="str"/>
      <x:c r="J161" s="34" t="str">
        <x:f>IF(OR(NOT(ISNUMBER(H161)),NOT(ISNUMBER(I161))),"",I161-H161)</x:f>
      </x:c>
      <x:c r="K161" s="34" t="n">
        <x:v>0.05</x:v>
      </x:c>
      <x:c r="L161" s="31" t="str"/>
      <x:c r="M161" s="31" t="str"/>
      <x:c r="N161" s="28" t="str">
        <x:f>IF(M161="","OPEN",IF(OR(L161="",NOT(ISNUMBER(I161))),"FAIL",IF(ABS(J161)&lt;=K161,"PASS","FAIL")))</x:f>
        <x:v>OPEN</x:v>
      </x:c>
    </x:row>
    <x:row r="162">
      <x:c r="B162" s="28" t="str">
        <x:v>CR-CAL-PEA-C-Y3-RFP-A1-12</x:v>
      </x:c>
      <x:c r="C162" s="28" t="str">
        <x:v>CAL-PEA-C-Y3-RFP-A1</x:v>
      </x:c>
      <x:c r="D162" s="28" t="str">
        <x:v>PEA-C-Y3</x:v>
      </x:c>
      <x:c r="E162" s="28" t="str">
        <x:v>RFP-A1</x:v>
      </x:c>
      <x:c r="F162" s="28" t="n">
        <x:v>12</x:v>
      </x:c>
      <x:c r="G162" s="28" t="str">
        <x:v>final-element reference</x:v>
      </x:c>
      <x:c r="H162" s="34" t="n">
        <x:v>1</x:v>
      </x:c>
      <x:c r="I162" s="35" t="str"/>
      <x:c r="J162" s="34" t="str">
        <x:f>IF(OR(NOT(ISNUMBER(H162)),NOT(ISNUMBER(I162))),"",I162-H162)</x:f>
      </x:c>
      <x:c r="K162" s="34" t="n">
        <x:v>0.05</x:v>
      </x:c>
      <x:c r="L162" s="31" t="str"/>
      <x:c r="M162" s="31" t="str"/>
      <x:c r="N162" s="28" t="str">
        <x:f>IF(M162="","OPEN",IF(OR(L162="",NOT(ISNUMBER(I162))),"FAIL",IF(ABS(J162)&lt;=K162,"PASS","FAIL")))</x:f>
        <x:v>OPEN</x:v>
      </x:c>
    </x:row>
    <x:row r="163">
      <x:c r="B163" s="28" t="str">
        <x:v>CR-CAL-PEA-C-Y3-RFP-A1-13</x:v>
      </x:c>
      <x:c r="C163" s="28" t="str">
        <x:v>CAL-PEA-C-Y3-RFP-A1</x:v>
      </x:c>
      <x:c r="D163" s="28" t="str">
        <x:v>PEA-C-Y3</x:v>
      </x:c>
      <x:c r="E163" s="28" t="str">
        <x:v>RFP-A1</x:v>
      </x:c>
      <x:c r="F163" s="28" t="n">
        <x:v>13</x:v>
      </x:c>
      <x:c r="G163" s="28" t="str">
        <x:v>causal time</x:v>
      </x:c>
      <x:c r="H163" s="34" t="n">
        <x:v>1</x:v>
      </x:c>
      <x:c r="I163" s="35" t="str"/>
      <x:c r="J163" s="34" t="str">
        <x:f>IF(OR(NOT(ISNUMBER(H163)),NOT(ISNUMBER(I163))),"",I163-H163)</x:f>
      </x:c>
      <x:c r="K163" s="34" t="n">
        <x:v>0.05</x:v>
      </x:c>
      <x:c r="L163" s="31" t="str"/>
      <x:c r="M163" s="31" t="str"/>
      <x:c r="N163" s="28" t="str">
        <x:f>IF(M163="","OPEN",IF(OR(L163="",NOT(ISNUMBER(I163))),"FAIL",IF(ABS(J163)&lt;=K163,"PASS","FAIL")))</x:f>
        <x:v>OPEN</x:v>
      </x:c>
    </x:row>
    <x:row r="164">
      <x:c r="B164" s="28" t="str">
        <x:v>CR-CAL-PEA-C-Y3-RFP-A1-14</x:v>
      </x:c>
      <x:c r="C164" s="28" t="str">
        <x:v>CAL-PEA-C-Y3-RFP-A1</x:v>
      </x:c>
      <x:c r="D164" s="28" t="str">
        <x:v>PEA-C-Y3</x:v>
      </x:c>
      <x:c r="E164" s="28" t="str">
        <x:v>RFP-A1</x:v>
      </x:c>
      <x:c r="F164" s="28" t="n">
        <x:v>14</x:v>
      </x:c>
      <x:c r="G164" s="28" t="str">
        <x:v>motive energy</x:v>
      </x:c>
      <x:c r="H164" s="34" t="n">
        <x:v>1</x:v>
      </x:c>
      <x:c r="I164" s="35" t="str"/>
      <x:c r="J164" s="34" t="str">
        <x:f>IF(OR(NOT(ISNUMBER(H164)),NOT(ISNUMBER(I164))),"",I164-H164)</x:f>
      </x:c>
      <x:c r="K164" s="34" t="n">
        <x:v>0.05</x:v>
      </x:c>
      <x:c r="L164" s="31" t="str"/>
      <x:c r="M164" s="31" t="str"/>
      <x:c r="N164" s="28" t="str">
        <x:f>IF(M164="","OPEN",IF(OR(L164="",NOT(ISNUMBER(I164))),"FAIL",IF(ABS(J164)&lt;=K164,"PASS","FAIL")))</x:f>
        <x:v>OPEN</x:v>
      </x:c>
    </x:row>
    <x:row r="165">
      <x:c r="B165" s="28" t="str">
        <x:v>CR-CAL-PEA-C-Y3-RFP-A1-15</x:v>
      </x:c>
      <x:c r="C165" s="28" t="str">
        <x:v>CAL-PEA-C-Y3-RFP-A1</x:v>
      </x:c>
      <x:c r="D165" s="28" t="str">
        <x:v>PEA-C-Y3</x:v>
      </x:c>
      <x:c r="E165" s="28" t="str">
        <x:v>RFP-A1</x:v>
      </x:c>
      <x:c r="F165" s="28" t="n">
        <x:v>15</x:v>
      </x:c>
      <x:c r="G165" s="28" t="str">
        <x:v>normal electrical power</x:v>
      </x:c>
      <x:c r="H165" s="34" t="n">
        <x:v>1</x:v>
      </x:c>
      <x:c r="I165" s="35" t="str"/>
      <x:c r="J165" s="34" t="str">
        <x:f>IF(OR(NOT(ISNUMBER(H165)),NOT(ISNUMBER(I165))),"",I165-H165)</x:f>
      </x:c>
      <x:c r="K165" s="34" t="n">
        <x:v>0.05</x:v>
      </x:c>
      <x:c r="L165" s="31" t="str"/>
      <x:c r="M165" s="31" t="str"/>
      <x:c r="N165" s="28" t="str">
        <x:f>IF(M165="","OPEN",IF(OR(L165="",NOT(ISNUMBER(I165))),"FAIL",IF(ABS(J165)&lt;=K165,"PASS","FAIL")))</x:f>
        <x:v>OPEN</x:v>
      </x:c>
    </x:row>
    <x:row r="166">
      <x:c r="B166" s="28" t="str">
        <x:v>CR-CAL-PEA-C-Y3-RFP-A1-16</x:v>
      </x:c>
      <x:c r="C166" s="28" t="str">
        <x:v>CAL-PEA-C-Y3-RFP-A1</x:v>
      </x:c>
      <x:c r="D166" s="28" t="str">
        <x:v>PEA-C-Y3</x:v>
      </x:c>
      <x:c r="E166" s="28" t="str">
        <x:v>RFP-A1</x:v>
      </x:c>
      <x:c r="F166" s="28" t="n">
        <x:v>16</x:v>
      </x:c>
      <x:c r="G166" s="28" t="str">
        <x:v>independent power</x:v>
      </x:c>
      <x:c r="H166" s="34" t="n">
        <x:v>1</x:v>
      </x:c>
      <x:c r="I166" s="35" t="str"/>
      <x:c r="J166" s="34" t="str">
        <x:f>IF(OR(NOT(ISNUMBER(H166)),NOT(ISNUMBER(I166))),"",I166-H166)</x:f>
      </x:c>
      <x:c r="K166" s="34" t="n">
        <x:v>0.05</x:v>
      </x:c>
      <x:c r="L166" s="31" t="str"/>
      <x:c r="M166" s="31" t="str"/>
      <x:c r="N166" s="28" t="str">
        <x:f>IF(M166="","OPEN",IF(OR(L166="",NOT(ISNUMBER(I166))),"FAIL",IF(ABS(J166)&lt;=K166,"PASS","FAIL")))</x:f>
        <x:v>OPEN</x:v>
      </x:c>
    </x:row>
    <x:row r="167">
      <x:c r="B167" s="28" t="str">
        <x:v>CR-CAL-PEA-C-Y3-RFP-A1-17</x:v>
      </x:c>
      <x:c r="C167" s="28" t="str">
        <x:v>CAL-PEA-C-Y3-RFP-A1</x:v>
      </x:c>
      <x:c r="D167" s="28" t="str">
        <x:v>PEA-C-Y3</x:v>
      </x:c>
      <x:c r="E167" s="28" t="str">
        <x:v>RFP-A1</x:v>
      </x:c>
      <x:c r="F167" s="28" t="n">
        <x:v>17</x:v>
      </x:c>
      <x:c r="G167" s="28" t="str">
        <x:v>leak collection</x:v>
      </x:c>
      <x:c r="H167" s="34" t="n">
        <x:v>1</x:v>
      </x:c>
      <x:c r="I167" s="35" t="str"/>
      <x:c r="J167" s="34" t="str">
        <x:f>IF(OR(NOT(ISNUMBER(H167)),NOT(ISNUMBER(I167))),"",I167-H167)</x:f>
      </x:c>
      <x:c r="K167" s="34" t="n">
        <x:v>0.05</x:v>
      </x:c>
      <x:c r="L167" s="31" t="str"/>
      <x:c r="M167" s="31" t="str"/>
      <x:c r="N167" s="28" t="str">
        <x:f>IF(M167="","OPEN",IF(OR(L167="",NOT(ISNUMBER(I167))),"FAIL",IF(ABS(J167)&lt;=K167,"PASS","FAIL")))</x:f>
        <x:v>OPEN</x:v>
      </x:c>
    </x:row>
    <x:row r="168">
      <x:c r="B168" s="28" t="str">
        <x:v>CR-CAL-PEA-C-Y3-RFP-A1-18</x:v>
      </x:c>
      <x:c r="C168" s="28" t="str">
        <x:v>CAL-PEA-C-Y3-RFP-A1</x:v>
      </x:c>
      <x:c r="D168" s="28" t="str">
        <x:v>PEA-C-Y3</x:v>
      </x:c>
      <x:c r="E168" s="28" t="str">
        <x:v>RFP-A1</x:v>
      </x:c>
      <x:c r="F168" s="28" t="n">
        <x:v>18</x:v>
      </x:c>
      <x:c r="G168" s="28" t="str">
        <x:v>occupied area</x:v>
      </x:c>
      <x:c r="H168" s="34" t="n">
        <x:v>1</x:v>
      </x:c>
      <x:c r="I168" s="35" t="str"/>
      <x:c r="J168" s="34" t="str">
        <x:f>IF(OR(NOT(ISNUMBER(H168)),NOT(ISNUMBER(I168))),"",I168-H168)</x:f>
      </x:c>
      <x:c r="K168" s="34" t="n">
        <x:v>0.05</x:v>
      </x:c>
      <x:c r="L168" s="31" t="str"/>
      <x:c r="M168" s="31" t="str"/>
      <x:c r="N168" s="28" t="str">
        <x:f>IF(M168="","OPEN",IF(OR(L168="",NOT(ISNUMBER(I168))),"FAIL",IF(ABS(J168)&lt;=K168,"PASS","FAIL")))</x:f>
        <x:v>OPEN</x:v>
      </x:c>
    </x:row>
    <x:row r="169">
      <x:c r="B169" s="28" t="str">
        <x:v>CR-CAL-PEA-C-Y3-RFP-A1-19</x:v>
      </x:c>
      <x:c r="C169" s="28" t="str">
        <x:v>CAL-PEA-C-Y3-RFP-A1</x:v>
      </x:c>
      <x:c r="D169" s="28" t="str">
        <x:v>PEA-C-Y3</x:v>
      </x:c>
      <x:c r="E169" s="28" t="str">
        <x:v>RFP-A1</x:v>
      </x:c>
      <x:c r="F169" s="28" t="n">
        <x:v>19</x:v>
      </x:c>
      <x:c r="G169" s="28" t="str">
        <x:v>water flow</x:v>
      </x:c>
      <x:c r="H169" s="34" t="n">
        <x:v>1</x:v>
      </x:c>
      <x:c r="I169" s="35" t="str"/>
      <x:c r="J169" s="34" t="str">
        <x:f>IF(OR(NOT(ISNUMBER(H169)),NOT(ISNUMBER(I169))),"",I169-H169)</x:f>
      </x:c>
      <x:c r="K169" s="34" t="n">
        <x:v>0.05</x:v>
      </x:c>
      <x:c r="L169" s="31" t="str"/>
      <x:c r="M169" s="31" t="str"/>
      <x:c r="N169" s="28" t="str">
        <x:f>IF(M169="","OPEN",IF(OR(L169="",NOT(ISNUMBER(I169))),"FAIL",IF(ABS(J169)&lt;=K169,"PASS","FAIL")))</x:f>
        <x:v>OPEN</x:v>
      </x:c>
    </x:row>
    <x:row r="170">
      <x:c r="B170" s="28" t="str">
        <x:v>CR-CAL-PEA-C-Y3-RFP-A1-20</x:v>
      </x:c>
      <x:c r="C170" s="28" t="str">
        <x:v>CAL-PEA-C-Y3-RFP-A1</x:v>
      </x:c>
      <x:c r="D170" s="28" t="str">
        <x:v>PEA-C-Y3</x:v>
      </x:c>
      <x:c r="E170" s="28" t="str">
        <x:v>RFP-A1</x:v>
      </x:c>
      <x:c r="F170" s="28" t="n">
        <x:v>20</x:v>
      </x:c>
      <x:c r="G170" s="28" t="str">
        <x:v>source ancestry root A</x:v>
      </x:c>
      <x:c r="H170" s="34" t="n">
        <x:v>1</x:v>
      </x:c>
      <x:c r="I170" s="35" t="str"/>
      <x:c r="J170" s="34" t="str">
        <x:f>IF(OR(NOT(ISNUMBER(H170)),NOT(ISNUMBER(I170))),"",I170-H170)</x:f>
      </x:c>
      <x:c r="K170" s="34" t="n">
        <x:v>0.05</x:v>
      </x:c>
      <x:c r="L170" s="31" t="str"/>
      <x:c r="M170" s="31" t="str"/>
      <x:c r="N170" s="28" t="str">
        <x:f>IF(M170="","OPEN",IF(OR(L170="",NOT(ISNUMBER(I170))),"FAIL",IF(ABS(J170)&lt;=K170,"PASS","FAIL")))</x:f>
        <x:v>OPEN</x:v>
      </x:c>
    </x:row>
    <x:row r="171">
      <x:c r="B171" s="28" t="str">
        <x:v>CR-CAL-PEA-C-Y3-RFP-A1-21</x:v>
      </x:c>
      <x:c r="C171" s="28" t="str">
        <x:v>CAL-PEA-C-Y3-RFP-A1</x:v>
      </x:c>
      <x:c r="D171" s="28" t="str">
        <x:v>PEA-C-Y3</x:v>
      </x:c>
      <x:c r="E171" s="28" t="str">
        <x:v>RFP-A1</x:v>
      </x:c>
      <x:c r="F171" s="28" t="n">
        <x:v>21</x:v>
      </x:c>
      <x:c r="G171" s="28" t="str">
        <x:v>source ancestry root B</x:v>
      </x:c>
      <x:c r="H171" s="34" t="n">
        <x:v>1</x:v>
      </x:c>
      <x:c r="I171" s="35" t="str"/>
      <x:c r="J171" s="34" t="str">
        <x:f>IF(OR(NOT(ISNUMBER(H171)),NOT(ISNUMBER(I171))),"",I171-H171)</x:f>
      </x:c>
      <x:c r="K171" s="34" t="n">
        <x:v>0.05</x:v>
      </x:c>
      <x:c r="L171" s="31" t="str"/>
      <x:c r="M171" s="31" t="str"/>
      <x:c r="N171" s="28" t="str">
        <x:f>IF(M171="","OPEN",IF(OR(L171="",NOT(ISNUMBER(I171))),"FAIL",IF(ABS(J171)&lt;=K171,"PASS","FAIL")))</x:f>
        <x:v>OPEN</x:v>
      </x:c>
    </x:row>
    <x:row r="172">
      <x:c r="B172" s="28" t="str">
        <x:v>CR-CAL-PEA-C-Y3-RFP-A1-22</x:v>
      </x:c>
      <x:c r="C172" s="28" t="str">
        <x:v>CAL-PEA-C-Y3-RFP-A1</x:v>
      </x:c>
      <x:c r="D172" s="28" t="str">
        <x:v>PEA-C-Y3</x:v>
      </x:c>
      <x:c r="E172" s="28" t="str">
        <x:v>RFP-A1</x:v>
      </x:c>
      <x:c r="F172" s="28" t="n">
        <x:v>22</x:v>
      </x:c>
      <x:c r="G172" s="28" t="str">
        <x:v>environmental release</x:v>
      </x:c>
      <x:c r="H172" s="34" t="n">
        <x:v>1</x:v>
      </x:c>
      <x:c r="I172" s="35" t="str"/>
      <x:c r="J172" s="34" t="str">
        <x:f>IF(OR(NOT(ISNUMBER(H172)),NOT(ISNUMBER(I172))),"",I172-H172)</x:f>
      </x:c>
      <x:c r="K172" s="34" t="n">
        <x:v>0.05</x:v>
      </x:c>
      <x:c r="L172" s="31" t="str"/>
      <x:c r="M172" s="31" t="str"/>
      <x:c r="N172" s="28" t="str">
        <x:f>IF(M172="","OPEN",IF(OR(L172="",NOT(ISNUMBER(I172))),"FAIL",IF(ABS(J172)&lt;=K172,"PASS","FAIL")))</x:f>
        <x:v>OPEN</x:v>
      </x:c>
    </x:row>
    <x:row r="173">
      <x:c r="B173" s="28" t="str">
        <x:v>CR-CAL-PEA-C-Y3-RFP-A1-23</x:v>
      </x:c>
      <x:c r="C173" s="28" t="str">
        <x:v>CAL-PEA-C-Y3-RFP-A1</x:v>
      </x:c>
      <x:c r="D173" s="28" t="str">
        <x:v>PEA-C-Y3</x:v>
      </x:c>
      <x:c r="E173" s="28" t="str">
        <x:v>RFP-A1</x:v>
      </x:c>
      <x:c r="F173" s="28" t="n">
        <x:v>23</x:v>
      </x:c>
      <x:c r="G173" s="28" t="str">
        <x:v>image trigger</x:v>
      </x:c>
      <x:c r="H173" s="34" t="n">
        <x:v>1</x:v>
      </x:c>
      <x:c r="I173" s="35" t="str"/>
      <x:c r="J173" s="34" t="str">
        <x:f>IF(OR(NOT(ISNUMBER(H173)),NOT(ISNUMBER(I173))),"",I173-H173)</x:f>
      </x:c>
      <x:c r="K173" s="34" t="n">
        <x:v>0.05</x:v>
      </x:c>
      <x:c r="L173" s="31" t="str"/>
      <x:c r="M173" s="31" t="str"/>
      <x:c r="N173" s="28" t="str">
        <x:f>IF(M173="","OPEN",IF(OR(L173="",NOT(ISNUMBER(I173))),"FAIL",IF(ABS(J173)&lt;=K173,"PASS","FAIL")))</x:f>
        <x:v>OPEN</x:v>
      </x:c>
    </x:row>
    <x:row r="174">
      <x:c r="B174" s="28" t="str">
        <x:v>CR-CAL-PEA-C-Y3-RFP-A1-24</x:v>
      </x:c>
      <x:c r="C174" s="28" t="str">
        <x:v>CAL-PEA-C-Y3-RFP-A1</x:v>
      </x:c>
      <x:c r="D174" s="28" t="str">
        <x:v>PEA-C-Y3</x:v>
      </x:c>
      <x:c r="E174" s="28" t="str">
        <x:v>RFP-A1</x:v>
      </x:c>
      <x:c r="F174" s="28" t="n">
        <x:v>24</x:v>
      </x:c>
      <x:c r="G174" s="28" t="str">
        <x:v>evidence health</x:v>
      </x:c>
      <x:c r="H174" s="34" t="n">
        <x:v>1</x:v>
      </x:c>
      <x:c r="I174" s="35" t="str"/>
      <x:c r="J174" s="34" t="str">
        <x:f>IF(OR(NOT(ISNUMBER(H174)),NOT(ISNUMBER(I174))),"",I174-H174)</x:f>
      </x:c>
      <x:c r="K174" s="34" t="n">
        <x:v>0.05</x:v>
      </x:c>
      <x:c r="L174" s="31" t="str"/>
      <x:c r="M174" s="31" t="str"/>
      <x:c r="N174" s="28" t="str">
        <x:f>IF(M174="","OPEN",IF(OR(L174="",NOT(ISNUMBER(I174))),"FAIL",IF(ABS(J174)&lt;=K174,"PASS","FAIL")))</x:f>
        <x:v>OPEN</x:v>
      </x:c>
    </x:row>
    <x:row r="175">
      <x:c r="B175" s="28" t="str">
        <x:v>CR-CAL-PEA-A-X3-RFP-B1-01</x:v>
      </x:c>
      <x:c r="C175" s="28" t="str">
        <x:v>CAL-PEA-A-X3-RFP-B1</x:v>
      </x:c>
      <x:c r="D175" s="28" t="str">
        <x:v>PEA-A-X3</x:v>
      </x:c>
      <x:c r="E175" s="28" t="str">
        <x:v>RFP-B1</x:v>
      </x:c>
      <x:c r="F175" s="28" t="n">
        <x:v>1</x:v>
      </x:c>
      <x:c r="G175" s="28" t="str">
        <x:v>vessel mass</x:v>
      </x:c>
      <x:c r="H175" s="34" t="n">
        <x:v>1</x:v>
      </x:c>
      <x:c r="I175" s="35" t="str"/>
      <x:c r="J175" s="34" t="str">
        <x:f>IF(OR(NOT(ISNUMBER(H175)),NOT(ISNUMBER(I175))),"",I175-H175)</x:f>
      </x:c>
      <x:c r="K175" s="34" t="n">
        <x:v>0.05</x:v>
      </x:c>
      <x:c r="L175" s="31" t="str"/>
      <x:c r="M175" s="31" t="str"/>
      <x:c r="N175" s="28" t="str">
        <x:f>IF(M175="","OPEN",IF(OR(L175="",NOT(ISNUMBER(I175))),"FAIL",IF(ABS(J175)&lt;=K175,"PASS","FAIL")))</x:f>
        <x:v>OPEN</x:v>
      </x:c>
    </x:row>
    <x:row r="176">
      <x:c r="B176" s="28" t="str">
        <x:v>CR-CAL-PEA-A-X3-RFP-B1-02</x:v>
      </x:c>
      <x:c r="C176" s="28" t="str">
        <x:v>CAL-PEA-A-X3-RFP-B1</x:v>
      </x:c>
      <x:c r="D176" s="28" t="str">
        <x:v>PEA-A-X3</x:v>
      </x:c>
      <x:c r="E176" s="28" t="str">
        <x:v>RFP-B1</x:v>
      </x:c>
      <x:c r="F176" s="28" t="n">
        <x:v>2</x:v>
      </x:c>
      <x:c r="G176" s="28" t="str">
        <x:v>integrated transfer mass</x:v>
      </x:c>
      <x:c r="H176" s="34" t="n">
        <x:v>1</x:v>
      </x:c>
      <x:c r="I176" s="35" t="str"/>
      <x:c r="J176" s="34" t="str">
        <x:f>IF(OR(NOT(ISNUMBER(H176)),NOT(ISNUMBER(I176))),"",I176-H176)</x:f>
      </x:c>
      <x:c r="K176" s="34" t="n">
        <x:v>0.05</x:v>
      </x:c>
      <x:c r="L176" s="31" t="str"/>
      <x:c r="M176" s="31" t="str"/>
      <x:c r="N176" s="28" t="str">
        <x:f>IF(M176="","OPEN",IF(OR(L176="",NOT(ISNUMBER(I176))),"FAIL",IF(ABS(J176)&lt;=K176,"PASS","FAIL")))</x:f>
        <x:v>OPEN</x:v>
      </x:c>
    </x:row>
    <x:row r="177">
      <x:c r="B177" s="28" t="str">
        <x:v>CR-CAL-PEA-A-X3-RFP-B1-03</x:v>
      </x:c>
      <x:c r="C177" s="28" t="str">
        <x:v>CAL-PEA-A-X3-RFP-B1</x:v>
      </x:c>
      <x:c r="D177" s="28" t="str">
        <x:v>PEA-A-X3</x:v>
      </x:c>
      <x:c r="E177" s="28" t="str">
        <x:v>RFP-B1</x:v>
      </x:c>
      <x:c r="F177" s="28" t="n">
        <x:v>3</x:v>
      </x:c>
      <x:c r="G177" s="28" t="str">
        <x:v>pressure</x:v>
      </x:c>
      <x:c r="H177" s="34" t="n">
        <x:v>1</x:v>
      </x:c>
      <x:c r="I177" s="35" t="str"/>
      <x:c r="J177" s="34" t="str">
        <x:f>IF(OR(NOT(ISNUMBER(H177)),NOT(ISNUMBER(I177))),"",I177-H177)</x:f>
      </x:c>
      <x:c r="K177" s="34" t="n">
        <x:v>0.05</x:v>
      </x:c>
      <x:c r="L177" s="31" t="str"/>
      <x:c r="M177" s="31" t="str"/>
      <x:c r="N177" s="28" t="str">
        <x:f>IF(M177="","OPEN",IF(OR(L177="",NOT(ISNUMBER(I177))),"FAIL",IF(ABS(J177)&lt;=K177,"PASS","FAIL")))</x:f>
        <x:v>OPEN</x:v>
      </x:c>
    </x:row>
    <x:row r="178">
      <x:c r="B178" s="28" t="str">
        <x:v>CR-CAL-PEA-A-X3-RFP-B1-04</x:v>
      </x:c>
      <x:c r="C178" s="28" t="str">
        <x:v>CAL-PEA-A-X3-RFP-B1</x:v>
      </x:c>
      <x:c r="D178" s="28" t="str">
        <x:v>PEA-A-X3</x:v>
      </x:c>
      <x:c r="E178" s="28" t="str">
        <x:v>RFP-B1</x:v>
      </x:c>
      <x:c r="F178" s="28" t="n">
        <x:v>4</x:v>
      </x:c>
      <x:c r="G178" s="28" t="str">
        <x:v>temperature</x:v>
      </x:c>
      <x:c r="H178" s="34" t="n">
        <x:v>1</x:v>
      </x:c>
      <x:c r="I178" s="35" t="str"/>
      <x:c r="J178" s="34" t="str">
        <x:f>IF(OR(NOT(ISNUMBER(H178)),NOT(ISNUMBER(I178))),"",I178-H178)</x:f>
      </x:c>
      <x:c r="K178" s="34" t="n">
        <x:v>0.05</x:v>
      </x:c>
      <x:c r="L178" s="31" t="str"/>
      <x:c r="M178" s="31" t="str"/>
      <x:c r="N178" s="28" t="str">
        <x:f>IF(M178="","OPEN",IF(OR(L178="",NOT(ISNUMBER(I178))),"FAIL",IF(ABS(J178)&lt;=K178,"PASS","FAIL")))</x:f>
        <x:v>OPEN</x:v>
      </x:c>
    </x:row>
    <x:row r="179">
      <x:c r="B179" s="28" t="str">
        <x:v>CR-CAL-PEA-A-X3-RFP-B1-05</x:v>
      </x:c>
      <x:c r="C179" s="28" t="str">
        <x:v>CAL-PEA-A-X3-RFP-B1</x:v>
      </x:c>
      <x:c r="D179" s="28" t="str">
        <x:v>PEA-A-X3</x:v>
      </x:c>
      <x:c r="E179" s="28" t="str">
        <x:v>RFP-B1</x:v>
      </x:c>
      <x:c r="F179" s="28" t="n">
        <x:v>5</x:v>
      </x:c>
      <x:c r="G179" s="28" t="str">
        <x:v>hold-up tomography</x:v>
      </x:c>
      <x:c r="H179" s="34" t="n">
        <x:v>1</x:v>
      </x:c>
      <x:c r="I179" s="35" t="str"/>
      <x:c r="J179" s="34" t="str">
        <x:f>IF(OR(NOT(ISNUMBER(H179)),NOT(ISNUMBER(I179))),"",I179-H179)</x:f>
      </x:c>
      <x:c r="K179" s="34" t="n">
        <x:v>0.05</x:v>
      </x:c>
      <x:c r="L179" s="31" t="str"/>
      <x:c r="M179" s="31" t="str"/>
      <x:c r="N179" s="28" t="str">
        <x:f>IF(M179="","OPEN",IF(OR(L179="",NOT(ISNUMBER(I179))),"FAIL",IF(ABS(J179)&lt;=K179,"PASS","FAIL")))</x:f>
        <x:v>OPEN</x:v>
      </x:c>
    </x:row>
    <x:row r="180">
      <x:c r="B180" s="28" t="str">
        <x:v>CR-CAL-PEA-A-X3-RFP-B1-06</x:v>
      </x:c>
      <x:c r="C180" s="28" t="str">
        <x:v>CAL-PEA-A-X3-RFP-B1</x:v>
      </x:c>
      <x:c r="D180" s="28" t="str">
        <x:v>PEA-A-X3</x:v>
      </x:c>
      <x:c r="E180" s="28" t="str">
        <x:v>RFP-B1</x:v>
      </x:c>
      <x:c r="F180" s="28" t="n">
        <x:v>6</x:v>
      </x:c>
      <x:c r="G180" s="28" t="str">
        <x:v>pan level</x:v>
      </x:c>
      <x:c r="H180" s="34" t="n">
        <x:v>1</x:v>
      </x:c>
      <x:c r="I180" s="35" t="str"/>
      <x:c r="J180" s="34" t="str">
        <x:f>IF(OR(NOT(ISNUMBER(H180)),NOT(ISNUMBER(I180))),"",I180-H180)</x:f>
      </x:c>
      <x:c r="K180" s="34" t="n">
        <x:v>0.05</x:v>
      </x:c>
      <x:c r="L180" s="31" t="str"/>
      <x:c r="M180" s="31" t="str"/>
      <x:c r="N180" s="28" t="str">
        <x:f>IF(M180="","OPEN",IF(OR(L180="",NOT(ISNUMBER(I180))),"FAIL",IF(ABS(J180)&lt;=K180,"PASS","FAIL")))</x:f>
        <x:v>OPEN</x:v>
      </x:c>
    </x:row>
    <x:row r="181">
      <x:c r="B181" s="28" t="str">
        <x:v>CR-CAL-PEA-A-X3-RFP-B1-07</x:v>
      </x:c>
      <x:c r="C181" s="28" t="str">
        <x:v>CAL-PEA-A-X3-RFP-B1</x:v>
      </x:c>
      <x:c r="D181" s="28" t="str">
        <x:v>PEA-A-X3</x:v>
      </x:c>
      <x:c r="E181" s="28" t="str">
        <x:v>RFP-B1</x:v>
      </x:c>
      <x:c r="F181" s="28" t="n">
        <x:v>7</x:v>
      </x:c>
      <x:c r="G181" s="28" t="str">
        <x:v>receiver mass</x:v>
      </x:c>
      <x:c r="H181" s="34" t="n">
        <x:v>1</x:v>
      </x:c>
      <x:c r="I181" s="35" t="str"/>
      <x:c r="J181" s="34" t="str">
        <x:f>IF(OR(NOT(ISNUMBER(H181)),NOT(ISNUMBER(I181))),"",I181-H181)</x:f>
      </x:c>
      <x:c r="K181" s="34" t="n">
        <x:v>0.05</x:v>
      </x:c>
      <x:c r="L181" s="31" t="str"/>
      <x:c r="M181" s="31" t="str"/>
      <x:c r="N181" s="28" t="str">
        <x:f>IF(M181="","OPEN",IF(OR(L181="",NOT(ISNUMBER(I181))),"FAIL",IF(ABS(J181)&lt;=K181,"PASS","FAIL")))</x:f>
        <x:v>OPEN</x:v>
      </x:c>
    </x:row>
    <x:row r="182">
      <x:c r="B182" s="28" t="str">
        <x:v>CR-CAL-PEA-A-X3-RFP-B1-08</x:v>
      </x:c>
      <x:c r="C182" s="28" t="str">
        <x:v>CAL-PEA-A-X3-RFP-B1</x:v>
      </x:c>
      <x:c r="D182" s="28" t="str">
        <x:v>PEA-A-X3</x:v>
      </x:c>
      <x:c r="E182" s="28" t="str">
        <x:v>RFP-B1</x:v>
      </x:c>
      <x:c r="F182" s="28" t="n">
        <x:v>8</x:v>
      </x:c>
      <x:c r="G182" s="28" t="str">
        <x:v>geometry and slope</x:v>
      </x:c>
      <x:c r="H182" s="34" t="n">
        <x:v>1</x:v>
      </x:c>
      <x:c r="I182" s="35" t="str"/>
      <x:c r="J182" s="34" t="str">
        <x:f>IF(OR(NOT(ISNUMBER(H182)),NOT(ISNUMBER(I182))),"",I182-H182)</x:f>
      </x:c>
      <x:c r="K182" s="34" t="n">
        <x:v>0.05</x:v>
      </x:c>
      <x:c r="L182" s="31" t="str"/>
      <x:c r="M182" s="31" t="str"/>
      <x:c r="N182" s="28" t="str">
        <x:f>IF(M182="","OPEN",IF(OR(L182="",NOT(ISNUMBER(I182))),"FAIL",IF(ABS(J182)&lt;=K182,"PASS","FAIL")))</x:f>
        <x:v>OPEN</x:v>
      </x:c>
    </x:row>
    <x:row r="183">
      <x:c r="B183" s="28" t="str">
        <x:v>CR-CAL-PEA-A-X3-RFP-B1-09</x:v>
      </x:c>
      <x:c r="C183" s="28" t="str">
        <x:v>CAL-PEA-A-X3-RFP-B1</x:v>
      </x:c>
      <x:c r="D183" s="28" t="str">
        <x:v>PEA-A-X3</x:v>
      </x:c>
      <x:c r="E183" s="28" t="str">
        <x:v>RFP-B1</x:v>
      </x:c>
      <x:c r="F183" s="28" t="n">
        <x:v>9</x:v>
      </x:c>
      <x:c r="G183" s="28" t="str">
        <x:v>primary state witness</x:v>
      </x:c>
      <x:c r="H183" s="34" t="n">
        <x:v>1</x:v>
      </x:c>
      <x:c r="I183" s="35" t="str"/>
      <x:c r="J183" s="34" t="str">
        <x:f>IF(OR(NOT(ISNUMBER(H183)),NOT(ISNUMBER(I183))),"",I183-H183)</x:f>
      </x:c>
      <x:c r="K183" s="34" t="n">
        <x:v>0.05</x:v>
      </x:c>
      <x:c r="L183" s="31" t="str"/>
      <x:c r="M183" s="31" t="str"/>
      <x:c r="N183" s="28" t="str">
        <x:f>IF(M183="","OPEN",IF(OR(L183="",NOT(ISNUMBER(I183))),"FAIL",IF(ABS(J183)&lt;=K183,"PASS","FAIL")))</x:f>
        <x:v>OPEN</x:v>
      </x:c>
    </x:row>
    <x:row r="184">
      <x:c r="B184" s="28" t="str">
        <x:v>CR-CAL-PEA-A-X3-RFP-B1-10</x:v>
      </x:c>
      <x:c r="C184" s="28" t="str">
        <x:v>CAL-PEA-A-X3-RFP-B1</x:v>
      </x:c>
      <x:c r="D184" s="28" t="str">
        <x:v>PEA-A-X3</x:v>
      </x:c>
      <x:c r="E184" s="28" t="str">
        <x:v>RFP-B1</x:v>
      </x:c>
      <x:c r="F184" s="28" t="n">
        <x:v>10</x:v>
      </x:c>
      <x:c r="G184" s="28" t="str">
        <x:v>diverse state witness</x:v>
      </x:c>
      <x:c r="H184" s="34" t="n">
        <x:v>1</x:v>
      </x:c>
      <x:c r="I184" s="35" t="str"/>
      <x:c r="J184" s="34" t="str">
        <x:f>IF(OR(NOT(ISNUMBER(H184)),NOT(ISNUMBER(I184))),"",I184-H184)</x:f>
      </x:c>
      <x:c r="K184" s="34" t="n">
        <x:v>0.05</x:v>
      </x:c>
      <x:c r="L184" s="31" t="str"/>
      <x:c r="M184" s="31" t="str"/>
      <x:c r="N184" s="28" t="str">
        <x:f>IF(M184="","OPEN",IF(OR(L184="",NOT(ISNUMBER(I184))),"FAIL",IF(ABS(J184)&lt;=K184,"PASS","FAIL")))</x:f>
        <x:v>OPEN</x:v>
      </x:c>
    </x:row>
    <x:row r="185">
      <x:c r="B185" s="28" t="str">
        <x:v>CR-CAL-PEA-A-X3-RFP-B1-11</x:v>
      </x:c>
      <x:c r="C185" s="28" t="str">
        <x:v>CAL-PEA-A-X3-RFP-B1</x:v>
      </x:c>
      <x:c r="D185" s="28" t="str">
        <x:v>PEA-A-X3</x:v>
      </x:c>
      <x:c r="E185" s="28" t="str">
        <x:v>RFP-B1</x:v>
      </x:c>
      <x:c r="F185" s="28" t="n">
        <x:v>11</x:v>
      </x:c>
      <x:c r="G185" s="28" t="str">
        <x:v>manual state witness</x:v>
      </x:c>
      <x:c r="H185" s="34" t="n">
        <x:v>1</x:v>
      </x:c>
      <x:c r="I185" s="35" t="str"/>
      <x:c r="J185" s="34" t="str">
        <x:f>IF(OR(NOT(ISNUMBER(H185)),NOT(ISNUMBER(I185))),"",I185-H185)</x:f>
      </x:c>
      <x:c r="K185" s="34" t="n">
        <x:v>0.05</x:v>
      </x:c>
      <x:c r="L185" s="31" t="str"/>
      <x:c r="M185" s="31" t="str"/>
      <x:c r="N185" s="28" t="str">
        <x:f>IF(M185="","OPEN",IF(OR(L185="",NOT(ISNUMBER(I185))),"FAIL",IF(ABS(J185)&lt;=K185,"PASS","FAIL")))</x:f>
        <x:v>OPEN</x:v>
      </x:c>
    </x:row>
    <x:row r="186">
      <x:c r="B186" s="28" t="str">
        <x:v>CR-CAL-PEA-A-X3-RFP-B1-12</x:v>
      </x:c>
      <x:c r="C186" s="28" t="str">
        <x:v>CAL-PEA-A-X3-RFP-B1</x:v>
      </x:c>
      <x:c r="D186" s="28" t="str">
        <x:v>PEA-A-X3</x:v>
      </x:c>
      <x:c r="E186" s="28" t="str">
        <x:v>RFP-B1</x:v>
      </x:c>
      <x:c r="F186" s="28" t="n">
        <x:v>12</x:v>
      </x:c>
      <x:c r="G186" s="28" t="str">
        <x:v>final-element reference</x:v>
      </x:c>
      <x:c r="H186" s="34" t="n">
        <x:v>1</x:v>
      </x:c>
      <x:c r="I186" s="35" t="str"/>
      <x:c r="J186" s="34" t="str">
        <x:f>IF(OR(NOT(ISNUMBER(H186)),NOT(ISNUMBER(I186))),"",I186-H186)</x:f>
      </x:c>
      <x:c r="K186" s="34" t="n">
        <x:v>0.05</x:v>
      </x:c>
      <x:c r="L186" s="31" t="str"/>
      <x:c r="M186" s="31" t="str"/>
      <x:c r="N186" s="28" t="str">
        <x:f>IF(M186="","OPEN",IF(OR(L186="",NOT(ISNUMBER(I186))),"FAIL",IF(ABS(J186)&lt;=K186,"PASS","FAIL")))</x:f>
        <x:v>OPEN</x:v>
      </x:c>
    </x:row>
    <x:row r="187">
      <x:c r="B187" s="28" t="str">
        <x:v>CR-CAL-PEA-A-X3-RFP-B1-13</x:v>
      </x:c>
      <x:c r="C187" s="28" t="str">
        <x:v>CAL-PEA-A-X3-RFP-B1</x:v>
      </x:c>
      <x:c r="D187" s="28" t="str">
        <x:v>PEA-A-X3</x:v>
      </x:c>
      <x:c r="E187" s="28" t="str">
        <x:v>RFP-B1</x:v>
      </x:c>
      <x:c r="F187" s="28" t="n">
        <x:v>13</x:v>
      </x:c>
      <x:c r="G187" s="28" t="str">
        <x:v>causal time</x:v>
      </x:c>
      <x:c r="H187" s="34" t="n">
        <x:v>1</x:v>
      </x:c>
      <x:c r="I187" s="35" t="str"/>
      <x:c r="J187" s="34" t="str">
        <x:f>IF(OR(NOT(ISNUMBER(H187)),NOT(ISNUMBER(I187))),"",I187-H187)</x:f>
      </x:c>
      <x:c r="K187" s="34" t="n">
        <x:v>0.05</x:v>
      </x:c>
      <x:c r="L187" s="31" t="str"/>
      <x:c r="M187" s="31" t="str"/>
      <x:c r="N187" s="28" t="str">
        <x:f>IF(M187="","OPEN",IF(OR(L187="",NOT(ISNUMBER(I187))),"FAIL",IF(ABS(J187)&lt;=K187,"PASS","FAIL")))</x:f>
        <x:v>OPEN</x:v>
      </x:c>
    </x:row>
    <x:row r="188">
      <x:c r="B188" s="28" t="str">
        <x:v>CR-CAL-PEA-A-X3-RFP-B1-14</x:v>
      </x:c>
      <x:c r="C188" s="28" t="str">
        <x:v>CAL-PEA-A-X3-RFP-B1</x:v>
      </x:c>
      <x:c r="D188" s="28" t="str">
        <x:v>PEA-A-X3</x:v>
      </x:c>
      <x:c r="E188" s="28" t="str">
        <x:v>RFP-B1</x:v>
      </x:c>
      <x:c r="F188" s="28" t="n">
        <x:v>14</x:v>
      </x:c>
      <x:c r="G188" s="28" t="str">
        <x:v>motive energy</x:v>
      </x:c>
      <x:c r="H188" s="34" t="n">
        <x:v>1</x:v>
      </x:c>
      <x:c r="I188" s="35" t="str"/>
      <x:c r="J188" s="34" t="str">
        <x:f>IF(OR(NOT(ISNUMBER(H188)),NOT(ISNUMBER(I188))),"",I188-H188)</x:f>
      </x:c>
      <x:c r="K188" s="34" t="n">
        <x:v>0.05</x:v>
      </x:c>
      <x:c r="L188" s="31" t="str"/>
      <x:c r="M188" s="31" t="str"/>
      <x:c r="N188" s="28" t="str">
        <x:f>IF(M188="","OPEN",IF(OR(L188="",NOT(ISNUMBER(I188))),"FAIL",IF(ABS(J188)&lt;=K188,"PASS","FAIL")))</x:f>
        <x:v>OPEN</x:v>
      </x:c>
    </x:row>
    <x:row r="189">
      <x:c r="B189" s="28" t="str">
        <x:v>CR-CAL-PEA-A-X3-RFP-B1-15</x:v>
      </x:c>
      <x:c r="C189" s="28" t="str">
        <x:v>CAL-PEA-A-X3-RFP-B1</x:v>
      </x:c>
      <x:c r="D189" s="28" t="str">
        <x:v>PEA-A-X3</x:v>
      </x:c>
      <x:c r="E189" s="28" t="str">
        <x:v>RFP-B1</x:v>
      </x:c>
      <x:c r="F189" s="28" t="n">
        <x:v>15</x:v>
      </x:c>
      <x:c r="G189" s="28" t="str">
        <x:v>normal electrical power</x:v>
      </x:c>
      <x:c r="H189" s="34" t="n">
        <x:v>1</x:v>
      </x:c>
      <x:c r="I189" s="35" t="str"/>
      <x:c r="J189" s="34" t="str">
        <x:f>IF(OR(NOT(ISNUMBER(H189)),NOT(ISNUMBER(I189))),"",I189-H189)</x:f>
      </x:c>
      <x:c r="K189" s="34" t="n">
        <x:v>0.05</x:v>
      </x:c>
      <x:c r="L189" s="31" t="str"/>
      <x:c r="M189" s="31" t="str"/>
      <x:c r="N189" s="28" t="str">
        <x:f>IF(M189="","OPEN",IF(OR(L189="",NOT(ISNUMBER(I189))),"FAIL",IF(ABS(J189)&lt;=K189,"PASS","FAIL")))</x:f>
        <x:v>OPEN</x:v>
      </x:c>
    </x:row>
    <x:row r="190">
      <x:c r="B190" s="28" t="str">
        <x:v>CR-CAL-PEA-A-X3-RFP-B1-16</x:v>
      </x:c>
      <x:c r="C190" s="28" t="str">
        <x:v>CAL-PEA-A-X3-RFP-B1</x:v>
      </x:c>
      <x:c r="D190" s="28" t="str">
        <x:v>PEA-A-X3</x:v>
      </x:c>
      <x:c r="E190" s="28" t="str">
        <x:v>RFP-B1</x:v>
      </x:c>
      <x:c r="F190" s="28" t="n">
        <x:v>16</x:v>
      </x:c>
      <x:c r="G190" s="28" t="str">
        <x:v>independent power</x:v>
      </x:c>
      <x:c r="H190" s="34" t="n">
        <x:v>1</x:v>
      </x:c>
      <x:c r="I190" s="35" t="str"/>
      <x:c r="J190" s="34" t="str">
        <x:f>IF(OR(NOT(ISNUMBER(H190)),NOT(ISNUMBER(I190))),"",I190-H190)</x:f>
      </x:c>
      <x:c r="K190" s="34" t="n">
        <x:v>0.05</x:v>
      </x:c>
      <x:c r="L190" s="31" t="str"/>
      <x:c r="M190" s="31" t="str"/>
      <x:c r="N190" s="28" t="str">
        <x:f>IF(M190="","OPEN",IF(OR(L190="",NOT(ISNUMBER(I190))),"FAIL",IF(ABS(J190)&lt;=K190,"PASS","FAIL")))</x:f>
        <x:v>OPEN</x:v>
      </x:c>
    </x:row>
    <x:row r="191">
      <x:c r="B191" s="28" t="str">
        <x:v>CR-CAL-PEA-A-X3-RFP-B1-17</x:v>
      </x:c>
      <x:c r="C191" s="28" t="str">
        <x:v>CAL-PEA-A-X3-RFP-B1</x:v>
      </x:c>
      <x:c r="D191" s="28" t="str">
        <x:v>PEA-A-X3</x:v>
      </x:c>
      <x:c r="E191" s="28" t="str">
        <x:v>RFP-B1</x:v>
      </x:c>
      <x:c r="F191" s="28" t="n">
        <x:v>17</x:v>
      </x:c>
      <x:c r="G191" s="28" t="str">
        <x:v>leak collection</x:v>
      </x:c>
      <x:c r="H191" s="34" t="n">
        <x:v>1</x:v>
      </x:c>
      <x:c r="I191" s="35" t="str"/>
      <x:c r="J191" s="34" t="str">
        <x:f>IF(OR(NOT(ISNUMBER(H191)),NOT(ISNUMBER(I191))),"",I191-H191)</x:f>
      </x:c>
      <x:c r="K191" s="34" t="n">
        <x:v>0.05</x:v>
      </x:c>
      <x:c r="L191" s="31" t="str"/>
      <x:c r="M191" s="31" t="str"/>
      <x:c r="N191" s="28" t="str">
        <x:f>IF(M191="","OPEN",IF(OR(L191="",NOT(ISNUMBER(I191))),"FAIL",IF(ABS(J191)&lt;=K191,"PASS","FAIL")))</x:f>
        <x:v>OPEN</x:v>
      </x:c>
    </x:row>
    <x:row r="192">
      <x:c r="B192" s="28" t="str">
        <x:v>CR-CAL-PEA-A-X3-RFP-B1-18</x:v>
      </x:c>
      <x:c r="C192" s="28" t="str">
        <x:v>CAL-PEA-A-X3-RFP-B1</x:v>
      </x:c>
      <x:c r="D192" s="28" t="str">
        <x:v>PEA-A-X3</x:v>
      </x:c>
      <x:c r="E192" s="28" t="str">
        <x:v>RFP-B1</x:v>
      </x:c>
      <x:c r="F192" s="28" t="n">
        <x:v>18</x:v>
      </x:c>
      <x:c r="G192" s="28" t="str">
        <x:v>occupied area</x:v>
      </x:c>
      <x:c r="H192" s="34" t="n">
        <x:v>1</x:v>
      </x:c>
      <x:c r="I192" s="35" t="str"/>
      <x:c r="J192" s="34" t="str">
        <x:f>IF(OR(NOT(ISNUMBER(H192)),NOT(ISNUMBER(I192))),"",I192-H192)</x:f>
      </x:c>
      <x:c r="K192" s="34" t="n">
        <x:v>0.05</x:v>
      </x:c>
      <x:c r="L192" s="31" t="str"/>
      <x:c r="M192" s="31" t="str"/>
      <x:c r="N192" s="28" t="str">
        <x:f>IF(M192="","OPEN",IF(OR(L192="",NOT(ISNUMBER(I192))),"FAIL",IF(ABS(J192)&lt;=K192,"PASS","FAIL")))</x:f>
        <x:v>OPEN</x:v>
      </x:c>
    </x:row>
    <x:row r="193">
      <x:c r="B193" s="28" t="str">
        <x:v>CR-CAL-PEA-A-X3-RFP-B1-19</x:v>
      </x:c>
      <x:c r="C193" s="28" t="str">
        <x:v>CAL-PEA-A-X3-RFP-B1</x:v>
      </x:c>
      <x:c r="D193" s="28" t="str">
        <x:v>PEA-A-X3</x:v>
      </x:c>
      <x:c r="E193" s="28" t="str">
        <x:v>RFP-B1</x:v>
      </x:c>
      <x:c r="F193" s="28" t="n">
        <x:v>19</x:v>
      </x:c>
      <x:c r="G193" s="28" t="str">
        <x:v>water flow</x:v>
      </x:c>
      <x:c r="H193" s="34" t="n">
        <x:v>1</x:v>
      </x:c>
      <x:c r="I193" s="35" t="str"/>
      <x:c r="J193" s="34" t="str">
        <x:f>IF(OR(NOT(ISNUMBER(H193)),NOT(ISNUMBER(I193))),"",I193-H193)</x:f>
      </x:c>
      <x:c r="K193" s="34" t="n">
        <x:v>0.05</x:v>
      </x:c>
      <x:c r="L193" s="31" t="str"/>
      <x:c r="M193" s="31" t="str"/>
      <x:c r="N193" s="28" t="str">
        <x:f>IF(M193="","OPEN",IF(OR(L193="",NOT(ISNUMBER(I193))),"FAIL",IF(ABS(J193)&lt;=K193,"PASS","FAIL")))</x:f>
        <x:v>OPEN</x:v>
      </x:c>
    </x:row>
    <x:row r="194">
      <x:c r="B194" s="28" t="str">
        <x:v>CR-CAL-PEA-A-X3-RFP-B1-20</x:v>
      </x:c>
      <x:c r="C194" s="28" t="str">
        <x:v>CAL-PEA-A-X3-RFP-B1</x:v>
      </x:c>
      <x:c r="D194" s="28" t="str">
        <x:v>PEA-A-X3</x:v>
      </x:c>
      <x:c r="E194" s="28" t="str">
        <x:v>RFP-B1</x:v>
      </x:c>
      <x:c r="F194" s="28" t="n">
        <x:v>20</x:v>
      </x:c>
      <x:c r="G194" s="28" t="str">
        <x:v>source ancestry root A</x:v>
      </x:c>
      <x:c r="H194" s="34" t="n">
        <x:v>1</x:v>
      </x:c>
      <x:c r="I194" s="35" t="str"/>
      <x:c r="J194" s="34" t="str">
        <x:f>IF(OR(NOT(ISNUMBER(H194)),NOT(ISNUMBER(I194))),"",I194-H194)</x:f>
      </x:c>
      <x:c r="K194" s="34" t="n">
        <x:v>0.05</x:v>
      </x:c>
      <x:c r="L194" s="31" t="str"/>
      <x:c r="M194" s="31" t="str"/>
      <x:c r="N194" s="28" t="str">
        <x:f>IF(M194="","OPEN",IF(OR(L194="",NOT(ISNUMBER(I194))),"FAIL",IF(ABS(J194)&lt;=K194,"PASS","FAIL")))</x:f>
        <x:v>OPEN</x:v>
      </x:c>
    </x:row>
    <x:row r="195">
      <x:c r="B195" s="28" t="str">
        <x:v>CR-CAL-PEA-A-X3-RFP-B1-21</x:v>
      </x:c>
      <x:c r="C195" s="28" t="str">
        <x:v>CAL-PEA-A-X3-RFP-B1</x:v>
      </x:c>
      <x:c r="D195" s="28" t="str">
        <x:v>PEA-A-X3</x:v>
      </x:c>
      <x:c r="E195" s="28" t="str">
        <x:v>RFP-B1</x:v>
      </x:c>
      <x:c r="F195" s="28" t="n">
        <x:v>21</x:v>
      </x:c>
      <x:c r="G195" s="28" t="str">
        <x:v>source ancestry root B</x:v>
      </x:c>
      <x:c r="H195" s="34" t="n">
        <x:v>1</x:v>
      </x:c>
      <x:c r="I195" s="35" t="str"/>
      <x:c r="J195" s="34" t="str">
        <x:f>IF(OR(NOT(ISNUMBER(H195)),NOT(ISNUMBER(I195))),"",I195-H195)</x:f>
      </x:c>
      <x:c r="K195" s="34" t="n">
        <x:v>0.05</x:v>
      </x:c>
      <x:c r="L195" s="31" t="str"/>
      <x:c r="M195" s="31" t="str"/>
      <x:c r="N195" s="28" t="str">
        <x:f>IF(M195="","OPEN",IF(OR(L195="",NOT(ISNUMBER(I195))),"FAIL",IF(ABS(J195)&lt;=K195,"PASS","FAIL")))</x:f>
        <x:v>OPEN</x:v>
      </x:c>
    </x:row>
    <x:row r="196">
      <x:c r="B196" s="28" t="str">
        <x:v>CR-CAL-PEA-A-X3-RFP-B1-22</x:v>
      </x:c>
      <x:c r="C196" s="28" t="str">
        <x:v>CAL-PEA-A-X3-RFP-B1</x:v>
      </x:c>
      <x:c r="D196" s="28" t="str">
        <x:v>PEA-A-X3</x:v>
      </x:c>
      <x:c r="E196" s="28" t="str">
        <x:v>RFP-B1</x:v>
      </x:c>
      <x:c r="F196" s="28" t="n">
        <x:v>22</x:v>
      </x:c>
      <x:c r="G196" s="28" t="str">
        <x:v>environmental release</x:v>
      </x:c>
      <x:c r="H196" s="34" t="n">
        <x:v>1</x:v>
      </x:c>
      <x:c r="I196" s="35" t="str"/>
      <x:c r="J196" s="34" t="str">
        <x:f>IF(OR(NOT(ISNUMBER(H196)),NOT(ISNUMBER(I196))),"",I196-H196)</x:f>
      </x:c>
      <x:c r="K196" s="34" t="n">
        <x:v>0.05</x:v>
      </x:c>
      <x:c r="L196" s="31" t="str"/>
      <x:c r="M196" s="31" t="str"/>
      <x:c r="N196" s="28" t="str">
        <x:f>IF(M196="","OPEN",IF(OR(L196="",NOT(ISNUMBER(I196))),"FAIL",IF(ABS(J196)&lt;=K196,"PASS","FAIL")))</x:f>
        <x:v>OPEN</x:v>
      </x:c>
    </x:row>
    <x:row r="197">
      <x:c r="B197" s="28" t="str">
        <x:v>CR-CAL-PEA-A-X3-RFP-B1-23</x:v>
      </x:c>
      <x:c r="C197" s="28" t="str">
        <x:v>CAL-PEA-A-X3-RFP-B1</x:v>
      </x:c>
      <x:c r="D197" s="28" t="str">
        <x:v>PEA-A-X3</x:v>
      </x:c>
      <x:c r="E197" s="28" t="str">
        <x:v>RFP-B1</x:v>
      </x:c>
      <x:c r="F197" s="28" t="n">
        <x:v>23</x:v>
      </x:c>
      <x:c r="G197" s="28" t="str">
        <x:v>image trigger</x:v>
      </x:c>
      <x:c r="H197" s="34" t="n">
        <x:v>1</x:v>
      </x:c>
      <x:c r="I197" s="35" t="str"/>
      <x:c r="J197" s="34" t="str">
        <x:f>IF(OR(NOT(ISNUMBER(H197)),NOT(ISNUMBER(I197))),"",I197-H197)</x:f>
      </x:c>
      <x:c r="K197" s="34" t="n">
        <x:v>0.05</x:v>
      </x:c>
      <x:c r="L197" s="31" t="str"/>
      <x:c r="M197" s="31" t="str"/>
      <x:c r="N197" s="28" t="str">
        <x:f>IF(M197="","OPEN",IF(OR(L197="",NOT(ISNUMBER(I197))),"FAIL",IF(ABS(J197)&lt;=K197,"PASS","FAIL")))</x:f>
        <x:v>OPEN</x:v>
      </x:c>
    </x:row>
    <x:row r="198">
      <x:c r="B198" s="28" t="str">
        <x:v>CR-CAL-PEA-A-X3-RFP-B1-24</x:v>
      </x:c>
      <x:c r="C198" s="28" t="str">
        <x:v>CAL-PEA-A-X3-RFP-B1</x:v>
      </x:c>
      <x:c r="D198" s="28" t="str">
        <x:v>PEA-A-X3</x:v>
      </x:c>
      <x:c r="E198" s="28" t="str">
        <x:v>RFP-B1</x:v>
      </x:c>
      <x:c r="F198" s="28" t="n">
        <x:v>24</x:v>
      </x:c>
      <x:c r="G198" s="28" t="str">
        <x:v>evidence health</x:v>
      </x:c>
      <x:c r="H198" s="34" t="n">
        <x:v>1</x:v>
      </x:c>
      <x:c r="I198" s="35" t="str"/>
      <x:c r="J198" s="34" t="str">
        <x:f>IF(OR(NOT(ISNUMBER(H198)),NOT(ISNUMBER(I198))),"",I198-H198)</x:f>
      </x:c>
      <x:c r="K198" s="34" t="n">
        <x:v>0.05</x:v>
      </x:c>
      <x:c r="L198" s="31" t="str"/>
      <x:c r="M198" s="31" t="str"/>
      <x:c r="N198" s="28" t="str">
        <x:f>IF(M198="","OPEN",IF(OR(L198="",NOT(ISNUMBER(I198))),"FAIL",IF(ABS(J198)&lt;=K198,"PASS","FAIL")))</x:f>
        <x:v>OPEN</x:v>
      </x:c>
    </x:row>
    <x:row r="199">
      <x:c r="B199" s="28" t="str">
        <x:v>CR-CAL-PEA-B-X3-RFP-C1-01</x:v>
      </x:c>
      <x:c r="C199" s="28" t="str">
        <x:v>CAL-PEA-B-X3-RFP-C1</x:v>
      </x:c>
      <x:c r="D199" s="28" t="str">
        <x:v>PEA-B-X3</x:v>
      </x:c>
      <x:c r="E199" s="28" t="str">
        <x:v>RFP-C1</x:v>
      </x:c>
      <x:c r="F199" s="28" t="n">
        <x:v>1</x:v>
      </x:c>
      <x:c r="G199" s="28" t="str">
        <x:v>vessel mass</x:v>
      </x:c>
      <x:c r="H199" s="34" t="n">
        <x:v>1</x:v>
      </x:c>
      <x:c r="I199" s="35" t="str"/>
      <x:c r="J199" s="34" t="str">
        <x:f>IF(OR(NOT(ISNUMBER(H199)),NOT(ISNUMBER(I199))),"",I199-H199)</x:f>
      </x:c>
      <x:c r="K199" s="34" t="n">
        <x:v>0.05</x:v>
      </x:c>
      <x:c r="L199" s="31" t="str"/>
      <x:c r="M199" s="31" t="str"/>
      <x:c r="N199" s="28" t="str">
        <x:f>IF(M199="","OPEN",IF(OR(L199="",NOT(ISNUMBER(I199))),"FAIL",IF(ABS(J199)&lt;=K199,"PASS","FAIL")))</x:f>
        <x:v>OPEN</x:v>
      </x:c>
    </x:row>
    <x:row r="200">
      <x:c r="B200" s="28" t="str">
        <x:v>CR-CAL-PEA-B-X3-RFP-C1-02</x:v>
      </x:c>
      <x:c r="C200" s="28" t="str">
        <x:v>CAL-PEA-B-X3-RFP-C1</x:v>
      </x:c>
      <x:c r="D200" s="28" t="str">
        <x:v>PEA-B-X3</x:v>
      </x:c>
      <x:c r="E200" s="28" t="str">
        <x:v>RFP-C1</x:v>
      </x:c>
      <x:c r="F200" s="28" t="n">
        <x:v>2</x:v>
      </x:c>
      <x:c r="G200" s="28" t="str">
        <x:v>integrated transfer mass</x:v>
      </x:c>
      <x:c r="H200" s="34" t="n">
        <x:v>1</x:v>
      </x:c>
      <x:c r="I200" s="35" t="str"/>
      <x:c r="J200" s="34" t="str">
        <x:f>IF(OR(NOT(ISNUMBER(H200)),NOT(ISNUMBER(I200))),"",I200-H200)</x:f>
      </x:c>
      <x:c r="K200" s="34" t="n">
        <x:v>0.05</x:v>
      </x:c>
      <x:c r="L200" s="31" t="str"/>
      <x:c r="M200" s="31" t="str"/>
      <x:c r="N200" s="28" t="str">
        <x:f>IF(M200="","OPEN",IF(OR(L200="",NOT(ISNUMBER(I200))),"FAIL",IF(ABS(J200)&lt;=K200,"PASS","FAIL")))</x:f>
        <x:v>OPEN</x:v>
      </x:c>
    </x:row>
    <x:row r="201">
      <x:c r="B201" s="28" t="str">
        <x:v>CR-CAL-PEA-B-X3-RFP-C1-03</x:v>
      </x:c>
      <x:c r="C201" s="28" t="str">
        <x:v>CAL-PEA-B-X3-RFP-C1</x:v>
      </x:c>
      <x:c r="D201" s="28" t="str">
        <x:v>PEA-B-X3</x:v>
      </x:c>
      <x:c r="E201" s="28" t="str">
        <x:v>RFP-C1</x:v>
      </x:c>
      <x:c r="F201" s="28" t="n">
        <x:v>3</x:v>
      </x:c>
      <x:c r="G201" s="28" t="str">
        <x:v>pressure</x:v>
      </x:c>
      <x:c r="H201" s="34" t="n">
        <x:v>1</x:v>
      </x:c>
      <x:c r="I201" s="35" t="str"/>
      <x:c r="J201" s="34" t="str">
        <x:f>IF(OR(NOT(ISNUMBER(H201)),NOT(ISNUMBER(I201))),"",I201-H201)</x:f>
      </x:c>
      <x:c r="K201" s="34" t="n">
        <x:v>0.05</x:v>
      </x:c>
      <x:c r="L201" s="31" t="str"/>
      <x:c r="M201" s="31" t="str"/>
      <x:c r="N201" s="28" t="str">
        <x:f>IF(M201="","OPEN",IF(OR(L201="",NOT(ISNUMBER(I201))),"FAIL",IF(ABS(J201)&lt;=K201,"PASS","FAIL")))</x:f>
        <x:v>OPEN</x:v>
      </x:c>
    </x:row>
    <x:row r="202">
      <x:c r="B202" s="28" t="str">
        <x:v>CR-CAL-PEA-B-X3-RFP-C1-04</x:v>
      </x:c>
      <x:c r="C202" s="28" t="str">
        <x:v>CAL-PEA-B-X3-RFP-C1</x:v>
      </x:c>
      <x:c r="D202" s="28" t="str">
        <x:v>PEA-B-X3</x:v>
      </x:c>
      <x:c r="E202" s="28" t="str">
        <x:v>RFP-C1</x:v>
      </x:c>
      <x:c r="F202" s="28" t="n">
        <x:v>4</x:v>
      </x:c>
      <x:c r="G202" s="28" t="str">
        <x:v>temperature</x:v>
      </x:c>
      <x:c r="H202" s="34" t="n">
        <x:v>1</x:v>
      </x:c>
      <x:c r="I202" s="35" t="str"/>
      <x:c r="J202" s="34" t="str">
        <x:f>IF(OR(NOT(ISNUMBER(H202)),NOT(ISNUMBER(I202))),"",I202-H202)</x:f>
      </x:c>
      <x:c r="K202" s="34" t="n">
        <x:v>0.05</x:v>
      </x:c>
      <x:c r="L202" s="31" t="str"/>
      <x:c r="M202" s="31" t="str"/>
      <x:c r="N202" s="28" t="str">
        <x:f>IF(M202="","OPEN",IF(OR(L202="",NOT(ISNUMBER(I202))),"FAIL",IF(ABS(J202)&lt;=K202,"PASS","FAIL")))</x:f>
        <x:v>OPEN</x:v>
      </x:c>
    </x:row>
    <x:row r="203">
      <x:c r="B203" s="28" t="str">
        <x:v>CR-CAL-PEA-B-X3-RFP-C1-05</x:v>
      </x:c>
      <x:c r="C203" s="28" t="str">
        <x:v>CAL-PEA-B-X3-RFP-C1</x:v>
      </x:c>
      <x:c r="D203" s="28" t="str">
        <x:v>PEA-B-X3</x:v>
      </x:c>
      <x:c r="E203" s="28" t="str">
        <x:v>RFP-C1</x:v>
      </x:c>
      <x:c r="F203" s="28" t="n">
        <x:v>5</x:v>
      </x:c>
      <x:c r="G203" s="28" t="str">
        <x:v>hold-up tomography</x:v>
      </x:c>
      <x:c r="H203" s="34" t="n">
        <x:v>1</x:v>
      </x:c>
      <x:c r="I203" s="35" t="str"/>
      <x:c r="J203" s="34" t="str">
        <x:f>IF(OR(NOT(ISNUMBER(H203)),NOT(ISNUMBER(I203))),"",I203-H203)</x:f>
      </x:c>
      <x:c r="K203" s="34" t="n">
        <x:v>0.05</x:v>
      </x:c>
      <x:c r="L203" s="31" t="str"/>
      <x:c r="M203" s="31" t="str"/>
      <x:c r="N203" s="28" t="str">
        <x:f>IF(M203="","OPEN",IF(OR(L203="",NOT(ISNUMBER(I203))),"FAIL",IF(ABS(J203)&lt;=K203,"PASS","FAIL")))</x:f>
        <x:v>OPEN</x:v>
      </x:c>
    </x:row>
    <x:row r="204">
      <x:c r="B204" s="28" t="str">
        <x:v>CR-CAL-PEA-B-X3-RFP-C1-06</x:v>
      </x:c>
      <x:c r="C204" s="28" t="str">
        <x:v>CAL-PEA-B-X3-RFP-C1</x:v>
      </x:c>
      <x:c r="D204" s="28" t="str">
        <x:v>PEA-B-X3</x:v>
      </x:c>
      <x:c r="E204" s="28" t="str">
        <x:v>RFP-C1</x:v>
      </x:c>
      <x:c r="F204" s="28" t="n">
        <x:v>6</x:v>
      </x:c>
      <x:c r="G204" s="28" t="str">
        <x:v>pan level</x:v>
      </x:c>
      <x:c r="H204" s="34" t="n">
        <x:v>1</x:v>
      </x:c>
      <x:c r="I204" s="35" t="str"/>
      <x:c r="J204" s="34" t="str">
        <x:f>IF(OR(NOT(ISNUMBER(H204)),NOT(ISNUMBER(I204))),"",I204-H204)</x:f>
      </x:c>
      <x:c r="K204" s="34" t="n">
        <x:v>0.05</x:v>
      </x:c>
      <x:c r="L204" s="31" t="str"/>
      <x:c r="M204" s="31" t="str"/>
      <x:c r="N204" s="28" t="str">
        <x:f>IF(M204="","OPEN",IF(OR(L204="",NOT(ISNUMBER(I204))),"FAIL",IF(ABS(J204)&lt;=K204,"PASS","FAIL")))</x:f>
        <x:v>OPEN</x:v>
      </x:c>
    </x:row>
    <x:row r="205">
      <x:c r="B205" s="28" t="str">
        <x:v>CR-CAL-PEA-B-X3-RFP-C1-07</x:v>
      </x:c>
      <x:c r="C205" s="28" t="str">
        <x:v>CAL-PEA-B-X3-RFP-C1</x:v>
      </x:c>
      <x:c r="D205" s="28" t="str">
        <x:v>PEA-B-X3</x:v>
      </x:c>
      <x:c r="E205" s="28" t="str">
        <x:v>RFP-C1</x:v>
      </x:c>
      <x:c r="F205" s="28" t="n">
        <x:v>7</x:v>
      </x:c>
      <x:c r="G205" s="28" t="str">
        <x:v>receiver mass</x:v>
      </x:c>
      <x:c r="H205" s="34" t="n">
        <x:v>1</x:v>
      </x:c>
      <x:c r="I205" s="35" t="str"/>
      <x:c r="J205" s="34" t="str">
        <x:f>IF(OR(NOT(ISNUMBER(H205)),NOT(ISNUMBER(I205))),"",I205-H205)</x:f>
      </x:c>
      <x:c r="K205" s="34" t="n">
        <x:v>0.05</x:v>
      </x:c>
      <x:c r="L205" s="31" t="str"/>
      <x:c r="M205" s="31" t="str"/>
      <x:c r="N205" s="28" t="str">
        <x:f>IF(M205="","OPEN",IF(OR(L205="",NOT(ISNUMBER(I205))),"FAIL",IF(ABS(J205)&lt;=K205,"PASS","FAIL")))</x:f>
        <x:v>OPEN</x:v>
      </x:c>
    </x:row>
    <x:row r="206">
      <x:c r="B206" s="28" t="str">
        <x:v>CR-CAL-PEA-B-X3-RFP-C1-08</x:v>
      </x:c>
      <x:c r="C206" s="28" t="str">
        <x:v>CAL-PEA-B-X3-RFP-C1</x:v>
      </x:c>
      <x:c r="D206" s="28" t="str">
        <x:v>PEA-B-X3</x:v>
      </x:c>
      <x:c r="E206" s="28" t="str">
        <x:v>RFP-C1</x:v>
      </x:c>
      <x:c r="F206" s="28" t="n">
        <x:v>8</x:v>
      </x:c>
      <x:c r="G206" s="28" t="str">
        <x:v>geometry and slope</x:v>
      </x:c>
      <x:c r="H206" s="34" t="n">
        <x:v>1</x:v>
      </x:c>
      <x:c r="I206" s="35" t="str"/>
      <x:c r="J206" s="34" t="str">
        <x:f>IF(OR(NOT(ISNUMBER(H206)),NOT(ISNUMBER(I206))),"",I206-H206)</x:f>
      </x:c>
      <x:c r="K206" s="34" t="n">
        <x:v>0.05</x:v>
      </x:c>
      <x:c r="L206" s="31" t="str"/>
      <x:c r="M206" s="31" t="str"/>
      <x:c r="N206" s="28" t="str">
        <x:f>IF(M206="","OPEN",IF(OR(L206="",NOT(ISNUMBER(I206))),"FAIL",IF(ABS(J206)&lt;=K206,"PASS","FAIL")))</x:f>
        <x:v>OPEN</x:v>
      </x:c>
    </x:row>
    <x:row r="207">
      <x:c r="B207" s="28" t="str">
        <x:v>CR-CAL-PEA-B-X3-RFP-C1-09</x:v>
      </x:c>
      <x:c r="C207" s="28" t="str">
        <x:v>CAL-PEA-B-X3-RFP-C1</x:v>
      </x:c>
      <x:c r="D207" s="28" t="str">
        <x:v>PEA-B-X3</x:v>
      </x:c>
      <x:c r="E207" s="28" t="str">
        <x:v>RFP-C1</x:v>
      </x:c>
      <x:c r="F207" s="28" t="n">
        <x:v>9</x:v>
      </x:c>
      <x:c r="G207" s="28" t="str">
        <x:v>primary state witness</x:v>
      </x:c>
      <x:c r="H207" s="34" t="n">
        <x:v>1</x:v>
      </x:c>
      <x:c r="I207" s="35" t="str"/>
      <x:c r="J207" s="34" t="str">
        <x:f>IF(OR(NOT(ISNUMBER(H207)),NOT(ISNUMBER(I207))),"",I207-H207)</x:f>
      </x:c>
      <x:c r="K207" s="34" t="n">
        <x:v>0.05</x:v>
      </x:c>
      <x:c r="L207" s="31" t="str"/>
      <x:c r="M207" s="31" t="str"/>
      <x:c r="N207" s="28" t="str">
        <x:f>IF(M207="","OPEN",IF(OR(L207="",NOT(ISNUMBER(I207))),"FAIL",IF(ABS(J207)&lt;=K207,"PASS","FAIL")))</x:f>
        <x:v>OPEN</x:v>
      </x:c>
    </x:row>
    <x:row r="208">
      <x:c r="B208" s="28" t="str">
        <x:v>CR-CAL-PEA-B-X3-RFP-C1-10</x:v>
      </x:c>
      <x:c r="C208" s="28" t="str">
        <x:v>CAL-PEA-B-X3-RFP-C1</x:v>
      </x:c>
      <x:c r="D208" s="28" t="str">
        <x:v>PEA-B-X3</x:v>
      </x:c>
      <x:c r="E208" s="28" t="str">
        <x:v>RFP-C1</x:v>
      </x:c>
      <x:c r="F208" s="28" t="n">
        <x:v>10</x:v>
      </x:c>
      <x:c r="G208" s="28" t="str">
        <x:v>diverse state witness</x:v>
      </x:c>
      <x:c r="H208" s="34" t="n">
        <x:v>1</x:v>
      </x:c>
      <x:c r="I208" s="35" t="str"/>
      <x:c r="J208" s="34" t="str">
        <x:f>IF(OR(NOT(ISNUMBER(H208)),NOT(ISNUMBER(I208))),"",I208-H208)</x:f>
      </x:c>
      <x:c r="K208" s="34" t="n">
        <x:v>0.05</x:v>
      </x:c>
      <x:c r="L208" s="31" t="str"/>
      <x:c r="M208" s="31" t="str"/>
      <x:c r="N208" s="28" t="str">
        <x:f>IF(M208="","OPEN",IF(OR(L208="",NOT(ISNUMBER(I208))),"FAIL",IF(ABS(J208)&lt;=K208,"PASS","FAIL")))</x:f>
        <x:v>OPEN</x:v>
      </x:c>
    </x:row>
    <x:row r="209">
      <x:c r="B209" s="28" t="str">
        <x:v>CR-CAL-PEA-B-X3-RFP-C1-11</x:v>
      </x:c>
      <x:c r="C209" s="28" t="str">
        <x:v>CAL-PEA-B-X3-RFP-C1</x:v>
      </x:c>
      <x:c r="D209" s="28" t="str">
        <x:v>PEA-B-X3</x:v>
      </x:c>
      <x:c r="E209" s="28" t="str">
        <x:v>RFP-C1</x:v>
      </x:c>
      <x:c r="F209" s="28" t="n">
        <x:v>11</x:v>
      </x:c>
      <x:c r="G209" s="28" t="str">
        <x:v>manual state witness</x:v>
      </x:c>
      <x:c r="H209" s="34" t="n">
        <x:v>1</x:v>
      </x:c>
      <x:c r="I209" s="35" t="str"/>
      <x:c r="J209" s="34" t="str">
        <x:f>IF(OR(NOT(ISNUMBER(H209)),NOT(ISNUMBER(I209))),"",I209-H209)</x:f>
      </x:c>
      <x:c r="K209" s="34" t="n">
        <x:v>0.05</x:v>
      </x:c>
      <x:c r="L209" s="31" t="str"/>
      <x:c r="M209" s="31" t="str"/>
      <x:c r="N209" s="28" t="str">
        <x:f>IF(M209="","OPEN",IF(OR(L209="",NOT(ISNUMBER(I209))),"FAIL",IF(ABS(J209)&lt;=K209,"PASS","FAIL")))</x:f>
        <x:v>OPEN</x:v>
      </x:c>
    </x:row>
    <x:row r="210">
      <x:c r="B210" s="28" t="str">
        <x:v>CR-CAL-PEA-B-X3-RFP-C1-12</x:v>
      </x:c>
      <x:c r="C210" s="28" t="str">
        <x:v>CAL-PEA-B-X3-RFP-C1</x:v>
      </x:c>
      <x:c r="D210" s="28" t="str">
        <x:v>PEA-B-X3</x:v>
      </x:c>
      <x:c r="E210" s="28" t="str">
        <x:v>RFP-C1</x:v>
      </x:c>
      <x:c r="F210" s="28" t="n">
        <x:v>12</x:v>
      </x:c>
      <x:c r="G210" s="28" t="str">
        <x:v>final-element reference</x:v>
      </x:c>
      <x:c r="H210" s="34" t="n">
        <x:v>1</x:v>
      </x:c>
      <x:c r="I210" s="35" t="str"/>
      <x:c r="J210" s="34" t="str">
        <x:f>IF(OR(NOT(ISNUMBER(H210)),NOT(ISNUMBER(I210))),"",I210-H210)</x:f>
      </x:c>
      <x:c r="K210" s="34" t="n">
        <x:v>0.05</x:v>
      </x:c>
      <x:c r="L210" s="31" t="str"/>
      <x:c r="M210" s="31" t="str"/>
      <x:c r="N210" s="28" t="str">
        <x:f>IF(M210="","OPEN",IF(OR(L210="",NOT(ISNUMBER(I210))),"FAIL",IF(ABS(J210)&lt;=K210,"PASS","FAIL")))</x:f>
        <x:v>OPEN</x:v>
      </x:c>
    </x:row>
    <x:row r="211">
      <x:c r="B211" s="28" t="str">
        <x:v>CR-CAL-PEA-B-X3-RFP-C1-13</x:v>
      </x:c>
      <x:c r="C211" s="28" t="str">
        <x:v>CAL-PEA-B-X3-RFP-C1</x:v>
      </x:c>
      <x:c r="D211" s="28" t="str">
        <x:v>PEA-B-X3</x:v>
      </x:c>
      <x:c r="E211" s="28" t="str">
        <x:v>RFP-C1</x:v>
      </x:c>
      <x:c r="F211" s="28" t="n">
        <x:v>13</x:v>
      </x:c>
      <x:c r="G211" s="28" t="str">
        <x:v>causal time</x:v>
      </x:c>
      <x:c r="H211" s="34" t="n">
        <x:v>1</x:v>
      </x:c>
      <x:c r="I211" s="35" t="str"/>
      <x:c r="J211" s="34" t="str">
        <x:f>IF(OR(NOT(ISNUMBER(H211)),NOT(ISNUMBER(I211))),"",I211-H211)</x:f>
      </x:c>
      <x:c r="K211" s="34" t="n">
        <x:v>0.05</x:v>
      </x:c>
      <x:c r="L211" s="31" t="str"/>
      <x:c r="M211" s="31" t="str"/>
      <x:c r="N211" s="28" t="str">
        <x:f>IF(M211="","OPEN",IF(OR(L211="",NOT(ISNUMBER(I211))),"FAIL",IF(ABS(J211)&lt;=K211,"PASS","FAIL")))</x:f>
        <x:v>OPEN</x:v>
      </x:c>
    </x:row>
    <x:row r="212">
      <x:c r="B212" s="28" t="str">
        <x:v>CR-CAL-PEA-B-X3-RFP-C1-14</x:v>
      </x:c>
      <x:c r="C212" s="28" t="str">
        <x:v>CAL-PEA-B-X3-RFP-C1</x:v>
      </x:c>
      <x:c r="D212" s="28" t="str">
        <x:v>PEA-B-X3</x:v>
      </x:c>
      <x:c r="E212" s="28" t="str">
        <x:v>RFP-C1</x:v>
      </x:c>
      <x:c r="F212" s="28" t="n">
        <x:v>14</x:v>
      </x:c>
      <x:c r="G212" s="28" t="str">
        <x:v>motive energy</x:v>
      </x:c>
      <x:c r="H212" s="34" t="n">
        <x:v>1</x:v>
      </x:c>
      <x:c r="I212" s="35" t="str"/>
      <x:c r="J212" s="34" t="str">
        <x:f>IF(OR(NOT(ISNUMBER(H212)),NOT(ISNUMBER(I212))),"",I212-H212)</x:f>
      </x:c>
      <x:c r="K212" s="34" t="n">
        <x:v>0.05</x:v>
      </x:c>
      <x:c r="L212" s="31" t="str"/>
      <x:c r="M212" s="31" t="str"/>
      <x:c r="N212" s="28" t="str">
        <x:f>IF(M212="","OPEN",IF(OR(L212="",NOT(ISNUMBER(I212))),"FAIL",IF(ABS(J212)&lt;=K212,"PASS","FAIL")))</x:f>
        <x:v>OPEN</x:v>
      </x:c>
    </x:row>
    <x:row r="213">
      <x:c r="B213" s="28" t="str">
        <x:v>CR-CAL-PEA-B-X3-RFP-C1-15</x:v>
      </x:c>
      <x:c r="C213" s="28" t="str">
        <x:v>CAL-PEA-B-X3-RFP-C1</x:v>
      </x:c>
      <x:c r="D213" s="28" t="str">
        <x:v>PEA-B-X3</x:v>
      </x:c>
      <x:c r="E213" s="28" t="str">
        <x:v>RFP-C1</x:v>
      </x:c>
      <x:c r="F213" s="28" t="n">
        <x:v>15</x:v>
      </x:c>
      <x:c r="G213" s="28" t="str">
        <x:v>normal electrical power</x:v>
      </x:c>
      <x:c r="H213" s="34" t="n">
        <x:v>1</x:v>
      </x:c>
      <x:c r="I213" s="35" t="str"/>
      <x:c r="J213" s="34" t="str">
        <x:f>IF(OR(NOT(ISNUMBER(H213)),NOT(ISNUMBER(I213))),"",I213-H213)</x:f>
      </x:c>
      <x:c r="K213" s="34" t="n">
        <x:v>0.05</x:v>
      </x:c>
      <x:c r="L213" s="31" t="str"/>
      <x:c r="M213" s="31" t="str"/>
      <x:c r="N213" s="28" t="str">
        <x:f>IF(M213="","OPEN",IF(OR(L213="",NOT(ISNUMBER(I213))),"FAIL",IF(ABS(J213)&lt;=K213,"PASS","FAIL")))</x:f>
        <x:v>OPEN</x:v>
      </x:c>
    </x:row>
    <x:row r="214">
      <x:c r="B214" s="28" t="str">
        <x:v>CR-CAL-PEA-B-X3-RFP-C1-16</x:v>
      </x:c>
      <x:c r="C214" s="28" t="str">
        <x:v>CAL-PEA-B-X3-RFP-C1</x:v>
      </x:c>
      <x:c r="D214" s="28" t="str">
        <x:v>PEA-B-X3</x:v>
      </x:c>
      <x:c r="E214" s="28" t="str">
        <x:v>RFP-C1</x:v>
      </x:c>
      <x:c r="F214" s="28" t="n">
        <x:v>16</x:v>
      </x:c>
      <x:c r="G214" s="28" t="str">
        <x:v>independent power</x:v>
      </x:c>
      <x:c r="H214" s="34" t="n">
        <x:v>1</x:v>
      </x:c>
      <x:c r="I214" s="35" t="str"/>
      <x:c r="J214" s="34" t="str">
        <x:f>IF(OR(NOT(ISNUMBER(H214)),NOT(ISNUMBER(I214))),"",I214-H214)</x:f>
      </x:c>
      <x:c r="K214" s="34" t="n">
        <x:v>0.05</x:v>
      </x:c>
      <x:c r="L214" s="31" t="str"/>
      <x:c r="M214" s="31" t="str"/>
      <x:c r="N214" s="28" t="str">
        <x:f>IF(M214="","OPEN",IF(OR(L214="",NOT(ISNUMBER(I214))),"FAIL",IF(ABS(J214)&lt;=K214,"PASS","FAIL")))</x:f>
        <x:v>OPEN</x:v>
      </x:c>
    </x:row>
    <x:row r="215">
      <x:c r="B215" s="28" t="str">
        <x:v>CR-CAL-PEA-B-X3-RFP-C1-17</x:v>
      </x:c>
      <x:c r="C215" s="28" t="str">
        <x:v>CAL-PEA-B-X3-RFP-C1</x:v>
      </x:c>
      <x:c r="D215" s="28" t="str">
        <x:v>PEA-B-X3</x:v>
      </x:c>
      <x:c r="E215" s="28" t="str">
        <x:v>RFP-C1</x:v>
      </x:c>
      <x:c r="F215" s="28" t="n">
        <x:v>17</x:v>
      </x:c>
      <x:c r="G215" s="28" t="str">
        <x:v>leak collection</x:v>
      </x:c>
      <x:c r="H215" s="34" t="n">
        <x:v>1</x:v>
      </x:c>
      <x:c r="I215" s="35" t="str"/>
      <x:c r="J215" s="34" t="str">
        <x:f>IF(OR(NOT(ISNUMBER(H215)),NOT(ISNUMBER(I215))),"",I215-H215)</x:f>
      </x:c>
      <x:c r="K215" s="34" t="n">
        <x:v>0.05</x:v>
      </x:c>
      <x:c r="L215" s="31" t="str"/>
      <x:c r="M215" s="31" t="str"/>
      <x:c r="N215" s="28" t="str">
        <x:f>IF(M215="","OPEN",IF(OR(L215="",NOT(ISNUMBER(I215))),"FAIL",IF(ABS(J215)&lt;=K215,"PASS","FAIL")))</x:f>
        <x:v>OPEN</x:v>
      </x:c>
    </x:row>
    <x:row r="216">
      <x:c r="B216" s="28" t="str">
        <x:v>CR-CAL-PEA-B-X3-RFP-C1-18</x:v>
      </x:c>
      <x:c r="C216" s="28" t="str">
        <x:v>CAL-PEA-B-X3-RFP-C1</x:v>
      </x:c>
      <x:c r="D216" s="28" t="str">
        <x:v>PEA-B-X3</x:v>
      </x:c>
      <x:c r="E216" s="28" t="str">
        <x:v>RFP-C1</x:v>
      </x:c>
      <x:c r="F216" s="28" t="n">
        <x:v>18</x:v>
      </x:c>
      <x:c r="G216" s="28" t="str">
        <x:v>occupied area</x:v>
      </x:c>
      <x:c r="H216" s="34" t="n">
        <x:v>1</x:v>
      </x:c>
      <x:c r="I216" s="35" t="str"/>
      <x:c r="J216" s="34" t="str">
        <x:f>IF(OR(NOT(ISNUMBER(H216)),NOT(ISNUMBER(I216))),"",I216-H216)</x:f>
      </x:c>
      <x:c r="K216" s="34" t="n">
        <x:v>0.05</x:v>
      </x:c>
      <x:c r="L216" s="31" t="str"/>
      <x:c r="M216" s="31" t="str"/>
      <x:c r="N216" s="28" t="str">
        <x:f>IF(M216="","OPEN",IF(OR(L216="",NOT(ISNUMBER(I216))),"FAIL",IF(ABS(J216)&lt;=K216,"PASS","FAIL")))</x:f>
        <x:v>OPEN</x:v>
      </x:c>
    </x:row>
    <x:row r="217">
      <x:c r="B217" s="28" t="str">
        <x:v>CR-CAL-PEA-B-X3-RFP-C1-19</x:v>
      </x:c>
      <x:c r="C217" s="28" t="str">
        <x:v>CAL-PEA-B-X3-RFP-C1</x:v>
      </x:c>
      <x:c r="D217" s="28" t="str">
        <x:v>PEA-B-X3</x:v>
      </x:c>
      <x:c r="E217" s="28" t="str">
        <x:v>RFP-C1</x:v>
      </x:c>
      <x:c r="F217" s="28" t="n">
        <x:v>19</x:v>
      </x:c>
      <x:c r="G217" s="28" t="str">
        <x:v>water flow</x:v>
      </x:c>
      <x:c r="H217" s="34" t="n">
        <x:v>1</x:v>
      </x:c>
      <x:c r="I217" s="35" t="str"/>
      <x:c r="J217" s="34" t="str">
        <x:f>IF(OR(NOT(ISNUMBER(H217)),NOT(ISNUMBER(I217))),"",I217-H217)</x:f>
      </x:c>
      <x:c r="K217" s="34" t="n">
        <x:v>0.05</x:v>
      </x:c>
      <x:c r="L217" s="31" t="str"/>
      <x:c r="M217" s="31" t="str"/>
      <x:c r="N217" s="28" t="str">
        <x:f>IF(M217="","OPEN",IF(OR(L217="",NOT(ISNUMBER(I217))),"FAIL",IF(ABS(J217)&lt;=K217,"PASS","FAIL")))</x:f>
        <x:v>OPEN</x:v>
      </x:c>
    </x:row>
    <x:row r="218">
      <x:c r="B218" s="28" t="str">
        <x:v>CR-CAL-PEA-B-X3-RFP-C1-20</x:v>
      </x:c>
      <x:c r="C218" s="28" t="str">
        <x:v>CAL-PEA-B-X3-RFP-C1</x:v>
      </x:c>
      <x:c r="D218" s="28" t="str">
        <x:v>PEA-B-X3</x:v>
      </x:c>
      <x:c r="E218" s="28" t="str">
        <x:v>RFP-C1</x:v>
      </x:c>
      <x:c r="F218" s="28" t="n">
        <x:v>20</x:v>
      </x:c>
      <x:c r="G218" s="28" t="str">
        <x:v>source ancestry root A</x:v>
      </x:c>
      <x:c r="H218" s="34" t="n">
        <x:v>1</x:v>
      </x:c>
      <x:c r="I218" s="35" t="str"/>
      <x:c r="J218" s="34" t="str">
        <x:f>IF(OR(NOT(ISNUMBER(H218)),NOT(ISNUMBER(I218))),"",I218-H218)</x:f>
      </x:c>
      <x:c r="K218" s="34" t="n">
        <x:v>0.05</x:v>
      </x:c>
      <x:c r="L218" s="31" t="str"/>
      <x:c r="M218" s="31" t="str"/>
      <x:c r="N218" s="28" t="str">
        <x:f>IF(M218="","OPEN",IF(OR(L218="",NOT(ISNUMBER(I218))),"FAIL",IF(ABS(J218)&lt;=K218,"PASS","FAIL")))</x:f>
        <x:v>OPEN</x:v>
      </x:c>
    </x:row>
    <x:row r="219">
      <x:c r="B219" s="28" t="str">
        <x:v>CR-CAL-PEA-B-X3-RFP-C1-21</x:v>
      </x:c>
      <x:c r="C219" s="28" t="str">
        <x:v>CAL-PEA-B-X3-RFP-C1</x:v>
      </x:c>
      <x:c r="D219" s="28" t="str">
        <x:v>PEA-B-X3</x:v>
      </x:c>
      <x:c r="E219" s="28" t="str">
        <x:v>RFP-C1</x:v>
      </x:c>
      <x:c r="F219" s="28" t="n">
        <x:v>21</x:v>
      </x:c>
      <x:c r="G219" s="28" t="str">
        <x:v>source ancestry root B</x:v>
      </x:c>
      <x:c r="H219" s="34" t="n">
        <x:v>1</x:v>
      </x:c>
      <x:c r="I219" s="35" t="str"/>
      <x:c r="J219" s="34" t="str">
        <x:f>IF(OR(NOT(ISNUMBER(H219)),NOT(ISNUMBER(I219))),"",I219-H219)</x:f>
      </x:c>
      <x:c r="K219" s="34" t="n">
        <x:v>0.05</x:v>
      </x:c>
      <x:c r="L219" s="31" t="str"/>
      <x:c r="M219" s="31" t="str"/>
      <x:c r="N219" s="28" t="str">
        <x:f>IF(M219="","OPEN",IF(OR(L219="",NOT(ISNUMBER(I219))),"FAIL",IF(ABS(J219)&lt;=K219,"PASS","FAIL")))</x:f>
        <x:v>OPEN</x:v>
      </x:c>
    </x:row>
    <x:row r="220">
      <x:c r="B220" s="28" t="str">
        <x:v>CR-CAL-PEA-B-X3-RFP-C1-22</x:v>
      </x:c>
      <x:c r="C220" s="28" t="str">
        <x:v>CAL-PEA-B-X3-RFP-C1</x:v>
      </x:c>
      <x:c r="D220" s="28" t="str">
        <x:v>PEA-B-X3</x:v>
      </x:c>
      <x:c r="E220" s="28" t="str">
        <x:v>RFP-C1</x:v>
      </x:c>
      <x:c r="F220" s="28" t="n">
        <x:v>22</x:v>
      </x:c>
      <x:c r="G220" s="28" t="str">
        <x:v>environmental release</x:v>
      </x:c>
      <x:c r="H220" s="34" t="n">
        <x:v>1</x:v>
      </x:c>
      <x:c r="I220" s="35" t="str"/>
      <x:c r="J220" s="34" t="str">
        <x:f>IF(OR(NOT(ISNUMBER(H220)),NOT(ISNUMBER(I220))),"",I220-H220)</x:f>
      </x:c>
      <x:c r="K220" s="34" t="n">
        <x:v>0.05</x:v>
      </x:c>
      <x:c r="L220" s="31" t="str"/>
      <x:c r="M220" s="31" t="str"/>
      <x:c r="N220" s="28" t="str">
        <x:f>IF(M220="","OPEN",IF(OR(L220="",NOT(ISNUMBER(I220))),"FAIL",IF(ABS(J220)&lt;=K220,"PASS","FAIL")))</x:f>
        <x:v>OPEN</x:v>
      </x:c>
    </x:row>
    <x:row r="221">
      <x:c r="B221" s="28" t="str">
        <x:v>CR-CAL-PEA-B-X3-RFP-C1-23</x:v>
      </x:c>
      <x:c r="C221" s="28" t="str">
        <x:v>CAL-PEA-B-X3-RFP-C1</x:v>
      </x:c>
      <x:c r="D221" s="28" t="str">
        <x:v>PEA-B-X3</x:v>
      </x:c>
      <x:c r="E221" s="28" t="str">
        <x:v>RFP-C1</x:v>
      </x:c>
      <x:c r="F221" s="28" t="n">
        <x:v>23</x:v>
      </x:c>
      <x:c r="G221" s="28" t="str">
        <x:v>image trigger</x:v>
      </x:c>
      <x:c r="H221" s="34" t="n">
        <x:v>1</x:v>
      </x:c>
      <x:c r="I221" s="35" t="str"/>
      <x:c r="J221" s="34" t="str">
        <x:f>IF(OR(NOT(ISNUMBER(H221)),NOT(ISNUMBER(I221))),"",I221-H221)</x:f>
      </x:c>
      <x:c r="K221" s="34" t="n">
        <x:v>0.05</x:v>
      </x:c>
      <x:c r="L221" s="31" t="str"/>
      <x:c r="M221" s="31" t="str"/>
      <x:c r="N221" s="28" t="str">
        <x:f>IF(M221="","OPEN",IF(OR(L221="",NOT(ISNUMBER(I221))),"FAIL",IF(ABS(J221)&lt;=K221,"PASS","FAIL")))</x:f>
        <x:v>OPEN</x:v>
      </x:c>
    </x:row>
    <x:row r="222">
      <x:c r="B222" s="28" t="str">
        <x:v>CR-CAL-PEA-B-X3-RFP-C1-24</x:v>
      </x:c>
      <x:c r="C222" s="28" t="str">
        <x:v>CAL-PEA-B-X3-RFP-C1</x:v>
      </x:c>
      <x:c r="D222" s="28" t="str">
        <x:v>PEA-B-X3</x:v>
      </x:c>
      <x:c r="E222" s="28" t="str">
        <x:v>RFP-C1</x:v>
      </x:c>
      <x:c r="F222" s="28" t="n">
        <x:v>24</x:v>
      </x:c>
      <x:c r="G222" s="28" t="str">
        <x:v>evidence health</x:v>
      </x:c>
      <x:c r="H222" s="34" t="n">
        <x:v>1</x:v>
      </x:c>
      <x:c r="I222" s="35" t="str"/>
      <x:c r="J222" s="34" t="str">
        <x:f>IF(OR(NOT(ISNUMBER(H222)),NOT(ISNUMBER(I222))),"",I222-H222)</x:f>
      </x:c>
      <x:c r="K222" s="34" t="n">
        <x:v>0.05</x:v>
      </x:c>
      <x:c r="L222" s="31" t="str"/>
      <x:c r="M222" s="31" t="str"/>
      <x:c r="N222" s="28" t="str">
        <x:f>IF(M222="","OPEN",IF(OR(L222="",NOT(ISNUMBER(I222))),"FAIL",IF(ABS(J222)&lt;=K222,"PASS","FAIL")))</x:f>
        <x:v>OPEN</x:v>
      </x:c>
    </x:row>
    <x:row r="223">
      <x:c r="B223" s="28" t="str">
        <x:v>CR-CAL-PEA-C-Y3-RFP-A2-01</x:v>
      </x:c>
      <x:c r="C223" s="28" t="str">
        <x:v>CAL-PEA-C-Y3-RFP-A2</x:v>
      </x:c>
      <x:c r="D223" s="28" t="str">
        <x:v>PEA-C-Y3</x:v>
      </x:c>
      <x:c r="E223" s="28" t="str">
        <x:v>RFP-A2</x:v>
      </x:c>
      <x:c r="F223" s="28" t="n">
        <x:v>1</x:v>
      </x:c>
      <x:c r="G223" s="28" t="str">
        <x:v>vessel mass</x:v>
      </x:c>
      <x:c r="H223" s="34" t="n">
        <x:v>1</x:v>
      </x:c>
      <x:c r="I223" s="35" t="str"/>
      <x:c r="J223" s="34" t="str">
        <x:f>IF(OR(NOT(ISNUMBER(H223)),NOT(ISNUMBER(I223))),"",I223-H223)</x:f>
      </x:c>
      <x:c r="K223" s="34" t="n">
        <x:v>0.05</x:v>
      </x:c>
      <x:c r="L223" s="31" t="str"/>
      <x:c r="M223" s="31" t="str"/>
      <x:c r="N223" s="28" t="str">
        <x:f>IF(M223="","OPEN",IF(OR(L223="",NOT(ISNUMBER(I223))),"FAIL",IF(ABS(J223)&lt;=K223,"PASS","FAIL")))</x:f>
        <x:v>OPEN</x:v>
      </x:c>
    </x:row>
    <x:row r="224">
      <x:c r="B224" s="28" t="str">
        <x:v>CR-CAL-PEA-C-Y3-RFP-A2-02</x:v>
      </x:c>
      <x:c r="C224" s="28" t="str">
        <x:v>CAL-PEA-C-Y3-RFP-A2</x:v>
      </x:c>
      <x:c r="D224" s="28" t="str">
        <x:v>PEA-C-Y3</x:v>
      </x:c>
      <x:c r="E224" s="28" t="str">
        <x:v>RFP-A2</x:v>
      </x:c>
      <x:c r="F224" s="28" t="n">
        <x:v>2</x:v>
      </x:c>
      <x:c r="G224" s="28" t="str">
        <x:v>integrated transfer mass</x:v>
      </x:c>
      <x:c r="H224" s="34" t="n">
        <x:v>1</x:v>
      </x:c>
      <x:c r="I224" s="35" t="str"/>
      <x:c r="J224" s="34" t="str">
        <x:f>IF(OR(NOT(ISNUMBER(H224)),NOT(ISNUMBER(I224))),"",I224-H224)</x:f>
      </x:c>
      <x:c r="K224" s="34" t="n">
        <x:v>0.05</x:v>
      </x:c>
      <x:c r="L224" s="31" t="str"/>
      <x:c r="M224" s="31" t="str"/>
      <x:c r="N224" s="28" t="str">
        <x:f>IF(M224="","OPEN",IF(OR(L224="",NOT(ISNUMBER(I224))),"FAIL",IF(ABS(J224)&lt;=K224,"PASS","FAIL")))</x:f>
        <x:v>OPEN</x:v>
      </x:c>
    </x:row>
    <x:row r="225">
      <x:c r="B225" s="28" t="str">
        <x:v>CR-CAL-PEA-C-Y3-RFP-A2-03</x:v>
      </x:c>
      <x:c r="C225" s="28" t="str">
        <x:v>CAL-PEA-C-Y3-RFP-A2</x:v>
      </x:c>
      <x:c r="D225" s="28" t="str">
        <x:v>PEA-C-Y3</x:v>
      </x:c>
      <x:c r="E225" s="28" t="str">
        <x:v>RFP-A2</x:v>
      </x:c>
      <x:c r="F225" s="28" t="n">
        <x:v>3</x:v>
      </x:c>
      <x:c r="G225" s="28" t="str">
        <x:v>pressure</x:v>
      </x:c>
      <x:c r="H225" s="34" t="n">
        <x:v>1</x:v>
      </x:c>
      <x:c r="I225" s="35" t="str"/>
      <x:c r="J225" s="34" t="str">
        <x:f>IF(OR(NOT(ISNUMBER(H225)),NOT(ISNUMBER(I225))),"",I225-H225)</x:f>
      </x:c>
      <x:c r="K225" s="34" t="n">
        <x:v>0.05</x:v>
      </x:c>
      <x:c r="L225" s="31" t="str"/>
      <x:c r="M225" s="31" t="str"/>
      <x:c r="N225" s="28" t="str">
        <x:f>IF(M225="","OPEN",IF(OR(L225="",NOT(ISNUMBER(I225))),"FAIL",IF(ABS(J225)&lt;=K225,"PASS","FAIL")))</x:f>
        <x:v>OPEN</x:v>
      </x:c>
    </x:row>
    <x:row r="226">
      <x:c r="B226" s="28" t="str">
        <x:v>CR-CAL-PEA-C-Y3-RFP-A2-04</x:v>
      </x:c>
      <x:c r="C226" s="28" t="str">
        <x:v>CAL-PEA-C-Y3-RFP-A2</x:v>
      </x:c>
      <x:c r="D226" s="28" t="str">
        <x:v>PEA-C-Y3</x:v>
      </x:c>
      <x:c r="E226" s="28" t="str">
        <x:v>RFP-A2</x:v>
      </x:c>
      <x:c r="F226" s="28" t="n">
        <x:v>4</x:v>
      </x:c>
      <x:c r="G226" s="28" t="str">
        <x:v>temperature</x:v>
      </x:c>
      <x:c r="H226" s="34" t="n">
        <x:v>1</x:v>
      </x:c>
      <x:c r="I226" s="35" t="str"/>
      <x:c r="J226" s="34" t="str">
        <x:f>IF(OR(NOT(ISNUMBER(H226)),NOT(ISNUMBER(I226))),"",I226-H226)</x:f>
      </x:c>
      <x:c r="K226" s="34" t="n">
        <x:v>0.05</x:v>
      </x:c>
      <x:c r="L226" s="31" t="str"/>
      <x:c r="M226" s="31" t="str"/>
      <x:c r="N226" s="28" t="str">
        <x:f>IF(M226="","OPEN",IF(OR(L226="",NOT(ISNUMBER(I226))),"FAIL",IF(ABS(J226)&lt;=K226,"PASS","FAIL")))</x:f>
        <x:v>OPEN</x:v>
      </x:c>
    </x:row>
    <x:row r="227">
      <x:c r="B227" s="28" t="str">
        <x:v>CR-CAL-PEA-C-Y3-RFP-A2-05</x:v>
      </x:c>
      <x:c r="C227" s="28" t="str">
        <x:v>CAL-PEA-C-Y3-RFP-A2</x:v>
      </x:c>
      <x:c r="D227" s="28" t="str">
        <x:v>PEA-C-Y3</x:v>
      </x:c>
      <x:c r="E227" s="28" t="str">
        <x:v>RFP-A2</x:v>
      </x:c>
      <x:c r="F227" s="28" t="n">
        <x:v>5</x:v>
      </x:c>
      <x:c r="G227" s="28" t="str">
        <x:v>hold-up tomography</x:v>
      </x:c>
      <x:c r="H227" s="34" t="n">
        <x:v>1</x:v>
      </x:c>
      <x:c r="I227" s="35" t="str"/>
      <x:c r="J227" s="34" t="str">
        <x:f>IF(OR(NOT(ISNUMBER(H227)),NOT(ISNUMBER(I227))),"",I227-H227)</x:f>
      </x:c>
      <x:c r="K227" s="34" t="n">
        <x:v>0.05</x:v>
      </x:c>
      <x:c r="L227" s="31" t="str"/>
      <x:c r="M227" s="31" t="str"/>
      <x:c r="N227" s="28" t="str">
        <x:f>IF(M227="","OPEN",IF(OR(L227="",NOT(ISNUMBER(I227))),"FAIL",IF(ABS(J227)&lt;=K227,"PASS","FAIL")))</x:f>
        <x:v>OPEN</x:v>
      </x:c>
    </x:row>
    <x:row r="228">
      <x:c r="B228" s="28" t="str">
        <x:v>CR-CAL-PEA-C-Y3-RFP-A2-06</x:v>
      </x:c>
      <x:c r="C228" s="28" t="str">
        <x:v>CAL-PEA-C-Y3-RFP-A2</x:v>
      </x:c>
      <x:c r="D228" s="28" t="str">
        <x:v>PEA-C-Y3</x:v>
      </x:c>
      <x:c r="E228" s="28" t="str">
        <x:v>RFP-A2</x:v>
      </x:c>
      <x:c r="F228" s="28" t="n">
        <x:v>6</x:v>
      </x:c>
      <x:c r="G228" s="28" t="str">
        <x:v>pan level</x:v>
      </x:c>
      <x:c r="H228" s="34" t="n">
        <x:v>1</x:v>
      </x:c>
      <x:c r="I228" s="35" t="str"/>
      <x:c r="J228" s="34" t="str">
        <x:f>IF(OR(NOT(ISNUMBER(H228)),NOT(ISNUMBER(I228))),"",I228-H228)</x:f>
      </x:c>
      <x:c r="K228" s="34" t="n">
        <x:v>0.05</x:v>
      </x:c>
      <x:c r="L228" s="31" t="str"/>
      <x:c r="M228" s="31" t="str"/>
      <x:c r="N228" s="28" t="str">
        <x:f>IF(M228="","OPEN",IF(OR(L228="",NOT(ISNUMBER(I228))),"FAIL",IF(ABS(J228)&lt;=K228,"PASS","FAIL")))</x:f>
        <x:v>OPEN</x:v>
      </x:c>
    </x:row>
    <x:row r="229">
      <x:c r="B229" s="28" t="str">
        <x:v>CR-CAL-PEA-C-Y3-RFP-A2-07</x:v>
      </x:c>
      <x:c r="C229" s="28" t="str">
        <x:v>CAL-PEA-C-Y3-RFP-A2</x:v>
      </x:c>
      <x:c r="D229" s="28" t="str">
        <x:v>PEA-C-Y3</x:v>
      </x:c>
      <x:c r="E229" s="28" t="str">
        <x:v>RFP-A2</x:v>
      </x:c>
      <x:c r="F229" s="28" t="n">
        <x:v>7</x:v>
      </x:c>
      <x:c r="G229" s="28" t="str">
        <x:v>receiver mass</x:v>
      </x:c>
      <x:c r="H229" s="34" t="n">
        <x:v>1</x:v>
      </x:c>
      <x:c r="I229" s="35" t="str"/>
      <x:c r="J229" s="34" t="str">
        <x:f>IF(OR(NOT(ISNUMBER(H229)),NOT(ISNUMBER(I229))),"",I229-H229)</x:f>
      </x:c>
      <x:c r="K229" s="34" t="n">
        <x:v>0.05</x:v>
      </x:c>
      <x:c r="L229" s="31" t="str"/>
      <x:c r="M229" s="31" t="str"/>
      <x:c r="N229" s="28" t="str">
        <x:f>IF(M229="","OPEN",IF(OR(L229="",NOT(ISNUMBER(I229))),"FAIL",IF(ABS(J229)&lt;=K229,"PASS","FAIL")))</x:f>
        <x:v>OPEN</x:v>
      </x:c>
    </x:row>
    <x:row r="230">
      <x:c r="B230" s="28" t="str">
        <x:v>CR-CAL-PEA-C-Y3-RFP-A2-08</x:v>
      </x:c>
      <x:c r="C230" s="28" t="str">
        <x:v>CAL-PEA-C-Y3-RFP-A2</x:v>
      </x:c>
      <x:c r="D230" s="28" t="str">
        <x:v>PEA-C-Y3</x:v>
      </x:c>
      <x:c r="E230" s="28" t="str">
        <x:v>RFP-A2</x:v>
      </x:c>
      <x:c r="F230" s="28" t="n">
        <x:v>8</x:v>
      </x:c>
      <x:c r="G230" s="28" t="str">
        <x:v>geometry and slope</x:v>
      </x:c>
      <x:c r="H230" s="34" t="n">
        <x:v>1</x:v>
      </x:c>
      <x:c r="I230" s="35" t="str"/>
      <x:c r="J230" s="34" t="str">
        <x:f>IF(OR(NOT(ISNUMBER(H230)),NOT(ISNUMBER(I230))),"",I230-H230)</x:f>
      </x:c>
      <x:c r="K230" s="34" t="n">
        <x:v>0.05</x:v>
      </x:c>
      <x:c r="L230" s="31" t="str"/>
      <x:c r="M230" s="31" t="str"/>
      <x:c r="N230" s="28" t="str">
        <x:f>IF(M230="","OPEN",IF(OR(L230="",NOT(ISNUMBER(I230))),"FAIL",IF(ABS(J230)&lt;=K230,"PASS","FAIL")))</x:f>
        <x:v>OPEN</x:v>
      </x:c>
    </x:row>
    <x:row r="231">
      <x:c r="B231" s="28" t="str">
        <x:v>CR-CAL-PEA-C-Y3-RFP-A2-09</x:v>
      </x:c>
      <x:c r="C231" s="28" t="str">
        <x:v>CAL-PEA-C-Y3-RFP-A2</x:v>
      </x:c>
      <x:c r="D231" s="28" t="str">
        <x:v>PEA-C-Y3</x:v>
      </x:c>
      <x:c r="E231" s="28" t="str">
        <x:v>RFP-A2</x:v>
      </x:c>
      <x:c r="F231" s="28" t="n">
        <x:v>9</x:v>
      </x:c>
      <x:c r="G231" s="28" t="str">
        <x:v>primary state witness</x:v>
      </x:c>
      <x:c r="H231" s="34" t="n">
        <x:v>1</x:v>
      </x:c>
      <x:c r="I231" s="35" t="str"/>
      <x:c r="J231" s="34" t="str">
        <x:f>IF(OR(NOT(ISNUMBER(H231)),NOT(ISNUMBER(I231))),"",I231-H231)</x:f>
      </x:c>
      <x:c r="K231" s="34" t="n">
        <x:v>0.05</x:v>
      </x:c>
      <x:c r="L231" s="31" t="str"/>
      <x:c r="M231" s="31" t="str"/>
      <x:c r="N231" s="28" t="str">
        <x:f>IF(M231="","OPEN",IF(OR(L231="",NOT(ISNUMBER(I231))),"FAIL",IF(ABS(J231)&lt;=K231,"PASS","FAIL")))</x:f>
        <x:v>OPEN</x:v>
      </x:c>
    </x:row>
    <x:row r="232">
      <x:c r="B232" s="28" t="str">
        <x:v>CR-CAL-PEA-C-Y3-RFP-A2-10</x:v>
      </x:c>
      <x:c r="C232" s="28" t="str">
        <x:v>CAL-PEA-C-Y3-RFP-A2</x:v>
      </x:c>
      <x:c r="D232" s="28" t="str">
        <x:v>PEA-C-Y3</x:v>
      </x:c>
      <x:c r="E232" s="28" t="str">
        <x:v>RFP-A2</x:v>
      </x:c>
      <x:c r="F232" s="28" t="n">
        <x:v>10</x:v>
      </x:c>
      <x:c r="G232" s="28" t="str">
        <x:v>diverse state witness</x:v>
      </x:c>
      <x:c r="H232" s="34" t="n">
        <x:v>1</x:v>
      </x:c>
      <x:c r="I232" s="35" t="str"/>
      <x:c r="J232" s="34" t="str">
        <x:f>IF(OR(NOT(ISNUMBER(H232)),NOT(ISNUMBER(I232))),"",I232-H232)</x:f>
      </x:c>
      <x:c r="K232" s="34" t="n">
        <x:v>0.05</x:v>
      </x:c>
      <x:c r="L232" s="31" t="str"/>
      <x:c r="M232" s="31" t="str"/>
      <x:c r="N232" s="28" t="str">
        <x:f>IF(M232="","OPEN",IF(OR(L232="",NOT(ISNUMBER(I232))),"FAIL",IF(ABS(J232)&lt;=K232,"PASS","FAIL")))</x:f>
        <x:v>OPEN</x:v>
      </x:c>
    </x:row>
    <x:row r="233">
      <x:c r="B233" s="28" t="str">
        <x:v>CR-CAL-PEA-C-Y3-RFP-A2-11</x:v>
      </x:c>
      <x:c r="C233" s="28" t="str">
        <x:v>CAL-PEA-C-Y3-RFP-A2</x:v>
      </x:c>
      <x:c r="D233" s="28" t="str">
        <x:v>PEA-C-Y3</x:v>
      </x:c>
      <x:c r="E233" s="28" t="str">
        <x:v>RFP-A2</x:v>
      </x:c>
      <x:c r="F233" s="28" t="n">
        <x:v>11</x:v>
      </x:c>
      <x:c r="G233" s="28" t="str">
        <x:v>manual state witness</x:v>
      </x:c>
      <x:c r="H233" s="34" t="n">
        <x:v>1</x:v>
      </x:c>
      <x:c r="I233" s="35" t="str"/>
      <x:c r="J233" s="34" t="str">
        <x:f>IF(OR(NOT(ISNUMBER(H233)),NOT(ISNUMBER(I233))),"",I233-H233)</x:f>
      </x:c>
      <x:c r="K233" s="34" t="n">
        <x:v>0.05</x:v>
      </x:c>
      <x:c r="L233" s="31" t="str"/>
      <x:c r="M233" s="31" t="str"/>
      <x:c r="N233" s="28" t="str">
        <x:f>IF(M233="","OPEN",IF(OR(L233="",NOT(ISNUMBER(I233))),"FAIL",IF(ABS(J233)&lt;=K233,"PASS","FAIL")))</x:f>
        <x:v>OPEN</x:v>
      </x:c>
    </x:row>
    <x:row r="234">
      <x:c r="B234" s="28" t="str">
        <x:v>CR-CAL-PEA-C-Y3-RFP-A2-12</x:v>
      </x:c>
      <x:c r="C234" s="28" t="str">
        <x:v>CAL-PEA-C-Y3-RFP-A2</x:v>
      </x:c>
      <x:c r="D234" s="28" t="str">
        <x:v>PEA-C-Y3</x:v>
      </x:c>
      <x:c r="E234" s="28" t="str">
        <x:v>RFP-A2</x:v>
      </x:c>
      <x:c r="F234" s="28" t="n">
        <x:v>12</x:v>
      </x:c>
      <x:c r="G234" s="28" t="str">
        <x:v>final-element reference</x:v>
      </x:c>
      <x:c r="H234" s="34" t="n">
        <x:v>1</x:v>
      </x:c>
      <x:c r="I234" s="35" t="str"/>
      <x:c r="J234" s="34" t="str">
        <x:f>IF(OR(NOT(ISNUMBER(H234)),NOT(ISNUMBER(I234))),"",I234-H234)</x:f>
      </x:c>
      <x:c r="K234" s="34" t="n">
        <x:v>0.05</x:v>
      </x:c>
      <x:c r="L234" s="31" t="str"/>
      <x:c r="M234" s="31" t="str"/>
      <x:c r="N234" s="28" t="str">
        <x:f>IF(M234="","OPEN",IF(OR(L234="",NOT(ISNUMBER(I234))),"FAIL",IF(ABS(J234)&lt;=K234,"PASS","FAIL")))</x:f>
        <x:v>OPEN</x:v>
      </x:c>
    </x:row>
    <x:row r="235">
      <x:c r="B235" s="28" t="str">
        <x:v>CR-CAL-PEA-C-Y3-RFP-A2-13</x:v>
      </x:c>
      <x:c r="C235" s="28" t="str">
        <x:v>CAL-PEA-C-Y3-RFP-A2</x:v>
      </x:c>
      <x:c r="D235" s="28" t="str">
        <x:v>PEA-C-Y3</x:v>
      </x:c>
      <x:c r="E235" s="28" t="str">
        <x:v>RFP-A2</x:v>
      </x:c>
      <x:c r="F235" s="28" t="n">
        <x:v>13</x:v>
      </x:c>
      <x:c r="G235" s="28" t="str">
        <x:v>causal time</x:v>
      </x:c>
      <x:c r="H235" s="34" t="n">
        <x:v>1</x:v>
      </x:c>
      <x:c r="I235" s="35" t="str"/>
      <x:c r="J235" s="34" t="str">
        <x:f>IF(OR(NOT(ISNUMBER(H235)),NOT(ISNUMBER(I235))),"",I235-H235)</x:f>
      </x:c>
      <x:c r="K235" s="34" t="n">
        <x:v>0.05</x:v>
      </x:c>
      <x:c r="L235" s="31" t="str"/>
      <x:c r="M235" s="31" t="str"/>
      <x:c r="N235" s="28" t="str">
        <x:f>IF(M235="","OPEN",IF(OR(L235="",NOT(ISNUMBER(I235))),"FAIL",IF(ABS(J235)&lt;=K235,"PASS","FAIL")))</x:f>
        <x:v>OPEN</x:v>
      </x:c>
    </x:row>
    <x:row r="236">
      <x:c r="B236" s="28" t="str">
        <x:v>CR-CAL-PEA-C-Y3-RFP-A2-14</x:v>
      </x:c>
      <x:c r="C236" s="28" t="str">
        <x:v>CAL-PEA-C-Y3-RFP-A2</x:v>
      </x:c>
      <x:c r="D236" s="28" t="str">
        <x:v>PEA-C-Y3</x:v>
      </x:c>
      <x:c r="E236" s="28" t="str">
        <x:v>RFP-A2</x:v>
      </x:c>
      <x:c r="F236" s="28" t="n">
        <x:v>14</x:v>
      </x:c>
      <x:c r="G236" s="28" t="str">
        <x:v>motive energy</x:v>
      </x:c>
      <x:c r="H236" s="34" t="n">
        <x:v>1</x:v>
      </x:c>
      <x:c r="I236" s="35" t="str"/>
      <x:c r="J236" s="34" t="str">
        <x:f>IF(OR(NOT(ISNUMBER(H236)),NOT(ISNUMBER(I236))),"",I236-H236)</x:f>
      </x:c>
      <x:c r="K236" s="34" t="n">
        <x:v>0.05</x:v>
      </x:c>
      <x:c r="L236" s="31" t="str"/>
      <x:c r="M236" s="31" t="str"/>
      <x:c r="N236" s="28" t="str">
        <x:f>IF(M236="","OPEN",IF(OR(L236="",NOT(ISNUMBER(I236))),"FAIL",IF(ABS(J236)&lt;=K236,"PASS","FAIL")))</x:f>
        <x:v>OPEN</x:v>
      </x:c>
    </x:row>
    <x:row r="237">
      <x:c r="B237" s="28" t="str">
        <x:v>CR-CAL-PEA-C-Y3-RFP-A2-15</x:v>
      </x:c>
      <x:c r="C237" s="28" t="str">
        <x:v>CAL-PEA-C-Y3-RFP-A2</x:v>
      </x:c>
      <x:c r="D237" s="28" t="str">
        <x:v>PEA-C-Y3</x:v>
      </x:c>
      <x:c r="E237" s="28" t="str">
        <x:v>RFP-A2</x:v>
      </x:c>
      <x:c r="F237" s="28" t="n">
        <x:v>15</x:v>
      </x:c>
      <x:c r="G237" s="28" t="str">
        <x:v>normal electrical power</x:v>
      </x:c>
      <x:c r="H237" s="34" t="n">
        <x:v>1</x:v>
      </x:c>
      <x:c r="I237" s="35" t="str"/>
      <x:c r="J237" s="34" t="str">
        <x:f>IF(OR(NOT(ISNUMBER(H237)),NOT(ISNUMBER(I237))),"",I237-H237)</x:f>
      </x:c>
      <x:c r="K237" s="34" t="n">
        <x:v>0.05</x:v>
      </x:c>
      <x:c r="L237" s="31" t="str"/>
      <x:c r="M237" s="31" t="str"/>
      <x:c r="N237" s="28" t="str">
        <x:f>IF(M237="","OPEN",IF(OR(L237="",NOT(ISNUMBER(I237))),"FAIL",IF(ABS(J237)&lt;=K237,"PASS","FAIL")))</x:f>
        <x:v>OPEN</x:v>
      </x:c>
    </x:row>
    <x:row r="238">
      <x:c r="B238" s="28" t="str">
        <x:v>CR-CAL-PEA-C-Y3-RFP-A2-16</x:v>
      </x:c>
      <x:c r="C238" s="28" t="str">
        <x:v>CAL-PEA-C-Y3-RFP-A2</x:v>
      </x:c>
      <x:c r="D238" s="28" t="str">
        <x:v>PEA-C-Y3</x:v>
      </x:c>
      <x:c r="E238" s="28" t="str">
        <x:v>RFP-A2</x:v>
      </x:c>
      <x:c r="F238" s="28" t="n">
        <x:v>16</x:v>
      </x:c>
      <x:c r="G238" s="28" t="str">
        <x:v>independent power</x:v>
      </x:c>
      <x:c r="H238" s="34" t="n">
        <x:v>1</x:v>
      </x:c>
      <x:c r="I238" s="35" t="str"/>
      <x:c r="J238" s="34" t="str">
        <x:f>IF(OR(NOT(ISNUMBER(H238)),NOT(ISNUMBER(I238))),"",I238-H238)</x:f>
      </x:c>
      <x:c r="K238" s="34" t="n">
        <x:v>0.05</x:v>
      </x:c>
      <x:c r="L238" s="31" t="str"/>
      <x:c r="M238" s="31" t="str"/>
      <x:c r="N238" s="28" t="str">
        <x:f>IF(M238="","OPEN",IF(OR(L238="",NOT(ISNUMBER(I238))),"FAIL",IF(ABS(J238)&lt;=K238,"PASS","FAIL")))</x:f>
        <x:v>OPEN</x:v>
      </x:c>
    </x:row>
    <x:row r="239">
      <x:c r="B239" s="28" t="str">
        <x:v>CR-CAL-PEA-C-Y3-RFP-A2-17</x:v>
      </x:c>
      <x:c r="C239" s="28" t="str">
        <x:v>CAL-PEA-C-Y3-RFP-A2</x:v>
      </x:c>
      <x:c r="D239" s="28" t="str">
        <x:v>PEA-C-Y3</x:v>
      </x:c>
      <x:c r="E239" s="28" t="str">
        <x:v>RFP-A2</x:v>
      </x:c>
      <x:c r="F239" s="28" t="n">
        <x:v>17</x:v>
      </x:c>
      <x:c r="G239" s="28" t="str">
        <x:v>leak collection</x:v>
      </x:c>
      <x:c r="H239" s="34" t="n">
        <x:v>1</x:v>
      </x:c>
      <x:c r="I239" s="35" t="str"/>
      <x:c r="J239" s="34" t="str">
        <x:f>IF(OR(NOT(ISNUMBER(H239)),NOT(ISNUMBER(I239))),"",I239-H239)</x:f>
      </x:c>
      <x:c r="K239" s="34" t="n">
        <x:v>0.05</x:v>
      </x:c>
      <x:c r="L239" s="31" t="str"/>
      <x:c r="M239" s="31" t="str"/>
      <x:c r="N239" s="28" t="str">
        <x:f>IF(M239="","OPEN",IF(OR(L239="",NOT(ISNUMBER(I239))),"FAIL",IF(ABS(J239)&lt;=K239,"PASS","FAIL")))</x:f>
        <x:v>OPEN</x:v>
      </x:c>
    </x:row>
    <x:row r="240">
      <x:c r="B240" s="28" t="str">
        <x:v>CR-CAL-PEA-C-Y3-RFP-A2-18</x:v>
      </x:c>
      <x:c r="C240" s="28" t="str">
        <x:v>CAL-PEA-C-Y3-RFP-A2</x:v>
      </x:c>
      <x:c r="D240" s="28" t="str">
        <x:v>PEA-C-Y3</x:v>
      </x:c>
      <x:c r="E240" s="28" t="str">
        <x:v>RFP-A2</x:v>
      </x:c>
      <x:c r="F240" s="28" t="n">
        <x:v>18</x:v>
      </x:c>
      <x:c r="G240" s="28" t="str">
        <x:v>occupied area</x:v>
      </x:c>
      <x:c r="H240" s="34" t="n">
        <x:v>1</x:v>
      </x:c>
      <x:c r="I240" s="35" t="str"/>
      <x:c r="J240" s="34" t="str">
        <x:f>IF(OR(NOT(ISNUMBER(H240)),NOT(ISNUMBER(I240))),"",I240-H240)</x:f>
      </x:c>
      <x:c r="K240" s="34" t="n">
        <x:v>0.05</x:v>
      </x:c>
      <x:c r="L240" s="31" t="str"/>
      <x:c r="M240" s="31" t="str"/>
      <x:c r="N240" s="28" t="str">
        <x:f>IF(M240="","OPEN",IF(OR(L240="",NOT(ISNUMBER(I240))),"FAIL",IF(ABS(J240)&lt;=K240,"PASS","FAIL")))</x:f>
        <x:v>OPEN</x:v>
      </x:c>
    </x:row>
    <x:row r="241">
      <x:c r="B241" s="28" t="str">
        <x:v>CR-CAL-PEA-C-Y3-RFP-A2-19</x:v>
      </x:c>
      <x:c r="C241" s="28" t="str">
        <x:v>CAL-PEA-C-Y3-RFP-A2</x:v>
      </x:c>
      <x:c r="D241" s="28" t="str">
        <x:v>PEA-C-Y3</x:v>
      </x:c>
      <x:c r="E241" s="28" t="str">
        <x:v>RFP-A2</x:v>
      </x:c>
      <x:c r="F241" s="28" t="n">
        <x:v>19</x:v>
      </x:c>
      <x:c r="G241" s="28" t="str">
        <x:v>water flow</x:v>
      </x:c>
      <x:c r="H241" s="34" t="n">
        <x:v>1</x:v>
      </x:c>
      <x:c r="I241" s="35" t="str"/>
      <x:c r="J241" s="34" t="str">
        <x:f>IF(OR(NOT(ISNUMBER(H241)),NOT(ISNUMBER(I241))),"",I241-H241)</x:f>
      </x:c>
      <x:c r="K241" s="34" t="n">
        <x:v>0.05</x:v>
      </x:c>
      <x:c r="L241" s="31" t="str"/>
      <x:c r="M241" s="31" t="str"/>
      <x:c r="N241" s="28" t="str">
        <x:f>IF(M241="","OPEN",IF(OR(L241="",NOT(ISNUMBER(I241))),"FAIL",IF(ABS(J241)&lt;=K241,"PASS","FAIL")))</x:f>
        <x:v>OPEN</x:v>
      </x:c>
    </x:row>
    <x:row r="242">
      <x:c r="B242" s="28" t="str">
        <x:v>CR-CAL-PEA-C-Y3-RFP-A2-20</x:v>
      </x:c>
      <x:c r="C242" s="28" t="str">
        <x:v>CAL-PEA-C-Y3-RFP-A2</x:v>
      </x:c>
      <x:c r="D242" s="28" t="str">
        <x:v>PEA-C-Y3</x:v>
      </x:c>
      <x:c r="E242" s="28" t="str">
        <x:v>RFP-A2</x:v>
      </x:c>
      <x:c r="F242" s="28" t="n">
        <x:v>20</x:v>
      </x:c>
      <x:c r="G242" s="28" t="str">
        <x:v>source ancestry root A</x:v>
      </x:c>
      <x:c r="H242" s="34" t="n">
        <x:v>1</x:v>
      </x:c>
      <x:c r="I242" s="35" t="str"/>
      <x:c r="J242" s="34" t="str">
        <x:f>IF(OR(NOT(ISNUMBER(H242)),NOT(ISNUMBER(I242))),"",I242-H242)</x:f>
      </x:c>
      <x:c r="K242" s="34" t="n">
        <x:v>0.05</x:v>
      </x:c>
      <x:c r="L242" s="31" t="str"/>
      <x:c r="M242" s="31" t="str"/>
      <x:c r="N242" s="28" t="str">
        <x:f>IF(M242="","OPEN",IF(OR(L242="",NOT(ISNUMBER(I242))),"FAIL",IF(ABS(J242)&lt;=K242,"PASS","FAIL")))</x:f>
        <x:v>OPEN</x:v>
      </x:c>
    </x:row>
    <x:row r="243">
      <x:c r="B243" s="28" t="str">
        <x:v>CR-CAL-PEA-C-Y3-RFP-A2-21</x:v>
      </x:c>
      <x:c r="C243" s="28" t="str">
        <x:v>CAL-PEA-C-Y3-RFP-A2</x:v>
      </x:c>
      <x:c r="D243" s="28" t="str">
        <x:v>PEA-C-Y3</x:v>
      </x:c>
      <x:c r="E243" s="28" t="str">
        <x:v>RFP-A2</x:v>
      </x:c>
      <x:c r="F243" s="28" t="n">
        <x:v>21</x:v>
      </x:c>
      <x:c r="G243" s="28" t="str">
        <x:v>source ancestry root B</x:v>
      </x:c>
      <x:c r="H243" s="34" t="n">
        <x:v>1</x:v>
      </x:c>
      <x:c r="I243" s="35" t="str"/>
      <x:c r="J243" s="34" t="str">
        <x:f>IF(OR(NOT(ISNUMBER(H243)),NOT(ISNUMBER(I243))),"",I243-H243)</x:f>
      </x:c>
      <x:c r="K243" s="34" t="n">
        <x:v>0.05</x:v>
      </x:c>
      <x:c r="L243" s="31" t="str"/>
      <x:c r="M243" s="31" t="str"/>
      <x:c r="N243" s="28" t="str">
        <x:f>IF(M243="","OPEN",IF(OR(L243="",NOT(ISNUMBER(I243))),"FAIL",IF(ABS(J243)&lt;=K243,"PASS","FAIL")))</x:f>
        <x:v>OPEN</x:v>
      </x:c>
    </x:row>
    <x:row r="244">
      <x:c r="B244" s="28" t="str">
        <x:v>CR-CAL-PEA-C-Y3-RFP-A2-22</x:v>
      </x:c>
      <x:c r="C244" s="28" t="str">
        <x:v>CAL-PEA-C-Y3-RFP-A2</x:v>
      </x:c>
      <x:c r="D244" s="28" t="str">
        <x:v>PEA-C-Y3</x:v>
      </x:c>
      <x:c r="E244" s="28" t="str">
        <x:v>RFP-A2</x:v>
      </x:c>
      <x:c r="F244" s="28" t="n">
        <x:v>22</x:v>
      </x:c>
      <x:c r="G244" s="28" t="str">
        <x:v>environmental release</x:v>
      </x:c>
      <x:c r="H244" s="34" t="n">
        <x:v>1</x:v>
      </x:c>
      <x:c r="I244" s="35" t="str"/>
      <x:c r="J244" s="34" t="str">
        <x:f>IF(OR(NOT(ISNUMBER(H244)),NOT(ISNUMBER(I244))),"",I244-H244)</x:f>
      </x:c>
      <x:c r="K244" s="34" t="n">
        <x:v>0.05</x:v>
      </x:c>
      <x:c r="L244" s="31" t="str"/>
      <x:c r="M244" s="31" t="str"/>
      <x:c r="N244" s="28" t="str">
        <x:f>IF(M244="","OPEN",IF(OR(L244="",NOT(ISNUMBER(I244))),"FAIL",IF(ABS(J244)&lt;=K244,"PASS","FAIL")))</x:f>
        <x:v>OPEN</x:v>
      </x:c>
    </x:row>
    <x:row r="245">
      <x:c r="B245" s="28" t="str">
        <x:v>CR-CAL-PEA-C-Y3-RFP-A2-23</x:v>
      </x:c>
      <x:c r="C245" s="28" t="str">
        <x:v>CAL-PEA-C-Y3-RFP-A2</x:v>
      </x:c>
      <x:c r="D245" s="28" t="str">
        <x:v>PEA-C-Y3</x:v>
      </x:c>
      <x:c r="E245" s="28" t="str">
        <x:v>RFP-A2</x:v>
      </x:c>
      <x:c r="F245" s="28" t="n">
        <x:v>23</x:v>
      </x:c>
      <x:c r="G245" s="28" t="str">
        <x:v>image trigger</x:v>
      </x:c>
      <x:c r="H245" s="34" t="n">
        <x:v>1</x:v>
      </x:c>
      <x:c r="I245" s="35" t="str"/>
      <x:c r="J245" s="34" t="str">
        <x:f>IF(OR(NOT(ISNUMBER(H245)),NOT(ISNUMBER(I245))),"",I245-H245)</x:f>
      </x:c>
      <x:c r="K245" s="34" t="n">
        <x:v>0.05</x:v>
      </x:c>
      <x:c r="L245" s="31" t="str"/>
      <x:c r="M245" s="31" t="str"/>
      <x:c r="N245" s="28" t="str">
        <x:f>IF(M245="","OPEN",IF(OR(L245="",NOT(ISNUMBER(I245))),"FAIL",IF(ABS(J245)&lt;=K245,"PASS","FAIL")))</x:f>
        <x:v>OPEN</x:v>
      </x:c>
    </x:row>
    <x:row r="246">
      <x:c r="B246" s="28" t="str">
        <x:v>CR-CAL-PEA-C-Y3-RFP-A2-24</x:v>
      </x:c>
      <x:c r="C246" s="28" t="str">
        <x:v>CAL-PEA-C-Y3-RFP-A2</x:v>
      </x:c>
      <x:c r="D246" s="28" t="str">
        <x:v>PEA-C-Y3</x:v>
      </x:c>
      <x:c r="E246" s="28" t="str">
        <x:v>RFP-A2</x:v>
      </x:c>
      <x:c r="F246" s="28" t="n">
        <x:v>24</x:v>
      </x:c>
      <x:c r="G246" s="28" t="str">
        <x:v>evidence health</x:v>
      </x:c>
      <x:c r="H246" s="34" t="n">
        <x:v>1</x:v>
      </x:c>
      <x:c r="I246" s="35" t="str"/>
      <x:c r="J246" s="34" t="str">
        <x:f>IF(OR(NOT(ISNUMBER(H246)),NOT(ISNUMBER(I246))),"",I246-H246)</x:f>
      </x:c>
      <x:c r="K246" s="34" t="n">
        <x:v>0.05</x:v>
      </x:c>
      <x:c r="L246" s="31" t="str"/>
      <x:c r="M246" s="31" t="str"/>
      <x:c r="N246" s="28" t="str">
        <x:f>IF(M246="","OPEN",IF(OR(L246="",NOT(ISNUMBER(I246))),"FAIL",IF(ABS(J246)&lt;=K246,"PASS","FAIL")))</x:f>
        <x:v>OPEN</x:v>
      </x:c>
    </x:row>
    <x:row r="247">
      <x:c r="B247" s="28" t="str">
        <x:v>CR-CAL-PEA-A-X3-RFP-B2-01</x:v>
      </x:c>
      <x:c r="C247" s="28" t="str">
        <x:v>CAL-PEA-A-X3-RFP-B2</x:v>
      </x:c>
      <x:c r="D247" s="28" t="str">
        <x:v>PEA-A-X3</x:v>
      </x:c>
      <x:c r="E247" s="28" t="str">
        <x:v>RFP-B2</x:v>
      </x:c>
      <x:c r="F247" s="28" t="n">
        <x:v>1</x:v>
      </x:c>
      <x:c r="G247" s="28" t="str">
        <x:v>vessel mass</x:v>
      </x:c>
      <x:c r="H247" s="34" t="n">
        <x:v>1</x:v>
      </x:c>
      <x:c r="I247" s="35" t="str"/>
      <x:c r="J247" s="34" t="str">
        <x:f>IF(OR(NOT(ISNUMBER(H247)),NOT(ISNUMBER(I247))),"",I247-H247)</x:f>
      </x:c>
      <x:c r="K247" s="34" t="n">
        <x:v>0.05</x:v>
      </x:c>
      <x:c r="L247" s="31" t="str"/>
      <x:c r="M247" s="31" t="str"/>
      <x:c r="N247" s="28" t="str">
        <x:f>IF(M247="","OPEN",IF(OR(L247="",NOT(ISNUMBER(I247))),"FAIL",IF(ABS(J247)&lt;=K247,"PASS","FAIL")))</x:f>
        <x:v>OPEN</x:v>
      </x:c>
    </x:row>
    <x:row r="248">
      <x:c r="B248" s="28" t="str">
        <x:v>CR-CAL-PEA-A-X3-RFP-B2-02</x:v>
      </x:c>
      <x:c r="C248" s="28" t="str">
        <x:v>CAL-PEA-A-X3-RFP-B2</x:v>
      </x:c>
      <x:c r="D248" s="28" t="str">
        <x:v>PEA-A-X3</x:v>
      </x:c>
      <x:c r="E248" s="28" t="str">
        <x:v>RFP-B2</x:v>
      </x:c>
      <x:c r="F248" s="28" t="n">
        <x:v>2</x:v>
      </x:c>
      <x:c r="G248" s="28" t="str">
        <x:v>integrated transfer mass</x:v>
      </x:c>
      <x:c r="H248" s="34" t="n">
        <x:v>1</x:v>
      </x:c>
      <x:c r="I248" s="35" t="str"/>
      <x:c r="J248" s="34" t="str">
        <x:f>IF(OR(NOT(ISNUMBER(H248)),NOT(ISNUMBER(I248))),"",I248-H248)</x:f>
      </x:c>
      <x:c r="K248" s="34" t="n">
        <x:v>0.05</x:v>
      </x:c>
      <x:c r="L248" s="31" t="str"/>
      <x:c r="M248" s="31" t="str"/>
      <x:c r="N248" s="28" t="str">
        <x:f>IF(M248="","OPEN",IF(OR(L248="",NOT(ISNUMBER(I248))),"FAIL",IF(ABS(J248)&lt;=K248,"PASS","FAIL")))</x:f>
        <x:v>OPEN</x:v>
      </x:c>
    </x:row>
    <x:row r="249">
      <x:c r="B249" s="28" t="str">
        <x:v>CR-CAL-PEA-A-X3-RFP-B2-03</x:v>
      </x:c>
      <x:c r="C249" s="28" t="str">
        <x:v>CAL-PEA-A-X3-RFP-B2</x:v>
      </x:c>
      <x:c r="D249" s="28" t="str">
        <x:v>PEA-A-X3</x:v>
      </x:c>
      <x:c r="E249" s="28" t="str">
        <x:v>RFP-B2</x:v>
      </x:c>
      <x:c r="F249" s="28" t="n">
        <x:v>3</x:v>
      </x:c>
      <x:c r="G249" s="28" t="str">
        <x:v>pressure</x:v>
      </x:c>
      <x:c r="H249" s="34" t="n">
        <x:v>1</x:v>
      </x:c>
      <x:c r="I249" s="35" t="str"/>
      <x:c r="J249" s="34" t="str">
        <x:f>IF(OR(NOT(ISNUMBER(H249)),NOT(ISNUMBER(I249))),"",I249-H249)</x:f>
      </x:c>
      <x:c r="K249" s="34" t="n">
        <x:v>0.05</x:v>
      </x:c>
      <x:c r="L249" s="31" t="str"/>
      <x:c r="M249" s="31" t="str"/>
      <x:c r="N249" s="28" t="str">
        <x:f>IF(M249="","OPEN",IF(OR(L249="",NOT(ISNUMBER(I249))),"FAIL",IF(ABS(J249)&lt;=K249,"PASS","FAIL")))</x:f>
        <x:v>OPEN</x:v>
      </x:c>
    </x:row>
    <x:row r="250">
      <x:c r="B250" s="28" t="str">
        <x:v>CR-CAL-PEA-A-X3-RFP-B2-04</x:v>
      </x:c>
      <x:c r="C250" s="28" t="str">
        <x:v>CAL-PEA-A-X3-RFP-B2</x:v>
      </x:c>
      <x:c r="D250" s="28" t="str">
        <x:v>PEA-A-X3</x:v>
      </x:c>
      <x:c r="E250" s="28" t="str">
        <x:v>RFP-B2</x:v>
      </x:c>
      <x:c r="F250" s="28" t="n">
        <x:v>4</x:v>
      </x:c>
      <x:c r="G250" s="28" t="str">
        <x:v>temperature</x:v>
      </x:c>
      <x:c r="H250" s="34" t="n">
        <x:v>1</x:v>
      </x:c>
      <x:c r="I250" s="35" t="str"/>
      <x:c r="J250" s="34" t="str">
        <x:f>IF(OR(NOT(ISNUMBER(H250)),NOT(ISNUMBER(I250))),"",I250-H250)</x:f>
      </x:c>
      <x:c r="K250" s="34" t="n">
        <x:v>0.05</x:v>
      </x:c>
      <x:c r="L250" s="31" t="str"/>
      <x:c r="M250" s="31" t="str"/>
      <x:c r="N250" s="28" t="str">
        <x:f>IF(M250="","OPEN",IF(OR(L250="",NOT(ISNUMBER(I250))),"FAIL",IF(ABS(J250)&lt;=K250,"PASS","FAIL")))</x:f>
        <x:v>OPEN</x:v>
      </x:c>
    </x:row>
    <x:row r="251">
      <x:c r="B251" s="28" t="str">
        <x:v>CR-CAL-PEA-A-X3-RFP-B2-05</x:v>
      </x:c>
      <x:c r="C251" s="28" t="str">
        <x:v>CAL-PEA-A-X3-RFP-B2</x:v>
      </x:c>
      <x:c r="D251" s="28" t="str">
        <x:v>PEA-A-X3</x:v>
      </x:c>
      <x:c r="E251" s="28" t="str">
        <x:v>RFP-B2</x:v>
      </x:c>
      <x:c r="F251" s="28" t="n">
        <x:v>5</x:v>
      </x:c>
      <x:c r="G251" s="28" t="str">
        <x:v>hold-up tomography</x:v>
      </x:c>
      <x:c r="H251" s="34" t="n">
        <x:v>1</x:v>
      </x:c>
      <x:c r="I251" s="35" t="str"/>
      <x:c r="J251" s="34" t="str">
        <x:f>IF(OR(NOT(ISNUMBER(H251)),NOT(ISNUMBER(I251))),"",I251-H251)</x:f>
      </x:c>
      <x:c r="K251" s="34" t="n">
        <x:v>0.05</x:v>
      </x:c>
      <x:c r="L251" s="31" t="str"/>
      <x:c r="M251" s="31" t="str"/>
      <x:c r="N251" s="28" t="str">
        <x:f>IF(M251="","OPEN",IF(OR(L251="",NOT(ISNUMBER(I251))),"FAIL",IF(ABS(J251)&lt;=K251,"PASS","FAIL")))</x:f>
        <x:v>OPEN</x:v>
      </x:c>
    </x:row>
    <x:row r="252">
      <x:c r="B252" s="28" t="str">
        <x:v>CR-CAL-PEA-A-X3-RFP-B2-06</x:v>
      </x:c>
      <x:c r="C252" s="28" t="str">
        <x:v>CAL-PEA-A-X3-RFP-B2</x:v>
      </x:c>
      <x:c r="D252" s="28" t="str">
        <x:v>PEA-A-X3</x:v>
      </x:c>
      <x:c r="E252" s="28" t="str">
        <x:v>RFP-B2</x:v>
      </x:c>
      <x:c r="F252" s="28" t="n">
        <x:v>6</x:v>
      </x:c>
      <x:c r="G252" s="28" t="str">
        <x:v>pan level</x:v>
      </x:c>
      <x:c r="H252" s="34" t="n">
        <x:v>1</x:v>
      </x:c>
      <x:c r="I252" s="35" t="str"/>
      <x:c r="J252" s="34" t="str">
        <x:f>IF(OR(NOT(ISNUMBER(H252)),NOT(ISNUMBER(I252))),"",I252-H252)</x:f>
      </x:c>
      <x:c r="K252" s="34" t="n">
        <x:v>0.05</x:v>
      </x:c>
      <x:c r="L252" s="31" t="str"/>
      <x:c r="M252" s="31" t="str"/>
      <x:c r="N252" s="28" t="str">
        <x:f>IF(M252="","OPEN",IF(OR(L252="",NOT(ISNUMBER(I252))),"FAIL",IF(ABS(J252)&lt;=K252,"PASS","FAIL")))</x:f>
        <x:v>OPEN</x:v>
      </x:c>
    </x:row>
    <x:row r="253">
      <x:c r="B253" s="28" t="str">
        <x:v>CR-CAL-PEA-A-X3-RFP-B2-07</x:v>
      </x:c>
      <x:c r="C253" s="28" t="str">
        <x:v>CAL-PEA-A-X3-RFP-B2</x:v>
      </x:c>
      <x:c r="D253" s="28" t="str">
        <x:v>PEA-A-X3</x:v>
      </x:c>
      <x:c r="E253" s="28" t="str">
        <x:v>RFP-B2</x:v>
      </x:c>
      <x:c r="F253" s="28" t="n">
        <x:v>7</x:v>
      </x:c>
      <x:c r="G253" s="28" t="str">
        <x:v>receiver mass</x:v>
      </x:c>
      <x:c r="H253" s="34" t="n">
        <x:v>1</x:v>
      </x:c>
      <x:c r="I253" s="35" t="str"/>
      <x:c r="J253" s="34" t="str">
        <x:f>IF(OR(NOT(ISNUMBER(H253)),NOT(ISNUMBER(I253))),"",I253-H253)</x:f>
      </x:c>
      <x:c r="K253" s="34" t="n">
        <x:v>0.05</x:v>
      </x:c>
      <x:c r="L253" s="31" t="str"/>
      <x:c r="M253" s="31" t="str"/>
      <x:c r="N253" s="28" t="str">
        <x:f>IF(M253="","OPEN",IF(OR(L253="",NOT(ISNUMBER(I253))),"FAIL",IF(ABS(J253)&lt;=K253,"PASS","FAIL")))</x:f>
        <x:v>OPEN</x:v>
      </x:c>
    </x:row>
    <x:row r="254">
      <x:c r="B254" s="28" t="str">
        <x:v>CR-CAL-PEA-A-X3-RFP-B2-08</x:v>
      </x:c>
      <x:c r="C254" s="28" t="str">
        <x:v>CAL-PEA-A-X3-RFP-B2</x:v>
      </x:c>
      <x:c r="D254" s="28" t="str">
        <x:v>PEA-A-X3</x:v>
      </x:c>
      <x:c r="E254" s="28" t="str">
        <x:v>RFP-B2</x:v>
      </x:c>
      <x:c r="F254" s="28" t="n">
        <x:v>8</x:v>
      </x:c>
      <x:c r="G254" s="28" t="str">
        <x:v>geometry and slope</x:v>
      </x:c>
      <x:c r="H254" s="34" t="n">
        <x:v>1</x:v>
      </x:c>
      <x:c r="I254" s="35" t="str"/>
      <x:c r="J254" s="34" t="str">
        <x:f>IF(OR(NOT(ISNUMBER(H254)),NOT(ISNUMBER(I254))),"",I254-H254)</x:f>
      </x:c>
      <x:c r="K254" s="34" t="n">
        <x:v>0.05</x:v>
      </x:c>
      <x:c r="L254" s="31" t="str"/>
      <x:c r="M254" s="31" t="str"/>
      <x:c r="N254" s="28" t="str">
        <x:f>IF(M254="","OPEN",IF(OR(L254="",NOT(ISNUMBER(I254))),"FAIL",IF(ABS(J254)&lt;=K254,"PASS","FAIL")))</x:f>
        <x:v>OPEN</x:v>
      </x:c>
    </x:row>
    <x:row r="255">
      <x:c r="B255" s="28" t="str">
        <x:v>CR-CAL-PEA-A-X3-RFP-B2-09</x:v>
      </x:c>
      <x:c r="C255" s="28" t="str">
        <x:v>CAL-PEA-A-X3-RFP-B2</x:v>
      </x:c>
      <x:c r="D255" s="28" t="str">
        <x:v>PEA-A-X3</x:v>
      </x:c>
      <x:c r="E255" s="28" t="str">
        <x:v>RFP-B2</x:v>
      </x:c>
      <x:c r="F255" s="28" t="n">
        <x:v>9</x:v>
      </x:c>
      <x:c r="G255" s="28" t="str">
        <x:v>primary state witness</x:v>
      </x:c>
      <x:c r="H255" s="34" t="n">
        <x:v>1</x:v>
      </x:c>
      <x:c r="I255" s="35" t="str"/>
      <x:c r="J255" s="34" t="str">
        <x:f>IF(OR(NOT(ISNUMBER(H255)),NOT(ISNUMBER(I255))),"",I255-H255)</x:f>
      </x:c>
      <x:c r="K255" s="34" t="n">
        <x:v>0.05</x:v>
      </x:c>
      <x:c r="L255" s="31" t="str"/>
      <x:c r="M255" s="31" t="str"/>
      <x:c r="N255" s="28" t="str">
        <x:f>IF(M255="","OPEN",IF(OR(L255="",NOT(ISNUMBER(I255))),"FAIL",IF(ABS(J255)&lt;=K255,"PASS","FAIL")))</x:f>
        <x:v>OPEN</x:v>
      </x:c>
    </x:row>
    <x:row r="256">
      <x:c r="B256" s="28" t="str">
        <x:v>CR-CAL-PEA-A-X3-RFP-B2-10</x:v>
      </x:c>
      <x:c r="C256" s="28" t="str">
        <x:v>CAL-PEA-A-X3-RFP-B2</x:v>
      </x:c>
      <x:c r="D256" s="28" t="str">
        <x:v>PEA-A-X3</x:v>
      </x:c>
      <x:c r="E256" s="28" t="str">
        <x:v>RFP-B2</x:v>
      </x:c>
      <x:c r="F256" s="28" t="n">
        <x:v>10</x:v>
      </x:c>
      <x:c r="G256" s="28" t="str">
        <x:v>diverse state witness</x:v>
      </x:c>
      <x:c r="H256" s="34" t="n">
        <x:v>1</x:v>
      </x:c>
      <x:c r="I256" s="35" t="str"/>
      <x:c r="J256" s="34" t="str">
        <x:f>IF(OR(NOT(ISNUMBER(H256)),NOT(ISNUMBER(I256))),"",I256-H256)</x:f>
      </x:c>
      <x:c r="K256" s="34" t="n">
        <x:v>0.05</x:v>
      </x:c>
      <x:c r="L256" s="31" t="str"/>
      <x:c r="M256" s="31" t="str"/>
      <x:c r="N256" s="28" t="str">
        <x:f>IF(M256="","OPEN",IF(OR(L256="",NOT(ISNUMBER(I256))),"FAIL",IF(ABS(J256)&lt;=K256,"PASS","FAIL")))</x:f>
        <x:v>OPEN</x:v>
      </x:c>
    </x:row>
    <x:row r="257">
      <x:c r="B257" s="28" t="str">
        <x:v>CR-CAL-PEA-A-X3-RFP-B2-11</x:v>
      </x:c>
      <x:c r="C257" s="28" t="str">
        <x:v>CAL-PEA-A-X3-RFP-B2</x:v>
      </x:c>
      <x:c r="D257" s="28" t="str">
        <x:v>PEA-A-X3</x:v>
      </x:c>
      <x:c r="E257" s="28" t="str">
        <x:v>RFP-B2</x:v>
      </x:c>
      <x:c r="F257" s="28" t="n">
        <x:v>11</x:v>
      </x:c>
      <x:c r="G257" s="28" t="str">
        <x:v>manual state witness</x:v>
      </x:c>
      <x:c r="H257" s="34" t="n">
        <x:v>1</x:v>
      </x:c>
      <x:c r="I257" s="35" t="str"/>
      <x:c r="J257" s="34" t="str">
        <x:f>IF(OR(NOT(ISNUMBER(H257)),NOT(ISNUMBER(I257))),"",I257-H257)</x:f>
      </x:c>
      <x:c r="K257" s="34" t="n">
        <x:v>0.05</x:v>
      </x:c>
      <x:c r="L257" s="31" t="str"/>
      <x:c r="M257" s="31" t="str"/>
      <x:c r="N257" s="28" t="str">
        <x:f>IF(M257="","OPEN",IF(OR(L257="",NOT(ISNUMBER(I257))),"FAIL",IF(ABS(J257)&lt;=K257,"PASS","FAIL")))</x:f>
        <x:v>OPEN</x:v>
      </x:c>
    </x:row>
    <x:row r="258">
      <x:c r="B258" s="28" t="str">
        <x:v>CR-CAL-PEA-A-X3-RFP-B2-12</x:v>
      </x:c>
      <x:c r="C258" s="28" t="str">
        <x:v>CAL-PEA-A-X3-RFP-B2</x:v>
      </x:c>
      <x:c r="D258" s="28" t="str">
        <x:v>PEA-A-X3</x:v>
      </x:c>
      <x:c r="E258" s="28" t="str">
        <x:v>RFP-B2</x:v>
      </x:c>
      <x:c r="F258" s="28" t="n">
        <x:v>12</x:v>
      </x:c>
      <x:c r="G258" s="28" t="str">
        <x:v>final-element reference</x:v>
      </x:c>
      <x:c r="H258" s="34" t="n">
        <x:v>1</x:v>
      </x:c>
      <x:c r="I258" s="35" t="str"/>
      <x:c r="J258" s="34" t="str">
        <x:f>IF(OR(NOT(ISNUMBER(H258)),NOT(ISNUMBER(I258))),"",I258-H258)</x:f>
      </x:c>
      <x:c r="K258" s="34" t="n">
        <x:v>0.05</x:v>
      </x:c>
      <x:c r="L258" s="31" t="str"/>
      <x:c r="M258" s="31" t="str"/>
      <x:c r="N258" s="28" t="str">
        <x:f>IF(M258="","OPEN",IF(OR(L258="",NOT(ISNUMBER(I258))),"FAIL",IF(ABS(J258)&lt;=K258,"PASS","FAIL")))</x:f>
        <x:v>OPEN</x:v>
      </x:c>
    </x:row>
    <x:row r="259">
      <x:c r="B259" s="28" t="str">
        <x:v>CR-CAL-PEA-A-X3-RFP-B2-13</x:v>
      </x:c>
      <x:c r="C259" s="28" t="str">
        <x:v>CAL-PEA-A-X3-RFP-B2</x:v>
      </x:c>
      <x:c r="D259" s="28" t="str">
        <x:v>PEA-A-X3</x:v>
      </x:c>
      <x:c r="E259" s="28" t="str">
        <x:v>RFP-B2</x:v>
      </x:c>
      <x:c r="F259" s="28" t="n">
        <x:v>13</x:v>
      </x:c>
      <x:c r="G259" s="28" t="str">
        <x:v>causal time</x:v>
      </x:c>
      <x:c r="H259" s="34" t="n">
        <x:v>1</x:v>
      </x:c>
      <x:c r="I259" s="35" t="str"/>
      <x:c r="J259" s="34" t="str">
        <x:f>IF(OR(NOT(ISNUMBER(H259)),NOT(ISNUMBER(I259))),"",I259-H259)</x:f>
      </x:c>
      <x:c r="K259" s="34" t="n">
        <x:v>0.05</x:v>
      </x:c>
      <x:c r="L259" s="31" t="str"/>
      <x:c r="M259" s="31" t="str"/>
      <x:c r="N259" s="28" t="str">
        <x:f>IF(M259="","OPEN",IF(OR(L259="",NOT(ISNUMBER(I259))),"FAIL",IF(ABS(J259)&lt;=K259,"PASS","FAIL")))</x:f>
        <x:v>OPEN</x:v>
      </x:c>
    </x:row>
    <x:row r="260">
      <x:c r="B260" s="28" t="str">
        <x:v>CR-CAL-PEA-A-X3-RFP-B2-14</x:v>
      </x:c>
      <x:c r="C260" s="28" t="str">
        <x:v>CAL-PEA-A-X3-RFP-B2</x:v>
      </x:c>
      <x:c r="D260" s="28" t="str">
        <x:v>PEA-A-X3</x:v>
      </x:c>
      <x:c r="E260" s="28" t="str">
        <x:v>RFP-B2</x:v>
      </x:c>
      <x:c r="F260" s="28" t="n">
        <x:v>14</x:v>
      </x:c>
      <x:c r="G260" s="28" t="str">
        <x:v>motive energy</x:v>
      </x:c>
      <x:c r="H260" s="34" t="n">
        <x:v>1</x:v>
      </x:c>
      <x:c r="I260" s="35" t="str"/>
      <x:c r="J260" s="34" t="str">
        <x:f>IF(OR(NOT(ISNUMBER(H260)),NOT(ISNUMBER(I260))),"",I260-H260)</x:f>
      </x:c>
      <x:c r="K260" s="34" t="n">
        <x:v>0.05</x:v>
      </x:c>
      <x:c r="L260" s="31" t="str"/>
      <x:c r="M260" s="31" t="str"/>
      <x:c r="N260" s="28" t="str">
        <x:f>IF(M260="","OPEN",IF(OR(L260="",NOT(ISNUMBER(I260))),"FAIL",IF(ABS(J260)&lt;=K260,"PASS","FAIL")))</x:f>
        <x:v>OPEN</x:v>
      </x:c>
    </x:row>
    <x:row r="261">
      <x:c r="B261" s="28" t="str">
        <x:v>CR-CAL-PEA-A-X3-RFP-B2-15</x:v>
      </x:c>
      <x:c r="C261" s="28" t="str">
        <x:v>CAL-PEA-A-X3-RFP-B2</x:v>
      </x:c>
      <x:c r="D261" s="28" t="str">
        <x:v>PEA-A-X3</x:v>
      </x:c>
      <x:c r="E261" s="28" t="str">
        <x:v>RFP-B2</x:v>
      </x:c>
      <x:c r="F261" s="28" t="n">
        <x:v>15</x:v>
      </x:c>
      <x:c r="G261" s="28" t="str">
        <x:v>normal electrical power</x:v>
      </x:c>
      <x:c r="H261" s="34" t="n">
        <x:v>1</x:v>
      </x:c>
      <x:c r="I261" s="35" t="str"/>
      <x:c r="J261" s="34" t="str">
        <x:f>IF(OR(NOT(ISNUMBER(H261)),NOT(ISNUMBER(I261))),"",I261-H261)</x:f>
      </x:c>
      <x:c r="K261" s="34" t="n">
        <x:v>0.05</x:v>
      </x:c>
      <x:c r="L261" s="31" t="str"/>
      <x:c r="M261" s="31" t="str"/>
      <x:c r="N261" s="28" t="str">
        <x:f>IF(M261="","OPEN",IF(OR(L261="",NOT(ISNUMBER(I261))),"FAIL",IF(ABS(J261)&lt;=K261,"PASS","FAIL")))</x:f>
        <x:v>OPEN</x:v>
      </x:c>
    </x:row>
    <x:row r="262">
      <x:c r="B262" s="28" t="str">
        <x:v>CR-CAL-PEA-A-X3-RFP-B2-16</x:v>
      </x:c>
      <x:c r="C262" s="28" t="str">
        <x:v>CAL-PEA-A-X3-RFP-B2</x:v>
      </x:c>
      <x:c r="D262" s="28" t="str">
        <x:v>PEA-A-X3</x:v>
      </x:c>
      <x:c r="E262" s="28" t="str">
        <x:v>RFP-B2</x:v>
      </x:c>
      <x:c r="F262" s="28" t="n">
        <x:v>16</x:v>
      </x:c>
      <x:c r="G262" s="28" t="str">
        <x:v>independent power</x:v>
      </x:c>
      <x:c r="H262" s="34" t="n">
        <x:v>1</x:v>
      </x:c>
      <x:c r="I262" s="35" t="str"/>
      <x:c r="J262" s="34" t="str">
        <x:f>IF(OR(NOT(ISNUMBER(H262)),NOT(ISNUMBER(I262))),"",I262-H262)</x:f>
      </x:c>
      <x:c r="K262" s="34" t="n">
        <x:v>0.05</x:v>
      </x:c>
      <x:c r="L262" s="31" t="str"/>
      <x:c r="M262" s="31" t="str"/>
      <x:c r="N262" s="28" t="str">
        <x:f>IF(M262="","OPEN",IF(OR(L262="",NOT(ISNUMBER(I262))),"FAIL",IF(ABS(J262)&lt;=K262,"PASS","FAIL")))</x:f>
        <x:v>OPEN</x:v>
      </x:c>
    </x:row>
    <x:row r="263">
      <x:c r="B263" s="28" t="str">
        <x:v>CR-CAL-PEA-A-X3-RFP-B2-17</x:v>
      </x:c>
      <x:c r="C263" s="28" t="str">
        <x:v>CAL-PEA-A-X3-RFP-B2</x:v>
      </x:c>
      <x:c r="D263" s="28" t="str">
        <x:v>PEA-A-X3</x:v>
      </x:c>
      <x:c r="E263" s="28" t="str">
        <x:v>RFP-B2</x:v>
      </x:c>
      <x:c r="F263" s="28" t="n">
        <x:v>17</x:v>
      </x:c>
      <x:c r="G263" s="28" t="str">
        <x:v>leak collection</x:v>
      </x:c>
      <x:c r="H263" s="34" t="n">
        <x:v>1</x:v>
      </x:c>
      <x:c r="I263" s="35" t="str"/>
      <x:c r="J263" s="34" t="str">
        <x:f>IF(OR(NOT(ISNUMBER(H263)),NOT(ISNUMBER(I263))),"",I263-H263)</x:f>
      </x:c>
      <x:c r="K263" s="34" t="n">
        <x:v>0.05</x:v>
      </x:c>
      <x:c r="L263" s="31" t="str"/>
      <x:c r="M263" s="31" t="str"/>
      <x:c r="N263" s="28" t="str">
        <x:f>IF(M263="","OPEN",IF(OR(L263="",NOT(ISNUMBER(I263))),"FAIL",IF(ABS(J263)&lt;=K263,"PASS","FAIL")))</x:f>
        <x:v>OPEN</x:v>
      </x:c>
    </x:row>
    <x:row r="264">
      <x:c r="B264" s="28" t="str">
        <x:v>CR-CAL-PEA-A-X3-RFP-B2-18</x:v>
      </x:c>
      <x:c r="C264" s="28" t="str">
        <x:v>CAL-PEA-A-X3-RFP-B2</x:v>
      </x:c>
      <x:c r="D264" s="28" t="str">
        <x:v>PEA-A-X3</x:v>
      </x:c>
      <x:c r="E264" s="28" t="str">
        <x:v>RFP-B2</x:v>
      </x:c>
      <x:c r="F264" s="28" t="n">
        <x:v>18</x:v>
      </x:c>
      <x:c r="G264" s="28" t="str">
        <x:v>occupied area</x:v>
      </x:c>
      <x:c r="H264" s="34" t="n">
        <x:v>1</x:v>
      </x:c>
      <x:c r="I264" s="35" t="str"/>
      <x:c r="J264" s="34" t="str">
        <x:f>IF(OR(NOT(ISNUMBER(H264)),NOT(ISNUMBER(I264))),"",I264-H264)</x:f>
      </x:c>
      <x:c r="K264" s="34" t="n">
        <x:v>0.05</x:v>
      </x:c>
      <x:c r="L264" s="31" t="str"/>
      <x:c r="M264" s="31" t="str"/>
      <x:c r="N264" s="28" t="str">
        <x:f>IF(M264="","OPEN",IF(OR(L264="",NOT(ISNUMBER(I264))),"FAIL",IF(ABS(J264)&lt;=K264,"PASS","FAIL")))</x:f>
        <x:v>OPEN</x:v>
      </x:c>
    </x:row>
    <x:row r="265">
      <x:c r="B265" s="28" t="str">
        <x:v>CR-CAL-PEA-A-X3-RFP-B2-19</x:v>
      </x:c>
      <x:c r="C265" s="28" t="str">
        <x:v>CAL-PEA-A-X3-RFP-B2</x:v>
      </x:c>
      <x:c r="D265" s="28" t="str">
        <x:v>PEA-A-X3</x:v>
      </x:c>
      <x:c r="E265" s="28" t="str">
        <x:v>RFP-B2</x:v>
      </x:c>
      <x:c r="F265" s="28" t="n">
        <x:v>19</x:v>
      </x:c>
      <x:c r="G265" s="28" t="str">
        <x:v>water flow</x:v>
      </x:c>
      <x:c r="H265" s="34" t="n">
        <x:v>1</x:v>
      </x:c>
      <x:c r="I265" s="35" t="str"/>
      <x:c r="J265" s="34" t="str">
        <x:f>IF(OR(NOT(ISNUMBER(H265)),NOT(ISNUMBER(I265))),"",I265-H265)</x:f>
      </x:c>
      <x:c r="K265" s="34" t="n">
        <x:v>0.05</x:v>
      </x:c>
      <x:c r="L265" s="31" t="str"/>
      <x:c r="M265" s="31" t="str"/>
      <x:c r="N265" s="28" t="str">
        <x:f>IF(M265="","OPEN",IF(OR(L265="",NOT(ISNUMBER(I265))),"FAIL",IF(ABS(J265)&lt;=K265,"PASS","FAIL")))</x:f>
        <x:v>OPEN</x:v>
      </x:c>
    </x:row>
    <x:row r="266">
      <x:c r="B266" s="28" t="str">
        <x:v>CR-CAL-PEA-A-X3-RFP-B2-20</x:v>
      </x:c>
      <x:c r="C266" s="28" t="str">
        <x:v>CAL-PEA-A-X3-RFP-B2</x:v>
      </x:c>
      <x:c r="D266" s="28" t="str">
        <x:v>PEA-A-X3</x:v>
      </x:c>
      <x:c r="E266" s="28" t="str">
        <x:v>RFP-B2</x:v>
      </x:c>
      <x:c r="F266" s="28" t="n">
        <x:v>20</x:v>
      </x:c>
      <x:c r="G266" s="28" t="str">
        <x:v>source ancestry root A</x:v>
      </x:c>
      <x:c r="H266" s="34" t="n">
        <x:v>1</x:v>
      </x:c>
      <x:c r="I266" s="35" t="str"/>
      <x:c r="J266" s="34" t="str">
        <x:f>IF(OR(NOT(ISNUMBER(H266)),NOT(ISNUMBER(I266))),"",I266-H266)</x:f>
      </x:c>
      <x:c r="K266" s="34" t="n">
        <x:v>0.05</x:v>
      </x:c>
      <x:c r="L266" s="31" t="str"/>
      <x:c r="M266" s="31" t="str"/>
      <x:c r="N266" s="28" t="str">
        <x:f>IF(M266="","OPEN",IF(OR(L266="",NOT(ISNUMBER(I266))),"FAIL",IF(ABS(J266)&lt;=K266,"PASS","FAIL")))</x:f>
        <x:v>OPEN</x:v>
      </x:c>
    </x:row>
    <x:row r="267">
      <x:c r="B267" s="28" t="str">
        <x:v>CR-CAL-PEA-A-X3-RFP-B2-21</x:v>
      </x:c>
      <x:c r="C267" s="28" t="str">
        <x:v>CAL-PEA-A-X3-RFP-B2</x:v>
      </x:c>
      <x:c r="D267" s="28" t="str">
        <x:v>PEA-A-X3</x:v>
      </x:c>
      <x:c r="E267" s="28" t="str">
        <x:v>RFP-B2</x:v>
      </x:c>
      <x:c r="F267" s="28" t="n">
        <x:v>21</x:v>
      </x:c>
      <x:c r="G267" s="28" t="str">
        <x:v>source ancestry root B</x:v>
      </x:c>
      <x:c r="H267" s="34" t="n">
        <x:v>1</x:v>
      </x:c>
      <x:c r="I267" s="35" t="str"/>
      <x:c r="J267" s="34" t="str">
        <x:f>IF(OR(NOT(ISNUMBER(H267)),NOT(ISNUMBER(I267))),"",I267-H267)</x:f>
      </x:c>
      <x:c r="K267" s="34" t="n">
        <x:v>0.05</x:v>
      </x:c>
      <x:c r="L267" s="31" t="str"/>
      <x:c r="M267" s="31" t="str"/>
      <x:c r="N267" s="28" t="str">
        <x:f>IF(M267="","OPEN",IF(OR(L267="",NOT(ISNUMBER(I267))),"FAIL",IF(ABS(J267)&lt;=K267,"PASS","FAIL")))</x:f>
        <x:v>OPEN</x:v>
      </x:c>
    </x:row>
    <x:row r="268">
      <x:c r="B268" s="28" t="str">
        <x:v>CR-CAL-PEA-A-X3-RFP-B2-22</x:v>
      </x:c>
      <x:c r="C268" s="28" t="str">
        <x:v>CAL-PEA-A-X3-RFP-B2</x:v>
      </x:c>
      <x:c r="D268" s="28" t="str">
        <x:v>PEA-A-X3</x:v>
      </x:c>
      <x:c r="E268" s="28" t="str">
        <x:v>RFP-B2</x:v>
      </x:c>
      <x:c r="F268" s="28" t="n">
        <x:v>22</x:v>
      </x:c>
      <x:c r="G268" s="28" t="str">
        <x:v>environmental release</x:v>
      </x:c>
      <x:c r="H268" s="34" t="n">
        <x:v>1</x:v>
      </x:c>
      <x:c r="I268" s="35" t="str"/>
      <x:c r="J268" s="34" t="str">
        <x:f>IF(OR(NOT(ISNUMBER(H268)),NOT(ISNUMBER(I268))),"",I268-H268)</x:f>
      </x:c>
      <x:c r="K268" s="34" t="n">
        <x:v>0.05</x:v>
      </x:c>
      <x:c r="L268" s="31" t="str"/>
      <x:c r="M268" s="31" t="str"/>
      <x:c r="N268" s="28" t="str">
        <x:f>IF(M268="","OPEN",IF(OR(L268="",NOT(ISNUMBER(I268))),"FAIL",IF(ABS(J268)&lt;=K268,"PASS","FAIL")))</x:f>
        <x:v>OPEN</x:v>
      </x:c>
    </x:row>
    <x:row r="269">
      <x:c r="B269" s="28" t="str">
        <x:v>CR-CAL-PEA-A-X3-RFP-B2-23</x:v>
      </x:c>
      <x:c r="C269" s="28" t="str">
        <x:v>CAL-PEA-A-X3-RFP-B2</x:v>
      </x:c>
      <x:c r="D269" s="28" t="str">
        <x:v>PEA-A-X3</x:v>
      </x:c>
      <x:c r="E269" s="28" t="str">
        <x:v>RFP-B2</x:v>
      </x:c>
      <x:c r="F269" s="28" t="n">
        <x:v>23</x:v>
      </x:c>
      <x:c r="G269" s="28" t="str">
        <x:v>image trigger</x:v>
      </x:c>
      <x:c r="H269" s="34" t="n">
        <x:v>1</x:v>
      </x:c>
      <x:c r="I269" s="35" t="str"/>
      <x:c r="J269" s="34" t="str">
        <x:f>IF(OR(NOT(ISNUMBER(H269)),NOT(ISNUMBER(I269))),"",I269-H269)</x:f>
      </x:c>
      <x:c r="K269" s="34" t="n">
        <x:v>0.05</x:v>
      </x:c>
      <x:c r="L269" s="31" t="str"/>
      <x:c r="M269" s="31" t="str"/>
      <x:c r="N269" s="28" t="str">
        <x:f>IF(M269="","OPEN",IF(OR(L269="",NOT(ISNUMBER(I269))),"FAIL",IF(ABS(J269)&lt;=K269,"PASS","FAIL")))</x:f>
        <x:v>OPEN</x:v>
      </x:c>
    </x:row>
    <x:row r="270">
      <x:c r="B270" s="28" t="str">
        <x:v>CR-CAL-PEA-A-X3-RFP-B2-24</x:v>
      </x:c>
      <x:c r="C270" s="28" t="str">
        <x:v>CAL-PEA-A-X3-RFP-B2</x:v>
      </x:c>
      <x:c r="D270" s="28" t="str">
        <x:v>PEA-A-X3</x:v>
      </x:c>
      <x:c r="E270" s="28" t="str">
        <x:v>RFP-B2</x:v>
      </x:c>
      <x:c r="F270" s="28" t="n">
        <x:v>24</x:v>
      </x:c>
      <x:c r="G270" s="28" t="str">
        <x:v>evidence health</x:v>
      </x:c>
      <x:c r="H270" s="34" t="n">
        <x:v>1</x:v>
      </x:c>
      <x:c r="I270" s="35" t="str"/>
      <x:c r="J270" s="34" t="str">
        <x:f>IF(OR(NOT(ISNUMBER(H270)),NOT(ISNUMBER(I270))),"",I270-H270)</x:f>
      </x:c>
      <x:c r="K270" s="34" t="n">
        <x:v>0.05</x:v>
      </x:c>
      <x:c r="L270" s="31" t="str"/>
      <x:c r="M270" s="31" t="str"/>
      <x:c r="N270" s="28" t="str">
        <x:f>IF(M270="","OPEN",IF(OR(L270="",NOT(ISNUMBER(I270))),"FAIL",IF(ABS(J270)&lt;=K270,"PASS","FAIL")))</x:f>
        <x:v>OPEN</x:v>
      </x:c>
    </x:row>
    <x:row r="271">
      <x:c r="B271" s="28" t="str">
        <x:v>CR-CAL-PEA-B-X3-RFP-C2-01</x:v>
      </x:c>
      <x:c r="C271" s="28" t="str">
        <x:v>CAL-PEA-B-X3-RFP-C2</x:v>
      </x:c>
      <x:c r="D271" s="28" t="str">
        <x:v>PEA-B-X3</x:v>
      </x:c>
      <x:c r="E271" s="28" t="str">
        <x:v>RFP-C2</x:v>
      </x:c>
      <x:c r="F271" s="28" t="n">
        <x:v>1</x:v>
      </x:c>
      <x:c r="G271" s="28" t="str">
        <x:v>vessel mass</x:v>
      </x:c>
      <x:c r="H271" s="34" t="n">
        <x:v>1</x:v>
      </x:c>
      <x:c r="I271" s="35" t="str"/>
      <x:c r="J271" s="34" t="str">
        <x:f>IF(OR(NOT(ISNUMBER(H271)),NOT(ISNUMBER(I271))),"",I271-H271)</x:f>
      </x:c>
      <x:c r="K271" s="34" t="n">
        <x:v>0.05</x:v>
      </x:c>
      <x:c r="L271" s="31" t="str"/>
      <x:c r="M271" s="31" t="str"/>
      <x:c r="N271" s="28" t="str">
        <x:f>IF(M271="","OPEN",IF(OR(L271="",NOT(ISNUMBER(I271))),"FAIL",IF(ABS(J271)&lt;=K271,"PASS","FAIL")))</x:f>
        <x:v>OPEN</x:v>
      </x:c>
    </x:row>
    <x:row r="272">
      <x:c r="B272" s="28" t="str">
        <x:v>CR-CAL-PEA-B-X3-RFP-C2-02</x:v>
      </x:c>
      <x:c r="C272" s="28" t="str">
        <x:v>CAL-PEA-B-X3-RFP-C2</x:v>
      </x:c>
      <x:c r="D272" s="28" t="str">
        <x:v>PEA-B-X3</x:v>
      </x:c>
      <x:c r="E272" s="28" t="str">
        <x:v>RFP-C2</x:v>
      </x:c>
      <x:c r="F272" s="28" t="n">
        <x:v>2</x:v>
      </x:c>
      <x:c r="G272" s="28" t="str">
        <x:v>integrated transfer mass</x:v>
      </x:c>
      <x:c r="H272" s="34" t="n">
        <x:v>1</x:v>
      </x:c>
      <x:c r="I272" s="35" t="str"/>
      <x:c r="J272" s="34" t="str">
        <x:f>IF(OR(NOT(ISNUMBER(H272)),NOT(ISNUMBER(I272))),"",I272-H272)</x:f>
      </x:c>
      <x:c r="K272" s="34" t="n">
        <x:v>0.05</x:v>
      </x:c>
      <x:c r="L272" s="31" t="str"/>
      <x:c r="M272" s="31" t="str"/>
      <x:c r="N272" s="28" t="str">
        <x:f>IF(M272="","OPEN",IF(OR(L272="",NOT(ISNUMBER(I272))),"FAIL",IF(ABS(J272)&lt;=K272,"PASS","FAIL")))</x:f>
        <x:v>OPEN</x:v>
      </x:c>
    </x:row>
    <x:row r="273">
      <x:c r="B273" s="28" t="str">
        <x:v>CR-CAL-PEA-B-X3-RFP-C2-03</x:v>
      </x:c>
      <x:c r="C273" s="28" t="str">
        <x:v>CAL-PEA-B-X3-RFP-C2</x:v>
      </x:c>
      <x:c r="D273" s="28" t="str">
        <x:v>PEA-B-X3</x:v>
      </x:c>
      <x:c r="E273" s="28" t="str">
        <x:v>RFP-C2</x:v>
      </x:c>
      <x:c r="F273" s="28" t="n">
        <x:v>3</x:v>
      </x:c>
      <x:c r="G273" s="28" t="str">
        <x:v>pressure</x:v>
      </x:c>
      <x:c r="H273" s="34" t="n">
        <x:v>1</x:v>
      </x:c>
      <x:c r="I273" s="35" t="str"/>
      <x:c r="J273" s="34" t="str">
        <x:f>IF(OR(NOT(ISNUMBER(H273)),NOT(ISNUMBER(I273))),"",I273-H273)</x:f>
      </x:c>
      <x:c r="K273" s="34" t="n">
        <x:v>0.05</x:v>
      </x:c>
      <x:c r="L273" s="31" t="str"/>
      <x:c r="M273" s="31" t="str"/>
      <x:c r="N273" s="28" t="str">
        <x:f>IF(M273="","OPEN",IF(OR(L273="",NOT(ISNUMBER(I273))),"FAIL",IF(ABS(J273)&lt;=K273,"PASS","FAIL")))</x:f>
        <x:v>OPEN</x:v>
      </x:c>
    </x:row>
    <x:row r="274">
      <x:c r="B274" s="28" t="str">
        <x:v>CR-CAL-PEA-B-X3-RFP-C2-04</x:v>
      </x:c>
      <x:c r="C274" s="28" t="str">
        <x:v>CAL-PEA-B-X3-RFP-C2</x:v>
      </x:c>
      <x:c r="D274" s="28" t="str">
        <x:v>PEA-B-X3</x:v>
      </x:c>
      <x:c r="E274" s="28" t="str">
        <x:v>RFP-C2</x:v>
      </x:c>
      <x:c r="F274" s="28" t="n">
        <x:v>4</x:v>
      </x:c>
      <x:c r="G274" s="28" t="str">
        <x:v>temperature</x:v>
      </x:c>
      <x:c r="H274" s="34" t="n">
        <x:v>1</x:v>
      </x:c>
      <x:c r="I274" s="35" t="str"/>
      <x:c r="J274" s="34" t="str">
        <x:f>IF(OR(NOT(ISNUMBER(H274)),NOT(ISNUMBER(I274))),"",I274-H274)</x:f>
      </x:c>
      <x:c r="K274" s="34" t="n">
        <x:v>0.05</x:v>
      </x:c>
      <x:c r="L274" s="31" t="str"/>
      <x:c r="M274" s="31" t="str"/>
      <x:c r="N274" s="28" t="str">
        <x:f>IF(M274="","OPEN",IF(OR(L274="",NOT(ISNUMBER(I274))),"FAIL",IF(ABS(J274)&lt;=K274,"PASS","FAIL")))</x:f>
        <x:v>OPEN</x:v>
      </x:c>
    </x:row>
    <x:row r="275">
      <x:c r="B275" s="28" t="str">
        <x:v>CR-CAL-PEA-B-X3-RFP-C2-05</x:v>
      </x:c>
      <x:c r="C275" s="28" t="str">
        <x:v>CAL-PEA-B-X3-RFP-C2</x:v>
      </x:c>
      <x:c r="D275" s="28" t="str">
        <x:v>PEA-B-X3</x:v>
      </x:c>
      <x:c r="E275" s="28" t="str">
        <x:v>RFP-C2</x:v>
      </x:c>
      <x:c r="F275" s="28" t="n">
        <x:v>5</x:v>
      </x:c>
      <x:c r="G275" s="28" t="str">
        <x:v>hold-up tomography</x:v>
      </x:c>
      <x:c r="H275" s="34" t="n">
        <x:v>1</x:v>
      </x:c>
      <x:c r="I275" s="35" t="str"/>
      <x:c r="J275" s="34" t="str">
        <x:f>IF(OR(NOT(ISNUMBER(H275)),NOT(ISNUMBER(I275))),"",I275-H275)</x:f>
      </x:c>
      <x:c r="K275" s="34" t="n">
        <x:v>0.05</x:v>
      </x:c>
      <x:c r="L275" s="31" t="str"/>
      <x:c r="M275" s="31" t="str"/>
      <x:c r="N275" s="28" t="str">
        <x:f>IF(M275="","OPEN",IF(OR(L275="",NOT(ISNUMBER(I275))),"FAIL",IF(ABS(J275)&lt;=K275,"PASS","FAIL")))</x:f>
        <x:v>OPEN</x:v>
      </x:c>
    </x:row>
    <x:row r="276">
      <x:c r="B276" s="28" t="str">
        <x:v>CR-CAL-PEA-B-X3-RFP-C2-06</x:v>
      </x:c>
      <x:c r="C276" s="28" t="str">
        <x:v>CAL-PEA-B-X3-RFP-C2</x:v>
      </x:c>
      <x:c r="D276" s="28" t="str">
        <x:v>PEA-B-X3</x:v>
      </x:c>
      <x:c r="E276" s="28" t="str">
        <x:v>RFP-C2</x:v>
      </x:c>
      <x:c r="F276" s="28" t="n">
        <x:v>6</x:v>
      </x:c>
      <x:c r="G276" s="28" t="str">
        <x:v>pan level</x:v>
      </x:c>
      <x:c r="H276" s="34" t="n">
        <x:v>1</x:v>
      </x:c>
      <x:c r="I276" s="35" t="str"/>
      <x:c r="J276" s="34" t="str">
        <x:f>IF(OR(NOT(ISNUMBER(H276)),NOT(ISNUMBER(I276))),"",I276-H276)</x:f>
      </x:c>
      <x:c r="K276" s="34" t="n">
        <x:v>0.05</x:v>
      </x:c>
      <x:c r="L276" s="31" t="str"/>
      <x:c r="M276" s="31" t="str"/>
      <x:c r="N276" s="28" t="str">
        <x:f>IF(M276="","OPEN",IF(OR(L276="",NOT(ISNUMBER(I276))),"FAIL",IF(ABS(J276)&lt;=K276,"PASS","FAIL")))</x:f>
        <x:v>OPEN</x:v>
      </x:c>
    </x:row>
    <x:row r="277">
      <x:c r="B277" s="28" t="str">
        <x:v>CR-CAL-PEA-B-X3-RFP-C2-07</x:v>
      </x:c>
      <x:c r="C277" s="28" t="str">
        <x:v>CAL-PEA-B-X3-RFP-C2</x:v>
      </x:c>
      <x:c r="D277" s="28" t="str">
        <x:v>PEA-B-X3</x:v>
      </x:c>
      <x:c r="E277" s="28" t="str">
        <x:v>RFP-C2</x:v>
      </x:c>
      <x:c r="F277" s="28" t="n">
        <x:v>7</x:v>
      </x:c>
      <x:c r="G277" s="28" t="str">
        <x:v>receiver mass</x:v>
      </x:c>
      <x:c r="H277" s="34" t="n">
        <x:v>1</x:v>
      </x:c>
      <x:c r="I277" s="35" t="str"/>
      <x:c r="J277" s="34" t="str">
        <x:f>IF(OR(NOT(ISNUMBER(H277)),NOT(ISNUMBER(I277))),"",I277-H277)</x:f>
      </x:c>
      <x:c r="K277" s="34" t="n">
        <x:v>0.05</x:v>
      </x:c>
      <x:c r="L277" s="31" t="str"/>
      <x:c r="M277" s="31" t="str"/>
      <x:c r="N277" s="28" t="str">
        <x:f>IF(M277="","OPEN",IF(OR(L277="",NOT(ISNUMBER(I277))),"FAIL",IF(ABS(J277)&lt;=K277,"PASS","FAIL")))</x:f>
        <x:v>OPEN</x:v>
      </x:c>
    </x:row>
    <x:row r="278">
      <x:c r="B278" s="28" t="str">
        <x:v>CR-CAL-PEA-B-X3-RFP-C2-08</x:v>
      </x:c>
      <x:c r="C278" s="28" t="str">
        <x:v>CAL-PEA-B-X3-RFP-C2</x:v>
      </x:c>
      <x:c r="D278" s="28" t="str">
        <x:v>PEA-B-X3</x:v>
      </x:c>
      <x:c r="E278" s="28" t="str">
        <x:v>RFP-C2</x:v>
      </x:c>
      <x:c r="F278" s="28" t="n">
        <x:v>8</x:v>
      </x:c>
      <x:c r="G278" s="28" t="str">
        <x:v>geometry and slope</x:v>
      </x:c>
      <x:c r="H278" s="34" t="n">
        <x:v>1</x:v>
      </x:c>
      <x:c r="I278" s="35" t="str"/>
      <x:c r="J278" s="34" t="str">
        <x:f>IF(OR(NOT(ISNUMBER(H278)),NOT(ISNUMBER(I278))),"",I278-H278)</x:f>
      </x:c>
      <x:c r="K278" s="34" t="n">
        <x:v>0.05</x:v>
      </x:c>
      <x:c r="L278" s="31" t="str"/>
      <x:c r="M278" s="31" t="str"/>
      <x:c r="N278" s="28" t="str">
        <x:f>IF(M278="","OPEN",IF(OR(L278="",NOT(ISNUMBER(I278))),"FAIL",IF(ABS(J278)&lt;=K278,"PASS","FAIL")))</x:f>
        <x:v>OPEN</x:v>
      </x:c>
    </x:row>
    <x:row r="279">
      <x:c r="B279" s="28" t="str">
        <x:v>CR-CAL-PEA-B-X3-RFP-C2-09</x:v>
      </x:c>
      <x:c r="C279" s="28" t="str">
        <x:v>CAL-PEA-B-X3-RFP-C2</x:v>
      </x:c>
      <x:c r="D279" s="28" t="str">
        <x:v>PEA-B-X3</x:v>
      </x:c>
      <x:c r="E279" s="28" t="str">
        <x:v>RFP-C2</x:v>
      </x:c>
      <x:c r="F279" s="28" t="n">
        <x:v>9</x:v>
      </x:c>
      <x:c r="G279" s="28" t="str">
        <x:v>primary state witness</x:v>
      </x:c>
      <x:c r="H279" s="34" t="n">
        <x:v>1</x:v>
      </x:c>
      <x:c r="I279" s="35" t="str"/>
      <x:c r="J279" s="34" t="str">
        <x:f>IF(OR(NOT(ISNUMBER(H279)),NOT(ISNUMBER(I279))),"",I279-H279)</x:f>
      </x:c>
      <x:c r="K279" s="34" t="n">
        <x:v>0.05</x:v>
      </x:c>
      <x:c r="L279" s="31" t="str"/>
      <x:c r="M279" s="31" t="str"/>
      <x:c r="N279" s="28" t="str">
        <x:f>IF(M279="","OPEN",IF(OR(L279="",NOT(ISNUMBER(I279))),"FAIL",IF(ABS(J279)&lt;=K279,"PASS","FAIL")))</x:f>
        <x:v>OPEN</x:v>
      </x:c>
    </x:row>
    <x:row r="280">
      <x:c r="B280" s="28" t="str">
        <x:v>CR-CAL-PEA-B-X3-RFP-C2-10</x:v>
      </x:c>
      <x:c r="C280" s="28" t="str">
        <x:v>CAL-PEA-B-X3-RFP-C2</x:v>
      </x:c>
      <x:c r="D280" s="28" t="str">
        <x:v>PEA-B-X3</x:v>
      </x:c>
      <x:c r="E280" s="28" t="str">
        <x:v>RFP-C2</x:v>
      </x:c>
      <x:c r="F280" s="28" t="n">
        <x:v>10</x:v>
      </x:c>
      <x:c r="G280" s="28" t="str">
        <x:v>diverse state witness</x:v>
      </x:c>
      <x:c r="H280" s="34" t="n">
        <x:v>1</x:v>
      </x:c>
      <x:c r="I280" s="35" t="str"/>
      <x:c r="J280" s="34" t="str">
        <x:f>IF(OR(NOT(ISNUMBER(H280)),NOT(ISNUMBER(I280))),"",I280-H280)</x:f>
      </x:c>
      <x:c r="K280" s="34" t="n">
        <x:v>0.05</x:v>
      </x:c>
      <x:c r="L280" s="31" t="str"/>
      <x:c r="M280" s="31" t="str"/>
      <x:c r="N280" s="28" t="str">
        <x:f>IF(M280="","OPEN",IF(OR(L280="",NOT(ISNUMBER(I280))),"FAIL",IF(ABS(J280)&lt;=K280,"PASS","FAIL")))</x:f>
        <x:v>OPEN</x:v>
      </x:c>
    </x:row>
    <x:row r="281">
      <x:c r="B281" s="28" t="str">
        <x:v>CR-CAL-PEA-B-X3-RFP-C2-11</x:v>
      </x:c>
      <x:c r="C281" s="28" t="str">
        <x:v>CAL-PEA-B-X3-RFP-C2</x:v>
      </x:c>
      <x:c r="D281" s="28" t="str">
        <x:v>PEA-B-X3</x:v>
      </x:c>
      <x:c r="E281" s="28" t="str">
        <x:v>RFP-C2</x:v>
      </x:c>
      <x:c r="F281" s="28" t="n">
        <x:v>11</x:v>
      </x:c>
      <x:c r="G281" s="28" t="str">
        <x:v>manual state witness</x:v>
      </x:c>
      <x:c r="H281" s="34" t="n">
        <x:v>1</x:v>
      </x:c>
      <x:c r="I281" s="35" t="str"/>
      <x:c r="J281" s="34" t="str">
        <x:f>IF(OR(NOT(ISNUMBER(H281)),NOT(ISNUMBER(I281))),"",I281-H281)</x:f>
      </x:c>
      <x:c r="K281" s="34" t="n">
        <x:v>0.05</x:v>
      </x:c>
      <x:c r="L281" s="31" t="str"/>
      <x:c r="M281" s="31" t="str"/>
      <x:c r="N281" s="28" t="str">
        <x:f>IF(M281="","OPEN",IF(OR(L281="",NOT(ISNUMBER(I281))),"FAIL",IF(ABS(J281)&lt;=K281,"PASS","FAIL")))</x:f>
        <x:v>OPEN</x:v>
      </x:c>
    </x:row>
    <x:row r="282">
      <x:c r="B282" s="28" t="str">
        <x:v>CR-CAL-PEA-B-X3-RFP-C2-12</x:v>
      </x:c>
      <x:c r="C282" s="28" t="str">
        <x:v>CAL-PEA-B-X3-RFP-C2</x:v>
      </x:c>
      <x:c r="D282" s="28" t="str">
        <x:v>PEA-B-X3</x:v>
      </x:c>
      <x:c r="E282" s="28" t="str">
        <x:v>RFP-C2</x:v>
      </x:c>
      <x:c r="F282" s="28" t="n">
        <x:v>12</x:v>
      </x:c>
      <x:c r="G282" s="28" t="str">
        <x:v>final-element reference</x:v>
      </x:c>
      <x:c r="H282" s="34" t="n">
        <x:v>1</x:v>
      </x:c>
      <x:c r="I282" s="35" t="str"/>
      <x:c r="J282" s="34" t="str">
        <x:f>IF(OR(NOT(ISNUMBER(H282)),NOT(ISNUMBER(I282))),"",I282-H282)</x:f>
      </x:c>
      <x:c r="K282" s="34" t="n">
        <x:v>0.05</x:v>
      </x:c>
      <x:c r="L282" s="31" t="str"/>
      <x:c r="M282" s="31" t="str"/>
      <x:c r="N282" s="28" t="str">
        <x:f>IF(M282="","OPEN",IF(OR(L282="",NOT(ISNUMBER(I282))),"FAIL",IF(ABS(J282)&lt;=K282,"PASS","FAIL")))</x:f>
        <x:v>OPEN</x:v>
      </x:c>
    </x:row>
    <x:row r="283">
      <x:c r="B283" s="28" t="str">
        <x:v>CR-CAL-PEA-B-X3-RFP-C2-13</x:v>
      </x:c>
      <x:c r="C283" s="28" t="str">
        <x:v>CAL-PEA-B-X3-RFP-C2</x:v>
      </x:c>
      <x:c r="D283" s="28" t="str">
        <x:v>PEA-B-X3</x:v>
      </x:c>
      <x:c r="E283" s="28" t="str">
        <x:v>RFP-C2</x:v>
      </x:c>
      <x:c r="F283" s="28" t="n">
        <x:v>13</x:v>
      </x:c>
      <x:c r="G283" s="28" t="str">
        <x:v>causal time</x:v>
      </x:c>
      <x:c r="H283" s="34" t="n">
        <x:v>1</x:v>
      </x:c>
      <x:c r="I283" s="35" t="str"/>
      <x:c r="J283" s="34" t="str">
        <x:f>IF(OR(NOT(ISNUMBER(H283)),NOT(ISNUMBER(I283))),"",I283-H283)</x:f>
      </x:c>
      <x:c r="K283" s="34" t="n">
        <x:v>0.05</x:v>
      </x:c>
      <x:c r="L283" s="31" t="str"/>
      <x:c r="M283" s="31" t="str"/>
      <x:c r="N283" s="28" t="str">
        <x:f>IF(M283="","OPEN",IF(OR(L283="",NOT(ISNUMBER(I283))),"FAIL",IF(ABS(J283)&lt;=K283,"PASS","FAIL")))</x:f>
        <x:v>OPEN</x:v>
      </x:c>
    </x:row>
    <x:row r="284">
      <x:c r="B284" s="28" t="str">
        <x:v>CR-CAL-PEA-B-X3-RFP-C2-14</x:v>
      </x:c>
      <x:c r="C284" s="28" t="str">
        <x:v>CAL-PEA-B-X3-RFP-C2</x:v>
      </x:c>
      <x:c r="D284" s="28" t="str">
        <x:v>PEA-B-X3</x:v>
      </x:c>
      <x:c r="E284" s="28" t="str">
        <x:v>RFP-C2</x:v>
      </x:c>
      <x:c r="F284" s="28" t="n">
        <x:v>14</x:v>
      </x:c>
      <x:c r="G284" s="28" t="str">
        <x:v>motive energy</x:v>
      </x:c>
      <x:c r="H284" s="34" t="n">
        <x:v>1</x:v>
      </x:c>
      <x:c r="I284" s="35" t="str"/>
      <x:c r="J284" s="34" t="str">
        <x:f>IF(OR(NOT(ISNUMBER(H284)),NOT(ISNUMBER(I284))),"",I284-H284)</x:f>
      </x:c>
      <x:c r="K284" s="34" t="n">
        <x:v>0.05</x:v>
      </x:c>
      <x:c r="L284" s="31" t="str"/>
      <x:c r="M284" s="31" t="str"/>
      <x:c r="N284" s="28" t="str">
        <x:f>IF(M284="","OPEN",IF(OR(L284="",NOT(ISNUMBER(I284))),"FAIL",IF(ABS(J284)&lt;=K284,"PASS","FAIL")))</x:f>
        <x:v>OPEN</x:v>
      </x:c>
    </x:row>
    <x:row r="285">
      <x:c r="B285" s="28" t="str">
        <x:v>CR-CAL-PEA-B-X3-RFP-C2-15</x:v>
      </x:c>
      <x:c r="C285" s="28" t="str">
        <x:v>CAL-PEA-B-X3-RFP-C2</x:v>
      </x:c>
      <x:c r="D285" s="28" t="str">
        <x:v>PEA-B-X3</x:v>
      </x:c>
      <x:c r="E285" s="28" t="str">
        <x:v>RFP-C2</x:v>
      </x:c>
      <x:c r="F285" s="28" t="n">
        <x:v>15</x:v>
      </x:c>
      <x:c r="G285" s="28" t="str">
        <x:v>normal electrical power</x:v>
      </x:c>
      <x:c r="H285" s="34" t="n">
        <x:v>1</x:v>
      </x:c>
      <x:c r="I285" s="35" t="str"/>
      <x:c r="J285" s="34" t="str">
        <x:f>IF(OR(NOT(ISNUMBER(H285)),NOT(ISNUMBER(I285))),"",I285-H285)</x:f>
      </x:c>
      <x:c r="K285" s="34" t="n">
        <x:v>0.05</x:v>
      </x:c>
      <x:c r="L285" s="31" t="str"/>
      <x:c r="M285" s="31" t="str"/>
      <x:c r="N285" s="28" t="str">
        <x:f>IF(M285="","OPEN",IF(OR(L285="",NOT(ISNUMBER(I285))),"FAIL",IF(ABS(J285)&lt;=K285,"PASS","FAIL")))</x:f>
        <x:v>OPEN</x:v>
      </x:c>
    </x:row>
    <x:row r="286">
      <x:c r="B286" s="28" t="str">
        <x:v>CR-CAL-PEA-B-X3-RFP-C2-16</x:v>
      </x:c>
      <x:c r="C286" s="28" t="str">
        <x:v>CAL-PEA-B-X3-RFP-C2</x:v>
      </x:c>
      <x:c r="D286" s="28" t="str">
        <x:v>PEA-B-X3</x:v>
      </x:c>
      <x:c r="E286" s="28" t="str">
        <x:v>RFP-C2</x:v>
      </x:c>
      <x:c r="F286" s="28" t="n">
        <x:v>16</x:v>
      </x:c>
      <x:c r="G286" s="28" t="str">
        <x:v>independent power</x:v>
      </x:c>
      <x:c r="H286" s="34" t="n">
        <x:v>1</x:v>
      </x:c>
      <x:c r="I286" s="35" t="str"/>
      <x:c r="J286" s="34" t="str">
        <x:f>IF(OR(NOT(ISNUMBER(H286)),NOT(ISNUMBER(I286))),"",I286-H286)</x:f>
      </x:c>
      <x:c r="K286" s="34" t="n">
        <x:v>0.05</x:v>
      </x:c>
      <x:c r="L286" s="31" t="str"/>
      <x:c r="M286" s="31" t="str"/>
      <x:c r="N286" s="28" t="str">
        <x:f>IF(M286="","OPEN",IF(OR(L286="",NOT(ISNUMBER(I286))),"FAIL",IF(ABS(J286)&lt;=K286,"PASS","FAIL")))</x:f>
        <x:v>OPEN</x:v>
      </x:c>
    </x:row>
    <x:row r="287">
      <x:c r="B287" s="28" t="str">
        <x:v>CR-CAL-PEA-B-X3-RFP-C2-17</x:v>
      </x:c>
      <x:c r="C287" s="28" t="str">
        <x:v>CAL-PEA-B-X3-RFP-C2</x:v>
      </x:c>
      <x:c r="D287" s="28" t="str">
        <x:v>PEA-B-X3</x:v>
      </x:c>
      <x:c r="E287" s="28" t="str">
        <x:v>RFP-C2</x:v>
      </x:c>
      <x:c r="F287" s="28" t="n">
        <x:v>17</x:v>
      </x:c>
      <x:c r="G287" s="28" t="str">
        <x:v>leak collection</x:v>
      </x:c>
      <x:c r="H287" s="34" t="n">
        <x:v>1</x:v>
      </x:c>
      <x:c r="I287" s="35" t="str"/>
      <x:c r="J287" s="34" t="str">
        <x:f>IF(OR(NOT(ISNUMBER(H287)),NOT(ISNUMBER(I287))),"",I287-H287)</x:f>
      </x:c>
      <x:c r="K287" s="34" t="n">
        <x:v>0.05</x:v>
      </x:c>
      <x:c r="L287" s="31" t="str"/>
      <x:c r="M287" s="31" t="str"/>
      <x:c r="N287" s="28" t="str">
        <x:f>IF(M287="","OPEN",IF(OR(L287="",NOT(ISNUMBER(I287))),"FAIL",IF(ABS(J287)&lt;=K287,"PASS","FAIL")))</x:f>
        <x:v>OPEN</x:v>
      </x:c>
    </x:row>
    <x:row r="288">
      <x:c r="B288" s="28" t="str">
        <x:v>CR-CAL-PEA-B-X3-RFP-C2-18</x:v>
      </x:c>
      <x:c r="C288" s="28" t="str">
        <x:v>CAL-PEA-B-X3-RFP-C2</x:v>
      </x:c>
      <x:c r="D288" s="28" t="str">
        <x:v>PEA-B-X3</x:v>
      </x:c>
      <x:c r="E288" s="28" t="str">
        <x:v>RFP-C2</x:v>
      </x:c>
      <x:c r="F288" s="28" t="n">
        <x:v>18</x:v>
      </x:c>
      <x:c r="G288" s="28" t="str">
        <x:v>occupied area</x:v>
      </x:c>
      <x:c r="H288" s="34" t="n">
        <x:v>1</x:v>
      </x:c>
      <x:c r="I288" s="35" t="str"/>
      <x:c r="J288" s="34" t="str">
        <x:f>IF(OR(NOT(ISNUMBER(H288)),NOT(ISNUMBER(I288))),"",I288-H288)</x:f>
      </x:c>
      <x:c r="K288" s="34" t="n">
        <x:v>0.05</x:v>
      </x:c>
      <x:c r="L288" s="31" t="str"/>
      <x:c r="M288" s="31" t="str"/>
      <x:c r="N288" s="28" t="str">
        <x:f>IF(M288="","OPEN",IF(OR(L288="",NOT(ISNUMBER(I288))),"FAIL",IF(ABS(J288)&lt;=K288,"PASS","FAIL")))</x:f>
        <x:v>OPEN</x:v>
      </x:c>
    </x:row>
    <x:row r="289">
      <x:c r="B289" s="28" t="str">
        <x:v>CR-CAL-PEA-B-X3-RFP-C2-19</x:v>
      </x:c>
      <x:c r="C289" s="28" t="str">
        <x:v>CAL-PEA-B-X3-RFP-C2</x:v>
      </x:c>
      <x:c r="D289" s="28" t="str">
        <x:v>PEA-B-X3</x:v>
      </x:c>
      <x:c r="E289" s="28" t="str">
        <x:v>RFP-C2</x:v>
      </x:c>
      <x:c r="F289" s="28" t="n">
        <x:v>19</x:v>
      </x:c>
      <x:c r="G289" s="28" t="str">
        <x:v>water flow</x:v>
      </x:c>
      <x:c r="H289" s="34" t="n">
        <x:v>1</x:v>
      </x:c>
      <x:c r="I289" s="35" t="str"/>
      <x:c r="J289" s="34" t="str">
        <x:f>IF(OR(NOT(ISNUMBER(H289)),NOT(ISNUMBER(I289))),"",I289-H289)</x:f>
      </x:c>
      <x:c r="K289" s="34" t="n">
        <x:v>0.05</x:v>
      </x:c>
      <x:c r="L289" s="31" t="str"/>
      <x:c r="M289" s="31" t="str"/>
      <x:c r="N289" s="28" t="str">
        <x:f>IF(M289="","OPEN",IF(OR(L289="",NOT(ISNUMBER(I289))),"FAIL",IF(ABS(J289)&lt;=K289,"PASS","FAIL")))</x:f>
        <x:v>OPEN</x:v>
      </x:c>
    </x:row>
    <x:row r="290">
      <x:c r="B290" s="28" t="str">
        <x:v>CR-CAL-PEA-B-X3-RFP-C2-20</x:v>
      </x:c>
      <x:c r="C290" s="28" t="str">
        <x:v>CAL-PEA-B-X3-RFP-C2</x:v>
      </x:c>
      <x:c r="D290" s="28" t="str">
        <x:v>PEA-B-X3</x:v>
      </x:c>
      <x:c r="E290" s="28" t="str">
        <x:v>RFP-C2</x:v>
      </x:c>
      <x:c r="F290" s="28" t="n">
        <x:v>20</x:v>
      </x:c>
      <x:c r="G290" s="28" t="str">
        <x:v>source ancestry root A</x:v>
      </x:c>
      <x:c r="H290" s="34" t="n">
        <x:v>1</x:v>
      </x:c>
      <x:c r="I290" s="35" t="str"/>
      <x:c r="J290" s="34" t="str">
        <x:f>IF(OR(NOT(ISNUMBER(H290)),NOT(ISNUMBER(I290))),"",I290-H290)</x:f>
      </x:c>
      <x:c r="K290" s="34" t="n">
        <x:v>0.05</x:v>
      </x:c>
      <x:c r="L290" s="31" t="str"/>
      <x:c r="M290" s="31" t="str"/>
      <x:c r="N290" s="28" t="str">
        <x:f>IF(M290="","OPEN",IF(OR(L290="",NOT(ISNUMBER(I290))),"FAIL",IF(ABS(J290)&lt;=K290,"PASS","FAIL")))</x:f>
        <x:v>OPEN</x:v>
      </x:c>
    </x:row>
    <x:row r="291">
      <x:c r="B291" s="28" t="str">
        <x:v>CR-CAL-PEA-B-X3-RFP-C2-21</x:v>
      </x:c>
      <x:c r="C291" s="28" t="str">
        <x:v>CAL-PEA-B-X3-RFP-C2</x:v>
      </x:c>
      <x:c r="D291" s="28" t="str">
        <x:v>PEA-B-X3</x:v>
      </x:c>
      <x:c r="E291" s="28" t="str">
        <x:v>RFP-C2</x:v>
      </x:c>
      <x:c r="F291" s="28" t="n">
        <x:v>21</x:v>
      </x:c>
      <x:c r="G291" s="28" t="str">
        <x:v>source ancestry root B</x:v>
      </x:c>
      <x:c r="H291" s="34" t="n">
        <x:v>1</x:v>
      </x:c>
      <x:c r="I291" s="35" t="str"/>
      <x:c r="J291" s="34" t="str">
        <x:f>IF(OR(NOT(ISNUMBER(H291)),NOT(ISNUMBER(I291))),"",I291-H291)</x:f>
      </x:c>
      <x:c r="K291" s="34" t="n">
        <x:v>0.05</x:v>
      </x:c>
      <x:c r="L291" s="31" t="str"/>
      <x:c r="M291" s="31" t="str"/>
      <x:c r="N291" s="28" t="str">
        <x:f>IF(M291="","OPEN",IF(OR(L291="",NOT(ISNUMBER(I291))),"FAIL",IF(ABS(J291)&lt;=K291,"PASS","FAIL")))</x:f>
        <x:v>OPEN</x:v>
      </x:c>
    </x:row>
    <x:row r="292">
      <x:c r="B292" s="28" t="str">
        <x:v>CR-CAL-PEA-B-X3-RFP-C2-22</x:v>
      </x:c>
      <x:c r="C292" s="28" t="str">
        <x:v>CAL-PEA-B-X3-RFP-C2</x:v>
      </x:c>
      <x:c r="D292" s="28" t="str">
        <x:v>PEA-B-X3</x:v>
      </x:c>
      <x:c r="E292" s="28" t="str">
        <x:v>RFP-C2</x:v>
      </x:c>
      <x:c r="F292" s="28" t="n">
        <x:v>22</x:v>
      </x:c>
      <x:c r="G292" s="28" t="str">
        <x:v>environmental release</x:v>
      </x:c>
      <x:c r="H292" s="34" t="n">
        <x:v>1</x:v>
      </x:c>
      <x:c r="I292" s="35" t="str"/>
      <x:c r="J292" s="34" t="str">
        <x:f>IF(OR(NOT(ISNUMBER(H292)),NOT(ISNUMBER(I292))),"",I292-H292)</x:f>
      </x:c>
      <x:c r="K292" s="34" t="n">
        <x:v>0.05</x:v>
      </x:c>
      <x:c r="L292" s="31" t="str"/>
      <x:c r="M292" s="31" t="str"/>
      <x:c r="N292" s="28" t="str">
        <x:f>IF(M292="","OPEN",IF(OR(L292="",NOT(ISNUMBER(I292))),"FAIL",IF(ABS(J292)&lt;=K292,"PASS","FAIL")))</x:f>
        <x:v>OPEN</x:v>
      </x:c>
    </x:row>
    <x:row r="293">
      <x:c r="B293" s="28" t="str">
        <x:v>CR-CAL-PEA-B-X3-RFP-C2-23</x:v>
      </x:c>
      <x:c r="C293" s="28" t="str">
        <x:v>CAL-PEA-B-X3-RFP-C2</x:v>
      </x:c>
      <x:c r="D293" s="28" t="str">
        <x:v>PEA-B-X3</x:v>
      </x:c>
      <x:c r="E293" s="28" t="str">
        <x:v>RFP-C2</x:v>
      </x:c>
      <x:c r="F293" s="28" t="n">
        <x:v>23</x:v>
      </x:c>
      <x:c r="G293" s="28" t="str">
        <x:v>image trigger</x:v>
      </x:c>
      <x:c r="H293" s="34" t="n">
        <x:v>1</x:v>
      </x:c>
      <x:c r="I293" s="35" t="str"/>
      <x:c r="J293" s="34" t="str">
        <x:f>IF(OR(NOT(ISNUMBER(H293)),NOT(ISNUMBER(I293))),"",I293-H293)</x:f>
      </x:c>
      <x:c r="K293" s="34" t="n">
        <x:v>0.05</x:v>
      </x:c>
      <x:c r="L293" s="31" t="str"/>
      <x:c r="M293" s="31" t="str"/>
      <x:c r="N293" s="28" t="str">
        <x:f>IF(M293="","OPEN",IF(OR(L293="",NOT(ISNUMBER(I293))),"FAIL",IF(ABS(J293)&lt;=K293,"PASS","FAIL")))</x:f>
        <x:v>OPEN</x:v>
      </x:c>
    </x:row>
    <x:row r="294">
      <x:c r="B294" s="28" t="str">
        <x:v>CR-CAL-PEA-B-X3-RFP-C2-24</x:v>
      </x:c>
      <x:c r="C294" s="28" t="str">
        <x:v>CAL-PEA-B-X3-RFP-C2</x:v>
      </x:c>
      <x:c r="D294" s="28" t="str">
        <x:v>PEA-B-X3</x:v>
      </x:c>
      <x:c r="E294" s="28" t="str">
        <x:v>RFP-C2</x:v>
      </x:c>
      <x:c r="F294" s="28" t="n">
        <x:v>24</x:v>
      </x:c>
      <x:c r="G294" s="28" t="str">
        <x:v>evidence health</x:v>
      </x:c>
      <x:c r="H294" s="34" t="n">
        <x:v>1</x:v>
      </x:c>
      <x:c r="I294" s="35" t="str"/>
      <x:c r="J294" s="34" t="str">
        <x:f>IF(OR(NOT(ISNUMBER(H294)),NOT(ISNUMBER(I294))),"",I294-H294)</x:f>
      </x:c>
      <x:c r="K294" s="34" t="n">
        <x:v>0.05</x:v>
      </x:c>
      <x:c r="L294" s="31" t="str"/>
      <x:c r="M294" s="31" t="str"/>
      <x:c r="N294" s="28" t="str">
        <x:f>IF(M294="","OPEN",IF(OR(L294="",NOT(ISNUMBER(I294))),"FAIL",IF(ABS(J294)&lt;=K294,"PASS","FAIL")))</x:f>
        <x:v>OPEN</x:v>
      </x:c>
    </x:row>
    <x:row r="295">
      <x:c r="B295" s="28" t="str">
        <x:v>CR-CAL-PEA-B-X3-RFP-A1-01</x:v>
      </x:c>
      <x:c r="C295" s="28" t="str">
        <x:v>CAL-PEA-B-X3-RFP-A1</x:v>
      </x:c>
      <x:c r="D295" s="28" t="str">
        <x:v>PEA-B-X3</x:v>
      </x:c>
      <x:c r="E295" s="28" t="str">
        <x:v>RFP-A1</x:v>
      </x:c>
      <x:c r="F295" s="28" t="n">
        <x:v>1</x:v>
      </x:c>
      <x:c r="G295" s="28" t="str">
        <x:v>vessel mass</x:v>
      </x:c>
      <x:c r="H295" s="34" t="n">
        <x:v>1</x:v>
      </x:c>
      <x:c r="I295" s="35" t="str"/>
      <x:c r="J295" s="34" t="str">
        <x:f>IF(OR(NOT(ISNUMBER(H295)),NOT(ISNUMBER(I295))),"",I295-H295)</x:f>
      </x:c>
      <x:c r="K295" s="34" t="n">
        <x:v>0.05</x:v>
      </x:c>
      <x:c r="L295" s="31" t="str"/>
      <x:c r="M295" s="31" t="str"/>
      <x:c r="N295" s="28" t="str">
        <x:f>IF(M295="","OPEN",IF(OR(L295="",NOT(ISNUMBER(I295))),"FAIL",IF(ABS(J295)&lt;=K295,"PASS","FAIL")))</x:f>
        <x:v>OPEN</x:v>
      </x:c>
    </x:row>
    <x:row r="296">
      <x:c r="B296" s="28" t="str">
        <x:v>CR-CAL-PEA-B-X3-RFP-A1-02</x:v>
      </x:c>
      <x:c r="C296" s="28" t="str">
        <x:v>CAL-PEA-B-X3-RFP-A1</x:v>
      </x:c>
      <x:c r="D296" s="28" t="str">
        <x:v>PEA-B-X3</x:v>
      </x:c>
      <x:c r="E296" s="28" t="str">
        <x:v>RFP-A1</x:v>
      </x:c>
      <x:c r="F296" s="28" t="n">
        <x:v>2</x:v>
      </x:c>
      <x:c r="G296" s="28" t="str">
        <x:v>integrated transfer mass</x:v>
      </x:c>
      <x:c r="H296" s="34" t="n">
        <x:v>1</x:v>
      </x:c>
      <x:c r="I296" s="35" t="str"/>
      <x:c r="J296" s="34" t="str">
        <x:f>IF(OR(NOT(ISNUMBER(H296)),NOT(ISNUMBER(I296))),"",I296-H296)</x:f>
      </x:c>
      <x:c r="K296" s="34" t="n">
        <x:v>0.05</x:v>
      </x:c>
      <x:c r="L296" s="31" t="str"/>
      <x:c r="M296" s="31" t="str"/>
      <x:c r="N296" s="28" t="str">
        <x:f>IF(M296="","OPEN",IF(OR(L296="",NOT(ISNUMBER(I296))),"FAIL",IF(ABS(J296)&lt;=K296,"PASS","FAIL")))</x:f>
        <x:v>OPEN</x:v>
      </x:c>
    </x:row>
    <x:row r="297">
      <x:c r="B297" s="28" t="str">
        <x:v>CR-CAL-PEA-B-X3-RFP-A1-03</x:v>
      </x:c>
      <x:c r="C297" s="28" t="str">
        <x:v>CAL-PEA-B-X3-RFP-A1</x:v>
      </x:c>
      <x:c r="D297" s="28" t="str">
        <x:v>PEA-B-X3</x:v>
      </x:c>
      <x:c r="E297" s="28" t="str">
        <x:v>RFP-A1</x:v>
      </x:c>
      <x:c r="F297" s="28" t="n">
        <x:v>3</x:v>
      </x:c>
      <x:c r="G297" s="28" t="str">
        <x:v>pressure</x:v>
      </x:c>
      <x:c r="H297" s="34" t="n">
        <x:v>1</x:v>
      </x:c>
      <x:c r="I297" s="35" t="str"/>
      <x:c r="J297" s="34" t="str">
        <x:f>IF(OR(NOT(ISNUMBER(H297)),NOT(ISNUMBER(I297))),"",I297-H297)</x:f>
      </x:c>
      <x:c r="K297" s="34" t="n">
        <x:v>0.05</x:v>
      </x:c>
      <x:c r="L297" s="31" t="str"/>
      <x:c r="M297" s="31" t="str"/>
      <x:c r="N297" s="28" t="str">
        <x:f>IF(M297="","OPEN",IF(OR(L297="",NOT(ISNUMBER(I297))),"FAIL",IF(ABS(J297)&lt;=K297,"PASS","FAIL")))</x:f>
        <x:v>OPEN</x:v>
      </x:c>
    </x:row>
    <x:row r="298">
      <x:c r="B298" s="28" t="str">
        <x:v>CR-CAL-PEA-B-X3-RFP-A1-04</x:v>
      </x:c>
      <x:c r="C298" s="28" t="str">
        <x:v>CAL-PEA-B-X3-RFP-A1</x:v>
      </x:c>
      <x:c r="D298" s="28" t="str">
        <x:v>PEA-B-X3</x:v>
      </x:c>
      <x:c r="E298" s="28" t="str">
        <x:v>RFP-A1</x:v>
      </x:c>
      <x:c r="F298" s="28" t="n">
        <x:v>4</x:v>
      </x:c>
      <x:c r="G298" s="28" t="str">
        <x:v>temperature</x:v>
      </x:c>
      <x:c r="H298" s="34" t="n">
        <x:v>1</x:v>
      </x:c>
      <x:c r="I298" s="35" t="str"/>
      <x:c r="J298" s="34" t="str">
        <x:f>IF(OR(NOT(ISNUMBER(H298)),NOT(ISNUMBER(I298))),"",I298-H298)</x:f>
      </x:c>
      <x:c r="K298" s="34" t="n">
        <x:v>0.05</x:v>
      </x:c>
      <x:c r="L298" s="31" t="str"/>
      <x:c r="M298" s="31" t="str"/>
      <x:c r="N298" s="28" t="str">
        <x:f>IF(M298="","OPEN",IF(OR(L298="",NOT(ISNUMBER(I298))),"FAIL",IF(ABS(J298)&lt;=K298,"PASS","FAIL")))</x:f>
        <x:v>OPEN</x:v>
      </x:c>
    </x:row>
    <x:row r="299">
      <x:c r="B299" s="28" t="str">
        <x:v>CR-CAL-PEA-B-X3-RFP-A1-05</x:v>
      </x:c>
      <x:c r="C299" s="28" t="str">
        <x:v>CAL-PEA-B-X3-RFP-A1</x:v>
      </x:c>
      <x:c r="D299" s="28" t="str">
        <x:v>PEA-B-X3</x:v>
      </x:c>
      <x:c r="E299" s="28" t="str">
        <x:v>RFP-A1</x:v>
      </x:c>
      <x:c r="F299" s="28" t="n">
        <x:v>5</x:v>
      </x:c>
      <x:c r="G299" s="28" t="str">
        <x:v>hold-up tomography</x:v>
      </x:c>
      <x:c r="H299" s="34" t="n">
        <x:v>1</x:v>
      </x:c>
      <x:c r="I299" s="35" t="str"/>
      <x:c r="J299" s="34" t="str">
        <x:f>IF(OR(NOT(ISNUMBER(H299)),NOT(ISNUMBER(I299))),"",I299-H299)</x:f>
      </x:c>
      <x:c r="K299" s="34" t="n">
        <x:v>0.05</x:v>
      </x:c>
      <x:c r="L299" s="31" t="str"/>
      <x:c r="M299" s="31" t="str"/>
      <x:c r="N299" s="28" t="str">
        <x:f>IF(M299="","OPEN",IF(OR(L299="",NOT(ISNUMBER(I299))),"FAIL",IF(ABS(J299)&lt;=K299,"PASS","FAIL")))</x:f>
        <x:v>OPEN</x:v>
      </x:c>
    </x:row>
    <x:row r="300">
      <x:c r="B300" s="28" t="str">
        <x:v>CR-CAL-PEA-B-X3-RFP-A1-06</x:v>
      </x:c>
      <x:c r="C300" s="28" t="str">
        <x:v>CAL-PEA-B-X3-RFP-A1</x:v>
      </x:c>
      <x:c r="D300" s="28" t="str">
        <x:v>PEA-B-X3</x:v>
      </x:c>
      <x:c r="E300" s="28" t="str">
        <x:v>RFP-A1</x:v>
      </x:c>
      <x:c r="F300" s="28" t="n">
        <x:v>6</x:v>
      </x:c>
      <x:c r="G300" s="28" t="str">
        <x:v>pan level</x:v>
      </x:c>
      <x:c r="H300" s="34" t="n">
        <x:v>1</x:v>
      </x:c>
      <x:c r="I300" s="35" t="str"/>
      <x:c r="J300" s="34" t="str">
        <x:f>IF(OR(NOT(ISNUMBER(H300)),NOT(ISNUMBER(I300))),"",I300-H300)</x:f>
      </x:c>
      <x:c r="K300" s="34" t="n">
        <x:v>0.05</x:v>
      </x:c>
      <x:c r="L300" s="31" t="str"/>
      <x:c r="M300" s="31" t="str"/>
      <x:c r="N300" s="28" t="str">
        <x:f>IF(M300="","OPEN",IF(OR(L300="",NOT(ISNUMBER(I300))),"FAIL",IF(ABS(J300)&lt;=K300,"PASS","FAIL")))</x:f>
        <x:v>OPEN</x:v>
      </x:c>
    </x:row>
    <x:row r="301">
      <x:c r="B301" s="28" t="str">
        <x:v>CR-CAL-PEA-B-X3-RFP-A1-07</x:v>
      </x:c>
      <x:c r="C301" s="28" t="str">
        <x:v>CAL-PEA-B-X3-RFP-A1</x:v>
      </x:c>
      <x:c r="D301" s="28" t="str">
        <x:v>PEA-B-X3</x:v>
      </x:c>
      <x:c r="E301" s="28" t="str">
        <x:v>RFP-A1</x:v>
      </x:c>
      <x:c r="F301" s="28" t="n">
        <x:v>7</x:v>
      </x:c>
      <x:c r="G301" s="28" t="str">
        <x:v>receiver mass</x:v>
      </x:c>
      <x:c r="H301" s="34" t="n">
        <x:v>1</x:v>
      </x:c>
      <x:c r="I301" s="35" t="str"/>
      <x:c r="J301" s="34" t="str">
        <x:f>IF(OR(NOT(ISNUMBER(H301)),NOT(ISNUMBER(I301))),"",I301-H301)</x:f>
      </x:c>
      <x:c r="K301" s="34" t="n">
        <x:v>0.05</x:v>
      </x:c>
      <x:c r="L301" s="31" t="str"/>
      <x:c r="M301" s="31" t="str"/>
      <x:c r="N301" s="28" t="str">
        <x:f>IF(M301="","OPEN",IF(OR(L301="",NOT(ISNUMBER(I301))),"FAIL",IF(ABS(J301)&lt;=K301,"PASS","FAIL")))</x:f>
        <x:v>OPEN</x:v>
      </x:c>
    </x:row>
    <x:row r="302">
      <x:c r="B302" s="28" t="str">
        <x:v>CR-CAL-PEA-B-X3-RFP-A1-08</x:v>
      </x:c>
      <x:c r="C302" s="28" t="str">
        <x:v>CAL-PEA-B-X3-RFP-A1</x:v>
      </x:c>
      <x:c r="D302" s="28" t="str">
        <x:v>PEA-B-X3</x:v>
      </x:c>
      <x:c r="E302" s="28" t="str">
        <x:v>RFP-A1</x:v>
      </x:c>
      <x:c r="F302" s="28" t="n">
        <x:v>8</x:v>
      </x:c>
      <x:c r="G302" s="28" t="str">
        <x:v>geometry and slope</x:v>
      </x:c>
      <x:c r="H302" s="34" t="n">
        <x:v>1</x:v>
      </x:c>
      <x:c r="I302" s="35" t="str"/>
      <x:c r="J302" s="34" t="str">
        <x:f>IF(OR(NOT(ISNUMBER(H302)),NOT(ISNUMBER(I302))),"",I302-H302)</x:f>
      </x:c>
      <x:c r="K302" s="34" t="n">
        <x:v>0.05</x:v>
      </x:c>
      <x:c r="L302" s="31" t="str"/>
      <x:c r="M302" s="31" t="str"/>
      <x:c r="N302" s="28" t="str">
        <x:f>IF(M302="","OPEN",IF(OR(L302="",NOT(ISNUMBER(I302))),"FAIL",IF(ABS(J302)&lt;=K302,"PASS","FAIL")))</x:f>
        <x:v>OPEN</x:v>
      </x:c>
    </x:row>
    <x:row r="303">
      <x:c r="B303" s="28" t="str">
        <x:v>CR-CAL-PEA-B-X3-RFP-A1-09</x:v>
      </x:c>
      <x:c r="C303" s="28" t="str">
        <x:v>CAL-PEA-B-X3-RFP-A1</x:v>
      </x:c>
      <x:c r="D303" s="28" t="str">
        <x:v>PEA-B-X3</x:v>
      </x:c>
      <x:c r="E303" s="28" t="str">
        <x:v>RFP-A1</x:v>
      </x:c>
      <x:c r="F303" s="28" t="n">
        <x:v>9</x:v>
      </x:c>
      <x:c r="G303" s="28" t="str">
        <x:v>primary state witness</x:v>
      </x:c>
      <x:c r="H303" s="34" t="n">
        <x:v>1</x:v>
      </x:c>
      <x:c r="I303" s="35" t="str"/>
      <x:c r="J303" s="34" t="str">
        <x:f>IF(OR(NOT(ISNUMBER(H303)),NOT(ISNUMBER(I303))),"",I303-H303)</x:f>
      </x:c>
      <x:c r="K303" s="34" t="n">
        <x:v>0.05</x:v>
      </x:c>
      <x:c r="L303" s="31" t="str"/>
      <x:c r="M303" s="31" t="str"/>
      <x:c r="N303" s="28" t="str">
        <x:f>IF(M303="","OPEN",IF(OR(L303="",NOT(ISNUMBER(I303))),"FAIL",IF(ABS(J303)&lt;=K303,"PASS","FAIL")))</x:f>
        <x:v>OPEN</x:v>
      </x:c>
    </x:row>
    <x:row r="304">
      <x:c r="B304" s="28" t="str">
        <x:v>CR-CAL-PEA-B-X3-RFP-A1-10</x:v>
      </x:c>
      <x:c r="C304" s="28" t="str">
        <x:v>CAL-PEA-B-X3-RFP-A1</x:v>
      </x:c>
      <x:c r="D304" s="28" t="str">
        <x:v>PEA-B-X3</x:v>
      </x:c>
      <x:c r="E304" s="28" t="str">
        <x:v>RFP-A1</x:v>
      </x:c>
      <x:c r="F304" s="28" t="n">
        <x:v>10</x:v>
      </x:c>
      <x:c r="G304" s="28" t="str">
        <x:v>diverse state witness</x:v>
      </x:c>
      <x:c r="H304" s="34" t="n">
        <x:v>1</x:v>
      </x:c>
      <x:c r="I304" s="35" t="str"/>
      <x:c r="J304" s="34" t="str">
        <x:f>IF(OR(NOT(ISNUMBER(H304)),NOT(ISNUMBER(I304))),"",I304-H304)</x:f>
      </x:c>
      <x:c r="K304" s="34" t="n">
        <x:v>0.05</x:v>
      </x:c>
      <x:c r="L304" s="31" t="str"/>
      <x:c r="M304" s="31" t="str"/>
      <x:c r="N304" s="28" t="str">
        <x:f>IF(M304="","OPEN",IF(OR(L304="",NOT(ISNUMBER(I304))),"FAIL",IF(ABS(J304)&lt;=K304,"PASS","FAIL")))</x:f>
        <x:v>OPEN</x:v>
      </x:c>
    </x:row>
    <x:row r="305">
      <x:c r="B305" s="28" t="str">
        <x:v>CR-CAL-PEA-B-X3-RFP-A1-11</x:v>
      </x:c>
      <x:c r="C305" s="28" t="str">
        <x:v>CAL-PEA-B-X3-RFP-A1</x:v>
      </x:c>
      <x:c r="D305" s="28" t="str">
        <x:v>PEA-B-X3</x:v>
      </x:c>
      <x:c r="E305" s="28" t="str">
        <x:v>RFP-A1</x:v>
      </x:c>
      <x:c r="F305" s="28" t="n">
        <x:v>11</x:v>
      </x:c>
      <x:c r="G305" s="28" t="str">
        <x:v>manual state witness</x:v>
      </x:c>
      <x:c r="H305" s="34" t="n">
        <x:v>1</x:v>
      </x:c>
      <x:c r="I305" s="35" t="str"/>
      <x:c r="J305" s="34" t="str">
        <x:f>IF(OR(NOT(ISNUMBER(H305)),NOT(ISNUMBER(I305))),"",I305-H305)</x:f>
      </x:c>
      <x:c r="K305" s="34" t="n">
        <x:v>0.05</x:v>
      </x:c>
      <x:c r="L305" s="31" t="str"/>
      <x:c r="M305" s="31" t="str"/>
      <x:c r="N305" s="28" t="str">
        <x:f>IF(M305="","OPEN",IF(OR(L305="",NOT(ISNUMBER(I305))),"FAIL",IF(ABS(J305)&lt;=K305,"PASS","FAIL")))</x:f>
        <x:v>OPEN</x:v>
      </x:c>
    </x:row>
    <x:row r="306">
      <x:c r="B306" s="28" t="str">
        <x:v>CR-CAL-PEA-B-X3-RFP-A1-12</x:v>
      </x:c>
      <x:c r="C306" s="28" t="str">
        <x:v>CAL-PEA-B-X3-RFP-A1</x:v>
      </x:c>
      <x:c r="D306" s="28" t="str">
        <x:v>PEA-B-X3</x:v>
      </x:c>
      <x:c r="E306" s="28" t="str">
        <x:v>RFP-A1</x:v>
      </x:c>
      <x:c r="F306" s="28" t="n">
        <x:v>12</x:v>
      </x:c>
      <x:c r="G306" s="28" t="str">
        <x:v>final-element reference</x:v>
      </x:c>
      <x:c r="H306" s="34" t="n">
        <x:v>1</x:v>
      </x:c>
      <x:c r="I306" s="35" t="str"/>
      <x:c r="J306" s="34" t="str">
        <x:f>IF(OR(NOT(ISNUMBER(H306)),NOT(ISNUMBER(I306))),"",I306-H306)</x:f>
      </x:c>
      <x:c r="K306" s="34" t="n">
        <x:v>0.05</x:v>
      </x:c>
      <x:c r="L306" s="31" t="str"/>
      <x:c r="M306" s="31" t="str"/>
      <x:c r="N306" s="28" t="str">
        <x:f>IF(M306="","OPEN",IF(OR(L306="",NOT(ISNUMBER(I306))),"FAIL",IF(ABS(J306)&lt;=K306,"PASS","FAIL")))</x:f>
        <x:v>OPEN</x:v>
      </x:c>
    </x:row>
    <x:row r="307">
      <x:c r="B307" s="28" t="str">
        <x:v>CR-CAL-PEA-B-X3-RFP-A1-13</x:v>
      </x:c>
      <x:c r="C307" s="28" t="str">
        <x:v>CAL-PEA-B-X3-RFP-A1</x:v>
      </x:c>
      <x:c r="D307" s="28" t="str">
        <x:v>PEA-B-X3</x:v>
      </x:c>
      <x:c r="E307" s="28" t="str">
        <x:v>RFP-A1</x:v>
      </x:c>
      <x:c r="F307" s="28" t="n">
        <x:v>13</x:v>
      </x:c>
      <x:c r="G307" s="28" t="str">
        <x:v>causal time</x:v>
      </x:c>
      <x:c r="H307" s="34" t="n">
        <x:v>1</x:v>
      </x:c>
      <x:c r="I307" s="35" t="str"/>
      <x:c r="J307" s="34" t="str">
        <x:f>IF(OR(NOT(ISNUMBER(H307)),NOT(ISNUMBER(I307))),"",I307-H307)</x:f>
      </x:c>
      <x:c r="K307" s="34" t="n">
        <x:v>0.05</x:v>
      </x:c>
      <x:c r="L307" s="31" t="str"/>
      <x:c r="M307" s="31" t="str"/>
      <x:c r="N307" s="28" t="str">
        <x:f>IF(M307="","OPEN",IF(OR(L307="",NOT(ISNUMBER(I307))),"FAIL",IF(ABS(J307)&lt;=K307,"PASS","FAIL")))</x:f>
        <x:v>OPEN</x:v>
      </x:c>
    </x:row>
    <x:row r="308">
      <x:c r="B308" s="28" t="str">
        <x:v>CR-CAL-PEA-B-X3-RFP-A1-14</x:v>
      </x:c>
      <x:c r="C308" s="28" t="str">
        <x:v>CAL-PEA-B-X3-RFP-A1</x:v>
      </x:c>
      <x:c r="D308" s="28" t="str">
        <x:v>PEA-B-X3</x:v>
      </x:c>
      <x:c r="E308" s="28" t="str">
        <x:v>RFP-A1</x:v>
      </x:c>
      <x:c r="F308" s="28" t="n">
        <x:v>14</x:v>
      </x:c>
      <x:c r="G308" s="28" t="str">
        <x:v>motive energy</x:v>
      </x:c>
      <x:c r="H308" s="34" t="n">
        <x:v>1</x:v>
      </x:c>
      <x:c r="I308" s="35" t="str"/>
      <x:c r="J308" s="34" t="str">
        <x:f>IF(OR(NOT(ISNUMBER(H308)),NOT(ISNUMBER(I308))),"",I308-H308)</x:f>
      </x:c>
      <x:c r="K308" s="34" t="n">
        <x:v>0.05</x:v>
      </x:c>
      <x:c r="L308" s="31" t="str"/>
      <x:c r="M308" s="31" t="str"/>
      <x:c r="N308" s="28" t="str">
        <x:f>IF(M308="","OPEN",IF(OR(L308="",NOT(ISNUMBER(I308))),"FAIL",IF(ABS(J308)&lt;=K308,"PASS","FAIL")))</x:f>
        <x:v>OPEN</x:v>
      </x:c>
    </x:row>
    <x:row r="309">
      <x:c r="B309" s="28" t="str">
        <x:v>CR-CAL-PEA-B-X3-RFP-A1-15</x:v>
      </x:c>
      <x:c r="C309" s="28" t="str">
        <x:v>CAL-PEA-B-X3-RFP-A1</x:v>
      </x:c>
      <x:c r="D309" s="28" t="str">
        <x:v>PEA-B-X3</x:v>
      </x:c>
      <x:c r="E309" s="28" t="str">
        <x:v>RFP-A1</x:v>
      </x:c>
      <x:c r="F309" s="28" t="n">
        <x:v>15</x:v>
      </x:c>
      <x:c r="G309" s="28" t="str">
        <x:v>normal electrical power</x:v>
      </x:c>
      <x:c r="H309" s="34" t="n">
        <x:v>1</x:v>
      </x:c>
      <x:c r="I309" s="35" t="str"/>
      <x:c r="J309" s="34" t="str">
        <x:f>IF(OR(NOT(ISNUMBER(H309)),NOT(ISNUMBER(I309))),"",I309-H309)</x:f>
      </x:c>
      <x:c r="K309" s="34" t="n">
        <x:v>0.05</x:v>
      </x:c>
      <x:c r="L309" s="31" t="str"/>
      <x:c r="M309" s="31" t="str"/>
      <x:c r="N309" s="28" t="str">
        <x:f>IF(M309="","OPEN",IF(OR(L309="",NOT(ISNUMBER(I309))),"FAIL",IF(ABS(J309)&lt;=K309,"PASS","FAIL")))</x:f>
        <x:v>OPEN</x:v>
      </x:c>
    </x:row>
    <x:row r="310">
      <x:c r="B310" s="28" t="str">
        <x:v>CR-CAL-PEA-B-X3-RFP-A1-16</x:v>
      </x:c>
      <x:c r="C310" s="28" t="str">
        <x:v>CAL-PEA-B-X3-RFP-A1</x:v>
      </x:c>
      <x:c r="D310" s="28" t="str">
        <x:v>PEA-B-X3</x:v>
      </x:c>
      <x:c r="E310" s="28" t="str">
        <x:v>RFP-A1</x:v>
      </x:c>
      <x:c r="F310" s="28" t="n">
        <x:v>16</x:v>
      </x:c>
      <x:c r="G310" s="28" t="str">
        <x:v>independent power</x:v>
      </x:c>
      <x:c r="H310" s="34" t="n">
        <x:v>1</x:v>
      </x:c>
      <x:c r="I310" s="35" t="str"/>
      <x:c r="J310" s="34" t="str">
        <x:f>IF(OR(NOT(ISNUMBER(H310)),NOT(ISNUMBER(I310))),"",I310-H310)</x:f>
      </x:c>
      <x:c r="K310" s="34" t="n">
        <x:v>0.05</x:v>
      </x:c>
      <x:c r="L310" s="31" t="str"/>
      <x:c r="M310" s="31" t="str"/>
      <x:c r="N310" s="28" t="str">
        <x:f>IF(M310="","OPEN",IF(OR(L310="",NOT(ISNUMBER(I310))),"FAIL",IF(ABS(J310)&lt;=K310,"PASS","FAIL")))</x:f>
        <x:v>OPEN</x:v>
      </x:c>
    </x:row>
    <x:row r="311">
      <x:c r="B311" s="28" t="str">
        <x:v>CR-CAL-PEA-B-X3-RFP-A1-17</x:v>
      </x:c>
      <x:c r="C311" s="28" t="str">
        <x:v>CAL-PEA-B-X3-RFP-A1</x:v>
      </x:c>
      <x:c r="D311" s="28" t="str">
        <x:v>PEA-B-X3</x:v>
      </x:c>
      <x:c r="E311" s="28" t="str">
        <x:v>RFP-A1</x:v>
      </x:c>
      <x:c r="F311" s="28" t="n">
        <x:v>17</x:v>
      </x:c>
      <x:c r="G311" s="28" t="str">
        <x:v>leak collection</x:v>
      </x:c>
      <x:c r="H311" s="34" t="n">
        <x:v>1</x:v>
      </x:c>
      <x:c r="I311" s="35" t="str"/>
      <x:c r="J311" s="34" t="str">
        <x:f>IF(OR(NOT(ISNUMBER(H311)),NOT(ISNUMBER(I311))),"",I311-H311)</x:f>
      </x:c>
      <x:c r="K311" s="34" t="n">
        <x:v>0.05</x:v>
      </x:c>
      <x:c r="L311" s="31" t="str"/>
      <x:c r="M311" s="31" t="str"/>
      <x:c r="N311" s="28" t="str">
        <x:f>IF(M311="","OPEN",IF(OR(L311="",NOT(ISNUMBER(I311))),"FAIL",IF(ABS(J311)&lt;=K311,"PASS","FAIL")))</x:f>
        <x:v>OPEN</x:v>
      </x:c>
    </x:row>
    <x:row r="312">
      <x:c r="B312" s="28" t="str">
        <x:v>CR-CAL-PEA-B-X3-RFP-A1-18</x:v>
      </x:c>
      <x:c r="C312" s="28" t="str">
        <x:v>CAL-PEA-B-X3-RFP-A1</x:v>
      </x:c>
      <x:c r="D312" s="28" t="str">
        <x:v>PEA-B-X3</x:v>
      </x:c>
      <x:c r="E312" s="28" t="str">
        <x:v>RFP-A1</x:v>
      </x:c>
      <x:c r="F312" s="28" t="n">
        <x:v>18</x:v>
      </x:c>
      <x:c r="G312" s="28" t="str">
        <x:v>occupied area</x:v>
      </x:c>
      <x:c r="H312" s="34" t="n">
        <x:v>1</x:v>
      </x:c>
      <x:c r="I312" s="35" t="str"/>
      <x:c r="J312" s="34" t="str">
        <x:f>IF(OR(NOT(ISNUMBER(H312)),NOT(ISNUMBER(I312))),"",I312-H312)</x:f>
      </x:c>
      <x:c r="K312" s="34" t="n">
        <x:v>0.05</x:v>
      </x:c>
      <x:c r="L312" s="31" t="str"/>
      <x:c r="M312" s="31" t="str"/>
      <x:c r="N312" s="28" t="str">
        <x:f>IF(M312="","OPEN",IF(OR(L312="",NOT(ISNUMBER(I312))),"FAIL",IF(ABS(J312)&lt;=K312,"PASS","FAIL")))</x:f>
        <x:v>OPEN</x:v>
      </x:c>
    </x:row>
    <x:row r="313">
      <x:c r="B313" s="28" t="str">
        <x:v>CR-CAL-PEA-B-X3-RFP-A1-19</x:v>
      </x:c>
      <x:c r="C313" s="28" t="str">
        <x:v>CAL-PEA-B-X3-RFP-A1</x:v>
      </x:c>
      <x:c r="D313" s="28" t="str">
        <x:v>PEA-B-X3</x:v>
      </x:c>
      <x:c r="E313" s="28" t="str">
        <x:v>RFP-A1</x:v>
      </x:c>
      <x:c r="F313" s="28" t="n">
        <x:v>19</x:v>
      </x:c>
      <x:c r="G313" s="28" t="str">
        <x:v>water flow</x:v>
      </x:c>
      <x:c r="H313" s="34" t="n">
        <x:v>1</x:v>
      </x:c>
      <x:c r="I313" s="35" t="str"/>
      <x:c r="J313" s="34" t="str">
        <x:f>IF(OR(NOT(ISNUMBER(H313)),NOT(ISNUMBER(I313))),"",I313-H313)</x:f>
      </x:c>
      <x:c r="K313" s="34" t="n">
        <x:v>0.05</x:v>
      </x:c>
      <x:c r="L313" s="31" t="str"/>
      <x:c r="M313" s="31" t="str"/>
      <x:c r="N313" s="28" t="str">
        <x:f>IF(M313="","OPEN",IF(OR(L313="",NOT(ISNUMBER(I313))),"FAIL",IF(ABS(J313)&lt;=K313,"PASS","FAIL")))</x:f>
        <x:v>OPEN</x:v>
      </x:c>
    </x:row>
    <x:row r="314">
      <x:c r="B314" s="28" t="str">
        <x:v>CR-CAL-PEA-B-X3-RFP-A1-20</x:v>
      </x:c>
      <x:c r="C314" s="28" t="str">
        <x:v>CAL-PEA-B-X3-RFP-A1</x:v>
      </x:c>
      <x:c r="D314" s="28" t="str">
        <x:v>PEA-B-X3</x:v>
      </x:c>
      <x:c r="E314" s="28" t="str">
        <x:v>RFP-A1</x:v>
      </x:c>
      <x:c r="F314" s="28" t="n">
        <x:v>20</x:v>
      </x:c>
      <x:c r="G314" s="28" t="str">
        <x:v>source ancestry root A</x:v>
      </x:c>
      <x:c r="H314" s="34" t="n">
        <x:v>1</x:v>
      </x:c>
      <x:c r="I314" s="35" t="str"/>
      <x:c r="J314" s="34" t="str">
        <x:f>IF(OR(NOT(ISNUMBER(H314)),NOT(ISNUMBER(I314))),"",I314-H314)</x:f>
      </x:c>
      <x:c r="K314" s="34" t="n">
        <x:v>0.05</x:v>
      </x:c>
      <x:c r="L314" s="31" t="str"/>
      <x:c r="M314" s="31" t="str"/>
      <x:c r="N314" s="28" t="str">
        <x:f>IF(M314="","OPEN",IF(OR(L314="",NOT(ISNUMBER(I314))),"FAIL",IF(ABS(J314)&lt;=K314,"PASS","FAIL")))</x:f>
        <x:v>OPEN</x:v>
      </x:c>
    </x:row>
    <x:row r="315">
      <x:c r="B315" s="28" t="str">
        <x:v>CR-CAL-PEA-B-X3-RFP-A1-21</x:v>
      </x:c>
      <x:c r="C315" s="28" t="str">
        <x:v>CAL-PEA-B-X3-RFP-A1</x:v>
      </x:c>
      <x:c r="D315" s="28" t="str">
        <x:v>PEA-B-X3</x:v>
      </x:c>
      <x:c r="E315" s="28" t="str">
        <x:v>RFP-A1</x:v>
      </x:c>
      <x:c r="F315" s="28" t="n">
        <x:v>21</x:v>
      </x:c>
      <x:c r="G315" s="28" t="str">
        <x:v>source ancestry root B</x:v>
      </x:c>
      <x:c r="H315" s="34" t="n">
        <x:v>1</x:v>
      </x:c>
      <x:c r="I315" s="35" t="str"/>
      <x:c r="J315" s="34" t="str">
        <x:f>IF(OR(NOT(ISNUMBER(H315)),NOT(ISNUMBER(I315))),"",I315-H315)</x:f>
      </x:c>
      <x:c r="K315" s="34" t="n">
        <x:v>0.05</x:v>
      </x:c>
      <x:c r="L315" s="31" t="str"/>
      <x:c r="M315" s="31" t="str"/>
      <x:c r="N315" s="28" t="str">
        <x:f>IF(M315="","OPEN",IF(OR(L315="",NOT(ISNUMBER(I315))),"FAIL",IF(ABS(J315)&lt;=K315,"PASS","FAIL")))</x:f>
        <x:v>OPEN</x:v>
      </x:c>
    </x:row>
    <x:row r="316">
      <x:c r="B316" s="28" t="str">
        <x:v>CR-CAL-PEA-B-X3-RFP-A1-22</x:v>
      </x:c>
      <x:c r="C316" s="28" t="str">
        <x:v>CAL-PEA-B-X3-RFP-A1</x:v>
      </x:c>
      <x:c r="D316" s="28" t="str">
        <x:v>PEA-B-X3</x:v>
      </x:c>
      <x:c r="E316" s="28" t="str">
        <x:v>RFP-A1</x:v>
      </x:c>
      <x:c r="F316" s="28" t="n">
        <x:v>22</x:v>
      </x:c>
      <x:c r="G316" s="28" t="str">
        <x:v>environmental release</x:v>
      </x:c>
      <x:c r="H316" s="34" t="n">
        <x:v>1</x:v>
      </x:c>
      <x:c r="I316" s="35" t="str"/>
      <x:c r="J316" s="34" t="str">
        <x:f>IF(OR(NOT(ISNUMBER(H316)),NOT(ISNUMBER(I316))),"",I316-H316)</x:f>
      </x:c>
      <x:c r="K316" s="34" t="n">
        <x:v>0.05</x:v>
      </x:c>
      <x:c r="L316" s="31" t="str"/>
      <x:c r="M316" s="31" t="str"/>
      <x:c r="N316" s="28" t="str">
        <x:f>IF(M316="","OPEN",IF(OR(L316="",NOT(ISNUMBER(I316))),"FAIL",IF(ABS(J316)&lt;=K316,"PASS","FAIL")))</x:f>
        <x:v>OPEN</x:v>
      </x:c>
    </x:row>
    <x:row r="317">
      <x:c r="B317" s="28" t="str">
        <x:v>CR-CAL-PEA-B-X3-RFP-A1-23</x:v>
      </x:c>
      <x:c r="C317" s="28" t="str">
        <x:v>CAL-PEA-B-X3-RFP-A1</x:v>
      </x:c>
      <x:c r="D317" s="28" t="str">
        <x:v>PEA-B-X3</x:v>
      </x:c>
      <x:c r="E317" s="28" t="str">
        <x:v>RFP-A1</x:v>
      </x:c>
      <x:c r="F317" s="28" t="n">
        <x:v>23</x:v>
      </x:c>
      <x:c r="G317" s="28" t="str">
        <x:v>image trigger</x:v>
      </x:c>
      <x:c r="H317" s="34" t="n">
        <x:v>1</x:v>
      </x:c>
      <x:c r="I317" s="35" t="str"/>
      <x:c r="J317" s="34" t="str">
        <x:f>IF(OR(NOT(ISNUMBER(H317)),NOT(ISNUMBER(I317))),"",I317-H317)</x:f>
      </x:c>
      <x:c r="K317" s="34" t="n">
        <x:v>0.05</x:v>
      </x:c>
      <x:c r="L317" s="31" t="str"/>
      <x:c r="M317" s="31" t="str"/>
      <x:c r="N317" s="28" t="str">
        <x:f>IF(M317="","OPEN",IF(OR(L317="",NOT(ISNUMBER(I317))),"FAIL",IF(ABS(J317)&lt;=K317,"PASS","FAIL")))</x:f>
        <x:v>OPEN</x:v>
      </x:c>
    </x:row>
    <x:row r="318">
      <x:c r="B318" s="28" t="str">
        <x:v>CR-CAL-PEA-B-X3-RFP-A1-24</x:v>
      </x:c>
      <x:c r="C318" s="28" t="str">
        <x:v>CAL-PEA-B-X3-RFP-A1</x:v>
      </x:c>
      <x:c r="D318" s="28" t="str">
        <x:v>PEA-B-X3</x:v>
      </x:c>
      <x:c r="E318" s="28" t="str">
        <x:v>RFP-A1</x:v>
      </x:c>
      <x:c r="F318" s="28" t="n">
        <x:v>24</x:v>
      </x:c>
      <x:c r="G318" s="28" t="str">
        <x:v>evidence health</x:v>
      </x:c>
      <x:c r="H318" s="34" t="n">
        <x:v>1</x:v>
      </x:c>
      <x:c r="I318" s="35" t="str"/>
      <x:c r="J318" s="34" t="str">
        <x:f>IF(OR(NOT(ISNUMBER(H318)),NOT(ISNUMBER(I318))),"",I318-H318)</x:f>
      </x:c>
      <x:c r="K318" s="34" t="n">
        <x:v>0.05</x:v>
      </x:c>
      <x:c r="L318" s="31" t="str"/>
      <x:c r="M318" s="31" t="str"/>
      <x:c r="N318" s="28" t="str">
        <x:f>IF(M318="","OPEN",IF(OR(L318="",NOT(ISNUMBER(I318))),"FAIL",IF(ABS(J318)&lt;=K318,"PASS","FAIL")))</x:f>
        <x:v>OPEN</x:v>
      </x:c>
    </x:row>
    <x:row r="319">
      <x:c r="B319" s="28" t="str">
        <x:v>CR-CAL-PEA-C-Y3-RFP-B1-01</x:v>
      </x:c>
      <x:c r="C319" s="28" t="str">
        <x:v>CAL-PEA-C-Y3-RFP-B1</x:v>
      </x:c>
      <x:c r="D319" s="28" t="str">
        <x:v>PEA-C-Y3</x:v>
      </x:c>
      <x:c r="E319" s="28" t="str">
        <x:v>RFP-B1</x:v>
      </x:c>
      <x:c r="F319" s="28" t="n">
        <x:v>1</x:v>
      </x:c>
      <x:c r="G319" s="28" t="str">
        <x:v>vessel mass</x:v>
      </x:c>
      <x:c r="H319" s="34" t="n">
        <x:v>1</x:v>
      </x:c>
      <x:c r="I319" s="35" t="str"/>
      <x:c r="J319" s="34" t="str">
        <x:f>IF(OR(NOT(ISNUMBER(H319)),NOT(ISNUMBER(I319))),"",I319-H319)</x:f>
      </x:c>
      <x:c r="K319" s="34" t="n">
        <x:v>0.05</x:v>
      </x:c>
      <x:c r="L319" s="31" t="str"/>
      <x:c r="M319" s="31" t="str"/>
      <x:c r="N319" s="28" t="str">
        <x:f>IF(M319="","OPEN",IF(OR(L319="",NOT(ISNUMBER(I319))),"FAIL",IF(ABS(J319)&lt;=K319,"PASS","FAIL")))</x:f>
        <x:v>OPEN</x:v>
      </x:c>
    </x:row>
    <x:row r="320">
      <x:c r="B320" s="28" t="str">
        <x:v>CR-CAL-PEA-C-Y3-RFP-B1-02</x:v>
      </x:c>
      <x:c r="C320" s="28" t="str">
        <x:v>CAL-PEA-C-Y3-RFP-B1</x:v>
      </x:c>
      <x:c r="D320" s="28" t="str">
        <x:v>PEA-C-Y3</x:v>
      </x:c>
      <x:c r="E320" s="28" t="str">
        <x:v>RFP-B1</x:v>
      </x:c>
      <x:c r="F320" s="28" t="n">
        <x:v>2</x:v>
      </x:c>
      <x:c r="G320" s="28" t="str">
        <x:v>integrated transfer mass</x:v>
      </x:c>
      <x:c r="H320" s="34" t="n">
        <x:v>1</x:v>
      </x:c>
      <x:c r="I320" s="35" t="str"/>
      <x:c r="J320" s="34" t="str">
        <x:f>IF(OR(NOT(ISNUMBER(H320)),NOT(ISNUMBER(I320))),"",I320-H320)</x:f>
      </x:c>
      <x:c r="K320" s="34" t="n">
        <x:v>0.05</x:v>
      </x:c>
      <x:c r="L320" s="31" t="str"/>
      <x:c r="M320" s="31" t="str"/>
      <x:c r="N320" s="28" t="str">
        <x:f>IF(M320="","OPEN",IF(OR(L320="",NOT(ISNUMBER(I320))),"FAIL",IF(ABS(J320)&lt;=K320,"PASS","FAIL")))</x:f>
        <x:v>OPEN</x:v>
      </x:c>
    </x:row>
    <x:row r="321">
      <x:c r="B321" s="28" t="str">
        <x:v>CR-CAL-PEA-C-Y3-RFP-B1-03</x:v>
      </x:c>
      <x:c r="C321" s="28" t="str">
        <x:v>CAL-PEA-C-Y3-RFP-B1</x:v>
      </x:c>
      <x:c r="D321" s="28" t="str">
        <x:v>PEA-C-Y3</x:v>
      </x:c>
      <x:c r="E321" s="28" t="str">
        <x:v>RFP-B1</x:v>
      </x:c>
      <x:c r="F321" s="28" t="n">
        <x:v>3</x:v>
      </x:c>
      <x:c r="G321" s="28" t="str">
        <x:v>pressure</x:v>
      </x:c>
      <x:c r="H321" s="34" t="n">
        <x:v>1</x:v>
      </x:c>
      <x:c r="I321" s="35" t="str"/>
      <x:c r="J321" s="34" t="str">
        <x:f>IF(OR(NOT(ISNUMBER(H321)),NOT(ISNUMBER(I321))),"",I321-H321)</x:f>
      </x:c>
      <x:c r="K321" s="34" t="n">
        <x:v>0.05</x:v>
      </x:c>
      <x:c r="L321" s="31" t="str"/>
      <x:c r="M321" s="31" t="str"/>
      <x:c r="N321" s="28" t="str">
        <x:f>IF(M321="","OPEN",IF(OR(L321="",NOT(ISNUMBER(I321))),"FAIL",IF(ABS(J321)&lt;=K321,"PASS","FAIL")))</x:f>
        <x:v>OPEN</x:v>
      </x:c>
    </x:row>
    <x:row r="322">
      <x:c r="B322" s="28" t="str">
        <x:v>CR-CAL-PEA-C-Y3-RFP-B1-04</x:v>
      </x:c>
      <x:c r="C322" s="28" t="str">
        <x:v>CAL-PEA-C-Y3-RFP-B1</x:v>
      </x:c>
      <x:c r="D322" s="28" t="str">
        <x:v>PEA-C-Y3</x:v>
      </x:c>
      <x:c r="E322" s="28" t="str">
        <x:v>RFP-B1</x:v>
      </x:c>
      <x:c r="F322" s="28" t="n">
        <x:v>4</x:v>
      </x:c>
      <x:c r="G322" s="28" t="str">
        <x:v>temperature</x:v>
      </x:c>
      <x:c r="H322" s="34" t="n">
        <x:v>1</x:v>
      </x:c>
      <x:c r="I322" s="35" t="str"/>
      <x:c r="J322" s="34" t="str">
        <x:f>IF(OR(NOT(ISNUMBER(H322)),NOT(ISNUMBER(I322))),"",I322-H322)</x:f>
      </x:c>
      <x:c r="K322" s="34" t="n">
        <x:v>0.05</x:v>
      </x:c>
      <x:c r="L322" s="31" t="str"/>
      <x:c r="M322" s="31" t="str"/>
      <x:c r="N322" s="28" t="str">
        <x:f>IF(M322="","OPEN",IF(OR(L322="",NOT(ISNUMBER(I322))),"FAIL",IF(ABS(J322)&lt;=K322,"PASS","FAIL")))</x:f>
        <x:v>OPEN</x:v>
      </x:c>
    </x:row>
    <x:row r="323">
      <x:c r="B323" s="28" t="str">
        <x:v>CR-CAL-PEA-C-Y3-RFP-B1-05</x:v>
      </x:c>
      <x:c r="C323" s="28" t="str">
        <x:v>CAL-PEA-C-Y3-RFP-B1</x:v>
      </x:c>
      <x:c r="D323" s="28" t="str">
        <x:v>PEA-C-Y3</x:v>
      </x:c>
      <x:c r="E323" s="28" t="str">
        <x:v>RFP-B1</x:v>
      </x:c>
      <x:c r="F323" s="28" t="n">
        <x:v>5</x:v>
      </x:c>
      <x:c r="G323" s="28" t="str">
        <x:v>hold-up tomography</x:v>
      </x:c>
      <x:c r="H323" s="34" t="n">
        <x:v>1</x:v>
      </x:c>
      <x:c r="I323" s="35" t="str"/>
      <x:c r="J323" s="34" t="str">
        <x:f>IF(OR(NOT(ISNUMBER(H323)),NOT(ISNUMBER(I323))),"",I323-H323)</x:f>
      </x:c>
      <x:c r="K323" s="34" t="n">
        <x:v>0.05</x:v>
      </x:c>
      <x:c r="L323" s="31" t="str"/>
      <x:c r="M323" s="31" t="str"/>
      <x:c r="N323" s="28" t="str">
        <x:f>IF(M323="","OPEN",IF(OR(L323="",NOT(ISNUMBER(I323))),"FAIL",IF(ABS(J323)&lt;=K323,"PASS","FAIL")))</x:f>
        <x:v>OPEN</x:v>
      </x:c>
    </x:row>
    <x:row r="324">
      <x:c r="B324" s="28" t="str">
        <x:v>CR-CAL-PEA-C-Y3-RFP-B1-06</x:v>
      </x:c>
      <x:c r="C324" s="28" t="str">
        <x:v>CAL-PEA-C-Y3-RFP-B1</x:v>
      </x:c>
      <x:c r="D324" s="28" t="str">
        <x:v>PEA-C-Y3</x:v>
      </x:c>
      <x:c r="E324" s="28" t="str">
        <x:v>RFP-B1</x:v>
      </x:c>
      <x:c r="F324" s="28" t="n">
        <x:v>6</x:v>
      </x:c>
      <x:c r="G324" s="28" t="str">
        <x:v>pan level</x:v>
      </x:c>
      <x:c r="H324" s="34" t="n">
        <x:v>1</x:v>
      </x:c>
      <x:c r="I324" s="35" t="str"/>
      <x:c r="J324" s="34" t="str">
        <x:f>IF(OR(NOT(ISNUMBER(H324)),NOT(ISNUMBER(I324))),"",I324-H324)</x:f>
      </x:c>
      <x:c r="K324" s="34" t="n">
        <x:v>0.05</x:v>
      </x:c>
      <x:c r="L324" s="31" t="str"/>
      <x:c r="M324" s="31" t="str"/>
      <x:c r="N324" s="28" t="str">
        <x:f>IF(M324="","OPEN",IF(OR(L324="",NOT(ISNUMBER(I324))),"FAIL",IF(ABS(J324)&lt;=K324,"PASS","FAIL")))</x:f>
        <x:v>OPEN</x:v>
      </x:c>
    </x:row>
    <x:row r="325">
      <x:c r="B325" s="28" t="str">
        <x:v>CR-CAL-PEA-C-Y3-RFP-B1-07</x:v>
      </x:c>
      <x:c r="C325" s="28" t="str">
        <x:v>CAL-PEA-C-Y3-RFP-B1</x:v>
      </x:c>
      <x:c r="D325" s="28" t="str">
        <x:v>PEA-C-Y3</x:v>
      </x:c>
      <x:c r="E325" s="28" t="str">
        <x:v>RFP-B1</x:v>
      </x:c>
      <x:c r="F325" s="28" t="n">
        <x:v>7</x:v>
      </x:c>
      <x:c r="G325" s="28" t="str">
        <x:v>receiver mass</x:v>
      </x:c>
      <x:c r="H325" s="34" t="n">
        <x:v>1</x:v>
      </x:c>
      <x:c r="I325" s="35" t="str"/>
      <x:c r="J325" s="34" t="str">
        <x:f>IF(OR(NOT(ISNUMBER(H325)),NOT(ISNUMBER(I325))),"",I325-H325)</x:f>
      </x:c>
      <x:c r="K325" s="34" t="n">
        <x:v>0.05</x:v>
      </x:c>
      <x:c r="L325" s="31" t="str"/>
      <x:c r="M325" s="31" t="str"/>
      <x:c r="N325" s="28" t="str">
        <x:f>IF(M325="","OPEN",IF(OR(L325="",NOT(ISNUMBER(I325))),"FAIL",IF(ABS(J325)&lt;=K325,"PASS","FAIL")))</x:f>
        <x:v>OPEN</x:v>
      </x:c>
    </x:row>
    <x:row r="326">
      <x:c r="B326" s="28" t="str">
        <x:v>CR-CAL-PEA-C-Y3-RFP-B1-08</x:v>
      </x:c>
      <x:c r="C326" s="28" t="str">
        <x:v>CAL-PEA-C-Y3-RFP-B1</x:v>
      </x:c>
      <x:c r="D326" s="28" t="str">
        <x:v>PEA-C-Y3</x:v>
      </x:c>
      <x:c r="E326" s="28" t="str">
        <x:v>RFP-B1</x:v>
      </x:c>
      <x:c r="F326" s="28" t="n">
        <x:v>8</x:v>
      </x:c>
      <x:c r="G326" s="28" t="str">
        <x:v>geometry and slope</x:v>
      </x:c>
      <x:c r="H326" s="34" t="n">
        <x:v>1</x:v>
      </x:c>
      <x:c r="I326" s="35" t="str"/>
      <x:c r="J326" s="34" t="str">
        <x:f>IF(OR(NOT(ISNUMBER(H326)),NOT(ISNUMBER(I326))),"",I326-H326)</x:f>
      </x:c>
      <x:c r="K326" s="34" t="n">
        <x:v>0.05</x:v>
      </x:c>
      <x:c r="L326" s="31" t="str"/>
      <x:c r="M326" s="31" t="str"/>
      <x:c r="N326" s="28" t="str">
        <x:f>IF(M326="","OPEN",IF(OR(L326="",NOT(ISNUMBER(I326))),"FAIL",IF(ABS(J326)&lt;=K326,"PASS","FAIL")))</x:f>
        <x:v>OPEN</x:v>
      </x:c>
    </x:row>
    <x:row r="327">
      <x:c r="B327" s="28" t="str">
        <x:v>CR-CAL-PEA-C-Y3-RFP-B1-09</x:v>
      </x:c>
      <x:c r="C327" s="28" t="str">
        <x:v>CAL-PEA-C-Y3-RFP-B1</x:v>
      </x:c>
      <x:c r="D327" s="28" t="str">
        <x:v>PEA-C-Y3</x:v>
      </x:c>
      <x:c r="E327" s="28" t="str">
        <x:v>RFP-B1</x:v>
      </x:c>
      <x:c r="F327" s="28" t="n">
        <x:v>9</x:v>
      </x:c>
      <x:c r="G327" s="28" t="str">
        <x:v>primary state witness</x:v>
      </x:c>
      <x:c r="H327" s="34" t="n">
        <x:v>1</x:v>
      </x:c>
      <x:c r="I327" s="35" t="str"/>
      <x:c r="J327" s="34" t="str">
        <x:f>IF(OR(NOT(ISNUMBER(H327)),NOT(ISNUMBER(I327))),"",I327-H327)</x:f>
      </x:c>
      <x:c r="K327" s="34" t="n">
        <x:v>0.05</x:v>
      </x:c>
      <x:c r="L327" s="31" t="str"/>
      <x:c r="M327" s="31" t="str"/>
      <x:c r="N327" s="28" t="str">
        <x:f>IF(M327="","OPEN",IF(OR(L327="",NOT(ISNUMBER(I327))),"FAIL",IF(ABS(J327)&lt;=K327,"PASS","FAIL")))</x:f>
        <x:v>OPEN</x:v>
      </x:c>
    </x:row>
    <x:row r="328">
      <x:c r="B328" s="28" t="str">
        <x:v>CR-CAL-PEA-C-Y3-RFP-B1-10</x:v>
      </x:c>
      <x:c r="C328" s="28" t="str">
        <x:v>CAL-PEA-C-Y3-RFP-B1</x:v>
      </x:c>
      <x:c r="D328" s="28" t="str">
        <x:v>PEA-C-Y3</x:v>
      </x:c>
      <x:c r="E328" s="28" t="str">
        <x:v>RFP-B1</x:v>
      </x:c>
      <x:c r="F328" s="28" t="n">
        <x:v>10</x:v>
      </x:c>
      <x:c r="G328" s="28" t="str">
        <x:v>diverse state witness</x:v>
      </x:c>
      <x:c r="H328" s="34" t="n">
        <x:v>1</x:v>
      </x:c>
      <x:c r="I328" s="35" t="str"/>
      <x:c r="J328" s="34" t="str">
        <x:f>IF(OR(NOT(ISNUMBER(H328)),NOT(ISNUMBER(I328))),"",I328-H328)</x:f>
      </x:c>
      <x:c r="K328" s="34" t="n">
        <x:v>0.05</x:v>
      </x:c>
      <x:c r="L328" s="31" t="str"/>
      <x:c r="M328" s="31" t="str"/>
      <x:c r="N328" s="28" t="str">
        <x:f>IF(M328="","OPEN",IF(OR(L328="",NOT(ISNUMBER(I328))),"FAIL",IF(ABS(J328)&lt;=K328,"PASS","FAIL")))</x:f>
        <x:v>OPEN</x:v>
      </x:c>
    </x:row>
    <x:row r="329">
      <x:c r="B329" s="28" t="str">
        <x:v>CR-CAL-PEA-C-Y3-RFP-B1-11</x:v>
      </x:c>
      <x:c r="C329" s="28" t="str">
        <x:v>CAL-PEA-C-Y3-RFP-B1</x:v>
      </x:c>
      <x:c r="D329" s="28" t="str">
        <x:v>PEA-C-Y3</x:v>
      </x:c>
      <x:c r="E329" s="28" t="str">
        <x:v>RFP-B1</x:v>
      </x:c>
      <x:c r="F329" s="28" t="n">
        <x:v>11</x:v>
      </x:c>
      <x:c r="G329" s="28" t="str">
        <x:v>manual state witness</x:v>
      </x:c>
      <x:c r="H329" s="34" t="n">
        <x:v>1</x:v>
      </x:c>
      <x:c r="I329" s="35" t="str"/>
      <x:c r="J329" s="34" t="str">
        <x:f>IF(OR(NOT(ISNUMBER(H329)),NOT(ISNUMBER(I329))),"",I329-H329)</x:f>
      </x:c>
      <x:c r="K329" s="34" t="n">
        <x:v>0.05</x:v>
      </x:c>
      <x:c r="L329" s="31" t="str"/>
      <x:c r="M329" s="31" t="str"/>
      <x:c r="N329" s="28" t="str">
        <x:f>IF(M329="","OPEN",IF(OR(L329="",NOT(ISNUMBER(I329))),"FAIL",IF(ABS(J329)&lt;=K329,"PASS","FAIL")))</x:f>
        <x:v>OPEN</x:v>
      </x:c>
    </x:row>
    <x:row r="330">
      <x:c r="B330" s="28" t="str">
        <x:v>CR-CAL-PEA-C-Y3-RFP-B1-12</x:v>
      </x:c>
      <x:c r="C330" s="28" t="str">
        <x:v>CAL-PEA-C-Y3-RFP-B1</x:v>
      </x:c>
      <x:c r="D330" s="28" t="str">
        <x:v>PEA-C-Y3</x:v>
      </x:c>
      <x:c r="E330" s="28" t="str">
        <x:v>RFP-B1</x:v>
      </x:c>
      <x:c r="F330" s="28" t="n">
        <x:v>12</x:v>
      </x:c>
      <x:c r="G330" s="28" t="str">
        <x:v>final-element reference</x:v>
      </x:c>
      <x:c r="H330" s="34" t="n">
        <x:v>1</x:v>
      </x:c>
      <x:c r="I330" s="35" t="str"/>
      <x:c r="J330" s="34" t="str">
        <x:f>IF(OR(NOT(ISNUMBER(H330)),NOT(ISNUMBER(I330))),"",I330-H330)</x:f>
      </x:c>
      <x:c r="K330" s="34" t="n">
        <x:v>0.05</x:v>
      </x:c>
      <x:c r="L330" s="31" t="str"/>
      <x:c r="M330" s="31" t="str"/>
      <x:c r="N330" s="28" t="str">
        <x:f>IF(M330="","OPEN",IF(OR(L330="",NOT(ISNUMBER(I330))),"FAIL",IF(ABS(J330)&lt;=K330,"PASS","FAIL")))</x:f>
        <x:v>OPEN</x:v>
      </x:c>
    </x:row>
    <x:row r="331">
      <x:c r="B331" s="28" t="str">
        <x:v>CR-CAL-PEA-C-Y3-RFP-B1-13</x:v>
      </x:c>
      <x:c r="C331" s="28" t="str">
        <x:v>CAL-PEA-C-Y3-RFP-B1</x:v>
      </x:c>
      <x:c r="D331" s="28" t="str">
        <x:v>PEA-C-Y3</x:v>
      </x:c>
      <x:c r="E331" s="28" t="str">
        <x:v>RFP-B1</x:v>
      </x:c>
      <x:c r="F331" s="28" t="n">
        <x:v>13</x:v>
      </x:c>
      <x:c r="G331" s="28" t="str">
        <x:v>causal time</x:v>
      </x:c>
      <x:c r="H331" s="34" t="n">
        <x:v>1</x:v>
      </x:c>
      <x:c r="I331" s="35" t="str"/>
      <x:c r="J331" s="34" t="str">
        <x:f>IF(OR(NOT(ISNUMBER(H331)),NOT(ISNUMBER(I331))),"",I331-H331)</x:f>
      </x:c>
      <x:c r="K331" s="34" t="n">
        <x:v>0.05</x:v>
      </x:c>
      <x:c r="L331" s="31" t="str"/>
      <x:c r="M331" s="31" t="str"/>
      <x:c r="N331" s="28" t="str">
        <x:f>IF(M331="","OPEN",IF(OR(L331="",NOT(ISNUMBER(I331))),"FAIL",IF(ABS(J331)&lt;=K331,"PASS","FAIL")))</x:f>
        <x:v>OPEN</x:v>
      </x:c>
    </x:row>
    <x:row r="332">
      <x:c r="B332" s="28" t="str">
        <x:v>CR-CAL-PEA-C-Y3-RFP-B1-14</x:v>
      </x:c>
      <x:c r="C332" s="28" t="str">
        <x:v>CAL-PEA-C-Y3-RFP-B1</x:v>
      </x:c>
      <x:c r="D332" s="28" t="str">
        <x:v>PEA-C-Y3</x:v>
      </x:c>
      <x:c r="E332" s="28" t="str">
        <x:v>RFP-B1</x:v>
      </x:c>
      <x:c r="F332" s="28" t="n">
        <x:v>14</x:v>
      </x:c>
      <x:c r="G332" s="28" t="str">
        <x:v>motive energy</x:v>
      </x:c>
      <x:c r="H332" s="34" t="n">
        <x:v>1</x:v>
      </x:c>
      <x:c r="I332" s="35" t="str"/>
      <x:c r="J332" s="34" t="str">
        <x:f>IF(OR(NOT(ISNUMBER(H332)),NOT(ISNUMBER(I332))),"",I332-H332)</x:f>
      </x:c>
      <x:c r="K332" s="34" t="n">
        <x:v>0.05</x:v>
      </x:c>
      <x:c r="L332" s="31" t="str"/>
      <x:c r="M332" s="31" t="str"/>
      <x:c r="N332" s="28" t="str">
        <x:f>IF(M332="","OPEN",IF(OR(L332="",NOT(ISNUMBER(I332))),"FAIL",IF(ABS(J332)&lt;=K332,"PASS","FAIL")))</x:f>
        <x:v>OPEN</x:v>
      </x:c>
    </x:row>
    <x:row r="333">
      <x:c r="B333" s="28" t="str">
        <x:v>CR-CAL-PEA-C-Y3-RFP-B1-15</x:v>
      </x:c>
      <x:c r="C333" s="28" t="str">
        <x:v>CAL-PEA-C-Y3-RFP-B1</x:v>
      </x:c>
      <x:c r="D333" s="28" t="str">
        <x:v>PEA-C-Y3</x:v>
      </x:c>
      <x:c r="E333" s="28" t="str">
        <x:v>RFP-B1</x:v>
      </x:c>
      <x:c r="F333" s="28" t="n">
        <x:v>15</x:v>
      </x:c>
      <x:c r="G333" s="28" t="str">
        <x:v>normal electrical power</x:v>
      </x:c>
      <x:c r="H333" s="34" t="n">
        <x:v>1</x:v>
      </x:c>
      <x:c r="I333" s="35" t="str"/>
      <x:c r="J333" s="34" t="str">
        <x:f>IF(OR(NOT(ISNUMBER(H333)),NOT(ISNUMBER(I333))),"",I333-H333)</x:f>
      </x:c>
      <x:c r="K333" s="34" t="n">
        <x:v>0.05</x:v>
      </x:c>
      <x:c r="L333" s="31" t="str"/>
      <x:c r="M333" s="31" t="str"/>
      <x:c r="N333" s="28" t="str">
        <x:f>IF(M333="","OPEN",IF(OR(L333="",NOT(ISNUMBER(I333))),"FAIL",IF(ABS(J333)&lt;=K333,"PASS","FAIL")))</x:f>
        <x:v>OPEN</x:v>
      </x:c>
    </x:row>
    <x:row r="334">
      <x:c r="B334" s="28" t="str">
        <x:v>CR-CAL-PEA-C-Y3-RFP-B1-16</x:v>
      </x:c>
      <x:c r="C334" s="28" t="str">
        <x:v>CAL-PEA-C-Y3-RFP-B1</x:v>
      </x:c>
      <x:c r="D334" s="28" t="str">
        <x:v>PEA-C-Y3</x:v>
      </x:c>
      <x:c r="E334" s="28" t="str">
        <x:v>RFP-B1</x:v>
      </x:c>
      <x:c r="F334" s="28" t="n">
        <x:v>16</x:v>
      </x:c>
      <x:c r="G334" s="28" t="str">
        <x:v>independent power</x:v>
      </x:c>
      <x:c r="H334" s="34" t="n">
        <x:v>1</x:v>
      </x:c>
      <x:c r="I334" s="35" t="str"/>
      <x:c r="J334" s="34" t="str">
        <x:f>IF(OR(NOT(ISNUMBER(H334)),NOT(ISNUMBER(I334))),"",I334-H334)</x:f>
      </x:c>
      <x:c r="K334" s="34" t="n">
        <x:v>0.05</x:v>
      </x:c>
      <x:c r="L334" s="31" t="str"/>
      <x:c r="M334" s="31" t="str"/>
      <x:c r="N334" s="28" t="str">
        <x:f>IF(M334="","OPEN",IF(OR(L334="",NOT(ISNUMBER(I334))),"FAIL",IF(ABS(J334)&lt;=K334,"PASS","FAIL")))</x:f>
        <x:v>OPEN</x:v>
      </x:c>
    </x:row>
    <x:row r="335">
      <x:c r="B335" s="28" t="str">
        <x:v>CR-CAL-PEA-C-Y3-RFP-B1-17</x:v>
      </x:c>
      <x:c r="C335" s="28" t="str">
        <x:v>CAL-PEA-C-Y3-RFP-B1</x:v>
      </x:c>
      <x:c r="D335" s="28" t="str">
        <x:v>PEA-C-Y3</x:v>
      </x:c>
      <x:c r="E335" s="28" t="str">
        <x:v>RFP-B1</x:v>
      </x:c>
      <x:c r="F335" s="28" t="n">
        <x:v>17</x:v>
      </x:c>
      <x:c r="G335" s="28" t="str">
        <x:v>leak collection</x:v>
      </x:c>
      <x:c r="H335" s="34" t="n">
        <x:v>1</x:v>
      </x:c>
      <x:c r="I335" s="35" t="str"/>
      <x:c r="J335" s="34" t="str">
        <x:f>IF(OR(NOT(ISNUMBER(H335)),NOT(ISNUMBER(I335))),"",I335-H335)</x:f>
      </x:c>
      <x:c r="K335" s="34" t="n">
        <x:v>0.05</x:v>
      </x:c>
      <x:c r="L335" s="31" t="str"/>
      <x:c r="M335" s="31" t="str"/>
      <x:c r="N335" s="28" t="str">
        <x:f>IF(M335="","OPEN",IF(OR(L335="",NOT(ISNUMBER(I335))),"FAIL",IF(ABS(J335)&lt;=K335,"PASS","FAIL")))</x:f>
        <x:v>OPEN</x:v>
      </x:c>
    </x:row>
    <x:row r="336">
      <x:c r="B336" s="28" t="str">
        <x:v>CR-CAL-PEA-C-Y3-RFP-B1-18</x:v>
      </x:c>
      <x:c r="C336" s="28" t="str">
        <x:v>CAL-PEA-C-Y3-RFP-B1</x:v>
      </x:c>
      <x:c r="D336" s="28" t="str">
        <x:v>PEA-C-Y3</x:v>
      </x:c>
      <x:c r="E336" s="28" t="str">
        <x:v>RFP-B1</x:v>
      </x:c>
      <x:c r="F336" s="28" t="n">
        <x:v>18</x:v>
      </x:c>
      <x:c r="G336" s="28" t="str">
        <x:v>occupied area</x:v>
      </x:c>
      <x:c r="H336" s="34" t="n">
        <x:v>1</x:v>
      </x:c>
      <x:c r="I336" s="35" t="str"/>
      <x:c r="J336" s="34" t="str">
        <x:f>IF(OR(NOT(ISNUMBER(H336)),NOT(ISNUMBER(I336))),"",I336-H336)</x:f>
      </x:c>
      <x:c r="K336" s="34" t="n">
        <x:v>0.05</x:v>
      </x:c>
      <x:c r="L336" s="31" t="str"/>
      <x:c r="M336" s="31" t="str"/>
      <x:c r="N336" s="28" t="str">
        <x:f>IF(M336="","OPEN",IF(OR(L336="",NOT(ISNUMBER(I336))),"FAIL",IF(ABS(J336)&lt;=K336,"PASS","FAIL")))</x:f>
        <x:v>OPEN</x:v>
      </x:c>
    </x:row>
    <x:row r="337">
      <x:c r="B337" s="28" t="str">
        <x:v>CR-CAL-PEA-C-Y3-RFP-B1-19</x:v>
      </x:c>
      <x:c r="C337" s="28" t="str">
        <x:v>CAL-PEA-C-Y3-RFP-B1</x:v>
      </x:c>
      <x:c r="D337" s="28" t="str">
        <x:v>PEA-C-Y3</x:v>
      </x:c>
      <x:c r="E337" s="28" t="str">
        <x:v>RFP-B1</x:v>
      </x:c>
      <x:c r="F337" s="28" t="n">
        <x:v>19</x:v>
      </x:c>
      <x:c r="G337" s="28" t="str">
        <x:v>water flow</x:v>
      </x:c>
      <x:c r="H337" s="34" t="n">
        <x:v>1</x:v>
      </x:c>
      <x:c r="I337" s="35" t="str"/>
      <x:c r="J337" s="34" t="str">
        <x:f>IF(OR(NOT(ISNUMBER(H337)),NOT(ISNUMBER(I337))),"",I337-H337)</x:f>
      </x:c>
      <x:c r="K337" s="34" t="n">
        <x:v>0.05</x:v>
      </x:c>
      <x:c r="L337" s="31" t="str"/>
      <x:c r="M337" s="31" t="str"/>
      <x:c r="N337" s="28" t="str">
        <x:f>IF(M337="","OPEN",IF(OR(L337="",NOT(ISNUMBER(I337))),"FAIL",IF(ABS(J337)&lt;=K337,"PASS","FAIL")))</x:f>
        <x:v>OPEN</x:v>
      </x:c>
    </x:row>
    <x:row r="338">
      <x:c r="B338" s="28" t="str">
        <x:v>CR-CAL-PEA-C-Y3-RFP-B1-20</x:v>
      </x:c>
      <x:c r="C338" s="28" t="str">
        <x:v>CAL-PEA-C-Y3-RFP-B1</x:v>
      </x:c>
      <x:c r="D338" s="28" t="str">
        <x:v>PEA-C-Y3</x:v>
      </x:c>
      <x:c r="E338" s="28" t="str">
        <x:v>RFP-B1</x:v>
      </x:c>
      <x:c r="F338" s="28" t="n">
        <x:v>20</x:v>
      </x:c>
      <x:c r="G338" s="28" t="str">
        <x:v>source ancestry root A</x:v>
      </x:c>
      <x:c r="H338" s="34" t="n">
        <x:v>1</x:v>
      </x:c>
      <x:c r="I338" s="35" t="str"/>
      <x:c r="J338" s="34" t="str">
        <x:f>IF(OR(NOT(ISNUMBER(H338)),NOT(ISNUMBER(I338))),"",I338-H338)</x:f>
      </x:c>
      <x:c r="K338" s="34" t="n">
        <x:v>0.05</x:v>
      </x:c>
      <x:c r="L338" s="31" t="str"/>
      <x:c r="M338" s="31" t="str"/>
      <x:c r="N338" s="28" t="str">
        <x:f>IF(M338="","OPEN",IF(OR(L338="",NOT(ISNUMBER(I338))),"FAIL",IF(ABS(J338)&lt;=K338,"PASS","FAIL")))</x:f>
        <x:v>OPEN</x:v>
      </x:c>
    </x:row>
    <x:row r="339">
      <x:c r="B339" s="28" t="str">
        <x:v>CR-CAL-PEA-C-Y3-RFP-B1-21</x:v>
      </x:c>
      <x:c r="C339" s="28" t="str">
        <x:v>CAL-PEA-C-Y3-RFP-B1</x:v>
      </x:c>
      <x:c r="D339" s="28" t="str">
        <x:v>PEA-C-Y3</x:v>
      </x:c>
      <x:c r="E339" s="28" t="str">
        <x:v>RFP-B1</x:v>
      </x:c>
      <x:c r="F339" s="28" t="n">
        <x:v>21</x:v>
      </x:c>
      <x:c r="G339" s="28" t="str">
        <x:v>source ancestry root B</x:v>
      </x:c>
      <x:c r="H339" s="34" t="n">
        <x:v>1</x:v>
      </x:c>
      <x:c r="I339" s="35" t="str"/>
      <x:c r="J339" s="34" t="str">
        <x:f>IF(OR(NOT(ISNUMBER(H339)),NOT(ISNUMBER(I339))),"",I339-H339)</x:f>
      </x:c>
      <x:c r="K339" s="34" t="n">
        <x:v>0.05</x:v>
      </x:c>
      <x:c r="L339" s="31" t="str"/>
      <x:c r="M339" s="31" t="str"/>
      <x:c r="N339" s="28" t="str">
        <x:f>IF(M339="","OPEN",IF(OR(L339="",NOT(ISNUMBER(I339))),"FAIL",IF(ABS(J339)&lt;=K339,"PASS","FAIL")))</x:f>
        <x:v>OPEN</x:v>
      </x:c>
    </x:row>
    <x:row r="340">
      <x:c r="B340" s="28" t="str">
        <x:v>CR-CAL-PEA-C-Y3-RFP-B1-22</x:v>
      </x:c>
      <x:c r="C340" s="28" t="str">
        <x:v>CAL-PEA-C-Y3-RFP-B1</x:v>
      </x:c>
      <x:c r="D340" s="28" t="str">
        <x:v>PEA-C-Y3</x:v>
      </x:c>
      <x:c r="E340" s="28" t="str">
        <x:v>RFP-B1</x:v>
      </x:c>
      <x:c r="F340" s="28" t="n">
        <x:v>22</x:v>
      </x:c>
      <x:c r="G340" s="28" t="str">
        <x:v>environmental release</x:v>
      </x:c>
      <x:c r="H340" s="34" t="n">
        <x:v>1</x:v>
      </x:c>
      <x:c r="I340" s="35" t="str"/>
      <x:c r="J340" s="34" t="str">
        <x:f>IF(OR(NOT(ISNUMBER(H340)),NOT(ISNUMBER(I340))),"",I340-H340)</x:f>
      </x:c>
      <x:c r="K340" s="34" t="n">
        <x:v>0.05</x:v>
      </x:c>
      <x:c r="L340" s="31" t="str"/>
      <x:c r="M340" s="31" t="str"/>
      <x:c r="N340" s="28" t="str">
        <x:f>IF(M340="","OPEN",IF(OR(L340="",NOT(ISNUMBER(I340))),"FAIL",IF(ABS(J340)&lt;=K340,"PASS","FAIL")))</x:f>
        <x:v>OPEN</x:v>
      </x:c>
    </x:row>
    <x:row r="341">
      <x:c r="B341" s="28" t="str">
        <x:v>CR-CAL-PEA-C-Y3-RFP-B1-23</x:v>
      </x:c>
      <x:c r="C341" s="28" t="str">
        <x:v>CAL-PEA-C-Y3-RFP-B1</x:v>
      </x:c>
      <x:c r="D341" s="28" t="str">
        <x:v>PEA-C-Y3</x:v>
      </x:c>
      <x:c r="E341" s="28" t="str">
        <x:v>RFP-B1</x:v>
      </x:c>
      <x:c r="F341" s="28" t="n">
        <x:v>23</x:v>
      </x:c>
      <x:c r="G341" s="28" t="str">
        <x:v>image trigger</x:v>
      </x:c>
      <x:c r="H341" s="34" t="n">
        <x:v>1</x:v>
      </x:c>
      <x:c r="I341" s="35" t="str"/>
      <x:c r="J341" s="34" t="str">
        <x:f>IF(OR(NOT(ISNUMBER(H341)),NOT(ISNUMBER(I341))),"",I341-H341)</x:f>
      </x:c>
      <x:c r="K341" s="34" t="n">
        <x:v>0.05</x:v>
      </x:c>
      <x:c r="L341" s="31" t="str"/>
      <x:c r="M341" s="31" t="str"/>
      <x:c r="N341" s="28" t="str">
        <x:f>IF(M341="","OPEN",IF(OR(L341="",NOT(ISNUMBER(I341))),"FAIL",IF(ABS(J341)&lt;=K341,"PASS","FAIL")))</x:f>
        <x:v>OPEN</x:v>
      </x:c>
    </x:row>
    <x:row r="342">
      <x:c r="B342" s="28" t="str">
        <x:v>CR-CAL-PEA-C-Y3-RFP-B1-24</x:v>
      </x:c>
      <x:c r="C342" s="28" t="str">
        <x:v>CAL-PEA-C-Y3-RFP-B1</x:v>
      </x:c>
      <x:c r="D342" s="28" t="str">
        <x:v>PEA-C-Y3</x:v>
      </x:c>
      <x:c r="E342" s="28" t="str">
        <x:v>RFP-B1</x:v>
      </x:c>
      <x:c r="F342" s="28" t="n">
        <x:v>24</x:v>
      </x:c>
      <x:c r="G342" s="28" t="str">
        <x:v>evidence health</x:v>
      </x:c>
      <x:c r="H342" s="34" t="n">
        <x:v>1</x:v>
      </x:c>
      <x:c r="I342" s="35" t="str"/>
      <x:c r="J342" s="34" t="str">
        <x:f>IF(OR(NOT(ISNUMBER(H342)),NOT(ISNUMBER(I342))),"",I342-H342)</x:f>
      </x:c>
      <x:c r="K342" s="34" t="n">
        <x:v>0.05</x:v>
      </x:c>
      <x:c r="L342" s="31" t="str"/>
      <x:c r="M342" s="31" t="str"/>
      <x:c r="N342" s="28" t="str">
        <x:f>IF(M342="","OPEN",IF(OR(L342="",NOT(ISNUMBER(I342))),"FAIL",IF(ABS(J342)&lt;=K342,"PASS","FAIL")))</x:f>
        <x:v>OPEN</x:v>
      </x:c>
    </x:row>
    <x:row r="343">
      <x:c r="B343" s="28" t="str">
        <x:v>CR-CAL-PEA-A-X3-RFP-C1-01</x:v>
      </x:c>
      <x:c r="C343" s="28" t="str">
        <x:v>CAL-PEA-A-X3-RFP-C1</x:v>
      </x:c>
      <x:c r="D343" s="28" t="str">
        <x:v>PEA-A-X3</x:v>
      </x:c>
      <x:c r="E343" s="28" t="str">
        <x:v>RFP-C1</x:v>
      </x:c>
      <x:c r="F343" s="28" t="n">
        <x:v>1</x:v>
      </x:c>
      <x:c r="G343" s="28" t="str">
        <x:v>vessel mass</x:v>
      </x:c>
      <x:c r="H343" s="34" t="n">
        <x:v>1</x:v>
      </x:c>
      <x:c r="I343" s="35" t="str"/>
      <x:c r="J343" s="34" t="str">
        <x:f>IF(OR(NOT(ISNUMBER(H343)),NOT(ISNUMBER(I343))),"",I343-H343)</x:f>
      </x:c>
      <x:c r="K343" s="34" t="n">
        <x:v>0.05</x:v>
      </x:c>
      <x:c r="L343" s="31" t="str"/>
      <x:c r="M343" s="31" t="str"/>
      <x:c r="N343" s="28" t="str">
        <x:f>IF(M343="","OPEN",IF(OR(L343="",NOT(ISNUMBER(I343))),"FAIL",IF(ABS(J343)&lt;=K343,"PASS","FAIL")))</x:f>
        <x:v>OPEN</x:v>
      </x:c>
    </x:row>
    <x:row r="344">
      <x:c r="B344" s="28" t="str">
        <x:v>CR-CAL-PEA-A-X3-RFP-C1-02</x:v>
      </x:c>
      <x:c r="C344" s="28" t="str">
        <x:v>CAL-PEA-A-X3-RFP-C1</x:v>
      </x:c>
      <x:c r="D344" s="28" t="str">
        <x:v>PEA-A-X3</x:v>
      </x:c>
      <x:c r="E344" s="28" t="str">
        <x:v>RFP-C1</x:v>
      </x:c>
      <x:c r="F344" s="28" t="n">
        <x:v>2</x:v>
      </x:c>
      <x:c r="G344" s="28" t="str">
        <x:v>integrated transfer mass</x:v>
      </x:c>
      <x:c r="H344" s="34" t="n">
        <x:v>1</x:v>
      </x:c>
      <x:c r="I344" s="35" t="str"/>
      <x:c r="J344" s="34" t="str">
        <x:f>IF(OR(NOT(ISNUMBER(H344)),NOT(ISNUMBER(I344))),"",I344-H344)</x:f>
      </x:c>
      <x:c r="K344" s="34" t="n">
        <x:v>0.05</x:v>
      </x:c>
      <x:c r="L344" s="31" t="str"/>
      <x:c r="M344" s="31" t="str"/>
      <x:c r="N344" s="28" t="str">
        <x:f>IF(M344="","OPEN",IF(OR(L344="",NOT(ISNUMBER(I344))),"FAIL",IF(ABS(J344)&lt;=K344,"PASS","FAIL")))</x:f>
        <x:v>OPEN</x:v>
      </x:c>
    </x:row>
    <x:row r="345">
      <x:c r="B345" s="28" t="str">
        <x:v>CR-CAL-PEA-A-X3-RFP-C1-03</x:v>
      </x:c>
      <x:c r="C345" s="28" t="str">
        <x:v>CAL-PEA-A-X3-RFP-C1</x:v>
      </x:c>
      <x:c r="D345" s="28" t="str">
        <x:v>PEA-A-X3</x:v>
      </x:c>
      <x:c r="E345" s="28" t="str">
        <x:v>RFP-C1</x:v>
      </x:c>
      <x:c r="F345" s="28" t="n">
        <x:v>3</x:v>
      </x:c>
      <x:c r="G345" s="28" t="str">
        <x:v>pressure</x:v>
      </x:c>
      <x:c r="H345" s="34" t="n">
        <x:v>1</x:v>
      </x:c>
      <x:c r="I345" s="35" t="str"/>
      <x:c r="J345" s="34" t="str">
        <x:f>IF(OR(NOT(ISNUMBER(H345)),NOT(ISNUMBER(I345))),"",I345-H345)</x:f>
      </x:c>
      <x:c r="K345" s="34" t="n">
        <x:v>0.05</x:v>
      </x:c>
      <x:c r="L345" s="31" t="str"/>
      <x:c r="M345" s="31" t="str"/>
      <x:c r="N345" s="28" t="str">
        <x:f>IF(M345="","OPEN",IF(OR(L345="",NOT(ISNUMBER(I345))),"FAIL",IF(ABS(J345)&lt;=K345,"PASS","FAIL")))</x:f>
        <x:v>OPEN</x:v>
      </x:c>
    </x:row>
    <x:row r="346">
      <x:c r="B346" s="28" t="str">
        <x:v>CR-CAL-PEA-A-X3-RFP-C1-04</x:v>
      </x:c>
      <x:c r="C346" s="28" t="str">
        <x:v>CAL-PEA-A-X3-RFP-C1</x:v>
      </x:c>
      <x:c r="D346" s="28" t="str">
        <x:v>PEA-A-X3</x:v>
      </x:c>
      <x:c r="E346" s="28" t="str">
        <x:v>RFP-C1</x:v>
      </x:c>
      <x:c r="F346" s="28" t="n">
        <x:v>4</x:v>
      </x:c>
      <x:c r="G346" s="28" t="str">
        <x:v>temperature</x:v>
      </x:c>
      <x:c r="H346" s="34" t="n">
        <x:v>1</x:v>
      </x:c>
      <x:c r="I346" s="35" t="str"/>
      <x:c r="J346" s="34" t="str">
        <x:f>IF(OR(NOT(ISNUMBER(H346)),NOT(ISNUMBER(I346))),"",I346-H346)</x:f>
      </x:c>
      <x:c r="K346" s="34" t="n">
        <x:v>0.05</x:v>
      </x:c>
      <x:c r="L346" s="31" t="str"/>
      <x:c r="M346" s="31" t="str"/>
      <x:c r="N346" s="28" t="str">
        <x:f>IF(M346="","OPEN",IF(OR(L346="",NOT(ISNUMBER(I346))),"FAIL",IF(ABS(J346)&lt;=K346,"PASS","FAIL")))</x:f>
        <x:v>OPEN</x:v>
      </x:c>
    </x:row>
    <x:row r="347">
      <x:c r="B347" s="28" t="str">
        <x:v>CR-CAL-PEA-A-X3-RFP-C1-05</x:v>
      </x:c>
      <x:c r="C347" s="28" t="str">
        <x:v>CAL-PEA-A-X3-RFP-C1</x:v>
      </x:c>
      <x:c r="D347" s="28" t="str">
        <x:v>PEA-A-X3</x:v>
      </x:c>
      <x:c r="E347" s="28" t="str">
        <x:v>RFP-C1</x:v>
      </x:c>
      <x:c r="F347" s="28" t="n">
        <x:v>5</x:v>
      </x:c>
      <x:c r="G347" s="28" t="str">
        <x:v>hold-up tomography</x:v>
      </x:c>
      <x:c r="H347" s="34" t="n">
        <x:v>1</x:v>
      </x:c>
      <x:c r="I347" s="35" t="str"/>
      <x:c r="J347" s="34" t="str">
        <x:f>IF(OR(NOT(ISNUMBER(H347)),NOT(ISNUMBER(I347))),"",I347-H347)</x:f>
      </x:c>
      <x:c r="K347" s="34" t="n">
        <x:v>0.05</x:v>
      </x:c>
      <x:c r="L347" s="31" t="str"/>
      <x:c r="M347" s="31" t="str"/>
      <x:c r="N347" s="28" t="str">
        <x:f>IF(M347="","OPEN",IF(OR(L347="",NOT(ISNUMBER(I347))),"FAIL",IF(ABS(J347)&lt;=K347,"PASS","FAIL")))</x:f>
        <x:v>OPEN</x:v>
      </x:c>
    </x:row>
    <x:row r="348">
      <x:c r="B348" s="28" t="str">
        <x:v>CR-CAL-PEA-A-X3-RFP-C1-06</x:v>
      </x:c>
      <x:c r="C348" s="28" t="str">
        <x:v>CAL-PEA-A-X3-RFP-C1</x:v>
      </x:c>
      <x:c r="D348" s="28" t="str">
        <x:v>PEA-A-X3</x:v>
      </x:c>
      <x:c r="E348" s="28" t="str">
        <x:v>RFP-C1</x:v>
      </x:c>
      <x:c r="F348" s="28" t="n">
        <x:v>6</x:v>
      </x:c>
      <x:c r="G348" s="28" t="str">
        <x:v>pan level</x:v>
      </x:c>
      <x:c r="H348" s="34" t="n">
        <x:v>1</x:v>
      </x:c>
      <x:c r="I348" s="35" t="str"/>
      <x:c r="J348" s="34" t="str">
        <x:f>IF(OR(NOT(ISNUMBER(H348)),NOT(ISNUMBER(I348))),"",I348-H348)</x:f>
      </x:c>
      <x:c r="K348" s="34" t="n">
        <x:v>0.05</x:v>
      </x:c>
      <x:c r="L348" s="31" t="str"/>
      <x:c r="M348" s="31" t="str"/>
      <x:c r="N348" s="28" t="str">
        <x:f>IF(M348="","OPEN",IF(OR(L348="",NOT(ISNUMBER(I348))),"FAIL",IF(ABS(J348)&lt;=K348,"PASS","FAIL")))</x:f>
        <x:v>OPEN</x:v>
      </x:c>
    </x:row>
    <x:row r="349">
      <x:c r="B349" s="28" t="str">
        <x:v>CR-CAL-PEA-A-X3-RFP-C1-07</x:v>
      </x:c>
      <x:c r="C349" s="28" t="str">
        <x:v>CAL-PEA-A-X3-RFP-C1</x:v>
      </x:c>
      <x:c r="D349" s="28" t="str">
        <x:v>PEA-A-X3</x:v>
      </x:c>
      <x:c r="E349" s="28" t="str">
        <x:v>RFP-C1</x:v>
      </x:c>
      <x:c r="F349" s="28" t="n">
        <x:v>7</x:v>
      </x:c>
      <x:c r="G349" s="28" t="str">
        <x:v>receiver mass</x:v>
      </x:c>
      <x:c r="H349" s="34" t="n">
        <x:v>1</x:v>
      </x:c>
      <x:c r="I349" s="35" t="str"/>
      <x:c r="J349" s="34" t="str">
        <x:f>IF(OR(NOT(ISNUMBER(H349)),NOT(ISNUMBER(I349))),"",I349-H349)</x:f>
      </x:c>
      <x:c r="K349" s="34" t="n">
        <x:v>0.05</x:v>
      </x:c>
      <x:c r="L349" s="31" t="str"/>
      <x:c r="M349" s="31" t="str"/>
      <x:c r="N349" s="28" t="str">
        <x:f>IF(M349="","OPEN",IF(OR(L349="",NOT(ISNUMBER(I349))),"FAIL",IF(ABS(J349)&lt;=K349,"PASS","FAIL")))</x:f>
        <x:v>OPEN</x:v>
      </x:c>
    </x:row>
    <x:row r="350">
      <x:c r="B350" s="28" t="str">
        <x:v>CR-CAL-PEA-A-X3-RFP-C1-08</x:v>
      </x:c>
      <x:c r="C350" s="28" t="str">
        <x:v>CAL-PEA-A-X3-RFP-C1</x:v>
      </x:c>
      <x:c r="D350" s="28" t="str">
        <x:v>PEA-A-X3</x:v>
      </x:c>
      <x:c r="E350" s="28" t="str">
        <x:v>RFP-C1</x:v>
      </x:c>
      <x:c r="F350" s="28" t="n">
        <x:v>8</x:v>
      </x:c>
      <x:c r="G350" s="28" t="str">
        <x:v>geometry and slope</x:v>
      </x:c>
      <x:c r="H350" s="34" t="n">
        <x:v>1</x:v>
      </x:c>
      <x:c r="I350" s="35" t="str"/>
      <x:c r="J350" s="34" t="str">
        <x:f>IF(OR(NOT(ISNUMBER(H350)),NOT(ISNUMBER(I350))),"",I350-H350)</x:f>
      </x:c>
      <x:c r="K350" s="34" t="n">
        <x:v>0.05</x:v>
      </x:c>
      <x:c r="L350" s="31" t="str"/>
      <x:c r="M350" s="31" t="str"/>
      <x:c r="N350" s="28" t="str">
        <x:f>IF(M350="","OPEN",IF(OR(L350="",NOT(ISNUMBER(I350))),"FAIL",IF(ABS(J350)&lt;=K350,"PASS","FAIL")))</x:f>
        <x:v>OPEN</x:v>
      </x:c>
    </x:row>
    <x:row r="351">
      <x:c r="B351" s="28" t="str">
        <x:v>CR-CAL-PEA-A-X3-RFP-C1-09</x:v>
      </x:c>
      <x:c r="C351" s="28" t="str">
        <x:v>CAL-PEA-A-X3-RFP-C1</x:v>
      </x:c>
      <x:c r="D351" s="28" t="str">
        <x:v>PEA-A-X3</x:v>
      </x:c>
      <x:c r="E351" s="28" t="str">
        <x:v>RFP-C1</x:v>
      </x:c>
      <x:c r="F351" s="28" t="n">
        <x:v>9</x:v>
      </x:c>
      <x:c r="G351" s="28" t="str">
        <x:v>primary state witness</x:v>
      </x:c>
      <x:c r="H351" s="34" t="n">
        <x:v>1</x:v>
      </x:c>
      <x:c r="I351" s="35" t="str"/>
      <x:c r="J351" s="34" t="str">
        <x:f>IF(OR(NOT(ISNUMBER(H351)),NOT(ISNUMBER(I351))),"",I351-H351)</x:f>
      </x:c>
      <x:c r="K351" s="34" t="n">
        <x:v>0.05</x:v>
      </x:c>
      <x:c r="L351" s="31" t="str"/>
      <x:c r="M351" s="31" t="str"/>
      <x:c r="N351" s="28" t="str">
        <x:f>IF(M351="","OPEN",IF(OR(L351="",NOT(ISNUMBER(I351))),"FAIL",IF(ABS(J351)&lt;=K351,"PASS","FAIL")))</x:f>
        <x:v>OPEN</x:v>
      </x:c>
    </x:row>
    <x:row r="352">
      <x:c r="B352" s="28" t="str">
        <x:v>CR-CAL-PEA-A-X3-RFP-C1-10</x:v>
      </x:c>
      <x:c r="C352" s="28" t="str">
        <x:v>CAL-PEA-A-X3-RFP-C1</x:v>
      </x:c>
      <x:c r="D352" s="28" t="str">
        <x:v>PEA-A-X3</x:v>
      </x:c>
      <x:c r="E352" s="28" t="str">
        <x:v>RFP-C1</x:v>
      </x:c>
      <x:c r="F352" s="28" t="n">
        <x:v>10</x:v>
      </x:c>
      <x:c r="G352" s="28" t="str">
        <x:v>diverse state witness</x:v>
      </x:c>
      <x:c r="H352" s="34" t="n">
        <x:v>1</x:v>
      </x:c>
      <x:c r="I352" s="35" t="str"/>
      <x:c r="J352" s="34" t="str">
        <x:f>IF(OR(NOT(ISNUMBER(H352)),NOT(ISNUMBER(I352))),"",I352-H352)</x:f>
      </x:c>
      <x:c r="K352" s="34" t="n">
        <x:v>0.05</x:v>
      </x:c>
      <x:c r="L352" s="31" t="str"/>
      <x:c r="M352" s="31" t="str"/>
      <x:c r="N352" s="28" t="str">
        <x:f>IF(M352="","OPEN",IF(OR(L352="",NOT(ISNUMBER(I352))),"FAIL",IF(ABS(J352)&lt;=K352,"PASS","FAIL")))</x:f>
        <x:v>OPEN</x:v>
      </x:c>
    </x:row>
    <x:row r="353">
      <x:c r="B353" s="28" t="str">
        <x:v>CR-CAL-PEA-A-X3-RFP-C1-11</x:v>
      </x:c>
      <x:c r="C353" s="28" t="str">
        <x:v>CAL-PEA-A-X3-RFP-C1</x:v>
      </x:c>
      <x:c r="D353" s="28" t="str">
        <x:v>PEA-A-X3</x:v>
      </x:c>
      <x:c r="E353" s="28" t="str">
        <x:v>RFP-C1</x:v>
      </x:c>
      <x:c r="F353" s="28" t="n">
        <x:v>11</x:v>
      </x:c>
      <x:c r="G353" s="28" t="str">
        <x:v>manual state witness</x:v>
      </x:c>
      <x:c r="H353" s="34" t="n">
        <x:v>1</x:v>
      </x:c>
      <x:c r="I353" s="35" t="str"/>
      <x:c r="J353" s="34" t="str">
        <x:f>IF(OR(NOT(ISNUMBER(H353)),NOT(ISNUMBER(I353))),"",I353-H353)</x:f>
      </x:c>
      <x:c r="K353" s="34" t="n">
        <x:v>0.05</x:v>
      </x:c>
      <x:c r="L353" s="31" t="str"/>
      <x:c r="M353" s="31" t="str"/>
      <x:c r="N353" s="28" t="str">
        <x:f>IF(M353="","OPEN",IF(OR(L353="",NOT(ISNUMBER(I353))),"FAIL",IF(ABS(J353)&lt;=K353,"PASS","FAIL")))</x:f>
        <x:v>OPEN</x:v>
      </x:c>
    </x:row>
    <x:row r="354">
      <x:c r="B354" s="28" t="str">
        <x:v>CR-CAL-PEA-A-X3-RFP-C1-12</x:v>
      </x:c>
      <x:c r="C354" s="28" t="str">
        <x:v>CAL-PEA-A-X3-RFP-C1</x:v>
      </x:c>
      <x:c r="D354" s="28" t="str">
        <x:v>PEA-A-X3</x:v>
      </x:c>
      <x:c r="E354" s="28" t="str">
        <x:v>RFP-C1</x:v>
      </x:c>
      <x:c r="F354" s="28" t="n">
        <x:v>12</x:v>
      </x:c>
      <x:c r="G354" s="28" t="str">
        <x:v>final-element reference</x:v>
      </x:c>
      <x:c r="H354" s="34" t="n">
        <x:v>1</x:v>
      </x:c>
      <x:c r="I354" s="35" t="str"/>
      <x:c r="J354" s="34" t="str">
        <x:f>IF(OR(NOT(ISNUMBER(H354)),NOT(ISNUMBER(I354))),"",I354-H354)</x:f>
      </x:c>
      <x:c r="K354" s="34" t="n">
        <x:v>0.05</x:v>
      </x:c>
      <x:c r="L354" s="31" t="str"/>
      <x:c r="M354" s="31" t="str"/>
      <x:c r="N354" s="28" t="str">
        <x:f>IF(M354="","OPEN",IF(OR(L354="",NOT(ISNUMBER(I354))),"FAIL",IF(ABS(J354)&lt;=K354,"PASS","FAIL")))</x:f>
        <x:v>OPEN</x:v>
      </x:c>
    </x:row>
    <x:row r="355">
      <x:c r="B355" s="28" t="str">
        <x:v>CR-CAL-PEA-A-X3-RFP-C1-13</x:v>
      </x:c>
      <x:c r="C355" s="28" t="str">
        <x:v>CAL-PEA-A-X3-RFP-C1</x:v>
      </x:c>
      <x:c r="D355" s="28" t="str">
        <x:v>PEA-A-X3</x:v>
      </x:c>
      <x:c r="E355" s="28" t="str">
        <x:v>RFP-C1</x:v>
      </x:c>
      <x:c r="F355" s="28" t="n">
        <x:v>13</x:v>
      </x:c>
      <x:c r="G355" s="28" t="str">
        <x:v>causal time</x:v>
      </x:c>
      <x:c r="H355" s="34" t="n">
        <x:v>1</x:v>
      </x:c>
      <x:c r="I355" s="35" t="str"/>
      <x:c r="J355" s="34" t="str">
        <x:f>IF(OR(NOT(ISNUMBER(H355)),NOT(ISNUMBER(I355))),"",I355-H355)</x:f>
      </x:c>
      <x:c r="K355" s="34" t="n">
        <x:v>0.05</x:v>
      </x:c>
      <x:c r="L355" s="31" t="str"/>
      <x:c r="M355" s="31" t="str"/>
      <x:c r="N355" s="28" t="str">
        <x:f>IF(M355="","OPEN",IF(OR(L355="",NOT(ISNUMBER(I355))),"FAIL",IF(ABS(J355)&lt;=K355,"PASS","FAIL")))</x:f>
        <x:v>OPEN</x:v>
      </x:c>
    </x:row>
    <x:row r="356">
      <x:c r="B356" s="28" t="str">
        <x:v>CR-CAL-PEA-A-X3-RFP-C1-14</x:v>
      </x:c>
      <x:c r="C356" s="28" t="str">
        <x:v>CAL-PEA-A-X3-RFP-C1</x:v>
      </x:c>
      <x:c r="D356" s="28" t="str">
        <x:v>PEA-A-X3</x:v>
      </x:c>
      <x:c r="E356" s="28" t="str">
        <x:v>RFP-C1</x:v>
      </x:c>
      <x:c r="F356" s="28" t="n">
        <x:v>14</x:v>
      </x:c>
      <x:c r="G356" s="28" t="str">
        <x:v>motive energy</x:v>
      </x:c>
      <x:c r="H356" s="34" t="n">
        <x:v>1</x:v>
      </x:c>
      <x:c r="I356" s="35" t="str"/>
      <x:c r="J356" s="34" t="str">
        <x:f>IF(OR(NOT(ISNUMBER(H356)),NOT(ISNUMBER(I356))),"",I356-H356)</x:f>
      </x:c>
      <x:c r="K356" s="34" t="n">
        <x:v>0.05</x:v>
      </x:c>
      <x:c r="L356" s="31" t="str"/>
      <x:c r="M356" s="31" t="str"/>
      <x:c r="N356" s="28" t="str">
        <x:f>IF(M356="","OPEN",IF(OR(L356="",NOT(ISNUMBER(I356))),"FAIL",IF(ABS(J356)&lt;=K356,"PASS","FAIL")))</x:f>
        <x:v>OPEN</x:v>
      </x:c>
    </x:row>
    <x:row r="357">
      <x:c r="B357" s="28" t="str">
        <x:v>CR-CAL-PEA-A-X3-RFP-C1-15</x:v>
      </x:c>
      <x:c r="C357" s="28" t="str">
        <x:v>CAL-PEA-A-X3-RFP-C1</x:v>
      </x:c>
      <x:c r="D357" s="28" t="str">
        <x:v>PEA-A-X3</x:v>
      </x:c>
      <x:c r="E357" s="28" t="str">
        <x:v>RFP-C1</x:v>
      </x:c>
      <x:c r="F357" s="28" t="n">
        <x:v>15</x:v>
      </x:c>
      <x:c r="G357" s="28" t="str">
        <x:v>normal electrical power</x:v>
      </x:c>
      <x:c r="H357" s="34" t="n">
        <x:v>1</x:v>
      </x:c>
      <x:c r="I357" s="35" t="str"/>
      <x:c r="J357" s="34" t="str">
        <x:f>IF(OR(NOT(ISNUMBER(H357)),NOT(ISNUMBER(I357))),"",I357-H357)</x:f>
      </x:c>
      <x:c r="K357" s="34" t="n">
        <x:v>0.05</x:v>
      </x:c>
      <x:c r="L357" s="31" t="str"/>
      <x:c r="M357" s="31" t="str"/>
      <x:c r="N357" s="28" t="str">
        <x:f>IF(M357="","OPEN",IF(OR(L357="",NOT(ISNUMBER(I357))),"FAIL",IF(ABS(J357)&lt;=K357,"PASS","FAIL")))</x:f>
        <x:v>OPEN</x:v>
      </x:c>
    </x:row>
    <x:row r="358">
      <x:c r="B358" s="28" t="str">
        <x:v>CR-CAL-PEA-A-X3-RFP-C1-16</x:v>
      </x:c>
      <x:c r="C358" s="28" t="str">
        <x:v>CAL-PEA-A-X3-RFP-C1</x:v>
      </x:c>
      <x:c r="D358" s="28" t="str">
        <x:v>PEA-A-X3</x:v>
      </x:c>
      <x:c r="E358" s="28" t="str">
        <x:v>RFP-C1</x:v>
      </x:c>
      <x:c r="F358" s="28" t="n">
        <x:v>16</x:v>
      </x:c>
      <x:c r="G358" s="28" t="str">
        <x:v>independent power</x:v>
      </x:c>
      <x:c r="H358" s="34" t="n">
        <x:v>1</x:v>
      </x:c>
      <x:c r="I358" s="35" t="str"/>
      <x:c r="J358" s="34" t="str">
        <x:f>IF(OR(NOT(ISNUMBER(H358)),NOT(ISNUMBER(I358))),"",I358-H358)</x:f>
      </x:c>
      <x:c r="K358" s="34" t="n">
        <x:v>0.05</x:v>
      </x:c>
      <x:c r="L358" s="31" t="str"/>
      <x:c r="M358" s="31" t="str"/>
      <x:c r="N358" s="28" t="str">
        <x:f>IF(M358="","OPEN",IF(OR(L358="",NOT(ISNUMBER(I358))),"FAIL",IF(ABS(J358)&lt;=K358,"PASS","FAIL")))</x:f>
        <x:v>OPEN</x:v>
      </x:c>
    </x:row>
    <x:row r="359">
      <x:c r="B359" s="28" t="str">
        <x:v>CR-CAL-PEA-A-X3-RFP-C1-17</x:v>
      </x:c>
      <x:c r="C359" s="28" t="str">
        <x:v>CAL-PEA-A-X3-RFP-C1</x:v>
      </x:c>
      <x:c r="D359" s="28" t="str">
        <x:v>PEA-A-X3</x:v>
      </x:c>
      <x:c r="E359" s="28" t="str">
        <x:v>RFP-C1</x:v>
      </x:c>
      <x:c r="F359" s="28" t="n">
        <x:v>17</x:v>
      </x:c>
      <x:c r="G359" s="28" t="str">
        <x:v>leak collection</x:v>
      </x:c>
      <x:c r="H359" s="34" t="n">
        <x:v>1</x:v>
      </x:c>
      <x:c r="I359" s="35" t="str"/>
      <x:c r="J359" s="34" t="str">
        <x:f>IF(OR(NOT(ISNUMBER(H359)),NOT(ISNUMBER(I359))),"",I359-H359)</x:f>
      </x:c>
      <x:c r="K359" s="34" t="n">
        <x:v>0.05</x:v>
      </x:c>
      <x:c r="L359" s="31" t="str"/>
      <x:c r="M359" s="31" t="str"/>
      <x:c r="N359" s="28" t="str">
        <x:f>IF(M359="","OPEN",IF(OR(L359="",NOT(ISNUMBER(I359))),"FAIL",IF(ABS(J359)&lt;=K359,"PASS","FAIL")))</x:f>
        <x:v>OPEN</x:v>
      </x:c>
    </x:row>
    <x:row r="360">
      <x:c r="B360" s="28" t="str">
        <x:v>CR-CAL-PEA-A-X3-RFP-C1-18</x:v>
      </x:c>
      <x:c r="C360" s="28" t="str">
        <x:v>CAL-PEA-A-X3-RFP-C1</x:v>
      </x:c>
      <x:c r="D360" s="28" t="str">
        <x:v>PEA-A-X3</x:v>
      </x:c>
      <x:c r="E360" s="28" t="str">
        <x:v>RFP-C1</x:v>
      </x:c>
      <x:c r="F360" s="28" t="n">
        <x:v>18</x:v>
      </x:c>
      <x:c r="G360" s="28" t="str">
        <x:v>occupied area</x:v>
      </x:c>
      <x:c r="H360" s="34" t="n">
        <x:v>1</x:v>
      </x:c>
      <x:c r="I360" s="35" t="str"/>
      <x:c r="J360" s="34" t="str">
        <x:f>IF(OR(NOT(ISNUMBER(H360)),NOT(ISNUMBER(I360))),"",I360-H360)</x:f>
      </x:c>
      <x:c r="K360" s="34" t="n">
        <x:v>0.05</x:v>
      </x:c>
      <x:c r="L360" s="31" t="str"/>
      <x:c r="M360" s="31" t="str"/>
      <x:c r="N360" s="28" t="str">
        <x:f>IF(M360="","OPEN",IF(OR(L360="",NOT(ISNUMBER(I360))),"FAIL",IF(ABS(J360)&lt;=K360,"PASS","FAIL")))</x:f>
        <x:v>OPEN</x:v>
      </x:c>
    </x:row>
    <x:row r="361">
      <x:c r="B361" s="28" t="str">
        <x:v>CR-CAL-PEA-A-X3-RFP-C1-19</x:v>
      </x:c>
      <x:c r="C361" s="28" t="str">
        <x:v>CAL-PEA-A-X3-RFP-C1</x:v>
      </x:c>
      <x:c r="D361" s="28" t="str">
        <x:v>PEA-A-X3</x:v>
      </x:c>
      <x:c r="E361" s="28" t="str">
        <x:v>RFP-C1</x:v>
      </x:c>
      <x:c r="F361" s="28" t="n">
        <x:v>19</x:v>
      </x:c>
      <x:c r="G361" s="28" t="str">
        <x:v>water flow</x:v>
      </x:c>
      <x:c r="H361" s="34" t="n">
        <x:v>1</x:v>
      </x:c>
      <x:c r="I361" s="35" t="str"/>
      <x:c r="J361" s="34" t="str">
        <x:f>IF(OR(NOT(ISNUMBER(H361)),NOT(ISNUMBER(I361))),"",I361-H361)</x:f>
      </x:c>
      <x:c r="K361" s="34" t="n">
        <x:v>0.05</x:v>
      </x:c>
      <x:c r="L361" s="31" t="str"/>
      <x:c r="M361" s="31" t="str"/>
      <x:c r="N361" s="28" t="str">
        <x:f>IF(M361="","OPEN",IF(OR(L361="",NOT(ISNUMBER(I361))),"FAIL",IF(ABS(J361)&lt;=K361,"PASS","FAIL")))</x:f>
        <x:v>OPEN</x:v>
      </x:c>
    </x:row>
    <x:row r="362">
      <x:c r="B362" s="28" t="str">
        <x:v>CR-CAL-PEA-A-X3-RFP-C1-20</x:v>
      </x:c>
      <x:c r="C362" s="28" t="str">
        <x:v>CAL-PEA-A-X3-RFP-C1</x:v>
      </x:c>
      <x:c r="D362" s="28" t="str">
        <x:v>PEA-A-X3</x:v>
      </x:c>
      <x:c r="E362" s="28" t="str">
        <x:v>RFP-C1</x:v>
      </x:c>
      <x:c r="F362" s="28" t="n">
        <x:v>20</x:v>
      </x:c>
      <x:c r="G362" s="28" t="str">
        <x:v>source ancestry root A</x:v>
      </x:c>
      <x:c r="H362" s="34" t="n">
        <x:v>1</x:v>
      </x:c>
      <x:c r="I362" s="35" t="str"/>
      <x:c r="J362" s="34" t="str">
        <x:f>IF(OR(NOT(ISNUMBER(H362)),NOT(ISNUMBER(I362))),"",I362-H362)</x:f>
      </x:c>
      <x:c r="K362" s="34" t="n">
        <x:v>0.05</x:v>
      </x:c>
      <x:c r="L362" s="31" t="str"/>
      <x:c r="M362" s="31" t="str"/>
      <x:c r="N362" s="28" t="str">
        <x:f>IF(M362="","OPEN",IF(OR(L362="",NOT(ISNUMBER(I362))),"FAIL",IF(ABS(J362)&lt;=K362,"PASS","FAIL")))</x:f>
        <x:v>OPEN</x:v>
      </x:c>
    </x:row>
    <x:row r="363">
      <x:c r="B363" s="28" t="str">
        <x:v>CR-CAL-PEA-A-X3-RFP-C1-21</x:v>
      </x:c>
      <x:c r="C363" s="28" t="str">
        <x:v>CAL-PEA-A-X3-RFP-C1</x:v>
      </x:c>
      <x:c r="D363" s="28" t="str">
        <x:v>PEA-A-X3</x:v>
      </x:c>
      <x:c r="E363" s="28" t="str">
        <x:v>RFP-C1</x:v>
      </x:c>
      <x:c r="F363" s="28" t="n">
        <x:v>21</x:v>
      </x:c>
      <x:c r="G363" s="28" t="str">
        <x:v>source ancestry root B</x:v>
      </x:c>
      <x:c r="H363" s="34" t="n">
        <x:v>1</x:v>
      </x:c>
      <x:c r="I363" s="35" t="str"/>
      <x:c r="J363" s="34" t="str">
        <x:f>IF(OR(NOT(ISNUMBER(H363)),NOT(ISNUMBER(I363))),"",I363-H363)</x:f>
      </x:c>
      <x:c r="K363" s="34" t="n">
        <x:v>0.05</x:v>
      </x:c>
      <x:c r="L363" s="31" t="str"/>
      <x:c r="M363" s="31" t="str"/>
      <x:c r="N363" s="28" t="str">
        <x:f>IF(M363="","OPEN",IF(OR(L363="",NOT(ISNUMBER(I363))),"FAIL",IF(ABS(J363)&lt;=K363,"PASS","FAIL")))</x:f>
        <x:v>OPEN</x:v>
      </x:c>
    </x:row>
    <x:row r="364">
      <x:c r="B364" s="28" t="str">
        <x:v>CR-CAL-PEA-A-X3-RFP-C1-22</x:v>
      </x:c>
      <x:c r="C364" s="28" t="str">
        <x:v>CAL-PEA-A-X3-RFP-C1</x:v>
      </x:c>
      <x:c r="D364" s="28" t="str">
        <x:v>PEA-A-X3</x:v>
      </x:c>
      <x:c r="E364" s="28" t="str">
        <x:v>RFP-C1</x:v>
      </x:c>
      <x:c r="F364" s="28" t="n">
        <x:v>22</x:v>
      </x:c>
      <x:c r="G364" s="28" t="str">
        <x:v>environmental release</x:v>
      </x:c>
      <x:c r="H364" s="34" t="n">
        <x:v>1</x:v>
      </x:c>
      <x:c r="I364" s="35" t="str"/>
      <x:c r="J364" s="34" t="str">
        <x:f>IF(OR(NOT(ISNUMBER(H364)),NOT(ISNUMBER(I364))),"",I364-H364)</x:f>
      </x:c>
      <x:c r="K364" s="34" t="n">
        <x:v>0.05</x:v>
      </x:c>
      <x:c r="L364" s="31" t="str"/>
      <x:c r="M364" s="31" t="str"/>
      <x:c r="N364" s="28" t="str">
        <x:f>IF(M364="","OPEN",IF(OR(L364="",NOT(ISNUMBER(I364))),"FAIL",IF(ABS(J364)&lt;=K364,"PASS","FAIL")))</x:f>
        <x:v>OPEN</x:v>
      </x:c>
    </x:row>
    <x:row r="365">
      <x:c r="B365" s="28" t="str">
        <x:v>CR-CAL-PEA-A-X3-RFP-C1-23</x:v>
      </x:c>
      <x:c r="C365" s="28" t="str">
        <x:v>CAL-PEA-A-X3-RFP-C1</x:v>
      </x:c>
      <x:c r="D365" s="28" t="str">
        <x:v>PEA-A-X3</x:v>
      </x:c>
      <x:c r="E365" s="28" t="str">
        <x:v>RFP-C1</x:v>
      </x:c>
      <x:c r="F365" s="28" t="n">
        <x:v>23</x:v>
      </x:c>
      <x:c r="G365" s="28" t="str">
        <x:v>image trigger</x:v>
      </x:c>
      <x:c r="H365" s="34" t="n">
        <x:v>1</x:v>
      </x:c>
      <x:c r="I365" s="35" t="str"/>
      <x:c r="J365" s="34" t="str">
        <x:f>IF(OR(NOT(ISNUMBER(H365)),NOT(ISNUMBER(I365))),"",I365-H365)</x:f>
      </x:c>
      <x:c r="K365" s="34" t="n">
        <x:v>0.05</x:v>
      </x:c>
      <x:c r="L365" s="31" t="str"/>
      <x:c r="M365" s="31" t="str"/>
      <x:c r="N365" s="28" t="str">
        <x:f>IF(M365="","OPEN",IF(OR(L365="",NOT(ISNUMBER(I365))),"FAIL",IF(ABS(J365)&lt;=K365,"PASS","FAIL")))</x:f>
        <x:v>OPEN</x:v>
      </x:c>
    </x:row>
    <x:row r="366">
      <x:c r="B366" s="28" t="str">
        <x:v>CR-CAL-PEA-A-X3-RFP-C1-24</x:v>
      </x:c>
      <x:c r="C366" s="28" t="str">
        <x:v>CAL-PEA-A-X3-RFP-C1</x:v>
      </x:c>
      <x:c r="D366" s="28" t="str">
        <x:v>PEA-A-X3</x:v>
      </x:c>
      <x:c r="E366" s="28" t="str">
        <x:v>RFP-C1</x:v>
      </x:c>
      <x:c r="F366" s="28" t="n">
        <x:v>24</x:v>
      </x:c>
      <x:c r="G366" s="28" t="str">
        <x:v>evidence health</x:v>
      </x:c>
      <x:c r="H366" s="34" t="n">
        <x:v>1</x:v>
      </x:c>
      <x:c r="I366" s="35" t="str"/>
      <x:c r="J366" s="34" t="str">
        <x:f>IF(OR(NOT(ISNUMBER(H366)),NOT(ISNUMBER(I366))),"",I366-H366)</x:f>
      </x:c>
      <x:c r="K366" s="34" t="n">
        <x:v>0.05</x:v>
      </x:c>
      <x:c r="L366" s="31" t="str"/>
      <x:c r="M366" s="31" t="str"/>
      <x:c r="N366" s="28" t="str">
        <x:f>IF(M366="","OPEN",IF(OR(L366="",NOT(ISNUMBER(I366))),"FAIL",IF(ABS(J366)&lt;=K366,"PASS","FAIL")))</x:f>
        <x:v>OPEN</x:v>
      </x:c>
    </x:row>
    <x:row r="367">
      <x:c r="B367" s="28" t="str">
        <x:v>CR-CAL-PEA-B-X3-RFP-A2-01</x:v>
      </x:c>
      <x:c r="C367" s="28" t="str">
        <x:v>CAL-PEA-B-X3-RFP-A2</x:v>
      </x:c>
      <x:c r="D367" s="28" t="str">
        <x:v>PEA-B-X3</x:v>
      </x:c>
      <x:c r="E367" s="28" t="str">
        <x:v>RFP-A2</x:v>
      </x:c>
      <x:c r="F367" s="28" t="n">
        <x:v>1</x:v>
      </x:c>
      <x:c r="G367" s="28" t="str">
        <x:v>vessel mass</x:v>
      </x:c>
      <x:c r="H367" s="34" t="n">
        <x:v>1</x:v>
      </x:c>
      <x:c r="I367" s="35" t="str"/>
      <x:c r="J367" s="34" t="str">
        <x:f>IF(OR(NOT(ISNUMBER(H367)),NOT(ISNUMBER(I367))),"",I367-H367)</x:f>
      </x:c>
      <x:c r="K367" s="34" t="n">
        <x:v>0.05</x:v>
      </x:c>
      <x:c r="L367" s="31" t="str"/>
      <x:c r="M367" s="31" t="str"/>
      <x:c r="N367" s="28" t="str">
        <x:f>IF(M367="","OPEN",IF(OR(L367="",NOT(ISNUMBER(I367))),"FAIL",IF(ABS(J367)&lt;=K367,"PASS","FAIL")))</x:f>
        <x:v>OPEN</x:v>
      </x:c>
    </x:row>
    <x:row r="368">
      <x:c r="B368" s="28" t="str">
        <x:v>CR-CAL-PEA-B-X3-RFP-A2-02</x:v>
      </x:c>
      <x:c r="C368" s="28" t="str">
        <x:v>CAL-PEA-B-X3-RFP-A2</x:v>
      </x:c>
      <x:c r="D368" s="28" t="str">
        <x:v>PEA-B-X3</x:v>
      </x:c>
      <x:c r="E368" s="28" t="str">
        <x:v>RFP-A2</x:v>
      </x:c>
      <x:c r="F368" s="28" t="n">
        <x:v>2</x:v>
      </x:c>
      <x:c r="G368" s="28" t="str">
        <x:v>integrated transfer mass</x:v>
      </x:c>
      <x:c r="H368" s="34" t="n">
        <x:v>1</x:v>
      </x:c>
      <x:c r="I368" s="35" t="str"/>
      <x:c r="J368" s="34" t="str">
        <x:f>IF(OR(NOT(ISNUMBER(H368)),NOT(ISNUMBER(I368))),"",I368-H368)</x:f>
      </x:c>
      <x:c r="K368" s="34" t="n">
        <x:v>0.05</x:v>
      </x:c>
      <x:c r="L368" s="31" t="str"/>
      <x:c r="M368" s="31" t="str"/>
      <x:c r="N368" s="28" t="str">
        <x:f>IF(M368="","OPEN",IF(OR(L368="",NOT(ISNUMBER(I368))),"FAIL",IF(ABS(J368)&lt;=K368,"PASS","FAIL")))</x:f>
        <x:v>OPEN</x:v>
      </x:c>
    </x:row>
    <x:row r="369">
      <x:c r="B369" s="28" t="str">
        <x:v>CR-CAL-PEA-B-X3-RFP-A2-03</x:v>
      </x:c>
      <x:c r="C369" s="28" t="str">
        <x:v>CAL-PEA-B-X3-RFP-A2</x:v>
      </x:c>
      <x:c r="D369" s="28" t="str">
        <x:v>PEA-B-X3</x:v>
      </x:c>
      <x:c r="E369" s="28" t="str">
        <x:v>RFP-A2</x:v>
      </x:c>
      <x:c r="F369" s="28" t="n">
        <x:v>3</x:v>
      </x:c>
      <x:c r="G369" s="28" t="str">
        <x:v>pressure</x:v>
      </x:c>
      <x:c r="H369" s="34" t="n">
        <x:v>1</x:v>
      </x:c>
      <x:c r="I369" s="35" t="str"/>
      <x:c r="J369" s="34" t="str">
        <x:f>IF(OR(NOT(ISNUMBER(H369)),NOT(ISNUMBER(I369))),"",I369-H369)</x:f>
      </x:c>
      <x:c r="K369" s="34" t="n">
        <x:v>0.05</x:v>
      </x:c>
      <x:c r="L369" s="31" t="str"/>
      <x:c r="M369" s="31" t="str"/>
      <x:c r="N369" s="28" t="str">
        <x:f>IF(M369="","OPEN",IF(OR(L369="",NOT(ISNUMBER(I369))),"FAIL",IF(ABS(J369)&lt;=K369,"PASS","FAIL")))</x:f>
        <x:v>OPEN</x:v>
      </x:c>
    </x:row>
    <x:row r="370">
      <x:c r="B370" s="28" t="str">
        <x:v>CR-CAL-PEA-B-X3-RFP-A2-04</x:v>
      </x:c>
      <x:c r="C370" s="28" t="str">
        <x:v>CAL-PEA-B-X3-RFP-A2</x:v>
      </x:c>
      <x:c r="D370" s="28" t="str">
        <x:v>PEA-B-X3</x:v>
      </x:c>
      <x:c r="E370" s="28" t="str">
        <x:v>RFP-A2</x:v>
      </x:c>
      <x:c r="F370" s="28" t="n">
        <x:v>4</x:v>
      </x:c>
      <x:c r="G370" s="28" t="str">
        <x:v>temperature</x:v>
      </x:c>
      <x:c r="H370" s="34" t="n">
        <x:v>1</x:v>
      </x:c>
      <x:c r="I370" s="35" t="str"/>
      <x:c r="J370" s="34" t="str">
        <x:f>IF(OR(NOT(ISNUMBER(H370)),NOT(ISNUMBER(I370))),"",I370-H370)</x:f>
      </x:c>
      <x:c r="K370" s="34" t="n">
        <x:v>0.05</x:v>
      </x:c>
      <x:c r="L370" s="31" t="str"/>
      <x:c r="M370" s="31" t="str"/>
      <x:c r="N370" s="28" t="str">
        <x:f>IF(M370="","OPEN",IF(OR(L370="",NOT(ISNUMBER(I370))),"FAIL",IF(ABS(J370)&lt;=K370,"PASS","FAIL")))</x:f>
        <x:v>OPEN</x:v>
      </x:c>
    </x:row>
    <x:row r="371">
      <x:c r="B371" s="28" t="str">
        <x:v>CR-CAL-PEA-B-X3-RFP-A2-05</x:v>
      </x:c>
      <x:c r="C371" s="28" t="str">
        <x:v>CAL-PEA-B-X3-RFP-A2</x:v>
      </x:c>
      <x:c r="D371" s="28" t="str">
        <x:v>PEA-B-X3</x:v>
      </x:c>
      <x:c r="E371" s="28" t="str">
        <x:v>RFP-A2</x:v>
      </x:c>
      <x:c r="F371" s="28" t="n">
        <x:v>5</x:v>
      </x:c>
      <x:c r="G371" s="28" t="str">
        <x:v>hold-up tomography</x:v>
      </x:c>
      <x:c r="H371" s="34" t="n">
        <x:v>1</x:v>
      </x:c>
      <x:c r="I371" s="35" t="str"/>
      <x:c r="J371" s="34" t="str">
        <x:f>IF(OR(NOT(ISNUMBER(H371)),NOT(ISNUMBER(I371))),"",I371-H371)</x:f>
      </x:c>
      <x:c r="K371" s="34" t="n">
        <x:v>0.05</x:v>
      </x:c>
      <x:c r="L371" s="31" t="str"/>
      <x:c r="M371" s="31" t="str"/>
      <x:c r="N371" s="28" t="str">
        <x:f>IF(M371="","OPEN",IF(OR(L371="",NOT(ISNUMBER(I371))),"FAIL",IF(ABS(J371)&lt;=K371,"PASS","FAIL")))</x:f>
        <x:v>OPEN</x:v>
      </x:c>
    </x:row>
    <x:row r="372">
      <x:c r="B372" s="28" t="str">
        <x:v>CR-CAL-PEA-B-X3-RFP-A2-06</x:v>
      </x:c>
      <x:c r="C372" s="28" t="str">
        <x:v>CAL-PEA-B-X3-RFP-A2</x:v>
      </x:c>
      <x:c r="D372" s="28" t="str">
        <x:v>PEA-B-X3</x:v>
      </x:c>
      <x:c r="E372" s="28" t="str">
        <x:v>RFP-A2</x:v>
      </x:c>
      <x:c r="F372" s="28" t="n">
        <x:v>6</x:v>
      </x:c>
      <x:c r="G372" s="28" t="str">
        <x:v>pan level</x:v>
      </x:c>
      <x:c r="H372" s="34" t="n">
        <x:v>1</x:v>
      </x:c>
      <x:c r="I372" s="35" t="str"/>
      <x:c r="J372" s="34" t="str">
        <x:f>IF(OR(NOT(ISNUMBER(H372)),NOT(ISNUMBER(I372))),"",I372-H372)</x:f>
      </x:c>
      <x:c r="K372" s="34" t="n">
        <x:v>0.05</x:v>
      </x:c>
      <x:c r="L372" s="31" t="str"/>
      <x:c r="M372" s="31" t="str"/>
      <x:c r="N372" s="28" t="str">
        <x:f>IF(M372="","OPEN",IF(OR(L372="",NOT(ISNUMBER(I372))),"FAIL",IF(ABS(J372)&lt;=K372,"PASS","FAIL")))</x:f>
        <x:v>OPEN</x:v>
      </x:c>
    </x:row>
    <x:row r="373">
      <x:c r="B373" s="28" t="str">
        <x:v>CR-CAL-PEA-B-X3-RFP-A2-07</x:v>
      </x:c>
      <x:c r="C373" s="28" t="str">
        <x:v>CAL-PEA-B-X3-RFP-A2</x:v>
      </x:c>
      <x:c r="D373" s="28" t="str">
        <x:v>PEA-B-X3</x:v>
      </x:c>
      <x:c r="E373" s="28" t="str">
        <x:v>RFP-A2</x:v>
      </x:c>
      <x:c r="F373" s="28" t="n">
        <x:v>7</x:v>
      </x:c>
      <x:c r="G373" s="28" t="str">
        <x:v>receiver mass</x:v>
      </x:c>
      <x:c r="H373" s="34" t="n">
        <x:v>1</x:v>
      </x:c>
      <x:c r="I373" s="35" t="str"/>
      <x:c r="J373" s="34" t="str">
        <x:f>IF(OR(NOT(ISNUMBER(H373)),NOT(ISNUMBER(I373))),"",I373-H373)</x:f>
      </x:c>
      <x:c r="K373" s="34" t="n">
        <x:v>0.05</x:v>
      </x:c>
      <x:c r="L373" s="31" t="str"/>
      <x:c r="M373" s="31" t="str"/>
      <x:c r="N373" s="28" t="str">
        <x:f>IF(M373="","OPEN",IF(OR(L373="",NOT(ISNUMBER(I373))),"FAIL",IF(ABS(J373)&lt;=K373,"PASS","FAIL")))</x:f>
        <x:v>OPEN</x:v>
      </x:c>
    </x:row>
    <x:row r="374">
      <x:c r="B374" s="28" t="str">
        <x:v>CR-CAL-PEA-B-X3-RFP-A2-08</x:v>
      </x:c>
      <x:c r="C374" s="28" t="str">
        <x:v>CAL-PEA-B-X3-RFP-A2</x:v>
      </x:c>
      <x:c r="D374" s="28" t="str">
        <x:v>PEA-B-X3</x:v>
      </x:c>
      <x:c r="E374" s="28" t="str">
        <x:v>RFP-A2</x:v>
      </x:c>
      <x:c r="F374" s="28" t="n">
        <x:v>8</x:v>
      </x:c>
      <x:c r="G374" s="28" t="str">
        <x:v>geometry and slope</x:v>
      </x:c>
      <x:c r="H374" s="34" t="n">
        <x:v>1</x:v>
      </x:c>
      <x:c r="I374" s="35" t="str"/>
      <x:c r="J374" s="34" t="str">
        <x:f>IF(OR(NOT(ISNUMBER(H374)),NOT(ISNUMBER(I374))),"",I374-H374)</x:f>
      </x:c>
      <x:c r="K374" s="34" t="n">
        <x:v>0.05</x:v>
      </x:c>
      <x:c r="L374" s="31" t="str"/>
      <x:c r="M374" s="31" t="str"/>
      <x:c r="N374" s="28" t="str">
        <x:f>IF(M374="","OPEN",IF(OR(L374="",NOT(ISNUMBER(I374))),"FAIL",IF(ABS(J374)&lt;=K374,"PASS","FAIL")))</x:f>
        <x:v>OPEN</x:v>
      </x:c>
    </x:row>
    <x:row r="375">
      <x:c r="B375" s="28" t="str">
        <x:v>CR-CAL-PEA-B-X3-RFP-A2-09</x:v>
      </x:c>
      <x:c r="C375" s="28" t="str">
        <x:v>CAL-PEA-B-X3-RFP-A2</x:v>
      </x:c>
      <x:c r="D375" s="28" t="str">
        <x:v>PEA-B-X3</x:v>
      </x:c>
      <x:c r="E375" s="28" t="str">
        <x:v>RFP-A2</x:v>
      </x:c>
      <x:c r="F375" s="28" t="n">
        <x:v>9</x:v>
      </x:c>
      <x:c r="G375" s="28" t="str">
        <x:v>primary state witness</x:v>
      </x:c>
      <x:c r="H375" s="34" t="n">
        <x:v>1</x:v>
      </x:c>
      <x:c r="I375" s="35" t="str"/>
      <x:c r="J375" s="34" t="str">
        <x:f>IF(OR(NOT(ISNUMBER(H375)),NOT(ISNUMBER(I375))),"",I375-H375)</x:f>
      </x:c>
      <x:c r="K375" s="34" t="n">
        <x:v>0.05</x:v>
      </x:c>
      <x:c r="L375" s="31" t="str"/>
      <x:c r="M375" s="31" t="str"/>
      <x:c r="N375" s="28" t="str">
        <x:f>IF(M375="","OPEN",IF(OR(L375="",NOT(ISNUMBER(I375))),"FAIL",IF(ABS(J375)&lt;=K375,"PASS","FAIL")))</x:f>
        <x:v>OPEN</x:v>
      </x:c>
    </x:row>
    <x:row r="376">
      <x:c r="B376" s="28" t="str">
        <x:v>CR-CAL-PEA-B-X3-RFP-A2-10</x:v>
      </x:c>
      <x:c r="C376" s="28" t="str">
        <x:v>CAL-PEA-B-X3-RFP-A2</x:v>
      </x:c>
      <x:c r="D376" s="28" t="str">
        <x:v>PEA-B-X3</x:v>
      </x:c>
      <x:c r="E376" s="28" t="str">
        <x:v>RFP-A2</x:v>
      </x:c>
      <x:c r="F376" s="28" t="n">
        <x:v>10</x:v>
      </x:c>
      <x:c r="G376" s="28" t="str">
        <x:v>diverse state witness</x:v>
      </x:c>
      <x:c r="H376" s="34" t="n">
        <x:v>1</x:v>
      </x:c>
      <x:c r="I376" s="35" t="str"/>
      <x:c r="J376" s="34" t="str">
        <x:f>IF(OR(NOT(ISNUMBER(H376)),NOT(ISNUMBER(I376))),"",I376-H376)</x:f>
      </x:c>
      <x:c r="K376" s="34" t="n">
        <x:v>0.05</x:v>
      </x:c>
      <x:c r="L376" s="31" t="str"/>
      <x:c r="M376" s="31" t="str"/>
      <x:c r="N376" s="28" t="str">
        <x:f>IF(M376="","OPEN",IF(OR(L376="",NOT(ISNUMBER(I376))),"FAIL",IF(ABS(J376)&lt;=K376,"PASS","FAIL")))</x:f>
        <x:v>OPEN</x:v>
      </x:c>
    </x:row>
    <x:row r="377">
      <x:c r="B377" s="28" t="str">
        <x:v>CR-CAL-PEA-B-X3-RFP-A2-11</x:v>
      </x:c>
      <x:c r="C377" s="28" t="str">
        <x:v>CAL-PEA-B-X3-RFP-A2</x:v>
      </x:c>
      <x:c r="D377" s="28" t="str">
        <x:v>PEA-B-X3</x:v>
      </x:c>
      <x:c r="E377" s="28" t="str">
        <x:v>RFP-A2</x:v>
      </x:c>
      <x:c r="F377" s="28" t="n">
        <x:v>11</x:v>
      </x:c>
      <x:c r="G377" s="28" t="str">
        <x:v>manual state witness</x:v>
      </x:c>
      <x:c r="H377" s="34" t="n">
        <x:v>1</x:v>
      </x:c>
      <x:c r="I377" s="35" t="str"/>
      <x:c r="J377" s="34" t="str">
        <x:f>IF(OR(NOT(ISNUMBER(H377)),NOT(ISNUMBER(I377))),"",I377-H377)</x:f>
      </x:c>
      <x:c r="K377" s="34" t="n">
        <x:v>0.05</x:v>
      </x:c>
      <x:c r="L377" s="31" t="str"/>
      <x:c r="M377" s="31" t="str"/>
      <x:c r="N377" s="28" t="str">
        <x:f>IF(M377="","OPEN",IF(OR(L377="",NOT(ISNUMBER(I377))),"FAIL",IF(ABS(J377)&lt;=K377,"PASS","FAIL")))</x:f>
        <x:v>OPEN</x:v>
      </x:c>
    </x:row>
    <x:row r="378">
      <x:c r="B378" s="28" t="str">
        <x:v>CR-CAL-PEA-B-X3-RFP-A2-12</x:v>
      </x:c>
      <x:c r="C378" s="28" t="str">
        <x:v>CAL-PEA-B-X3-RFP-A2</x:v>
      </x:c>
      <x:c r="D378" s="28" t="str">
        <x:v>PEA-B-X3</x:v>
      </x:c>
      <x:c r="E378" s="28" t="str">
        <x:v>RFP-A2</x:v>
      </x:c>
      <x:c r="F378" s="28" t="n">
        <x:v>12</x:v>
      </x:c>
      <x:c r="G378" s="28" t="str">
        <x:v>final-element reference</x:v>
      </x:c>
      <x:c r="H378" s="34" t="n">
        <x:v>1</x:v>
      </x:c>
      <x:c r="I378" s="35" t="str"/>
      <x:c r="J378" s="34" t="str">
        <x:f>IF(OR(NOT(ISNUMBER(H378)),NOT(ISNUMBER(I378))),"",I378-H378)</x:f>
      </x:c>
      <x:c r="K378" s="34" t="n">
        <x:v>0.05</x:v>
      </x:c>
      <x:c r="L378" s="31" t="str"/>
      <x:c r="M378" s="31" t="str"/>
      <x:c r="N378" s="28" t="str">
        <x:f>IF(M378="","OPEN",IF(OR(L378="",NOT(ISNUMBER(I378))),"FAIL",IF(ABS(J378)&lt;=K378,"PASS","FAIL")))</x:f>
        <x:v>OPEN</x:v>
      </x:c>
    </x:row>
    <x:row r="379">
      <x:c r="B379" s="28" t="str">
        <x:v>CR-CAL-PEA-B-X3-RFP-A2-13</x:v>
      </x:c>
      <x:c r="C379" s="28" t="str">
        <x:v>CAL-PEA-B-X3-RFP-A2</x:v>
      </x:c>
      <x:c r="D379" s="28" t="str">
        <x:v>PEA-B-X3</x:v>
      </x:c>
      <x:c r="E379" s="28" t="str">
        <x:v>RFP-A2</x:v>
      </x:c>
      <x:c r="F379" s="28" t="n">
        <x:v>13</x:v>
      </x:c>
      <x:c r="G379" s="28" t="str">
        <x:v>causal time</x:v>
      </x:c>
      <x:c r="H379" s="34" t="n">
        <x:v>1</x:v>
      </x:c>
      <x:c r="I379" s="35" t="str"/>
      <x:c r="J379" s="34" t="str">
        <x:f>IF(OR(NOT(ISNUMBER(H379)),NOT(ISNUMBER(I379))),"",I379-H379)</x:f>
      </x:c>
      <x:c r="K379" s="34" t="n">
        <x:v>0.05</x:v>
      </x:c>
      <x:c r="L379" s="31" t="str"/>
      <x:c r="M379" s="31" t="str"/>
      <x:c r="N379" s="28" t="str">
        <x:f>IF(M379="","OPEN",IF(OR(L379="",NOT(ISNUMBER(I379))),"FAIL",IF(ABS(J379)&lt;=K379,"PASS","FAIL")))</x:f>
        <x:v>OPEN</x:v>
      </x:c>
    </x:row>
    <x:row r="380">
      <x:c r="B380" s="28" t="str">
        <x:v>CR-CAL-PEA-B-X3-RFP-A2-14</x:v>
      </x:c>
      <x:c r="C380" s="28" t="str">
        <x:v>CAL-PEA-B-X3-RFP-A2</x:v>
      </x:c>
      <x:c r="D380" s="28" t="str">
        <x:v>PEA-B-X3</x:v>
      </x:c>
      <x:c r="E380" s="28" t="str">
        <x:v>RFP-A2</x:v>
      </x:c>
      <x:c r="F380" s="28" t="n">
        <x:v>14</x:v>
      </x:c>
      <x:c r="G380" s="28" t="str">
        <x:v>motive energy</x:v>
      </x:c>
      <x:c r="H380" s="34" t="n">
        <x:v>1</x:v>
      </x:c>
      <x:c r="I380" s="35" t="str"/>
      <x:c r="J380" s="34" t="str">
        <x:f>IF(OR(NOT(ISNUMBER(H380)),NOT(ISNUMBER(I380))),"",I380-H380)</x:f>
      </x:c>
      <x:c r="K380" s="34" t="n">
        <x:v>0.05</x:v>
      </x:c>
      <x:c r="L380" s="31" t="str"/>
      <x:c r="M380" s="31" t="str"/>
      <x:c r="N380" s="28" t="str">
        <x:f>IF(M380="","OPEN",IF(OR(L380="",NOT(ISNUMBER(I380))),"FAIL",IF(ABS(J380)&lt;=K380,"PASS","FAIL")))</x:f>
        <x:v>OPEN</x:v>
      </x:c>
    </x:row>
    <x:row r="381">
      <x:c r="B381" s="28" t="str">
        <x:v>CR-CAL-PEA-B-X3-RFP-A2-15</x:v>
      </x:c>
      <x:c r="C381" s="28" t="str">
        <x:v>CAL-PEA-B-X3-RFP-A2</x:v>
      </x:c>
      <x:c r="D381" s="28" t="str">
        <x:v>PEA-B-X3</x:v>
      </x:c>
      <x:c r="E381" s="28" t="str">
        <x:v>RFP-A2</x:v>
      </x:c>
      <x:c r="F381" s="28" t="n">
        <x:v>15</x:v>
      </x:c>
      <x:c r="G381" s="28" t="str">
        <x:v>normal electrical power</x:v>
      </x:c>
      <x:c r="H381" s="34" t="n">
        <x:v>1</x:v>
      </x:c>
      <x:c r="I381" s="35" t="str"/>
      <x:c r="J381" s="34" t="str">
        <x:f>IF(OR(NOT(ISNUMBER(H381)),NOT(ISNUMBER(I381))),"",I381-H381)</x:f>
      </x:c>
      <x:c r="K381" s="34" t="n">
        <x:v>0.05</x:v>
      </x:c>
      <x:c r="L381" s="31" t="str"/>
      <x:c r="M381" s="31" t="str"/>
      <x:c r="N381" s="28" t="str">
        <x:f>IF(M381="","OPEN",IF(OR(L381="",NOT(ISNUMBER(I381))),"FAIL",IF(ABS(J381)&lt;=K381,"PASS","FAIL")))</x:f>
        <x:v>OPEN</x:v>
      </x:c>
    </x:row>
    <x:row r="382">
      <x:c r="B382" s="28" t="str">
        <x:v>CR-CAL-PEA-B-X3-RFP-A2-16</x:v>
      </x:c>
      <x:c r="C382" s="28" t="str">
        <x:v>CAL-PEA-B-X3-RFP-A2</x:v>
      </x:c>
      <x:c r="D382" s="28" t="str">
        <x:v>PEA-B-X3</x:v>
      </x:c>
      <x:c r="E382" s="28" t="str">
        <x:v>RFP-A2</x:v>
      </x:c>
      <x:c r="F382" s="28" t="n">
        <x:v>16</x:v>
      </x:c>
      <x:c r="G382" s="28" t="str">
        <x:v>independent power</x:v>
      </x:c>
      <x:c r="H382" s="34" t="n">
        <x:v>1</x:v>
      </x:c>
      <x:c r="I382" s="35" t="str"/>
      <x:c r="J382" s="34" t="str">
        <x:f>IF(OR(NOT(ISNUMBER(H382)),NOT(ISNUMBER(I382))),"",I382-H382)</x:f>
      </x:c>
      <x:c r="K382" s="34" t="n">
        <x:v>0.05</x:v>
      </x:c>
      <x:c r="L382" s="31" t="str"/>
      <x:c r="M382" s="31" t="str"/>
      <x:c r="N382" s="28" t="str">
        <x:f>IF(M382="","OPEN",IF(OR(L382="",NOT(ISNUMBER(I382))),"FAIL",IF(ABS(J382)&lt;=K382,"PASS","FAIL")))</x:f>
        <x:v>OPEN</x:v>
      </x:c>
    </x:row>
    <x:row r="383">
      <x:c r="B383" s="28" t="str">
        <x:v>CR-CAL-PEA-B-X3-RFP-A2-17</x:v>
      </x:c>
      <x:c r="C383" s="28" t="str">
        <x:v>CAL-PEA-B-X3-RFP-A2</x:v>
      </x:c>
      <x:c r="D383" s="28" t="str">
        <x:v>PEA-B-X3</x:v>
      </x:c>
      <x:c r="E383" s="28" t="str">
        <x:v>RFP-A2</x:v>
      </x:c>
      <x:c r="F383" s="28" t="n">
        <x:v>17</x:v>
      </x:c>
      <x:c r="G383" s="28" t="str">
        <x:v>leak collection</x:v>
      </x:c>
      <x:c r="H383" s="34" t="n">
        <x:v>1</x:v>
      </x:c>
      <x:c r="I383" s="35" t="str"/>
      <x:c r="J383" s="34" t="str">
        <x:f>IF(OR(NOT(ISNUMBER(H383)),NOT(ISNUMBER(I383))),"",I383-H383)</x:f>
      </x:c>
      <x:c r="K383" s="34" t="n">
        <x:v>0.05</x:v>
      </x:c>
      <x:c r="L383" s="31" t="str"/>
      <x:c r="M383" s="31" t="str"/>
      <x:c r="N383" s="28" t="str">
        <x:f>IF(M383="","OPEN",IF(OR(L383="",NOT(ISNUMBER(I383))),"FAIL",IF(ABS(J383)&lt;=K383,"PASS","FAIL")))</x:f>
        <x:v>OPEN</x:v>
      </x:c>
    </x:row>
    <x:row r="384">
      <x:c r="B384" s="28" t="str">
        <x:v>CR-CAL-PEA-B-X3-RFP-A2-18</x:v>
      </x:c>
      <x:c r="C384" s="28" t="str">
        <x:v>CAL-PEA-B-X3-RFP-A2</x:v>
      </x:c>
      <x:c r="D384" s="28" t="str">
        <x:v>PEA-B-X3</x:v>
      </x:c>
      <x:c r="E384" s="28" t="str">
        <x:v>RFP-A2</x:v>
      </x:c>
      <x:c r="F384" s="28" t="n">
        <x:v>18</x:v>
      </x:c>
      <x:c r="G384" s="28" t="str">
        <x:v>occupied area</x:v>
      </x:c>
      <x:c r="H384" s="34" t="n">
        <x:v>1</x:v>
      </x:c>
      <x:c r="I384" s="35" t="str"/>
      <x:c r="J384" s="34" t="str">
        <x:f>IF(OR(NOT(ISNUMBER(H384)),NOT(ISNUMBER(I384))),"",I384-H384)</x:f>
      </x:c>
      <x:c r="K384" s="34" t="n">
        <x:v>0.05</x:v>
      </x:c>
      <x:c r="L384" s="31" t="str"/>
      <x:c r="M384" s="31" t="str"/>
      <x:c r="N384" s="28" t="str">
        <x:f>IF(M384="","OPEN",IF(OR(L384="",NOT(ISNUMBER(I384))),"FAIL",IF(ABS(J384)&lt;=K384,"PASS","FAIL")))</x:f>
        <x:v>OPEN</x:v>
      </x:c>
    </x:row>
    <x:row r="385">
      <x:c r="B385" s="28" t="str">
        <x:v>CR-CAL-PEA-B-X3-RFP-A2-19</x:v>
      </x:c>
      <x:c r="C385" s="28" t="str">
        <x:v>CAL-PEA-B-X3-RFP-A2</x:v>
      </x:c>
      <x:c r="D385" s="28" t="str">
        <x:v>PEA-B-X3</x:v>
      </x:c>
      <x:c r="E385" s="28" t="str">
        <x:v>RFP-A2</x:v>
      </x:c>
      <x:c r="F385" s="28" t="n">
        <x:v>19</x:v>
      </x:c>
      <x:c r="G385" s="28" t="str">
        <x:v>water flow</x:v>
      </x:c>
      <x:c r="H385" s="34" t="n">
        <x:v>1</x:v>
      </x:c>
      <x:c r="I385" s="35" t="str"/>
      <x:c r="J385" s="34" t="str">
        <x:f>IF(OR(NOT(ISNUMBER(H385)),NOT(ISNUMBER(I385))),"",I385-H385)</x:f>
      </x:c>
      <x:c r="K385" s="34" t="n">
        <x:v>0.05</x:v>
      </x:c>
      <x:c r="L385" s="31" t="str"/>
      <x:c r="M385" s="31" t="str"/>
      <x:c r="N385" s="28" t="str">
        <x:f>IF(M385="","OPEN",IF(OR(L385="",NOT(ISNUMBER(I385))),"FAIL",IF(ABS(J385)&lt;=K385,"PASS","FAIL")))</x:f>
        <x:v>OPEN</x:v>
      </x:c>
    </x:row>
    <x:row r="386">
      <x:c r="B386" s="28" t="str">
        <x:v>CR-CAL-PEA-B-X3-RFP-A2-20</x:v>
      </x:c>
      <x:c r="C386" s="28" t="str">
        <x:v>CAL-PEA-B-X3-RFP-A2</x:v>
      </x:c>
      <x:c r="D386" s="28" t="str">
        <x:v>PEA-B-X3</x:v>
      </x:c>
      <x:c r="E386" s="28" t="str">
        <x:v>RFP-A2</x:v>
      </x:c>
      <x:c r="F386" s="28" t="n">
        <x:v>20</x:v>
      </x:c>
      <x:c r="G386" s="28" t="str">
        <x:v>source ancestry root A</x:v>
      </x:c>
      <x:c r="H386" s="34" t="n">
        <x:v>1</x:v>
      </x:c>
      <x:c r="I386" s="35" t="str"/>
      <x:c r="J386" s="34" t="str">
        <x:f>IF(OR(NOT(ISNUMBER(H386)),NOT(ISNUMBER(I386))),"",I386-H386)</x:f>
      </x:c>
      <x:c r="K386" s="34" t="n">
        <x:v>0.05</x:v>
      </x:c>
      <x:c r="L386" s="31" t="str"/>
      <x:c r="M386" s="31" t="str"/>
      <x:c r="N386" s="28" t="str">
        <x:f>IF(M386="","OPEN",IF(OR(L386="",NOT(ISNUMBER(I386))),"FAIL",IF(ABS(J386)&lt;=K386,"PASS","FAIL")))</x:f>
        <x:v>OPEN</x:v>
      </x:c>
    </x:row>
    <x:row r="387">
      <x:c r="B387" s="28" t="str">
        <x:v>CR-CAL-PEA-B-X3-RFP-A2-21</x:v>
      </x:c>
      <x:c r="C387" s="28" t="str">
        <x:v>CAL-PEA-B-X3-RFP-A2</x:v>
      </x:c>
      <x:c r="D387" s="28" t="str">
        <x:v>PEA-B-X3</x:v>
      </x:c>
      <x:c r="E387" s="28" t="str">
        <x:v>RFP-A2</x:v>
      </x:c>
      <x:c r="F387" s="28" t="n">
        <x:v>21</x:v>
      </x:c>
      <x:c r="G387" s="28" t="str">
        <x:v>source ancestry root B</x:v>
      </x:c>
      <x:c r="H387" s="34" t="n">
        <x:v>1</x:v>
      </x:c>
      <x:c r="I387" s="35" t="str"/>
      <x:c r="J387" s="34" t="str">
        <x:f>IF(OR(NOT(ISNUMBER(H387)),NOT(ISNUMBER(I387))),"",I387-H387)</x:f>
      </x:c>
      <x:c r="K387" s="34" t="n">
        <x:v>0.05</x:v>
      </x:c>
      <x:c r="L387" s="31" t="str"/>
      <x:c r="M387" s="31" t="str"/>
      <x:c r="N387" s="28" t="str">
        <x:f>IF(M387="","OPEN",IF(OR(L387="",NOT(ISNUMBER(I387))),"FAIL",IF(ABS(J387)&lt;=K387,"PASS","FAIL")))</x:f>
        <x:v>OPEN</x:v>
      </x:c>
    </x:row>
    <x:row r="388">
      <x:c r="B388" s="28" t="str">
        <x:v>CR-CAL-PEA-B-X3-RFP-A2-22</x:v>
      </x:c>
      <x:c r="C388" s="28" t="str">
        <x:v>CAL-PEA-B-X3-RFP-A2</x:v>
      </x:c>
      <x:c r="D388" s="28" t="str">
        <x:v>PEA-B-X3</x:v>
      </x:c>
      <x:c r="E388" s="28" t="str">
        <x:v>RFP-A2</x:v>
      </x:c>
      <x:c r="F388" s="28" t="n">
        <x:v>22</x:v>
      </x:c>
      <x:c r="G388" s="28" t="str">
        <x:v>environmental release</x:v>
      </x:c>
      <x:c r="H388" s="34" t="n">
        <x:v>1</x:v>
      </x:c>
      <x:c r="I388" s="35" t="str"/>
      <x:c r="J388" s="34" t="str">
        <x:f>IF(OR(NOT(ISNUMBER(H388)),NOT(ISNUMBER(I388))),"",I388-H388)</x:f>
      </x:c>
      <x:c r="K388" s="34" t="n">
        <x:v>0.05</x:v>
      </x:c>
      <x:c r="L388" s="31" t="str"/>
      <x:c r="M388" s="31" t="str"/>
      <x:c r="N388" s="28" t="str">
        <x:f>IF(M388="","OPEN",IF(OR(L388="",NOT(ISNUMBER(I388))),"FAIL",IF(ABS(J388)&lt;=K388,"PASS","FAIL")))</x:f>
        <x:v>OPEN</x:v>
      </x:c>
    </x:row>
    <x:row r="389">
      <x:c r="B389" s="28" t="str">
        <x:v>CR-CAL-PEA-B-X3-RFP-A2-23</x:v>
      </x:c>
      <x:c r="C389" s="28" t="str">
        <x:v>CAL-PEA-B-X3-RFP-A2</x:v>
      </x:c>
      <x:c r="D389" s="28" t="str">
        <x:v>PEA-B-X3</x:v>
      </x:c>
      <x:c r="E389" s="28" t="str">
        <x:v>RFP-A2</x:v>
      </x:c>
      <x:c r="F389" s="28" t="n">
        <x:v>23</x:v>
      </x:c>
      <x:c r="G389" s="28" t="str">
        <x:v>image trigger</x:v>
      </x:c>
      <x:c r="H389" s="34" t="n">
        <x:v>1</x:v>
      </x:c>
      <x:c r="I389" s="35" t="str"/>
      <x:c r="J389" s="34" t="str">
        <x:f>IF(OR(NOT(ISNUMBER(H389)),NOT(ISNUMBER(I389))),"",I389-H389)</x:f>
      </x:c>
      <x:c r="K389" s="34" t="n">
        <x:v>0.05</x:v>
      </x:c>
      <x:c r="L389" s="31" t="str"/>
      <x:c r="M389" s="31" t="str"/>
      <x:c r="N389" s="28" t="str">
        <x:f>IF(M389="","OPEN",IF(OR(L389="",NOT(ISNUMBER(I389))),"FAIL",IF(ABS(J389)&lt;=K389,"PASS","FAIL")))</x:f>
        <x:v>OPEN</x:v>
      </x:c>
    </x:row>
    <x:row r="390">
      <x:c r="B390" s="28" t="str">
        <x:v>CR-CAL-PEA-B-X3-RFP-A2-24</x:v>
      </x:c>
      <x:c r="C390" s="28" t="str">
        <x:v>CAL-PEA-B-X3-RFP-A2</x:v>
      </x:c>
      <x:c r="D390" s="28" t="str">
        <x:v>PEA-B-X3</x:v>
      </x:c>
      <x:c r="E390" s="28" t="str">
        <x:v>RFP-A2</x:v>
      </x:c>
      <x:c r="F390" s="28" t="n">
        <x:v>24</x:v>
      </x:c>
      <x:c r="G390" s="28" t="str">
        <x:v>evidence health</x:v>
      </x:c>
      <x:c r="H390" s="34" t="n">
        <x:v>1</x:v>
      </x:c>
      <x:c r="I390" s="35" t="str"/>
      <x:c r="J390" s="34" t="str">
        <x:f>IF(OR(NOT(ISNUMBER(H390)),NOT(ISNUMBER(I390))),"",I390-H390)</x:f>
      </x:c>
      <x:c r="K390" s="34" t="n">
        <x:v>0.05</x:v>
      </x:c>
      <x:c r="L390" s="31" t="str"/>
      <x:c r="M390" s="31" t="str"/>
      <x:c r="N390" s="28" t="str">
        <x:f>IF(M390="","OPEN",IF(OR(L390="",NOT(ISNUMBER(I390))),"FAIL",IF(ABS(J390)&lt;=K390,"PASS","FAIL")))</x:f>
        <x:v>OPEN</x:v>
      </x:c>
    </x:row>
    <x:row r="391">
      <x:c r="B391" s="28" t="str">
        <x:v>CR-CAL-PEA-C-Y3-RFP-B2-01</x:v>
      </x:c>
      <x:c r="C391" s="28" t="str">
        <x:v>CAL-PEA-C-Y3-RFP-B2</x:v>
      </x:c>
      <x:c r="D391" s="28" t="str">
        <x:v>PEA-C-Y3</x:v>
      </x:c>
      <x:c r="E391" s="28" t="str">
        <x:v>RFP-B2</x:v>
      </x:c>
      <x:c r="F391" s="28" t="n">
        <x:v>1</x:v>
      </x:c>
      <x:c r="G391" s="28" t="str">
        <x:v>vessel mass</x:v>
      </x:c>
      <x:c r="H391" s="34" t="n">
        <x:v>1</x:v>
      </x:c>
      <x:c r="I391" s="35" t="str"/>
      <x:c r="J391" s="34" t="str">
        <x:f>IF(OR(NOT(ISNUMBER(H391)),NOT(ISNUMBER(I391))),"",I391-H391)</x:f>
      </x:c>
      <x:c r="K391" s="34" t="n">
        <x:v>0.05</x:v>
      </x:c>
      <x:c r="L391" s="31" t="str"/>
      <x:c r="M391" s="31" t="str"/>
      <x:c r="N391" s="28" t="str">
        <x:f>IF(M391="","OPEN",IF(OR(L391="",NOT(ISNUMBER(I391))),"FAIL",IF(ABS(J391)&lt;=K391,"PASS","FAIL")))</x:f>
        <x:v>OPEN</x:v>
      </x:c>
    </x:row>
    <x:row r="392">
      <x:c r="B392" s="28" t="str">
        <x:v>CR-CAL-PEA-C-Y3-RFP-B2-02</x:v>
      </x:c>
      <x:c r="C392" s="28" t="str">
        <x:v>CAL-PEA-C-Y3-RFP-B2</x:v>
      </x:c>
      <x:c r="D392" s="28" t="str">
        <x:v>PEA-C-Y3</x:v>
      </x:c>
      <x:c r="E392" s="28" t="str">
        <x:v>RFP-B2</x:v>
      </x:c>
      <x:c r="F392" s="28" t="n">
        <x:v>2</x:v>
      </x:c>
      <x:c r="G392" s="28" t="str">
        <x:v>integrated transfer mass</x:v>
      </x:c>
      <x:c r="H392" s="34" t="n">
        <x:v>1</x:v>
      </x:c>
      <x:c r="I392" s="35" t="str"/>
      <x:c r="J392" s="34" t="str">
        <x:f>IF(OR(NOT(ISNUMBER(H392)),NOT(ISNUMBER(I392))),"",I392-H392)</x:f>
      </x:c>
      <x:c r="K392" s="34" t="n">
        <x:v>0.05</x:v>
      </x:c>
      <x:c r="L392" s="31" t="str"/>
      <x:c r="M392" s="31" t="str"/>
      <x:c r="N392" s="28" t="str">
        <x:f>IF(M392="","OPEN",IF(OR(L392="",NOT(ISNUMBER(I392))),"FAIL",IF(ABS(J392)&lt;=K392,"PASS","FAIL")))</x:f>
        <x:v>OPEN</x:v>
      </x:c>
    </x:row>
    <x:row r="393">
      <x:c r="B393" s="28" t="str">
        <x:v>CR-CAL-PEA-C-Y3-RFP-B2-03</x:v>
      </x:c>
      <x:c r="C393" s="28" t="str">
        <x:v>CAL-PEA-C-Y3-RFP-B2</x:v>
      </x:c>
      <x:c r="D393" s="28" t="str">
        <x:v>PEA-C-Y3</x:v>
      </x:c>
      <x:c r="E393" s="28" t="str">
        <x:v>RFP-B2</x:v>
      </x:c>
      <x:c r="F393" s="28" t="n">
        <x:v>3</x:v>
      </x:c>
      <x:c r="G393" s="28" t="str">
        <x:v>pressure</x:v>
      </x:c>
      <x:c r="H393" s="34" t="n">
        <x:v>1</x:v>
      </x:c>
      <x:c r="I393" s="35" t="str"/>
      <x:c r="J393" s="34" t="str">
        <x:f>IF(OR(NOT(ISNUMBER(H393)),NOT(ISNUMBER(I393))),"",I393-H393)</x:f>
      </x:c>
      <x:c r="K393" s="34" t="n">
        <x:v>0.05</x:v>
      </x:c>
      <x:c r="L393" s="31" t="str"/>
      <x:c r="M393" s="31" t="str"/>
      <x:c r="N393" s="28" t="str">
        <x:f>IF(M393="","OPEN",IF(OR(L393="",NOT(ISNUMBER(I393))),"FAIL",IF(ABS(J393)&lt;=K393,"PASS","FAIL")))</x:f>
        <x:v>OPEN</x:v>
      </x:c>
    </x:row>
    <x:row r="394">
      <x:c r="B394" s="28" t="str">
        <x:v>CR-CAL-PEA-C-Y3-RFP-B2-04</x:v>
      </x:c>
      <x:c r="C394" s="28" t="str">
        <x:v>CAL-PEA-C-Y3-RFP-B2</x:v>
      </x:c>
      <x:c r="D394" s="28" t="str">
        <x:v>PEA-C-Y3</x:v>
      </x:c>
      <x:c r="E394" s="28" t="str">
        <x:v>RFP-B2</x:v>
      </x:c>
      <x:c r="F394" s="28" t="n">
        <x:v>4</x:v>
      </x:c>
      <x:c r="G394" s="28" t="str">
        <x:v>temperature</x:v>
      </x:c>
      <x:c r="H394" s="34" t="n">
        <x:v>1</x:v>
      </x:c>
      <x:c r="I394" s="35" t="str"/>
      <x:c r="J394" s="34" t="str">
        <x:f>IF(OR(NOT(ISNUMBER(H394)),NOT(ISNUMBER(I394))),"",I394-H394)</x:f>
      </x:c>
      <x:c r="K394" s="34" t="n">
        <x:v>0.05</x:v>
      </x:c>
      <x:c r="L394" s="31" t="str"/>
      <x:c r="M394" s="31" t="str"/>
      <x:c r="N394" s="28" t="str">
        <x:f>IF(M394="","OPEN",IF(OR(L394="",NOT(ISNUMBER(I394))),"FAIL",IF(ABS(J394)&lt;=K394,"PASS","FAIL")))</x:f>
        <x:v>OPEN</x:v>
      </x:c>
    </x:row>
    <x:row r="395">
      <x:c r="B395" s="28" t="str">
        <x:v>CR-CAL-PEA-C-Y3-RFP-B2-05</x:v>
      </x:c>
      <x:c r="C395" s="28" t="str">
        <x:v>CAL-PEA-C-Y3-RFP-B2</x:v>
      </x:c>
      <x:c r="D395" s="28" t="str">
        <x:v>PEA-C-Y3</x:v>
      </x:c>
      <x:c r="E395" s="28" t="str">
        <x:v>RFP-B2</x:v>
      </x:c>
      <x:c r="F395" s="28" t="n">
        <x:v>5</x:v>
      </x:c>
      <x:c r="G395" s="28" t="str">
        <x:v>hold-up tomography</x:v>
      </x:c>
      <x:c r="H395" s="34" t="n">
        <x:v>1</x:v>
      </x:c>
      <x:c r="I395" s="35" t="str"/>
      <x:c r="J395" s="34" t="str">
        <x:f>IF(OR(NOT(ISNUMBER(H395)),NOT(ISNUMBER(I395))),"",I395-H395)</x:f>
      </x:c>
      <x:c r="K395" s="34" t="n">
        <x:v>0.05</x:v>
      </x:c>
      <x:c r="L395" s="31" t="str"/>
      <x:c r="M395" s="31" t="str"/>
      <x:c r="N395" s="28" t="str">
        <x:f>IF(M395="","OPEN",IF(OR(L395="",NOT(ISNUMBER(I395))),"FAIL",IF(ABS(J395)&lt;=K395,"PASS","FAIL")))</x:f>
        <x:v>OPEN</x:v>
      </x:c>
    </x:row>
    <x:row r="396">
      <x:c r="B396" s="28" t="str">
        <x:v>CR-CAL-PEA-C-Y3-RFP-B2-06</x:v>
      </x:c>
      <x:c r="C396" s="28" t="str">
        <x:v>CAL-PEA-C-Y3-RFP-B2</x:v>
      </x:c>
      <x:c r="D396" s="28" t="str">
        <x:v>PEA-C-Y3</x:v>
      </x:c>
      <x:c r="E396" s="28" t="str">
        <x:v>RFP-B2</x:v>
      </x:c>
      <x:c r="F396" s="28" t="n">
        <x:v>6</x:v>
      </x:c>
      <x:c r="G396" s="28" t="str">
        <x:v>pan level</x:v>
      </x:c>
      <x:c r="H396" s="34" t="n">
        <x:v>1</x:v>
      </x:c>
      <x:c r="I396" s="35" t="str"/>
      <x:c r="J396" s="34" t="str">
        <x:f>IF(OR(NOT(ISNUMBER(H396)),NOT(ISNUMBER(I396))),"",I396-H396)</x:f>
      </x:c>
      <x:c r="K396" s="34" t="n">
        <x:v>0.05</x:v>
      </x:c>
      <x:c r="L396" s="31" t="str"/>
      <x:c r="M396" s="31" t="str"/>
      <x:c r="N396" s="28" t="str">
        <x:f>IF(M396="","OPEN",IF(OR(L396="",NOT(ISNUMBER(I396))),"FAIL",IF(ABS(J396)&lt;=K396,"PASS","FAIL")))</x:f>
        <x:v>OPEN</x:v>
      </x:c>
    </x:row>
    <x:row r="397">
      <x:c r="B397" s="28" t="str">
        <x:v>CR-CAL-PEA-C-Y3-RFP-B2-07</x:v>
      </x:c>
      <x:c r="C397" s="28" t="str">
        <x:v>CAL-PEA-C-Y3-RFP-B2</x:v>
      </x:c>
      <x:c r="D397" s="28" t="str">
        <x:v>PEA-C-Y3</x:v>
      </x:c>
      <x:c r="E397" s="28" t="str">
        <x:v>RFP-B2</x:v>
      </x:c>
      <x:c r="F397" s="28" t="n">
        <x:v>7</x:v>
      </x:c>
      <x:c r="G397" s="28" t="str">
        <x:v>receiver mass</x:v>
      </x:c>
      <x:c r="H397" s="34" t="n">
        <x:v>1</x:v>
      </x:c>
      <x:c r="I397" s="35" t="str"/>
      <x:c r="J397" s="34" t="str">
        <x:f>IF(OR(NOT(ISNUMBER(H397)),NOT(ISNUMBER(I397))),"",I397-H397)</x:f>
      </x:c>
      <x:c r="K397" s="34" t="n">
        <x:v>0.05</x:v>
      </x:c>
      <x:c r="L397" s="31" t="str"/>
      <x:c r="M397" s="31" t="str"/>
      <x:c r="N397" s="28" t="str">
        <x:f>IF(M397="","OPEN",IF(OR(L397="",NOT(ISNUMBER(I397))),"FAIL",IF(ABS(J397)&lt;=K397,"PASS","FAIL")))</x:f>
        <x:v>OPEN</x:v>
      </x:c>
    </x:row>
    <x:row r="398">
      <x:c r="B398" s="28" t="str">
        <x:v>CR-CAL-PEA-C-Y3-RFP-B2-08</x:v>
      </x:c>
      <x:c r="C398" s="28" t="str">
        <x:v>CAL-PEA-C-Y3-RFP-B2</x:v>
      </x:c>
      <x:c r="D398" s="28" t="str">
        <x:v>PEA-C-Y3</x:v>
      </x:c>
      <x:c r="E398" s="28" t="str">
        <x:v>RFP-B2</x:v>
      </x:c>
      <x:c r="F398" s="28" t="n">
        <x:v>8</x:v>
      </x:c>
      <x:c r="G398" s="28" t="str">
        <x:v>geometry and slope</x:v>
      </x:c>
      <x:c r="H398" s="34" t="n">
        <x:v>1</x:v>
      </x:c>
      <x:c r="I398" s="35" t="str"/>
      <x:c r="J398" s="34" t="str">
        <x:f>IF(OR(NOT(ISNUMBER(H398)),NOT(ISNUMBER(I398))),"",I398-H398)</x:f>
      </x:c>
      <x:c r="K398" s="34" t="n">
        <x:v>0.05</x:v>
      </x:c>
      <x:c r="L398" s="31" t="str"/>
      <x:c r="M398" s="31" t="str"/>
      <x:c r="N398" s="28" t="str">
        <x:f>IF(M398="","OPEN",IF(OR(L398="",NOT(ISNUMBER(I398))),"FAIL",IF(ABS(J398)&lt;=K398,"PASS","FAIL")))</x:f>
        <x:v>OPEN</x:v>
      </x:c>
    </x:row>
    <x:row r="399">
      <x:c r="B399" s="28" t="str">
        <x:v>CR-CAL-PEA-C-Y3-RFP-B2-09</x:v>
      </x:c>
      <x:c r="C399" s="28" t="str">
        <x:v>CAL-PEA-C-Y3-RFP-B2</x:v>
      </x:c>
      <x:c r="D399" s="28" t="str">
        <x:v>PEA-C-Y3</x:v>
      </x:c>
      <x:c r="E399" s="28" t="str">
        <x:v>RFP-B2</x:v>
      </x:c>
      <x:c r="F399" s="28" t="n">
        <x:v>9</x:v>
      </x:c>
      <x:c r="G399" s="28" t="str">
        <x:v>primary state witness</x:v>
      </x:c>
      <x:c r="H399" s="34" t="n">
        <x:v>1</x:v>
      </x:c>
      <x:c r="I399" s="35" t="str"/>
      <x:c r="J399" s="34" t="str">
        <x:f>IF(OR(NOT(ISNUMBER(H399)),NOT(ISNUMBER(I399))),"",I399-H399)</x:f>
      </x:c>
      <x:c r="K399" s="34" t="n">
        <x:v>0.05</x:v>
      </x:c>
      <x:c r="L399" s="31" t="str"/>
      <x:c r="M399" s="31" t="str"/>
      <x:c r="N399" s="28" t="str">
        <x:f>IF(M399="","OPEN",IF(OR(L399="",NOT(ISNUMBER(I399))),"FAIL",IF(ABS(J399)&lt;=K399,"PASS","FAIL")))</x:f>
        <x:v>OPEN</x:v>
      </x:c>
    </x:row>
    <x:row r="400">
      <x:c r="B400" s="28" t="str">
        <x:v>CR-CAL-PEA-C-Y3-RFP-B2-10</x:v>
      </x:c>
      <x:c r="C400" s="28" t="str">
        <x:v>CAL-PEA-C-Y3-RFP-B2</x:v>
      </x:c>
      <x:c r="D400" s="28" t="str">
        <x:v>PEA-C-Y3</x:v>
      </x:c>
      <x:c r="E400" s="28" t="str">
        <x:v>RFP-B2</x:v>
      </x:c>
      <x:c r="F400" s="28" t="n">
        <x:v>10</x:v>
      </x:c>
      <x:c r="G400" s="28" t="str">
        <x:v>diverse state witness</x:v>
      </x:c>
      <x:c r="H400" s="34" t="n">
        <x:v>1</x:v>
      </x:c>
      <x:c r="I400" s="35" t="str"/>
      <x:c r="J400" s="34" t="str">
        <x:f>IF(OR(NOT(ISNUMBER(H400)),NOT(ISNUMBER(I400))),"",I400-H400)</x:f>
      </x:c>
      <x:c r="K400" s="34" t="n">
        <x:v>0.05</x:v>
      </x:c>
      <x:c r="L400" s="31" t="str"/>
      <x:c r="M400" s="31" t="str"/>
      <x:c r="N400" s="28" t="str">
        <x:f>IF(M400="","OPEN",IF(OR(L400="",NOT(ISNUMBER(I400))),"FAIL",IF(ABS(J400)&lt;=K400,"PASS","FAIL")))</x:f>
        <x:v>OPEN</x:v>
      </x:c>
    </x:row>
    <x:row r="401">
      <x:c r="B401" s="28" t="str">
        <x:v>CR-CAL-PEA-C-Y3-RFP-B2-11</x:v>
      </x:c>
      <x:c r="C401" s="28" t="str">
        <x:v>CAL-PEA-C-Y3-RFP-B2</x:v>
      </x:c>
      <x:c r="D401" s="28" t="str">
        <x:v>PEA-C-Y3</x:v>
      </x:c>
      <x:c r="E401" s="28" t="str">
        <x:v>RFP-B2</x:v>
      </x:c>
      <x:c r="F401" s="28" t="n">
        <x:v>11</x:v>
      </x:c>
      <x:c r="G401" s="28" t="str">
        <x:v>manual state witness</x:v>
      </x:c>
      <x:c r="H401" s="34" t="n">
        <x:v>1</x:v>
      </x:c>
      <x:c r="I401" s="35" t="str"/>
      <x:c r="J401" s="34" t="str">
        <x:f>IF(OR(NOT(ISNUMBER(H401)),NOT(ISNUMBER(I401))),"",I401-H401)</x:f>
      </x:c>
      <x:c r="K401" s="34" t="n">
        <x:v>0.05</x:v>
      </x:c>
      <x:c r="L401" s="31" t="str"/>
      <x:c r="M401" s="31" t="str"/>
      <x:c r="N401" s="28" t="str">
        <x:f>IF(M401="","OPEN",IF(OR(L401="",NOT(ISNUMBER(I401))),"FAIL",IF(ABS(J401)&lt;=K401,"PASS","FAIL")))</x:f>
        <x:v>OPEN</x:v>
      </x:c>
    </x:row>
    <x:row r="402">
      <x:c r="B402" s="28" t="str">
        <x:v>CR-CAL-PEA-C-Y3-RFP-B2-12</x:v>
      </x:c>
      <x:c r="C402" s="28" t="str">
        <x:v>CAL-PEA-C-Y3-RFP-B2</x:v>
      </x:c>
      <x:c r="D402" s="28" t="str">
        <x:v>PEA-C-Y3</x:v>
      </x:c>
      <x:c r="E402" s="28" t="str">
        <x:v>RFP-B2</x:v>
      </x:c>
      <x:c r="F402" s="28" t="n">
        <x:v>12</x:v>
      </x:c>
      <x:c r="G402" s="28" t="str">
        <x:v>final-element reference</x:v>
      </x:c>
      <x:c r="H402" s="34" t="n">
        <x:v>1</x:v>
      </x:c>
      <x:c r="I402" s="35" t="str"/>
      <x:c r="J402" s="34" t="str">
        <x:f>IF(OR(NOT(ISNUMBER(H402)),NOT(ISNUMBER(I402))),"",I402-H402)</x:f>
      </x:c>
      <x:c r="K402" s="34" t="n">
        <x:v>0.05</x:v>
      </x:c>
      <x:c r="L402" s="31" t="str"/>
      <x:c r="M402" s="31" t="str"/>
      <x:c r="N402" s="28" t="str">
        <x:f>IF(M402="","OPEN",IF(OR(L402="",NOT(ISNUMBER(I402))),"FAIL",IF(ABS(J402)&lt;=K402,"PASS","FAIL")))</x:f>
        <x:v>OPEN</x:v>
      </x:c>
    </x:row>
    <x:row r="403">
      <x:c r="B403" s="28" t="str">
        <x:v>CR-CAL-PEA-C-Y3-RFP-B2-13</x:v>
      </x:c>
      <x:c r="C403" s="28" t="str">
        <x:v>CAL-PEA-C-Y3-RFP-B2</x:v>
      </x:c>
      <x:c r="D403" s="28" t="str">
        <x:v>PEA-C-Y3</x:v>
      </x:c>
      <x:c r="E403" s="28" t="str">
        <x:v>RFP-B2</x:v>
      </x:c>
      <x:c r="F403" s="28" t="n">
        <x:v>13</x:v>
      </x:c>
      <x:c r="G403" s="28" t="str">
        <x:v>causal time</x:v>
      </x:c>
      <x:c r="H403" s="34" t="n">
        <x:v>1</x:v>
      </x:c>
      <x:c r="I403" s="35" t="str"/>
      <x:c r="J403" s="34" t="str">
        <x:f>IF(OR(NOT(ISNUMBER(H403)),NOT(ISNUMBER(I403))),"",I403-H403)</x:f>
      </x:c>
      <x:c r="K403" s="34" t="n">
        <x:v>0.05</x:v>
      </x:c>
      <x:c r="L403" s="31" t="str"/>
      <x:c r="M403" s="31" t="str"/>
      <x:c r="N403" s="28" t="str">
        <x:f>IF(M403="","OPEN",IF(OR(L403="",NOT(ISNUMBER(I403))),"FAIL",IF(ABS(J403)&lt;=K403,"PASS","FAIL")))</x:f>
        <x:v>OPEN</x:v>
      </x:c>
    </x:row>
    <x:row r="404">
      <x:c r="B404" s="28" t="str">
        <x:v>CR-CAL-PEA-C-Y3-RFP-B2-14</x:v>
      </x:c>
      <x:c r="C404" s="28" t="str">
        <x:v>CAL-PEA-C-Y3-RFP-B2</x:v>
      </x:c>
      <x:c r="D404" s="28" t="str">
        <x:v>PEA-C-Y3</x:v>
      </x:c>
      <x:c r="E404" s="28" t="str">
        <x:v>RFP-B2</x:v>
      </x:c>
      <x:c r="F404" s="28" t="n">
        <x:v>14</x:v>
      </x:c>
      <x:c r="G404" s="28" t="str">
        <x:v>motive energy</x:v>
      </x:c>
      <x:c r="H404" s="34" t="n">
        <x:v>1</x:v>
      </x:c>
      <x:c r="I404" s="35" t="str"/>
      <x:c r="J404" s="34" t="str">
        <x:f>IF(OR(NOT(ISNUMBER(H404)),NOT(ISNUMBER(I404))),"",I404-H404)</x:f>
      </x:c>
      <x:c r="K404" s="34" t="n">
        <x:v>0.05</x:v>
      </x:c>
      <x:c r="L404" s="31" t="str"/>
      <x:c r="M404" s="31" t="str"/>
      <x:c r="N404" s="28" t="str">
        <x:f>IF(M404="","OPEN",IF(OR(L404="",NOT(ISNUMBER(I404))),"FAIL",IF(ABS(J404)&lt;=K404,"PASS","FAIL")))</x:f>
        <x:v>OPEN</x:v>
      </x:c>
    </x:row>
    <x:row r="405">
      <x:c r="B405" s="28" t="str">
        <x:v>CR-CAL-PEA-C-Y3-RFP-B2-15</x:v>
      </x:c>
      <x:c r="C405" s="28" t="str">
        <x:v>CAL-PEA-C-Y3-RFP-B2</x:v>
      </x:c>
      <x:c r="D405" s="28" t="str">
        <x:v>PEA-C-Y3</x:v>
      </x:c>
      <x:c r="E405" s="28" t="str">
        <x:v>RFP-B2</x:v>
      </x:c>
      <x:c r="F405" s="28" t="n">
        <x:v>15</x:v>
      </x:c>
      <x:c r="G405" s="28" t="str">
        <x:v>normal electrical power</x:v>
      </x:c>
      <x:c r="H405" s="34" t="n">
        <x:v>1</x:v>
      </x:c>
      <x:c r="I405" s="35" t="str"/>
      <x:c r="J405" s="34" t="str">
        <x:f>IF(OR(NOT(ISNUMBER(H405)),NOT(ISNUMBER(I405))),"",I405-H405)</x:f>
      </x:c>
      <x:c r="K405" s="34" t="n">
        <x:v>0.05</x:v>
      </x:c>
      <x:c r="L405" s="31" t="str"/>
      <x:c r="M405" s="31" t="str"/>
      <x:c r="N405" s="28" t="str">
        <x:f>IF(M405="","OPEN",IF(OR(L405="",NOT(ISNUMBER(I405))),"FAIL",IF(ABS(J405)&lt;=K405,"PASS","FAIL")))</x:f>
        <x:v>OPEN</x:v>
      </x:c>
    </x:row>
    <x:row r="406">
      <x:c r="B406" s="28" t="str">
        <x:v>CR-CAL-PEA-C-Y3-RFP-B2-16</x:v>
      </x:c>
      <x:c r="C406" s="28" t="str">
        <x:v>CAL-PEA-C-Y3-RFP-B2</x:v>
      </x:c>
      <x:c r="D406" s="28" t="str">
        <x:v>PEA-C-Y3</x:v>
      </x:c>
      <x:c r="E406" s="28" t="str">
        <x:v>RFP-B2</x:v>
      </x:c>
      <x:c r="F406" s="28" t="n">
        <x:v>16</x:v>
      </x:c>
      <x:c r="G406" s="28" t="str">
        <x:v>independent power</x:v>
      </x:c>
      <x:c r="H406" s="34" t="n">
        <x:v>1</x:v>
      </x:c>
      <x:c r="I406" s="35" t="str"/>
      <x:c r="J406" s="34" t="str">
        <x:f>IF(OR(NOT(ISNUMBER(H406)),NOT(ISNUMBER(I406))),"",I406-H406)</x:f>
      </x:c>
      <x:c r="K406" s="34" t="n">
        <x:v>0.05</x:v>
      </x:c>
      <x:c r="L406" s="31" t="str"/>
      <x:c r="M406" s="31" t="str"/>
      <x:c r="N406" s="28" t="str">
        <x:f>IF(M406="","OPEN",IF(OR(L406="",NOT(ISNUMBER(I406))),"FAIL",IF(ABS(J406)&lt;=K406,"PASS","FAIL")))</x:f>
        <x:v>OPEN</x:v>
      </x:c>
    </x:row>
    <x:row r="407">
      <x:c r="B407" s="28" t="str">
        <x:v>CR-CAL-PEA-C-Y3-RFP-B2-17</x:v>
      </x:c>
      <x:c r="C407" s="28" t="str">
        <x:v>CAL-PEA-C-Y3-RFP-B2</x:v>
      </x:c>
      <x:c r="D407" s="28" t="str">
        <x:v>PEA-C-Y3</x:v>
      </x:c>
      <x:c r="E407" s="28" t="str">
        <x:v>RFP-B2</x:v>
      </x:c>
      <x:c r="F407" s="28" t="n">
        <x:v>17</x:v>
      </x:c>
      <x:c r="G407" s="28" t="str">
        <x:v>leak collection</x:v>
      </x:c>
      <x:c r="H407" s="34" t="n">
        <x:v>1</x:v>
      </x:c>
      <x:c r="I407" s="35" t="str"/>
      <x:c r="J407" s="34" t="str">
        <x:f>IF(OR(NOT(ISNUMBER(H407)),NOT(ISNUMBER(I407))),"",I407-H407)</x:f>
      </x:c>
      <x:c r="K407" s="34" t="n">
        <x:v>0.05</x:v>
      </x:c>
      <x:c r="L407" s="31" t="str"/>
      <x:c r="M407" s="31" t="str"/>
      <x:c r="N407" s="28" t="str">
        <x:f>IF(M407="","OPEN",IF(OR(L407="",NOT(ISNUMBER(I407))),"FAIL",IF(ABS(J407)&lt;=K407,"PASS","FAIL")))</x:f>
        <x:v>OPEN</x:v>
      </x:c>
    </x:row>
    <x:row r="408">
      <x:c r="B408" s="28" t="str">
        <x:v>CR-CAL-PEA-C-Y3-RFP-B2-18</x:v>
      </x:c>
      <x:c r="C408" s="28" t="str">
        <x:v>CAL-PEA-C-Y3-RFP-B2</x:v>
      </x:c>
      <x:c r="D408" s="28" t="str">
        <x:v>PEA-C-Y3</x:v>
      </x:c>
      <x:c r="E408" s="28" t="str">
        <x:v>RFP-B2</x:v>
      </x:c>
      <x:c r="F408" s="28" t="n">
        <x:v>18</x:v>
      </x:c>
      <x:c r="G408" s="28" t="str">
        <x:v>occupied area</x:v>
      </x:c>
      <x:c r="H408" s="34" t="n">
        <x:v>1</x:v>
      </x:c>
      <x:c r="I408" s="35" t="str"/>
      <x:c r="J408" s="34" t="str">
        <x:f>IF(OR(NOT(ISNUMBER(H408)),NOT(ISNUMBER(I408))),"",I408-H408)</x:f>
      </x:c>
      <x:c r="K408" s="34" t="n">
        <x:v>0.05</x:v>
      </x:c>
      <x:c r="L408" s="31" t="str"/>
      <x:c r="M408" s="31" t="str"/>
      <x:c r="N408" s="28" t="str">
        <x:f>IF(M408="","OPEN",IF(OR(L408="",NOT(ISNUMBER(I408))),"FAIL",IF(ABS(J408)&lt;=K408,"PASS","FAIL")))</x:f>
        <x:v>OPEN</x:v>
      </x:c>
    </x:row>
    <x:row r="409">
      <x:c r="B409" s="28" t="str">
        <x:v>CR-CAL-PEA-C-Y3-RFP-B2-19</x:v>
      </x:c>
      <x:c r="C409" s="28" t="str">
        <x:v>CAL-PEA-C-Y3-RFP-B2</x:v>
      </x:c>
      <x:c r="D409" s="28" t="str">
        <x:v>PEA-C-Y3</x:v>
      </x:c>
      <x:c r="E409" s="28" t="str">
        <x:v>RFP-B2</x:v>
      </x:c>
      <x:c r="F409" s="28" t="n">
        <x:v>19</x:v>
      </x:c>
      <x:c r="G409" s="28" t="str">
        <x:v>water flow</x:v>
      </x:c>
      <x:c r="H409" s="34" t="n">
        <x:v>1</x:v>
      </x:c>
      <x:c r="I409" s="35" t="str"/>
      <x:c r="J409" s="34" t="str">
        <x:f>IF(OR(NOT(ISNUMBER(H409)),NOT(ISNUMBER(I409))),"",I409-H409)</x:f>
      </x:c>
      <x:c r="K409" s="34" t="n">
        <x:v>0.05</x:v>
      </x:c>
      <x:c r="L409" s="31" t="str"/>
      <x:c r="M409" s="31" t="str"/>
      <x:c r="N409" s="28" t="str">
        <x:f>IF(M409="","OPEN",IF(OR(L409="",NOT(ISNUMBER(I409))),"FAIL",IF(ABS(J409)&lt;=K409,"PASS","FAIL")))</x:f>
        <x:v>OPEN</x:v>
      </x:c>
    </x:row>
    <x:row r="410">
      <x:c r="B410" s="28" t="str">
        <x:v>CR-CAL-PEA-C-Y3-RFP-B2-20</x:v>
      </x:c>
      <x:c r="C410" s="28" t="str">
        <x:v>CAL-PEA-C-Y3-RFP-B2</x:v>
      </x:c>
      <x:c r="D410" s="28" t="str">
        <x:v>PEA-C-Y3</x:v>
      </x:c>
      <x:c r="E410" s="28" t="str">
        <x:v>RFP-B2</x:v>
      </x:c>
      <x:c r="F410" s="28" t="n">
        <x:v>20</x:v>
      </x:c>
      <x:c r="G410" s="28" t="str">
        <x:v>source ancestry root A</x:v>
      </x:c>
      <x:c r="H410" s="34" t="n">
        <x:v>1</x:v>
      </x:c>
      <x:c r="I410" s="35" t="str"/>
      <x:c r="J410" s="34" t="str">
        <x:f>IF(OR(NOT(ISNUMBER(H410)),NOT(ISNUMBER(I410))),"",I410-H410)</x:f>
      </x:c>
      <x:c r="K410" s="34" t="n">
        <x:v>0.05</x:v>
      </x:c>
      <x:c r="L410" s="31" t="str"/>
      <x:c r="M410" s="31" t="str"/>
      <x:c r="N410" s="28" t="str">
        <x:f>IF(M410="","OPEN",IF(OR(L410="",NOT(ISNUMBER(I410))),"FAIL",IF(ABS(J410)&lt;=K410,"PASS","FAIL")))</x:f>
        <x:v>OPEN</x:v>
      </x:c>
    </x:row>
    <x:row r="411">
      <x:c r="B411" s="28" t="str">
        <x:v>CR-CAL-PEA-C-Y3-RFP-B2-21</x:v>
      </x:c>
      <x:c r="C411" s="28" t="str">
        <x:v>CAL-PEA-C-Y3-RFP-B2</x:v>
      </x:c>
      <x:c r="D411" s="28" t="str">
        <x:v>PEA-C-Y3</x:v>
      </x:c>
      <x:c r="E411" s="28" t="str">
        <x:v>RFP-B2</x:v>
      </x:c>
      <x:c r="F411" s="28" t="n">
        <x:v>21</x:v>
      </x:c>
      <x:c r="G411" s="28" t="str">
        <x:v>source ancestry root B</x:v>
      </x:c>
      <x:c r="H411" s="34" t="n">
        <x:v>1</x:v>
      </x:c>
      <x:c r="I411" s="35" t="str"/>
      <x:c r="J411" s="34" t="str">
        <x:f>IF(OR(NOT(ISNUMBER(H411)),NOT(ISNUMBER(I411))),"",I411-H411)</x:f>
      </x:c>
      <x:c r="K411" s="34" t="n">
        <x:v>0.05</x:v>
      </x:c>
      <x:c r="L411" s="31" t="str"/>
      <x:c r="M411" s="31" t="str"/>
      <x:c r="N411" s="28" t="str">
        <x:f>IF(M411="","OPEN",IF(OR(L411="",NOT(ISNUMBER(I411))),"FAIL",IF(ABS(J411)&lt;=K411,"PASS","FAIL")))</x:f>
        <x:v>OPEN</x:v>
      </x:c>
    </x:row>
    <x:row r="412">
      <x:c r="B412" s="28" t="str">
        <x:v>CR-CAL-PEA-C-Y3-RFP-B2-22</x:v>
      </x:c>
      <x:c r="C412" s="28" t="str">
        <x:v>CAL-PEA-C-Y3-RFP-B2</x:v>
      </x:c>
      <x:c r="D412" s="28" t="str">
        <x:v>PEA-C-Y3</x:v>
      </x:c>
      <x:c r="E412" s="28" t="str">
        <x:v>RFP-B2</x:v>
      </x:c>
      <x:c r="F412" s="28" t="n">
        <x:v>22</x:v>
      </x:c>
      <x:c r="G412" s="28" t="str">
        <x:v>environmental release</x:v>
      </x:c>
      <x:c r="H412" s="34" t="n">
        <x:v>1</x:v>
      </x:c>
      <x:c r="I412" s="35" t="str"/>
      <x:c r="J412" s="34" t="str">
        <x:f>IF(OR(NOT(ISNUMBER(H412)),NOT(ISNUMBER(I412))),"",I412-H412)</x:f>
      </x:c>
      <x:c r="K412" s="34" t="n">
        <x:v>0.05</x:v>
      </x:c>
      <x:c r="L412" s="31" t="str"/>
      <x:c r="M412" s="31" t="str"/>
      <x:c r="N412" s="28" t="str">
        <x:f>IF(M412="","OPEN",IF(OR(L412="",NOT(ISNUMBER(I412))),"FAIL",IF(ABS(J412)&lt;=K412,"PASS","FAIL")))</x:f>
        <x:v>OPEN</x:v>
      </x:c>
    </x:row>
    <x:row r="413">
      <x:c r="B413" s="28" t="str">
        <x:v>CR-CAL-PEA-C-Y3-RFP-B2-23</x:v>
      </x:c>
      <x:c r="C413" s="28" t="str">
        <x:v>CAL-PEA-C-Y3-RFP-B2</x:v>
      </x:c>
      <x:c r="D413" s="28" t="str">
        <x:v>PEA-C-Y3</x:v>
      </x:c>
      <x:c r="E413" s="28" t="str">
        <x:v>RFP-B2</x:v>
      </x:c>
      <x:c r="F413" s="28" t="n">
        <x:v>23</x:v>
      </x:c>
      <x:c r="G413" s="28" t="str">
        <x:v>image trigger</x:v>
      </x:c>
      <x:c r="H413" s="34" t="n">
        <x:v>1</x:v>
      </x:c>
      <x:c r="I413" s="35" t="str"/>
      <x:c r="J413" s="34" t="str">
        <x:f>IF(OR(NOT(ISNUMBER(H413)),NOT(ISNUMBER(I413))),"",I413-H413)</x:f>
      </x:c>
      <x:c r="K413" s="34" t="n">
        <x:v>0.05</x:v>
      </x:c>
      <x:c r="L413" s="31" t="str"/>
      <x:c r="M413" s="31" t="str"/>
      <x:c r="N413" s="28" t="str">
        <x:f>IF(M413="","OPEN",IF(OR(L413="",NOT(ISNUMBER(I413))),"FAIL",IF(ABS(J413)&lt;=K413,"PASS","FAIL")))</x:f>
        <x:v>OPEN</x:v>
      </x:c>
    </x:row>
    <x:row r="414">
      <x:c r="B414" s="28" t="str">
        <x:v>CR-CAL-PEA-C-Y3-RFP-B2-24</x:v>
      </x:c>
      <x:c r="C414" s="28" t="str">
        <x:v>CAL-PEA-C-Y3-RFP-B2</x:v>
      </x:c>
      <x:c r="D414" s="28" t="str">
        <x:v>PEA-C-Y3</x:v>
      </x:c>
      <x:c r="E414" s="28" t="str">
        <x:v>RFP-B2</x:v>
      </x:c>
      <x:c r="F414" s="28" t="n">
        <x:v>24</x:v>
      </x:c>
      <x:c r="G414" s="28" t="str">
        <x:v>evidence health</x:v>
      </x:c>
      <x:c r="H414" s="34" t="n">
        <x:v>1</x:v>
      </x:c>
      <x:c r="I414" s="35" t="str"/>
      <x:c r="J414" s="34" t="str">
        <x:f>IF(OR(NOT(ISNUMBER(H414)),NOT(ISNUMBER(I414))),"",I414-H414)</x:f>
      </x:c>
      <x:c r="K414" s="34" t="n">
        <x:v>0.05</x:v>
      </x:c>
      <x:c r="L414" s="31" t="str"/>
      <x:c r="M414" s="31" t="str"/>
      <x:c r="N414" s="28" t="str">
        <x:f>IF(M414="","OPEN",IF(OR(L414="",NOT(ISNUMBER(I414))),"FAIL",IF(ABS(J414)&lt;=K414,"PASS","FAIL")))</x:f>
        <x:v>OPEN</x:v>
      </x:c>
    </x:row>
    <x:row r="415">
      <x:c r="B415" s="28" t="str">
        <x:v>CR-CAL-PEA-A-X3-RFP-C2-01</x:v>
      </x:c>
      <x:c r="C415" s="28" t="str">
        <x:v>CAL-PEA-A-X3-RFP-C2</x:v>
      </x:c>
      <x:c r="D415" s="28" t="str">
        <x:v>PEA-A-X3</x:v>
      </x:c>
      <x:c r="E415" s="28" t="str">
        <x:v>RFP-C2</x:v>
      </x:c>
      <x:c r="F415" s="28" t="n">
        <x:v>1</x:v>
      </x:c>
      <x:c r="G415" s="28" t="str">
        <x:v>vessel mass</x:v>
      </x:c>
      <x:c r="H415" s="34" t="n">
        <x:v>1</x:v>
      </x:c>
      <x:c r="I415" s="35" t="str"/>
      <x:c r="J415" s="34" t="str">
        <x:f>IF(OR(NOT(ISNUMBER(H415)),NOT(ISNUMBER(I415))),"",I415-H415)</x:f>
      </x:c>
      <x:c r="K415" s="34" t="n">
        <x:v>0.05</x:v>
      </x:c>
      <x:c r="L415" s="31" t="str"/>
      <x:c r="M415" s="31" t="str"/>
      <x:c r="N415" s="28" t="str">
        <x:f>IF(M415="","OPEN",IF(OR(L415="",NOT(ISNUMBER(I415))),"FAIL",IF(ABS(J415)&lt;=K415,"PASS","FAIL")))</x:f>
        <x:v>OPEN</x:v>
      </x:c>
    </x:row>
    <x:row r="416">
      <x:c r="B416" s="28" t="str">
        <x:v>CR-CAL-PEA-A-X3-RFP-C2-02</x:v>
      </x:c>
      <x:c r="C416" s="28" t="str">
        <x:v>CAL-PEA-A-X3-RFP-C2</x:v>
      </x:c>
      <x:c r="D416" s="28" t="str">
        <x:v>PEA-A-X3</x:v>
      </x:c>
      <x:c r="E416" s="28" t="str">
        <x:v>RFP-C2</x:v>
      </x:c>
      <x:c r="F416" s="28" t="n">
        <x:v>2</x:v>
      </x:c>
      <x:c r="G416" s="28" t="str">
        <x:v>integrated transfer mass</x:v>
      </x:c>
      <x:c r="H416" s="34" t="n">
        <x:v>1</x:v>
      </x:c>
      <x:c r="I416" s="35" t="str"/>
      <x:c r="J416" s="34" t="str">
        <x:f>IF(OR(NOT(ISNUMBER(H416)),NOT(ISNUMBER(I416))),"",I416-H416)</x:f>
      </x:c>
      <x:c r="K416" s="34" t="n">
        <x:v>0.05</x:v>
      </x:c>
      <x:c r="L416" s="31" t="str"/>
      <x:c r="M416" s="31" t="str"/>
      <x:c r="N416" s="28" t="str">
        <x:f>IF(M416="","OPEN",IF(OR(L416="",NOT(ISNUMBER(I416))),"FAIL",IF(ABS(J416)&lt;=K416,"PASS","FAIL")))</x:f>
        <x:v>OPEN</x:v>
      </x:c>
    </x:row>
    <x:row r="417">
      <x:c r="B417" s="28" t="str">
        <x:v>CR-CAL-PEA-A-X3-RFP-C2-03</x:v>
      </x:c>
      <x:c r="C417" s="28" t="str">
        <x:v>CAL-PEA-A-X3-RFP-C2</x:v>
      </x:c>
      <x:c r="D417" s="28" t="str">
        <x:v>PEA-A-X3</x:v>
      </x:c>
      <x:c r="E417" s="28" t="str">
        <x:v>RFP-C2</x:v>
      </x:c>
      <x:c r="F417" s="28" t="n">
        <x:v>3</x:v>
      </x:c>
      <x:c r="G417" s="28" t="str">
        <x:v>pressure</x:v>
      </x:c>
      <x:c r="H417" s="34" t="n">
        <x:v>1</x:v>
      </x:c>
      <x:c r="I417" s="35" t="str"/>
      <x:c r="J417" s="34" t="str">
        <x:f>IF(OR(NOT(ISNUMBER(H417)),NOT(ISNUMBER(I417))),"",I417-H417)</x:f>
      </x:c>
      <x:c r="K417" s="34" t="n">
        <x:v>0.05</x:v>
      </x:c>
      <x:c r="L417" s="31" t="str"/>
      <x:c r="M417" s="31" t="str"/>
      <x:c r="N417" s="28" t="str">
        <x:f>IF(M417="","OPEN",IF(OR(L417="",NOT(ISNUMBER(I417))),"FAIL",IF(ABS(J417)&lt;=K417,"PASS","FAIL")))</x:f>
        <x:v>OPEN</x:v>
      </x:c>
    </x:row>
    <x:row r="418">
      <x:c r="B418" s="28" t="str">
        <x:v>CR-CAL-PEA-A-X3-RFP-C2-04</x:v>
      </x:c>
      <x:c r="C418" s="28" t="str">
        <x:v>CAL-PEA-A-X3-RFP-C2</x:v>
      </x:c>
      <x:c r="D418" s="28" t="str">
        <x:v>PEA-A-X3</x:v>
      </x:c>
      <x:c r="E418" s="28" t="str">
        <x:v>RFP-C2</x:v>
      </x:c>
      <x:c r="F418" s="28" t="n">
        <x:v>4</x:v>
      </x:c>
      <x:c r="G418" s="28" t="str">
        <x:v>temperature</x:v>
      </x:c>
      <x:c r="H418" s="34" t="n">
        <x:v>1</x:v>
      </x:c>
      <x:c r="I418" s="35" t="str"/>
      <x:c r="J418" s="34" t="str">
        <x:f>IF(OR(NOT(ISNUMBER(H418)),NOT(ISNUMBER(I418))),"",I418-H418)</x:f>
      </x:c>
      <x:c r="K418" s="34" t="n">
        <x:v>0.05</x:v>
      </x:c>
      <x:c r="L418" s="31" t="str"/>
      <x:c r="M418" s="31" t="str"/>
      <x:c r="N418" s="28" t="str">
        <x:f>IF(M418="","OPEN",IF(OR(L418="",NOT(ISNUMBER(I418))),"FAIL",IF(ABS(J418)&lt;=K418,"PASS","FAIL")))</x:f>
        <x:v>OPEN</x:v>
      </x:c>
    </x:row>
    <x:row r="419">
      <x:c r="B419" s="28" t="str">
        <x:v>CR-CAL-PEA-A-X3-RFP-C2-05</x:v>
      </x:c>
      <x:c r="C419" s="28" t="str">
        <x:v>CAL-PEA-A-X3-RFP-C2</x:v>
      </x:c>
      <x:c r="D419" s="28" t="str">
        <x:v>PEA-A-X3</x:v>
      </x:c>
      <x:c r="E419" s="28" t="str">
        <x:v>RFP-C2</x:v>
      </x:c>
      <x:c r="F419" s="28" t="n">
        <x:v>5</x:v>
      </x:c>
      <x:c r="G419" s="28" t="str">
        <x:v>hold-up tomography</x:v>
      </x:c>
      <x:c r="H419" s="34" t="n">
        <x:v>1</x:v>
      </x:c>
      <x:c r="I419" s="35" t="str"/>
      <x:c r="J419" s="34" t="str">
        <x:f>IF(OR(NOT(ISNUMBER(H419)),NOT(ISNUMBER(I419))),"",I419-H419)</x:f>
      </x:c>
      <x:c r="K419" s="34" t="n">
        <x:v>0.05</x:v>
      </x:c>
      <x:c r="L419" s="31" t="str"/>
      <x:c r="M419" s="31" t="str"/>
      <x:c r="N419" s="28" t="str">
        <x:f>IF(M419="","OPEN",IF(OR(L419="",NOT(ISNUMBER(I419))),"FAIL",IF(ABS(J419)&lt;=K419,"PASS","FAIL")))</x:f>
        <x:v>OPEN</x:v>
      </x:c>
    </x:row>
    <x:row r="420">
      <x:c r="B420" s="28" t="str">
        <x:v>CR-CAL-PEA-A-X3-RFP-C2-06</x:v>
      </x:c>
      <x:c r="C420" s="28" t="str">
        <x:v>CAL-PEA-A-X3-RFP-C2</x:v>
      </x:c>
      <x:c r="D420" s="28" t="str">
        <x:v>PEA-A-X3</x:v>
      </x:c>
      <x:c r="E420" s="28" t="str">
        <x:v>RFP-C2</x:v>
      </x:c>
      <x:c r="F420" s="28" t="n">
        <x:v>6</x:v>
      </x:c>
      <x:c r="G420" s="28" t="str">
        <x:v>pan level</x:v>
      </x:c>
      <x:c r="H420" s="34" t="n">
        <x:v>1</x:v>
      </x:c>
      <x:c r="I420" s="35" t="str"/>
      <x:c r="J420" s="34" t="str">
        <x:f>IF(OR(NOT(ISNUMBER(H420)),NOT(ISNUMBER(I420))),"",I420-H420)</x:f>
      </x:c>
      <x:c r="K420" s="34" t="n">
        <x:v>0.05</x:v>
      </x:c>
      <x:c r="L420" s="31" t="str"/>
      <x:c r="M420" s="31" t="str"/>
      <x:c r="N420" s="28" t="str">
        <x:f>IF(M420="","OPEN",IF(OR(L420="",NOT(ISNUMBER(I420))),"FAIL",IF(ABS(J420)&lt;=K420,"PASS","FAIL")))</x:f>
        <x:v>OPEN</x:v>
      </x:c>
    </x:row>
    <x:row r="421">
      <x:c r="B421" s="28" t="str">
        <x:v>CR-CAL-PEA-A-X3-RFP-C2-07</x:v>
      </x:c>
      <x:c r="C421" s="28" t="str">
        <x:v>CAL-PEA-A-X3-RFP-C2</x:v>
      </x:c>
      <x:c r="D421" s="28" t="str">
        <x:v>PEA-A-X3</x:v>
      </x:c>
      <x:c r="E421" s="28" t="str">
        <x:v>RFP-C2</x:v>
      </x:c>
      <x:c r="F421" s="28" t="n">
        <x:v>7</x:v>
      </x:c>
      <x:c r="G421" s="28" t="str">
        <x:v>receiver mass</x:v>
      </x:c>
      <x:c r="H421" s="34" t="n">
        <x:v>1</x:v>
      </x:c>
      <x:c r="I421" s="35" t="str"/>
      <x:c r="J421" s="34" t="str">
        <x:f>IF(OR(NOT(ISNUMBER(H421)),NOT(ISNUMBER(I421))),"",I421-H421)</x:f>
      </x:c>
      <x:c r="K421" s="34" t="n">
        <x:v>0.05</x:v>
      </x:c>
      <x:c r="L421" s="31" t="str"/>
      <x:c r="M421" s="31" t="str"/>
      <x:c r="N421" s="28" t="str">
        <x:f>IF(M421="","OPEN",IF(OR(L421="",NOT(ISNUMBER(I421))),"FAIL",IF(ABS(J421)&lt;=K421,"PASS","FAIL")))</x:f>
        <x:v>OPEN</x:v>
      </x:c>
    </x:row>
    <x:row r="422">
      <x:c r="B422" s="28" t="str">
        <x:v>CR-CAL-PEA-A-X3-RFP-C2-08</x:v>
      </x:c>
      <x:c r="C422" s="28" t="str">
        <x:v>CAL-PEA-A-X3-RFP-C2</x:v>
      </x:c>
      <x:c r="D422" s="28" t="str">
        <x:v>PEA-A-X3</x:v>
      </x:c>
      <x:c r="E422" s="28" t="str">
        <x:v>RFP-C2</x:v>
      </x:c>
      <x:c r="F422" s="28" t="n">
        <x:v>8</x:v>
      </x:c>
      <x:c r="G422" s="28" t="str">
        <x:v>geometry and slope</x:v>
      </x:c>
      <x:c r="H422" s="34" t="n">
        <x:v>1</x:v>
      </x:c>
      <x:c r="I422" s="35" t="str"/>
      <x:c r="J422" s="34" t="str">
        <x:f>IF(OR(NOT(ISNUMBER(H422)),NOT(ISNUMBER(I422))),"",I422-H422)</x:f>
      </x:c>
      <x:c r="K422" s="34" t="n">
        <x:v>0.05</x:v>
      </x:c>
      <x:c r="L422" s="31" t="str"/>
      <x:c r="M422" s="31" t="str"/>
      <x:c r="N422" s="28" t="str">
        <x:f>IF(M422="","OPEN",IF(OR(L422="",NOT(ISNUMBER(I422))),"FAIL",IF(ABS(J422)&lt;=K422,"PASS","FAIL")))</x:f>
        <x:v>OPEN</x:v>
      </x:c>
    </x:row>
    <x:row r="423">
      <x:c r="B423" s="28" t="str">
        <x:v>CR-CAL-PEA-A-X3-RFP-C2-09</x:v>
      </x:c>
      <x:c r="C423" s="28" t="str">
        <x:v>CAL-PEA-A-X3-RFP-C2</x:v>
      </x:c>
      <x:c r="D423" s="28" t="str">
        <x:v>PEA-A-X3</x:v>
      </x:c>
      <x:c r="E423" s="28" t="str">
        <x:v>RFP-C2</x:v>
      </x:c>
      <x:c r="F423" s="28" t="n">
        <x:v>9</x:v>
      </x:c>
      <x:c r="G423" s="28" t="str">
        <x:v>primary state witness</x:v>
      </x:c>
      <x:c r="H423" s="34" t="n">
        <x:v>1</x:v>
      </x:c>
      <x:c r="I423" s="35" t="str"/>
      <x:c r="J423" s="34" t="str">
        <x:f>IF(OR(NOT(ISNUMBER(H423)),NOT(ISNUMBER(I423))),"",I423-H423)</x:f>
      </x:c>
      <x:c r="K423" s="34" t="n">
        <x:v>0.05</x:v>
      </x:c>
      <x:c r="L423" s="31" t="str"/>
      <x:c r="M423" s="31" t="str"/>
      <x:c r="N423" s="28" t="str">
        <x:f>IF(M423="","OPEN",IF(OR(L423="",NOT(ISNUMBER(I423))),"FAIL",IF(ABS(J423)&lt;=K423,"PASS","FAIL")))</x:f>
        <x:v>OPEN</x:v>
      </x:c>
    </x:row>
    <x:row r="424">
      <x:c r="B424" s="28" t="str">
        <x:v>CR-CAL-PEA-A-X3-RFP-C2-10</x:v>
      </x:c>
      <x:c r="C424" s="28" t="str">
        <x:v>CAL-PEA-A-X3-RFP-C2</x:v>
      </x:c>
      <x:c r="D424" s="28" t="str">
        <x:v>PEA-A-X3</x:v>
      </x:c>
      <x:c r="E424" s="28" t="str">
        <x:v>RFP-C2</x:v>
      </x:c>
      <x:c r="F424" s="28" t="n">
        <x:v>10</x:v>
      </x:c>
      <x:c r="G424" s="28" t="str">
        <x:v>diverse state witness</x:v>
      </x:c>
      <x:c r="H424" s="34" t="n">
        <x:v>1</x:v>
      </x:c>
      <x:c r="I424" s="35" t="str"/>
      <x:c r="J424" s="34" t="str">
        <x:f>IF(OR(NOT(ISNUMBER(H424)),NOT(ISNUMBER(I424))),"",I424-H424)</x:f>
      </x:c>
      <x:c r="K424" s="34" t="n">
        <x:v>0.05</x:v>
      </x:c>
      <x:c r="L424" s="31" t="str"/>
      <x:c r="M424" s="31" t="str"/>
      <x:c r="N424" s="28" t="str">
        <x:f>IF(M424="","OPEN",IF(OR(L424="",NOT(ISNUMBER(I424))),"FAIL",IF(ABS(J424)&lt;=K424,"PASS","FAIL")))</x:f>
        <x:v>OPEN</x:v>
      </x:c>
    </x:row>
    <x:row r="425">
      <x:c r="B425" s="28" t="str">
        <x:v>CR-CAL-PEA-A-X3-RFP-C2-11</x:v>
      </x:c>
      <x:c r="C425" s="28" t="str">
        <x:v>CAL-PEA-A-X3-RFP-C2</x:v>
      </x:c>
      <x:c r="D425" s="28" t="str">
        <x:v>PEA-A-X3</x:v>
      </x:c>
      <x:c r="E425" s="28" t="str">
        <x:v>RFP-C2</x:v>
      </x:c>
      <x:c r="F425" s="28" t="n">
        <x:v>11</x:v>
      </x:c>
      <x:c r="G425" s="28" t="str">
        <x:v>manual state witness</x:v>
      </x:c>
      <x:c r="H425" s="34" t="n">
        <x:v>1</x:v>
      </x:c>
      <x:c r="I425" s="35" t="str"/>
      <x:c r="J425" s="34" t="str">
        <x:f>IF(OR(NOT(ISNUMBER(H425)),NOT(ISNUMBER(I425))),"",I425-H425)</x:f>
      </x:c>
      <x:c r="K425" s="34" t="n">
        <x:v>0.05</x:v>
      </x:c>
      <x:c r="L425" s="31" t="str"/>
      <x:c r="M425" s="31" t="str"/>
      <x:c r="N425" s="28" t="str">
        <x:f>IF(M425="","OPEN",IF(OR(L425="",NOT(ISNUMBER(I425))),"FAIL",IF(ABS(J425)&lt;=K425,"PASS","FAIL")))</x:f>
        <x:v>OPEN</x:v>
      </x:c>
    </x:row>
    <x:row r="426">
      <x:c r="B426" s="28" t="str">
        <x:v>CR-CAL-PEA-A-X3-RFP-C2-12</x:v>
      </x:c>
      <x:c r="C426" s="28" t="str">
        <x:v>CAL-PEA-A-X3-RFP-C2</x:v>
      </x:c>
      <x:c r="D426" s="28" t="str">
        <x:v>PEA-A-X3</x:v>
      </x:c>
      <x:c r="E426" s="28" t="str">
        <x:v>RFP-C2</x:v>
      </x:c>
      <x:c r="F426" s="28" t="n">
        <x:v>12</x:v>
      </x:c>
      <x:c r="G426" s="28" t="str">
        <x:v>final-element reference</x:v>
      </x:c>
      <x:c r="H426" s="34" t="n">
        <x:v>1</x:v>
      </x:c>
      <x:c r="I426" s="35" t="str"/>
      <x:c r="J426" s="34" t="str">
        <x:f>IF(OR(NOT(ISNUMBER(H426)),NOT(ISNUMBER(I426))),"",I426-H426)</x:f>
      </x:c>
      <x:c r="K426" s="34" t="n">
        <x:v>0.05</x:v>
      </x:c>
      <x:c r="L426" s="31" t="str"/>
      <x:c r="M426" s="31" t="str"/>
      <x:c r="N426" s="28" t="str">
        <x:f>IF(M426="","OPEN",IF(OR(L426="",NOT(ISNUMBER(I426))),"FAIL",IF(ABS(J426)&lt;=K426,"PASS","FAIL")))</x:f>
        <x:v>OPEN</x:v>
      </x:c>
    </x:row>
    <x:row r="427">
      <x:c r="B427" s="28" t="str">
        <x:v>CR-CAL-PEA-A-X3-RFP-C2-13</x:v>
      </x:c>
      <x:c r="C427" s="28" t="str">
        <x:v>CAL-PEA-A-X3-RFP-C2</x:v>
      </x:c>
      <x:c r="D427" s="28" t="str">
        <x:v>PEA-A-X3</x:v>
      </x:c>
      <x:c r="E427" s="28" t="str">
        <x:v>RFP-C2</x:v>
      </x:c>
      <x:c r="F427" s="28" t="n">
        <x:v>13</x:v>
      </x:c>
      <x:c r="G427" s="28" t="str">
        <x:v>causal time</x:v>
      </x:c>
      <x:c r="H427" s="34" t="n">
        <x:v>1</x:v>
      </x:c>
      <x:c r="I427" s="35" t="str"/>
      <x:c r="J427" s="34" t="str">
        <x:f>IF(OR(NOT(ISNUMBER(H427)),NOT(ISNUMBER(I427))),"",I427-H427)</x:f>
      </x:c>
      <x:c r="K427" s="34" t="n">
        <x:v>0.05</x:v>
      </x:c>
      <x:c r="L427" s="31" t="str"/>
      <x:c r="M427" s="31" t="str"/>
      <x:c r="N427" s="28" t="str">
        <x:f>IF(M427="","OPEN",IF(OR(L427="",NOT(ISNUMBER(I427))),"FAIL",IF(ABS(J427)&lt;=K427,"PASS","FAIL")))</x:f>
        <x:v>OPEN</x:v>
      </x:c>
    </x:row>
    <x:row r="428">
      <x:c r="B428" s="28" t="str">
        <x:v>CR-CAL-PEA-A-X3-RFP-C2-14</x:v>
      </x:c>
      <x:c r="C428" s="28" t="str">
        <x:v>CAL-PEA-A-X3-RFP-C2</x:v>
      </x:c>
      <x:c r="D428" s="28" t="str">
        <x:v>PEA-A-X3</x:v>
      </x:c>
      <x:c r="E428" s="28" t="str">
        <x:v>RFP-C2</x:v>
      </x:c>
      <x:c r="F428" s="28" t="n">
        <x:v>14</x:v>
      </x:c>
      <x:c r="G428" s="28" t="str">
        <x:v>motive energy</x:v>
      </x:c>
      <x:c r="H428" s="34" t="n">
        <x:v>1</x:v>
      </x:c>
      <x:c r="I428" s="35" t="str"/>
      <x:c r="J428" s="34" t="str">
        <x:f>IF(OR(NOT(ISNUMBER(H428)),NOT(ISNUMBER(I428))),"",I428-H428)</x:f>
      </x:c>
      <x:c r="K428" s="34" t="n">
        <x:v>0.05</x:v>
      </x:c>
      <x:c r="L428" s="31" t="str"/>
      <x:c r="M428" s="31" t="str"/>
      <x:c r="N428" s="28" t="str">
        <x:f>IF(M428="","OPEN",IF(OR(L428="",NOT(ISNUMBER(I428))),"FAIL",IF(ABS(J428)&lt;=K428,"PASS","FAIL")))</x:f>
        <x:v>OPEN</x:v>
      </x:c>
    </x:row>
    <x:row r="429">
      <x:c r="B429" s="28" t="str">
        <x:v>CR-CAL-PEA-A-X3-RFP-C2-15</x:v>
      </x:c>
      <x:c r="C429" s="28" t="str">
        <x:v>CAL-PEA-A-X3-RFP-C2</x:v>
      </x:c>
      <x:c r="D429" s="28" t="str">
        <x:v>PEA-A-X3</x:v>
      </x:c>
      <x:c r="E429" s="28" t="str">
        <x:v>RFP-C2</x:v>
      </x:c>
      <x:c r="F429" s="28" t="n">
        <x:v>15</x:v>
      </x:c>
      <x:c r="G429" s="28" t="str">
        <x:v>normal electrical power</x:v>
      </x:c>
      <x:c r="H429" s="34" t="n">
        <x:v>1</x:v>
      </x:c>
      <x:c r="I429" s="35" t="str"/>
      <x:c r="J429" s="34" t="str">
        <x:f>IF(OR(NOT(ISNUMBER(H429)),NOT(ISNUMBER(I429))),"",I429-H429)</x:f>
      </x:c>
      <x:c r="K429" s="34" t="n">
        <x:v>0.05</x:v>
      </x:c>
      <x:c r="L429" s="31" t="str"/>
      <x:c r="M429" s="31" t="str"/>
      <x:c r="N429" s="28" t="str">
        <x:f>IF(M429="","OPEN",IF(OR(L429="",NOT(ISNUMBER(I429))),"FAIL",IF(ABS(J429)&lt;=K429,"PASS","FAIL")))</x:f>
        <x:v>OPEN</x:v>
      </x:c>
    </x:row>
    <x:row r="430">
      <x:c r="B430" s="28" t="str">
        <x:v>CR-CAL-PEA-A-X3-RFP-C2-16</x:v>
      </x:c>
      <x:c r="C430" s="28" t="str">
        <x:v>CAL-PEA-A-X3-RFP-C2</x:v>
      </x:c>
      <x:c r="D430" s="28" t="str">
        <x:v>PEA-A-X3</x:v>
      </x:c>
      <x:c r="E430" s="28" t="str">
        <x:v>RFP-C2</x:v>
      </x:c>
      <x:c r="F430" s="28" t="n">
        <x:v>16</x:v>
      </x:c>
      <x:c r="G430" s="28" t="str">
        <x:v>independent power</x:v>
      </x:c>
      <x:c r="H430" s="34" t="n">
        <x:v>1</x:v>
      </x:c>
      <x:c r="I430" s="35" t="str"/>
      <x:c r="J430" s="34" t="str">
        <x:f>IF(OR(NOT(ISNUMBER(H430)),NOT(ISNUMBER(I430))),"",I430-H430)</x:f>
      </x:c>
      <x:c r="K430" s="34" t="n">
        <x:v>0.05</x:v>
      </x:c>
      <x:c r="L430" s="31" t="str"/>
      <x:c r="M430" s="31" t="str"/>
      <x:c r="N430" s="28" t="str">
        <x:f>IF(M430="","OPEN",IF(OR(L430="",NOT(ISNUMBER(I430))),"FAIL",IF(ABS(J430)&lt;=K430,"PASS","FAIL")))</x:f>
        <x:v>OPEN</x:v>
      </x:c>
    </x:row>
    <x:row r="431">
      <x:c r="B431" s="28" t="str">
        <x:v>CR-CAL-PEA-A-X3-RFP-C2-17</x:v>
      </x:c>
      <x:c r="C431" s="28" t="str">
        <x:v>CAL-PEA-A-X3-RFP-C2</x:v>
      </x:c>
      <x:c r="D431" s="28" t="str">
        <x:v>PEA-A-X3</x:v>
      </x:c>
      <x:c r="E431" s="28" t="str">
        <x:v>RFP-C2</x:v>
      </x:c>
      <x:c r="F431" s="28" t="n">
        <x:v>17</x:v>
      </x:c>
      <x:c r="G431" s="28" t="str">
        <x:v>leak collection</x:v>
      </x:c>
      <x:c r="H431" s="34" t="n">
        <x:v>1</x:v>
      </x:c>
      <x:c r="I431" s="35" t="str"/>
      <x:c r="J431" s="34" t="str">
        <x:f>IF(OR(NOT(ISNUMBER(H431)),NOT(ISNUMBER(I431))),"",I431-H431)</x:f>
      </x:c>
      <x:c r="K431" s="34" t="n">
        <x:v>0.05</x:v>
      </x:c>
      <x:c r="L431" s="31" t="str"/>
      <x:c r="M431" s="31" t="str"/>
      <x:c r="N431" s="28" t="str">
        <x:f>IF(M431="","OPEN",IF(OR(L431="",NOT(ISNUMBER(I431))),"FAIL",IF(ABS(J431)&lt;=K431,"PASS","FAIL")))</x:f>
        <x:v>OPEN</x:v>
      </x:c>
    </x:row>
    <x:row r="432">
      <x:c r="B432" s="28" t="str">
        <x:v>CR-CAL-PEA-A-X3-RFP-C2-18</x:v>
      </x:c>
      <x:c r="C432" s="28" t="str">
        <x:v>CAL-PEA-A-X3-RFP-C2</x:v>
      </x:c>
      <x:c r="D432" s="28" t="str">
        <x:v>PEA-A-X3</x:v>
      </x:c>
      <x:c r="E432" s="28" t="str">
        <x:v>RFP-C2</x:v>
      </x:c>
      <x:c r="F432" s="28" t="n">
        <x:v>18</x:v>
      </x:c>
      <x:c r="G432" s="28" t="str">
        <x:v>occupied area</x:v>
      </x:c>
      <x:c r="H432" s="34" t="n">
        <x:v>1</x:v>
      </x:c>
      <x:c r="I432" s="35" t="str"/>
      <x:c r="J432" s="34" t="str">
        <x:f>IF(OR(NOT(ISNUMBER(H432)),NOT(ISNUMBER(I432))),"",I432-H432)</x:f>
      </x:c>
      <x:c r="K432" s="34" t="n">
        <x:v>0.05</x:v>
      </x:c>
      <x:c r="L432" s="31" t="str"/>
      <x:c r="M432" s="31" t="str"/>
      <x:c r="N432" s="28" t="str">
        <x:f>IF(M432="","OPEN",IF(OR(L432="",NOT(ISNUMBER(I432))),"FAIL",IF(ABS(J432)&lt;=K432,"PASS","FAIL")))</x:f>
        <x:v>OPEN</x:v>
      </x:c>
    </x:row>
    <x:row r="433">
      <x:c r="B433" s="28" t="str">
        <x:v>CR-CAL-PEA-A-X3-RFP-C2-19</x:v>
      </x:c>
      <x:c r="C433" s="28" t="str">
        <x:v>CAL-PEA-A-X3-RFP-C2</x:v>
      </x:c>
      <x:c r="D433" s="28" t="str">
        <x:v>PEA-A-X3</x:v>
      </x:c>
      <x:c r="E433" s="28" t="str">
        <x:v>RFP-C2</x:v>
      </x:c>
      <x:c r="F433" s="28" t="n">
        <x:v>19</x:v>
      </x:c>
      <x:c r="G433" s="28" t="str">
        <x:v>water flow</x:v>
      </x:c>
      <x:c r="H433" s="34" t="n">
        <x:v>1</x:v>
      </x:c>
      <x:c r="I433" s="35" t="str"/>
      <x:c r="J433" s="34" t="str">
        <x:f>IF(OR(NOT(ISNUMBER(H433)),NOT(ISNUMBER(I433))),"",I433-H433)</x:f>
      </x:c>
      <x:c r="K433" s="34" t="n">
        <x:v>0.05</x:v>
      </x:c>
      <x:c r="L433" s="31" t="str"/>
      <x:c r="M433" s="31" t="str"/>
      <x:c r="N433" s="28" t="str">
        <x:f>IF(M433="","OPEN",IF(OR(L433="",NOT(ISNUMBER(I433))),"FAIL",IF(ABS(J433)&lt;=K433,"PASS","FAIL")))</x:f>
        <x:v>OPEN</x:v>
      </x:c>
    </x:row>
    <x:row r="434">
      <x:c r="B434" s="28" t="str">
        <x:v>CR-CAL-PEA-A-X3-RFP-C2-20</x:v>
      </x:c>
      <x:c r="C434" s="28" t="str">
        <x:v>CAL-PEA-A-X3-RFP-C2</x:v>
      </x:c>
      <x:c r="D434" s="28" t="str">
        <x:v>PEA-A-X3</x:v>
      </x:c>
      <x:c r="E434" s="28" t="str">
        <x:v>RFP-C2</x:v>
      </x:c>
      <x:c r="F434" s="28" t="n">
        <x:v>20</x:v>
      </x:c>
      <x:c r="G434" s="28" t="str">
        <x:v>source ancestry root A</x:v>
      </x:c>
      <x:c r="H434" s="34" t="n">
        <x:v>1</x:v>
      </x:c>
      <x:c r="I434" s="35" t="str"/>
      <x:c r="J434" s="34" t="str">
        <x:f>IF(OR(NOT(ISNUMBER(H434)),NOT(ISNUMBER(I434))),"",I434-H434)</x:f>
      </x:c>
      <x:c r="K434" s="34" t="n">
        <x:v>0.05</x:v>
      </x:c>
      <x:c r="L434" s="31" t="str"/>
      <x:c r="M434" s="31" t="str"/>
      <x:c r="N434" s="28" t="str">
        <x:f>IF(M434="","OPEN",IF(OR(L434="",NOT(ISNUMBER(I434))),"FAIL",IF(ABS(J434)&lt;=K434,"PASS","FAIL")))</x:f>
        <x:v>OPEN</x:v>
      </x:c>
    </x:row>
    <x:row r="435">
      <x:c r="B435" s="28" t="str">
        <x:v>CR-CAL-PEA-A-X3-RFP-C2-21</x:v>
      </x:c>
      <x:c r="C435" s="28" t="str">
        <x:v>CAL-PEA-A-X3-RFP-C2</x:v>
      </x:c>
      <x:c r="D435" s="28" t="str">
        <x:v>PEA-A-X3</x:v>
      </x:c>
      <x:c r="E435" s="28" t="str">
        <x:v>RFP-C2</x:v>
      </x:c>
      <x:c r="F435" s="28" t="n">
        <x:v>21</x:v>
      </x:c>
      <x:c r="G435" s="28" t="str">
        <x:v>source ancestry root B</x:v>
      </x:c>
      <x:c r="H435" s="34" t="n">
        <x:v>1</x:v>
      </x:c>
      <x:c r="I435" s="35" t="str"/>
      <x:c r="J435" s="34" t="str">
        <x:f>IF(OR(NOT(ISNUMBER(H435)),NOT(ISNUMBER(I435))),"",I435-H435)</x:f>
      </x:c>
      <x:c r="K435" s="34" t="n">
        <x:v>0.05</x:v>
      </x:c>
      <x:c r="L435" s="31" t="str"/>
      <x:c r="M435" s="31" t="str"/>
      <x:c r="N435" s="28" t="str">
        <x:f>IF(M435="","OPEN",IF(OR(L435="",NOT(ISNUMBER(I435))),"FAIL",IF(ABS(J435)&lt;=K435,"PASS","FAIL")))</x:f>
        <x:v>OPEN</x:v>
      </x:c>
    </x:row>
    <x:row r="436">
      <x:c r="B436" s="28" t="str">
        <x:v>CR-CAL-PEA-A-X3-RFP-C2-22</x:v>
      </x:c>
      <x:c r="C436" s="28" t="str">
        <x:v>CAL-PEA-A-X3-RFP-C2</x:v>
      </x:c>
      <x:c r="D436" s="28" t="str">
        <x:v>PEA-A-X3</x:v>
      </x:c>
      <x:c r="E436" s="28" t="str">
        <x:v>RFP-C2</x:v>
      </x:c>
      <x:c r="F436" s="28" t="n">
        <x:v>22</x:v>
      </x:c>
      <x:c r="G436" s="28" t="str">
        <x:v>environmental release</x:v>
      </x:c>
      <x:c r="H436" s="34" t="n">
        <x:v>1</x:v>
      </x:c>
      <x:c r="I436" s="35" t="str"/>
      <x:c r="J436" s="34" t="str">
        <x:f>IF(OR(NOT(ISNUMBER(H436)),NOT(ISNUMBER(I436))),"",I436-H436)</x:f>
      </x:c>
      <x:c r="K436" s="34" t="n">
        <x:v>0.05</x:v>
      </x:c>
      <x:c r="L436" s="31" t="str"/>
      <x:c r="M436" s="31" t="str"/>
      <x:c r="N436" s="28" t="str">
        <x:f>IF(M436="","OPEN",IF(OR(L436="",NOT(ISNUMBER(I436))),"FAIL",IF(ABS(J436)&lt;=K436,"PASS","FAIL")))</x:f>
        <x:v>OPEN</x:v>
      </x:c>
    </x:row>
    <x:row r="437">
      <x:c r="B437" s="28" t="str">
        <x:v>CR-CAL-PEA-A-X3-RFP-C2-23</x:v>
      </x:c>
      <x:c r="C437" s="28" t="str">
        <x:v>CAL-PEA-A-X3-RFP-C2</x:v>
      </x:c>
      <x:c r="D437" s="28" t="str">
        <x:v>PEA-A-X3</x:v>
      </x:c>
      <x:c r="E437" s="28" t="str">
        <x:v>RFP-C2</x:v>
      </x:c>
      <x:c r="F437" s="28" t="n">
        <x:v>23</x:v>
      </x:c>
      <x:c r="G437" s="28" t="str">
        <x:v>image trigger</x:v>
      </x:c>
      <x:c r="H437" s="34" t="n">
        <x:v>1</x:v>
      </x:c>
      <x:c r="I437" s="35" t="str"/>
      <x:c r="J437" s="34" t="str">
        <x:f>IF(OR(NOT(ISNUMBER(H437)),NOT(ISNUMBER(I437))),"",I437-H437)</x:f>
      </x:c>
      <x:c r="K437" s="34" t="n">
        <x:v>0.05</x:v>
      </x:c>
      <x:c r="L437" s="31" t="str"/>
      <x:c r="M437" s="31" t="str"/>
      <x:c r="N437" s="28" t="str">
        <x:f>IF(M437="","OPEN",IF(OR(L437="",NOT(ISNUMBER(I437))),"FAIL",IF(ABS(J437)&lt;=K437,"PASS","FAIL")))</x:f>
        <x:v>OPEN</x:v>
      </x:c>
    </x:row>
    <x:row r="438">
      <x:c r="B438" s="28" t="str">
        <x:v>CR-CAL-PEA-A-X3-RFP-C2-24</x:v>
      </x:c>
      <x:c r="C438" s="28" t="str">
        <x:v>CAL-PEA-A-X3-RFP-C2</x:v>
      </x:c>
      <x:c r="D438" s="28" t="str">
        <x:v>PEA-A-X3</x:v>
      </x:c>
      <x:c r="E438" s="28" t="str">
        <x:v>RFP-C2</x:v>
      </x:c>
      <x:c r="F438" s="28" t="n">
        <x:v>24</x:v>
      </x:c>
      <x:c r="G438" s="28" t="str">
        <x:v>evidence health</x:v>
      </x:c>
      <x:c r="H438" s="34" t="n">
        <x:v>1</x:v>
      </x:c>
      <x:c r="I438" s="35" t="str"/>
      <x:c r="J438" s="34" t="str">
        <x:f>IF(OR(NOT(ISNUMBER(H438)),NOT(ISNUMBER(I438))),"",I438-H438)</x:f>
      </x:c>
      <x:c r="K438" s="34" t="n">
        <x:v>0.05</x:v>
      </x:c>
      <x:c r="L438" s="31" t="str"/>
      <x:c r="M438" s="31" t="str"/>
      <x:c r="N438" s="28" t="str">
        <x:f>IF(M438="","OPEN",IF(OR(L438="",NOT(ISNUMBER(I438))),"FAIL",IF(ABS(J438)&lt;=K438,"PASS","FAIL")))</x:f>
        <x:v>OPEN</x:v>
      </x:c>
    </x:row>
  </x:sheetData>
  <x:conditionalFormatting sqref="N7:N438">
    <x:cfRule type="containsText" dxfId="42" priority="1" operator="containsText" text="FAIL"/>
    <x:cfRule type="containsText" dxfId="43" priority="2" operator="containsText" text="BLOCKED"/>
    <x:cfRule type="containsText" dxfId="44" priority="3" operator="containsText" text="EXPIRED"/>
    <x:cfRule type="containsText" dxfId="45" priority="4" operator="containsText" text="OPEN"/>
    <x:cfRule type="containsText" dxfId="46" priority="5" operator="containsText" text="DORMANT"/>
    <x:cfRule type="containsText" dxfId="47" priority="6" operator="containsText" text="PASS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1" hidden="0" customWidth="1"/>
    <x:col min="3" max="3" width="17" hidden="0" customWidth="1"/>
    <x:col min="4" max="4" width="19" hidden="0" customWidth="1"/>
    <x:col min="5" max="5" width="14" hidden="0" customWidth="1"/>
    <x:col min="6" max="6" width="14" hidden="0" customWidth="1"/>
    <x:col min="7" max="7" width="62" hidden="0" customWidth="1"/>
    <x:col min="8" max="8" width="34" hidden="0" customWidth="1"/>
    <x:col min="9" max="9" width="21" hidden="0" customWidth="1"/>
    <x:col min="10" max="10" width="14" hidden="0" customWidth="1"/>
  </x:cols>
  <x:sheetData>
    <x:row r="2">
      <x:c r="B2" s="25" t="str">
        <x:v>Six campus-special article assignments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27" t="str">
        <x:v>Each campus holds one calibration and one destructive article. Neither may replace an operational article or functional twin.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6" t="str">
        <x:v>Assignment</x:v>
      </x:c>
      <x:c r="C6" s="6" t="str">
        <x:v>Article</x:v>
      </x:c>
      <x:c r="D6" s="6" t="str">
        <x:v>Role</x:v>
      </x:c>
      <x:c r="E6" s="6" t="str">
        <x:v>Campus</x:v>
      </x:c>
      <x:c r="F6" s="6" t="str">
        <x:v>Lineage</x:v>
      </x:c>
      <x:c r="G6" s="6" t="str">
        <x:v>Purpose</x:v>
      </x:c>
      <x:c r="H6" s="6" t="str">
        <x:v>Configuration root</x:v>
      </x:c>
      <x:c r="I6" s="6" t="str">
        <x:v>Accepted UTC</x:v>
      </x:c>
      <x:c r="J6" s="6" t="str">
        <x:v>State</x:v>
      </x:c>
    </x:row>
    <x:row r="7" ht="38" customHeight="1">
      <x:c r="B7" s="28" t="str">
        <x:v>SP-PEA-A-X3</x:v>
      </x:c>
      <x:c r="C7" s="28" t="str">
        <x:v>PEA-A-X3</x:v>
      </x:c>
      <x:c r="D7" s="28" t="str">
        <x:v>CALIBRATION</x:v>
      </x:c>
      <x:c r="E7" s="28" t="str">
        <x:v>PTC-A</x:v>
      </x:c>
      <x:c r="F7" s="28" t="str">
        <x:v>BL-X</x:v>
      </x:c>
      <x:c r="G7" s="29" t="str">
        <x:v>standards circulation and known-state transfer</x:v>
      </x:c>
      <x:c r="H7" s="31" t="str"/>
      <x:c r="I7" s="31" t="str"/>
      <x:c r="J7" s="28" t="str">
        <x:f>IF(I7="","OPEN",IF(AND(H7&lt;&gt;"",COUNTIFS('Bank Intake'!B7:B24,C7,'Bank Intake'!L7:L24,"PASS")=1),"PASS","FAIL"))</x:f>
        <x:v>OPEN</x:v>
      </x:c>
    </x:row>
    <x:row r="8" ht="38" customHeight="1">
      <x:c r="B8" s="28" t="str">
        <x:v>SP-PEA-A-Y3</x:v>
      </x:c>
      <x:c r="C8" s="28" t="str">
        <x:v>PEA-A-Y3</x:v>
      </x:c>
      <x:c r="D8" s="28" t="str">
        <x:v>DESTRUCTIVE</x:v>
      </x:c>
      <x:c r="E8" s="28" t="str">
        <x:v>PTC-A</x:v>
      </x:c>
      <x:c r="F8" s="28" t="str">
        <x:v>BL-Y</x:v>
      </x:c>
      <x:c r="G8" s="29" t="str">
        <x:v>handling, rescue access and terminal forensic reserve</x:v>
      </x:c>
      <x:c r="H8" s="31" t="str"/>
      <x:c r="I8" s="31" t="str"/>
      <x:c r="J8" s="28" t="str">
        <x:f>IF(I8="","OPEN",IF(AND(H8&lt;&gt;"",COUNTIFS('Bank Intake'!B7:B24,C8,'Bank Intake'!L7:L24,"PASS")=1),"PASS","FAIL"))</x:f>
        <x:v>OPEN</x:v>
      </x:c>
    </x:row>
    <x:row r="9" ht="38" customHeight="1">
      <x:c r="B9" s="28" t="str">
        <x:v>SP-PEA-B-X3</x:v>
      </x:c>
      <x:c r="C9" s="28" t="str">
        <x:v>PEA-B-X3</x:v>
      </x:c>
      <x:c r="D9" s="28" t="str">
        <x:v>CALIBRATION</x:v>
      </x:c>
      <x:c r="E9" s="28" t="str">
        <x:v>PTC-B</x:v>
      </x:c>
      <x:c r="F9" s="28" t="str">
        <x:v>BL-X</x:v>
      </x:c>
      <x:c r="G9" s="29" t="str">
        <x:v>standards circulation and known-state transfer</x:v>
      </x:c>
      <x:c r="H9" s="31" t="str"/>
      <x:c r="I9" s="31" t="str"/>
      <x:c r="J9" s="28" t="str">
        <x:f>IF(I9="","OPEN",IF(AND(H9&lt;&gt;"",COUNTIFS('Bank Intake'!B7:B24,C9,'Bank Intake'!L7:L24,"PASS")=1),"PASS","FAIL"))</x:f>
        <x:v>OPEN</x:v>
      </x:c>
    </x:row>
    <x:row r="10" ht="38" customHeight="1">
      <x:c r="B10" s="28" t="str">
        <x:v>SP-PEA-B-Y3</x:v>
      </x:c>
      <x:c r="C10" s="28" t="str">
        <x:v>PEA-B-Y3</x:v>
      </x:c>
      <x:c r="D10" s="28" t="str">
        <x:v>DESTRUCTIVE</x:v>
      </x:c>
      <x:c r="E10" s="28" t="str">
        <x:v>PTC-B</x:v>
      </x:c>
      <x:c r="F10" s="28" t="str">
        <x:v>BL-Y</x:v>
      </x:c>
      <x:c r="G10" s="29" t="str">
        <x:v>handling, rescue access and terminal forensic reserve</x:v>
      </x:c>
      <x:c r="H10" s="31" t="str"/>
      <x:c r="I10" s="31" t="str"/>
      <x:c r="J10" s="28" t="str">
        <x:f>IF(I10="","OPEN",IF(AND(H10&lt;&gt;"",COUNTIFS('Bank Intake'!B7:B24,C10,'Bank Intake'!L7:L24,"PASS")=1),"PASS","FAIL"))</x:f>
        <x:v>OPEN</x:v>
      </x:c>
    </x:row>
    <x:row r="11" ht="38" customHeight="1">
      <x:c r="B11" s="28" t="str">
        <x:v>SP-PEA-C-X3</x:v>
      </x:c>
      <x:c r="C11" s="28" t="str">
        <x:v>PEA-C-X3</x:v>
      </x:c>
      <x:c r="D11" s="28" t="str">
        <x:v>DESTRUCTIVE</x:v>
      </x:c>
      <x:c r="E11" s="28" t="str">
        <x:v>PTC-C</x:v>
      </x:c>
      <x:c r="F11" s="28" t="str">
        <x:v>BL-X</x:v>
      </x:c>
      <x:c r="G11" s="29" t="str">
        <x:v>handling, rescue access and terminal forensic reserve</x:v>
      </x:c>
      <x:c r="H11" s="31" t="str"/>
      <x:c r="I11" s="31" t="str"/>
      <x:c r="J11" s="28" t="str">
        <x:f>IF(I11="","OPEN",IF(AND(H11&lt;&gt;"",COUNTIFS('Bank Intake'!B7:B24,C11,'Bank Intake'!L7:L24,"PASS")=1),"PASS","FAIL"))</x:f>
        <x:v>OPEN</x:v>
      </x:c>
    </x:row>
    <x:row r="12" ht="38" customHeight="1">
      <x:c r="B12" s="28" t="str">
        <x:v>SP-PEA-C-Y3</x:v>
      </x:c>
      <x:c r="C12" s="28" t="str">
        <x:v>PEA-C-Y3</x:v>
      </x:c>
      <x:c r="D12" s="28" t="str">
        <x:v>CALIBRATION</x:v>
      </x:c>
      <x:c r="E12" s="28" t="str">
        <x:v>PTC-C</x:v>
      </x:c>
      <x:c r="F12" s="28" t="str">
        <x:v>BL-Y</x:v>
      </x:c>
      <x:c r="G12" s="29" t="str">
        <x:v>standards circulation and known-state transfer</x:v>
      </x:c>
      <x:c r="H12" s="31" t="str"/>
      <x:c r="I12" s="31" t="str"/>
      <x:c r="J12" s="28" t="str">
        <x:f>IF(I12="","OPEN",IF(AND(H12&lt;&gt;"",COUNTIFS('Bank Intake'!B7:B24,C12,'Bank Intake'!L7:L24,"PASS")=1),"PASS","FAIL"))</x:f>
        <x:v>OPEN</x:v>
      </x:c>
    </x:row>
  </x:sheetData>
  <x:conditionalFormatting sqref="J7:J12">
    <x:cfRule type="containsText" dxfId="54" priority="1" operator="containsText" text="FAIL"/>
    <x:cfRule type="containsText" dxfId="55" priority="2" operator="containsText" text="BLOCKED"/>
    <x:cfRule type="containsText" dxfId="56" priority="3" operator="containsText" text="EXPIRED"/>
    <x:cfRule type="containsText" dxfId="57" priority="4" operator="containsText" text="OPEN"/>
    <x:cfRule type="containsText" dxfId="58" priority="5" operator="containsText" text="DORMANT"/>
    <x:cfRule type="containsText" dxfId="59" priority="6" operator="containsText" text="PASS"/>
  </x:conditionalFormatting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8" hidden="0" customWidth="1"/>
    <x:col min="3" max="3" width="17" hidden="0" customWidth="1"/>
    <x:col min="4" max="4" width="14" hidden="0" customWidth="1"/>
    <x:col min="5" max="5" width="13" hidden="0" customWidth="1"/>
    <x:col min="6" max="6" width="12" hidden="0" customWidth="1"/>
    <x:col min="7" max="7" width="50" hidden="0" customWidth="1"/>
    <x:col min="8" max="8" width="34" hidden="0" customWidth="1"/>
    <x:col min="9" max="9" width="21" hidden="0" customWidth="1"/>
    <x:col min="10" max="10" width="14" hidden="0" customWidth="1"/>
  </x:cols>
  <x:sheetData>
    <x:row r="2">
      <x:c r="B2" s="25" t="str">
        <x:v>One hundred eight operational-article readiness records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27" t="str">
        <x:v>Inherited construction evidence is rechecked after custody and transport. A historical article pass does not establish current integration state.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6" t="str">
        <x:v>Record</x:v>
      </x:c>
      <x:c r="C6" s="6" t="str">
        <x:v>Article</x:v>
      </x:c>
      <x:c r="D6" s="6" t="str">
        <x:v>Builder</x:v>
      </x:c>
      <x:c r="E6" s="6" t="str">
        <x:v>Lineage</x:v>
      </x:c>
      <x:c r="F6" s="6" t="str">
        <x:v>Domain</x:v>
      </x:c>
      <x:c r="G6" s="6" t="str">
        <x:v>Requirement</x:v>
      </x:c>
      <x:c r="H6" s="6" t="str">
        <x:v>Evidence root</x:v>
      </x:c>
      <x:c r="I6" s="6" t="str">
        <x:v>Accepted UTC</x:v>
      </x:c>
      <x:c r="J6" s="6" t="str">
        <x:v>State</x:v>
      </x:c>
    </x:row>
    <x:row r="7">
      <x:c r="B7" s="28" t="str">
        <x:v>AD-PEA-A-X1-01</x:v>
      </x:c>
      <x:c r="C7" s="28" t="str">
        <x:v>PEA-A-X1</x:v>
      </x:c>
      <x:c r="D7" s="28" t="str">
        <x:v>BLD-A</x:v>
      </x:c>
      <x:c r="E7" s="28" t="str">
        <x:v>BL-X</x:v>
      </x:c>
      <x:c r="F7" s="28" t="n">
        <x:v>1</x:v>
      </x:c>
      <x:c r="G7" s="28" t="str">
        <x:v>bank release and locked role</x:v>
      </x:c>
      <x:c r="H7" s="31" t="str"/>
      <x:c r="I7" s="31" t="str"/>
      <x:c r="J7" s="28" t="str">
        <x:f>IF(I7="","OPEN",IF(H7="","FAIL","PASS"))</x:f>
        <x:v>OPEN</x:v>
      </x:c>
    </x:row>
    <x:row r="8">
      <x:c r="B8" s="28" t="str">
        <x:v>AD-PEA-A-X1-02</x:v>
      </x:c>
      <x:c r="C8" s="28" t="str">
        <x:v>PEA-A-X1</x:v>
      </x:c>
      <x:c r="D8" s="28" t="str">
        <x:v>BLD-A</x:v>
      </x:c>
      <x:c r="E8" s="28" t="str">
        <x:v>BL-X</x:v>
      </x:c>
      <x:c r="F8" s="28" t="n">
        <x:v>2</x:v>
      </x:c>
      <x:c r="G8" s="28" t="str">
        <x:v>public custody transfer</x:v>
      </x:c>
      <x:c r="H8" s="31" t="str"/>
      <x:c r="I8" s="31" t="str"/>
      <x:c r="J8" s="28" t="str">
        <x:f>IF(I8="","OPEN",IF(H8="","FAIL","PASS"))</x:f>
        <x:v>OPEN</x:v>
      </x:c>
    </x:row>
    <x:row r="9">
      <x:c r="B9" s="28" t="str">
        <x:v>AD-PEA-A-X1-03</x:v>
      </x:c>
      <x:c r="C9" s="28" t="str">
        <x:v>PEA-A-X1</x:v>
      </x:c>
      <x:c r="D9" s="28" t="str">
        <x:v>BLD-A</x:v>
      </x:c>
      <x:c r="E9" s="28" t="str">
        <x:v>BL-X</x:v>
      </x:c>
      <x:c r="F9" s="28" t="n">
        <x:v>3</x:v>
      </x:c>
      <x:c r="G9" s="28" t="str">
        <x:v>transport envelope</x:v>
      </x:c>
      <x:c r="H9" s="31" t="str"/>
      <x:c r="I9" s="31" t="str"/>
      <x:c r="J9" s="28" t="str">
        <x:f>IF(I9="","OPEN",IF(H9="","FAIL","PASS"))</x:f>
        <x:v>OPEN</x:v>
      </x:c>
    </x:row>
    <x:row r="10">
      <x:c r="B10" s="28" t="str">
        <x:v>AD-PEA-A-X1-04</x:v>
      </x:c>
      <x:c r="C10" s="28" t="str">
        <x:v>PEA-A-X1</x:v>
      </x:c>
      <x:c r="D10" s="28" t="str">
        <x:v>BLD-A</x:v>
      </x:c>
      <x:c r="E10" s="28" t="str">
        <x:v>BL-X</x:v>
      </x:c>
      <x:c r="F10" s="28" t="n">
        <x:v>4</x:v>
      </x:c>
      <x:c r="G10" s="28" t="str">
        <x:v>arrival configuration</x:v>
      </x:c>
      <x:c r="H10" s="31" t="str"/>
      <x:c r="I10" s="31" t="str"/>
      <x:c r="J10" s="28" t="str">
        <x:f>IF(I10="","OPEN",IF(H10="","FAIL","PASS"))</x:f>
        <x:v>OPEN</x:v>
      </x:c>
    </x:row>
    <x:row r="11">
      <x:c r="B11" s="28" t="str">
        <x:v>AD-PEA-A-X1-05</x:v>
      </x:c>
      <x:c r="C11" s="28" t="str">
        <x:v>PEA-A-X1</x:v>
      </x:c>
      <x:c r="D11" s="28" t="str">
        <x:v>BLD-A</x:v>
      </x:c>
      <x:c r="E11" s="28" t="str">
        <x:v>BL-X</x:v>
      </x:c>
      <x:c r="F11" s="28" t="n">
        <x:v>5</x:v>
      </x:c>
      <x:c r="G11" s="28" t="str">
        <x:v>material ancestry</x:v>
      </x:c>
      <x:c r="H11" s="31" t="str"/>
      <x:c r="I11" s="31" t="str"/>
      <x:c r="J11" s="28" t="str">
        <x:f>IF(I11="","OPEN",IF(H11="","FAIL","PASS"))</x:f>
        <x:v>OPEN</x:v>
      </x:c>
    </x:row>
    <x:row r="12">
      <x:c r="B12" s="28" t="str">
        <x:v>AD-PEA-A-X1-06</x:v>
      </x:c>
      <x:c r="C12" s="28" t="str">
        <x:v>PEA-A-X1</x:v>
      </x:c>
      <x:c r="D12" s="28" t="str">
        <x:v>BLD-A</x:v>
      </x:c>
      <x:c r="E12" s="28" t="str">
        <x:v>BL-X</x:v>
      </x:c>
      <x:c r="F12" s="28" t="n">
        <x:v>6</x:v>
      </x:c>
      <x:c r="G12" s="28" t="str">
        <x:v>twenty section travelers</x:v>
      </x:c>
      <x:c r="H12" s="31" t="str"/>
      <x:c r="I12" s="31" t="str"/>
      <x:c r="J12" s="28" t="str">
        <x:f>IF(I12="","OPEN",IF(H12="","FAIL","PASS"))</x:f>
        <x:v>OPEN</x:v>
      </x:c>
    </x:row>
    <x:row r="13">
      <x:c r="B13" s="28" t="str">
        <x:v>AD-PEA-A-X1-07</x:v>
      </x:c>
      <x:c r="C13" s="28" t="str">
        <x:v>PEA-A-X1</x:v>
      </x:c>
      <x:c r="D13" s="28" t="str">
        <x:v>BLD-A</x:v>
      </x:c>
      <x:c r="E13" s="28" t="str">
        <x:v>BL-X</x:v>
      </x:c>
      <x:c r="F13" s="28" t="n">
        <x:v>7</x:v>
      </x:c>
      <x:c r="G13" s="28" t="str">
        <x:v>forty adjacent coupons</x:v>
      </x:c>
      <x:c r="H13" s="31" t="str"/>
      <x:c r="I13" s="31" t="str"/>
      <x:c r="J13" s="28" t="str">
        <x:f>IF(I13="","OPEN",IF(H13="","FAIL","PASS"))</x:f>
        <x:v>OPEN</x:v>
      </x:c>
    </x:row>
    <x:row r="14">
      <x:c r="B14" s="28" t="str">
        <x:v>AD-PEA-A-X1-08</x:v>
      </x:c>
      <x:c r="C14" s="28" t="str">
        <x:v>PEA-A-X1</x:v>
      </x:c>
      <x:c r="D14" s="28" t="str">
        <x:v>BLD-A</x:v>
      </x:c>
      <x:c r="E14" s="28" t="str">
        <x:v>BL-X</x:v>
      </x:c>
      <x:c r="F14" s="28" t="n">
        <x:v>8</x:v>
      </x:c>
      <x:c r="G14" s="28" t="str">
        <x:v>twenty NDE records</x:v>
      </x:c>
      <x:c r="H14" s="31" t="str"/>
      <x:c r="I14" s="31" t="str"/>
      <x:c r="J14" s="28" t="str">
        <x:f>IF(I14="","OPEN",IF(H14="","FAIL","PASS"))</x:f>
        <x:v>OPEN</x:v>
      </x:c>
    </x:row>
    <x:row r="15">
      <x:c r="B15" s="28" t="str">
        <x:v>AD-PEA-A-X1-09</x:v>
      </x:c>
      <x:c r="C15" s="28" t="str">
        <x:v>PEA-A-X1</x:v>
      </x:c>
      <x:c r="D15" s="28" t="str">
        <x:v>BLD-A</x:v>
      </x:c>
      <x:c r="E15" s="28" t="str">
        <x:v>BL-X</x:v>
      </x:c>
      <x:c r="F15" s="28" t="n">
        <x:v>9</x:v>
      </x:c>
      <x:c r="G15" s="28" t="str">
        <x:v>five joint records</x:v>
      </x:c>
      <x:c r="H15" s="31" t="str"/>
      <x:c r="I15" s="31" t="str"/>
      <x:c r="J15" s="28" t="str">
        <x:f>IF(I15="","OPEN",IF(H15="","FAIL","PASS"))</x:f>
        <x:v>OPEN</x:v>
      </x:c>
    </x:row>
    <x:row r="16">
      <x:c r="B16" s="28" t="str">
        <x:v>AD-PEA-A-X1-10</x:v>
      </x:c>
      <x:c r="C16" s="28" t="str">
        <x:v>PEA-A-X1</x:v>
      </x:c>
      <x:c r="D16" s="28" t="str">
        <x:v>BLD-A</x:v>
      </x:c>
      <x:c r="E16" s="28" t="str">
        <x:v>BL-X</x:v>
      </x:c>
      <x:c r="F16" s="28" t="n">
        <x:v>10</x:v>
      </x:c>
      <x:c r="G16" s="28" t="str">
        <x:v>twelve final elements</x:v>
      </x:c>
      <x:c r="H16" s="31" t="str"/>
      <x:c r="I16" s="31" t="str"/>
      <x:c r="J16" s="28" t="str">
        <x:f>IF(I16="","OPEN",IF(H16="","FAIL","PASS"))</x:f>
        <x:v>OPEN</x:v>
      </x:c>
    </x:row>
    <x:row r="17">
      <x:c r="B17" s="28" t="str">
        <x:v>AD-PEA-A-X1-11</x:v>
      </x:c>
      <x:c r="C17" s="28" t="str">
        <x:v>PEA-A-X1</x:v>
      </x:c>
      <x:c r="D17" s="28" t="str">
        <x:v>BLD-A</x:v>
      </x:c>
      <x:c r="E17" s="28" t="str">
        <x:v>BL-X</x:v>
      </x:c>
      <x:c r="F17" s="28" t="n">
        <x:v>11</x:v>
      </x:c>
      <x:c r="G17" s="28" t="str">
        <x:v>144 channel identities</x:v>
      </x:c>
      <x:c r="H17" s="31" t="str"/>
      <x:c r="I17" s="31" t="str"/>
      <x:c r="J17" s="28" t="str">
        <x:f>IF(I17="","OPEN",IF(H17="","FAIL","PASS"))</x:f>
        <x:v>OPEN</x:v>
      </x:c>
    </x:row>
    <x:row r="18">
      <x:c r="B18" s="28" t="str">
        <x:v>AD-PEA-A-X1-12</x:v>
      </x:c>
      <x:c r="C18" s="28" t="str">
        <x:v>PEA-A-X1</x:v>
      </x:c>
      <x:c r="D18" s="28" t="str">
        <x:v>BLD-A</x:v>
      </x:c>
      <x:c r="E18" s="28" t="str">
        <x:v>BL-X</x:v>
      </x:c>
      <x:c r="F18" s="28" t="n">
        <x:v>12</x:v>
      </x:c>
      <x:c r="G18" s="28" t="str">
        <x:v>144 factory calibrations</x:v>
      </x:c>
      <x:c r="H18" s="31" t="str"/>
      <x:c r="I18" s="31" t="str"/>
      <x:c r="J18" s="28" t="str">
        <x:f>IF(I18="","OPEN",IF(H18="","FAIL","PASS"))</x:f>
        <x:v>OPEN</x:v>
      </x:c>
    </x:row>
    <x:row r="19">
      <x:c r="B19" s="28" t="str">
        <x:v>AD-PEA-A-X1-13</x:v>
      </x:c>
      <x:c r="C19" s="28" t="str">
        <x:v>PEA-A-X1</x:v>
      </x:c>
      <x:c r="D19" s="28" t="str">
        <x:v>BLD-A</x:v>
      </x:c>
      <x:c r="E19" s="28" t="str">
        <x:v>BL-X</x:v>
      </x:c>
      <x:c r="F19" s="28" t="n">
        <x:v>13</x:v>
      </x:c>
      <x:c r="G19" s="28" t="str">
        <x:v>internal cleanliness</x:v>
      </x:c>
      <x:c r="H19" s="31" t="str"/>
      <x:c r="I19" s="31" t="str"/>
      <x:c r="J19" s="28" t="str">
        <x:f>IF(I19="","OPEN",IF(H19="","FAIL","PASS"))</x:f>
        <x:v>OPEN</x:v>
      </x:c>
    </x:row>
    <x:row r="20">
      <x:c r="B20" s="28" t="str">
        <x:v>AD-PEA-A-X1-14</x:v>
      </x:c>
      <x:c r="C20" s="28" t="str">
        <x:v>PEA-A-X1</x:v>
      </x:c>
      <x:c r="D20" s="28" t="str">
        <x:v>BLD-A</x:v>
      </x:c>
      <x:c r="E20" s="28" t="str">
        <x:v>BL-X</x:v>
      </x:c>
      <x:c r="F20" s="28" t="n">
        <x:v>14</x:v>
      </x:c>
      <x:c r="G20" s="28" t="str">
        <x:v>static line inventory</x:v>
      </x:c>
      <x:c r="H20" s="31" t="str"/>
      <x:c r="I20" s="31" t="str"/>
      <x:c r="J20" s="28" t="str">
        <x:f>IF(I20="","OPEN",IF(H20="","FAIL","PASS"))</x:f>
        <x:v>OPEN</x:v>
      </x:c>
    </x:row>
    <x:row r="21">
      <x:c r="B21" s="28" t="str">
        <x:v>AD-PEA-A-X1-15</x:v>
      </x:c>
      <x:c r="C21" s="28" t="str">
        <x:v>PEA-A-X1</x:v>
      </x:c>
      <x:c r="D21" s="28" t="str">
        <x:v>BLD-A</x:v>
      </x:c>
      <x:c r="E21" s="28" t="str">
        <x:v>BL-X</x:v>
      </x:c>
      <x:c r="F21" s="28" t="n">
        <x:v>15</x:v>
      </x:c>
      <x:c r="G21" s="28" t="str">
        <x:v>dry safeing</x:v>
      </x:c>
      <x:c r="H21" s="31" t="str"/>
      <x:c r="I21" s="31" t="str"/>
      <x:c r="J21" s="28" t="str">
        <x:f>IF(I21="","OPEN",IF(H21="","FAIL","PASS"))</x:f>
        <x:v>OPEN</x:v>
      </x:c>
    </x:row>
    <x:row r="22">
      <x:c r="B22" s="28" t="str">
        <x:v>AD-PEA-A-X1-16</x:v>
      </x:c>
      <x:c r="C22" s="28" t="str">
        <x:v>PEA-A-X1</x:v>
      </x:c>
      <x:c r="D22" s="28" t="str">
        <x:v>BLD-A</x:v>
      </x:c>
      <x:c r="E22" s="28" t="str">
        <x:v>BL-X</x:v>
      </x:c>
      <x:c r="F22" s="28" t="n">
        <x:v>16</x:v>
      </x:c>
      <x:c r="G22" s="28" t="str">
        <x:v>lift and restraint</x:v>
      </x:c>
      <x:c r="H22" s="31" t="str"/>
      <x:c r="I22" s="31" t="str"/>
      <x:c r="J22" s="28" t="str">
        <x:f>IF(I22="","OPEN",IF(H22="","FAIL","PASS"))</x:f>
        <x:v>OPEN</x:v>
      </x:c>
    </x:row>
    <x:row r="23">
      <x:c r="B23" s="28" t="str">
        <x:v>AD-PEA-A-X1-17</x:v>
      </x:c>
      <x:c r="C23" s="28" t="str">
        <x:v>PEA-A-X1</x:v>
      </x:c>
      <x:c r="D23" s="28" t="str">
        <x:v>BLD-A</x:v>
      </x:c>
      <x:c r="E23" s="28" t="str">
        <x:v>BL-X</x:v>
      </x:c>
      <x:c r="F23" s="28" t="n">
        <x:v>17</x:v>
      </x:c>
      <x:c r="G23" s="28" t="str">
        <x:v>two evidence originals</x:v>
      </x:c>
      <x:c r="H23" s="31" t="str"/>
      <x:c r="I23" s="31" t="str"/>
      <x:c r="J23" s="28" t="str">
        <x:f>IF(I23="","OPEN",IF(H23="","FAIL","PASS"))</x:f>
        <x:v>OPEN</x:v>
      </x:c>
    </x:row>
    <x:row r="24">
      <x:c r="B24" s="28" t="str">
        <x:v>AD-PEA-A-X1-18</x:v>
      </x:c>
      <x:c r="C24" s="28" t="str">
        <x:v>PEA-A-X1</x:v>
      </x:c>
      <x:c r="D24" s="28" t="str">
        <x:v>BLD-A</x:v>
      </x:c>
      <x:c r="E24" s="28" t="str">
        <x:v>BL-X</x:v>
      </x:c>
      <x:c r="F24" s="28" t="n">
        <x:v>18</x:v>
      </x:c>
      <x:c r="G24" s="28" t="str">
        <x:v>software and firmware root</x:v>
      </x:c>
      <x:c r="H24" s="31" t="str"/>
      <x:c r="I24" s="31" t="str"/>
      <x:c r="J24" s="28" t="str">
        <x:f>IF(I24="","OPEN",IF(H24="","FAIL","PASS"))</x:f>
        <x:v>OPEN</x:v>
      </x:c>
    </x:row>
    <x:row r="25">
      <x:c r="B25" s="28" t="str">
        <x:v>AD-PEA-A-Y1-01</x:v>
      </x:c>
      <x:c r="C25" s="28" t="str">
        <x:v>PEA-A-Y1</x:v>
      </x:c>
      <x:c r="D25" s="28" t="str">
        <x:v>BLD-A</x:v>
      </x:c>
      <x:c r="E25" s="28" t="str">
        <x:v>BL-Y</x:v>
      </x:c>
      <x:c r="F25" s="28" t="n">
        <x:v>1</x:v>
      </x:c>
      <x:c r="G25" s="28" t="str">
        <x:v>bank release and locked role</x:v>
      </x:c>
      <x:c r="H25" s="31" t="str"/>
      <x:c r="I25" s="31" t="str"/>
      <x:c r="J25" s="28" t="str">
        <x:f>IF(I25="","OPEN",IF(H25="","FAIL","PASS"))</x:f>
        <x:v>OPEN</x:v>
      </x:c>
    </x:row>
    <x:row r="26">
      <x:c r="B26" s="28" t="str">
        <x:v>AD-PEA-A-Y1-02</x:v>
      </x:c>
      <x:c r="C26" s="28" t="str">
        <x:v>PEA-A-Y1</x:v>
      </x:c>
      <x:c r="D26" s="28" t="str">
        <x:v>BLD-A</x:v>
      </x:c>
      <x:c r="E26" s="28" t="str">
        <x:v>BL-Y</x:v>
      </x:c>
      <x:c r="F26" s="28" t="n">
        <x:v>2</x:v>
      </x:c>
      <x:c r="G26" s="28" t="str">
        <x:v>public custody transfer</x:v>
      </x:c>
      <x:c r="H26" s="31" t="str"/>
      <x:c r="I26" s="31" t="str"/>
      <x:c r="J26" s="28" t="str">
        <x:f>IF(I26="","OPEN",IF(H26="","FAIL","PASS"))</x:f>
        <x:v>OPEN</x:v>
      </x:c>
    </x:row>
    <x:row r="27">
      <x:c r="B27" s="28" t="str">
        <x:v>AD-PEA-A-Y1-03</x:v>
      </x:c>
      <x:c r="C27" s="28" t="str">
        <x:v>PEA-A-Y1</x:v>
      </x:c>
      <x:c r="D27" s="28" t="str">
        <x:v>BLD-A</x:v>
      </x:c>
      <x:c r="E27" s="28" t="str">
        <x:v>BL-Y</x:v>
      </x:c>
      <x:c r="F27" s="28" t="n">
        <x:v>3</x:v>
      </x:c>
      <x:c r="G27" s="28" t="str">
        <x:v>transport envelope</x:v>
      </x:c>
      <x:c r="H27" s="31" t="str"/>
      <x:c r="I27" s="31" t="str"/>
      <x:c r="J27" s="28" t="str">
        <x:f>IF(I27="","OPEN",IF(H27="","FAIL","PASS"))</x:f>
        <x:v>OPEN</x:v>
      </x:c>
    </x:row>
    <x:row r="28">
      <x:c r="B28" s="28" t="str">
        <x:v>AD-PEA-A-Y1-04</x:v>
      </x:c>
      <x:c r="C28" s="28" t="str">
        <x:v>PEA-A-Y1</x:v>
      </x:c>
      <x:c r="D28" s="28" t="str">
        <x:v>BLD-A</x:v>
      </x:c>
      <x:c r="E28" s="28" t="str">
        <x:v>BL-Y</x:v>
      </x:c>
      <x:c r="F28" s="28" t="n">
        <x:v>4</x:v>
      </x:c>
      <x:c r="G28" s="28" t="str">
        <x:v>arrival configuration</x:v>
      </x:c>
      <x:c r="H28" s="31" t="str"/>
      <x:c r="I28" s="31" t="str"/>
      <x:c r="J28" s="28" t="str">
        <x:f>IF(I28="","OPEN",IF(H28="","FAIL","PASS"))</x:f>
        <x:v>OPEN</x:v>
      </x:c>
    </x:row>
    <x:row r="29">
      <x:c r="B29" s="28" t="str">
        <x:v>AD-PEA-A-Y1-05</x:v>
      </x:c>
      <x:c r="C29" s="28" t="str">
        <x:v>PEA-A-Y1</x:v>
      </x:c>
      <x:c r="D29" s="28" t="str">
        <x:v>BLD-A</x:v>
      </x:c>
      <x:c r="E29" s="28" t="str">
        <x:v>BL-Y</x:v>
      </x:c>
      <x:c r="F29" s="28" t="n">
        <x:v>5</x:v>
      </x:c>
      <x:c r="G29" s="28" t="str">
        <x:v>material ancestry</x:v>
      </x:c>
      <x:c r="H29" s="31" t="str"/>
      <x:c r="I29" s="31" t="str"/>
      <x:c r="J29" s="28" t="str">
        <x:f>IF(I29="","OPEN",IF(H29="","FAIL","PASS"))</x:f>
        <x:v>OPEN</x:v>
      </x:c>
    </x:row>
    <x:row r="30">
      <x:c r="B30" s="28" t="str">
        <x:v>AD-PEA-A-Y1-06</x:v>
      </x:c>
      <x:c r="C30" s="28" t="str">
        <x:v>PEA-A-Y1</x:v>
      </x:c>
      <x:c r="D30" s="28" t="str">
        <x:v>BLD-A</x:v>
      </x:c>
      <x:c r="E30" s="28" t="str">
        <x:v>BL-Y</x:v>
      </x:c>
      <x:c r="F30" s="28" t="n">
        <x:v>6</x:v>
      </x:c>
      <x:c r="G30" s="28" t="str">
        <x:v>twenty section travelers</x:v>
      </x:c>
      <x:c r="H30" s="31" t="str"/>
      <x:c r="I30" s="31" t="str"/>
      <x:c r="J30" s="28" t="str">
        <x:f>IF(I30="","OPEN",IF(H30="","FAIL","PASS"))</x:f>
        <x:v>OPEN</x:v>
      </x:c>
    </x:row>
    <x:row r="31">
      <x:c r="B31" s="28" t="str">
        <x:v>AD-PEA-A-Y1-07</x:v>
      </x:c>
      <x:c r="C31" s="28" t="str">
        <x:v>PEA-A-Y1</x:v>
      </x:c>
      <x:c r="D31" s="28" t="str">
        <x:v>BLD-A</x:v>
      </x:c>
      <x:c r="E31" s="28" t="str">
        <x:v>BL-Y</x:v>
      </x:c>
      <x:c r="F31" s="28" t="n">
        <x:v>7</x:v>
      </x:c>
      <x:c r="G31" s="28" t="str">
        <x:v>forty adjacent coupons</x:v>
      </x:c>
      <x:c r="H31" s="31" t="str"/>
      <x:c r="I31" s="31" t="str"/>
      <x:c r="J31" s="28" t="str">
        <x:f>IF(I31="","OPEN",IF(H31="","FAIL","PASS"))</x:f>
        <x:v>OPEN</x:v>
      </x:c>
    </x:row>
    <x:row r="32">
      <x:c r="B32" s="28" t="str">
        <x:v>AD-PEA-A-Y1-08</x:v>
      </x:c>
      <x:c r="C32" s="28" t="str">
        <x:v>PEA-A-Y1</x:v>
      </x:c>
      <x:c r="D32" s="28" t="str">
        <x:v>BLD-A</x:v>
      </x:c>
      <x:c r="E32" s="28" t="str">
        <x:v>BL-Y</x:v>
      </x:c>
      <x:c r="F32" s="28" t="n">
        <x:v>8</x:v>
      </x:c>
      <x:c r="G32" s="28" t="str">
        <x:v>twenty NDE records</x:v>
      </x:c>
      <x:c r="H32" s="31" t="str"/>
      <x:c r="I32" s="31" t="str"/>
      <x:c r="J32" s="28" t="str">
        <x:f>IF(I32="","OPEN",IF(H32="","FAIL","PASS"))</x:f>
        <x:v>OPEN</x:v>
      </x:c>
    </x:row>
    <x:row r="33">
      <x:c r="B33" s="28" t="str">
        <x:v>AD-PEA-A-Y1-09</x:v>
      </x:c>
      <x:c r="C33" s="28" t="str">
        <x:v>PEA-A-Y1</x:v>
      </x:c>
      <x:c r="D33" s="28" t="str">
        <x:v>BLD-A</x:v>
      </x:c>
      <x:c r="E33" s="28" t="str">
        <x:v>BL-Y</x:v>
      </x:c>
      <x:c r="F33" s="28" t="n">
        <x:v>9</x:v>
      </x:c>
      <x:c r="G33" s="28" t="str">
        <x:v>five joint records</x:v>
      </x:c>
      <x:c r="H33" s="31" t="str"/>
      <x:c r="I33" s="31" t="str"/>
      <x:c r="J33" s="28" t="str">
        <x:f>IF(I33="","OPEN",IF(H33="","FAIL","PASS"))</x:f>
        <x:v>OPEN</x:v>
      </x:c>
    </x:row>
    <x:row r="34">
      <x:c r="B34" s="28" t="str">
        <x:v>AD-PEA-A-Y1-10</x:v>
      </x:c>
      <x:c r="C34" s="28" t="str">
        <x:v>PEA-A-Y1</x:v>
      </x:c>
      <x:c r="D34" s="28" t="str">
        <x:v>BLD-A</x:v>
      </x:c>
      <x:c r="E34" s="28" t="str">
        <x:v>BL-Y</x:v>
      </x:c>
      <x:c r="F34" s="28" t="n">
        <x:v>10</x:v>
      </x:c>
      <x:c r="G34" s="28" t="str">
        <x:v>twelve final elements</x:v>
      </x:c>
      <x:c r="H34" s="31" t="str"/>
      <x:c r="I34" s="31" t="str"/>
      <x:c r="J34" s="28" t="str">
        <x:f>IF(I34="","OPEN",IF(H34="","FAIL","PASS"))</x:f>
        <x:v>OPEN</x:v>
      </x:c>
    </x:row>
    <x:row r="35">
      <x:c r="B35" s="28" t="str">
        <x:v>AD-PEA-A-Y1-11</x:v>
      </x:c>
      <x:c r="C35" s="28" t="str">
        <x:v>PEA-A-Y1</x:v>
      </x:c>
      <x:c r="D35" s="28" t="str">
        <x:v>BLD-A</x:v>
      </x:c>
      <x:c r="E35" s="28" t="str">
        <x:v>BL-Y</x:v>
      </x:c>
      <x:c r="F35" s="28" t="n">
        <x:v>11</x:v>
      </x:c>
      <x:c r="G35" s="28" t="str">
        <x:v>144 channel identities</x:v>
      </x:c>
      <x:c r="H35" s="31" t="str"/>
      <x:c r="I35" s="31" t="str"/>
      <x:c r="J35" s="28" t="str">
        <x:f>IF(I35="","OPEN",IF(H35="","FAIL","PASS"))</x:f>
        <x:v>OPEN</x:v>
      </x:c>
    </x:row>
    <x:row r="36">
      <x:c r="B36" s="28" t="str">
        <x:v>AD-PEA-A-Y1-12</x:v>
      </x:c>
      <x:c r="C36" s="28" t="str">
        <x:v>PEA-A-Y1</x:v>
      </x:c>
      <x:c r="D36" s="28" t="str">
        <x:v>BLD-A</x:v>
      </x:c>
      <x:c r="E36" s="28" t="str">
        <x:v>BL-Y</x:v>
      </x:c>
      <x:c r="F36" s="28" t="n">
        <x:v>12</x:v>
      </x:c>
      <x:c r="G36" s="28" t="str">
        <x:v>144 factory calibrations</x:v>
      </x:c>
      <x:c r="H36" s="31" t="str"/>
      <x:c r="I36" s="31" t="str"/>
      <x:c r="J36" s="28" t="str">
        <x:f>IF(I36="","OPEN",IF(H36="","FAIL","PASS"))</x:f>
        <x:v>OPEN</x:v>
      </x:c>
    </x:row>
    <x:row r="37">
      <x:c r="B37" s="28" t="str">
        <x:v>AD-PEA-A-Y1-13</x:v>
      </x:c>
      <x:c r="C37" s="28" t="str">
        <x:v>PEA-A-Y1</x:v>
      </x:c>
      <x:c r="D37" s="28" t="str">
        <x:v>BLD-A</x:v>
      </x:c>
      <x:c r="E37" s="28" t="str">
        <x:v>BL-Y</x:v>
      </x:c>
      <x:c r="F37" s="28" t="n">
        <x:v>13</x:v>
      </x:c>
      <x:c r="G37" s="28" t="str">
        <x:v>internal cleanliness</x:v>
      </x:c>
      <x:c r="H37" s="31" t="str"/>
      <x:c r="I37" s="31" t="str"/>
      <x:c r="J37" s="28" t="str">
        <x:f>IF(I37="","OPEN",IF(H37="","FAIL","PASS"))</x:f>
        <x:v>OPEN</x:v>
      </x:c>
    </x:row>
    <x:row r="38">
      <x:c r="B38" s="28" t="str">
        <x:v>AD-PEA-A-Y1-14</x:v>
      </x:c>
      <x:c r="C38" s="28" t="str">
        <x:v>PEA-A-Y1</x:v>
      </x:c>
      <x:c r="D38" s="28" t="str">
        <x:v>BLD-A</x:v>
      </x:c>
      <x:c r="E38" s="28" t="str">
        <x:v>BL-Y</x:v>
      </x:c>
      <x:c r="F38" s="28" t="n">
        <x:v>14</x:v>
      </x:c>
      <x:c r="G38" s="28" t="str">
        <x:v>static line inventory</x:v>
      </x:c>
      <x:c r="H38" s="31" t="str"/>
      <x:c r="I38" s="31" t="str"/>
      <x:c r="J38" s="28" t="str">
        <x:f>IF(I38="","OPEN",IF(H38="","FAIL","PASS"))</x:f>
        <x:v>OPEN</x:v>
      </x:c>
    </x:row>
    <x:row r="39">
      <x:c r="B39" s="28" t="str">
        <x:v>AD-PEA-A-Y1-15</x:v>
      </x:c>
      <x:c r="C39" s="28" t="str">
        <x:v>PEA-A-Y1</x:v>
      </x:c>
      <x:c r="D39" s="28" t="str">
        <x:v>BLD-A</x:v>
      </x:c>
      <x:c r="E39" s="28" t="str">
        <x:v>BL-Y</x:v>
      </x:c>
      <x:c r="F39" s="28" t="n">
        <x:v>15</x:v>
      </x:c>
      <x:c r="G39" s="28" t="str">
        <x:v>dry safeing</x:v>
      </x:c>
      <x:c r="H39" s="31" t="str"/>
      <x:c r="I39" s="31" t="str"/>
      <x:c r="J39" s="28" t="str">
        <x:f>IF(I39="","OPEN",IF(H39="","FAIL","PASS"))</x:f>
        <x:v>OPEN</x:v>
      </x:c>
    </x:row>
    <x:row r="40">
      <x:c r="B40" s="28" t="str">
        <x:v>AD-PEA-A-Y1-16</x:v>
      </x:c>
      <x:c r="C40" s="28" t="str">
        <x:v>PEA-A-Y1</x:v>
      </x:c>
      <x:c r="D40" s="28" t="str">
        <x:v>BLD-A</x:v>
      </x:c>
      <x:c r="E40" s="28" t="str">
        <x:v>BL-Y</x:v>
      </x:c>
      <x:c r="F40" s="28" t="n">
        <x:v>16</x:v>
      </x:c>
      <x:c r="G40" s="28" t="str">
        <x:v>lift and restraint</x:v>
      </x:c>
      <x:c r="H40" s="31" t="str"/>
      <x:c r="I40" s="31" t="str"/>
      <x:c r="J40" s="28" t="str">
        <x:f>IF(I40="","OPEN",IF(H40="","FAIL","PASS"))</x:f>
        <x:v>OPEN</x:v>
      </x:c>
    </x:row>
    <x:row r="41">
      <x:c r="B41" s="28" t="str">
        <x:v>AD-PEA-A-Y1-17</x:v>
      </x:c>
      <x:c r="C41" s="28" t="str">
        <x:v>PEA-A-Y1</x:v>
      </x:c>
      <x:c r="D41" s="28" t="str">
        <x:v>BLD-A</x:v>
      </x:c>
      <x:c r="E41" s="28" t="str">
        <x:v>BL-Y</x:v>
      </x:c>
      <x:c r="F41" s="28" t="n">
        <x:v>17</x:v>
      </x:c>
      <x:c r="G41" s="28" t="str">
        <x:v>two evidence originals</x:v>
      </x:c>
      <x:c r="H41" s="31" t="str"/>
      <x:c r="I41" s="31" t="str"/>
      <x:c r="J41" s="28" t="str">
        <x:f>IF(I41="","OPEN",IF(H41="","FAIL","PASS"))</x:f>
        <x:v>OPEN</x:v>
      </x:c>
    </x:row>
    <x:row r="42">
      <x:c r="B42" s="28" t="str">
        <x:v>AD-PEA-A-Y1-18</x:v>
      </x:c>
      <x:c r="C42" s="28" t="str">
        <x:v>PEA-A-Y1</x:v>
      </x:c>
      <x:c r="D42" s="28" t="str">
        <x:v>BLD-A</x:v>
      </x:c>
      <x:c r="E42" s="28" t="str">
        <x:v>BL-Y</x:v>
      </x:c>
      <x:c r="F42" s="28" t="n">
        <x:v>18</x:v>
      </x:c>
      <x:c r="G42" s="28" t="str">
        <x:v>software and firmware root</x:v>
      </x:c>
      <x:c r="H42" s="31" t="str"/>
      <x:c r="I42" s="31" t="str"/>
      <x:c r="J42" s="28" t="str">
        <x:f>IF(I42="","OPEN",IF(H42="","FAIL","PASS"))</x:f>
        <x:v>OPEN</x:v>
      </x:c>
    </x:row>
    <x:row r="43">
      <x:c r="B43" s="28" t="str">
        <x:v>AD-PEA-B-X1-01</x:v>
      </x:c>
      <x:c r="C43" s="28" t="str">
        <x:v>PEA-B-X1</x:v>
      </x:c>
      <x:c r="D43" s="28" t="str">
        <x:v>BLD-B</x:v>
      </x:c>
      <x:c r="E43" s="28" t="str">
        <x:v>BL-X</x:v>
      </x:c>
      <x:c r="F43" s="28" t="n">
        <x:v>1</x:v>
      </x:c>
      <x:c r="G43" s="28" t="str">
        <x:v>bank release and locked role</x:v>
      </x:c>
      <x:c r="H43" s="31" t="str"/>
      <x:c r="I43" s="31" t="str"/>
      <x:c r="J43" s="28" t="str">
        <x:f>IF(I43="","OPEN",IF(H43="","FAIL","PASS"))</x:f>
        <x:v>OPEN</x:v>
      </x:c>
    </x:row>
    <x:row r="44">
      <x:c r="B44" s="28" t="str">
        <x:v>AD-PEA-B-X1-02</x:v>
      </x:c>
      <x:c r="C44" s="28" t="str">
        <x:v>PEA-B-X1</x:v>
      </x:c>
      <x:c r="D44" s="28" t="str">
        <x:v>BLD-B</x:v>
      </x:c>
      <x:c r="E44" s="28" t="str">
        <x:v>BL-X</x:v>
      </x:c>
      <x:c r="F44" s="28" t="n">
        <x:v>2</x:v>
      </x:c>
      <x:c r="G44" s="28" t="str">
        <x:v>public custody transfer</x:v>
      </x:c>
      <x:c r="H44" s="31" t="str"/>
      <x:c r="I44" s="31" t="str"/>
      <x:c r="J44" s="28" t="str">
        <x:f>IF(I44="","OPEN",IF(H44="","FAIL","PASS"))</x:f>
        <x:v>OPEN</x:v>
      </x:c>
    </x:row>
    <x:row r="45">
      <x:c r="B45" s="28" t="str">
        <x:v>AD-PEA-B-X1-03</x:v>
      </x:c>
      <x:c r="C45" s="28" t="str">
        <x:v>PEA-B-X1</x:v>
      </x:c>
      <x:c r="D45" s="28" t="str">
        <x:v>BLD-B</x:v>
      </x:c>
      <x:c r="E45" s="28" t="str">
        <x:v>BL-X</x:v>
      </x:c>
      <x:c r="F45" s="28" t="n">
        <x:v>3</x:v>
      </x:c>
      <x:c r="G45" s="28" t="str">
        <x:v>transport envelope</x:v>
      </x:c>
      <x:c r="H45" s="31" t="str"/>
      <x:c r="I45" s="31" t="str"/>
      <x:c r="J45" s="28" t="str">
        <x:f>IF(I45="","OPEN",IF(H45="","FAIL","PASS"))</x:f>
        <x:v>OPEN</x:v>
      </x:c>
    </x:row>
    <x:row r="46">
      <x:c r="B46" s="28" t="str">
        <x:v>AD-PEA-B-X1-04</x:v>
      </x:c>
      <x:c r="C46" s="28" t="str">
        <x:v>PEA-B-X1</x:v>
      </x:c>
      <x:c r="D46" s="28" t="str">
        <x:v>BLD-B</x:v>
      </x:c>
      <x:c r="E46" s="28" t="str">
        <x:v>BL-X</x:v>
      </x:c>
      <x:c r="F46" s="28" t="n">
        <x:v>4</x:v>
      </x:c>
      <x:c r="G46" s="28" t="str">
        <x:v>arrival configuration</x:v>
      </x:c>
      <x:c r="H46" s="31" t="str"/>
      <x:c r="I46" s="31" t="str"/>
      <x:c r="J46" s="28" t="str">
        <x:f>IF(I46="","OPEN",IF(H46="","FAIL","PASS"))</x:f>
        <x:v>OPEN</x:v>
      </x:c>
    </x:row>
    <x:row r="47">
      <x:c r="B47" s="28" t="str">
        <x:v>AD-PEA-B-X1-05</x:v>
      </x:c>
      <x:c r="C47" s="28" t="str">
        <x:v>PEA-B-X1</x:v>
      </x:c>
      <x:c r="D47" s="28" t="str">
        <x:v>BLD-B</x:v>
      </x:c>
      <x:c r="E47" s="28" t="str">
        <x:v>BL-X</x:v>
      </x:c>
      <x:c r="F47" s="28" t="n">
        <x:v>5</x:v>
      </x:c>
      <x:c r="G47" s="28" t="str">
        <x:v>material ancestry</x:v>
      </x:c>
      <x:c r="H47" s="31" t="str"/>
      <x:c r="I47" s="31" t="str"/>
      <x:c r="J47" s="28" t="str">
        <x:f>IF(I47="","OPEN",IF(H47="","FAIL","PASS"))</x:f>
        <x:v>OPEN</x:v>
      </x:c>
    </x:row>
    <x:row r="48">
      <x:c r="B48" s="28" t="str">
        <x:v>AD-PEA-B-X1-06</x:v>
      </x:c>
      <x:c r="C48" s="28" t="str">
        <x:v>PEA-B-X1</x:v>
      </x:c>
      <x:c r="D48" s="28" t="str">
        <x:v>BLD-B</x:v>
      </x:c>
      <x:c r="E48" s="28" t="str">
        <x:v>BL-X</x:v>
      </x:c>
      <x:c r="F48" s="28" t="n">
        <x:v>6</x:v>
      </x:c>
      <x:c r="G48" s="28" t="str">
        <x:v>twenty section travelers</x:v>
      </x:c>
      <x:c r="H48" s="31" t="str"/>
      <x:c r="I48" s="31" t="str"/>
      <x:c r="J48" s="28" t="str">
        <x:f>IF(I48="","OPEN",IF(H48="","FAIL","PASS"))</x:f>
        <x:v>OPEN</x:v>
      </x:c>
    </x:row>
    <x:row r="49">
      <x:c r="B49" s="28" t="str">
        <x:v>AD-PEA-B-X1-07</x:v>
      </x:c>
      <x:c r="C49" s="28" t="str">
        <x:v>PEA-B-X1</x:v>
      </x:c>
      <x:c r="D49" s="28" t="str">
        <x:v>BLD-B</x:v>
      </x:c>
      <x:c r="E49" s="28" t="str">
        <x:v>BL-X</x:v>
      </x:c>
      <x:c r="F49" s="28" t="n">
        <x:v>7</x:v>
      </x:c>
      <x:c r="G49" s="28" t="str">
        <x:v>forty adjacent coupons</x:v>
      </x:c>
      <x:c r="H49" s="31" t="str"/>
      <x:c r="I49" s="31" t="str"/>
      <x:c r="J49" s="28" t="str">
        <x:f>IF(I49="","OPEN",IF(H49="","FAIL","PASS"))</x:f>
        <x:v>OPEN</x:v>
      </x:c>
    </x:row>
    <x:row r="50">
      <x:c r="B50" s="28" t="str">
        <x:v>AD-PEA-B-X1-08</x:v>
      </x:c>
      <x:c r="C50" s="28" t="str">
        <x:v>PEA-B-X1</x:v>
      </x:c>
      <x:c r="D50" s="28" t="str">
        <x:v>BLD-B</x:v>
      </x:c>
      <x:c r="E50" s="28" t="str">
        <x:v>BL-X</x:v>
      </x:c>
      <x:c r="F50" s="28" t="n">
        <x:v>8</x:v>
      </x:c>
      <x:c r="G50" s="28" t="str">
        <x:v>twenty NDE records</x:v>
      </x:c>
      <x:c r="H50" s="31" t="str"/>
      <x:c r="I50" s="31" t="str"/>
      <x:c r="J50" s="28" t="str">
        <x:f>IF(I50="","OPEN",IF(H50="","FAIL","PASS"))</x:f>
        <x:v>OPEN</x:v>
      </x:c>
    </x:row>
    <x:row r="51">
      <x:c r="B51" s="28" t="str">
        <x:v>AD-PEA-B-X1-09</x:v>
      </x:c>
      <x:c r="C51" s="28" t="str">
        <x:v>PEA-B-X1</x:v>
      </x:c>
      <x:c r="D51" s="28" t="str">
        <x:v>BLD-B</x:v>
      </x:c>
      <x:c r="E51" s="28" t="str">
        <x:v>BL-X</x:v>
      </x:c>
      <x:c r="F51" s="28" t="n">
        <x:v>9</x:v>
      </x:c>
      <x:c r="G51" s="28" t="str">
        <x:v>five joint records</x:v>
      </x:c>
      <x:c r="H51" s="31" t="str"/>
      <x:c r="I51" s="31" t="str"/>
      <x:c r="J51" s="28" t="str">
        <x:f>IF(I51="","OPEN",IF(H51="","FAIL","PASS"))</x:f>
        <x:v>OPEN</x:v>
      </x:c>
    </x:row>
    <x:row r="52">
      <x:c r="B52" s="28" t="str">
        <x:v>AD-PEA-B-X1-10</x:v>
      </x:c>
      <x:c r="C52" s="28" t="str">
        <x:v>PEA-B-X1</x:v>
      </x:c>
      <x:c r="D52" s="28" t="str">
        <x:v>BLD-B</x:v>
      </x:c>
      <x:c r="E52" s="28" t="str">
        <x:v>BL-X</x:v>
      </x:c>
      <x:c r="F52" s="28" t="n">
        <x:v>10</x:v>
      </x:c>
      <x:c r="G52" s="28" t="str">
        <x:v>twelve final elements</x:v>
      </x:c>
      <x:c r="H52" s="31" t="str"/>
      <x:c r="I52" s="31" t="str"/>
      <x:c r="J52" s="28" t="str">
        <x:f>IF(I52="","OPEN",IF(H52="","FAIL","PASS"))</x:f>
        <x:v>OPEN</x:v>
      </x:c>
    </x:row>
    <x:row r="53">
      <x:c r="B53" s="28" t="str">
        <x:v>AD-PEA-B-X1-11</x:v>
      </x:c>
      <x:c r="C53" s="28" t="str">
        <x:v>PEA-B-X1</x:v>
      </x:c>
      <x:c r="D53" s="28" t="str">
        <x:v>BLD-B</x:v>
      </x:c>
      <x:c r="E53" s="28" t="str">
        <x:v>BL-X</x:v>
      </x:c>
      <x:c r="F53" s="28" t="n">
        <x:v>11</x:v>
      </x:c>
      <x:c r="G53" s="28" t="str">
        <x:v>144 channel identities</x:v>
      </x:c>
      <x:c r="H53" s="31" t="str"/>
      <x:c r="I53" s="31" t="str"/>
      <x:c r="J53" s="28" t="str">
        <x:f>IF(I53="","OPEN",IF(H53="","FAIL","PASS"))</x:f>
        <x:v>OPEN</x:v>
      </x:c>
    </x:row>
    <x:row r="54">
      <x:c r="B54" s="28" t="str">
        <x:v>AD-PEA-B-X1-12</x:v>
      </x:c>
      <x:c r="C54" s="28" t="str">
        <x:v>PEA-B-X1</x:v>
      </x:c>
      <x:c r="D54" s="28" t="str">
        <x:v>BLD-B</x:v>
      </x:c>
      <x:c r="E54" s="28" t="str">
        <x:v>BL-X</x:v>
      </x:c>
      <x:c r="F54" s="28" t="n">
        <x:v>12</x:v>
      </x:c>
      <x:c r="G54" s="28" t="str">
        <x:v>144 factory calibrations</x:v>
      </x:c>
      <x:c r="H54" s="31" t="str"/>
      <x:c r="I54" s="31" t="str"/>
      <x:c r="J54" s="28" t="str">
        <x:f>IF(I54="","OPEN",IF(H54="","FAIL","PASS"))</x:f>
        <x:v>OPEN</x:v>
      </x:c>
    </x:row>
    <x:row r="55">
      <x:c r="B55" s="28" t="str">
        <x:v>AD-PEA-B-X1-13</x:v>
      </x:c>
      <x:c r="C55" s="28" t="str">
        <x:v>PEA-B-X1</x:v>
      </x:c>
      <x:c r="D55" s="28" t="str">
        <x:v>BLD-B</x:v>
      </x:c>
      <x:c r="E55" s="28" t="str">
        <x:v>BL-X</x:v>
      </x:c>
      <x:c r="F55" s="28" t="n">
        <x:v>13</x:v>
      </x:c>
      <x:c r="G55" s="28" t="str">
        <x:v>internal cleanliness</x:v>
      </x:c>
      <x:c r="H55" s="31" t="str"/>
      <x:c r="I55" s="31" t="str"/>
      <x:c r="J55" s="28" t="str">
        <x:f>IF(I55="","OPEN",IF(H55="","FAIL","PASS"))</x:f>
        <x:v>OPEN</x:v>
      </x:c>
    </x:row>
    <x:row r="56">
      <x:c r="B56" s="28" t="str">
        <x:v>AD-PEA-B-X1-14</x:v>
      </x:c>
      <x:c r="C56" s="28" t="str">
        <x:v>PEA-B-X1</x:v>
      </x:c>
      <x:c r="D56" s="28" t="str">
        <x:v>BLD-B</x:v>
      </x:c>
      <x:c r="E56" s="28" t="str">
        <x:v>BL-X</x:v>
      </x:c>
      <x:c r="F56" s="28" t="n">
        <x:v>14</x:v>
      </x:c>
      <x:c r="G56" s="28" t="str">
        <x:v>static line inventory</x:v>
      </x:c>
      <x:c r="H56" s="31" t="str"/>
      <x:c r="I56" s="31" t="str"/>
      <x:c r="J56" s="28" t="str">
        <x:f>IF(I56="","OPEN",IF(H56="","FAIL","PASS"))</x:f>
        <x:v>OPEN</x:v>
      </x:c>
    </x:row>
    <x:row r="57">
      <x:c r="B57" s="28" t="str">
        <x:v>AD-PEA-B-X1-15</x:v>
      </x:c>
      <x:c r="C57" s="28" t="str">
        <x:v>PEA-B-X1</x:v>
      </x:c>
      <x:c r="D57" s="28" t="str">
        <x:v>BLD-B</x:v>
      </x:c>
      <x:c r="E57" s="28" t="str">
        <x:v>BL-X</x:v>
      </x:c>
      <x:c r="F57" s="28" t="n">
        <x:v>15</x:v>
      </x:c>
      <x:c r="G57" s="28" t="str">
        <x:v>dry safeing</x:v>
      </x:c>
      <x:c r="H57" s="31" t="str"/>
      <x:c r="I57" s="31" t="str"/>
      <x:c r="J57" s="28" t="str">
        <x:f>IF(I57="","OPEN",IF(H57="","FAIL","PASS"))</x:f>
        <x:v>OPEN</x:v>
      </x:c>
    </x:row>
    <x:row r="58">
      <x:c r="B58" s="28" t="str">
        <x:v>AD-PEA-B-X1-16</x:v>
      </x:c>
      <x:c r="C58" s="28" t="str">
        <x:v>PEA-B-X1</x:v>
      </x:c>
      <x:c r="D58" s="28" t="str">
        <x:v>BLD-B</x:v>
      </x:c>
      <x:c r="E58" s="28" t="str">
        <x:v>BL-X</x:v>
      </x:c>
      <x:c r="F58" s="28" t="n">
        <x:v>16</x:v>
      </x:c>
      <x:c r="G58" s="28" t="str">
        <x:v>lift and restraint</x:v>
      </x:c>
      <x:c r="H58" s="31" t="str"/>
      <x:c r="I58" s="31" t="str"/>
      <x:c r="J58" s="28" t="str">
        <x:f>IF(I58="","OPEN",IF(H58="","FAIL","PASS"))</x:f>
        <x:v>OPEN</x:v>
      </x:c>
    </x:row>
    <x:row r="59">
      <x:c r="B59" s="28" t="str">
        <x:v>AD-PEA-B-X1-17</x:v>
      </x:c>
      <x:c r="C59" s="28" t="str">
        <x:v>PEA-B-X1</x:v>
      </x:c>
      <x:c r="D59" s="28" t="str">
        <x:v>BLD-B</x:v>
      </x:c>
      <x:c r="E59" s="28" t="str">
        <x:v>BL-X</x:v>
      </x:c>
      <x:c r="F59" s="28" t="n">
        <x:v>17</x:v>
      </x:c>
      <x:c r="G59" s="28" t="str">
        <x:v>two evidence originals</x:v>
      </x:c>
      <x:c r="H59" s="31" t="str"/>
      <x:c r="I59" s="31" t="str"/>
      <x:c r="J59" s="28" t="str">
        <x:f>IF(I59="","OPEN",IF(H59="","FAIL","PASS"))</x:f>
        <x:v>OPEN</x:v>
      </x:c>
    </x:row>
    <x:row r="60">
      <x:c r="B60" s="28" t="str">
        <x:v>AD-PEA-B-X1-18</x:v>
      </x:c>
      <x:c r="C60" s="28" t="str">
        <x:v>PEA-B-X1</x:v>
      </x:c>
      <x:c r="D60" s="28" t="str">
        <x:v>BLD-B</x:v>
      </x:c>
      <x:c r="E60" s="28" t="str">
        <x:v>BL-X</x:v>
      </x:c>
      <x:c r="F60" s="28" t="n">
        <x:v>18</x:v>
      </x:c>
      <x:c r="G60" s="28" t="str">
        <x:v>software and firmware root</x:v>
      </x:c>
      <x:c r="H60" s="31" t="str"/>
      <x:c r="I60" s="31" t="str"/>
      <x:c r="J60" s="28" t="str">
        <x:f>IF(I60="","OPEN",IF(H60="","FAIL","PASS"))</x:f>
        <x:v>OPEN</x:v>
      </x:c>
    </x:row>
    <x:row r="61">
      <x:c r="B61" s="28" t="str">
        <x:v>AD-PEA-B-Y1-01</x:v>
      </x:c>
      <x:c r="C61" s="28" t="str">
        <x:v>PEA-B-Y1</x:v>
      </x:c>
      <x:c r="D61" s="28" t="str">
        <x:v>BLD-B</x:v>
      </x:c>
      <x:c r="E61" s="28" t="str">
        <x:v>BL-Y</x:v>
      </x:c>
      <x:c r="F61" s="28" t="n">
        <x:v>1</x:v>
      </x:c>
      <x:c r="G61" s="28" t="str">
        <x:v>bank release and locked role</x:v>
      </x:c>
      <x:c r="H61" s="31" t="str"/>
      <x:c r="I61" s="31" t="str"/>
      <x:c r="J61" s="28" t="str">
        <x:f>IF(I61="","OPEN",IF(H61="","FAIL","PASS"))</x:f>
        <x:v>OPEN</x:v>
      </x:c>
    </x:row>
    <x:row r="62">
      <x:c r="B62" s="28" t="str">
        <x:v>AD-PEA-B-Y1-02</x:v>
      </x:c>
      <x:c r="C62" s="28" t="str">
        <x:v>PEA-B-Y1</x:v>
      </x:c>
      <x:c r="D62" s="28" t="str">
        <x:v>BLD-B</x:v>
      </x:c>
      <x:c r="E62" s="28" t="str">
        <x:v>BL-Y</x:v>
      </x:c>
      <x:c r="F62" s="28" t="n">
        <x:v>2</x:v>
      </x:c>
      <x:c r="G62" s="28" t="str">
        <x:v>public custody transfer</x:v>
      </x:c>
      <x:c r="H62" s="31" t="str"/>
      <x:c r="I62" s="31" t="str"/>
      <x:c r="J62" s="28" t="str">
        <x:f>IF(I62="","OPEN",IF(H62="","FAIL","PASS"))</x:f>
        <x:v>OPEN</x:v>
      </x:c>
    </x:row>
    <x:row r="63">
      <x:c r="B63" s="28" t="str">
        <x:v>AD-PEA-B-Y1-03</x:v>
      </x:c>
      <x:c r="C63" s="28" t="str">
        <x:v>PEA-B-Y1</x:v>
      </x:c>
      <x:c r="D63" s="28" t="str">
        <x:v>BLD-B</x:v>
      </x:c>
      <x:c r="E63" s="28" t="str">
        <x:v>BL-Y</x:v>
      </x:c>
      <x:c r="F63" s="28" t="n">
        <x:v>3</x:v>
      </x:c>
      <x:c r="G63" s="28" t="str">
        <x:v>transport envelope</x:v>
      </x:c>
      <x:c r="H63" s="31" t="str"/>
      <x:c r="I63" s="31" t="str"/>
      <x:c r="J63" s="28" t="str">
        <x:f>IF(I63="","OPEN",IF(H63="","FAIL","PASS"))</x:f>
        <x:v>OPEN</x:v>
      </x:c>
    </x:row>
    <x:row r="64">
      <x:c r="B64" s="28" t="str">
        <x:v>AD-PEA-B-Y1-04</x:v>
      </x:c>
      <x:c r="C64" s="28" t="str">
        <x:v>PEA-B-Y1</x:v>
      </x:c>
      <x:c r="D64" s="28" t="str">
        <x:v>BLD-B</x:v>
      </x:c>
      <x:c r="E64" s="28" t="str">
        <x:v>BL-Y</x:v>
      </x:c>
      <x:c r="F64" s="28" t="n">
        <x:v>4</x:v>
      </x:c>
      <x:c r="G64" s="28" t="str">
        <x:v>arrival configuration</x:v>
      </x:c>
      <x:c r="H64" s="31" t="str"/>
      <x:c r="I64" s="31" t="str"/>
      <x:c r="J64" s="28" t="str">
        <x:f>IF(I64="","OPEN",IF(H64="","FAIL","PASS"))</x:f>
        <x:v>OPEN</x:v>
      </x:c>
    </x:row>
    <x:row r="65">
      <x:c r="B65" s="28" t="str">
        <x:v>AD-PEA-B-Y1-05</x:v>
      </x:c>
      <x:c r="C65" s="28" t="str">
        <x:v>PEA-B-Y1</x:v>
      </x:c>
      <x:c r="D65" s="28" t="str">
        <x:v>BLD-B</x:v>
      </x:c>
      <x:c r="E65" s="28" t="str">
        <x:v>BL-Y</x:v>
      </x:c>
      <x:c r="F65" s="28" t="n">
        <x:v>5</x:v>
      </x:c>
      <x:c r="G65" s="28" t="str">
        <x:v>material ancestry</x:v>
      </x:c>
      <x:c r="H65" s="31" t="str"/>
      <x:c r="I65" s="31" t="str"/>
      <x:c r="J65" s="28" t="str">
        <x:f>IF(I65="","OPEN",IF(H65="","FAIL","PASS"))</x:f>
        <x:v>OPEN</x:v>
      </x:c>
    </x:row>
    <x:row r="66">
      <x:c r="B66" s="28" t="str">
        <x:v>AD-PEA-B-Y1-06</x:v>
      </x:c>
      <x:c r="C66" s="28" t="str">
        <x:v>PEA-B-Y1</x:v>
      </x:c>
      <x:c r="D66" s="28" t="str">
        <x:v>BLD-B</x:v>
      </x:c>
      <x:c r="E66" s="28" t="str">
        <x:v>BL-Y</x:v>
      </x:c>
      <x:c r="F66" s="28" t="n">
        <x:v>6</x:v>
      </x:c>
      <x:c r="G66" s="28" t="str">
        <x:v>twenty section travelers</x:v>
      </x:c>
      <x:c r="H66" s="31" t="str"/>
      <x:c r="I66" s="31" t="str"/>
      <x:c r="J66" s="28" t="str">
        <x:f>IF(I66="","OPEN",IF(H66="","FAIL","PASS"))</x:f>
        <x:v>OPEN</x:v>
      </x:c>
    </x:row>
    <x:row r="67">
      <x:c r="B67" s="28" t="str">
        <x:v>AD-PEA-B-Y1-07</x:v>
      </x:c>
      <x:c r="C67" s="28" t="str">
        <x:v>PEA-B-Y1</x:v>
      </x:c>
      <x:c r="D67" s="28" t="str">
        <x:v>BLD-B</x:v>
      </x:c>
      <x:c r="E67" s="28" t="str">
        <x:v>BL-Y</x:v>
      </x:c>
      <x:c r="F67" s="28" t="n">
        <x:v>7</x:v>
      </x:c>
      <x:c r="G67" s="28" t="str">
        <x:v>forty adjacent coupons</x:v>
      </x:c>
      <x:c r="H67" s="31" t="str"/>
      <x:c r="I67" s="31" t="str"/>
      <x:c r="J67" s="28" t="str">
        <x:f>IF(I67="","OPEN",IF(H67="","FAIL","PASS"))</x:f>
        <x:v>OPEN</x:v>
      </x:c>
    </x:row>
    <x:row r="68">
      <x:c r="B68" s="28" t="str">
        <x:v>AD-PEA-B-Y1-08</x:v>
      </x:c>
      <x:c r="C68" s="28" t="str">
        <x:v>PEA-B-Y1</x:v>
      </x:c>
      <x:c r="D68" s="28" t="str">
        <x:v>BLD-B</x:v>
      </x:c>
      <x:c r="E68" s="28" t="str">
        <x:v>BL-Y</x:v>
      </x:c>
      <x:c r="F68" s="28" t="n">
        <x:v>8</x:v>
      </x:c>
      <x:c r="G68" s="28" t="str">
        <x:v>twenty NDE records</x:v>
      </x:c>
      <x:c r="H68" s="31" t="str"/>
      <x:c r="I68" s="31" t="str"/>
      <x:c r="J68" s="28" t="str">
        <x:f>IF(I68="","OPEN",IF(H68="","FAIL","PASS"))</x:f>
        <x:v>OPEN</x:v>
      </x:c>
    </x:row>
    <x:row r="69">
      <x:c r="B69" s="28" t="str">
        <x:v>AD-PEA-B-Y1-09</x:v>
      </x:c>
      <x:c r="C69" s="28" t="str">
        <x:v>PEA-B-Y1</x:v>
      </x:c>
      <x:c r="D69" s="28" t="str">
        <x:v>BLD-B</x:v>
      </x:c>
      <x:c r="E69" s="28" t="str">
        <x:v>BL-Y</x:v>
      </x:c>
      <x:c r="F69" s="28" t="n">
        <x:v>9</x:v>
      </x:c>
      <x:c r="G69" s="28" t="str">
        <x:v>five joint records</x:v>
      </x:c>
      <x:c r="H69" s="31" t="str"/>
      <x:c r="I69" s="31" t="str"/>
      <x:c r="J69" s="28" t="str">
        <x:f>IF(I69="","OPEN",IF(H69="","FAIL","PASS"))</x:f>
        <x:v>OPEN</x:v>
      </x:c>
    </x:row>
    <x:row r="70">
      <x:c r="B70" s="28" t="str">
        <x:v>AD-PEA-B-Y1-10</x:v>
      </x:c>
      <x:c r="C70" s="28" t="str">
        <x:v>PEA-B-Y1</x:v>
      </x:c>
      <x:c r="D70" s="28" t="str">
        <x:v>BLD-B</x:v>
      </x:c>
      <x:c r="E70" s="28" t="str">
        <x:v>BL-Y</x:v>
      </x:c>
      <x:c r="F70" s="28" t="n">
        <x:v>10</x:v>
      </x:c>
      <x:c r="G70" s="28" t="str">
        <x:v>twelve final elements</x:v>
      </x:c>
      <x:c r="H70" s="31" t="str"/>
      <x:c r="I70" s="31" t="str"/>
      <x:c r="J70" s="28" t="str">
        <x:f>IF(I70="","OPEN",IF(H70="","FAIL","PASS"))</x:f>
        <x:v>OPEN</x:v>
      </x:c>
    </x:row>
    <x:row r="71">
      <x:c r="B71" s="28" t="str">
        <x:v>AD-PEA-B-Y1-11</x:v>
      </x:c>
      <x:c r="C71" s="28" t="str">
        <x:v>PEA-B-Y1</x:v>
      </x:c>
      <x:c r="D71" s="28" t="str">
        <x:v>BLD-B</x:v>
      </x:c>
      <x:c r="E71" s="28" t="str">
        <x:v>BL-Y</x:v>
      </x:c>
      <x:c r="F71" s="28" t="n">
        <x:v>11</x:v>
      </x:c>
      <x:c r="G71" s="28" t="str">
        <x:v>144 channel identities</x:v>
      </x:c>
      <x:c r="H71" s="31" t="str"/>
      <x:c r="I71" s="31" t="str"/>
      <x:c r="J71" s="28" t="str">
        <x:f>IF(I71="","OPEN",IF(H71="","FAIL","PASS"))</x:f>
        <x:v>OPEN</x:v>
      </x:c>
    </x:row>
    <x:row r="72">
      <x:c r="B72" s="28" t="str">
        <x:v>AD-PEA-B-Y1-12</x:v>
      </x:c>
      <x:c r="C72" s="28" t="str">
        <x:v>PEA-B-Y1</x:v>
      </x:c>
      <x:c r="D72" s="28" t="str">
        <x:v>BLD-B</x:v>
      </x:c>
      <x:c r="E72" s="28" t="str">
        <x:v>BL-Y</x:v>
      </x:c>
      <x:c r="F72" s="28" t="n">
        <x:v>12</x:v>
      </x:c>
      <x:c r="G72" s="28" t="str">
        <x:v>144 factory calibrations</x:v>
      </x:c>
      <x:c r="H72" s="31" t="str"/>
      <x:c r="I72" s="31" t="str"/>
      <x:c r="J72" s="28" t="str">
        <x:f>IF(I72="","OPEN",IF(H72="","FAIL","PASS"))</x:f>
        <x:v>OPEN</x:v>
      </x:c>
    </x:row>
    <x:row r="73">
      <x:c r="B73" s="28" t="str">
        <x:v>AD-PEA-B-Y1-13</x:v>
      </x:c>
      <x:c r="C73" s="28" t="str">
        <x:v>PEA-B-Y1</x:v>
      </x:c>
      <x:c r="D73" s="28" t="str">
        <x:v>BLD-B</x:v>
      </x:c>
      <x:c r="E73" s="28" t="str">
        <x:v>BL-Y</x:v>
      </x:c>
      <x:c r="F73" s="28" t="n">
        <x:v>13</x:v>
      </x:c>
      <x:c r="G73" s="28" t="str">
        <x:v>internal cleanliness</x:v>
      </x:c>
      <x:c r="H73" s="31" t="str"/>
      <x:c r="I73" s="31" t="str"/>
      <x:c r="J73" s="28" t="str">
        <x:f>IF(I73="","OPEN",IF(H73="","FAIL","PASS"))</x:f>
        <x:v>OPEN</x:v>
      </x:c>
    </x:row>
    <x:row r="74">
      <x:c r="B74" s="28" t="str">
        <x:v>AD-PEA-B-Y1-14</x:v>
      </x:c>
      <x:c r="C74" s="28" t="str">
        <x:v>PEA-B-Y1</x:v>
      </x:c>
      <x:c r="D74" s="28" t="str">
        <x:v>BLD-B</x:v>
      </x:c>
      <x:c r="E74" s="28" t="str">
        <x:v>BL-Y</x:v>
      </x:c>
      <x:c r="F74" s="28" t="n">
        <x:v>14</x:v>
      </x:c>
      <x:c r="G74" s="28" t="str">
        <x:v>static line inventory</x:v>
      </x:c>
      <x:c r="H74" s="31" t="str"/>
      <x:c r="I74" s="31" t="str"/>
      <x:c r="J74" s="28" t="str">
        <x:f>IF(I74="","OPEN",IF(H74="","FAIL","PASS"))</x:f>
        <x:v>OPEN</x:v>
      </x:c>
    </x:row>
    <x:row r="75">
      <x:c r="B75" s="28" t="str">
        <x:v>AD-PEA-B-Y1-15</x:v>
      </x:c>
      <x:c r="C75" s="28" t="str">
        <x:v>PEA-B-Y1</x:v>
      </x:c>
      <x:c r="D75" s="28" t="str">
        <x:v>BLD-B</x:v>
      </x:c>
      <x:c r="E75" s="28" t="str">
        <x:v>BL-Y</x:v>
      </x:c>
      <x:c r="F75" s="28" t="n">
        <x:v>15</x:v>
      </x:c>
      <x:c r="G75" s="28" t="str">
        <x:v>dry safeing</x:v>
      </x:c>
      <x:c r="H75" s="31" t="str"/>
      <x:c r="I75" s="31" t="str"/>
      <x:c r="J75" s="28" t="str">
        <x:f>IF(I75="","OPEN",IF(H75="","FAIL","PASS"))</x:f>
        <x:v>OPEN</x:v>
      </x:c>
    </x:row>
    <x:row r="76">
      <x:c r="B76" s="28" t="str">
        <x:v>AD-PEA-B-Y1-16</x:v>
      </x:c>
      <x:c r="C76" s="28" t="str">
        <x:v>PEA-B-Y1</x:v>
      </x:c>
      <x:c r="D76" s="28" t="str">
        <x:v>BLD-B</x:v>
      </x:c>
      <x:c r="E76" s="28" t="str">
        <x:v>BL-Y</x:v>
      </x:c>
      <x:c r="F76" s="28" t="n">
        <x:v>16</x:v>
      </x:c>
      <x:c r="G76" s="28" t="str">
        <x:v>lift and restraint</x:v>
      </x:c>
      <x:c r="H76" s="31" t="str"/>
      <x:c r="I76" s="31" t="str"/>
      <x:c r="J76" s="28" t="str">
        <x:f>IF(I76="","OPEN",IF(H76="","FAIL","PASS"))</x:f>
        <x:v>OPEN</x:v>
      </x:c>
    </x:row>
    <x:row r="77">
      <x:c r="B77" s="28" t="str">
        <x:v>AD-PEA-B-Y1-17</x:v>
      </x:c>
      <x:c r="C77" s="28" t="str">
        <x:v>PEA-B-Y1</x:v>
      </x:c>
      <x:c r="D77" s="28" t="str">
        <x:v>BLD-B</x:v>
      </x:c>
      <x:c r="E77" s="28" t="str">
        <x:v>BL-Y</x:v>
      </x:c>
      <x:c r="F77" s="28" t="n">
        <x:v>17</x:v>
      </x:c>
      <x:c r="G77" s="28" t="str">
        <x:v>two evidence originals</x:v>
      </x:c>
      <x:c r="H77" s="31" t="str"/>
      <x:c r="I77" s="31" t="str"/>
      <x:c r="J77" s="28" t="str">
        <x:f>IF(I77="","OPEN",IF(H77="","FAIL","PASS"))</x:f>
        <x:v>OPEN</x:v>
      </x:c>
    </x:row>
    <x:row r="78">
      <x:c r="B78" s="28" t="str">
        <x:v>AD-PEA-B-Y1-18</x:v>
      </x:c>
      <x:c r="C78" s="28" t="str">
        <x:v>PEA-B-Y1</x:v>
      </x:c>
      <x:c r="D78" s="28" t="str">
        <x:v>BLD-B</x:v>
      </x:c>
      <x:c r="E78" s="28" t="str">
        <x:v>BL-Y</x:v>
      </x:c>
      <x:c r="F78" s="28" t="n">
        <x:v>18</x:v>
      </x:c>
      <x:c r="G78" s="28" t="str">
        <x:v>software and firmware root</x:v>
      </x:c>
      <x:c r="H78" s="31" t="str"/>
      <x:c r="I78" s="31" t="str"/>
      <x:c r="J78" s="28" t="str">
        <x:f>IF(I78="","OPEN",IF(H78="","FAIL","PASS"))</x:f>
        <x:v>OPEN</x:v>
      </x:c>
    </x:row>
    <x:row r="79">
      <x:c r="B79" s="28" t="str">
        <x:v>AD-PEA-C-X1-01</x:v>
      </x:c>
      <x:c r="C79" s="28" t="str">
        <x:v>PEA-C-X1</x:v>
      </x:c>
      <x:c r="D79" s="28" t="str">
        <x:v>BLD-C</x:v>
      </x:c>
      <x:c r="E79" s="28" t="str">
        <x:v>BL-X</x:v>
      </x:c>
      <x:c r="F79" s="28" t="n">
        <x:v>1</x:v>
      </x:c>
      <x:c r="G79" s="28" t="str">
        <x:v>bank release and locked role</x:v>
      </x:c>
      <x:c r="H79" s="31" t="str"/>
      <x:c r="I79" s="31" t="str"/>
      <x:c r="J79" s="28" t="str">
        <x:f>IF(I79="","OPEN",IF(H79="","FAIL","PASS"))</x:f>
        <x:v>OPEN</x:v>
      </x:c>
    </x:row>
    <x:row r="80">
      <x:c r="B80" s="28" t="str">
        <x:v>AD-PEA-C-X1-02</x:v>
      </x:c>
      <x:c r="C80" s="28" t="str">
        <x:v>PEA-C-X1</x:v>
      </x:c>
      <x:c r="D80" s="28" t="str">
        <x:v>BLD-C</x:v>
      </x:c>
      <x:c r="E80" s="28" t="str">
        <x:v>BL-X</x:v>
      </x:c>
      <x:c r="F80" s="28" t="n">
        <x:v>2</x:v>
      </x:c>
      <x:c r="G80" s="28" t="str">
        <x:v>public custody transfer</x:v>
      </x:c>
      <x:c r="H80" s="31" t="str"/>
      <x:c r="I80" s="31" t="str"/>
      <x:c r="J80" s="28" t="str">
        <x:f>IF(I80="","OPEN",IF(H80="","FAIL","PASS"))</x:f>
        <x:v>OPEN</x:v>
      </x:c>
    </x:row>
    <x:row r="81">
      <x:c r="B81" s="28" t="str">
        <x:v>AD-PEA-C-X1-03</x:v>
      </x:c>
      <x:c r="C81" s="28" t="str">
        <x:v>PEA-C-X1</x:v>
      </x:c>
      <x:c r="D81" s="28" t="str">
        <x:v>BLD-C</x:v>
      </x:c>
      <x:c r="E81" s="28" t="str">
        <x:v>BL-X</x:v>
      </x:c>
      <x:c r="F81" s="28" t="n">
        <x:v>3</x:v>
      </x:c>
      <x:c r="G81" s="28" t="str">
        <x:v>transport envelope</x:v>
      </x:c>
      <x:c r="H81" s="31" t="str"/>
      <x:c r="I81" s="31" t="str"/>
      <x:c r="J81" s="28" t="str">
        <x:f>IF(I81="","OPEN",IF(H81="","FAIL","PASS"))</x:f>
        <x:v>OPEN</x:v>
      </x:c>
    </x:row>
    <x:row r="82">
      <x:c r="B82" s="28" t="str">
        <x:v>AD-PEA-C-X1-04</x:v>
      </x:c>
      <x:c r="C82" s="28" t="str">
        <x:v>PEA-C-X1</x:v>
      </x:c>
      <x:c r="D82" s="28" t="str">
        <x:v>BLD-C</x:v>
      </x:c>
      <x:c r="E82" s="28" t="str">
        <x:v>BL-X</x:v>
      </x:c>
      <x:c r="F82" s="28" t="n">
        <x:v>4</x:v>
      </x:c>
      <x:c r="G82" s="28" t="str">
        <x:v>arrival configuration</x:v>
      </x:c>
      <x:c r="H82" s="31" t="str"/>
      <x:c r="I82" s="31" t="str"/>
      <x:c r="J82" s="28" t="str">
        <x:f>IF(I82="","OPEN",IF(H82="","FAIL","PASS"))</x:f>
        <x:v>OPEN</x:v>
      </x:c>
    </x:row>
    <x:row r="83">
      <x:c r="B83" s="28" t="str">
        <x:v>AD-PEA-C-X1-05</x:v>
      </x:c>
      <x:c r="C83" s="28" t="str">
        <x:v>PEA-C-X1</x:v>
      </x:c>
      <x:c r="D83" s="28" t="str">
        <x:v>BLD-C</x:v>
      </x:c>
      <x:c r="E83" s="28" t="str">
        <x:v>BL-X</x:v>
      </x:c>
      <x:c r="F83" s="28" t="n">
        <x:v>5</x:v>
      </x:c>
      <x:c r="G83" s="28" t="str">
        <x:v>material ancestry</x:v>
      </x:c>
      <x:c r="H83" s="31" t="str"/>
      <x:c r="I83" s="31" t="str"/>
      <x:c r="J83" s="28" t="str">
        <x:f>IF(I83="","OPEN",IF(H83="","FAIL","PASS"))</x:f>
        <x:v>OPEN</x:v>
      </x:c>
    </x:row>
    <x:row r="84">
      <x:c r="B84" s="28" t="str">
        <x:v>AD-PEA-C-X1-06</x:v>
      </x:c>
      <x:c r="C84" s="28" t="str">
        <x:v>PEA-C-X1</x:v>
      </x:c>
      <x:c r="D84" s="28" t="str">
        <x:v>BLD-C</x:v>
      </x:c>
      <x:c r="E84" s="28" t="str">
        <x:v>BL-X</x:v>
      </x:c>
      <x:c r="F84" s="28" t="n">
        <x:v>6</x:v>
      </x:c>
      <x:c r="G84" s="28" t="str">
        <x:v>twenty section travelers</x:v>
      </x:c>
      <x:c r="H84" s="31" t="str"/>
      <x:c r="I84" s="31" t="str"/>
      <x:c r="J84" s="28" t="str">
        <x:f>IF(I84="","OPEN",IF(H84="","FAIL","PASS"))</x:f>
        <x:v>OPEN</x:v>
      </x:c>
    </x:row>
    <x:row r="85">
      <x:c r="B85" s="28" t="str">
        <x:v>AD-PEA-C-X1-07</x:v>
      </x:c>
      <x:c r="C85" s="28" t="str">
        <x:v>PEA-C-X1</x:v>
      </x:c>
      <x:c r="D85" s="28" t="str">
        <x:v>BLD-C</x:v>
      </x:c>
      <x:c r="E85" s="28" t="str">
        <x:v>BL-X</x:v>
      </x:c>
      <x:c r="F85" s="28" t="n">
        <x:v>7</x:v>
      </x:c>
      <x:c r="G85" s="28" t="str">
        <x:v>forty adjacent coupons</x:v>
      </x:c>
      <x:c r="H85" s="31" t="str"/>
      <x:c r="I85" s="31" t="str"/>
      <x:c r="J85" s="28" t="str">
        <x:f>IF(I85="","OPEN",IF(H85="","FAIL","PASS"))</x:f>
        <x:v>OPEN</x:v>
      </x:c>
    </x:row>
    <x:row r="86">
      <x:c r="B86" s="28" t="str">
        <x:v>AD-PEA-C-X1-08</x:v>
      </x:c>
      <x:c r="C86" s="28" t="str">
        <x:v>PEA-C-X1</x:v>
      </x:c>
      <x:c r="D86" s="28" t="str">
        <x:v>BLD-C</x:v>
      </x:c>
      <x:c r="E86" s="28" t="str">
        <x:v>BL-X</x:v>
      </x:c>
      <x:c r="F86" s="28" t="n">
        <x:v>8</x:v>
      </x:c>
      <x:c r="G86" s="28" t="str">
        <x:v>twenty NDE records</x:v>
      </x:c>
      <x:c r="H86" s="31" t="str"/>
      <x:c r="I86" s="31" t="str"/>
      <x:c r="J86" s="28" t="str">
        <x:f>IF(I86="","OPEN",IF(H86="","FAIL","PASS"))</x:f>
        <x:v>OPEN</x:v>
      </x:c>
    </x:row>
    <x:row r="87">
      <x:c r="B87" s="28" t="str">
        <x:v>AD-PEA-C-X1-09</x:v>
      </x:c>
      <x:c r="C87" s="28" t="str">
        <x:v>PEA-C-X1</x:v>
      </x:c>
      <x:c r="D87" s="28" t="str">
        <x:v>BLD-C</x:v>
      </x:c>
      <x:c r="E87" s="28" t="str">
        <x:v>BL-X</x:v>
      </x:c>
      <x:c r="F87" s="28" t="n">
        <x:v>9</x:v>
      </x:c>
      <x:c r="G87" s="28" t="str">
        <x:v>five joint records</x:v>
      </x:c>
      <x:c r="H87" s="31" t="str"/>
      <x:c r="I87" s="31" t="str"/>
      <x:c r="J87" s="28" t="str">
        <x:f>IF(I87="","OPEN",IF(H87="","FAIL","PASS"))</x:f>
        <x:v>OPEN</x:v>
      </x:c>
    </x:row>
    <x:row r="88">
      <x:c r="B88" s="28" t="str">
        <x:v>AD-PEA-C-X1-10</x:v>
      </x:c>
      <x:c r="C88" s="28" t="str">
        <x:v>PEA-C-X1</x:v>
      </x:c>
      <x:c r="D88" s="28" t="str">
        <x:v>BLD-C</x:v>
      </x:c>
      <x:c r="E88" s="28" t="str">
        <x:v>BL-X</x:v>
      </x:c>
      <x:c r="F88" s="28" t="n">
        <x:v>10</x:v>
      </x:c>
      <x:c r="G88" s="28" t="str">
        <x:v>twelve final elements</x:v>
      </x:c>
      <x:c r="H88" s="31" t="str"/>
      <x:c r="I88" s="31" t="str"/>
      <x:c r="J88" s="28" t="str">
        <x:f>IF(I88="","OPEN",IF(H88="","FAIL","PASS"))</x:f>
        <x:v>OPEN</x:v>
      </x:c>
    </x:row>
    <x:row r="89">
      <x:c r="B89" s="28" t="str">
        <x:v>AD-PEA-C-X1-11</x:v>
      </x:c>
      <x:c r="C89" s="28" t="str">
        <x:v>PEA-C-X1</x:v>
      </x:c>
      <x:c r="D89" s="28" t="str">
        <x:v>BLD-C</x:v>
      </x:c>
      <x:c r="E89" s="28" t="str">
        <x:v>BL-X</x:v>
      </x:c>
      <x:c r="F89" s="28" t="n">
        <x:v>11</x:v>
      </x:c>
      <x:c r="G89" s="28" t="str">
        <x:v>144 channel identities</x:v>
      </x:c>
      <x:c r="H89" s="31" t="str"/>
      <x:c r="I89" s="31" t="str"/>
      <x:c r="J89" s="28" t="str">
        <x:f>IF(I89="","OPEN",IF(H89="","FAIL","PASS"))</x:f>
        <x:v>OPEN</x:v>
      </x:c>
    </x:row>
    <x:row r="90">
      <x:c r="B90" s="28" t="str">
        <x:v>AD-PEA-C-X1-12</x:v>
      </x:c>
      <x:c r="C90" s="28" t="str">
        <x:v>PEA-C-X1</x:v>
      </x:c>
      <x:c r="D90" s="28" t="str">
        <x:v>BLD-C</x:v>
      </x:c>
      <x:c r="E90" s="28" t="str">
        <x:v>BL-X</x:v>
      </x:c>
      <x:c r="F90" s="28" t="n">
        <x:v>12</x:v>
      </x:c>
      <x:c r="G90" s="28" t="str">
        <x:v>144 factory calibrations</x:v>
      </x:c>
      <x:c r="H90" s="31" t="str"/>
      <x:c r="I90" s="31" t="str"/>
      <x:c r="J90" s="28" t="str">
        <x:f>IF(I90="","OPEN",IF(H90="","FAIL","PASS"))</x:f>
        <x:v>OPEN</x:v>
      </x:c>
    </x:row>
    <x:row r="91">
      <x:c r="B91" s="28" t="str">
        <x:v>AD-PEA-C-X1-13</x:v>
      </x:c>
      <x:c r="C91" s="28" t="str">
        <x:v>PEA-C-X1</x:v>
      </x:c>
      <x:c r="D91" s="28" t="str">
        <x:v>BLD-C</x:v>
      </x:c>
      <x:c r="E91" s="28" t="str">
        <x:v>BL-X</x:v>
      </x:c>
      <x:c r="F91" s="28" t="n">
        <x:v>13</x:v>
      </x:c>
      <x:c r="G91" s="28" t="str">
        <x:v>internal cleanliness</x:v>
      </x:c>
      <x:c r="H91" s="31" t="str"/>
      <x:c r="I91" s="31" t="str"/>
      <x:c r="J91" s="28" t="str">
        <x:f>IF(I91="","OPEN",IF(H91="","FAIL","PASS"))</x:f>
        <x:v>OPEN</x:v>
      </x:c>
    </x:row>
    <x:row r="92">
      <x:c r="B92" s="28" t="str">
        <x:v>AD-PEA-C-X1-14</x:v>
      </x:c>
      <x:c r="C92" s="28" t="str">
        <x:v>PEA-C-X1</x:v>
      </x:c>
      <x:c r="D92" s="28" t="str">
        <x:v>BLD-C</x:v>
      </x:c>
      <x:c r="E92" s="28" t="str">
        <x:v>BL-X</x:v>
      </x:c>
      <x:c r="F92" s="28" t="n">
        <x:v>14</x:v>
      </x:c>
      <x:c r="G92" s="28" t="str">
        <x:v>static line inventory</x:v>
      </x:c>
      <x:c r="H92" s="31" t="str"/>
      <x:c r="I92" s="31" t="str"/>
      <x:c r="J92" s="28" t="str">
        <x:f>IF(I92="","OPEN",IF(H92="","FAIL","PASS"))</x:f>
        <x:v>OPEN</x:v>
      </x:c>
    </x:row>
    <x:row r="93">
      <x:c r="B93" s="28" t="str">
        <x:v>AD-PEA-C-X1-15</x:v>
      </x:c>
      <x:c r="C93" s="28" t="str">
        <x:v>PEA-C-X1</x:v>
      </x:c>
      <x:c r="D93" s="28" t="str">
        <x:v>BLD-C</x:v>
      </x:c>
      <x:c r="E93" s="28" t="str">
        <x:v>BL-X</x:v>
      </x:c>
      <x:c r="F93" s="28" t="n">
        <x:v>15</x:v>
      </x:c>
      <x:c r="G93" s="28" t="str">
        <x:v>dry safeing</x:v>
      </x:c>
      <x:c r="H93" s="31" t="str"/>
      <x:c r="I93" s="31" t="str"/>
      <x:c r="J93" s="28" t="str">
        <x:f>IF(I93="","OPEN",IF(H93="","FAIL","PASS"))</x:f>
        <x:v>OPEN</x:v>
      </x:c>
    </x:row>
    <x:row r="94">
      <x:c r="B94" s="28" t="str">
        <x:v>AD-PEA-C-X1-16</x:v>
      </x:c>
      <x:c r="C94" s="28" t="str">
        <x:v>PEA-C-X1</x:v>
      </x:c>
      <x:c r="D94" s="28" t="str">
        <x:v>BLD-C</x:v>
      </x:c>
      <x:c r="E94" s="28" t="str">
        <x:v>BL-X</x:v>
      </x:c>
      <x:c r="F94" s="28" t="n">
        <x:v>16</x:v>
      </x:c>
      <x:c r="G94" s="28" t="str">
        <x:v>lift and restraint</x:v>
      </x:c>
      <x:c r="H94" s="31" t="str"/>
      <x:c r="I94" s="31" t="str"/>
      <x:c r="J94" s="28" t="str">
        <x:f>IF(I94="","OPEN",IF(H94="","FAIL","PASS"))</x:f>
        <x:v>OPEN</x:v>
      </x:c>
    </x:row>
    <x:row r="95">
      <x:c r="B95" s="28" t="str">
        <x:v>AD-PEA-C-X1-17</x:v>
      </x:c>
      <x:c r="C95" s="28" t="str">
        <x:v>PEA-C-X1</x:v>
      </x:c>
      <x:c r="D95" s="28" t="str">
        <x:v>BLD-C</x:v>
      </x:c>
      <x:c r="E95" s="28" t="str">
        <x:v>BL-X</x:v>
      </x:c>
      <x:c r="F95" s="28" t="n">
        <x:v>17</x:v>
      </x:c>
      <x:c r="G95" s="28" t="str">
        <x:v>two evidence originals</x:v>
      </x:c>
      <x:c r="H95" s="31" t="str"/>
      <x:c r="I95" s="31" t="str"/>
      <x:c r="J95" s="28" t="str">
        <x:f>IF(I95="","OPEN",IF(H95="","FAIL","PASS"))</x:f>
        <x:v>OPEN</x:v>
      </x:c>
    </x:row>
    <x:row r="96">
      <x:c r="B96" s="28" t="str">
        <x:v>AD-PEA-C-X1-18</x:v>
      </x:c>
      <x:c r="C96" s="28" t="str">
        <x:v>PEA-C-X1</x:v>
      </x:c>
      <x:c r="D96" s="28" t="str">
        <x:v>BLD-C</x:v>
      </x:c>
      <x:c r="E96" s="28" t="str">
        <x:v>BL-X</x:v>
      </x:c>
      <x:c r="F96" s="28" t="n">
        <x:v>18</x:v>
      </x:c>
      <x:c r="G96" s="28" t="str">
        <x:v>software and firmware root</x:v>
      </x:c>
      <x:c r="H96" s="31" t="str"/>
      <x:c r="I96" s="31" t="str"/>
      <x:c r="J96" s="28" t="str">
        <x:f>IF(I96="","OPEN",IF(H96="","FAIL","PASS"))</x:f>
        <x:v>OPEN</x:v>
      </x:c>
    </x:row>
    <x:row r="97">
      <x:c r="B97" s="28" t="str">
        <x:v>AD-PEA-C-Y1-01</x:v>
      </x:c>
      <x:c r="C97" s="28" t="str">
        <x:v>PEA-C-Y1</x:v>
      </x:c>
      <x:c r="D97" s="28" t="str">
        <x:v>BLD-C</x:v>
      </x:c>
      <x:c r="E97" s="28" t="str">
        <x:v>BL-Y</x:v>
      </x:c>
      <x:c r="F97" s="28" t="n">
        <x:v>1</x:v>
      </x:c>
      <x:c r="G97" s="28" t="str">
        <x:v>bank release and locked role</x:v>
      </x:c>
      <x:c r="H97" s="31" t="str"/>
      <x:c r="I97" s="31" t="str"/>
      <x:c r="J97" s="28" t="str">
        <x:f>IF(I97="","OPEN",IF(H97="","FAIL","PASS"))</x:f>
        <x:v>OPEN</x:v>
      </x:c>
    </x:row>
    <x:row r="98">
      <x:c r="B98" s="28" t="str">
        <x:v>AD-PEA-C-Y1-02</x:v>
      </x:c>
      <x:c r="C98" s="28" t="str">
        <x:v>PEA-C-Y1</x:v>
      </x:c>
      <x:c r="D98" s="28" t="str">
        <x:v>BLD-C</x:v>
      </x:c>
      <x:c r="E98" s="28" t="str">
        <x:v>BL-Y</x:v>
      </x:c>
      <x:c r="F98" s="28" t="n">
        <x:v>2</x:v>
      </x:c>
      <x:c r="G98" s="28" t="str">
        <x:v>public custody transfer</x:v>
      </x:c>
      <x:c r="H98" s="31" t="str"/>
      <x:c r="I98" s="31" t="str"/>
      <x:c r="J98" s="28" t="str">
        <x:f>IF(I98="","OPEN",IF(H98="","FAIL","PASS"))</x:f>
        <x:v>OPEN</x:v>
      </x:c>
    </x:row>
    <x:row r="99">
      <x:c r="B99" s="28" t="str">
        <x:v>AD-PEA-C-Y1-03</x:v>
      </x:c>
      <x:c r="C99" s="28" t="str">
        <x:v>PEA-C-Y1</x:v>
      </x:c>
      <x:c r="D99" s="28" t="str">
        <x:v>BLD-C</x:v>
      </x:c>
      <x:c r="E99" s="28" t="str">
        <x:v>BL-Y</x:v>
      </x:c>
      <x:c r="F99" s="28" t="n">
        <x:v>3</x:v>
      </x:c>
      <x:c r="G99" s="28" t="str">
        <x:v>transport envelope</x:v>
      </x:c>
      <x:c r="H99" s="31" t="str"/>
      <x:c r="I99" s="31" t="str"/>
      <x:c r="J99" s="28" t="str">
        <x:f>IF(I99="","OPEN",IF(H99="","FAIL","PASS"))</x:f>
        <x:v>OPEN</x:v>
      </x:c>
    </x:row>
    <x:row r="100">
      <x:c r="B100" s="28" t="str">
        <x:v>AD-PEA-C-Y1-04</x:v>
      </x:c>
      <x:c r="C100" s="28" t="str">
        <x:v>PEA-C-Y1</x:v>
      </x:c>
      <x:c r="D100" s="28" t="str">
        <x:v>BLD-C</x:v>
      </x:c>
      <x:c r="E100" s="28" t="str">
        <x:v>BL-Y</x:v>
      </x:c>
      <x:c r="F100" s="28" t="n">
        <x:v>4</x:v>
      </x:c>
      <x:c r="G100" s="28" t="str">
        <x:v>arrival configuration</x:v>
      </x:c>
      <x:c r="H100" s="31" t="str"/>
      <x:c r="I100" s="31" t="str"/>
      <x:c r="J100" s="28" t="str">
        <x:f>IF(I100="","OPEN",IF(H100="","FAIL","PASS"))</x:f>
        <x:v>OPEN</x:v>
      </x:c>
    </x:row>
    <x:row r="101">
      <x:c r="B101" s="28" t="str">
        <x:v>AD-PEA-C-Y1-05</x:v>
      </x:c>
      <x:c r="C101" s="28" t="str">
        <x:v>PEA-C-Y1</x:v>
      </x:c>
      <x:c r="D101" s="28" t="str">
        <x:v>BLD-C</x:v>
      </x:c>
      <x:c r="E101" s="28" t="str">
        <x:v>BL-Y</x:v>
      </x:c>
      <x:c r="F101" s="28" t="n">
        <x:v>5</x:v>
      </x:c>
      <x:c r="G101" s="28" t="str">
        <x:v>material ancestry</x:v>
      </x:c>
      <x:c r="H101" s="31" t="str"/>
      <x:c r="I101" s="31" t="str"/>
      <x:c r="J101" s="28" t="str">
        <x:f>IF(I101="","OPEN",IF(H101="","FAIL","PASS"))</x:f>
        <x:v>OPEN</x:v>
      </x:c>
    </x:row>
    <x:row r="102">
      <x:c r="B102" s="28" t="str">
        <x:v>AD-PEA-C-Y1-06</x:v>
      </x:c>
      <x:c r="C102" s="28" t="str">
        <x:v>PEA-C-Y1</x:v>
      </x:c>
      <x:c r="D102" s="28" t="str">
        <x:v>BLD-C</x:v>
      </x:c>
      <x:c r="E102" s="28" t="str">
        <x:v>BL-Y</x:v>
      </x:c>
      <x:c r="F102" s="28" t="n">
        <x:v>6</x:v>
      </x:c>
      <x:c r="G102" s="28" t="str">
        <x:v>twenty section travelers</x:v>
      </x:c>
      <x:c r="H102" s="31" t="str"/>
      <x:c r="I102" s="31" t="str"/>
      <x:c r="J102" s="28" t="str">
        <x:f>IF(I102="","OPEN",IF(H102="","FAIL","PASS"))</x:f>
        <x:v>OPEN</x:v>
      </x:c>
    </x:row>
    <x:row r="103">
      <x:c r="B103" s="28" t="str">
        <x:v>AD-PEA-C-Y1-07</x:v>
      </x:c>
      <x:c r="C103" s="28" t="str">
        <x:v>PEA-C-Y1</x:v>
      </x:c>
      <x:c r="D103" s="28" t="str">
        <x:v>BLD-C</x:v>
      </x:c>
      <x:c r="E103" s="28" t="str">
        <x:v>BL-Y</x:v>
      </x:c>
      <x:c r="F103" s="28" t="n">
        <x:v>7</x:v>
      </x:c>
      <x:c r="G103" s="28" t="str">
        <x:v>forty adjacent coupons</x:v>
      </x:c>
      <x:c r="H103" s="31" t="str"/>
      <x:c r="I103" s="31" t="str"/>
      <x:c r="J103" s="28" t="str">
        <x:f>IF(I103="","OPEN",IF(H103="","FAIL","PASS"))</x:f>
        <x:v>OPEN</x:v>
      </x:c>
    </x:row>
    <x:row r="104">
      <x:c r="B104" s="28" t="str">
        <x:v>AD-PEA-C-Y1-08</x:v>
      </x:c>
      <x:c r="C104" s="28" t="str">
        <x:v>PEA-C-Y1</x:v>
      </x:c>
      <x:c r="D104" s="28" t="str">
        <x:v>BLD-C</x:v>
      </x:c>
      <x:c r="E104" s="28" t="str">
        <x:v>BL-Y</x:v>
      </x:c>
      <x:c r="F104" s="28" t="n">
        <x:v>8</x:v>
      </x:c>
      <x:c r="G104" s="28" t="str">
        <x:v>twenty NDE records</x:v>
      </x:c>
      <x:c r="H104" s="31" t="str"/>
      <x:c r="I104" s="31" t="str"/>
      <x:c r="J104" s="28" t="str">
        <x:f>IF(I104="","OPEN",IF(H104="","FAIL","PASS"))</x:f>
        <x:v>OPEN</x:v>
      </x:c>
    </x:row>
    <x:row r="105">
      <x:c r="B105" s="28" t="str">
        <x:v>AD-PEA-C-Y1-09</x:v>
      </x:c>
      <x:c r="C105" s="28" t="str">
        <x:v>PEA-C-Y1</x:v>
      </x:c>
      <x:c r="D105" s="28" t="str">
        <x:v>BLD-C</x:v>
      </x:c>
      <x:c r="E105" s="28" t="str">
        <x:v>BL-Y</x:v>
      </x:c>
      <x:c r="F105" s="28" t="n">
        <x:v>9</x:v>
      </x:c>
      <x:c r="G105" s="28" t="str">
        <x:v>five joint records</x:v>
      </x:c>
      <x:c r="H105" s="31" t="str"/>
      <x:c r="I105" s="31" t="str"/>
      <x:c r="J105" s="28" t="str">
        <x:f>IF(I105="","OPEN",IF(H105="","FAIL","PASS"))</x:f>
        <x:v>OPEN</x:v>
      </x:c>
    </x:row>
    <x:row r="106">
      <x:c r="B106" s="28" t="str">
        <x:v>AD-PEA-C-Y1-10</x:v>
      </x:c>
      <x:c r="C106" s="28" t="str">
        <x:v>PEA-C-Y1</x:v>
      </x:c>
      <x:c r="D106" s="28" t="str">
        <x:v>BLD-C</x:v>
      </x:c>
      <x:c r="E106" s="28" t="str">
        <x:v>BL-Y</x:v>
      </x:c>
      <x:c r="F106" s="28" t="n">
        <x:v>10</x:v>
      </x:c>
      <x:c r="G106" s="28" t="str">
        <x:v>twelve final elements</x:v>
      </x:c>
      <x:c r="H106" s="31" t="str"/>
      <x:c r="I106" s="31" t="str"/>
      <x:c r="J106" s="28" t="str">
        <x:f>IF(I106="","OPEN",IF(H106="","FAIL","PASS"))</x:f>
        <x:v>OPEN</x:v>
      </x:c>
    </x:row>
    <x:row r="107">
      <x:c r="B107" s="28" t="str">
        <x:v>AD-PEA-C-Y1-11</x:v>
      </x:c>
      <x:c r="C107" s="28" t="str">
        <x:v>PEA-C-Y1</x:v>
      </x:c>
      <x:c r="D107" s="28" t="str">
        <x:v>BLD-C</x:v>
      </x:c>
      <x:c r="E107" s="28" t="str">
        <x:v>BL-Y</x:v>
      </x:c>
      <x:c r="F107" s="28" t="n">
        <x:v>11</x:v>
      </x:c>
      <x:c r="G107" s="28" t="str">
        <x:v>144 channel identities</x:v>
      </x:c>
      <x:c r="H107" s="31" t="str"/>
      <x:c r="I107" s="31" t="str"/>
      <x:c r="J107" s="28" t="str">
        <x:f>IF(I107="","OPEN",IF(H107="","FAIL","PASS"))</x:f>
        <x:v>OPEN</x:v>
      </x:c>
    </x:row>
    <x:row r="108">
      <x:c r="B108" s="28" t="str">
        <x:v>AD-PEA-C-Y1-12</x:v>
      </x:c>
      <x:c r="C108" s="28" t="str">
        <x:v>PEA-C-Y1</x:v>
      </x:c>
      <x:c r="D108" s="28" t="str">
        <x:v>BLD-C</x:v>
      </x:c>
      <x:c r="E108" s="28" t="str">
        <x:v>BL-Y</x:v>
      </x:c>
      <x:c r="F108" s="28" t="n">
        <x:v>12</x:v>
      </x:c>
      <x:c r="G108" s="28" t="str">
        <x:v>144 factory calibrations</x:v>
      </x:c>
      <x:c r="H108" s="31" t="str"/>
      <x:c r="I108" s="31" t="str"/>
      <x:c r="J108" s="28" t="str">
        <x:f>IF(I108="","OPEN",IF(H108="","FAIL","PASS"))</x:f>
        <x:v>OPEN</x:v>
      </x:c>
    </x:row>
    <x:row r="109">
      <x:c r="B109" s="28" t="str">
        <x:v>AD-PEA-C-Y1-13</x:v>
      </x:c>
      <x:c r="C109" s="28" t="str">
        <x:v>PEA-C-Y1</x:v>
      </x:c>
      <x:c r="D109" s="28" t="str">
        <x:v>BLD-C</x:v>
      </x:c>
      <x:c r="E109" s="28" t="str">
        <x:v>BL-Y</x:v>
      </x:c>
      <x:c r="F109" s="28" t="n">
        <x:v>13</x:v>
      </x:c>
      <x:c r="G109" s="28" t="str">
        <x:v>internal cleanliness</x:v>
      </x:c>
      <x:c r="H109" s="31" t="str"/>
      <x:c r="I109" s="31" t="str"/>
      <x:c r="J109" s="28" t="str">
        <x:f>IF(I109="","OPEN",IF(H109="","FAIL","PASS"))</x:f>
        <x:v>OPEN</x:v>
      </x:c>
    </x:row>
    <x:row r="110">
      <x:c r="B110" s="28" t="str">
        <x:v>AD-PEA-C-Y1-14</x:v>
      </x:c>
      <x:c r="C110" s="28" t="str">
        <x:v>PEA-C-Y1</x:v>
      </x:c>
      <x:c r="D110" s="28" t="str">
        <x:v>BLD-C</x:v>
      </x:c>
      <x:c r="E110" s="28" t="str">
        <x:v>BL-Y</x:v>
      </x:c>
      <x:c r="F110" s="28" t="n">
        <x:v>14</x:v>
      </x:c>
      <x:c r="G110" s="28" t="str">
        <x:v>static line inventory</x:v>
      </x:c>
      <x:c r="H110" s="31" t="str"/>
      <x:c r="I110" s="31" t="str"/>
      <x:c r="J110" s="28" t="str">
        <x:f>IF(I110="","OPEN",IF(H110="","FAIL","PASS"))</x:f>
        <x:v>OPEN</x:v>
      </x:c>
    </x:row>
    <x:row r="111">
      <x:c r="B111" s="28" t="str">
        <x:v>AD-PEA-C-Y1-15</x:v>
      </x:c>
      <x:c r="C111" s="28" t="str">
        <x:v>PEA-C-Y1</x:v>
      </x:c>
      <x:c r="D111" s="28" t="str">
        <x:v>BLD-C</x:v>
      </x:c>
      <x:c r="E111" s="28" t="str">
        <x:v>BL-Y</x:v>
      </x:c>
      <x:c r="F111" s="28" t="n">
        <x:v>15</x:v>
      </x:c>
      <x:c r="G111" s="28" t="str">
        <x:v>dry safeing</x:v>
      </x:c>
      <x:c r="H111" s="31" t="str"/>
      <x:c r="I111" s="31" t="str"/>
      <x:c r="J111" s="28" t="str">
        <x:f>IF(I111="","OPEN",IF(H111="","FAIL","PASS"))</x:f>
        <x:v>OPEN</x:v>
      </x:c>
    </x:row>
    <x:row r="112">
      <x:c r="B112" s="28" t="str">
        <x:v>AD-PEA-C-Y1-16</x:v>
      </x:c>
      <x:c r="C112" s="28" t="str">
        <x:v>PEA-C-Y1</x:v>
      </x:c>
      <x:c r="D112" s="28" t="str">
        <x:v>BLD-C</x:v>
      </x:c>
      <x:c r="E112" s="28" t="str">
        <x:v>BL-Y</x:v>
      </x:c>
      <x:c r="F112" s="28" t="n">
        <x:v>16</x:v>
      </x:c>
      <x:c r="G112" s="28" t="str">
        <x:v>lift and restraint</x:v>
      </x:c>
      <x:c r="H112" s="31" t="str"/>
      <x:c r="I112" s="31" t="str"/>
      <x:c r="J112" s="28" t="str">
        <x:f>IF(I112="","OPEN",IF(H112="","FAIL","PASS"))</x:f>
        <x:v>OPEN</x:v>
      </x:c>
    </x:row>
    <x:row r="113">
      <x:c r="B113" s="28" t="str">
        <x:v>AD-PEA-C-Y1-17</x:v>
      </x:c>
      <x:c r="C113" s="28" t="str">
        <x:v>PEA-C-Y1</x:v>
      </x:c>
      <x:c r="D113" s="28" t="str">
        <x:v>BLD-C</x:v>
      </x:c>
      <x:c r="E113" s="28" t="str">
        <x:v>BL-Y</x:v>
      </x:c>
      <x:c r="F113" s="28" t="n">
        <x:v>17</x:v>
      </x:c>
      <x:c r="G113" s="28" t="str">
        <x:v>two evidence originals</x:v>
      </x:c>
      <x:c r="H113" s="31" t="str"/>
      <x:c r="I113" s="31" t="str"/>
      <x:c r="J113" s="28" t="str">
        <x:f>IF(I113="","OPEN",IF(H113="","FAIL","PASS"))</x:f>
        <x:v>OPEN</x:v>
      </x:c>
    </x:row>
    <x:row r="114">
      <x:c r="B114" s="28" t="str">
        <x:v>AD-PEA-C-Y1-18</x:v>
      </x:c>
      <x:c r="C114" s="28" t="str">
        <x:v>PEA-C-Y1</x:v>
      </x:c>
      <x:c r="D114" s="28" t="str">
        <x:v>BLD-C</x:v>
      </x:c>
      <x:c r="E114" s="28" t="str">
        <x:v>BL-Y</x:v>
      </x:c>
      <x:c r="F114" s="28" t="n">
        <x:v>18</x:v>
      </x:c>
      <x:c r="G114" s="28" t="str">
        <x:v>software and firmware root</x:v>
      </x:c>
      <x:c r="H114" s="31" t="str"/>
      <x:c r="I114" s="31" t="str"/>
      <x:c r="J114" s="28" t="str">
        <x:f>IF(I114="","OPEN",IF(H114="","FAIL","PASS"))</x:f>
        <x:v>OPEN</x:v>
      </x:c>
    </x:row>
  </x:sheetData>
  <x:conditionalFormatting sqref="J7:J114">
    <x:cfRule type="containsText" dxfId="60" priority="1" operator="containsText" text="FAIL"/>
    <x:cfRule type="containsText" dxfId="61" priority="2" operator="containsText" text="BLOCKED"/>
    <x:cfRule type="containsText" dxfId="62" priority="3" operator="containsText" text="EXPIRED"/>
    <x:cfRule type="containsText" dxfId="63" priority="4" operator="containsText" text="OPEN"/>
    <x:cfRule type="containsText" dxfId="64" priority="5" operator="containsText" text="DORMANT"/>
    <x:cfRule type="containsText" dxfId="65" priority="6" operator="containsText" text="PASS"/>
  </x:conditionalFormatting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7" hidden="0" customWidth="1"/>
    <x:col min="3" max="3" width="14" hidden="0" customWidth="1"/>
    <x:col min="4" max="4" width="14" hidden="0" customWidth="1"/>
    <x:col min="5" max="5" width="12" hidden="0" customWidth="1"/>
    <x:col min="6" max="6" width="49" hidden="0" customWidth="1"/>
    <x:col min="7" max="7" width="34" hidden="0" customWidth="1"/>
    <x:col min="8" max="8" width="21" hidden="0" customWidth="1"/>
    <x:col min="9" max="9" width="14" hidden="0" customWidth="1"/>
  </x:cols>
  <x:sheetData>
    <x:row r="2">
      <x:c r="B2" s="25" t="str">
        <x:v>One hundred forty-four rig-readiness records</x:v>
      </x:c>
      <x:c r="C2" s="26"/>
      <x:c r="D2" s="26"/>
      <x:c r="E2" s="26"/>
      <x:c r="F2" s="26"/>
      <x:c r="G2" s="26"/>
      <x:c r="H2" s="26"/>
      <x:c r="I2" s="26"/>
    </x:row>
    <x:row r="3">
      <x:c r="B3" s="27" t="str">
        <x:v>Every public source, water, thermal, safeing, evidence, environmental and rescue boundary begins isolated or unavailable.</x:v>
      </x:c>
      <x:c r="C3" s="26"/>
      <x:c r="D3" s="26"/>
      <x:c r="E3" s="26"/>
      <x:c r="F3" s="26"/>
      <x:c r="G3" s="26"/>
      <x:c r="H3" s="26"/>
      <x:c r="I3" s="26"/>
    </x:row>
    <x:row r="4">
      <x:c r="B4" s="26"/>
      <x:c r="C4" s="26"/>
      <x:c r="D4" s="26"/>
      <x:c r="E4" s="26"/>
      <x:c r="F4" s="26"/>
      <x:c r="G4" s="26"/>
      <x:c r="H4" s="26"/>
      <x:c r="I4" s="26"/>
    </x:row>
    <x:row r="5">
      <x:c r="B5" s="26"/>
      <x:c r="C5" s="26"/>
      <x:c r="D5" s="26"/>
      <x:c r="E5" s="26"/>
      <x:c r="F5" s="26"/>
      <x:c r="G5" s="26"/>
      <x:c r="H5" s="26"/>
      <x:c r="I5" s="26"/>
    </x:row>
    <x:row r="6" ht="24" customHeight="1">
      <x:c r="B6" s="6" t="str">
        <x:v>Record</x:v>
      </x:c>
      <x:c r="C6" s="6" t="str">
        <x:v>Rig</x:v>
      </x:c>
      <x:c r="D6" s="6" t="str">
        <x:v>Campus</x:v>
      </x:c>
      <x:c r="E6" s="6" t="str">
        <x:v>Domain</x:v>
      </x:c>
      <x:c r="F6" s="6" t="str">
        <x:v>Requirement</x:v>
      </x:c>
      <x:c r="G6" s="6" t="str">
        <x:v>Evidence root</x:v>
      </x:c>
      <x:c r="H6" s="6" t="str">
        <x:v>Accepted UTC</x:v>
      </x:c>
      <x:c r="I6" s="6" t="str">
        <x:v>State</x:v>
      </x:c>
    </x:row>
    <x:row r="7">
      <x:c r="B7" s="28" t="str">
        <x:v>RD-RFP-A1-01</x:v>
      </x:c>
      <x:c r="C7" s="28" t="str">
        <x:v>RFP-A1</x:v>
      </x:c>
      <x:c r="D7" s="28" t="str">
        <x:v>PTC-A</x:v>
      </x:c>
      <x:c r="E7" s="28" t="n">
        <x:v>1</x:v>
      </x:c>
      <x:c r="F7" s="28" t="str">
        <x:v>commissioning ladder state</x:v>
      </x:c>
      <x:c r="G7" s="31" t="str"/>
      <x:c r="H7" s="31" t="str"/>
      <x:c r="I7" s="28" t="str">
        <x:f>IF(H7="","OPEN",IF(G7="","FAIL","PASS"))</x:f>
        <x:v>OPEN</x:v>
      </x:c>
    </x:row>
    <x:row r="8">
      <x:c r="B8" s="28" t="str">
        <x:v>RD-RFP-A1-02</x:v>
      </x:c>
      <x:c r="C8" s="28" t="str">
        <x:v>RFP-A1</x:v>
      </x:c>
      <x:c r="D8" s="28" t="str">
        <x:v>PTC-A</x:v>
      </x:c>
      <x:c r="E8" s="28" t="n">
        <x:v>2</x:v>
      </x:c>
      <x:c r="F8" s="28" t="str">
        <x:v>public terrain datum</x:v>
      </x:c>
      <x:c r="G8" s="31" t="str"/>
      <x:c r="H8" s="31" t="str"/>
      <x:c r="I8" s="28" t="str">
        <x:f>IF(H8="","OPEN",IF(G8="","FAIL","PASS"))</x:f>
        <x:v>OPEN</x:v>
      </x:c>
    </x:row>
    <x:row r="9">
      <x:c r="B9" s="28" t="str">
        <x:v>RD-RFP-A1-03</x:v>
      </x:c>
      <x:c r="C9" s="28" t="str">
        <x:v>RFP-A1</x:v>
      </x:c>
      <x:c r="D9" s="28" t="str">
        <x:v>PTC-A</x:v>
      </x:c>
      <x:c r="E9" s="28" t="n">
        <x:v>3</x:v>
      </x:c>
      <x:c r="F9" s="28" t="str">
        <x:v>source dispenser isolated</x:v>
      </x:c>
      <x:c r="G9" s="31" t="str"/>
      <x:c r="H9" s="31" t="str"/>
      <x:c r="I9" s="28" t="str">
        <x:f>IF(H9="","OPEN",IF(G9="","FAIL","PASS"))</x:f>
        <x:v>OPEN</x:v>
      </x:c>
    </x:row>
    <x:row r="10">
      <x:c r="B10" s="28" t="str">
        <x:v>RD-RFP-A1-04</x:v>
      </x:c>
      <x:c r="C10" s="28" t="str">
        <x:v>RFP-A1</x:v>
      </x:c>
      <x:c r="D10" s="28" t="str">
        <x:v>PTC-A</x:v>
      </x:c>
      <x:c r="E10" s="28" t="n">
        <x:v>4</x:v>
      </x:c>
      <x:c r="F10" s="28" t="str">
        <x:v>source adapter blanked</x:v>
      </x:c>
      <x:c r="G10" s="31" t="str"/>
      <x:c r="H10" s="31" t="str"/>
      <x:c r="I10" s="28" t="str">
        <x:f>IF(H10="","OPEN",IF(G10="","FAIL","PASS"))</x:f>
        <x:v>OPEN</x:v>
      </x:c>
    </x:row>
    <x:row r="11">
      <x:c r="B11" s="28" t="str">
        <x:v>RD-RFP-A1-05</x:v>
      </x:c>
      <x:c r="C11" s="28" t="str">
        <x:v>RFP-A1</x:v>
      </x:c>
      <x:c r="D11" s="28" t="str">
        <x:v>PTC-A</x:v>
      </x:c>
      <x:c r="E11" s="28" t="n">
        <x:v>5</x:v>
      </x:c>
      <x:c r="F11" s="28" t="str">
        <x:v>normal source receiver empty</x:v>
      </x:c>
      <x:c r="G11" s="31" t="str"/>
      <x:c r="H11" s="31" t="str"/>
      <x:c r="I11" s="28" t="str">
        <x:f>IF(H11="","OPEN",IF(G11="","FAIL","PASS"))</x:f>
        <x:v>OPEN</x:v>
      </x:c>
    </x:row>
    <x:row r="12">
      <x:c r="B12" s="28" t="str">
        <x:v>RD-RFP-A1-06</x:v>
      </x:c>
      <x:c r="C12" s="28" t="str">
        <x:v>RFP-A1</x:v>
      </x:c>
      <x:c r="D12" s="28" t="str">
        <x:v>PTC-A</x:v>
      </x:c>
      <x:c r="E12" s="28" t="n">
        <x:v>6</x:v>
      </x:c>
      <x:c r="F12" s="28" t="str">
        <x:v>casualty-source receiver ready</x:v>
      </x:c>
      <x:c r="G12" s="31" t="str"/>
      <x:c r="H12" s="31" t="str"/>
      <x:c r="I12" s="28" t="str">
        <x:f>IF(H12="","OPEN",IF(G12="","FAIL","PASS"))</x:f>
        <x:v>OPEN</x:v>
      </x:c>
    </x:row>
    <x:row r="13">
      <x:c r="B13" s="28" t="str">
        <x:v>RD-RFP-A1-07</x:v>
      </x:c>
      <x:c r="C13" s="28" t="str">
        <x:v>RFP-A1</x:v>
      </x:c>
      <x:c r="D13" s="28" t="str">
        <x:v>PTC-A</x:v>
      </x:c>
      <x:c r="E13" s="28" t="n">
        <x:v>7</x:v>
      </x:c>
      <x:c r="F13" s="28" t="str">
        <x:v>normal water supply isolated</x:v>
      </x:c>
      <x:c r="G13" s="31" t="str"/>
      <x:c r="H13" s="31" t="str"/>
      <x:c r="I13" s="28" t="str">
        <x:f>IF(H13="","OPEN",IF(G13="","FAIL","PASS"))</x:f>
        <x:v>OPEN</x:v>
      </x:c>
    </x:row>
    <x:row r="14">
      <x:c r="B14" s="28" t="str">
        <x:v>RD-RFP-A1-08</x:v>
      </x:c>
      <x:c r="C14" s="28" t="str">
        <x:v>RFP-A1</x:v>
      </x:c>
      <x:c r="D14" s="28" t="str">
        <x:v>PTC-A</x:v>
      </x:c>
      <x:c r="E14" s="28" t="n">
        <x:v>8</x:v>
      </x:c>
      <x:c r="F14" s="28" t="str">
        <x:v>candidate water return ready</x:v>
      </x:c>
      <x:c r="G14" s="31" t="str"/>
      <x:c r="H14" s="31" t="str"/>
      <x:c r="I14" s="28" t="str">
        <x:f>IF(H14="","OPEN",IF(G14="","FAIL","PASS"))</x:f>
        <x:v>OPEN</x:v>
      </x:c>
    </x:row>
    <x:row r="15">
      <x:c r="B15" s="28" t="str">
        <x:v>RD-RFP-A1-09</x:v>
      </x:c>
      <x:c r="C15" s="28" t="str">
        <x:v>RFP-A1</x:v>
      </x:c>
      <x:c r="D15" s="28" t="str">
        <x:v>PTC-A</x:v>
      </x:c>
      <x:c r="E15" s="28" t="n">
        <x:v>9</x:v>
      </x:c>
      <x:c r="F15" s="28" t="str">
        <x:v>casualty-water receiver ready</x:v>
      </x:c>
      <x:c r="G15" s="31" t="str"/>
      <x:c r="H15" s="31" t="str"/>
      <x:c r="I15" s="28" t="str">
        <x:f>IF(H15="","OPEN",IF(G15="","FAIL","PASS"))</x:f>
        <x:v>OPEN</x:v>
      </x:c>
    </x:row>
    <x:row r="16">
      <x:c r="B16" s="28" t="str">
        <x:v>RD-RFP-A1-10</x:v>
      </x:c>
      <x:c r="C16" s="28" t="str">
        <x:v>RFP-A1</x:v>
      </x:c>
      <x:c r="D16" s="28" t="str">
        <x:v>PTC-A</x:v>
      </x:c>
      <x:c r="E16" s="28" t="n">
        <x:v>10</x:v>
      </x:c>
      <x:c r="F16" s="28" t="str">
        <x:v>thermal boundary inhibited</x:v>
      </x:c>
      <x:c r="G16" s="31" t="str"/>
      <x:c r="H16" s="31" t="str"/>
      <x:c r="I16" s="28" t="str">
        <x:f>IF(H16="","OPEN",IF(G16="","FAIL","PASS"))</x:f>
        <x:v>OPEN</x:v>
      </x:c>
    </x:row>
    <x:row r="17">
      <x:c r="B17" s="28" t="str">
        <x:v>RD-RFP-A1-11</x:v>
      </x:c>
      <x:c r="C17" s="28" t="str">
        <x:v>RFP-A1</x:v>
      </x:c>
      <x:c r="D17" s="28" t="str">
        <x:v>PTC-A</x:v>
      </x:c>
      <x:c r="E17" s="28" t="n">
        <x:v>11</x:v>
      </x:c>
      <x:c r="F17" s="28" t="str">
        <x:v>wind boundary inhibited</x:v>
      </x:c>
      <x:c r="G17" s="31" t="str"/>
      <x:c r="H17" s="31" t="str"/>
      <x:c r="I17" s="28" t="str">
        <x:f>IF(H17="","OPEN",IF(G17="","FAIL","PASS"))</x:f>
        <x:v>OPEN</x:v>
      </x:c>
    </x:row>
    <x:row r="18">
      <x:c r="B18" s="28" t="str">
        <x:v>RD-RFP-A1-12</x:v>
      </x:c>
      <x:c r="C18" s="28" t="str">
        <x:v>RFP-A1</x:v>
      </x:c>
      <x:c r="D18" s="28" t="str">
        <x:v>PTC-A</x:v>
      </x:c>
      <x:c r="E18" s="28" t="n">
        <x:v>12</x:v>
      </x:c>
      <x:c r="F18" s="28" t="str">
        <x:v>normal electrical power</x:v>
      </x:c>
      <x:c r="G18" s="31" t="str"/>
      <x:c r="H18" s="31" t="str"/>
      <x:c r="I18" s="28" t="str">
        <x:f>IF(H18="","OPEN",IF(G18="","FAIL","PASS"))</x:f>
        <x:v>OPEN</x:v>
      </x:c>
    </x:row>
    <x:row r="19">
      <x:c r="B19" s="28" t="str">
        <x:v>RD-RFP-A1-13</x:v>
      </x:c>
      <x:c r="C19" s="28" t="str">
        <x:v>RFP-A1</x:v>
      </x:c>
      <x:c r="D19" s="28" t="str">
        <x:v>PTC-A</x:v>
      </x:c>
      <x:c r="E19" s="28" t="n">
        <x:v>13</x:v>
      </x:c>
      <x:c r="F19" s="28" t="str">
        <x:v>independent safety energy</x:v>
      </x:c>
      <x:c r="G19" s="31" t="str"/>
      <x:c r="H19" s="31" t="str"/>
      <x:c r="I19" s="28" t="str">
        <x:f>IF(H19="","OPEN",IF(G19="","FAIL","PASS"))</x:f>
        <x:v>OPEN</x:v>
      </x:c>
    </x:row>
    <x:row r="20">
      <x:c r="B20" s="28" t="str">
        <x:v>RD-RFP-A1-14</x:v>
      </x:c>
      <x:c r="C20" s="28" t="str">
        <x:v>RFP-A1</x:v>
      </x:c>
      <x:c r="D20" s="28" t="str">
        <x:v>PTC-A</x:v>
      </x:c>
      <x:c r="E20" s="28" t="n">
        <x:v>14</x:v>
      </x:c>
      <x:c r="F20" s="28" t="str">
        <x:v>passive safeing path</x:v>
      </x:c>
      <x:c r="G20" s="31" t="str"/>
      <x:c r="H20" s="31" t="str"/>
      <x:c r="I20" s="28" t="str">
        <x:f>IF(H20="","OPEN",IF(G20="","FAIL","PASS"))</x:f>
        <x:v>OPEN</x:v>
      </x:c>
    </x:row>
    <x:row r="21">
      <x:c r="B21" s="28" t="str">
        <x:v>RD-RFP-A1-15</x:v>
      </x:c>
      <x:c r="C21" s="28" t="str">
        <x:v>RFP-A1</x:v>
      </x:c>
      <x:c r="D21" s="28" t="str">
        <x:v>PTC-A</x:v>
      </x:c>
      <x:c r="E21" s="28" t="n">
        <x:v>15</x:v>
      </x:c>
      <x:c r="F21" s="28" t="str">
        <x:v>analog safeing path</x:v>
      </x:c>
      <x:c r="G21" s="31" t="str"/>
      <x:c r="H21" s="31" t="str"/>
      <x:c r="I21" s="28" t="str">
        <x:f>IF(H21="","OPEN",IF(G21="","FAIL","PASS"))</x:f>
        <x:v>OPEN</x:v>
      </x:c>
    </x:row>
    <x:row r="22">
      <x:c r="B22" s="28" t="str">
        <x:v>RD-RFP-A1-16</x:v>
      </x:c>
      <x:c r="C22" s="28" t="str">
        <x:v>RFP-A1</x:v>
      </x:c>
      <x:c r="D22" s="28" t="str">
        <x:v>PTC-A</x:v>
      </x:c>
      <x:c r="E22" s="28" t="n">
        <x:v>16</x:v>
      </x:c>
      <x:c r="F22" s="28" t="str">
        <x:v>diverse programmable safeing</x:v>
      </x:c>
      <x:c r="G22" s="31" t="str"/>
      <x:c r="H22" s="31" t="str"/>
      <x:c r="I22" s="28" t="str">
        <x:f>IF(H22="","OPEN",IF(G22="","FAIL","PASS"))</x:f>
        <x:v>OPEN</x:v>
      </x:c>
    </x:row>
    <x:row r="23">
      <x:c r="B23" s="28" t="str">
        <x:v>RD-RFP-A1-17</x:v>
      </x:c>
      <x:c r="C23" s="28" t="str">
        <x:v>RFP-A1</x:v>
      </x:c>
      <x:c r="D23" s="28" t="str">
        <x:v>PTC-A</x:v>
      </x:c>
      <x:c r="E23" s="28" t="n">
        <x:v>17</x:v>
      </x:c>
      <x:c r="F23" s="28" t="str">
        <x:v>primary causal time</x:v>
      </x:c>
      <x:c r="G23" s="31" t="str"/>
      <x:c r="H23" s="31" t="str"/>
      <x:c r="I23" s="28" t="str">
        <x:f>IF(H23="","OPEN",IF(G23="","FAIL","PASS"))</x:f>
        <x:v>OPEN</x:v>
      </x:c>
    </x:row>
    <x:row r="24">
      <x:c r="B24" s="28" t="str">
        <x:v>RD-RFP-A1-18</x:v>
      </x:c>
      <x:c r="C24" s="28" t="str">
        <x:v>RFP-A1</x:v>
      </x:c>
      <x:c r="D24" s="28" t="str">
        <x:v>PTC-A</x:v>
      </x:c>
      <x:c r="E24" s="28" t="n">
        <x:v>18</x:v>
      </x:c>
      <x:c r="F24" s="28" t="str">
        <x:v>unlike local time</x:v>
      </x:c>
      <x:c r="G24" s="31" t="str"/>
      <x:c r="H24" s="31" t="str"/>
      <x:c r="I24" s="28" t="str">
        <x:f>IF(H24="","OPEN",IF(G24="","FAIL","PASS"))</x:f>
        <x:v>OPEN</x:v>
      </x:c>
    </x:row>
    <x:row r="25">
      <x:c r="B25" s="28" t="str">
        <x:v>RD-RFP-A1-19</x:v>
      </x:c>
      <x:c r="C25" s="28" t="str">
        <x:v>RFP-A1</x:v>
      </x:c>
      <x:c r="D25" s="28" t="str">
        <x:v>PTC-A</x:v>
      </x:c>
      <x:c r="E25" s="28" t="n">
        <x:v>19</x:v>
      </x:c>
      <x:c r="F25" s="28" t="str">
        <x:v>two evidence originals</x:v>
      </x:c>
      <x:c r="G25" s="31" t="str"/>
      <x:c r="H25" s="31" t="str"/>
      <x:c r="I25" s="28" t="str">
        <x:f>IF(H25="","OPEN",IF(G25="","FAIL","PASS"))</x:f>
        <x:v>OPEN</x:v>
      </x:c>
    </x:row>
    <x:row r="26">
      <x:c r="B26" s="28" t="str">
        <x:v>RD-RFP-A1-20</x:v>
      </x:c>
      <x:c r="C26" s="28" t="str">
        <x:v>RFP-A1</x:v>
      </x:c>
      <x:c r="D26" s="28" t="str">
        <x:v>PTC-A</x:v>
      </x:c>
      <x:c r="E26" s="28" t="n">
        <x:v>20</x:v>
      </x:c>
      <x:c r="F26" s="28" t="str">
        <x:v>environmental custody</x:v>
      </x:c>
      <x:c r="G26" s="31" t="str"/>
      <x:c r="H26" s="31" t="str"/>
      <x:c r="I26" s="28" t="str">
        <x:f>IF(H26="","OPEN",IF(G26="","FAIL","PASS"))</x:f>
        <x:v>OPEN</x:v>
      </x:c>
    </x:row>
    <x:row r="27">
      <x:c r="B27" s="28" t="str">
        <x:v>RD-RFP-A1-21</x:v>
      </x:c>
      <x:c r="C27" s="28" t="str">
        <x:v>RFP-A1</x:v>
      </x:c>
      <x:c r="D27" s="28" t="str">
        <x:v>PTC-A</x:v>
      </x:c>
      <x:c r="E27" s="28" t="n">
        <x:v>21</x:v>
      </x:c>
      <x:c r="F27" s="28" t="str">
        <x:v>robot corridors</x:v>
      </x:c>
      <x:c r="G27" s="31" t="str"/>
      <x:c r="H27" s="31" t="str"/>
      <x:c r="I27" s="28" t="str">
        <x:f>IF(H27="","OPEN",IF(G27="","FAIL","PASS"))</x:f>
        <x:v>OPEN</x:v>
      </x:c>
    </x:row>
    <x:row r="28">
      <x:c r="B28" s="28" t="str">
        <x:v>RD-RFP-A1-22</x:v>
      </x:c>
      <x:c r="C28" s="28" t="str">
        <x:v>RFP-A1</x:v>
      </x:c>
      <x:c r="D28" s="28" t="str">
        <x:v>PTC-A</x:v>
      </x:c>
      <x:c r="E28" s="28" t="n">
        <x:v>22</x:v>
      </x:c>
      <x:c r="F28" s="28" t="str">
        <x:v>rescue cell</x:v>
      </x:c>
      <x:c r="G28" s="31" t="str"/>
      <x:c r="H28" s="31" t="str"/>
      <x:c r="I28" s="28" t="str">
        <x:f>IF(H28="","OPEN",IF(G28="","FAIL","PASS"))</x:f>
        <x:v>OPEN</x:v>
      </x:c>
    </x:row>
    <x:row r="29">
      <x:c r="B29" s="28" t="str">
        <x:v>RD-RFP-A1-23</x:v>
      </x:c>
      <x:c r="C29" s="28" t="str">
        <x:v>RFP-A1</x:v>
      </x:c>
      <x:c r="D29" s="28" t="str">
        <x:v>PTC-A</x:v>
      </x:c>
      <x:c r="E29" s="28" t="n">
        <x:v>23</x:v>
      </x:c>
      <x:c r="F29" s="28" t="str">
        <x:v>decontamination lanes</x:v>
      </x:c>
      <x:c r="G29" s="31" t="str"/>
      <x:c r="H29" s="31" t="str"/>
      <x:c r="I29" s="28" t="str">
        <x:f>IF(H29="","OPEN",IF(G29="","FAIL","PASS"))</x:f>
        <x:v>OPEN</x:v>
      </x:c>
    </x:row>
    <x:row r="30">
      <x:c r="B30" s="28" t="str">
        <x:v>RD-RFP-A1-24</x:v>
      </x:c>
      <x:c r="C30" s="28" t="str">
        <x:v>RFP-A1</x:v>
      </x:c>
      <x:c r="D30" s="28" t="str">
        <x:v>PTC-A</x:v>
      </x:c>
      <x:c r="E30" s="28" t="n">
        <x:v>24</x:v>
      </x:c>
      <x:c r="F30" s="28" t="str">
        <x:v>quarantine path</x:v>
      </x:c>
      <x:c r="G30" s="31" t="str"/>
      <x:c r="H30" s="31" t="str"/>
      <x:c r="I30" s="28" t="str">
        <x:f>IF(H30="","OPEN",IF(G30="","FAIL","PASS"))</x:f>
        <x:v>OPEN</x:v>
      </x:c>
    </x:row>
    <x:row r="31">
      <x:c r="B31" s="28" t="str">
        <x:v>RD-RFP-A2-01</x:v>
      </x:c>
      <x:c r="C31" s="28" t="str">
        <x:v>RFP-A2</x:v>
      </x:c>
      <x:c r="D31" s="28" t="str">
        <x:v>PTC-A</x:v>
      </x:c>
      <x:c r="E31" s="28" t="n">
        <x:v>1</x:v>
      </x:c>
      <x:c r="F31" s="28" t="str">
        <x:v>commissioning ladder state</x:v>
      </x:c>
      <x:c r="G31" s="31" t="str"/>
      <x:c r="H31" s="31" t="str"/>
      <x:c r="I31" s="28" t="str">
        <x:f>IF(H31="","OPEN",IF(G31="","FAIL","PASS"))</x:f>
        <x:v>OPEN</x:v>
      </x:c>
    </x:row>
    <x:row r="32">
      <x:c r="B32" s="28" t="str">
        <x:v>RD-RFP-A2-02</x:v>
      </x:c>
      <x:c r="C32" s="28" t="str">
        <x:v>RFP-A2</x:v>
      </x:c>
      <x:c r="D32" s="28" t="str">
        <x:v>PTC-A</x:v>
      </x:c>
      <x:c r="E32" s="28" t="n">
        <x:v>2</x:v>
      </x:c>
      <x:c r="F32" s="28" t="str">
        <x:v>public terrain datum</x:v>
      </x:c>
      <x:c r="G32" s="31" t="str"/>
      <x:c r="H32" s="31" t="str"/>
      <x:c r="I32" s="28" t="str">
        <x:f>IF(H32="","OPEN",IF(G32="","FAIL","PASS"))</x:f>
        <x:v>OPEN</x:v>
      </x:c>
    </x:row>
    <x:row r="33">
      <x:c r="B33" s="28" t="str">
        <x:v>RD-RFP-A2-03</x:v>
      </x:c>
      <x:c r="C33" s="28" t="str">
        <x:v>RFP-A2</x:v>
      </x:c>
      <x:c r="D33" s="28" t="str">
        <x:v>PTC-A</x:v>
      </x:c>
      <x:c r="E33" s="28" t="n">
        <x:v>3</x:v>
      </x:c>
      <x:c r="F33" s="28" t="str">
        <x:v>source dispenser isolated</x:v>
      </x:c>
      <x:c r="G33" s="31" t="str"/>
      <x:c r="H33" s="31" t="str"/>
      <x:c r="I33" s="28" t="str">
        <x:f>IF(H33="","OPEN",IF(G33="","FAIL","PASS"))</x:f>
        <x:v>OPEN</x:v>
      </x:c>
    </x:row>
    <x:row r="34">
      <x:c r="B34" s="28" t="str">
        <x:v>RD-RFP-A2-04</x:v>
      </x:c>
      <x:c r="C34" s="28" t="str">
        <x:v>RFP-A2</x:v>
      </x:c>
      <x:c r="D34" s="28" t="str">
        <x:v>PTC-A</x:v>
      </x:c>
      <x:c r="E34" s="28" t="n">
        <x:v>4</x:v>
      </x:c>
      <x:c r="F34" s="28" t="str">
        <x:v>source adapter blanked</x:v>
      </x:c>
      <x:c r="G34" s="31" t="str"/>
      <x:c r="H34" s="31" t="str"/>
      <x:c r="I34" s="28" t="str">
        <x:f>IF(H34="","OPEN",IF(G34="","FAIL","PASS"))</x:f>
        <x:v>OPEN</x:v>
      </x:c>
    </x:row>
    <x:row r="35">
      <x:c r="B35" s="28" t="str">
        <x:v>RD-RFP-A2-05</x:v>
      </x:c>
      <x:c r="C35" s="28" t="str">
        <x:v>RFP-A2</x:v>
      </x:c>
      <x:c r="D35" s="28" t="str">
        <x:v>PTC-A</x:v>
      </x:c>
      <x:c r="E35" s="28" t="n">
        <x:v>5</x:v>
      </x:c>
      <x:c r="F35" s="28" t="str">
        <x:v>normal source receiver empty</x:v>
      </x:c>
      <x:c r="G35" s="31" t="str"/>
      <x:c r="H35" s="31" t="str"/>
      <x:c r="I35" s="28" t="str">
        <x:f>IF(H35="","OPEN",IF(G35="","FAIL","PASS"))</x:f>
        <x:v>OPEN</x:v>
      </x:c>
    </x:row>
    <x:row r="36">
      <x:c r="B36" s="28" t="str">
        <x:v>RD-RFP-A2-06</x:v>
      </x:c>
      <x:c r="C36" s="28" t="str">
        <x:v>RFP-A2</x:v>
      </x:c>
      <x:c r="D36" s="28" t="str">
        <x:v>PTC-A</x:v>
      </x:c>
      <x:c r="E36" s="28" t="n">
        <x:v>6</x:v>
      </x:c>
      <x:c r="F36" s="28" t="str">
        <x:v>casualty-source receiver ready</x:v>
      </x:c>
      <x:c r="G36" s="31" t="str"/>
      <x:c r="H36" s="31" t="str"/>
      <x:c r="I36" s="28" t="str">
        <x:f>IF(H36="","OPEN",IF(G36="","FAIL","PASS"))</x:f>
        <x:v>OPEN</x:v>
      </x:c>
    </x:row>
    <x:row r="37">
      <x:c r="B37" s="28" t="str">
        <x:v>RD-RFP-A2-07</x:v>
      </x:c>
      <x:c r="C37" s="28" t="str">
        <x:v>RFP-A2</x:v>
      </x:c>
      <x:c r="D37" s="28" t="str">
        <x:v>PTC-A</x:v>
      </x:c>
      <x:c r="E37" s="28" t="n">
        <x:v>7</x:v>
      </x:c>
      <x:c r="F37" s="28" t="str">
        <x:v>normal water supply isolated</x:v>
      </x:c>
      <x:c r="G37" s="31" t="str"/>
      <x:c r="H37" s="31" t="str"/>
      <x:c r="I37" s="28" t="str">
        <x:f>IF(H37="","OPEN",IF(G37="","FAIL","PASS"))</x:f>
        <x:v>OPEN</x:v>
      </x:c>
    </x:row>
    <x:row r="38">
      <x:c r="B38" s="28" t="str">
        <x:v>RD-RFP-A2-08</x:v>
      </x:c>
      <x:c r="C38" s="28" t="str">
        <x:v>RFP-A2</x:v>
      </x:c>
      <x:c r="D38" s="28" t="str">
        <x:v>PTC-A</x:v>
      </x:c>
      <x:c r="E38" s="28" t="n">
        <x:v>8</x:v>
      </x:c>
      <x:c r="F38" s="28" t="str">
        <x:v>candidate water return ready</x:v>
      </x:c>
      <x:c r="G38" s="31" t="str"/>
      <x:c r="H38" s="31" t="str"/>
      <x:c r="I38" s="28" t="str">
        <x:f>IF(H38="","OPEN",IF(G38="","FAIL","PASS"))</x:f>
        <x:v>OPEN</x:v>
      </x:c>
    </x:row>
    <x:row r="39">
      <x:c r="B39" s="28" t="str">
        <x:v>RD-RFP-A2-09</x:v>
      </x:c>
      <x:c r="C39" s="28" t="str">
        <x:v>RFP-A2</x:v>
      </x:c>
      <x:c r="D39" s="28" t="str">
        <x:v>PTC-A</x:v>
      </x:c>
      <x:c r="E39" s="28" t="n">
        <x:v>9</x:v>
      </x:c>
      <x:c r="F39" s="28" t="str">
        <x:v>casualty-water receiver ready</x:v>
      </x:c>
      <x:c r="G39" s="31" t="str"/>
      <x:c r="H39" s="31" t="str"/>
      <x:c r="I39" s="28" t="str">
        <x:f>IF(H39="","OPEN",IF(G39="","FAIL","PASS"))</x:f>
        <x:v>OPEN</x:v>
      </x:c>
    </x:row>
    <x:row r="40">
      <x:c r="B40" s="28" t="str">
        <x:v>RD-RFP-A2-10</x:v>
      </x:c>
      <x:c r="C40" s="28" t="str">
        <x:v>RFP-A2</x:v>
      </x:c>
      <x:c r="D40" s="28" t="str">
        <x:v>PTC-A</x:v>
      </x:c>
      <x:c r="E40" s="28" t="n">
        <x:v>10</x:v>
      </x:c>
      <x:c r="F40" s="28" t="str">
        <x:v>thermal boundary inhibited</x:v>
      </x:c>
      <x:c r="G40" s="31" t="str"/>
      <x:c r="H40" s="31" t="str"/>
      <x:c r="I40" s="28" t="str">
        <x:f>IF(H40="","OPEN",IF(G40="","FAIL","PASS"))</x:f>
        <x:v>OPEN</x:v>
      </x:c>
    </x:row>
    <x:row r="41">
      <x:c r="B41" s="28" t="str">
        <x:v>RD-RFP-A2-11</x:v>
      </x:c>
      <x:c r="C41" s="28" t="str">
        <x:v>RFP-A2</x:v>
      </x:c>
      <x:c r="D41" s="28" t="str">
        <x:v>PTC-A</x:v>
      </x:c>
      <x:c r="E41" s="28" t="n">
        <x:v>11</x:v>
      </x:c>
      <x:c r="F41" s="28" t="str">
        <x:v>wind boundary inhibited</x:v>
      </x:c>
      <x:c r="G41" s="31" t="str"/>
      <x:c r="H41" s="31" t="str"/>
      <x:c r="I41" s="28" t="str">
        <x:f>IF(H41="","OPEN",IF(G41="","FAIL","PASS"))</x:f>
        <x:v>OPEN</x:v>
      </x:c>
    </x:row>
    <x:row r="42">
      <x:c r="B42" s="28" t="str">
        <x:v>RD-RFP-A2-12</x:v>
      </x:c>
      <x:c r="C42" s="28" t="str">
        <x:v>RFP-A2</x:v>
      </x:c>
      <x:c r="D42" s="28" t="str">
        <x:v>PTC-A</x:v>
      </x:c>
      <x:c r="E42" s="28" t="n">
        <x:v>12</x:v>
      </x:c>
      <x:c r="F42" s="28" t="str">
        <x:v>normal electrical power</x:v>
      </x:c>
      <x:c r="G42" s="31" t="str"/>
      <x:c r="H42" s="31" t="str"/>
      <x:c r="I42" s="28" t="str">
        <x:f>IF(H42="","OPEN",IF(G42="","FAIL","PASS"))</x:f>
        <x:v>OPEN</x:v>
      </x:c>
    </x:row>
    <x:row r="43">
      <x:c r="B43" s="28" t="str">
        <x:v>RD-RFP-A2-13</x:v>
      </x:c>
      <x:c r="C43" s="28" t="str">
        <x:v>RFP-A2</x:v>
      </x:c>
      <x:c r="D43" s="28" t="str">
        <x:v>PTC-A</x:v>
      </x:c>
      <x:c r="E43" s="28" t="n">
        <x:v>13</x:v>
      </x:c>
      <x:c r="F43" s="28" t="str">
        <x:v>independent safety energy</x:v>
      </x:c>
      <x:c r="G43" s="31" t="str"/>
      <x:c r="H43" s="31" t="str"/>
      <x:c r="I43" s="28" t="str">
        <x:f>IF(H43="","OPEN",IF(G43="","FAIL","PASS"))</x:f>
        <x:v>OPEN</x:v>
      </x:c>
    </x:row>
    <x:row r="44">
      <x:c r="B44" s="28" t="str">
        <x:v>RD-RFP-A2-14</x:v>
      </x:c>
      <x:c r="C44" s="28" t="str">
        <x:v>RFP-A2</x:v>
      </x:c>
      <x:c r="D44" s="28" t="str">
        <x:v>PTC-A</x:v>
      </x:c>
      <x:c r="E44" s="28" t="n">
        <x:v>14</x:v>
      </x:c>
      <x:c r="F44" s="28" t="str">
        <x:v>passive safeing path</x:v>
      </x:c>
      <x:c r="G44" s="31" t="str"/>
      <x:c r="H44" s="31" t="str"/>
      <x:c r="I44" s="28" t="str">
        <x:f>IF(H44="","OPEN",IF(G44="","FAIL","PASS"))</x:f>
        <x:v>OPEN</x:v>
      </x:c>
    </x:row>
    <x:row r="45">
      <x:c r="B45" s="28" t="str">
        <x:v>RD-RFP-A2-15</x:v>
      </x:c>
      <x:c r="C45" s="28" t="str">
        <x:v>RFP-A2</x:v>
      </x:c>
      <x:c r="D45" s="28" t="str">
        <x:v>PTC-A</x:v>
      </x:c>
      <x:c r="E45" s="28" t="n">
        <x:v>15</x:v>
      </x:c>
      <x:c r="F45" s="28" t="str">
        <x:v>analog safeing path</x:v>
      </x:c>
      <x:c r="G45" s="31" t="str"/>
      <x:c r="H45" s="31" t="str"/>
      <x:c r="I45" s="28" t="str">
        <x:f>IF(H45="","OPEN",IF(G45="","FAIL","PASS"))</x:f>
        <x:v>OPEN</x:v>
      </x:c>
    </x:row>
    <x:row r="46">
      <x:c r="B46" s="28" t="str">
        <x:v>RD-RFP-A2-16</x:v>
      </x:c>
      <x:c r="C46" s="28" t="str">
        <x:v>RFP-A2</x:v>
      </x:c>
      <x:c r="D46" s="28" t="str">
        <x:v>PTC-A</x:v>
      </x:c>
      <x:c r="E46" s="28" t="n">
        <x:v>16</x:v>
      </x:c>
      <x:c r="F46" s="28" t="str">
        <x:v>diverse programmable safeing</x:v>
      </x:c>
      <x:c r="G46" s="31" t="str"/>
      <x:c r="H46" s="31" t="str"/>
      <x:c r="I46" s="28" t="str">
        <x:f>IF(H46="","OPEN",IF(G46="","FAIL","PASS"))</x:f>
        <x:v>OPEN</x:v>
      </x:c>
    </x:row>
    <x:row r="47">
      <x:c r="B47" s="28" t="str">
        <x:v>RD-RFP-A2-17</x:v>
      </x:c>
      <x:c r="C47" s="28" t="str">
        <x:v>RFP-A2</x:v>
      </x:c>
      <x:c r="D47" s="28" t="str">
        <x:v>PTC-A</x:v>
      </x:c>
      <x:c r="E47" s="28" t="n">
        <x:v>17</x:v>
      </x:c>
      <x:c r="F47" s="28" t="str">
        <x:v>primary causal time</x:v>
      </x:c>
      <x:c r="G47" s="31" t="str"/>
      <x:c r="H47" s="31" t="str"/>
      <x:c r="I47" s="28" t="str">
        <x:f>IF(H47="","OPEN",IF(G47="","FAIL","PASS"))</x:f>
        <x:v>OPEN</x:v>
      </x:c>
    </x:row>
    <x:row r="48">
      <x:c r="B48" s="28" t="str">
        <x:v>RD-RFP-A2-18</x:v>
      </x:c>
      <x:c r="C48" s="28" t="str">
        <x:v>RFP-A2</x:v>
      </x:c>
      <x:c r="D48" s="28" t="str">
        <x:v>PTC-A</x:v>
      </x:c>
      <x:c r="E48" s="28" t="n">
        <x:v>18</x:v>
      </x:c>
      <x:c r="F48" s="28" t="str">
        <x:v>unlike local time</x:v>
      </x:c>
      <x:c r="G48" s="31" t="str"/>
      <x:c r="H48" s="31" t="str"/>
      <x:c r="I48" s="28" t="str">
        <x:f>IF(H48="","OPEN",IF(G48="","FAIL","PASS"))</x:f>
        <x:v>OPEN</x:v>
      </x:c>
    </x:row>
    <x:row r="49">
      <x:c r="B49" s="28" t="str">
        <x:v>RD-RFP-A2-19</x:v>
      </x:c>
      <x:c r="C49" s="28" t="str">
        <x:v>RFP-A2</x:v>
      </x:c>
      <x:c r="D49" s="28" t="str">
        <x:v>PTC-A</x:v>
      </x:c>
      <x:c r="E49" s="28" t="n">
        <x:v>19</x:v>
      </x:c>
      <x:c r="F49" s="28" t="str">
        <x:v>two evidence originals</x:v>
      </x:c>
      <x:c r="G49" s="31" t="str"/>
      <x:c r="H49" s="31" t="str"/>
      <x:c r="I49" s="28" t="str">
        <x:f>IF(H49="","OPEN",IF(G49="","FAIL","PASS"))</x:f>
        <x:v>OPEN</x:v>
      </x:c>
    </x:row>
    <x:row r="50">
      <x:c r="B50" s="28" t="str">
        <x:v>RD-RFP-A2-20</x:v>
      </x:c>
      <x:c r="C50" s="28" t="str">
        <x:v>RFP-A2</x:v>
      </x:c>
      <x:c r="D50" s="28" t="str">
        <x:v>PTC-A</x:v>
      </x:c>
      <x:c r="E50" s="28" t="n">
        <x:v>20</x:v>
      </x:c>
      <x:c r="F50" s="28" t="str">
        <x:v>environmental custody</x:v>
      </x:c>
      <x:c r="G50" s="31" t="str"/>
      <x:c r="H50" s="31" t="str"/>
      <x:c r="I50" s="28" t="str">
        <x:f>IF(H50="","OPEN",IF(G50="","FAIL","PASS"))</x:f>
        <x:v>OPEN</x:v>
      </x:c>
    </x:row>
    <x:row r="51">
      <x:c r="B51" s="28" t="str">
        <x:v>RD-RFP-A2-21</x:v>
      </x:c>
      <x:c r="C51" s="28" t="str">
        <x:v>RFP-A2</x:v>
      </x:c>
      <x:c r="D51" s="28" t="str">
        <x:v>PTC-A</x:v>
      </x:c>
      <x:c r="E51" s="28" t="n">
        <x:v>21</x:v>
      </x:c>
      <x:c r="F51" s="28" t="str">
        <x:v>robot corridors</x:v>
      </x:c>
      <x:c r="G51" s="31" t="str"/>
      <x:c r="H51" s="31" t="str"/>
      <x:c r="I51" s="28" t="str">
        <x:f>IF(H51="","OPEN",IF(G51="","FAIL","PASS"))</x:f>
        <x:v>OPEN</x:v>
      </x:c>
    </x:row>
    <x:row r="52">
      <x:c r="B52" s="28" t="str">
        <x:v>RD-RFP-A2-22</x:v>
      </x:c>
      <x:c r="C52" s="28" t="str">
        <x:v>RFP-A2</x:v>
      </x:c>
      <x:c r="D52" s="28" t="str">
        <x:v>PTC-A</x:v>
      </x:c>
      <x:c r="E52" s="28" t="n">
        <x:v>22</x:v>
      </x:c>
      <x:c r="F52" s="28" t="str">
        <x:v>rescue cell</x:v>
      </x:c>
      <x:c r="G52" s="31" t="str"/>
      <x:c r="H52" s="31" t="str"/>
      <x:c r="I52" s="28" t="str">
        <x:f>IF(H52="","OPEN",IF(G52="","FAIL","PASS"))</x:f>
        <x:v>OPEN</x:v>
      </x:c>
    </x:row>
    <x:row r="53">
      <x:c r="B53" s="28" t="str">
        <x:v>RD-RFP-A2-23</x:v>
      </x:c>
      <x:c r="C53" s="28" t="str">
        <x:v>RFP-A2</x:v>
      </x:c>
      <x:c r="D53" s="28" t="str">
        <x:v>PTC-A</x:v>
      </x:c>
      <x:c r="E53" s="28" t="n">
        <x:v>23</x:v>
      </x:c>
      <x:c r="F53" s="28" t="str">
        <x:v>decontamination lanes</x:v>
      </x:c>
      <x:c r="G53" s="31" t="str"/>
      <x:c r="H53" s="31" t="str"/>
      <x:c r="I53" s="28" t="str">
        <x:f>IF(H53="","OPEN",IF(G53="","FAIL","PASS"))</x:f>
        <x:v>OPEN</x:v>
      </x:c>
    </x:row>
    <x:row r="54">
      <x:c r="B54" s="28" t="str">
        <x:v>RD-RFP-A2-24</x:v>
      </x:c>
      <x:c r="C54" s="28" t="str">
        <x:v>RFP-A2</x:v>
      </x:c>
      <x:c r="D54" s="28" t="str">
        <x:v>PTC-A</x:v>
      </x:c>
      <x:c r="E54" s="28" t="n">
        <x:v>24</x:v>
      </x:c>
      <x:c r="F54" s="28" t="str">
        <x:v>quarantine path</x:v>
      </x:c>
      <x:c r="G54" s="31" t="str"/>
      <x:c r="H54" s="31" t="str"/>
      <x:c r="I54" s="28" t="str">
        <x:f>IF(H54="","OPEN",IF(G54="","FAIL","PASS"))</x:f>
        <x:v>OPEN</x:v>
      </x:c>
    </x:row>
    <x:row r="55">
      <x:c r="B55" s="28" t="str">
        <x:v>RD-RFP-B1-01</x:v>
      </x:c>
      <x:c r="C55" s="28" t="str">
        <x:v>RFP-B1</x:v>
      </x:c>
      <x:c r="D55" s="28" t="str">
        <x:v>PTC-B</x:v>
      </x:c>
      <x:c r="E55" s="28" t="n">
        <x:v>1</x:v>
      </x:c>
      <x:c r="F55" s="28" t="str">
        <x:v>commissioning ladder state</x:v>
      </x:c>
      <x:c r="G55" s="31" t="str"/>
      <x:c r="H55" s="31" t="str"/>
      <x:c r="I55" s="28" t="str">
        <x:f>IF(H55="","OPEN",IF(G55="","FAIL","PASS"))</x:f>
        <x:v>OPEN</x:v>
      </x:c>
    </x:row>
    <x:row r="56">
      <x:c r="B56" s="28" t="str">
        <x:v>RD-RFP-B1-02</x:v>
      </x:c>
      <x:c r="C56" s="28" t="str">
        <x:v>RFP-B1</x:v>
      </x:c>
      <x:c r="D56" s="28" t="str">
        <x:v>PTC-B</x:v>
      </x:c>
      <x:c r="E56" s="28" t="n">
        <x:v>2</x:v>
      </x:c>
      <x:c r="F56" s="28" t="str">
        <x:v>public terrain datum</x:v>
      </x:c>
      <x:c r="G56" s="31" t="str"/>
      <x:c r="H56" s="31" t="str"/>
      <x:c r="I56" s="28" t="str">
        <x:f>IF(H56="","OPEN",IF(G56="","FAIL","PASS"))</x:f>
        <x:v>OPEN</x:v>
      </x:c>
    </x:row>
    <x:row r="57">
      <x:c r="B57" s="28" t="str">
        <x:v>RD-RFP-B1-03</x:v>
      </x:c>
      <x:c r="C57" s="28" t="str">
        <x:v>RFP-B1</x:v>
      </x:c>
      <x:c r="D57" s="28" t="str">
        <x:v>PTC-B</x:v>
      </x:c>
      <x:c r="E57" s="28" t="n">
        <x:v>3</x:v>
      </x:c>
      <x:c r="F57" s="28" t="str">
        <x:v>source dispenser isolated</x:v>
      </x:c>
      <x:c r="G57" s="31" t="str"/>
      <x:c r="H57" s="31" t="str"/>
      <x:c r="I57" s="28" t="str">
        <x:f>IF(H57="","OPEN",IF(G57="","FAIL","PASS"))</x:f>
        <x:v>OPEN</x:v>
      </x:c>
    </x:row>
    <x:row r="58">
      <x:c r="B58" s="28" t="str">
        <x:v>RD-RFP-B1-04</x:v>
      </x:c>
      <x:c r="C58" s="28" t="str">
        <x:v>RFP-B1</x:v>
      </x:c>
      <x:c r="D58" s="28" t="str">
        <x:v>PTC-B</x:v>
      </x:c>
      <x:c r="E58" s="28" t="n">
        <x:v>4</x:v>
      </x:c>
      <x:c r="F58" s="28" t="str">
        <x:v>source adapter blanked</x:v>
      </x:c>
      <x:c r="G58" s="31" t="str"/>
      <x:c r="H58" s="31" t="str"/>
      <x:c r="I58" s="28" t="str">
        <x:f>IF(H58="","OPEN",IF(G58="","FAIL","PASS"))</x:f>
        <x:v>OPEN</x:v>
      </x:c>
    </x:row>
    <x:row r="59">
      <x:c r="B59" s="28" t="str">
        <x:v>RD-RFP-B1-05</x:v>
      </x:c>
      <x:c r="C59" s="28" t="str">
        <x:v>RFP-B1</x:v>
      </x:c>
      <x:c r="D59" s="28" t="str">
        <x:v>PTC-B</x:v>
      </x:c>
      <x:c r="E59" s="28" t="n">
        <x:v>5</x:v>
      </x:c>
      <x:c r="F59" s="28" t="str">
        <x:v>normal source receiver empty</x:v>
      </x:c>
      <x:c r="G59" s="31" t="str"/>
      <x:c r="H59" s="31" t="str"/>
      <x:c r="I59" s="28" t="str">
        <x:f>IF(H59="","OPEN",IF(G59="","FAIL","PASS"))</x:f>
        <x:v>OPEN</x:v>
      </x:c>
    </x:row>
    <x:row r="60">
      <x:c r="B60" s="28" t="str">
        <x:v>RD-RFP-B1-06</x:v>
      </x:c>
      <x:c r="C60" s="28" t="str">
        <x:v>RFP-B1</x:v>
      </x:c>
      <x:c r="D60" s="28" t="str">
        <x:v>PTC-B</x:v>
      </x:c>
      <x:c r="E60" s="28" t="n">
        <x:v>6</x:v>
      </x:c>
      <x:c r="F60" s="28" t="str">
        <x:v>casualty-source receiver ready</x:v>
      </x:c>
      <x:c r="G60" s="31" t="str"/>
      <x:c r="H60" s="31" t="str"/>
      <x:c r="I60" s="28" t="str">
        <x:f>IF(H60="","OPEN",IF(G60="","FAIL","PASS"))</x:f>
        <x:v>OPEN</x:v>
      </x:c>
    </x:row>
    <x:row r="61">
      <x:c r="B61" s="28" t="str">
        <x:v>RD-RFP-B1-07</x:v>
      </x:c>
      <x:c r="C61" s="28" t="str">
        <x:v>RFP-B1</x:v>
      </x:c>
      <x:c r="D61" s="28" t="str">
        <x:v>PTC-B</x:v>
      </x:c>
      <x:c r="E61" s="28" t="n">
        <x:v>7</x:v>
      </x:c>
      <x:c r="F61" s="28" t="str">
        <x:v>normal water supply isolated</x:v>
      </x:c>
      <x:c r="G61" s="31" t="str"/>
      <x:c r="H61" s="31" t="str"/>
      <x:c r="I61" s="28" t="str">
        <x:f>IF(H61="","OPEN",IF(G61="","FAIL","PASS"))</x:f>
        <x:v>OPEN</x:v>
      </x:c>
    </x:row>
    <x:row r="62">
      <x:c r="B62" s="28" t="str">
        <x:v>RD-RFP-B1-08</x:v>
      </x:c>
      <x:c r="C62" s="28" t="str">
        <x:v>RFP-B1</x:v>
      </x:c>
      <x:c r="D62" s="28" t="str">
        <x:v>PTC-B</x:v>
      </x:c>
      <x:c r="E62" s="28" t="n">
        <x:v>8</x:v>
      </x:c>
      <x:c r="F62" s="28" t="str">
        <x:v>candidate water return ready</x:v>
      </x:c>
      <x:c r="G62" s="31" t="str"/>
      <x:c r="H62" s="31" t="str"/>
      <x:c r="I62" s="28" t="str">
        <x:f>IF(H62="","OPEN",IF(G62="","FAIL","PASS"))</x:f>
        <x:v>OPEN</x:v>
      </x:c>
    </x:row>
    <x:row r="63">
      <x:c r="B63" s="28" t="str">
        <x:v>RD-RFP-B1-09</x:v>
      </x:c>
      <x:c r="C63" s="28" t="str">
        <x:v>RFP-B1</x:v>
      </x:c>
      <x:c r="D63" s="28" t="str">
        <x:v>PTC-B</x:v>
      </x:c>
      <x:c r="E63" s="28" t="n">
        <x:v>9</x:v>
      </x:c>
      <x:c r="F63" s="28" t="str">
        <x:v>casualty-water receiver ready</x:v>
      </x:c>
      <x:c r="G63" s="31" t="str"/>
      <x:c r="H63" s="31" t="str"/>
      <x:c r="I63" s="28" t="str">
        <x:f>IF(H63="","OPEN",IF(G63="","FAIL","PASS"))</x:f>
        <x:v>OPEN</x:v>
      </x:c>
    </x:row>
    <x:row r="64">
      <x:c r="B64" s="28" t="str">
        <x:v>RD-RFP-B1-10</x:v>
      </x:c>
      <x:c r="C64" s="28" t="str">
        <x:v>RFP-B1</x:v>
      </x:c>
      <x:c r="D64" s="28" t="str">
        <x:v>PTC-B</x:v>
      </x:c>
      <x:c r="E64" s="28" t="n">
        <x:v>10</x:v>
      </x:c>
      <x:c r="F64" s="28" t="str">
        <x:v>thermal boundary inhibited</x:v>
      </x:c>
      <x:c r="G64" s="31" t="str"/>
      <x:c r="H64" s="31" t="str"/>
      <x:c r="I64" s="28" t="str">
        <x:f>IF(H64="","OPEN",IF(G64="","FAIL","PASS"))</x:f>
        <x:v>OPEN</x:v>
      </x:c>
    </x:row>
    <x:row r="65">
      <x:c r="B65" s="28" t="str">
        <x:v>RD-RFP-B1-11</x:v>
      </x:c>
      <x:c r="C65" s="28" t="str">
        <x:v>RFP-B1</x:v>
      </x:c>
      <x:c r="D65" s="28" t="str">
        <x:v>PTC-B</x:v>
      </x:c>
      <x:c r="E65" s="28" t="n">
        <x:v>11</x:v>
      </x:c>
      <x:c r="F65" s="28" t="str">
        <x:v>wind boundary inhibited</x:v>
      </x:c>
      <x:c r="G65" s="31" t="str"/>
      <x:c r="H65" s="31" t="str"/>
      <x:c r="I65" s="28" t="str">
        <x:f>IF(H65="","OPEN",IF(G65="","FAIL","PASS"))</x:f>
        <x:v>OPEN</x:v>
      </x:c>
    </x:row>
    <x:row r="66">
      <x:c r="B66" s="28" t="str">
        <x:v>RD-RFP-B1-12</x:v>
      </x:c>
      <x:c r="C66" s="28" t="str">
        <x:v>RFP-B1</x:v>
      </x:c>
      <x:c r="D66" s="28" t="str">
        <x:v>PTC-B</x:v>
      </x:c>
      <x:c r="E66" s="28" t="n">
        <x:v>12</x:v>
      </x:c>
      <x:c r="F66" s="28" t="str">
        <x:v>normal electrical power</x:v>
      </x:c>
      <x:c r="G66" s="31" t="str"/>
      <x:c r="H66" s="31" t="str"/>
      <x:c r="I66" s="28" t="str">
        <x:f>IF(H66="","OPEN",IF(G66="","FAIL","PASS"))</x:f>
        <x:v>OPEN</x:v>
      </x:c>
    </x:row>
    <x:row r="67">
      <x:c r="B67" s="28" t="str">
        <x:v>RD-RFP-B1-13</x:v>
      </x:c>
      <x:c r="C67" s="28" t="str">
        <x:v>RFP-B1</x:v>
      </x:c>
      <x:c r="D67" s="28" t="str">
        <x:v>PTC-B</x:v>
      </x:c>
      <x:c r="E67" s="28" t="n">
        <x:v>13</x:v>
      </x:c>
      <x:c r="F67" s="28" t="str">
        <x:v>independent safety energy</x:v>
      </x:c>
      <x:c r="G67" s="31" t="str"/>
      <x:c r="H67" s="31" t="str"/>
      <x:c r="I67" s="28" t="str">
        <x:f>IF(H67="","OPEN",IF(G67="","FAIL","PASS"))</x:f>
        <x:v>OPEN</x:v>
      </x:c>
    </x:row>
    <x:row r="68">
      <x:c r="B68" s="28" t="str">
        <x:v>RD-RFP-B1-14</x:v>
      </x:c>
      <x:c r="C68" s="28" t="str">
        <x:v>RFP-B1</x:v>
      </x:c>
      <x:c r="D68" s="28" t="str">
        <x:v>PTC-B</x:v>
      </x:c>
      <x:c r="E68" s="28" t="n">
        <x:v>14</x:v>
      </x:c>
      <x:c r="F68" s="28" t="str">
        <x:v>passive safeing path</x:v>
      </x:c>
      <x:c r="G68" s="31" t="str"/>
      <x:c r="H68" s="31" t="str"/>
      <x:c r="I68" s="28" t="str">
        <x:f>IF(H68="","OPEN",IF(G68="","FAIL","PASS"))</x:f>
        <x:v>OPEN</x:v>
      </x:c>
    </x:row>
    <x:row r="69">
      <x:c r="B69" s="28" t="str">
        <x:v>RD-RFP-B1-15</x:v>
      </x:c>
      <x:c r="C69" s="28" t="str">
        <x:v>RFP-B1</x:v>
      </x:c>
      <x:c r="D69" s="28" t="str">
        <x:v>PTC-B</x:v>
      </x:c>
      <x:c r="E69" s="28" t="n">
        <x:v>15</x:v>
      </x:c>
      <x:c r="F69" s="28" t="str">
        <x:v>analog safeing path</x:v>
      </x:c>
      <x:c r="G69" s="31" t="str"/>
      <x:c r="H69" s="31" t="str"/>
      <x:c r="I69" s="28" t="str">
        <x:f>IF(H69="","OPEN",IF(G69="","FAIL","PASS"))</x:f>
        <x:v>OPEN</x:v>
      </x:c>
    </x:row>
    <x:row r="70">
      <x:c r="B70" s="28" t="str">
        <x:v>RD-RFP-B1-16</x:v>
      </x:c>
      <x:c r="C70" s="28" t="str">
        <x:v>RFP-B1</x:v>
      </x:c>
      <x:c r="D70" s="28" t="str">
        <x:v>PTC-B</x:v>
      </x:c>
      <x:c r="E70" s="28" t="n">
        <x:v>16</x:v>
      </x:c>
      <x:c r="F70" s="28" t="str">
        <x:v>diverse programmable safeing</x:v>
      </x:c>
      <x:c r="G70" s="31" t="str"/>
      <x:c r="H70" s="31" t="str"/>
      <x:c r="I70" s="28" t="str">
        <x:f>IF(H70="","OPEN",IF(G70="","FAIL","PASS"))</x:f>
        <x:v>OPEN</x:v>
      </x:c>
    </x:row>
    <x:row r="71">
      <x:c r="B71" s="28" t="str">
        <x:v>RD-RFP-B1-17</x:v>
      </x:c>
      <x:c r="C71" s="28" t="str">
        <x:v>RFP-B1</x:v>
      </x:c>
      <x:c r="D71" s="28" t="str">
        <x:v>PTC-B</x:v>
      </x:c>
      <x:c r="E71" s="28" t="n">
        <x:v>17</x:v>
      </x:c>
      <x:c r="F71" s="28" t="str">
        <x:v>primary causal time</x:v>
      </x:c>
      <x:c r="G71" s="31" t="str"/>
      <x:c r="H71" s="31" t="str"/>
      <x:c r="I71" s="28" t="str">
        <x:f>IF(H71="","OPEN",IF(G71="","FAIL","PASS"))</x:f>
        <x:v>OPEN</x:v>
      </x:c>
    </x:row>
    <x:row r="72">
      <x:c r="B72" s="28" t="str">
        <x:v>RD-RFP-B1-18</x:v>
      </x:c>
      <x:c r="C72" s="28" t="str">
        <x:v>RFP-B1</x:v>
      </x:c>
      <x:c r="D72" s="28" t="str">
        <x:v>PTC-B</x:v>
      </x:c>
      <x:c r="E72" s="28" t="n">
        <x:v>18</x:v>
      </x:c>
      <x:c r="F72" s="28" t="str">
        <x:v>unlike local time</x:v>
      </x:c>
      <x:c r="G72" s="31" t="str"/>
      <x:c r="H72" s="31" t="str"/>
      <x:c r="I72" s="28" t="str">
        <x:f>IF(H72="","OPEN",IF(G72="","FAIL","PASS"))</x:f>
        <x:v>OPEN</x:v>
      </x:c>
    </x:row>
    <x:row r="73">
      <x:c r="B73" s="28" t="str">
        <x:v>RD-RFP-B1-19</x:v>
      </x:c>
      <x:c r="C73" s="28" t="str">
        <x:v>RFP-B1</x:v>
      </x:c>
      <x:c r="D73" s="28" t="str">
        <x:v>PTC-B</x:v>
      </x:c>
      <x:c r="E73" s="28" t="n">
        <x:v>19</x:v>
      </x:c>
      <x:c r="F73" s="28" t="str">
        <x:v>two evidence originals</x:v>
      </x:c>
      <x:c r="G73" s="31" t="str"/>
      <x:c r="H73" s="31" t="str"/>
      <x:c r="I73" s="28" t="str">
        <x:f>IF(H73="","OPEN",IF(G73="","FAIL","PASS"))</x:f>
        <x:v>OPEN</x:v>
      </x:c>
    </x:row>
    <x:row r="74">
      <x:c r="B74" s="28" t="str">
        <x:v>RD-RFP-B1-20</x:v>
      </x:c>
      <x:c r="C74" s="28" t="str">
        <x:v>RFP-B1</x:v>
      </x:c>
      <x:c r="D74" s="28" t="str">
        <x:v>PTC-B</x:v>
      </x:c>
      <x:c r="E74" s="28" t="n">
        <x:v>20</x:v>
      </x:c>
      <x:c r="F74" s="28" t="str">
        <x:v>environmental custody</x:v>
      </x:c>
      <x:c r="G74" s="31" t="str"/>
      <x:c r="H74" s="31" t="str"/>
      <x:c r="I74" s="28" t="str">
        <x:f>IF(H74="","OPEN",IF(G74="","FAIL","PASS"))</x:f>
        <x:v>OPEN</x:v>
      </x:c>
    </x:row>
    <x:row r="75">
      <x:c r="B75" s="28" t="str">
        <x:v>RD-RFP-B1-21</x:v>
      </x:c>
      <x:c r="C75" s="28" t="str">
        <x:v>RFP-B1</x:v>
      </x:c>
      <x:c r="D75" s="28" t="str">
        <x:v>PTC-B</x:v>
      </x:c>
      <x:c r="E75" s="28" t="n">
        <x:v>21</x:v>
      </x:c>
      <x:c r="F75" s="28" t="str">
        <x:v>robot corridors</x:v>
      </x:c>
      <x:c r="G75" s="31" t="str"/>
      <x:c r="H75" s="31" t="str"/>
      <x:c r="I75" s="28" t="str">
        <x:f>IF(H75="","OPEN",IF(G75="","FAIL","PASS"))</x:f>
        <x:v>OPEN</x:v>
      </x:c>
    </x:row>
    <x:row r="76">
      <x:c r="B76" s="28" t="str">
        <x:v>RD-RFP-B1-22</x:v>
      </x:c>
      <x:c r="C76" s="28" t="str">
        <x:v>RFP-B1</x:v>
      </x:c>
      <x:c r="D76" s="28" t="str">
        <x:v>PTC-B</x:v>
      </x:c>
      <x:c r="E76" s="28" t="n">
        <x:v>22</x:v>
      </x:c>
      <x:c r="F76" s="28" t="str">
        <x:v>rescue cell</x:v>
      </x:c>
      <x:c r="G76" s="31" t="str"/>
      <x:c r="H76" s="31" t="str"/>
      <x:c r="I76" s="28" t="str">
        <x:f>IF(H76="","OPEN",IF(G76="","FAIL","PASS"))</x:f>
        <x:v>OPEN</x:v>
      </x:c>
    </x:row>
    <x:row r="77">
      <x:c r="B77" s="28" t="str">
        <x:v>RD-RFP-B1-23</x:v>
      </x:c>
      <x:c r="C77" s="28" t="str">
        <x:v>RFP-B1</x:v>
      </x:c>
      <x:c r="D77" s="28" t="str">
        <x:v>PTC-B</x:v>
      </x:c>
      <x:c r="E77" s="28" t="n">
        <x:v>23</x:v>
      </x:c>
      <x:c r="F77" s="28" t="str">
        <x:v>decontamination lanes</x:v>
      </x:c>
      <x:c r="G77" s="31" t="str"/>
      <x:c r="H77" s="31" t="str"/>
      <x:c r="I77" s="28" t="str">
        <x:f>IF(H77="","OPEN",IF(G77="","FAIL","PASS"))</x:f>
        <x:v>OPEN</x:v>
      </x:c>
    </x:row>
    <x:row r="78">
      <x:c r="B78" s="28" t="str">
        <x:v>RD-RFP-B1-24</x:v>
      </x:c>
      <x:c r="C78" s="28" t="str">
        <x:v>RFP-B1</x:v>
      </x:c>
      <x:c r="D78" s="28" t="str">
        <x:v>PTC-B</x:v>
      </x:c>
      <x:c r="E78" s="28" t="n">
        <x:v>24</x:v>
      </x:c>
      <x:c r="F78" s="28" t="str">
        <x:v>quarantine path</x:v>
      </x:c>
      <x:c r="G78" s="31" t="str"/>
      <x:c r="H78" s="31" t="str"/>
      <x:c r="I78" s="28" t="str">
        <x:f>IF(H78="","OPEN",IF(G78="","FAIL","PASS"))</x:f>
        <x:v>OPEN</x:v>
      </x:c>
    </x:row>
    <x:row r="79">
      <x:c r="B79" s="28" t="str">
        <x:v>RD-RFP-B2-01</x:v>
      </x:c>
      <x:c r="C79" s="28" t="str">
        <x:v>RFP-B2</x:v>
      </x:c>
      <x:c r="D79" s="28" t="str">
        <x:v>PTC-B</x:v>
      </x:c>
      <x:c r="E79" s="28" t="n">
        <x:v>1</x:v>
      </x:c>
      <x:c r="F79" s="28" t="str">
        <x:v>commissioning ladder state</x:v>
      </x:c>
      <x:c r="G79" s="31" t="str"/>
      <x:c r="H79" s="31" t="str"/>
      <x:c r="I79" s="28" t="str">
        <x:f>IF(H79="","OPEN",IF(G79="","FAIL","PASS"))</x:f>
        <x:v>OPEN</x:v>
      </x:c>
    </x:row>
    <x:row r="80">
      <x:c r="B80" s="28" t="str">
        <x:v>RD-RFP-B2-02</x:v>
      </x:c>
      <x:c r="C80" s="28" t="str">
        <x:v>RFP-B2</x:v>
      </x:c>
      <x:c r="D80" s="28" t="str">
        <x:v>PTC-B</x:v>
      </x:c>
      <x:c r="E80" s="28" t="n">
        <x:v>2</x:v>
      </x:c>
      <x:c r="F80" s="28" t="str">
        <x:v>public terrain datum</x:v>
      </x:c>
      <x:c r="G80" s="31" t="str"/>
      <x:c r="H80" s="31" t="str"/>
      <x:c r="I80" s="28" t="str">
        <x:f>IF(H80="","OPEN",IF(G80="","FAIL","PASS"))</x:f>
        <x:v>OPEN</x:v>
      </x:c>
    </x:row>
    <x:row r="81">
      <x:c r="B81" s="28" t="str">
        <x:v>RD-RFP-B2-03</x:v>
      </x:c>
      <x:c r="C81" s="28" t="str">
        <x:v>RFP-B2</x:v>
      </x:c>
      <x:c r="D81" s="28" t="str">
        <x:v>PTC-B</x:v>
      </x:c>
      <x:c r="E81" s="28" t="n">
        <x:v>3</x:v>
      </x:c>
      <x:c r="F81" s="28" t="str">
        <x:v>source dispenser isolated</x:v>
      </x:c>
      <x:c r="G81" s="31" t="str"/>
      <x:c r="H81" s="31" t="str"/>
      <x:c r="I81" s="28" t="str">
        <x:f>IF(H81="","OPEN",IF(G81="","FAIL","PASS"))</x:f>
        <x:v>OPEN</x:v>
      </x:c>
    </x:row>
    <x:row r="82">
      <x:c r="B82" s="28" t="str">
        <x:v>RD-RFP-B2-04</x:v>
      </x:c>
      <x:c r="C82" s="28" t="str">
        <x:v>RFP-B2</x:v>
      </x:c>
      <x:c r="D82" s="28" t="str">
        <x:v>PTC-B</x:v>
      </x:c>
      <x:c r="E82" s="28" t="n">
        <x:v>4</x:v>
      </x:c>
      <x:c r="F82" s="28" t="str">
        <x:v>source adapter blanked</x:v>
      </x:c>
      <x:c r="G82" s="31" t="str"/>
      <x:c r="H82" s="31" t="str"/>
      <x:c r="I82" s="28" t="str">
        <x:f>IF(H82="","OPEN",IF(G82="","FAIL","PASS"))</x:f>
        <x:v>OPEN</x:v>
      </x:c>
    </x:row>
    <x:row r="83">
      <x:c r="B83" s="28" t="str">
        <x:v>RD-RFP-B2-05</x:v>
      </x:c>
      <x:c r="C83" s="28" t="str">
        <x:v>RFP-B2</x:v>
      </x:c>
      <x:c r="D83" s="28" t="str">
        <x:v>PTC-B</x:v>
      </x:c>
      <x:c r="E83" s="28" t="n">
        <x:v>5</x:v>
      </x:c>
      <x:c r="F83" s="28" t="str">
        <x:v>normal source receiver empty</x:v>
      </x:c>
      <x:c r="G83" s="31" t="str"/>
      <x:c r="H83" s="31" t="str"/>
      <x:c r="I83" s="28" t="str">
        <x:f>IF(H83="","OPEN",IF(G83="","FAIL","PASS"))</x:f>
        <x:v>OPEN</x:v>
      </x:c>
    </x:row>
    <x:row r="84">
      <x:c r="B84" s="28" t="str">
        <x:v>RD-RFP-B2-06</x:v>
      </x:c>
      <x:c r="C84" s="28" t="str">
        <x:v>RFP-B2</x:v>
      </x:c>
      <x:c r="D84" s="28" t="str">
        <x:v>PTC-B</x:v>
      </x:c>
      <x:c r="E84" s="28" t="n">
        <x:v>6</x:v>
      </x:c>
      <x:c r="F84" s="28" t="str">
        <x:v>casualty-source receiver ready</x:v>
      </x:c>
      <x:c r="G84" s="31" t="str"/>
      <x:c r="H84" s="31" t="str"/>
      <x:c r="I84" s="28" t="str">
        <x:f>IF(H84="","OPEN",IF(G84="","FAIL","PASS"))</x:f>
        <x:v>OPEN</x:v>
      </x:c>
    </x:row>
    <x:row r="85">
      <x:c r="B85" s="28" t="str">
        <x:v>RD-RFP-B2-07</x:v>
      </x:c>
      <x:c r="C85" s="28" t="str">
        <x:v>RFP-B2</x:v>
      </x:c>
      <x:c r="D85" s="28" t="str">
        <x:v>PTC-B</x:v>
      </x:c>
      <x:c r="E85" s="28" t="n">
        <x:v>7</x:v>
      </x:c>
      <x:c r="F85" s="28" t="str">
        <x:v>normal water supply isolated</x:v>
      </x:c>
      <x:c r="G85" s="31" t="str"/>
      <x:c r="H85" s="31" t="str"/>
      <x:c r="I85" s="28" t="str">
        <x:f>IF(H85="","OPEN",IF(G85="","FAIL","PASS"))</x:f>
        <x:v>OPEN</x:v>
      </x:c>
    </x:row>
    <x:row r="86">
      <x:c r="B86" s="28" t="str">
        <x:v>RD-RFP-B2-08</x:v>
      </x:c>
      <x:c r="C86" s="28" t="str">
        <x:v>RFP-B2</x:v>
      </x:c>
      <x:c r="D86" s="28" t="str">
        <x:v>PTC-B</x:v>
      </x:c>
      <x:c r="E86" s="28" t="n">
        <x:v>8</x:v>
      </x:c>
      <x:c r="F86" s="28" t="str">
        <x:v>candidate water return ready</x:v>
      </x:c>
      <x:c r="G86" s="31" t="str"/>
      <x:c r="H86" s="31" t="str"/>
      <x:c r="I86" s="28" t="str">
        <x:f>IF(H86="","OPEN",IF(G86="","FAIL","PASS"))</x:f>
        <x:v>OPEN</x:v>
      </x:c>
    </x:row>
    <x:row r="87">
      <x:c r="B87" s="28" t="str">
        <x:v>RD-RFP-B2-09</x:v>
      </x:c>
      <x:c r="C87" s="28" t="str">
        <x:v>RFP-B2</x:v>
      </x:c>
      <x:c r="D87" s="28" t="str">
        <x:v>PTC-B</x:v>
      </x:c>
      <x:c r="E87" s="28" t="n">
        <x:v>9</x:v>
      </x:c>
      <x:c r="F87" s="28" t="str">
        <x:v>casualty-water receiver ready</x:v>
      </x:c>
      <x:c r="G87" s="31" t="str"/>
      <x:c r="H87" s="31" t="str"/>
      <x:c r="I87" s="28" t="str">
        <x:f>IF(H87="","OPEN",IF(G87="","FAIL","PASS"))</x:f>
        <x:v>OPEN</x:v>
      </x:c>
    </x:row>
    <x:row r="88">
      <x:c r="B88" s="28" t="str">
        <x:v>RD-RFP-B2-10</x:v>
      </x:c>
      <x:c r="C88" s="28" t="str">
        <x:v>RFP-B2</x:v>
      </x:c>
      <x:c r="D88" s="28" t="str">
        <x:v>PTC-B</x:v>
      </x:c>
      <x:c r="E88" s="28" t="n">
        <x:v>10</x:v>
      </x:c>
      <x:c r="F88" s="28" t="str">
        <x:v>thermal boundary inhibited</x:v>
      </x:c>
      <x:c r="G88" s="31" t="str"/>
      <x:c r="H88" s="31" t="str"/>
      <x:c r="I88" s="28" t="str">
        <x:f>IF(H88="","OPEN",IF(G88="","FAIL","PASS"))</x:f>
        <x:v>OPEN</x:v>
      </x:c>
    </x:row>
    <x:row r="89">
      <x:c r="B89" s="28" t="str">
        <x:v>RD-RFP-B2-11</x:v>
      </x:c>
      <x:c r="C89" s="28" t="str">
        <x:v>RFP-B2</x:v>
      </x:c>
      <x:c r="D89" s="28" t="str">
        <x:v>PTC-B</x:v>
      </x:c>
      <x:c r="E89" s="28" t="n">
        <x:v>11</x:v>
      </x:c>
      <x:c r="F89" s="28" t="str">
        <x:v>wind boundary inhibited</x:v>
      </x:c>
      <x:c r="G89" s="31" t="str"/>
      <x:c r="H89" s="31" t="str"/>
      <x:c r="I89" s="28" t="str">
        <x:f>IF(H89="","OPEN",IF(G89="","FAIL","PASS"))</x:f>
        <x:v>OPEN</x:v>
      </x:c>
    </x:row>
    <x:row r="90">
      <x:c r="B90" s="28" t="str">
        <x:v>RD-RFP-B2-12</x:v>
      </x:c>
      <x:c r="C90" s="28" t="str">
        <x:v>RFP-B2</x:v>
      </x:c>
      <x:c r="D90" s="28" t="str">
        <x:v>PTC-B</x:v>
      </x:c>
      <x:c r="E90" s="28" t="n">
        <x:v>12</x:v>
      </x:c>
      <x:c r="F90" s="28" t="str">
        <x:v>normal electrical power</x:v>
      </x:c>
      <x:c r="G90" s="31" t="str"/>
      <x:c r="H90" s="31" t="str"/>
      <x:c r="I90" s="28" t="str">
        <x:f>IF(H90="","OPEN",IF(G90="","FAIL","PASS"))</x:f>
        <x:v>OPEN</x:v>
      </x:c>
    </x:row>
    <x:row r="91">
      <x:c r="B91" s="28" t="str">
        <x:v>RD-RFP-B2-13</x:v>
      </x:c>
      <x:c r="C91" s="28" t="str">
        <x:v>RFP-B2</x:v>
      </x:c>
      <x:c r="D91" s="28" t="str">
        <x:v>PTC-B</x:v>
      </x:c>
      <x:c r="E91" s="28" t="n">
        <x:v>13</x:v>
      </x:c>
      <x:c r="F91" s="28" t="str">
        <x:v>independent safety energy</x:v>
      </x:c>
      <x:c r="G91" s="31" t="str"/>
      <x:c r="H91" s="31" t="str"/>
      <x:c r="I91" s="28" t="str">
        <x:f>IF(H91="","OPEN",IF(G91="","FAIL","PASS"))</x:f>
        <x:v>OPEN</x:v>
      </x:c>
    </x:row>
    <x:row r="92">
      <x:c r="B92" s="28" t="str">
        <x:v>RD-RFP-B2-14</x:v>
      </x:c>
      <x:c r="C92" s="28" t="str">
        <x:v>RFP-B2</x:v>
      </x:c>
      <x:c r="D92" s="28" t="str">
        <x:v>PTC-B</x:v>
      </x:c>
      <x:c r="E92" s="28" t="n">
        <x:v>14</x:v>
      </x:c>
      <x:c r="F92" s="28" t="str">
        <x:v>passive safeing path</x:v>
      </x:c>
      <x:c r="G92" s="31" t="str"/>
      <x:c r="H92" s="31" t="str"/>
      <x:c r="I92" s="28" t="str">
        <x:f>IF(H92="","OPEN",IF(G92="","FAIL","PASS"))</x:f>
        <x:v>OPEN</x:v>
      </x:c>
    </x:row>
    <x:row r="93">
      <x:c r="B93" s="28" t="str">
        <x:v>RD-RFP-B2-15</x:v>
      </x:c>
      <x:c r="C93" s="28" t="str">
        <x:v>RFP-B2</x:v>
      </x:c>
      <x:c r="D93" s="28" t="str">
        <x:v>PTC-B</x:v>
      </x:c>
      <x:c r="E93" s="28" t="n">
        <x:v>15</x:v>
      </x:c>
      <x:c r="F93" s="28" t="str">
        <x:v>analog safeing path</x:v>
      </x:c>
      <x:c r="G93" s="31" t="str"/>
      <x:c r="H93" s="31" t="str"/>
      <x:c r="I93" s="28" t="str">
        <x:f>IF(H93="","OPEN",IF(G93="","FAIL","PASS"))</x:f>
        <x:v>OPEN</x:v>
      </x:c>
    </x:row>
    <x:row r="94">
      <x:c r="B94" s="28" t="str">
        <x:v>RD-RFP-B2-16</x:v>
      </x:c>
      <x:c r="C94" s="28" t="str">
        <x:v>RFP-B2</x:v>
      </x:c>
      <x:c r="D94" s="28" t="str">
        <x:v>PTC-B</x:v>
      </x:c>
      <x:c r="E94" s="28" t="n">
        <x:v>16</x:v>
      </x:c>
      <x:c r="F94" s="28" t="str">
        <x:v>diverse programmable safeing</x:v>
      </x:c>
      <x:c r="G94" s="31" t="str"/>
      <x:c r="H94" s="31" t="str"/>
      <x:c r="I94" s="28" t="str">
        <x:f>IF(H94="","OPEN",IF(G94="","FAIL","PASS"))</x:f>
        <x:v>OPEN</x:v>
      </x:c>
    </x:row>
    <x:row r="95">
      <x:c r="B95" s="28" t="str">
        <x:v>RD-RFP-B2-17</x:v>
      </x:c>
      <x:c r="C95" s="28" t="str">
        <x:v>RFP-B2</x:v>
      </x:c>
      <x:c r="D95" s="28" t="str">
        <x:v>PTC-B</x:v>
      </x:c>
      <x:c r="E95" s="28" t="n">
        <x:v>17</x:v>
      </x:c>
      <x:c r="F95" s="28" t="str">
        <x:v>primary causal time</x:v>
      </x:c>
      <x:c r="G95" s="31" t="str"/>
      <x:c r="H95" s="31" t="str"/>
      <x:c r="I95" s="28" t="str">
        <x:f>IF(H95="","OPEN",IF(G95="","FAIL","PASS"))</x:f>
        <x:v>OPEN</x:v>
      </x:c>
    </x:row>
    <x:row r="96">
      <x:c r="B96" s="28" t="str">
        <x:v>RD-RFP-B2-18</x:v>
      </x:c>
      <x:c r="C96" s="28" t="str">
        <x:v>RFP-B2</x:v>
      </x:c>
      <x:c r="D96" s="28" t="str">
        <x:v>PTC-B</x:v>
      </x:c>
      <x:c r="E96" s="28" t="n">
        <x:v>18</x:v>
      </x:c>
      <x:c r="F96" s="28" t="str">
        <x:v>unlike local time</x:v>
      </x:c>
      <x:c r="G96" s="31" t="str"/>
      <x:c r="H96" s="31" t="str"/>
      <x:c r="I96" s="28" t="str">
        <x:f>IF(H96="","OPEN",IF(G96="","FAIL","PASS"))</x:f>
        <x:v>OPEN</x:v>
      </x:c>
    </x:row>
    <x:row r="97">
      <x:c r="B97" s="28" t="str">
        <x:v>RD-RFP-B2-19</x:v>
      </x:c>
      <x:c r="C97" s="28" t="str">
        <x:v>RFP-B2</x:v>
      </x:c>
      <x:c r="D97" s="28" t="str">
        <x:v>PTC-B</x:v>
      </x:c>
      <x:c r="E97" s="28" t="n">
        <x:v>19</x:v>
      </x:c>
      <x:c r="F97" s="28" t="str">
        <x:v>two evidence originals</x:v>
      </x:c>
      <x:c r="G97" s="31" t="str"/>
      <x:c r="H97" s="31" t="str"/>
      <x:c r="I97" s="28" t="str">
        <x:f>IF(H97="","OPEN",IF(G97="","FAIL","PASS"))</x:f>
        <x:v>OPEN</x:v>
      </x:c>
    </x:row>
    <x:row r="98">
      <x:c r="B98" s="28" t="str">
        <x:v>RD-RFP-B2-20</x:v>
      </x:c>
      <x:c r="C98" s="28" t="str">
        <x:v>RFP-B2</x:v>
      </x:c>
      <x:c r="D98" s="28" t="str">
        <x:v>PTC-B</x:v>
      </x:c>
      <x:c r="E98" s="28" t="n">
        <x:v>20</x:v>
      </x:c>
      <x:c r="F98" s="28" t="str">
        <x:v>environmental custody</x:v>
      </x:c>
      <x:c r="G98" s="31" t="str"/>
      <x:c r="H98" s="31" t="str"/>
      <x:c r="I98" s="28" t="str">
        <x:f>IF(H98="","OPEN",IF(G98="","FAIL","PASS"))</x:f>
        <x:v>OPEN</x:v>
      </x:c>
    </x:row>
    <x:row r="99">
      <x:c r="B99" s="28" t="str">
        <x:v>RD-RFP-B2-21</x:v>
      </x:c>
      <x:c r="C99" s="28" t="str">
        <x:v>RFP-B2</x:v>
      </x:c>
      <x:c r="D99" s="28" t="str">
        <x:v>PTC-B</x:v>
      </x:c>
      <x:c r="E99" s="28" t="n">
        <x:v>21</x:v>
      </x:c>
      <x:c r="F99" s="28" t="str">
        <x:v>robot corridors</x:v>
      </x:c>
      <x:c r="G99" s="31" t="str"/>
      <x:c r="H99" s="31" t="str"/>
      <x:c r="I99" s="28" t="str">
        <x:f>IF(H99="","OPEN",IF(G99="","FAIL","PASS"))</x:f>
        <x:v>OPEN</x:v>
      </x:c>
    </x:row>
    <x:row r="100">
      <x:c r="B100" s="28" t="str">
        <x:v>RD-RFP-B2-22</x:v>
      </x:c>
      <x:c r="C100" s="28" t="str">
        <x:v>RFP-B2</x:v>
      </x:c>
      <x:c r="D100" s="28" t="str">
        <x:v>PTC-B</x:v>
      </x:c>
      <x:c r="E100" s="28" t="n">
        <x:v>22</x:v>
      </x:c>
      <x:c r="F100" s="28" t="str">
        <x:v>rescue cell</x:v>
      </x:c>
      <x:c r="G100" s="31" t="str"/>
      <x:c r="H100" s="31" t="str"/>
      <x:c r="I100" s="28" t="str">
        <x:f>IF(H100="","OPEN",IF(G100="","FAIL","PASS"))</x:f>
        <x:v>OPEN</x:v>
      </x:c>
    </x:row>
    <x:row r="101">
      <x:c r="B101" s="28" t="str">
        <x:v>RD-RFP-B2-23</x:v>
      </x:c>
      <x:c r="C101" s="28" t="str">
        <x:v>RFP-B2</x:v>
      </x:c>
      <x:c r="D101" s="28" t="str">
        <x:v>PTC-B</x:v>
      </x:c>
      <x:c r="E101" s="28" t="n">
        <x:v>23</x:v>
      </x:c>
      <x:c r="F101" s="28" t="str">
        <x:v>decontamination lanes</x:v>
      </x:c>
      <x:c r="G101" s="31" t="str"/>
      <x:c r="H101" s="31" t="str"/>
      <x:c r="I101" s="28" t="str">
        <x:f>IF(H101="","OPEN",IF(G101="","FAIL","PASS"))</x:f>
        <x:v>OPEN</x:v>
      </x:c>
    </x:row>
    <x:row r="102">
      <x:c r="B102" s="28" t="str">
        <x:v>RD-RFP-B2-24</x:v>
      </x:c>
      <x:c r="C102" s="28" t="str">
        <x:v>RFP-B2</x:v>
      </x:c>
      <x:c r="D102" s="28" t="str">
        <x:v>PTC-B</x:v>
      </x:c>
      <x:c r="E102" s="28" t="n">
        <x:v>24</x:v>
      </x:c>
      <x:c r="F102" s="28" t="str">
        <x:v>quarantine path</x:v>
      </x:c>
      <x:c r="G102" s="31" t="str"/>
      <x:c r="H102" s="31" t="str"/>
      <x:c r="I102" s="28" t="str">
        <x:f>IF(H102="","OPEN",IF(G102="","FAIL","PASS"))</x:f>
        <x:v>OPEN</x:v>
      </x:c>
    </x:row>
    <x:row r="103">
      <x:c r="B103" s="28" t="str">
        <x:v>RD-RFP-C1-01</x:v>
      </x:c>
      <x:c r="C103" s="28" t="str">
        <x:v>RFP-C1</x:v>
      </x:c>
      <x:c r="D103" s="28" t="str">
        <x:v>PTC-C</x:v>
      </x:c>
      <x:c r="E103" s="28" t="n">
        <x:v>1</x:v>
      </x:c>
      <x:c r="F103" s="28" t="str">
        <x:v>commissioning ladder state</x:v>
      </x:c>
      <x:c r="G103" s="31" t="str"/>
      <x:c r="H103" s="31" t="str"/>
      <x:c r="I103" s="28" t="str">
        <x:f>IF(H103="","OPEN",IF(G103="","FAIL","PASS"))</x:f>
        <x:v>OPEN</x:v>
      </x:c>
    </x:row>
    <x:row r="104">
      <x:c r="B104" s="28" t="str">
        <x:v>RD-RFP-C1-02</x:v>
      </x:c>
      <x:c r="C104" s="28" t="str">
        <x:v>RFP-C1</x:v>
      </x:c>
      <x:c r="D104" s="28" t="str">
        <x:v>PTC-C</x:v>
      </x:c>
      <x:c r="E104" s="28" t="n">
        <x:v>2</x:v>
      </x:c>
      <x:c r="F104" s="28" t="str">
        <x:v>public terrain datum</x:v>
      </x:c>
      <x:c r="G104" s="31" t="str"/>
      <x:c r="H104" s="31" t="str"/>
      <x:c r="I104" s="28" t="str">
        <x:f>IF(H104="","OPEN",IF(G104="","FAIL","PASS"))</x:f>
        <x:v>OPEN</x:v>
      </x:c>
    </x:row>
    <x:row r="105">
      <x:c r="B105" s="28" t="str">
        <x:v>RD-RFP-C1-03</x:v>
      </x:c>
      <x:c r="C105" s="28" t="str">
        <x:v>RFP-C1</x:v>
      </x:c>
      <x:c r="D105" s="28" t="str">
        <x:v>PTC-C</x:v>
      </x:c>
      <x:c r="E105" s="28" t="n">
        <x:v>3</x:v>
      </x:c>
      <x:c r="F105" s="28" t="str">
        <x:v>source dispenser isolated</x:v>
      </x:c>
      <x:c r="G105" s="31" t="str"/>
      <x:c r="H105" s="31" t="str"/>
      <x:c r="I105" s="28" t="str">
        <x:f>IF(H105="","OPEN",IF(G105="","FAIL","PASS"))</x:f>
        <x:v>OPEN</x:v>
      </x:c>
    </x:row>
    <x:row r="106">
      <x:c r="B106" s="28" t="str">
        <x:v>RD-RFP-C1-04</x:v>
      </x:c>
      <x:c r="C106" s="28" t="str">
        <x:v>RFP-C1</x:v>
      </x:c>
      <x:c r="D106" s="28" t="str">
        <x:v>PTC-C</x:v>
      </x:c>
      <x:c r="E106" s="28" t="n">
        <x:v>4</x:v>
      </x:c>
      <x:c r="F106" s="28" t="str">
        <x:v>source adapter blanked</x:v>
      </x:c>
      <x:c r="G106" s="31" t="str"/>
      <x:c r="H106" s="31" t="str"/>
      <x:c r="I106" s="28" t="str">
        <x:f>IF(H106="","OPEN",IF(G106="","FAIL","PASS"))</x:f>
        <x:v>OPEN</x:v>
      </x:c>
    </x:row>
    <x:row r="107">
      <x:c r="B107" s="28" t="str">
        <x:v>RD-RFP-C1-05</x:v>
      </x:c>
      <x:c r="C107" s="28" t="str">
        <x:v>RFP-C1</x:v>
      </x:c>
      <x:c r="D107" s="28" t="str">
        <x:v>PTC-C</x:v>
      </x:c>
      <x:c r="E107" s="28" t="n">
        <x:v>5</x:v>
      </x:c>
      <x:c r="F107" s="28" t="str">
        <x:v>normal source receiver empty</x:v>
      </x:c>
      <x:c r="G107" s="31" t="str"/>
      <x:c r="H107" s="31" t="str"/>
      <x:c r="I107" s="28" t="str">
        <x:f>IF(H107="","OPEN",IF(G107="","FAIL","PASS"))</x:f>
        <x:v>OPEN</x:v>
      </x:c>
    </x:row>
    <x:row r="108">
      <x:c r="B108" s="28" t="str">
        <x:v>RD-RFP-C1-06</x:v>
      </x:c>
      <x:c r="C108" s="28" t="str">
        <x:v>RFP-C1</x:v>
      </x:c>
      <x:c r="D108" s="28" t="str">
        <x:v>PTC-C</x:v>
      </x:c>
      <x:c r="E108" s="28" t="n">
        <x:v>6</x:v>
      </x:c>
      <x:c r="F108" s="28" t="str">
        <x:v>casualty-source receiver ready</x:v>
      </x:c>
      <x:c r="G108" s="31" t="str"/>
      <x:c r="H108" s="31" t="str"/>
      <x:c r="I108" s="28" t="str">
        <x:f>IF(H108="","OPEN",IF(G108="","FAIL","PASS"))</x:f>
        <x:v>OPEN</x:v>
      </x:c>
    </x:row>
    <x:row r="109">
      <x:c r="B109" s="28" t="str">
        <x:v>RD-RFP-C1-07</x:v>
      </x:c>
      <x:c r="C109" s="28" t="str">
        <x:v>RFP-C1</x:v>
      </x:c>
      <x:c r="D109" s="28" t="str">
        <x:v>PTC-C</x:v>
      </x:c>
      <x:c r="E109" s="28" t="n">
        <x:v>7</x:v>
      </x:c>
      <x:c r="F109" s="28" t="str">
        <x:v>normal water supply isolated</x:v>
      </x:c>
      <x:c r="G109" s="31" t="str"/>
      <x:c r="H109" s="31" t="str"/>
      <x:c r="I109" s="28" t="str">
        <x:f>IF(H109="","OPEN",IF(G109="","FAIL","PASS"))</x:f>
        <x:v>OPEN</x:v>
      </x:c>
    </x:row>
    <x:row r="110">
      <x:c r="B110" s="28" t="str">
        <x:v>RD-RFP-C1-08</x:v>
      </x:c>
      <x:c r="C110" s="28" t="str">
        <x:v>RFP-C1</x:v>
      </x:c>
      <x:c r="D110" s="28" t="str">
        <x:v>PTC-C</x:v>
      </x:c>
      <x:c r="E110" s="28" t="n">
        <x:v>8</x:v>
      </x:c>
      <x:c r="F110" s="28" t="str">
        <x:v>candidate water return ready</x:v>
      </x:c>
      <x:c r="G110" s="31" t="str"/>
      <x:c r="H110" s="31" t="str"/>
      <x:c r="I110" s="28" t="str">
        <x:f>IF(H110="","OPEN",IF(G110="","FAIL","PASS"))</x:f>
        <x:v>OPEN</x:v>
      </x:c>
    </x:row>
    <x:row r="111">
      <x:c r="B111" s="28" t="str">
        <x:v>RD-RFP-C1-09</x:v>
      </x:c>
      <x:c r="C111" s="28" t="str">
        <x:v>RFP-C1</x:v>
      </x:c>
      <x:c r="D111" s="28" t="str">
        <x:v>PTC-C</x:v>
      </x:c>
      <x:c r="E111" s="28" t="n">
        <x:v>9</x:v>
      </x:c>
      <x:c r="F111" s="28" t="str">
        <x:v>casualty-water receiver ready</x:v>
      </x:c>
      <x:c r="G111" s="31" t="str"/>
      <x:c r="H111" s="31" t="str"/>
      <x:c r="I111" s="28" t="str">
        <x:f>IF(H111="","OPEN",IF(G111="","FAIL","PASS"))</x:f>
        <x:v>OPEN</x:v>
      </x:c>
    </x:row>
    <x:row r="112">
      <x:c r="B112" s="28" t="str">
        <x:v>RD-RFP-C1-10</x:v>
      </x:c>
      <x:c r="C112" s="28" t="str">
        <x:v>RFP-C1</x:v>
      </x:c>
      <x:c r="D112" s="28" t="str">
        <x:v>PTC-C</x:v>
      </x:c>
      <x:c r="E112" s="28" t="n">
        <x:v>10</x:v>
      </x:c>
      <x:c r="F112" s="28" t="str">
        <x:v>thermal boundary inhibited</x:v>
      </x:c>
      <x:c r="G112" s="31" t="str"/>
      <x:c r="H112" s="31" t="str"/>
      <x:c r="I112" s="28" t="str">
        <x:f>IF(H112="","OPEN",IF(G112="","FAIL","PASS"))</x:f>
        <x:v>OPEN</x:v>
      </x:c>
    </x:row>
    <x:row r="113">
      <x:c r="B113" s="28" t="str">
        <x:v>RD-RFP-C1-11</x:v>
      </x:c>
      <x:c r="C113" s="28" t="str">
        <x:v>RFP-C1</x:v>
      </x:c>
      <x:c r="D113" s="28" t="str">
        <x:v>PTC-C</x:v>
      </x:c>
      <x:c r="E113" s="28" t="n">
        <x:v>11</x:v>
      </x:c>
      <x:c r="F113" s="28" t="str">
        <x:v>wind boundary inhibited</x:v>
      </x:c>
      <x:c r="G113" s="31" t="str"/>
      <x:c r="H113" s="31" t="str"/>
      <x:c r="I113" s="28" t="str">
        <x:f>IF(H113="","OPEN",IF(G113="","FAIL","PASS"))</x:f>
        <x:v>OPEN</x:v>
      </x:c>
    </x:row>
    <x:row r="114">
      <x:c r="B114" s="28" t="str">
        <x:v>RD-RFP-C1-12</x:v>
      </x:c>
      <x:c r="C114" s="28" t="str">
        <x:v>RFP-C1</x:v>
      </x:c>
      <x:c r="D114" s="28" t="str">
        <x:v>PTC-C</x:v>
      </x:c>
      <x:c r="E114" s="28" t="n">
        <x:v>12</x:v>
      </x:c>
      <x:c r="F114" s="28" t="str">
        <x:v>normal electrical power</x:v>
      </x:c>
      <x:c r="G114" s="31" t="str"/>
      <x:c r="H114" s="31" t="str"/>
      <x:c r="I114" s="28" t="str">
        <x:f>IF(H114="","OPEN",IF(G114="","FAIL","PASS"))</x:f>
        <x:v>OPEN</x:v>
      </x:c>
    </x:row>
    <x:row r="115">
      <x:c r="B115" s="28" t="str">
        <x:v>RD-RFP-C1-13</x:v>
      </x:c>
      <x:c r="C115" s="28" t="str">
        <x:v>RFP-C1</x:v>
      </x:c>
      <x:c r="D115" s="28" t="str">
        <x:v>PTC-C</x:v>
      </x:c>
      <x:c r="E115" s="28" t="n">
        <x:v>13</x:v>
      </x:c>
      <x:c r="F115" s="28" t="str">
        <x:v>independent safety energy</x:v>
      </x:c>
      <x:c r="G115" s="31" t="str"/>
      <x:c r="H115" s="31" t="str"/>
      <x:c r="I115" s="28" t="str">
        <x:f>IF(H115="","OPEN",IF(G115="","FAIL","PASS"))</x:f>
        <x:v>OPEN</x:v>
      </x:c>
    </x:row>
    <x:row r="116">
      <x:c r="B116" s="28" t="str">
        <x:v>RD-RFP-C1-14</x:v>
      </x:c>
      <x:c r="C116" s="28" t="str">
        <x:v>RFP-C1</x:v>
      </x:c>
      <x:c r="D116" s="28" t="str">
        <x:v>PTC-C</x:v>
      </x:c>
      <x:c r="E116" s="28" t="n">
        <x:v>14</x:v>
      </x:c>
      <x:c r="F116" s="28" t="str">
        <x:v>passive safeing path</x:v>
      </x:c>
      <x:c r="G116" s="31" t="str"/>
      <x:c r="H116" s="31" t="str"/>
      <x:c r="I116" s="28" t="str">
        <x:f>IF(H116="","OPEN",IF(G116="","FAIL","PASS"))</x:f>
        <x:v>OPEN</x:v>
      </x:c>
    </x:row>
    <x:row r="117">
      <x:c r="B117" s="28" t="str">
        <x:v>RD-RFP-C1-15</x:v>
      </x:c>
      <x:c r="C117" s="28" t="str">
        <x:v>RFP-C1</x:v>
      </x:c>
      <x:c r="D117" s="28" t="str">
        <x:v>PTC-C</x:v>
      </x:c>
      <x:c r="E117" s="28" t="n">
        <x:v>15</x:v>
      </x:c>
      <x:c r="F117" s="28" t="str">
        <x:v>analog safeing path</x:v>
      </x:c>
      <x:c r="G117" s="31" t="str"/>
      <x:c r="H117" s="31" t="str"/>
      <x:c r="I117" s="28" t="str">
        <x:f>IF(H117="","OPEN",IF(G117="","FAIL","PASS"))</x:f>
        <x:v>OPEN</x:v>
      </x:c>
    </x:row>
    <x:row r="118">
      <x:c r="B118" s="28" t="str">
        <x:v>RD-RFP-C1-16</x:v>
      </x:c>
      <x:c r="C118" s="28" t="str">
        <x:v>RFP-C1</x:v>
      </x:c>
      <x:c r="D118" s="28" t="str">
        <x:v>PTC-C</x:v>
      </x:c>
      <x:c r="E118" s="28" t="n">
        <x:v>16</x:v>
      </x:c>
      <x:c r="F118" s="28" t="str">
        <x:v>diverse programmable safeing</x:v>
      </x:c>
      <x:c r="G118" s="31" t="str"/>
      <x:c r="H118" s="31" t="str"/>
      <x:c r="I118" s="28" t="str">
        <x:f>IF(H118="","OPEN",IF(G118="","FAIL","PASS"))</x:f>
        <x:v>OPEN</x:v>
      </x:c>
    </x:row>
    <x:row r="119">
      <x:c r="B119" s="28" t="str">
        <x:v>RD-RFP-C1-17</x:v>
      </x:c>
      <x:c r="C119" s="28" t="str">
        <x:v>RFP-C1</x:v>
      </x:c>
      <x:c r="D119" s="28" t="str">
        <x:v>PTC-C</x:v>
      </x:c>
      <x:c r="E119" s="28" t="n">
        <x:v>17</x:v>
      </x:c>
      <x:c r="F119" s="28" t="str">
        <x:v>primary causal time</x:v>
      </x:c>
      <x:c r="G119" s="31" t="str"/>
      <x:c r="H119" s="31" t="str"/>
      <x:c r="I119" s="28" t="str">
        <x:f>IF(H119="","OPEN",IF(G119="","FAIL","PASS"))</x:f>
        <x:v>OPEN</x:v>
      </x:c>
    </x:row>
    <x:row r="120">
      <x:c r="B120" s="28" t="str">
        <x:v>RD-RFP-C1-18</x:v>
      </x:c>
      <x:c r="C120" s="28" t="str">
        <x:v>RFP-C1</x:v>
      </x:c>
      <x:c r="D120" s="28" t="str">
        <x:v>PTC-C</x:v>
      </x:c>
      <x:c r="E120" s="28" t="n">
        <x:v>18</x:v>
      </x:c>
      <x:c r="F120" s="28" t="str">
        <x:v>unlike local time</x:v>
      </x:c>
      <x:c r="G120" s="31" t="str"/>
      <x:c r="H120" s="31" t="str"/>
      <x:c r="I120" s="28" t="str">
        <x:f>IF(H120="","OPEN",IF(G120="","FAIL","PASS"))</x:f>
        <x:v>OPEN</x:v>
      </x:c>
    </x:row>
    <x:row r="121">
      <x:c r="B121" s="28" t="str">
        <x:v>RD-RFP-C1-19</x:v>
      </x:c>
      <x:c r="C121" s="28" t="str">
        <x:v>RFP-C1</x:v>
      </x:c>
      <x:c r="D121" s="28" t="str">
        <x:v>PTC-C</x:v>
      </x:c>
      <x:c r="E121" s="28" t="n">
        <x:v>19</x:v>
      </x:c>
      <x:c r="F121" s="28" t="str">
        <x:v>two evidence originals</x:v>
      </x:c>
      <x:c r="G121" s="31" t="str"/>
      <x:c r="H121" s="31" t="str"/>
      <x:c r="I121" s="28" t="str">
        <x:f>IF(H121="","OPEN",IF(G121="","FAIL","PASS"))</x:f>
        <x:v>OPEN</x:v>
      </x:c>
    </x:row>
    <x:row r="122">
      <x:c r="B122" s="28" t="str">
        <x:v>RD-RFP-C1-20</x:v>
      </x:c>
      <x:c r="C122" s="28" t="str">
        <x:v>RFP-C1</x:v>
      </x:c>
      <x:c r="D122" s="28" t="str">
        <x:v>PTC-C</x:v>
      </x:c>
      <x:c r="E122" s="28" t="n">
        <x:v>20</x:v>
      </x:c>
      <x:c r="F122" s="28" t="str">
        <x:v>environmental custody</x:v>
      </x:c>
      <x:c r="G122" s="31" t="str"/>
      <x:c r="H122" s="31" t="str"/>
      <x:c r="I122" s="28" t="str">
        <x:f>IF(H122="","OPEN",IF(G122="","FAIL","PASS"))</x:f>
        <x:v>OPEN</x:v>
      </x:c>
    </x:row>
    <x:row r="123">
      <x:c r="B123" s="28" t="str">
        <x:v>RD-RFP-C1-21</x:v>
      </x:c>
      <x:c r="C123" s="28" t="str">
        <x:v>RFP-C1</x:v>
      </x:c>
      <x:c r="D123" s="28" t="str">
        <x:v>PTC-C</x:v>
      </x:c>
      <x:c r="E123" s="28" t="n">
        <x:v>21</x:v>
      </x:c>
      <x:c r="F123" s="28" t="str">
        <x:v>robot corridors</x:v>
      </x:c>
      <x:c r="G123" s="31" t="str"/>
      <x:c r="H123" s="31" t="str"/>
      <x:c r="I123" s="28" t="str">
        <x:f>IF(H123="","OPEN",IF(G123="","FAIL","PASS"))</x:f>
        <x:v>OPEN</x:v>
      </x:c>
    </x:row>
    <x:row r="124">
      <x:c r="B124" s="28" t="str">
        <x:v>RD-RFP-C1-22</x:v>
      </x:c>
      <x:c r="C124" s="28" t="str">
        <x:v>RFP-C1</x:v>
      </x:c>
      <x:c r="D124" s="28" t="str">
        <x:v>PTC-C</x:v>
      </x:c>
      <x:c r="E124" s="28" t="n">
        <x:v>22</x:v>
      </x:c>
      <x:c r="F124" s="28" t="str">
        <x:v>rescue cell</x:v>
      </x:c>
      <x:c r="G124" s="31" t="str"/>
      <x:c r="H124" s="31" t="str"/>
      <x:c r="I124" s="28" t="str">
        <x:f>IF(H124="","OPEN",IF(G124="","FAIL","PASS"))</x:f>
        <x:v>OPEN</x:v>
      </x:c>
    </x:row>
    <x:row r="125">
      <x:c r="B125" s="28" t="str">
        <x:v>RD-RFP-C1-23</x:v>
      </x:c>
      <x:c r="C125" s="28" t="str">
        <x:v>RFP-C1</x:v>
      </x:c>
      <x:c r="D125" s="28" t="str">
        <x:v>PTC-C</x:v>
      </x:c>
      <x:c r="E125" s="28" t="n">
        <x:v>23</x:v>
      </x:c>
      <x:c r="F125" s="28" t="str">
        <x:v>decontamination lanes</x:v>
      </x:c>
      <x:c r="G125" s="31" t="str"/>
      <x:c r="H125" s="31" t="str"/>
      <x:c r="I125" s="28" t="str">
        <x:f>IF(H125="","OPEN",IF(G125="","FAIL","PASS"))</x:f>
        <x:v>OPEN</x:v>
      </x:c>
    </x:row>
    <x:row r="126">
      <x:c r="B126" s="28" t="str">
        <x:v>RD-RFP-C1-24</x:v>
      </x:c>
      <x:c r="C126" s="28" t="str">
        <x:v>RFP-C1</x:v>
      </x:c>
      <x:c r="D126" s="28" t="str">
        <x:v>PTC-C</x:v>
      </x:c>
      <x:c r="E126" s="28" t="n">
        <x:v>24</x:v>
      </x:c>
      <x:c r="F126" s="28" t="str">
        <x:v>quarantine path</x:v>
      </x:c>
      <x:c r="G126" s="31" t="str"/>
      <x:c r="H126" s="31" t="str"/>
      <x:c r="I126" s="28" t="str">
        <x:f>IF(H126="","OPEN",IF(G126="","FAIL","PASS"))</x:f>
        <x:v>OPEN</x:v>
      </x:c>
    </x:row>
    <x:row r="127">
      <x:c r="B127" s="28" t="str">
        <x:v>RD-RFP-C2-01</x:v>
      </x:c>
      <x:c r="C127" s="28" t="str">
        <x:v>RFP-C2</x:v>
      </x:c>
      <x:c r="D127" s="28" t="str">
        <x:v>PTC-C</x:v>
      </x:c>
      <x:c r="E127" s="28" t="n">
        <x:v>1</x:v>
      </x:c>
      <x:c r="F127" s="28" t="str">
        <x:v>commissioning ladder state</x:v>
      </x:c>
      <x:c r="G127" s="31" t="str"/>
      <x:c r="H127" s="31" t="str"/>
      <x:c r="I127" s="28" t="str">
        <x:f>IF(H127="","OPEN",IF(G127="","FAIL","PASS"))</x:f>
        <x:v>OPEN</x:v>
      </x:c>
    </x:row>
    <x:row r="128">
      <x:c r="B128" s="28" t="str">
        <x:v>RD-RFP-C2-02</x:v>
      </x:c>
      <x:c r="C128" s="28" t="str">
        <x:v>RFP-C2</x:v>
      </x:c>
      <x:c r="D128" s="28" t="str">
        <x:v>PTC-C</x:v>
      </x:c>
      <x:c r="E128" s="28" t="n">
        <x:v>2</x:v>
      </x:c>
      <x:c r="F128" s="28" t="str">
        <x:v>public terrain datum</x:v>
      </x:c>
      <x:c r="G128" s="31" t="str"/>
      <x:c r="H128" s="31" t="str"/>
      <x:c r="I128" s="28" t="str">
        <x:f>IF(H128="","OPEN",IF(G128="","FAIL","PASS"))</x:f>
        <x:v>OPEN</x:v>
      </x:c>
    </x:row>
    <x:row r="129">
      <x:c r="B129" s="28" t="str">
        <x:v>RD-RFP-C2-03</x:v>
      </x:c>
      <x:c r="C129" s="28" t="str">
        <x:v>RFP-C2</x:v>
      </x:c>
      <x:c r="D129" s="28" t="str">
        <x:v>PTC-C</x:v>
      </x:c>
      <x:c r="E129" s="28" t="n">
        <x:v>3</x:v>
      </x:c>
      <x:c r="F129" s="28" t="str">
        <x:v>source dispenser isolated</x:v>
      </x:c>
      <x:c r="G129" s="31" t="str"/>
      <x:c r="H129" s="31" t="str"/>
      <x:c r="I129" s="28" t="str">
        <x:f>IF(H129="","OPEN",IF(G129="","FAIL","PASS"))</x:f>
        <x:v>OPEN</x:v>
      </x:c>
    </x:row>
    <x:row r="130">
      <x:c r="B130" s="28" t="str">
        <x:v>RD-RFP-C2-04</x:v>
      </x:c>
      <x:c r="C130" s="28" t="str">
        <x:v>RFP-C2</x:v>
      </x:c>
      <x:c r="D130" s="28" t="str">
        <x:v>PTC-C</x:v>
      </x:c>
      <x:c r="E130" s="28" t="n">
        <x:v>4</x:v>
      </x:c>
      <x:c r="F130" s="28" t="str">
        <x:v>source adapter blanked</x:v>
      </x:c>
      <x:c r="G130" s="31" t="str"/>
      <x:c r="H130" s="31" t="str"/>
      <x:c r="I130" s="28" t="str">
        <x:f>IF(H130="","OPEN",IF(G130="","FAIL","PASS"))</x:f>
        <x:v>OPEN</x:v>
      </x:c>
    </x:row>
    <x:row r="131">
      <x:c r="B131" s="28" t="str">
        <x:v>RD-RFP-C2-05</x:v>
      </x:c>
      <x:c r="C131" s="28" t="str">
        <x:v>RFP-C2</x:v>
      </x:c>
      <x:c r="D131" s="28" t="str">
        <x:v>PTC-C</x:v>
      </x:c>
      <x:c r="E131" s="28" t="n">
        <x:v>5</x:v>
      </x:c>
      <x:c r="F131" s="28" t="str">
        <x:v>normal source receiver empty</x:v>
      </x:c>
      <x:c r="G131" s="31" t="str"/>
      <x:c r="H131" s="31" t="str"/>
      <x:c r="I131" s="28" t="str">
        <x:f>IF(H131="","OPEN",IF(G131="","FAIL","PASS"))</x:f>
        <x:v>OPEN</x:v>
      </x:c>
    </x:row>
    <x:row r="132">
      <x:c r="B132" s="28" t="str">
        <x:v>RD-RFP-C2-06</x:v>
      </x:c>
      <x:c r="C132" s="28" t="str">
        <x:v>RFP-C2</x:v>
      </x:c>
      <x:c r="D132" s="28" t="str">
        <x:v>PTC-C</x:v>
      </x:c>
      <x:c r="E132" s="28" t="n">
        <x:v>6</x:v>
      </x:c>
      <x:c r="F132" s="28" t="str">
        <x:v>casualty-source receiver ready</x:v>
      </x:c>
      <x:c r="G132" s="31" t="str"/>
      <x:c r="H132" s="31" t="str"/>
      <x:c r="I132" s="28" t="str">
        <x:f>IF(H132="","OPEN",IF(G132="","FAIL","PASS"))</x:f>
        <x:v>OPEN</x:v>
      </x:c>
    </x:row>
    <x:row r="133">
      <x:c r="B133" s="28" t="str">
        <x:v>RD-RFP-C2-07</x:v>
      </x:c>
      <x:c r="C133" s="28" t="str">
        <x:v>RFP-C2</x:v>
      </x:c>
      <x:c r="D133" s="28" t="str">
        <x:v>PTC-C</x:v>
      </x:c>
      <x:c r="E133" s="28" t="n">
        <x:v>7</x:v>
      </x:c>
      <x:c r="F133" s="28" t="str">
        <x:v>normal water supply isolated</x:v>
      </x:c>
      <x:c r="G133" s="31" t="str"/>
      <x:c r="H133" s="31" t="str"/>
      <x:c r="I133" s="28" t="str">
        <x:f>IF(H133="","OPEN",IF(G133="","FAIL","PASS"))</x:f>
        <x:v>OPEN</x:v>
      </x:c>
    </x:row>
    <x:row r="134">
      <x:c r="B134" s="28" t="str">
        <x:v>RD-RFP-C2-08</x:v>
      </x:c>
      <x:c r="C134" s="28" t="str">
        <x:v>RFP-C2</x:v>
      </x:c>
      <x:c r="D134" s="28" t="str">
        <x:v>PTC-C</x:v>
      </x:c>
      <x:c r="E134" s="28" t="n">
        <x:v>8</x:v>
      </x:c>
      <x:c r="F134" s="28" t="str">
        <x:v>candidate water return ready</x:v>
      </x:c>
      <x:c r="G134" s="31" t="str"/>
      <x:c r="H134" s="31" t="str"/>
      <x:c r="I134" s="28" t="str">
        <x:f>IF(H134="","OPEN",IF(G134="","FAIL","PASS"))</x:f>
        <x:v>OPEN</x:v>
      </x:c>
    </x:row>
    <x:row r="135">
      <x:c r="B135" s="28" t="str">
        <x:v>RD-RFP-C2-09</x:v>
      </x:c>
      <x:c r="C135" s="28" t="str">
        <x:v>RFP-C2</x:v>
      </x:c>
      <x:c r="D135" s="28" t="str">
        <x:v>PTC-C</x:v>
      </x:c>
      <x:c r="E135" s="28" t="n">
        <x:v>9</x:v>
      </x:c>
      <x:c r="F135" s="28" t="str">
        <x:v>casualty-water receiver ready</x:v>
      </x:c>
      <x:c r="G135" s="31" t="str"/>
      <x:c r="H135" s="31" t="str"/>
      <x:c r="I135" s="28" t="str">
        <x:f>IF(H135="","OPEN",IF(G135="","FAIL","PASS"))</x:f>
        <x:v>OPEN</x:v>
      </x:c>
    </x:row>
    <x:row r="136">
      <x:c r="B136" s="28" t="str">
        <x:v>RD-RFP-C2-10</x:v>
      </x:c>
      <x:c r="C136" s="28" t="str">
        <x:v>RFP-C2</x:v>
      </x:c>
      <x:c r="D136" s="28" t="str">
        <x:v>PTC-C</x:v>
      </x:c>
      <x:c r="E136" s="28" t="n">
        <x:v>10</x:v>
      </x:c>
      <x:c r="F136" s="28" t="str">
        <x:v>thermal boundary inhibited</x:v>
      </x:c>
      <x:c r="G136" s="31" t="str"/>
      <x:c r="H136" s="31" t="str"/>
      <x:c r="I136" s="28" t="str">
        <x:f>IF(H136="","OPEN",IF(G136="","FAIL","PASS"))</x:f>
        <x:v>OPEN</x:v>
      </x:c>
    </x:row>
    <x:row r="137">
      <x:c r="B137" s="28" t="str">
        <x:v>RD-RFP-C2-11</x:v>
      </x:c>
      <x:c r="C137" s="28" t="str">
        <x:v>RFP-C2</x:v>
      </x:c>
      <x:c r="D137" s="28" t="str">
        <x:v>PTC-C</x:v>
      </x:c>
      <x:c r="E137" s="28" t="n">
        <x:v>11</x:v>
      </x:c>
      <x:c r="F137" s="28" t="str">
        <x:v>wind boundary inhibited</x:v>
      </x:c>
      <x:c r="G137" s="31" t="str"/>
      <x:c r="H137" s="31" t="str"/>
      <x:c r="I137" s="28" t="str">
        <x:f>IF(H137="","OPEN",IF(G137="","FAIL","PASS"))</x:f>
        <x:v>OPEN</x:v>
      </x:c>
    </x:row>
    <x:row r="138">
      <x:c r="B138" s="28" t="str">
        <x:v>RD-RFP-C2-12</x:v>
      </x:c>
      <x:c r="C138" s="28" t="str">
        <x:v>RFP-C2</x:v>
      </x:c>
      <x:c r="D138" s="28" t="str">
        <x:v>PTC-C</x:v>
      </x:c>
      <x:c r="E138" s="28" t="n">
        <x:v>12</x:v>
      </x:c>
      <x:c r="F138" s="28" t="str">
        <x:v>normal electrical power</x:v>
      </x:c>
      <x:c r="G138" s="31" t="str"/>
      <x:c r="H138" s="31" t="str"/>
      <x:c r="I138" s="28" t="str">
        <x:f>IF(H138="","OPEN",IF(G138="","FAIL","PASS"))</x:f>
        <x:v>OPEN</x:v>
      </x:c>
    </x:row>
    <x:row r="139">
      <x:c r="B139" s="28" t="str">
        <x:v>RD-RFP-C2-13</x:v>
      </x:c>
      <x:c r="C139" s="28" t="str">
        <x:v>RFP-C2</x:v>
      </x:c>
      <x:c r="D139" s="28" t="str">
        <x:v>PTC-C</x:v>
      </x:c>
      <x:c r="E139" s="28" t="n">
        <x:v>13</x:v>
      </x:c>
      <x:c r="F139" s="28" t="str">
        <x:v>independent safety energy</x:v>
      </x:c>
      <x:c r="G139" s="31" t="str"/>
      <x:c r="H139" s="31" t="str"/>
      <x:c r="I139" s="28" t="str">
        <x:f>IF(H139="","OPEN",IF(G139="","FAIL","PASS"))</x:f>
        <x:v>OPEN</x:v>
      </x:c>
    </x:row>
    <x:row r="140">
      <x:c r="B140" s="28" t="str">
        <x:v>RD-RFP-C2-14</x:v>
      </x:c>
      <x:c r="C140" s="28" t="str">
        <x:v>RFP-C2</x:v>
      </x:c>
      <x:c r="D140" s="28" t="str">
        <x:v>PTC-C</x:v>
      </x:c>
      <x:c r="E140" s="28" t="n">
        <x:v>14</x:v>
      </x:c>
      <x:c r="F140" s="28" t="str">
        <x:v>passive safeing path</x:v>
      </x:c>
      <x:c r="G140" s="31" t="str"/>
      <x:c r="H140" s="31" t="str"/>
      <x:c r="I140" s="28" t="str">
        <x:f>IF(H140="","OPEN",IF(G140="","FAIL","PASS"))</x:f>
        <x:v>OPEN</x:v>
      </x:c>
    </x:row>
    <x:row r="141">
      <x:c r="B141" s="28" t="str">
        <x:v>RD-RFP-C2-15</x:v>
      </x:c>
      <x:c r="C141" s="28" t="str">
        <x:v>RFP-C2</x:v>
      </x:c>
      <x:c r="D141" s="28" t="str">
        <x:v>PTC-C</x:v>
      </x:c>
      <x:c r="E141" s="28" t="n">
        <x:v>15</x:v>
      </x:c>
      <x:c r="F141" s="28" t="str">
        <x:v>analog safeing path</x:v>
      </x:c>
      <x:c r="G141" s="31" t="str"/>
      <x:c r="H141" s="31" t="str"/>
      <x:c r="I141" s="28" t="str">
        <x:f>IF(H141="","OPEN",IF(G141="","FAIL","PASS"))</x:f>
        <x:v>OPEN</x:v>
      </x:c>
    </x:row>
    <x:row r="142">
      <x:c r="B142" s="28" t="str">
        <x:v>RD-RFP-C2-16</x:v>
      </x:c>
      <x:c r="C142" s="28" t="str">
        <x:v>RFP-C2</x:v>
      </x:c>
      <x:c r="D142" s="28" t="str">
        <x:v>PTC-C</x:v>
      </x:c>
      <x:c r="E142" s="28" t="n">
        <x:v>16</x:v>
      </x:c>
      <x:c r="F142" s="28" t="str">
        <x:v>diverse programmable safeing</x:v>
      </x:c>
      <x:c r="G142" s="31" t="str"/>
      <x:c r="H142" s="31" t="str"/>
      <x:c r="I142" s="28" t="str">
        <x:f>IF(H142="","OPEN",IF(G142="","FAIL","PASS"))</x:f>
        <x:v>OPEN</x:v>
      </x:c>
    </x:row>
    <x:row r="143">
      <x:c r="B143" s="28" t="str">
        <x:v>RD-RFP-C2-17</x:v>
      </x:c>
      <x:c r="C143" s="28" t="str">
        <x:v>RFP-C2</x:v>
      </x:c>
      <x:c r="D143" s="28" t="str">
        <x:v>PTC-C</x:v>
      </x:c>
      <x:c r="E143" s="28" t="n">
        <x:v>17</x:v>
      </x:c>
      <x:c r="F143" s="28" t="str">
        <x:v>primary causal time</x:v>
      </x:c>
      <x:c r="G143" s="31" t="str"/>
      <x:c r="H143" s="31" t="str"/>
      <x:c r="I143" s="28" t="str">
        <x:f>IF(H143="","OPEN",IF(G143="","FAIL","PASS"))</x:f>
        <x:v>OPEN</x:v>
      </x:c>
    </x:row>
    <x:row r="144">
      <x:c r="B144" s="28" t="str">
        <x:v>RD-RFP-C2-18</x:v>
      </x:c>
      <x:c r="C144" s="28" t="str">
        <x:v>RFP-C2</x:v>
      </x:c>
      <x:c r="D144" s="28" t="str">
        <x:v>PTC-C</x:v>
      </x:c>
      <x:c r="E144" s="28" t="n">
        <x:v>18</x:v>
      </x:c>
      <x:c r="F144" s="28" t="str">
        <x:v>unlike local time</x:v>
      </x:c>
      <x:c r="G144" s="31" t="str"/>
      <x:c r="H144" s="31" t="str"/>
      <x:c r="I144" s="28" t="str">
        <x:f>IF(H144="","OPEN",IF(G144="","FAIL","PASS"))</x:f>
        <x:v>OPEN</x:v>
      </x:c>
    </x:row>
    <x:row r="145">
      <x:c r="B145" s="28" t="str">
        <x:v>RD-RFP-C2-19</x:v>
      </x:c>
      <x:c r="C145" s="28" t="str">
        <x:v>RFP-C2</x:v>
      </x:c>
      <x:c r="D145" s="28" t="str">
        <x:v>PTC-C</x:v>
      </x:c>
      <x:c r="E145" s="28" t="n">
        <x:v>19</x:v>
      </x:c>
      <x:c r="F145" s="28" t="str">
        <x:v>two evidence originals</x:v>
      </x:c>
      <x:c r="G145" s="31" t="str"/>
      <x:c r="H145" s="31" t="str"/>
      <x:c r="I145" s="28" t="str">
        <x:f>IF(H145="","OPEN",IF(G145="","FAIL","PASS"))</x:f>
        <x:v>OPEN</x:v>
      </x:c>
    </x:row>
    <x:row r="146">
      <x:c r="B146" s="28" t="str">
        <x:v>RD-RFP-C2-20</x:v>
      </x:c>
      <x:c r="C146" s="28" t="str">
        <x:v>RFP-C2</x:v>
      </x:c>
      <x:c r="D146" s="28" t="str">
        <x:v>PTC-C</x:v>
      </x:c>
      <x:c r="E146" s="28" t="n">
        <x:v>20</x:v>
      </x:c>
      <x:c r="F146" s="28" t="str">
        <x:v>environmental custody</x:v>
      </x:c>
      <x:c r="G146" s="31" t="str"/>
      <x:c r="H146" s="31" t="str"/>
      <x:c r="I146" s="28" t="str">
        <x:f>IF(H146="","OPEN",IF(G146="","FAIL","PASS"))</x:f>
        <x:v>OPEN</x:v>
      </x:c>
    </x:row>
    <x:row r="147">
      <x:c r="B147" s="28" t="str">
        <x:v>RD-RFP-C2-21</x:v>
      </x:c>
      <x:c r="C147" s="28" t="str">
        <x:v>RFP-C2</x:v>
      </x:c>
      <x:c r="D147" s="28" t="str">
        <x:v>PTC-C</x:v>
      </x:c>
      <x:c r="E147" s="28" t="n">
        <x:v>21</x:v>
      </x:c>
      <x:c r="F147" s="28" t="str">
        <x:v>robot corridors</x:v>
      </x:c>
      <x:c r="G147" s="31" t="str"/>
      <x:c r="H147" s="31" t="str"/>
      <x:c r="I147" s="28" t="str">
        <x:f>IF(H147="","OPEN",IF(G147="","FAIL","PASS"))</x:f>
        <x:v>OPEN</x:v>
      </x:c>
    </x:row>
    <x:row r="148">
      <x:c r="B148" s="28" t="str">
        <x:v>RD-RFP-C2-22</x:v>
      </x:c>
      <x:c r="C148" s="28" t="str">
        <x:v>RFP-C2</x:v>
      </x:c>
      <x:c r="D148" s="28" t="str">
        <x:v>PTC-C</x:v>
      </x:c>
      <x:c r="E148" s="28" t="n">
        <x:v>22</x:v>
      </x:c>
      <x:c r="F148" s="28" t="str">
        <x:v>rescue cell</x:v>
      </x:c>
      <x:c r="G148" s="31" t="str"/>
      <x:c r="H148" s="31" t="str"/>
      <x:c r="I148" s="28" t="str">
        <x:f>IF(H148="","OPEN",IF(G148="","FAIL","PASS"))</x:f>
        <x:v>OPEN</x:v>
      </x:c>
    </x:row>
    <x:row r="149">
      <x:c r="B149" s="28" t="str">
        <x:v>RD-RFP-C2-23</x:v>
      </x:c>
      <x:c r="C149" s="28" t="str">
        <x:v>RFP-C2</x:v>
      </x:c>
      <x:c r="D149" s="28" t="str">
        <x:v>PTC-C</x:v>
      </x:c>
      <x:c r="E149" s="28" t="n">
        <x:v>23</x:v>
      </x:c>
      <x:c r="F149" s="28" t="str">
        <x:v>decontamination lanes</x:v>
      </x:c>
      <x:c r="G149" s="31" t="str"/>
      <x:c r="H149" s="31" t="str"/>
      <x:c r="I149" s="28" t="str">
        <x:f>IF(H149="","OPEN",IF(G149="","FAIL","PASS"))</x:f>
        <x:v>OPEN</x:v>
      </x:c>
    </x:row>
    <x:row r="150">
      <x:c r="B150" s="28" t="str">
        <x:v>RD-RFP-C2-24</x:v>
      </x:c>
      <x:c r="C150" s="28" t="str">
        <x:v>RFP-C2</x:v>
      </x:c>
      <x:c r="D150" s="28" t="str">
        <x:v>PTC-C</x:v>
      </x:c>
      <x:c r="E150" s="28" t="n">
        <x:v>24</x:v>
      </x:c>
      <x:c r="F150" s="28" t="str">
        <x:v>quarantine path</x:v>
      </x:c>
      <x:c r="G150" s="31" t="str"/>
      <x:c r="H150" s="31" t="str"/>
      <x:c r="I150" s="28" t="str">
        <x:f>IF(H150="","OPEN",IF(G150="","FAIL","PASS"))</x:f>
        <x:v>OPEN</x:v>
      </x:c>
    </x:row>
  </x:sheetData>
  <x:conditionalFormatting sqref="I7:I150">
    <x:cfRule type="containsText" dxfId="66" priority="1" operator="containsText" text="FAIL"/>
    <x:cfRule type="containsText" dxfId="67" priority="2" operator="containsText" text="BLOCKED"/>
    <x:cfRule type="containsText" dxfId="68" priority="3" operator="containsText" text="EXPIRED"/>
    <x:cfRule type="containsText" dxfId="69" priority="4" operator="containsText" text="OPEN"/>
    <x:cfRule type="containsText" dxfId="70" priority="5" operator="containsText" text="DORMANT"/>
    <x:cfRule type="containsText" dxfId="71" priority="6" operator="containsText" text="PASS"/>
  </x:conditionalFormatting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7" hidden="0" customWidth="1"/>
    <x:col min="3" max="3" width="16" hidden="0" customWidth="1"/>
    <x:col min="4" max="4" width="14" hidden="0" customWidth="1"/>
    <x:col min="5" max="5" width="14" hidden="0" customWidth="1"/>
    <x:col min="6" max="6" width="12" hidden="0" customWidth="1"/>
    <x:col min="7" max="7" width="52" hidden="0" customWidth="1"/>
    <x:col min="8" max="8" width="34" hidden="0" customWidth="1"/>
    <x:col min="9" max="9" width="21" hidden="0" customWidth="1"/>
    <x:col min="10" max="10" width="14" hidden="0" customWidth="1"/>
  </x:cols>
  <x:sheetData>
    <x:row r="2">
      <x:c r="B2" s="25" t="str">
        <x:v>One hundred eight article-rig pair records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27" t="str">
        <x:v>The pair is the smallest operational readiness object. Article and rig acceptance remain necessary but insufficient alone.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6" t="str">
        <x:v>Record</x:v>
      </x:c>
      <x:c r="C6" s="6" t="str">
        <x:v>Pair</x:v>
      </x:c>
      <x:c r="D6" s="6" t="str">
        <x:v>Rig</x:v>
      </x:c>
      <x:c r="E6" s="6" t="str">
        <x:v>Campus</x:v>
      </x:c>
      <x:c r="F6" s="6" t="str">
        <x:v>Domain</x:v>
      </x:c>
      <x:c r="G6" s="6" t="str">
        <x:v>Requirement</x:v>
      </x:c>
      <x:c r="H6" s="6" t="str">
        <x:v>Evidence root</x:v>
      </x:c>
      <x:c r="I6" s="6" t="str">
        <x:v>Accepted UTC</x:v>
      </x:c>
      <x:c r="J6" s="6" t="str">
        <x:v>State</x:v>
      </x:c>
    </x:row>
    <x:row r="7">
      <x:c r="B7" s="28" t="str">
        <x:v>PD-PAIR-A1-01</x:v>
      </x:c>
      <x:c r="C7" s="28" t="str">
        <x:v>PAIR-A1</x:v>
      </x:c>
      <x:c r="D7" s="28" t="str">
        <x:v>RFP-A1</x:v>
      </x:c>
      <x:c r="E7" s="28" t="str">
        <x:v>PTC-A</x:v>
      </x:c>
      <x:c r="F7" s="28" t="n">
        <x:v>1</x:v>
      </x:c>
      <x:c r="G7" s="28" t="str">
        <x:v>operational article received</x:v>
      </x:c>
      <x:c r="H7" s="31" t="str"/>
      <x:c r="I7" s="31" t="str"/>
      <x:c r="J7" s="28" t="str">
        <x:f>IF(I7="","OPEN",IF(H7="","FAIL","PASS"))</x:f>
        <x:v>OPEN</x:v>
      </x:c>
    </x:row>
    <x:row r="8">
      <x:c r="B8" s="28" t="str">
        <x:v>PD-PAIR-A1-02</x:v>
      </x:c>
      <x:c r="C8" s="28" t="str">
        <x:v>PAIR-A1</x:v>
      </x:c>
      <x:c r="D8" s="28" t="str">
        <x:v>RFP-A1</x:v>
      </x:c>
      <x:c r="E8" s="28" t="str">
        <x:v>PTC-A</x:v>
      </x:c>
      <x:c r="F8" s="28" t="n">
        <x:v>2</x:v>
      </x:c>
      <x:c r="G8" s="28" t="str">
        <x:v>functional twin received</x:v>
      </x:c>
      <x:c r="H8" s="31" t="str"/>
      <x:c r="I8" s="31" t="str"/>
      <x:c r="J8" s="28" t="str">
        <x:f>IF(I8="","OPEN",IF(H8="","FAIL","PASS"))</x:f>
        <x:v>OPEN</x:v>
      </x:c>
    </x:row>
    <x:row r="9">
      <x:c r="B9" s="28" t="str">
        <x:v>PD-PAIR-A1-03</x:v>
      </x:c>
      <x:c r="C9" s="28" t="str">
        <x:v>PAIR-A1</x:v>
      </x:c>
      <x:c r="D9" s="28" t="str">
        <x:v>RFP-A1</x:v>
      </x:c>
      <x:c r="E9" s="28" t="str">
        <x:v>PTC-A</x:v>
      </x:c>
      <x:c r="F9" s="28" t="n">
        <x:v>3</x:v>
      </x:c>
      <x:c r="G9" s="28" t="str">
        <x:v>home assignment accepted</x:v>
      </x:c>
      <x:c r="H9" s="31" t="str"/>
      <x:c r="I9" s="31" t="str"/>
      <x:c r="J9" s="28" t="str">
        <x:f>IF(I9="","OPEN",IF(H9="","FAIL","PASS"))</x:f>
        <x:v>OPEN</x:v>
      </x:c>
    </x:row>
    <x:row r="10">
      <x:c r="B10" s="28" t="str">
        <x:v>PD-PAIR-A1-04</x:v>
      </x:c>
      <x:c r="C10" s="28" t="str">
        <x:v>PAIR-A1</x:v>
      </x:c>
      <x:c r="D10" s="28" t="str">
        <x:v>RFP-A1</x:v>
      </x:c>
      <x:c r="E10" s="28" t="str">
        <x:v>PTC-A</x:v>
      </x:c>
      <x:c r="F10" s="28" t="n">
        <x:v>4</x:v>
      </x:c>
      <x:c r="G10" s="28" t="str">
        <x:v>six-rig circuit complete</x:v>
      </x:c>
      <x:c r="H10" s="31" t="str"/>
      <x:c r="I10" s="31" t="str"/>
      <x:c r="J10" s="28" t="str">
        <x:f>IF(I10="","OPEN",IF(H10="","FAIL","PASS"))</x:f>
        <x:v>OPEN</x:v>
      </x:c>
    </x:row>
    <x:row r="11">
      <x:c r="B11" s="28" t="str">
        <x:v>PD-PAIR-A1-05</x:v>
      </x:c>
      <x:c r="C11" s="28" t="str">
        <x:v>PAIR-A1</x:v>
      </x:c>
      <x:c r="D11" s="28" t="str">
        <x:v>RFP-A1</x:v>
      </x:c>
      <x:c r="E11" s="28" t="str">
        <x:v>PTC-A</x:v>
      </x:c>
      <x:c r="F11" s="28" t="n">
        <x:v>5</x:v>
      </x:c>
      <x:c r="G11" s="28" t="str">
        <x:v>home docking accepted</x:v>
      </x:c>
      <x:c r="H11" s="31" t="str"/>
      <x:c r="I11" s="31" t="str"/>
      <x:c r="J11" s="28" t="str">
        <x:f>IF(I11="","OPEN",IF(H11="","FAIL","PASS"))</x:f>
        <x:v>OPEN</x:v>
      </x:c>
    </x:row>
    <x:row r="12">
      <x:c r="B12" s="28" t="str">
        <x:v>PD-PAIR-A1-06</x:v>
      </x:c>
      <x:c r="C12" s="28" t="str">
        <x:v>PAIR-A1</x:v>
      </x:c>
      <x:c r="D12" s="28" t="str">
        <x:v>RFP-A1</x:v>
      </x:c>
      <x:c r="E12" s="28" t="str">
        <x:v>PTC-A</x:v>
      </x:c>
      <x:c r="F12" s="28" t="n">
        <x:v>6</x:v>
      </x:c>
      <x:c r="G12" s="28" t="str">
        <x:v>calibration circuit accepted</x:v>
      </x:c>
      <x:c r="H12" s="31" t="str"/>
      <x:c r="I12" s="31" t="str"/>
      <x:c r="J12" s="28" t="str">
        <x:f>IF(I12="","OPEN",IF(H12="","FAIL","PASS"))</x:f>
        <x:v>OPEN</x:v>
      </x:c>
    </x:row>
    <x:row r="13">
      <x:c r="B13" s="28" t="str">
        <x:v>PD-PAIR-A1-07</x:v>
      </x:c>
      <x:c r="C13" s="28" t="str">
        <x:v>PAIR-A1</x:v>
      </x:c>
      <x:c r="D13" s="28" t="str">
        <x:v>RFP-A1</x:v>
      </x:c>
      <x:c r="E13" s="28" t="str">
        <x:v>PTC-A</x:v>
      </x:c>
      <x:c r="F13" s="28" t="n">
        <x:v>7</x:v>
      </x:c>
      <x:c r="G13" s="28" t="str">
        <x:v>source interface isolated</x:v>
      </x:c>
      <x:c r="H13" s="31" t="str"/>
      <x:c r="I13" s="31" t="str"/>
      <x:c r="J13" s="28" t="str">
        <x:f>IF(I13="","OPEN",IF(H13="","FAIL","PASS"))</x:f>
        <x:v>OPEN</x:v>
      </x:c>
    </x:row>
    <x:row r="14">
      <x:c r="B14" s="28" t="str">
        <x:v>PD-PAIR-A1-08</x:v>
      </x:c>
      <x:c r="C14" s="28" t="str">
        <x:v>PAIR-A1</x:v>
      </x:c>
      <x:c r="D14" s="28" t="str">
        <x:v>RFP-A1</x:v>
      </x:c>
      <x:c r="E14" s="28" t="str">
        <x:v>PTC-A</x:v>
      </x:c>
      <x:c r="F14" s="28" t="n">
        <x:v>8</x:v>
      </x:c>
      <x:c r="G14" s="28" t="str">
        <x:v>water interface isolated</x:v>
      </x:c>
      <x:c r="H14" s="31" t="str"/>
      <x:c r="I14" s="31" t="str"/>
      <x:c r="J14" s="28" t="str">
        <x:f>IF(I14="","OPEN",IF(H14="","FAIL","PASS"))</x:f>
        <x:v>OPEN</x:v>
      </x:c>
    </x:row>
    <x:row r="15">
      <x:c r="B15" s="28" t="str">
        <x:v>PD-PAIR-A1-09</x:v>
      </x:c>
      <x:c r="C15" s="28" t="str">
        <x:v>PAIR-A1</x:v>
      </x:c>
      <x:c r="D15" s="28" t="str">
        <x:v>RFP-A1</x:v>
      </x:c>
      <x:c r="E15" s="28" t="str">
        <x:v>PTC-A</x:v>
      </x:c>
      <x:c r="F15" s="28" t="n">
        <x:v>9</x:v>
      </x:c>
      <x:c r="G15" s="28" t="str">
        <x:v>containment interface accepted</x:v>
      </x:c>
      <x:c r="H15" s="31" t="str"/>
      <x:c r="I15" s="31" t="str"/>
      <x:c r="J15" s="28" t="str">
        <x:f>IF(I15="","OPEN",IF(H15="","FAIL","PASS"))</x:f>
        <x:v>OPEN</x:v>
      </x:c>
    </x:row>
    <x:row r="16">
      <x:c r="B16" s="28" t="str">
        <x:v>PD-PAIR-A1-10</x:v>
      </x:c>
      <x:c r="C16" s="28" t="str">
        <x:v>PAIR-A1</x:v>
      </x:c>
      <x:c r="D16" s="28" t="str">
        <x:v>RFP-A1</x:v>
      </x:c>
      <x:c r="E16" s="28" t="str">
        <x:v>PTC-A</x:v>
      </x:c>
      <x:c r="F16" s="28" t="n">
        <x:v>10</x:v>
      </x:c>
      <x:c r="G16" s="28" t="str">
        <x:v>normal and safety power accepted</x:v>
      </x:c>
      <x:c r="H16" s="31" t="str"/>
      <x:c r="I16" s="31" t="str"/>
      <x:c r="J16" s="28" t="str">
        <x:f>IF(I16="","OPEN",IF(H16="","FAIL","PASS"))</x:f>
        <x:v>OPEN</x:v>
      </x:c>
    </x:row>
    <x:row r="17">
      <x:c r="B17" s="28" t="str">
        <x:v>PD-PAIR-A1-11</x:v>
      </x:c>
      <x:c r="C17" s="28" t="str">
        <x:v>PAIR-A1</x:v>
      </x:c>
      <x:c r="D17" s="28" t="str">
        <x:v>RFP-A1</x:v>
      </x:c>
      <x:c r="E17" s="28" t="str">
        <x:v>PTC-A</x:v>
      </x:c>
      <x:c r="F17" s="28" t="n">
        <x:v>11</x:v>
      </x:c>
      <x:c r="G17" s="28" t="str">
        <x:v>causal time accepted</x:v>
      </x:c>
      <x:c r="H17" s="31" t="str"/>
      <x:c r="I17" s="31" t="str"/>
      <x:c r="J17" s="28" t="str">
        <x:f>IF(I17="","OPEN",IF(H17="","FAIL","PASS"))</x:f>
        <x:v>OPEN</x:v>
      </x:c>
    </x:row>
    <x:row r="18">
      <x:c r="B18" s="28" t="str">
        <x:v>PD-PAIR-A1-12</x:v>
      </x:c>
      <x:c r="C18" s="28" t="str">
        <x:v>PAIR-A1</x:v>
      </x:c>
      <x:c r="D18" s="28" t="str">
        <x:v>RFP-A1</x:v>
      </x:c>
      <x:c r="E18" s="28" t="str">
        <x:v>PTC-A</x:v>
      </x:c>
      <x:c r="F18" s="28" t="n">
        <x:v>12</x:v>
      </x:c>
      <x:c r="G18" s="28" t="str">
        <x:v>evidence roots accepted</x:v>
      </x:c>
      <x:c r="H18" s="31" t="str"/>
      <x:c r="I18" s="31" t="str"/>
      <x:c r="J18" s="28" t="str">
        <x:f>IF(I18="","OPEN",IF(H18="","FAIL","PASS"))</x:f>
        <x:v>OPEN</x:v>
      </x:c>
    </x:row>
    <x:row r="19">
      <x:c r="B19" s="28" t="str">
        <x:v>PD-PAIR-A1-13</x:v>
      </x:c>
      <x:c r="C19" s="28" t="str">
        <x:v>PAIR-A1</x:v>
      </x:c>
      <x:c r="D19" s="28" t="str">
        <x:v>RFP-A1</x:v>
      </x:c>
      <x:c r="E19" s="28" t="str">
        <x:v>PTC-A</x:v>
      </x:c>
      <x:c r="F19" s="28" t="n">
        <x:v>13</x:v>
      </x:c>
      <x:c r="G19" s="28" t="str">
        <x:v>safeing state accepted</x:v>
      </x:c>
      <x:c r="H19" s="31" t="str"/>
      <x:c r="I19" s="31" t="str"/>
      <x:c r="J19" s="28" t="str">
        <x:f>IF(I19="","OPEN",IF(H19="","FAIL","PASS"))</x:f>
        <x:v>OPEN</x:v>
      </x:c>
    </x:row>
    <x:row r="20">
      <x:c r="B20" s="28" t="str">
        <x:v>PD-PAIR-A1-14</x:v>
      </x:c>
      <x:c r="C20" s="28" t="str">
        <x:v>PAIR-A1</x:v>
      </x:c>
      <x:c r="D20" s="28" t="str">
        <x:v>RFP-A1</x:v>
      </x:c>
      <x:c r="E20" s="28" t="str">
        <x:v>PTC-A</x:v>
      </x:c>
      <x:c r="F20" s="28" t="n">
        <x:v>14</x:v>
      </x:c>
      <x:c r="G20" s="28" t="str">
        <x:v>rescue access accepted</x:v>
      </x:c>
      <x:c r="H20" s="31" t="str"/>
      <x:c r="I20" s="31" t="str"/>
      <x:c r="J20" s="28" t="str">
        <x:f>IF(I20="","OPEN",IF(H20="","FAIL","PASS"))</x:f>
        <x:v>OPEN</x:v>
      </x:c>
    </x:row>
    <x:row r="21">
      <x:c r="B21" s="28" t="str">
        <x:v>PD-PAIR-A1-15</x:v>
      </x:c>
      <x:c r="C21" s="28" t="str">
        <x:v>PAIR-A1</x:v>
      </x:c>
      <x:c r="D21" s="28" t="str">
        <x:v>RFP-A1</x:v>
      </x:c>
      <x:c r="E21" s="28" t="str">
        <x:v>PTC-A</x:v>
      </x:c>
      <x:c r="F21" s="28" t="n">
        <x:v>15</x:v>
      </x:c>
      <x:c r="G21" s="28" t="str">
        <x:v>dry integrated rehearsal</x:v>
      </x:c>
      <x:c r="H21" s="31" t="str"/>
      <x:c r="I21" s="31" t="str"/>
      <x:c r="J21" s="28" t="str">
        <x:f>IF(I21="","OPEN",IF(H21="","FAIL","PASS"))</x:f>
        <x:v>OPEN</x:v>
      </x:c>
    </x:row>
    <x:row r="22">
      <x:c r="B22" s="28" t="str">
        <x:v>PD-PAIR-A1-16</x:v>
      </x:c>
      <x:c r="C22" s="28" t="str">
        <x:v>PAIR-A1</x:v>
      </x:c>
      <x:c r="D22" s="28" t="str">
        <x:v>RFP-A1</x:v>
      </x:c>
      <x:c r="E22" s="28" t="str">
        <x:v>PTC-A</x:v>
      </x:c>
      <x:c r="F22" s="28" t="n">
        <x:v>16</x:v>
      </x:c>
      <x:c r="G22" s="28" t="str">
        <x:v>water-only integrated rehearsal</x:v>
      </x:c>
      <x:c r="H22" s="31" t="str"/>
      <x:c r="I22" s="31" t="str"/>
      <x:c r="J22" s="28" t="str">
        <x:f>IF(I22="","OPEN",IF(H22="","FAIL","PASS"))</x:f>
        <x:v>OPEN</x:v>
      </x:c>
    </x:row>
    <x:row r="23">
      <x:c r="B23" s="28" t="str">
        <x:v>PD-PAIR-A1-17</x:v>
      </x:c>
      <x:c r="C23" s="28" t="str">
        <x:v>PAIR-A1</x:v>
      </x:c>
      <x:c r="D23" s="28" t="str">
        <x:v>RFP-A1</x:v>
      </x:c>
      <x:c r="E23" s="28" t="str">
        <x:v>PTC-A</x:v>
      </x:c>
      <x:c r="F23" s="28" t="n">
        <x:v>17</x:v>
      </x:c>
      <x:c r="G23" s="28" t="str">
        <x:v>exception branches closed</x:v>
      </x:c>
      <x:c r="H23" s="31" t="str"/>
      <x:c r="I23" s="31" t="str"/>
      <x:c r="J23" s="28" t="str">
        <x:f>IF(I23="","OPEN",IF(H23="","FAIL","PASS"))</x:f>
        <x:v>OPEN</x:v>
      </x:c>
    </x:row>
    <x:row r="24">
      <x:c r="B24" s="28" t="str">
        <x:v>PD-PAIR-A1-18</x:v>
      </x:c>
      <x:c r="C24" s="28" t="str">
        <x:v>PAIR-A1</x:v>
      </x:c>
      <x:c r="D24" s="28" t="str">
        <x:v>RFP-A1</x:v>
      </x:c>
      <x:c r="E24" s="28" t="str">
        <x:v>PTC-A</x:v>
      </x:c>
      <x:c r="F24" s="28" t="n">
        <x:v>18</x:v>
      </x:c>
      <x:c r="G24" s="28" t="str">
        <x:v>pair board packet complete</x:v>
      </x:c>
      <x:c r="H24" s="31" t="str"/>
      <x:c r="I24" s="31" t="str"/>
      <x:c r="J24" s="28" t="str">
        <x:f>IF(I24="","OPEN",IF(H24="","FAIL","PASS"))</x:f>
        <x:v>OPEN</x:v>
      </x:c>
    </x:row>
    <x:row r="25">
      <x:c r="B25" s="28" t="str">
        <x:v>PD-PAIR-A2-01</x:v>
      </x:c>
      <x:c r="C25" s="28" t="str">
        <x:v>PAIR-A2</x:v>
      </x:c>
      <x:c r="D25" s="28" t="str">
        <x:v>RFP-A2</x:v>
      </x:c>
      <x:c r="E25" s="28" t="str">
        <x:v>PTC-A</x:v>
      </x:c>
      <x:c r="F25" s="28" t="n">
        <x:v>1</x:v>
      </x:c>
      <x:c r="G25" s="28" t="str">
        <x:v>operational article received</x:v>
      </x:c>
      <x:c r="H25" s="31" t="str"/>
      <x:c r="I25" s="31" t="str"/>
      <x:c r="J25" s="28" t="str">
        <x:f>IF(I25="","OPEN",IF(H25="","FAIL","PASS"))</x:f>
        <x:v>OPEN</x:v>
      </x:c>
    </x:row>
    <x:row r="26">
      <x:c r="B26" s="28" t="str">
        <x:v>PD-PAIR-A2-02</x:v>
      </x:c>
      <x:c r="C26" s="28" t="str">
        <x:v>PAIR-A2</x:v>
      </x:c>
      <x:c r="D26" s="28" t="str">
        <x:v>RFP-A2</x:v>
      </x:c>
      <x:c r="E26" s="28" t="str">
        <x:v>PTC-A</x:v>
      </x:c>
      <x:c r="F26" s="28" t="n">
        <x:v>2</x:v>
      </x:c>
      <x:c r="G26" s="28" t="str">
        <x:v>functional twin received</x:v>
      </x:c>
      <x:c r="H26" s="31" t="str"/>
      <x:c r="I26" s="31" t="str"/>
      <x:c r="J26" s="28" t="str">
        <x:f>IF(I26="","OPEN",IF(H26="","FAIL","PASS"))</x:f>
        <x:v>OPEN</x:v>
      </x:c>
    </x:row>
    <x:row r="27">
      <x:c r="B27" s="28" t="str">
        <x:v>PD-PAIR-A2-03</x:v>
      </x:c>
      <x:c r="C27" s="28" t="str">
        <x:v>PAIR-A2</x:v>
      </x:c>
      <x:c r="D27" s="28" t="str">
        <x:v>RFP-A2</x:v>
      </x:c>
      <x:c r="E27" s="28" t="str">
        <x:v>PTC-A</x:v>
      </x:c>
      <x:c r="F27" s="28" t="n">
        <x:v>3</x:v>
      </x:c>
      <x:c r="G27" s="28" t="str">
        <x:v>home assignment accepted</x:v>
      </x:c>
      <x:c r="H27" s="31" t="str"/>
      <x:c r="I27" s="31" t="str"/>
      <x:c r="J27" s="28" t="str">
        <x:f>IF(I27="","OPEN",IF(H27="","FAIL","PASS"))</x:f>
        <x:v>OPEN</x:v>
      </x:c>
    </x:row>
    <x:row r="28">
      <x:c r="B28" s="28" t="str">
        <x:v>PD-PAIR-A2-04</x:v>
      </x:c>
      <x:c r="C28" s="28" t="str">
        <x:v>PAIR-A2</x:v>
      </x:c>
      <x:c r="D28" s="28" t="str">
        <x:v>RFP-A2</x:v>
      </x:c>
      <x:c r="E28" s="28" t="str">
        <x:v>PTC-A</x:v>
      </x:c>
      <x:c r="F28" s="28" t="n">
        <x:v>4</x:v>
      </x:c>
      <x:c r="G28" s="28" t="str">
        <x:v>six-rig circuit complete</x:v>
      </x:c>
      <x:c r="H28" s="31" t="str"/>
      <x:c r="I28" s="31" t="str"/>
      <x:c r="J28" s="28" t="str">
        <x:f>IF(I28="","OPEN",IF(H28="","FAIL","PASS"))</x:f>
        <x:v>OPEN</x:v>
      </x:c>
    </x:row>
    <x:row r="29">
      <x:c r="B29" s="28" t="str">
        <x:v>PD-PAIR-A2-05</x:v>
      </x:c>
      <x:c r="C29" s="28" t="str">
        <x:v>PAIR-A2</x:v>
      </x:c>
      <x:c r="D29" s="28" t="str">
        <x:v>RFP-A2</x:v>
      </x:c>
      <x:c r="E29" s="28" t="str">
        <x:v>PTC-A</x:v>
      </x:c>
      <x:c r="F29" s="28" t="n">
        <x:v>5</x:v>
      </x:c>
      <x:c r="G29" s="28" t="str">
        <x:v>home docking accepted</x:v>
      </x:c>
      <x:c r="H29" s="31" t="str"/>
      <x:c r="I29" s="31" t="str"/>
      <x:c r="J29" s="28" t="str">
        <x:f>IF(I29="","OPEN",IF(H29="","FAIL","PASS"))</x:f>
        <x:v>OPEN</x:v>
      </x:c>
    </x:row>
    <x:row r="30">
      <x:c r="B30" s="28" t="str">
        <x:v>PD-PAIR-A2-06</x:v>
      </x:c>
      <x:c r="C30" s="28" t="str">
        <x:v>PAIR-A2</x:v>
      </x:c>
      <x:c r="D30" s="28" t="str">
        <x:v>RFP-A2</x:v>
      </x:c>
      <x:c r="E30" s="28" t="str">
        <x:v>PTC-A</x:v>
      </x:c>
      <x:c r="F30" s="28" t="n">
        <x:v>6</x:v>
      </x:c>
      <x:c r="G30" s="28" t="str">
        <x:v>calibration circuit accepted</x:v>
      </x:c>
      <x:c r="H30" s="31" t="str"/>
      <x:c r="I30" s="31" t="str"/>
      <x:c r="J30" s="28" t="str">
        <x:f>IF(I30="","OPEN",IF(H30="","FAIL","PASS"))</x:f>
        <x:v>OPEN</x:v>
      </x:c>
    </x:row>
    <x:row r="31">
      <x:c r="B31" s="28" t="str">
        <x:v>PD-PAIR-A2-07</x:v>
      </x:c>
      <x:c r="C31" s="28" t="str">
        <x:v>PAIR-A2</x:v>
      </x:c>
      <x:c r="D31" s="28" t="str">
        <x:v>RFP-A2</x:v>
      </x:c>
      <x:c r="E31" s="28" t="str">
        <x:v>PTC-A</x:v>
      </x:c>
      <x:c r="F31" s="28" t="n">
        <x:v>7</x:v>
      </x:c>
      <x:c r="G31" s="28" t="str">
        <x:v>source interface isolated</x:v>
      </x:c>
      <x:c r="H31" s="31" t="str"/>
      <x:c r="I31" s="31" t="str"/>
      <x:c r="J31" s="28" t="str">
        <x:f>IF(I31="","OPEN",IF(H31="","FAIL","PASS"))</x:f>
        <x:v>OPEN</x:v>
      </x:c>
    </x:row>
    <x:row r="32">
      <x:c r="B32" s="28" t="str">
        <x:v>PD-PAIR-A2-08</x:v>
      </x:c>
      <x:c r="C32" s="28" t="str">
        <x:v>PAIR-A2</x:v>
      </x:c>
      <x:c r="D32" s="28" t="str">
        <x:v>RFP-A2</x:v>
      </x:c>
      <x:c r="E32" s="28" t="str">
        <x:v>PTC-A</x:v>
      </x:c>
      <x:c r="F32" s="28" t="n">
        <x:v>8</x:v>
      </x:c>
      <x:c r="G32" s="28" t="str">
        <x:v>water interface isolated</x:v>
      </x:c>
      <x:c r="H32" s="31" t="str"/>
      <x:c r="I32" s="31" t="str"/>
      <x:c r="J32" s="28" t="str">
        <x:f>IF(I32="","OPEN",IF(H32="","FAIL","PASS"))</x:f>
        <x:v>OPEN</x:v>
      </x:c>
    </x:row>
    <x:row r="33">
      <x:c r="B33" s="28" t="str">
        <x:v>PD-PAIR-A2-09</x:v>
      </x:c>
      <x:c r="C33" s="28" t="str">
        <x:v>PAIR-A2</x:v>
      </x:c>
      <x:c r="D33" s="28" t="str">
        <x:v>RFP-A2</x:v>
      </x:c>
      <x:c r="E33" s="28" t="str">
        <x:v>PTC-A</x:v>
      </x:c>
      <x:c r="F33" s="28" t="n">
        <x:v>9</x:v>
      </x:c>
      <x:c r="G33" s="28" t="str">
        <x:v>containment interface accepted</x:v>
      </x:c>
      <x:c r="H33" s="31" t="str"/>
      <x:c r="I33" s="31" t="str"/>
      <x:c r="J33" s="28" t="str">
        <x:f>IF(I33="","OPEN",IF(H33="","FAIL","PASS"))</x:f>
        <x:v>OPEN</x:v>
      </x:c>
    </x:row>
    <x:row r="34">
      <x:c r="B34" s="28" t="str">
        <x:v>PD-PAIR-A2-10</x:v>
      </x:c>
      <x:c r="C34" s="28" t="str">
        <x:v>PAIR-A2</x:v>
      </x:c>
      <x:c r="D34" s="28" t="str">
        <x:v>RFP-A2</x:v>
      </x:c>
      <x:c r="E34" s="28" t="str">
        <x:v>PTC-A</x:v>
      </x:c>
      <x:c r="F34" s="28" t="n">
        <x:v>10</x:v>
      </x:c>
      <x:c r="G34" s="28" t="str">
        <x:v>normal and safety power accepted</x:v>
      </x:c>
      <x:c r="H34" s="31" t="str"/>
      <x:c r="I34" s="31" t="str"/>
      <x:c r="J34" s="28" t="str">
        <x:f>IF(I34="","OPEN",IF(H34="","FAIL","PASS"))</x:f>
        <x:v>OPEN</x:v>
      </x:c>
    </x:row>
    <x:row r="35">
      <x:c r="B35" s="28" t="str">
        <x:v>PD-PAIR-A2-11</x:v>
      </x:c>
      <x:c r="C35" s="28" t="str">
        <x:v>PAIR-A2</x:v>
      </x:c>
      <x:c r="D35" s="28" t="str">
        <x:v>RFP-A2</x:v>
      </x:c>
      <x:c r="E35" s="28" t="str">
        <x:v>PTC-A</x:v>
      </x:c>
      <x:c r="F35" s="28" t="n">
        <x:v>11</x:v>
      </x:c>
      <x:c r="G35" s="28" t="str">
        <x:v>causal time accepted</x:v>
      </x:c>
      <x:c r="H35" s="31" t="str"/>
      <x:c r="I35" s="31" t="str"/>
      <x:c r="J35" s="28" t="str">
        <x:f>IF(I35="","OPEN",IF(H35="","FAIL","PASS"))</x:f>
        <x:v>OPEN</x:v>
      </x:c>
    </x:row>
    <x:row r="36">
      <x:c r="B36" s="28" t="str">
        <x:v>PD-PAIR-A2-12</x:v>
      </x:c>
      <x:c r="C36" s="28" t="str">
        <x:v>PAIR-A2</x:v>
      </x:c>
      <x:c r="D36" s="28" t="str">
        <x:v>RFP-A2</x:v>
      </x:c>
      <x:c r="E36" s="28" t="str">
        <x:v>PTC-A</x:v>
      </x:c>
      <x:c r="F36" s="28" t="n">
        <x:v>12</x:v>
      </x:c>
      <x:c r="G36" s="28" t="str">
        <x:v>evidence roots accepted</x:v>
      </x:c>
      <x:c r="H36" s="31" t="str"/>
      <x:c r="I36" s="31" t="str"/>
      <x:c r="J36" s="28" t="str">
        <x:f>IF(I36="","OPEN",IF(H36="","FAIL","PASS"))</x:f>
        <x:v>OPEN</x:v>
      </x:c>
    </x:row>
    <x:row r="37">
      <x:c r="B37" s="28" t="str">
        <x:v>PD-PAIR-A2-13</x:v>
      </x:c>
      <x:c r="C37" s="28" t="str">
        <x:v>PAIR-A2</x:v>
      </x:c>
      <x:c r="D37" s="28" t="str">
        <x:v>RFP-A2</x:v>
      </x:c>
      <x:c r="E37" s="28" t="str">
        <x:v>PTC-A</x:v>
      </x:c>
      <x:c r="F37" s="28" t="n">
        <x:v>13</x:v>
      </x:c>
      <x:c r="G37" s="28" t="str">
        <x:v>safeing state accepted</x:v>
      </x:c>
      <x:c r="H37" s="31" t="str"/>
      <x:c r="I37" s="31" t="str"/>
      <x:c r="J37" s="28" t="str">
        <x:f>IF(I37="","OPEN",IF(H37="","FAIL","PASS"))</x:f>
        <x:v>OPEN</x:v>
      </x:c>
    </x:row>
    <x:row r="38">
      <x:c r="B38" s="28" t="str">
        <x:v>PD-PAIR-A2-14</x:v>
      </x:c>
      <x:c r="C38" s="28" t="str">
        <x:v>PAIR-A2</x:v>
      </x:c>
      <x:c r="D38" s="28" t="str">
        <x:v>RFP-A2</x:v>
      </x:c>
      <x:c r="E38" s="28" t="str">
        <x:v>PTC-A</x:v>
      </x:c>
      <x:c r="F38" s="28" t="n">
        <x:v>14</x:v>
      </x:c>
      <x:c r="G38" s="28" t="str">
        <x:v>rescue access accepted</x:v>
      </x:c>
      <x:c r="H38" s="31" t="str"/>
      <x:c r="I38" s="31" t="str"/>
      <x:c r="J38" s="28" t="str">
        <x:f>IF(I38="","OPEN",IF(H38="","FAIL","PASS"))</x:f>
        <x:v>OPEN</x:v>
      </x:c>
    </x:row>
    <x:row r="39">
      <x:c r="B39" s="28" t="str">
        <x:v>PD-PAIR-A2-15</x:v>
      </x:c>
      <x:c r="C39" s="28" t="str">
        <x:v>PAIR-A2</x:v>
      </x:c>
      <x:c r="D39" s="28" t="str">
        <x:v>RFP-A2</x:v>
      </x:c>
      <x:c r="E39" s="28" t="str">
        <x:v>PTC-A</x:v>
      </x:c>
      <x:c r="F39" s="28" t="n">
        <x:v>15</x:v>
      </x:c>
      <x:c r="G39" s="28" t="str">
        <x:v>dry integrated rehearsal</x:v>
      </x:c>
      <x:c r="H39" s="31" t="str"/>
      <x:c r="I39" s="31" t="str"/>
      <x:c r="J39" s="28" t="str">
        <x:f>IF(I39="","OPEN",IF(H39="","FAIL","PASS"))</x:f>
        <x:v>OPEN</x:v>
      </x:c>
    </x:row>
    <x:row r="40">
      <x:c r="B40" s="28" t="str">
        <x:v>PD-PAIR-A2-16</x:v>
      </x:c>
      <x:c r="C40" s="28" t="str">
        <x:v>PAIR-A2</x:v>
      </x:c>
      <x:c r="D40" s="28" t="str">
        <x:v>RFP-A2</x:v>
      </x:c>
      <x:c r="E40" s="28" t="str">
        <x:v>PTC-A</x:v>
      </x:c>
      <x:c r="F40" s="28" t="n">
        <x:v>16</x:v>
      </x:c>
      <x:c r="G40" s="28" t="str">
        <x:v>water-only integrated rehearsal</x:v>
      </x:c>
      <x:c r="H40" s="31" t="str"/>
      <x:c r="I40" s="31" t="str"/>
      <x:c r="J40" s="28" t="str">
        <x:f>IF(I40="","OPEN",IF(H40="","FAIL","PASS"))</x:f>
        <x:v>OPEN</x:v>
      </x:c>
    </x:row>
    <x:row r="41">
      <x:c r="B41" s="28" t="str">
        <x:v>PD-PAIR-A2-17</x:v>
      </x:c>
      <x:c r="C41" s="28" t="str">
        <x:v>PAIR-A2</x:v>
      </x:c>
      <x:c r="D41" s="28" t="str">
        <x:v>RFP-A2</x:v>
      </x:c>
      <x:c r="E41" s="28" t="str">
        <x:v>PTC-A</x:v>
      </x:c>
      <x:c r="F41" s="28" t="n">
        <x:v>17</x:v>
      </x:c>
      <x:c r="G41" s="28" t="str">
        <x:v>exception branches closed</x:v>
      </x:c>
      <x:c r="H41" s="31" t="str"/>
      <x:c r="I41" s="31" t="str"/>
      <x:c r="J41" s="28" t="str">
        <x:f>IF(I41="","OPEN",IF(H41="","FAIL","PASS"))</x:f>
        <x:v>OPEN</x:v>
      </x:c>
    </x:row>
    <x:row r="42">
      <x:c r="B42" s="28" t="str">
        <x:v>PD-PAIR-A2-18</x:v>
      </x:c>
      <x:c r="C42" s="28" t="str">
        <x:v>PAIR-A2</x:v>
      </x:c>
      <x:c r="D42" s="28" t="str">
        <x:v>RFP-A2</x:v>
      </x:c>
      <x:c r="E42" s="28" t="str">
        <x:v>PTC-A</x:v>
      </x:c>
      <x:c r="F42" s="28" t="n">
        <x:v>18</x:v>
      </x:c>
      <x:c r="G42" s="28" t="str">
        <x:v>pair board packet complete</x:v>
      </x:c>
      <x:c r="H42" s="31" t="str"/>
      <x:c r="I42" s="31" t="str"/>
      <x:c r="J42" s="28" t="str">
        <x:f>IF(I42="","OPEN",IF(H42="","FAIL","PASS"))</x:f>
        <x:v>OPEN</x:v>
      </x:c>
    </x:row>
    <x:row r="43">
      <x:c r="B43" s="28" t="str">
        <x:v>PD-PAIR-B1-01</x:v>
      </x:c>
      <x:c r="C43" s="28" t="str">
        <x:v>PAIR-B1</x:v>
      </x:c>
      <x:c r="D43" s="28" t="str">
        <x:v>RFP-B1</x:v>
      </x:c>
      <x:c r="E43" s="28" t="str">
        <x:v>PTC-B</x:v>
      </x:c>
      <x:c r="F43" s="28" t="n">
        <x:v>1</x:v>
      </x:c>
      <x:c r="G43" s="28" t="str">
        <x:v>operational article received</x:v>
      </x:c>
      <x:c r="H43" s="31" t="str"/>
      <x:c r="I43" s="31" t="str"/>
      <x:c r="J43" s="28" t="str">
        <x:f>IF(I43="","OPEN",IF(H43="","FAIL","PASS"))</x:f>
        <x:v>OPEN</x:v>
      </x:c>
    </x:row>
    <x:row r="44">
      <x:c r="B44" s="28" t="str">
        <x:v>PD-PAIR-B1-02</x:v>
      </x:c>
      <x:c r="C44" s="28" t="str">
        <x:v>PAIR-B1</x:v>
      </x:c>
      <x:c r="D44" s="28" t="str">
        <x:v>RFP-B1</x:v>
      </x:c>
      <x:c r="E44" s="28" t="str">
        <x:v>PTC-B</x:v>
      </x:c>
      <x:c r="F44" s="28" t="n">
        <x:v>2</x:v>
      </x:c>
      <x:c r="G44" s="28" t="str">
        <x:v>functional twin received</x:v>
      </x:c>
      <x:c r="H44" s="31" t="str"/>
      <x:c r="I44" s="31" t="str"/>
      <x:c r="J44" s="28" t="str">
        <x:f>IF(I44="","OPEN",IF(H44="","FAIL","PASS"))</x:f>
        <x:v>OPEN</x:v>
      </x:c>
    </x:row>
    <x:row r="45">
      <x:c r="B45" s="28" t="str">
        <x:v>PD-PAIR-B1-03</x:v>
      </x:c>
      <x:c r="C45" s="28" t="str">
        <x:v>PAIR-B1</x:v>
      </x:c>
      <x:c r="D45" s="28" t="str">
        <x:v>RFP-B1</x:v>
      </x:c>
      <x:c r="E45" s="28" t="str">
        <x:v>PTC-B</x:v>
      </x:c>
      <x:c r="F45" s="28" t="n">
        <x:v>3</x:v>
      </x:c>
      <x:c r="G45" s="28" t="str">
        <x:v>home assignment accepted</x:v>
      </x:c>
      <x:c r="H45" s="31" t="str"/>
      <x:c r="I45" s="31" t="str"/>
      <x:c r="J45" s="28" t="str">
        <x:f>IF(I45="","OPEN",IF(H45="","FAIL","PASS"))</x:f>
        <x:v>OPEN</x:v>
      </x:c>
    </x:row>
    <x:row r="46">
      <x:c r="B46" s="28" t="str">
        <x:v>PD-PAIR-B1-04</x:v>
      </x:c>
      <x:c r="C46" s="28" t="str">
        <x:v>PAIR-B1</x:v>
      </x:c>
      <x:c r="D46" s="28" t="str">
        <x:v>RFP-B1</x:v>
      </x:c>
      <x:c r="E46" s="28" t="str">
        <x:v>PTC-B</x:v>
      </x:c>
      <x:c r="F46" s="28" t="n">
        <x:v>4</x:v>
      </x:c>
      <x:c r="G46" s="28" t="str">
        <x:v>six-rig circuit complete</x:v>
      </x:c>
      <x:c r="H46" s="31" t="str"/>
      <x:c r="I46" s="31" t="str"/>
      <x:c r="J46" s="28" t="str">
        <x:f>IF(I46="","OPEN",IF(H46="","FAIL","PASS"))</x:f>
        <x:v>OPEN</x:v>
      </x:c>
    </x:row>
    <x:row r="47">
      <x:c r="B47" s="28" t="str">
        <x:v>PD-PAIR-B1-05</x:v>
      </x:c>
      <x:c r="C47" s="28" t="str">
        <x:v>PAIR-B1</x:v>
      </x:c>
      <x:c r="D47" s="28" t="str">
        <x:v>RFP-B1</x:v>
      </x:c>
      <x:c r="E47" s="28" t="str">
        <x:v>PTC-B</x:v>
      </x:c>
      <x:c r="F47" s="28" t="n">
        <x:v>5</x:v>
      </x:c>
      <x:c r="G47" s="28" t="str">
        <x:v>home docking accepted</x:v>
      </x:c>
      <x:c r="H47" s="31" t="str"/>
      <x:c r="I47" s="31" t="str"/>
      <x:c r="J47" s="28" t="str">
        <x:f>IF(I47="","OPEN",IF(H47="","FAIL","PASS"))</x:f>
        <x:v>OPEN</x:v>
      </x:c>
    </x:row>
    <x:row r="48">
      <x:c r="B48" s="28" t="str">
        <x:v>PD-PAIR-B1-06</x:v>
      </x:c>
      <x:c r="C48" s="28" t="str">
        <x:v>PAIR-B1</x:v>
      </x:c>
      <x:c r="D48" s="28" t="str">
        <x:v>RFP-B1</x:v>
      </x:c>
      <x:c r="E48" s="28" t="str">
        <x:v>PTC-B</x:v>
      </x:c>
      <x:c r="F48" s="28" t="n">
        <x:v>6</x:v>
      </x:c>
      <x:c r="G48" s="28" t="str">
        <x:v>calibration circuit accepted</x:v>
      </x:c>
      <x:c r="H48" s="31" t="str"/>
      <x:c r="I48" s="31" t="str"/>
      <x:c r="J48" s="28" t="str">
        <x:f>IF(I48="","OPEN",IF(H48="","FAIL","PASS"))</x:f>
        <x:v>OPEN</x:v>
      </x:c>
    </x:row>
    <x:row r="49">
      <x:c r="B49" s="28" t="str">
        <x:v>PD-PAIR-B1-07</x:v>
      </x:c>
      <x:c r="C49" s="28" t="str">
        <x:v>PAIR-B1</x:v>
      </x:c>
      <x:c r="D49" s="28" t="str">
        <x:v>RFP-B1</x:v>
      </x:c>
      <x:c r="E49" s="28" t="str">
        <x:v>PTC-B</x:v>
      </x:c>
      <x:c r="F49" s="28" t="n">
        <x:v>7</x:v>
      </x:c>
      <x:c r="G49" s="28" t="str">
        <x:v>source interface isolated</x:v>
      </x:c>
      <x:c r="H49" s="31" t="str"/>
      <x:c r="I49" s="31" t="str"/>
      <x:c r="J49" s="28" t="str">
        <x:f>IF(I49="","OPEN",IF(H49="","FAIL","PASS"))</x:f>
        <x:v>OPEN</x:v>
      </x:c>
    </x:row>
    <x:row r="50">
      <x:c r="B50" s="28" t="str">
        <x:v>PD-PAIR-B1-08</x:v>
      </x:c>
      <x:c r="C50" s="28" t="str">
        <x:v>PAIR-B1</x:v>
      </x:c>
      <x:c r="D50" s="28" t="str">
        <x:v>RFP-B1</x:v>
      </x:c>
      <x:c r="E50" s="28" t="str">
        <x:v>PTC-B</x:v>
      </x:c>
      <x:c r="F50" s="28" t="n">
        <x:v>8</x:v>
      </x:c>
      <x:c r="G50" s="28" t="str">
        <x:v>water interface isolated</x:v>
      </x:c>
      <x:c r="H50" s="31" t="str"/>
      <x:c r="I50" s="31" t="str"/>
      <x:c r="J50" s="28" t="str">
        <x:f>IF(I50="","OPEN",IF(H50="","FAIL","PASS"))</x:f>
        <x:v>OPEN</x:v>
      </x:c>
    </x:row>
    <x:row r="51">
      <x:c r="B51" s="28" t="str">
        <x:v>PD-PAIR-B1-09</x:v>
      </x:c>
      <x:c r="C51" s="28" t="str">
        <x:v>PAIR-B1</x:v>
      </x:c>
      <x:c r="D51" s="28" t="str">
        <x:v>RFP-B1</x:v>
      </x:c>
      <x:c r="E51" s="28" t="str">
        <x:v>PTC-B</x:v>
      </x:c>
      <x:c r="F51" s="28" t="n">
        <x:v>9</x:v>
      </x:c>
      <x:c r="G51" s="28" t="str">
        <x:v>containment interface accepted</x:v>
      </x:c>
      <x:c r="H51" s="31" t="str"/>
      <x:c r="I51" s="31" t="str"/>
      <x:c r="J51" s="28" t="str">
        <x:f>IF(I51="","OPEN",IF(H51="","FAIL","PASS"))</x:f>
        <x:v>OPEN</x:v>
      </x:c>
    </x:row>
    <x:row r="52">
      <x:c r="B52" s="28" t="str">
        <x:v>PD-PAIR-B1-10</x:v>
      </x:c>
      <x:c r="C52" s="28" t="str">
        <x:v>PAIR-B1</x:v>
      </x:c>
      <x:c r="D52" s="28" t="str">
        <x:v>RFP-B1</x:v>
      </x:c>
      <x:c r="E52" s="28" t="str">
        <x:v>PTC-B</x:v>
      </x:c>
      <x:c r="F52" s="28" t="n">
        <x:v>10</x:v>
      </x:c>
      <x:c r="G52" s="28" t="str">
        <x:v>normal and safety power accepted</x:v>
      </x:c>
      <x:c r="H52" s="31" t="str"/>
      <x:c r="I52" s="31" t="str"/>
      <x:c r="J52" s="28" t="str">
        <x:f>IF(I52="","OPEN",IF(H52="","FAIL","PASS"))</x:f>
        <x:v>OPEN</x:v>
      </x:c>
    </x:row>
    <x:row r="53">
      <x:c r="B53" s="28" t="str">
        <x:v>PD-PAIR-B1-11</x:v>
      </x:c>
      <x:c r="C53" s="28" t="str">
        <x:v>PAIR-B1</x:v>
      </x:c>
      <x:c r="D53" s="28" t="str">
        <x:v>RFP-B1</x:v>
      </x:c>
      <x:c r="E53" s="28" t="str">
        <x:v>PTC-B</x:v>
      </x:c>
      <x:c r="F53" s="28" t="n">
        <x:v>11</x:v>
      </x:c>
      <x:c r="G53" s="28" t="str">
        <x:v>causal time accepted</x:v>
      </x:c>
      <x:c r="H53" s="31" t="str"/>
      <x:c r="I53" s="31" t="str"/>
      <x:c r="J53" s="28" t="str">
        <x:f>IF(I53="","OPEN",IF(H53="","FAIL","PASS"))</x:f>
        <x:v>OPEN</x:v>
      </x:c>
    </x:row>
    <x:row r="54">
      <x:c r="B54" s="28" t="str">
        <x:v>PD-PAIR-B1-12</x:v>
      </x:c>
      <x:c r="C54" s="28" t="str">
        <x:v>PAIR-B1</x:v>
      </x:c>
      <x:c r="D54" s="28" t="str">
        <x:v>RFP-B1</x:v>
      </x:c>
      <x:c r="E54" s="28" t="str">
        <x:v>PTC-B</x:v>
      </x:c>
      <x:c r="F54" s="28" t="n">
        <x:v>12</x:v>
      </x:c>
      <x:c r="G54" s="28" t="str">
        <x:v>evidence roots accepted</x:v>
      </x:c>
      <x:c r="H54" s="31" t="str"/>
      <x:c r="I54" s="31" t="str"/>
      <x:c r="J54" s="28" t="str">
        <x:f>IF(I54="","OPEN",IF(H54="","FAIL","PASS"))</x:f>
        <x:v>OPEN</x:v>
      </x:c>
    </x:row>
    <x:row r="55">
      <x:c r="B55" s="28" t="str">
        <x:v>PD-PAIR-B1-13</x:v>
      </x:c>
      <x:c r="C55" s="28" t="str">
        <x:v>PAIR-B1</x:v>
      </x:c>
      <x:c r="D55" s="28" t="str">
        <x:v>RFP-B1</x:v>
      </x:c>
      <x:c r="E55" s="28" t="str">
        <x:v>PTC-B</x:v>
      </x:c>
      <x:c r="F55" s="28" t="n">
        <x:v>13</x:v>
      </x:c>
      <x:c r="G55" s="28" t="str">
        <x:v>safeing state accepted</x:v>
      </x:c>
      <x:c r="H55" s="31" t="str"/>
      <x:c r="I55" s="31" t="str"/>
      <x:c r="J55" s="28" t="str">
        <x:f>IF(I55="","OPEN",IF(H55="","FAIL","PASS"))</x:f>
        <x:v>OPEN</x:v>
      </x:c>
    </x:row>
    <x:row r="56">
      <x:c r="B56" s="28" t="str">
        <x:v>PD-PAIR-B1-14</x:v>
      </x:c>
      <x:c r="C56" s="28" t="str">
        <x:v>PAIR-B1</x:v>
      </x:c>
      <x:c r="D56" s="28" t="str">
        <x:v>RFP-B1</x:v>
      </x:c>
      <x:c r="E56" s="28" t="str">
        <x:v>PTC-B</x:v>
      </x:c>
      <x:c r="F56" s="28" t="n">
        <x:v>14</x:v>
      </x:c>
      <x:c r="G56" s="28" t="str">
        <x:v>rescue access accepted</x:v>
      </x:c>
      <x:c r="H56" s="31" t="str"/>
      <x:c r="I56" s="31" t="str"/>
      <x:c r="J56" s="28" t="str">
        <x:f>IF(I56="","OPEN",IF(H56="","FAIL","PASS"))</x:f>
        <x:v>OPEN</x:v>
      </x:c>
    </x:row>
    <x:row r="57">
      <x:c r="B57" s="28" t="str">
        <x:v>PD-PAIR-B1-15</x:v>
      </x:c>
      <x:c r="C57" s="28" t="str">
        <x:v>PAIR-B1</x:v>
      </x:c>
      <x:c r="D57" s="28" t="str">
        <x:v>RFP-B1</x:v>
      </x:c>
      <x:c r="E57" s="28" t="str">
        <x:v>PTC-B</x:v>
      </x:c>
      <x:c r="F57" s="28" t="n">
        <x:v>15</x:v>
      </x:c>
      <x:c r="G57" s="28" t="str">
        <x:v>dry integrated rehearsal</x:v>
      </x:c>
      <x:c r="H57" s="31" t="str"/>
      <x:c r="I57" s="31" t="str"/>
      <x:c r="J57" s="28" t="str">
        <x:f>IF(I57="","OPEN",IF(H57="","FAIL","PASS"))</x:f>
        <x:v>OPEN</x:v>
      </x:c>
    </x:row>
    <x:row r="58">
      <x:c r="B58" s="28" t="str">
        <x:v>PD-PAIR-B1-16</x:v>
      </x:c>
      <x:c r="C58" s="28" t="str">
        <x:v>PAIR-B1</x:v>
      </x:c>
      <x:c r="D58" s="28" t="str">
        <x:v>RFP-B1</x:v>
      </x:c>
      <x:c r="E58" s="28" t="str">
        <x:v>PTC-B</x:v>
      </x:c>
      <x:c r="F58" s="28" t="n">
        <x:v>16</x:v>
      </x:c>
      <x:c r="G58" s="28" t="str">
        <x:v>water-only integrated rehearsal</x:v>
      </x:c>
      <x:c r="H58" s="31" t="str"/>
      <x:c r="I58" s="31" t="str"/>
      <x:c r="J58" s="28" t="str">
        <x:f>IF(I58="","OPEN",IF(H58="","FAIL","PASS"))</x:f>
        <x:v>OPEN</x:v>
      </x:c>
    </x:row>
    <x:row r="59">
      <x:c r="B59" s="28" t="str">
        <x:v>PD-PAIR-B1-17</x:v>
      </x:c>
      <x:c r="C59" s="28" t="str">
        <x:v>PAIR-B1</x:v>
      </x:c>
      <x:c r="D59" s="28" t="str">
        <x:v>RFP-B1</x:v>
      </x:c>
      <x:c r="E59" s="28" t="str">
        <x:v>PTC-B</x:v>
      </x:c>
      <x:c r="F59" s="28" t="n">
        <x:v>17</x:v>
      </x:c>
      <x:c r="G59" s="28" t="str">
        <x:v>exception branches closed</x:v>
      </x:c>
      <x:c r="H59" s="31" t="str"/>
      <x:c r="I59" s="31" t="str"/>
      <x:c r="J59" s="28" t="str">
        <x:f>IF(I59="","OPEN",IF(H59="","FAIL","PASS"))</x:f>
        <x:v>OPEN</x:v>
      </x:c>
    </x:row>
    <x:row r="60">
      <x:c r="B60" s="28" t="str">
        <x:v>PD-PAIR-B1-18</x:v>
      </x:c>
      <x:c r="C60" s="28" t="str">
        <x:v>PAIR-B1</x:v>
      </x:c>
      <x:c r="D60" s="28" t="str">
        <x:v>RFP-B1</x:v>
      </x:c>
      <x:c r="E60" s="28" t="str">
        <x:v>PTC-B</x:v>
      </x:c>
      <x:c r="F60" s="28" t="n">
        <x:v>18</x:v>
      </x:c>
      <x:c r="G60" s="28" t="str">
        <x:v>pair board packet complete</x:v>
      </x:c>
      <x:c r="H60" s="31" t="str"/>
      <x:c r="I60" s="31" t="str"/>
      <x:c r="J60" s="28" t="str">
        <x:f>IF(I60="","OPEN",IF(H60="","FAIL","PASS"))</x:f>
        <x:v>OPEN</x:v>
      </x:c>
    </x:row>
    <x:row r="61">
      <x:c r="B61" s="28" t="str">
        <x:v>PD-PAIR-B2-01</x:v>
      </x:c>
      <x:c r="C61" s="28" t="str">
        <x:v>PAIR-B2</x:v>
      </x:c>
      <x:c r="D61" s="28" t="str">
        <x:v>RFP-B2</x:v>
      </x:c>
      <x:c r="E61" s="28" t="str">
        <x:v>PTC-B</x:v>
      </x:c>
      <x:c r="F61" s="28" t="n">
        <x:v>1</x:v>
      </x:c>
      <x:c r="G61" s="28" t="str">
        <x:v>operational article received</x:v>
      </x:c>
      <x:c r="H61" s="31" t="str"/>
      <x:c r="I61" s="31" t="str"/>
      <x:c r="J61" s="28" t="str">
        <x:f>IF(I61="","OPEN",IF(H61="","FAIL","PASS"))</x:f>
        <x:v>OPEN</x:v>
      </x:c>
    </x:row>
    <x:row r="62">
      <x:c r="B62" s="28" t="str">
        <x:v>PD-PAIR-B2-02</x:v>
      </x:c>
      <x:c r="C62" s="28" t="str">
        <x:v>PAIR-B2</x:v>
      </x:c>
      <x:c r="D62" s="28" t="str">
        <x:v>RFP-B2</x:v>
      </x:c>
      <x:c r="E62" s="28" t="str">
        <x:v>PTC-B</x:v>
      </x:c>
      <x:c r="F62" s="28" t="n">
        <x:v>2</x:v>
      </x:c>
      <x:c r="G62" s="28" t="str">
        <x:v>functional twin received</x:v>
      </x:c>
      <x:c r="H62" s="31" t="str"/>
      <x:c r="I62" s="31" t="str"/>
      <x:c r="J62" s="28" t="str">
        <x:f>IF(I62="","OPEN",IF(H62="","FAIL","PASS"))</x:f>
        <x:v>OPEN</x:v>
      </x:c>
    </x:row>
    <x:row r="63">
      <x:c r="B63" s="28" t="str">
        <x:v>PD-PAIR-B2-03</x:v>
      </x:c>
      <x:c r="C63" s="28" t="str">
        <x:v>PAIR-B2</x:v>
      </x:c>
      <x:c r="D63" s="28" t="str">
        <x:v>RFP-B2</x:v>
      </x:c>
      <x:c r="E63" s="28" t="str">
        <x:v>PTC-B</x:v>
      </x:c>
      <x:c r="F63" s="28" t="n">
        <x:v>3</x:v>
      </x:c>
      <x:c r="G63" s="28" t="str">
        <x:v>home assignment accepted</x:v>
      </x:c>
      <x:c r="H63" s="31" t="str"/>
      <x:c r="I63" s="31" t="str"/>
      <x:c r="J63" s="28" t="str">
        <x:f>IF(I63="","OPEN",IF(H63="","FAIL","PASS"))</x:f>
        <x:v>OPEN</x:v>
      </x:c>
    </x:row>
    <x:row r="64">
      <x:c r="B64" s="28" t="str">
        <x:v>PD-PAIR-B2-04</x:v>
      </x:c>
      <x:c r="C64" s="28" t="str">
        <x:v>PAIR-B2</x:v>
      </x:c>
      <x:c r="D64" s="28" t="str">
        <x:v>RFP-B2</x:v>
      </x:c>
      <x:c r="E64" s="28" t="str">
        <x:v>PTC-B</x:v>
      </x:c>
      <x:c r="F64" s="28" t="n">
        <x:v>4</x:v>
      </x:c>
      <x:c r="G64" s="28" t="str">
        <x:v>six-rig circuit complete</x:v>
      </x:c>
      <x:c r="H64" s="31" t="str"/>
      <x:c r="I64" s="31" t="str"/>
      <x:c r="J64" s="28" t="str">
        <x:f>IF(I64="","OPEN",IF(H64="","FAIL","PASS"))</x:f>
        <x:v>OPEN</x:v>
      </x:c>
    </x:row>
    <x:row r="65">
      <x:c r="B65" s="28" t="str">
        <x:v>PD-PAIR-B2-05</x:v>
      </x:c>
      <x:c r="C65" s="28" t="str">
        <x:v>PAIR-B2</x:v>
      </x:c>
      <x:c r="D65" s="28" t="str">
        <x:v>RFP-B2</x:v>
      </x:c>
      <x:c r="E65" s="28" t="str">
        <x:v>PTC-B</x:v>
      </x:c>
      <x:c r="F65" s="28" t="n">
        <x:v>5</x:v>
      </x:c>
      <x:c r="G65" s="28" t="str">
        <x:v>home docking accepted</x:v>
      </x:c>
      <x:c r="H65" s="31" t="str"/>
      <x:c r="I65" s="31" t="str"/>
      <x:c r="J65" s="28" t="str">
        <x:f>IF(I65="","OPEN",IF(H65="","FAIL","PASS"))</x:f>
        <x:v>OPEN</x:v>
      </x:c>
    </x:row>
    <x:row r="66">
      <x:c r="B66" s="28" t="str">
        <x:v>PD-PAIR-B2-06</x:v>
      </x:c>
      <x:c r="C66" s="28" t="str">
        <x:v>PAIR-B2</x:v>
      </x:c>
      <x:c r="D66" s="28" t="str">
        <x:v>RFP-B2</x:v>
      </x:c>
      <x:c r="E66" s="28" t="str">
        <x:v>PTC-B</x:v>
      </x:c>
      <x:c r="F66" s="28" t="n">
        <x:v>6</x:v>
      </x:c>
      <x:c r="G66" s="28" t="str">
        <x:v>calibration circuit accepted</x:v>
      </x:c>
      <x:c r="H66" s="31" t="str"/>
      <x:c r="I66" s="31" t="str"/>
      <x:c r="J66" s="28" t="str">
        <x:f>IF(I66="","OPEN",IF(H66="","FAIL","PASS"))</x:f>
        <x:v>OPEN</x:v>
      </x:c>
    </x:row>
    <x:row r="67">
      <x:c r="B67" s="28" t="str">
        <x:v>PD-PAIR-B2-07</x:v>
      </x:c>
      <x:c r="C67" s="28" t="str">
        <x:v>PAIR-B2</x:v>
      </x:c>
      <x:c r="D67" s="28" t="str">
        <x:v>RFP-B2</x:v>
      </x:c>
      <x:c r="E67" s="28" t="str">
        <x:v>PTC-B</x:v>
      </x:c>
      <x:c r="F67" s="28" t="n">
        <x:v>7</x:v>
      </x:c>
      <x:c r="G67" s="28" t="str">
        <x:v>source interface isolated</x:v>
      </x:c>
      <x:c r="H67" s="31" t="str"/>
      <x:c r="I67" s="31" t="str"/>
      <x:c r="J67" s="28" t="str">
        <x:f>IF(I67="","OPEN",IF(H67="","FAIL","PASS"))</x:f>
        <x:v>OPEN</x:v>
      </x:c>
    </x:row>
    <x:row r="68">
      <x:c r="B68" s="28" t="str">
        <x:v>PD-PAIR-B2-08</x:v>
      </x:c>
      <x:c r="C68" s="28" t="str">
        <x:v>PAIR-B2</x:v>
      </x:c>
      <x:c r="D68" s="28" t="str">
        <x:v>RFP-B2</x:v>
      </x:c>
      <x:c r="E68" s="28" t="str">
        <x:v>PTC-B</x:v>
      </x:c>
      <x:c r="F68" s="28" t="n">
        <x:v>8</x:v>
      </x:c>
      <x:c r="G68" s="28" t="str">
        <x:v>water interface isolated</x:v>
      </x:c>
      <x:c r="H68" s="31" t="str"/>
      <x:c r="I68" s="31" t="str"/>
      <x:c r="J68" s="28" t="str">
        <x:f>IF(I68="","OPEN",IF(H68="","FAIL","PASS"))</x:f>
        <x:v>OPEN</x:v>
      </x:c>
    </x:row>
    <x:row r="69">
      <x:c r="B69" s="28" t="str">
        <x:v>PD-PAIR-B2-09</x:v>
      </x:c>
      <x:c r="C69" s="28" t="str">
        <x:v>PAIR-B2</x:v>
      </x:c>
      <x:c r="D69" s="28" t="str">
        <x:v>RFP-B2</x:v>
      </x:c>
      <x:c r="E69" s="28" t="str">
        <x:v>PTC-B</x:v>
      </x:c>
      <x:c r="F69" s="28" t="n">
        <x:v>9</x:v>
      </x:c>
      <x:c r="G69" s="28" t="str">
        <x:v>containment interface accepted</x:v>
      </x:c>
      <x:c r="H69" s="31" t="str"/>
      <x:c r="I69" s="31" t="str"/>
      <x:c r="J69" s="28" t="str">
        <x:f>IF(I69="","OPEN",IF(H69="","FAIL","PASS"))</x:f>
        <x:v>OPEN</x:v>
      </x:c>
    </x:row>
    <x:row r="70">
      <x:c r="B70" s="28" t="str">
        <x:v>PD-PAIR-B2-10</x:v>
      </x:c>
      <x:c r="C70" s="28" t="str">
        <x:v>PAIR-B2</x:v>
      </x:c>
      <x:c r="D70" s="28" t="str">
        <x:v>RFP-B2</x:v>
      </x:c>
      <x:c r="E70" s="28" t="str">
        <x:v>PTC-B</x:v>
      </x:c>
      <x:c r="F70" s="28" t="n">
        <x:v>10</x:v>
      </x:c>
      <x:c r="G70" s="28" t="str">
        <x:v>normal and safety power accepted</x:v>
      </x:c>
      <x:c r="H70" s="31" t="str"/>
      <x:c r="I70" s="31" t="str"/>
      <x:c r="J70" s="28" t="str">
        <x:f>IF(I70="","OPEN",IF(H70="","FAIL","PASS"))</x:f>
        <x:v>OPEN</x:v>
      </x:c>
    </x:row>
    <x:row r="71">
      <x:c r="B71" s="28" t="str">
        <x:v>PD-PAIR-B2-11</x:v>
      </x:c>
      <x:c r="C71" s="28" t="str">
        <x:v>PAIR-B2</x:v>
      </x:c>
      <x:c r="D71" s="28" t="str">
        <x:v>RFP-B2</x:v>
      </x:c>
      <x:c r="E71" s="28" t="str">
        <x:v>PTC-B</x:v>
      </x:c>
      <x:c r="F71" s="28" t="n">
        <x:v>11</x:v>
      </x:c>
      <x:c r="G71" s="28" t="str">
        <x:v>causal time accepted</x:v>
      </x:c>
      <x:c r="H71" s="31" t="str"/>
      <x:c r="I71" s="31" t="str"/>
      <x:c r="J71" s="28" t="str">
        <x:f>IF(I71="","OPEN",IF(H71="","FAIL","PASS"))</x:f>
        <x:v>OPEN</x:v>
      </x:c>
    </x:row>
    <x:row r="72">
      <x:c r="B72" s="28" t="str">
        <x:v>PD-PAIR-B2-12</x:v>
      </x:c>
      <x:c r="C72" s="28" t="str">
        <x:v>PAIR-B2</x:v>
      </x:c>
      <x:c r="D72" s="28" t="str">
        <x:v>RFP-B2</x:v>
      </x:c>
      <x:c r="E72" s="28" t="str">
        <x:v>PTC-B</x:v>
      </x:c>
      <x:c r="F72" s="28" t="n">
        <x:v>12</x:v>
      </x:c>
      <x:c r="G72" s="28" t="str">
        <x:v>evidence roots accepted</x:v>
      </x:c>
      <x:c r="H72" s="31" t="str"/>
      <x:c r="I72" s="31" t="str"/>
      <x:c r="J72" s="28" t="str">
        <x:f>IF(I72="","OPEN",IF(H72="","FAIL","PASS"))</x:f>
        <x:v>OPEN</x:v>
      </x:c>
    </x:row>
    <x:row r="73">
      <x:c r="B73" s="28" t="str">
        <x:v>PD-PAIR-B2-13</x:v>
      </x:c>
      <x:c r="C73" s="28" t="str">
        <x:v>PAIR-B2</x:v>
      </x:c>
      <x:c r="D73" s="28" t="str">
        <x:v>RFP-B2</x:v>
      </x:c>
      <x:c r="E73" s="28" t="str">
        <x:v>PTC-B</x:v>
      </x:c>
      <x:c r="F73" s="28" t="n">
        <x:v>13</x:v>
      </x:c>
      <x:c r="G73" s="28" t="str">
        <x:v>safeing state accepted</x:v>
      </x:c>
      <x:c r="H73" s="31" t="str"/>
      <x:c r="I73" s="31" t="str"/>
      <x:c r="J73" s="28" t="str">
        <x:f>IF(I73="","OPEN",IF(H73="","FAIL","PASS"))</x:f>
        <x:v>OPEN</x:v>
      </x:c>
    </x:row>
    <x:row r="74">
      <x:c r="B74" s="28" t="str">
        <x:v>PD-PAIR-B2-14</x:v>
      </x:c>
      <x:c r="C74" s="28" t="str">
        <x:v>PAIR-B2</x:v>
      </x:c>
      <x:c r="D74" s="28" t="str">
        <x:v>RFP-B2</x:v>
      </x:c>
      <x:c r="E74" s="28" t="str">
        <x:v>PTC-B</x:v>
      </x:c>
      <x:c r="F74" s="28" t="n">
        <x:v>14</x:v>
      </x:c>
      <x:c r="G74" s="28" t="str">
        <x:v>rescue access accepted</x:v>
      </x:c>
      <x:c r="H74" s="31" t="str"/>
      <x:c r="I74" s="31" t="str"/>
      <x:c r="J74" s="28" t="str">
        <x:f>IF(I74="","OPEN",IF(H74="","FAIL","PASS"))</x:f>
        <x:v>OPEN</x:v>
      </x:c>
    </x:row>
    <x:row r="75">
      <x:c r="B75" s="28" t="str">
        <x:v>PD-PAIR-B2-15</x:v>
      </x:c>
      <x:c r="C75" s="28" t="str">
        <x:v>PAIR-B2</x:v>
      </x:c>
      <x:c r="D75" s="28" t="str">
        <x:v>RFP-B2</x:v>
      </x:c>
      <x:c r="E75" s="28" t="str">
        <x:v>PTC-B</x:v>
      </x:c>
      <x:c r="F75" s="28" t="n">
        <x:v>15</x:v>
      </x:c>
      <x:c r="G75" s="28" t="str">
        <x:v>dry integrated rehearsal</x:v>
      </x:c>
      <x:c r="H75" s="31" t="str"/>
      <x:c r="I75" s="31" t="str"/>
      <x:c r="J75" s="28" t="str">
        <x:f>IF(I75="","OPEN",IF(H75="","FAIL","PASS"))</x:f>
        <x:v>OPEN</x:v>
      </x:c>
    </x:row>
    <x:row r="76">
      <x:c r="B76" s="28" t="str">
        <x:v>PD-PAIR-B2-16</x:v>
      </x:c>
      <x:c r="C76" s="28" t="str">
        <x:v>PAIR-B2</x:v>
      </x:c>
      <x:c r="D76" s="28" t="str">
        <x:v>RFP-B2</x:v>
      </x:c>
      <x:c r="E76" s="28" t="str">
        <x:v>PTC-B</x:v>
      </x:c>
      <x:c r="F76" s="28" t="n">
        <x:v>16</x:v>
      </x:c>
      <x:c r="G76" s="28" t="str">
        <x:v>water-only integrated rehearsal</x:v>
      </x:c>
      <x:c r="H76" s="31" t="str"/>
      <x:c r="I76" s="31" t="str"/>
      <x:c r="J76" s="28" t="str">
        <x:f>IF(I76="","OPEN",IF(H76="","FAIL","PASS"))</x:f>
        <x:v>OPEN</x:v>
      </x:c>
    </x:row>
    <x:row r="77">
      <x:c r="B77" s="28" t="str">
        <x:v>PD-PAIR-B2-17</x:v>
      </x:c>
      <x:c r="C77" s="28" t="str">
        <x:v>PAIR-B2</x:v>
      </x:c>
      <x:c r="D77" s="28" t="str">
        <x:v>RFP-B2</x:v>
      </x:c>
      <x:c r="E77" s="28" t="str">
        <x:v>PTC-B</x:v>
      </x:c>
      <x:c r="F77" s="28" t="n">
        <x:v>17</x:v>
      </x:c>
      <x:c r="G77" s="28" t="str">
        <x:v>exception branches closed</x:v>
      </x:c>
      <x:c r="H77" s="31" t="str"/>
      <x:c r="I77" s="31" t="str"/>
      <x:c r="J77" s="28" t="str">
        <x:f>IF(I77="","OPEN",IF(H77="","FAIL","PASS"))</x:f>
        <x:v>OPEN</x:v>
      </x:c>
    </x:row>
    <x:row r="78">
      <x:c r="B78" s="28" t="str">
        <x:v>PD-PAIR-B2-18</x:v>
      </x:c>
      <x:c r="C78" s="28" t="str">
        <x:v>PAIR-B2</x:v>
      </x:c>
      <x:c r="D78" s="28" t="str">
        <x:v>RFP-B2</x:v>
      </x:c>
      <x:c r="E78" s="28" t="str">
        <x:v>PTC-B</x:v>
      </x:c>
      <x:c r="F78" s="28" t="n">
        <x:v>18</x:v>
      </x:c>
      <x:c r="G78" s="28" t="str">
        <x:v>pair board packet complete</x:v>
      </x:c>
      <x:c r="H78" s="31" t="str"/>
      <x:c r="I78" s="31" t="str"/>
      <x:c r="J78" s="28" t="str">
        <x:f>IF(I78="","OPEN",IF(H78="","FAIL","PASS"))</x:f>
        <x:v>OPEN</x:v>
      </x:c>
    </x:row>
    <x:row r="79">
      <x:c r="B79" s="28" t="str">
        <x:v>PD-PAIR-C1-01</x:v>
      </x:c>
      <x:c r="C79" s="28" t="str">
        <x:v>PAIR-C1</x:v>
      </x:c>
      <x:c r="D79" s="28" t="str">
        <x:v>RFP-C1</x:v>
      </x:c>
      <x:c r="E79" s="28" t="str">
        <x:v>PTC-C</x:v>
      </x:c>
      <x:c r="F79" s="28" t="n">
        <x:v>1</x:v>
      </x:c>
      <x:c r="G79" s="28" t="str">
        <x:v>operational article received</x:v>
      </x:c>
      <x:c r="H79" s="31" t="str"/>
      <x:c r="I79" s="31" t="str"/>
      <x:c r="J79" s="28" t="str">
        <x:f>IF(I79="","OPEN",IF(H79="","FAIL","PASS"))</x:f>
        <x:v>OPEN</x:v>
      </x:c>
    </x:row>
    <x:row r="80">
      <x:c r="B80" s="28" t="str">
        <x:v>PD-PAIR-C1-02</x:v>
      </x:c>
      <x:c r="C80" s="28" t="str">
        <x:v>PAIR-C1</x:v>
      </x:c>
      <x:c r="D80" s="28" t="str">
        <x:v>RFP-C1</x:v>
      </x:c>
      <x:c r="E80" s="28" t="str">
        <x:v>PTC-C</x:v>
      </x:c>
      <x:c r="F80" s="28" t="n">
        <x:v>2</x:v>
      </x:c>
      <x:c r="G80" s="28" t="str">
        <x:v>functional twin received</x:v>
      </x:c>
      <x:c r="H80" s="31" t="str"/>
      <x:c r="I80" s="31" t="str"/>
      <x:c r="J80" s="28" t="str">
        <x:f>IF(I80="","OPEN",IF(H80="","FAIL","PASS"))</x:f>
        <x:v>OPEN</x:v>
      </x:c>
    </x:row>
    <x:row r="81">
      <x:c r="B81" s="28" t="str">
        <x:v>PD-PAIR-C1-03</x:v>
      </x:c>
      <x:c r="C81" s="28" t="str">
        <x:v>PAIR-C1</x:v>
      </x:c>
      <x:c r="D81" s="28" t="str">
        <x:v>RFP-C1</x:v>
      </x:c>
      <x:c r="E81" s="28" t="str">
        <x:v>PTC-C</x:v>
      </x:c>
      <x:c r="F81" s="28" t="n">
        <x:v>3</x:v>
      </x:c>
      <x:c r="G81" s="28" t="str">
        <x:v>home assignment accepted</x:v>
      </x:c>
      <x:c r="H81" s="31" t="str"/>
      <x:c r="I81" s="31" t="str"/>
      <x:c r="J81" s="28" t="str">
        <x:f>IF(I81="","OPEN",IF(H81="","FAIL","PASS"))</x:f>
        <x:v>OPEN</x:v>
      </x:c>
    </x:row>
    <x:row r="82">
      <x:c r="B82" s="28" t="str">
        <x:v>PD-PAIR-C1-04</x:v>
      </x:c>
      <x:c r="C82" s="28" t="str">
        <x:v>PAIR-C1</x:v>
      </x:c>
      <x:c r="D82" s="28" t="str">
        <x:v>RFP-C1</x:v>
      </x:c>
      <x:c r="E82" s="28" t="str">
        <x:v>PTC-C</x:v>
      </x:c>
      <x:c r="F82" s="28" t="n">
        <x:v>4</x:v>
      </x:c>
      <x:c r="G82" s="28" t="str">
        <x:v>six-rig circuit complete</x:v>
      </x:c>
      <x:c r="H82" s="31" t="str"/>
      <x:c r="I82" s="31" t="str"/>
      <x:c r="J82" s="28" t="str">
        <x:f>IF(I82="","OPEN",IF(H82="","FAIL","PASS"))</x:f>
        <x:v>OPEN</x:v>
      </x:c>
    </x:row>
    <x:row r="83">
      <x:c r="B83" s="28" t="str">
        <x:v>PD-PAIR-C1-05</x:v>
      </x:c>
      <x:c r="C83" s="28" t="str">
        <x:v>PAIR-C1</x:v>
      </x:c>
      <x:c r="D83" s="28" t="str">
        <x:v>RFP-C1</x:v>
      </x:c>
      <x:c r="E83" s="28" t="str">
        <x:v>PTC-C</x:v>
      </x:c>
      <x:c r="F83" s="28" t="n">
        <x:v>5</x:v>
      </x:c>
      <x:c r="G83" s="28" t="str">
        <x:v>home docking accepted</x:v>
      </x:c>
      <x:c r="H83" s="31" t="str"/>
      <x:c r="I83" s="31" t="str"/>
      <x:c r="J83" s="28" t="str">
        <x:f>IF(I83="","OPEN",IF(H83="","FAIL","PASS"))</x:f>
        <x:v>OPEN</x:v>
      </x:c>
    </x:row>
    <x:row r="84">
      <x:c r="B84" s="28" t="str">
        <x:v>PD-PAIR-C1-06</x:v>
      </x:c>
      <x:c r="C84" s="28" t="str">
        <x:v>PAIR-C1</x:v>
      </x:c>
      <x:c r="D84" s="28" t="str">
        <x:v>RFP-C1</x:v>
      </x:c>
      <x:c r="E84" s="28" t="str">
        <x:v>PTC-C</x:v>
      </x:c>
      <x:c r="F84" s="28" t="n">
        <x:v>6</x:v>
      </x:c>
      <x:c r="G84" s="28" t="str">
        <x:v>calibration circuit accepted</x:v>
      </x:c>
      <x:c r="H84" s="31" t="str"/>
      <x:c r="I84" s="31" t="str"/>
      <x:c r="J84" s="28" t="str">
        <x:f>IF(I84="","OPEN",IF(H84="","FAIL","PASS"))</x:f>
        <x:v>OPEN</x:v>
      </x:c>
    </x:row>
    <x:row r="85">
      <x:c r="B85" s="28" t="str">
        <x:v>PD-PAIR-C1-07</x:v>
      </x:c>
      <x:c r="C85" s="28" t="str">
        <x:v>PAIR-C1</x:v>
      </x:c>
      <x:c r="D85" s="28" t="str">
        <x:v>RFP-C1</x:v>
      </x:c>
      <x:c r="E85" s="28" t="str">
        <x:v>PTC-C</x:v>
      </x:c>
      <x:c r="F85" s="28" t="n">
        <x:v>7</x:v>
      </x:c>
      <x:c r="G85" s="28" t="str">
        <x:v>source interface isolated</x:v>
      </x:c>
      <x:c r="H85" s="31" t="str"/>
      <x:c r="I85" s="31" t="str"/>
      <x:c r="J85" s="28" t="str">
        <x:f>IF(I85="","OPEN",IF(H85="","FAIL","PASS"))</x:f>
        <x:v>OPEN</x:v>
      </x:c>
    </x:row>
    <x:row r="86">
      <x:c r="B86" s="28" t="str">
        <x:v>PD-PAIR-C1-08</x:v>
      </x:c>
      <x:c r="C86" s="28" t="str">
        <x:v>PAIR-C1</x:v>
      </x:c>
      <x:c r="D86" s="28" t="str">
        <x:v>RFP-C1</x:v>
      </x:c>
      <x:c r="E86" s="28" t="str">
        <x:v>PTC-C</x:v>
      </x:c>
      <x:c r="F86" s="28" t="n">
        <x:v>8</x:v>
      </x:c>
      <x:c r="G86" s="28" t="str">
        <x:v>water interface isolated</x:v>
      </x:c>
      <x:c r="H86" s="31" t="str"/>
      <x:c r="I86" s="31" t="str"/>
      <x:c r="J86" s="28" t="str">
        <x:f>IF(I86="","OPEN",IF(H86="","FAIL","PASS"))</x:f>
        <x:v>OPEN</x:v>
      </x:c>
    </x:row>
    <x:row r="87">
      <x:c r="B87" s="28" t="str">
        <x:v>PD-PAIR-C1-09</x:v>
      </x:c>
      <x:c r="C87" s="28" t="str">
        <x:v>PAIR-C1</x:v>
      </x:c>
      <x:c r="D87" s="28" t="str">
        <x:v>RFP-C1</x:v>
      </x:c>
      <x:c r="E87" s="28" t="str">
        <x:v>PTC-C</x:v>
      </x:c>
      <x:c r="F87" s="28" t="n">
        <x:v>9</x:v>
      </x:c>
      <x:c r="G87" s="28" t="str">
        <x:v>containment interface accepted</x:v>
      </x:c>
      <x:c r="H87" s="31" t="str"/>
      <x:c r="I87" s="31" t="str"/>
      <x:c r="J87" s="28" t="str">
        <x:f>IF(I87="","OPEN",IF(H87="","FAIL","PASS"))</x:f>
        <x:v>OPEN</x:v>
      </x:c>
    </x:row>
    <x:row r="88">
      <x:c r="B88" s="28" t="str">
        <x:v>PD-PAIR-C1-10</x:v>
      </x:c>
      <x:c r="C88" s="28" t="str">
        <x:v>PAIR-C1</x:v>
      </x:c>
      <x:c r="D88" s="28" t="str">
        <x:v>RFP-C1</x:v>
      </x:c>
      <x:c r="E88" s="28" t="str">
        <x:v>PTC-C</x:v>
      </x:c>
      <x:c r="F88" s="28" t="n">
        <x:v>10</x:v>
      </x:c>
      <x:c r="G88" s="28" t="str">
        <x:v>normal and safety power accepted</x:v>
      </x:c>
      <x:c r="H88" s="31" t="str"/>
      <x:c r="I88" s="31" t="str"/>
      <x:c r="J88" s="28" t="str">
        <x:f>IF(I88="","OPEN",IF(H88="","FAIL","PASS"))</x:f>
        <x:v>OPEN</x:v>
      </x:c>
    </x:row>
    <x:row r="89">
      <x:c r="B89" s="28" t="str">
        <x:v>PD-PAIR-C1-11</x:v>
      </x:c>
      <x:c r="C89" s="28" t="str">
        <x:v>PAIR-C1</x:v>
      </x:c>
      <x:c r="D89" s="28" t="str">
        <x:v>RFP-C1</x:v>
      </x:c>
      <x:c r="E89" s="28" t="str">
        <x:v>PTC-C</x:v>
      </x:c>
      <x:c r="F89" s="28" t="n">
        <x:v>11</x:v>
      </x:c>
      <x:c r="G89" s="28" t="str">
        <x:v>causal time accepted</x:v>
      </x:c>
      <x:c r="H89" s="31" t="str"/>
      <x:c r="I89" s="31" t="str"/>
      <x:c r="J89" s="28" t="str">
        <x:f>IF(I89="","OPEN",IF(H89="","FAIL","PASS"))</x:f>
        <x:v>OPEN</x:v>
      </x:c>
    </x:row>
    <x:row r="90">
      <x:c r="B90" s="28" t="str">
        <x:v>PD-PAIR-C1-12</x:v>
      </x:c>
      <x:c r="C90" s="28" t="str">
        <x:v>PAIR-C1</x:v>
      </x:c>
      <x:c r="D90" s="28" t="str">
        <x:v>RFP-C1</x:v>
      </x:c>
      <x:c r="E90" s="28" t="str">
        <x:v>PTC-C</x:v>
      </x:c>
      <x:c r="F90" s="28" t="n">
        <x:v>12</x:v>
      </x:c>
      <x:c r="G90" s="28" t="str">
        <x:v>evidence roots accepted</x:v>
      </x:c>
      <x:c r="H90" s="31" t="str"/>
      <x:c r="I90" s="31" t="str"/>
      <x:c r="J90" s="28" t="str">
        <x:f>IF(I90="","OPEN",IF(H90="","FAIL","PASS"))</x:f>
        <x:v>OPEN</x:v>
      </x:c>
    </x:row>
    <x:row r="91">
      <x:c r="B91" s="28" t="str">
        <x:v>PD-PAIR-C1-13</x:v>
      </x:c>
      <x:c r="C91" s="28" t="str">
        <x:v>PAIR-C1</x:v>
      </x:c>
      <x:c r="D91" s="28" t="str">
        <x:v>RFP-C1</x:v>
      </x:c>
      <x:c r="E91" s="28" t="str">
        <x:v>PTC-C</x:v>
      </x:c>
      <x:c r="F91" s="28" t="n">
        <x:v>13</x:v>
      </x:c>
      <x:c r="G91" s="28" t="str">
        <x:v>safeing state accepted</x:v>
      </x:c>
      <x:c r="H91" s="31" t="str"/>
      <x:c r="I91" s="31" t="str"/>
      <x:c r="J91" s="28" t="str">
        <x:f>IF(I91="","OPEN",IF(H91="","FAIL","PASS"))</x:f>
        <x:v>OPEN</x:v>
      </x:c>
    </x:row>
    <x:row r="92">
      <x:c r="B92" s="28" t="str">
        <x:v>PD-PAIR-C1-14</x:v>
      </x:c>
      <x:c r="C92" s="28" t="str">
        <x:v>PAIR-C1</x:v>
      </x:c>
      <x:c r="D92" s="28" t="str">
        <x:v>RFP-C1</x:v>
      </x:c>
      <x:c r="E92" s="28" t="str">
        <x:v>PTC-C</x:v>
      </x:c>
      <x:c r="F92" s="28" t="n">
        <x:v>14</x:v>
      </x:c>
      <x:c r="G92" s="28" t="str">
        <x:v>rescue access accepted</x:v>
      </x:c>
      <x:c r="H92" s="31" t="str"/>
      <x:c r="I92" s="31" t="str"/>
      <x:c r="J92" s="28" t="str">
        <x:f>IF(I92="","OPEN",IF(H92="","FAIL","PASS"))</x:f>
        <x:v>OPEN</x:v>
      </x:c>
    </x:row>
    <x:row r="93">
      <x:c r="B93" s="28" t="str">
        <x:v>PD-PAIR-C1-15</x:v>
      </x:c>
      <x:c r="C93" s="28" t="str">
        <x:v>PAIR-C1</x:v>
      </x:c>
      <x:c r="D93" s="28" t="str">
        <x:v>RFP-C1</x:v>
      </x:c>
      <x:c r="E93" s="28" t="str">
        <x:v>PTC-C</x:v>
      </x:c>
      <x:c r="F93" s="28" t="n">
        <x:v>15</x:v>
      </x:c>
      <x:c r="G93" s="28" t="str">
        <x:v>dry integrated rehearsal</x:v>
      </x:c>
      <x:c r="H93" s="31" t="str"/>
      <x:c r="I93" s="31" t="str"/>
      <x:c r="J93" s="28" t="str">
        <x:f>IF(I93="","OPEN",IF(H93="","FAIL","PASS"))</x:f>
        <x:v>OPEN</x:v>
      </x:c>
    </x:row>
    <x:row r="94">
      <x:c r="B94" s="28" t="str">
        <x:v>PD-PAIR-C1-16</x:v>
      </x:c>
      <x:c r="C94" s="28" t="str">
        <x:v>PAIR-C1</x:v>
      </x:c>
      <x:c r="D94" s="28" t="str">
        <x:v>RFP-C1</x:v>
      </x:c>
      <x:c r="E94" s="28" t="str">
        <x:v>PTC-C</x:v>
      </x:c>
      <x:c r="F94" s="28" t="n">
        <x:v>16</x:v>
      </x:c>
      <x:c r="G94" s="28" t="str">
        <x:v>water-only integrated rehearsal</x:v>
      </x:c>
      <x:c r="H94" s="31" t="str"/>
      <x:c r="I94" s="31" t="str"/>
      <x:c r="J94" s="28" t="str">
        <x:f>IF(I94="","OPEN",IF(H94="","FAIL","PASS"))</x:f>
        <x:v>OPEN</x:v>
      </x:c>
    </x:row>
    <x:row r="95">
      <x:c r="B95" s="28" t="str">
        <x:v>PD-PAIR-C1-17</x:v>
      </x:c>
      <x:c r="C95" s="28" t="str">
        <x:v>PAIR-C1</x:v>
      </x:c>
      <x:c r="D95" s="28" t="str">
        <x:v>RFP-C1</x:v>
      </x:c>
      <x:c r="E95" s="28" t="str">
        <x:v>PTC-C</x:v>
      </x:c>
      <x:c r="F95" s="28" t="n">
        <x:v>17</x:v>
      </x:c>
      <x:c r="G95" s="28" t="str">
        <x:v>exception branches closed</x:v>
      </x:c>
      <x:c r="H95" s="31" t="str"/>
      <x:c r="I95" s="31" t="str"/>
      <x:c r="J95" s="28" t="str">
        <x:f>IF(I95="","OPEN",IF(H95="","FAIL","PASS"))</x:f>
        <x:v>OPEN</x:v>
      </x:c>
    </x:row>
    <x:row r="96">
      <x:c r="B96" s="28" t="str">
        <x:v>PD-PAIR-C1-18</x:v>
      </x:c>
      <x:c r="C96" s="28" t="str">
        <x:v>PAIR-C1</x:v>
      </x:c>
      <x:c r="D96" s="28" t="str">
        <x:v>RFP-C1</x:v>
      </x:c>
      <x:c r="E96" s="28" t="str">
        <x:v>PTC-C</x:v>
      </x:c>
      <x:c r="F96" s="28" t="n">
        <x:v>18</x:v>
      </x:c>
      <x:c r="G96" s="28" t="str">
        <x:v>pair board packet complete</x:v>
      </x:c>
      <x:c r="H96" s="31" t="str"/>
      <x:c r="I96" s="31" t="str"/>
      <x:c r="J96" s="28" t="str">
        <x:f>IF(I96="","OPEN",IF(H96="","FAIL","PASS"))</x:f>
        <x:v>OPEN</x:v>
      </x:c>
    </x:row>
    <x:row r="97">
      <x:c r="B97" s="28" t="str">
        <x:v>PD-PAIR-C2-01</x:v>
      </x:c>
      <x:c r="C97" s="28" t="str">
        <x:v>PAIR-C2</x:v>
      </x:c>
      <x:c r="D97" s="28" t="str">
        <x:v>RFP-C2</x:v>
      </x:c>
      <x:c r="E97" s="28" t="str">
        <x:v>PTC-C</x:v>
      </x:c>
      <x:c r="F97" s="28" t="n">
        <x:v>1</x:v>
      </x:c>
      <x:c r="G97" s="28" t="str">
        <x:v>operational article received</x:v>
      </x:c>
      <x:c r="H97" s="31" t="str"/>
      <x:c r="I97" s="31" t="str"/>
      <x:c r="J97" s="28" t="str">
        <x:f>IF(I97="","OPEN",IF(H97="","FAIL","PASS"))</x:f>
        <x:v>OPEN</x:v>
      </x:c>
    </x:row>
    <x:row r="98">
      <x:c r="B98" s="28" t="str">
        <x:v>PD-PAIR-C2-02</x:v>
      </x:c>
      <x:c r="C98" s="28" t="str">
        <x:v>PAIR-C2</x:v>
      </x:c>
      <x:c r="D98" s="28" t="str">
        <x:v>RFP-C2</x:v>
      </x:c>
      <x:c r="E98" s="28" t="str">
        <x:v>PTC-C</x:v>
      </x:c>
      <x:c r="F98" s="28" t="n">
        <x:v>2</x:v>
      </x:c>
      <x:c r="G98" s="28" t="str">
        <x:v>functional twin received</x:v>
      </x:c>
      <x:c r="H98" s="31" t="str"/>
      <x:c r="I98" s="31" t="str"/>
      <x:c r="J98" s="28" t="str">
        <x:f>IF(I98="","OPEN",IF(H98="","FAIL","PASS"))</x:f>
        <x:v>OPEN</x:v>
      </x:c>
    </x:row>
    <x:row r="99">
      <x:c r="B99" s="28" t="str">
        <x:v>PD-PAIR-C2-03</x:v>
      </x:c>
      <x:c r="C99" s="28" t="str">
        <x:v>PAIR-C2</x:v>
      </x:c>
      <x:c r="D99" s="28" t="str">
        <x:v>RFP-C2</x:v>
      </x:c>
      <x:c r="E99" s="28" t="str">
        <x:v>PTC-C</x:v>
      </x:c>
      <x:c r="F99" s="28" t="n">
        <x:v>3</x:v>
      </x:c>
      <x:c r="G99" s="28" t="str">
        <x:v>home assignment accepted</x:v>
      </x:c>
      <x:c r="H99" s="31" t="str"/>
      <x:c r="I99" s="31" t="str"/>
      <x:c r="J99" s="28" t="str">
        <x:f>IF(I99="","OPEN",IF(H99="","FAIL","PASS"))</x:f>
        <x:v>OPEN</x:v>
      </x:c>
    </x:row>
    <x:row r="100">
      <x:c r="B100" s="28" t="str">
        <x:v>PD-PAIR-C2-04</x:v>
      </x:c>
      <x:c r="C100" s="28" t="str">
        <x:v>PAIR-C2</x:v>
      </x:c>
      <x:c r="D100" s="28" t="str">
        <x:v>RFP-C2</x:v>
      </x:c>
      <x:c r="E100" s="28" t="str">
        <x:v>PTC-C</x:v>
      </x:c>
      <x:c r="F100" s="28" t="n">
        <x:v>4</x:v>
      </x:c>
      <x:c r="G100" s="28" t="str">
        <x:v>six-rig circuit complete</x:v>
      </x:c>
      <x:c r="H100" s="31" t="str"/>
      <x:c r="I100" s="31" t="str"/>
      <x:c r="J100" s="28" t="str">
        <x:f>IF(I100="","OPEN",IF(H100="","FAIL","PASS"))</x:f>
        <x:v>OPEN</x:v>
      </x:c>
    </x:row>
    <x:row r="101">
      <x:c r="B101" s="28" t="str">
        <x:v>PD-PAIR-C2-05</x:v>
      </x:c>
      <x:c r="C101" s="28" t="str">
        <x:v>PAIR-C2</x:v>
      </x:c>
      <x:c r="D101" s="28" t="str">
        <x:v>RFP-C2</x:v>
      </x:c>
      <x:c r="E101" s="28" t="str">
        <x:v>PTC-C</x:v>
      </x:c>
      <x:c r="F101" s="28" t="n">
        <x:v>5</x:v>
      </x:c>
      <x:c r="G101" s="28" t="str">
        <x:v>home docking accepted</x:v>
      </x:c>
      <x:c r="H101" s="31" t="str"/>
      <x:c r="I101" s="31" t="str"/>
      <x:c r="J101" s="28" t="str">
        <x:f>IF(I101="","OPEN",IF(H101="","FAIL","PASS"))</x:f>
        <x:v>OPEN</x:v>
      </x:c>
    </x:row>
    <x:row r="102">
      <x:c r="B102" s="28" t="str">
        <x:v>PD-PAIR-C2-06</x:v>
      </x:c>
      <x:c r="C102" s="28" t="str">
        <x:v>PAIR-C2</x:v>
      </x:c>
      <x:c r="D102" s="28" t="str">
        <x:v>RFP-C2</x:v>
      </x:c>
      <x:c r="E102" s="28" t="str">
        <x:v>PTC-C</x:v>
      </x:c>
      <x:c r="F102" s="28" t="n">
        <x:v>6</x:v>
      </x:c>
      <x:c r="G102" s="28" t="str">
        <x:v>calibration circuit accepted</x:v>
      </x:c>
      <x:c r="H102" s="31" t="str"/>
      <x:c r="I102" s="31" t="str"/>
      <x:c r="J102" s="28" t="str">
        <x:f>IF(I102="","OPEN",IF(H102="","FAIL","PASS"))</x:f>
        <x:v>OPEN</x:v>
      </x:c>
    </x:row>
    <x:row r="103">
      <x:c r="B103" s="28" t="str">
        <x:v>PD-PAIR-C2-07</x:v>
      </x:c>
      <x:c r="C103" s="28" t="str">
        <x:v>PAIR-C2</x:v>
      </x:c>
      <x:c r="D103" s="28" t="str">
        <x:v>RFP-C2</x:v>
      </x:c>
      <x:c r="E103" s="28" t="str">
        <x:v>PTC-C</x:v>
      </x:c>
      <x:c r="F103" s="28" t="n">
        <x:v>7</x:v>
      </x:c>
      <x:c r="G103" s="28" t="str">
        <x:v>source interface isolated</x:v>
      </x:c>
      <x:c r="H103" s="31" t="str"/>
      <x:c r="I103" s="31" t="str"/>
      <x:c r="J103" s="28" t="str">
        <x:f>IF(I103="","OPEN",IF(H103="","FAIL","PASS"))</x:f>
        <x:v>OPEN</x:v>
      </x:c>
    </x:row>
    <x:row r="104">
      <x:c r="B104" s="28" t="str">
        <x:v>PD-PAIR-C2-08</x:v>
      </x:c>
      <x:c r="C104" s="28" t="str">
        <x:v>PAIR-C2</x:v>
      </x:c>
      <x:c r="D104" s="28" t="str">
        <x:v>RFP-C2</x:v>
      </x:c>
      <x:c r="E104" s="28" t="str">
        <x:v>PTC-C</x:v>
      </x:c>
      <x:c r="F104" s="28" t="n">
        <x:v>8</x:v>
      </x:c>
      <x:c r="G104" s="28" t="str">
        <x:v>water interface isolated</x:v>
      </x:c>
      <x:c r="H104" s="31" t="str"/>
      <x:c r="I104" s="31" t="str"/>
      <x:c r="J104" s="28" t="str">
        <x:f>IF(I104="","OPEN",IF(H104="","FAIL","PASS"))</x:f>
        <x:v>OPEN</x:v>
      </x:c>
    </x:row>
    <x:row r="105">
      <x:c r="B105" s="28" t="str">
        <x:v>PD-PAIR-C2-09</x:v>
      </x:c>
      <x:c r="C105" s="28" t="str">
        <x:v>PAIR-C2</x:v>
      </x:c>
      <x:c r="D105" s="28" t="str">
        <x:v>RFP-C2</x:v>
      </x:c>
      <x:c r="E105" s="28" t="str">
        <x:v>PTC-C</x:v>
      </x:c>
      <x:c r="F105" s="28" t="n">
        <x:v>9</x:v>
      </x:c>
      <x:c r="G105" s="28" t="str">
        <x:v>containment interface accepted</x:v>
      </x:c>
      <x:c r="H105" s="31" t="str"/>
      <x:c r="I105" s="31" t="str"/>
      <x:c r="J105" s="28" t="str">
        <x:f>IF(I105="","OPEN",IF(H105="","FAIL","PASS"))</x:f>
        <x:v>OPEN</x:v>
      </x:c>
    </x:row>
    <x:row r="106">
      <x:c r="B106" s="28" t="str">
        <x:v>PD-PAIR-C2-10</x:v>
      </x:c>
      <x:c r="C106" s="28" t="str">
        <x:v>PAIR-C2</x:v>
      </x:c>
      <x:c r="D106" s="28" t="str">
        <x:v>RFP-C2</x:v>
      </x:c>
      <x:c r="E106" s="28" t="str">
        <x:v>PTC-C</x:v>
      </x:c>
      <x:c r="F106" s="28" t="n">
        <x:v>10</x:v>
      </x:c>
      <x:c r="G106" s="28" t="str">
        <x:v>normal and safety power accepted</x:v>
      </x:c>
      <x:c r="H106" s="31" t="str"/>
      <x:c r="I106" s="31" t="str"/>
      <x:c r="J106" s="28" t="str">
        <x:f>IF(I106="","OPEN",IF(H106="","FAIL","PASS"))</x:f>
        <x:v>OPEN</x:v>
      </x:c>
    </x:row>
    <x:row r="107">
      <x:c r="B107" s="28" t="str">
        <x:v>PD-PAIR-C2-11</x:v>
      </x:c>
      <x:c r="C107" s="28" t="str">
        <x:v>PAIR-C2</x:v>
      </x:c>
      <x:c r="D107" s="28" t="str">
        <x:v>RFP-C2</x:v>
      </x:c>
      <x:c r="E107" s="28" t="str">
        <x:v>PTC-C</x:v>
      </x:c>
      <x:c r="F107" s="28" t="n">
        <x:v>11</x:v>
      </x:c>
      <x:c r="G107" s="28" t="str">
        <x:v>causal time accepted</x:v>
      </x:c>
      <x:c r="H107" s="31" t="str"/>
      <x:c r="I107" s="31" t="str"/>
      <x:c r="J107" s="28" t="str">
        <x:f>IF(I107="","OPEN",IF(H107="","FAIL","PASS"))</x:f>
        <x:v>OPEN</x:v>
      </x:c>
    </x:row>
    <x:row r="108">
      <x:c r="B108" s="28" t="str">
        <x:v>PD-PAIR-C2-12</x:v>
      </x:c>
      <x:c r="C108" s="28" t="str">
        <x:v>PAIR-C2</x:v>
      </x:c>
      <x:c r="D108" s="28" t="str">
        <x:v>RFP-C2</x:v>
      </x:c>
      <x:c r="E108" s="28" t="str">
        <x:v>PTC-C</x:v>
      </x:c>
      <x:c r="F108" s="28" t="n">
        <x:v>12</x:v>
      </x:c>
      <x:c r="G108" s="28" t="str">
        <x:v>evidence roots accepted</x:v>
      </x:c>
      <x:c r="H108" s="31" t="str"/>
      <x:c r="I108" s="31" t="str"/>
      <x:c r="J108" s="28" t="str">
        <x:f>IF(I108="","OPEN",IF(H108="","FAIL","PASS"))</x:f>
        <x:v>OPEN</x:v>
      </x:c>
    </x:row>
    <x:row r="109">
      <x:c r="B109" s="28" t="str">
        <x:v>PD-PAIR-C2-13</x:v>
      </x:c>
      <x:c r="C109" s="28" t="str">
        <x:v>PAIR-C2</x:v>
      </x:c>
      <x:c r="D109" s="28" t="str">
        <x:v>RFP-C2</x:v>
      </x:c>
      <x:c r="E109" s="28" t="str">
        <x:v>PTC-C</x:v>
      </x:c>
      <x:c r="F109" s="28" t="n">
        <x:v>13</x:v>
      </x:c>
      <x:c r="G109" s="28" t="str">
        <x:v>safeing state accepted</x:v>
      </x:c>
      <x:c r="H109" s="31" t="str"/>
      <x:c r="I109" s="31" t="str"/>
      <x:c r="J109" s="28" t="str">
        <x:f>IF(I109="","OPEN",IF(H109="","FAIL","PASS"))</x:f>
        <x:v>OPEN</x:v>
      </x:c>
    </x:row>
    <x:row r="110">
      <x:c r="B110" s="28" t="str">
        <x:v>PD-PAIR-C2-14</x:v>
      </x:c>
      <x:c r="C110" s="28" t="str">
        <x:v>PAIR-C2</x:v>
      </x:c>
      <x:c r="D110" s="28" t="str">
        <x:v>RFP-C2</x:v>
      </x:c>
      <x:c r="E110" s="28" t="str">
        <x:v>PTC-C</x:v>
      </x:c>
      <x:c r="F110" s="28" t="n">
        <x:v>14</x:v>
      </x:c>
      <x:c r="G110" s="28" t="str">
        <x:v>rescue access accepted</x:v>
      </x:c>
      <x:c r="H110" s="31" t="str"/>
      <x:c r="I110" s="31" t="str"/>
      <x:c r="J110" s="28" t="str">
        <x:f>IF(I110="","OPEN",IF(H110="","FAIL","PASS"))</x:f>
        <x:v>OPEN</x:v>
      </x:c>
    </x:row>
    <x:row r="111">
      <x:c r="B111" s="28" t="str">
        <x:v>PD-PAIR-C2-15</x:v>
      </x:c>
      <x:c r="C111" s="28" t="str">
        <x:v>PAIR-C2</x:v>
      </x:c>
      <x:c r="D111" s="28" t="str">
        <x:v>RFP-C2</x:v>
      </x:c>
      <x:c r="E111" s="28" t="str">
        <x:v>PTC-C</x:v>
      </x:c>
      <x:c r="F111" s="28" t="n">
        <x:v>15</x:v>
      </x:c>
      <x:c r="G111" s="28" t="str">
        <x:v>dry integrated rehearsal</x:v>
      </x:c>
      <x:c r="H111" s="31" t="str"/>
      <x:c r="I111" s="31" t="str"/>
      <x:c r="J111" s="28" t="str">
        <x:f>IF(I111="","OPEN",IF(H111="","FAIL","PASS"))</x:f>
        <x:v>OPEN</x:v>
      </x:c>
    </x:row>
    <x:row r="112">
      <x:c r="B112" s="28" t="str">
        <x:v>PD-PAIR-C2-16</x:v>
      </x:c>
      <x:c r="C112" s="28" t="str">
        <x:v>PAIR-C2</x:v>
      </x:c>
      <x:c r="D112" s="28" t="str">
        <x:v>RFP-C2</x:v>
      </x:c>
      <x:c r="E112" s="28" t="str">
        <x:v>PTC-C</x:v>
      </x:c>
      <x:c r="F112" s="28" t="n">
        <x:v>16</x:v>
      </x:c>
      <x:c r="G112" s="28" t="str">
        <x:v>water-only integrated rehearsal</x:v>
      </x:c>
      <x:c r="H112" s="31" t="str"/>
      <x:c r="I112" s="31" t="str"/>
      <x:c r="J112" s="28" t="str">
        <x:f>IF(I112="","OPEN",IF(H112="","FAIL","PASS"))</x:f>
        <x:v>OPEN</x:v>
      </x:c>
    </x:row>
    <x:row r="113">
      <x:c r="B113" s="28" t="str">
        <x:v>PD-PAIR-C2-17</x:v>
      </x:c>
      <x:c r="C113" s="28" t="str">
        <x:v>PAIR-C2</x:v>
      </x:c>
      <x:c r="D113" s="28" t="str">
        <x:v>RFP-C2</x:v>
      </x:c>
      <x:c r="E113" s="28" t="str">
        <x:v>PTC-C</x:v>
      </x:c>
      <x:c r="F113" s="28" t="n">
        <x:v>17</x:v>
      </x:c>
      <x:c r="G113" s="28" t="str">
        <x:v>exception branches closed</x:v>
      </x:c>
      <x:c r="H113" s="31" t="str"/>
      <x:c r="I113" s="31" t="str"/>
      <x:c r="J113" s="28" t="str">
        <x:f>IF(I113="","OPEN",IF(H113="","FAIL","PASS"))</x:f>
        <x:v>OPEN</x:v>
      </x:c>
    </x:row>
    <x:row r="114">
      <x:c r="B114" s="28" t="str">
        <x:v>PD-PAIR-C2-18</x:v>
      </x:c>
      <x:c r="C114" s="28" t="str">
        <x:v>PAIR-C2</x:v>
      </x:c>
      <x:c r="D114" s="28" t="str">
        <x:v>RFP-C2</x:v>
      </x:c>
      <x:c r="E114" s="28" t="str">
        <x:v>PTC-C</x:v>
      </x:c>
      <x:c r="F114" s="28" t="n">
        <x:v>18</x:v>
      </x:c>
      <x:c r="G114" s="28" t="str">
        <x:v>pair board packet complete</x:v>
      </x:c>
      <x:c r="H114" s="31" t="str"/>
      <x:c r="I114" s="31" t="str"/>
      <x:c r="J114" s="28" t="str">
        <x:f>IF(I114="","OPEN",IF(H114="","FAIL","PASS"))</x:f>
        <x:v>OPEN</x:v>
      </x:c>
    </x:row>
  </x:sheetData>
  <x:conditionalFormatting sqref="J7:J114">
    <x:cfRule type="containsText" dxfId="72" priority="1" operator="containsText" text="FAIL"/>
    <x:cfRule type="containsText" dxfId="73" priority="2" operator="containsText" text="BLOCKED"/>
    <x:cfRule type="containsText" dxfId="74" priority="3" operator="containsText" text="EXPIRED"/>
    <x:cfRule type="containsText" dxfId="75" priority="4" operator="containsText" text="OPEN"/>
    <x:cfRule type="containsText" dxfId="76" priority="5" operator="containsText" text="DORMANT"/>
    <x:cfRule type="containsText" dxfId="77" priority="6" operator="containsText" text="PASS"/>
  </x:conditionalFormatting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7" hidden="0" customWidth="1"/>
    <x:col min="3" max="3" width="14" hidden="0" customWidth="1"/>
    <x:col min="4" max="4" width="12" hidden="0" customWidth="1"/>
    <x:col min="5" max="5" width="52" hidden="0" customWidth="1"/>
    <x:col min="6" max="6" width="34" hidden="0" customWidth="1"/>
    <x:col min="7" max="7" width="21" hidden="0" customWidth="1"/>
    <x:col min="8" max="8" width="14" hidden="0" customWidth="1"/>
  </x:cols>
  <x:sheetData>
    <x:row r="2">
      <x:c r="B2" s="25" t="str">
        <x:v>Forty-eight campus-readiness records</x:v>
      </x:c>
      <x:c r="C2" s="26"/>
      <x:c r="D2" s="26"/>
      <x:c r="E2" s="26"/>
      <x:c r="F2" s="26"/>
      <x:c r="G2" s="26"/>
      <x:c r="H2" s="26"/>
    </x:row>
    <x:row r="3">
      <x:c r="B3" s="27" t="str">
        <x:v>A campus must sustain two unlike home pairs and shared services without one pair completing the other.</x:v>
      </x:c>
      <x:c r="C3" s="26"/>
      <x:c r="D3" s="26"/>
      <x:c r="E3" s="26"/>
      <x:c r="F3" s="26"/>
      <x:c r="G3" s="26"/>
      <x:c r="H3" s="26"/>
    </x:row>
    <x:row r="4">
      <x:c r="B4" s="26"/>
      <x:c r="C4" s="26"/>
      <x:c r="D4" s="26"/>
      <x:c r="E4" s="26"/>
      <x:c r="F4" s="26"/>
      <x:c r="G4" s="26"/>
      <x:c r="H4" s="26"/>
    </x:row>
    <x:row r="5">
      <x:c r="B5" s="26"/>
      <x:c r="C5" s="26"/>
      <x:c r="D5" s="26"/>
      <x:c r="E5" s="26"/>
      <x:c r="F5" s="26"/>
      <x:c r="G5" s="26"/>
      <x:c r="H5" s="26"/>
    </x:row>
    <x:row r="6" ht="24" customHeight="1">
      <x:c r="B6" s="6" t="str">
        <x:v>Record</x:v>
      </x:c>
      <x:c r="C6" s="6" t="str">
        <x:v>Campus</x:v>
      </x:c>
      <x:c r="D6" s="6" t="str">
        <x:v>Domain</x:v>
      </x:c>
      <x:c r="E6" s="6" t="str">
        <x:v>Requirement</x:v>
      </x:c>
      <x:c r="F6" s="6" t="str">
        <x:v>Evidence root</x:v>
      </x:c>
      <x:c r="G6" s="6" t="str">
        <x:v>Accepted UTC</x:v>
      </x:c>
      <x:c r="H6" s="6" t="str">
        <x:v>State</x:v>
      </x:c>
    </x:row>
    <x:row r="7">
      <x:c r="B7" s="28" t="str">
        <x:v>CD-PTC-A-01</x:v>
      </x:c>
      <x:c r="C7" s="28" t="str">
        <x:v>PTC-A</x:v>
      </x:c>
      <x:c r="D7" s="28" t="n">
        <x:v>1</x:v>
      </x:c>
      <x:c r="E7" s="28" t="str">
        <x:v>two home operational articles</x:v>
      </x:c>
      <x:c r="F7" s="31" t="str"/>
      <x:c r="G7" s="31" t="str"/>
      <x:c r="H7" s="28" t="str">
        <x:f>IF(G7="","OPEN",IF(F7="","FAIL","PASS"))</x:f>
        <x:v>OPEN</x:v>
      </x:c>
    </x:row>
    <x:row r="8">
      <x:c r="B8" s="28" t="str">
        <x:v>CD-PTC-A-02</x:v>
      </x:c>
      <x:c r="C8" s="28" t="str">
        <x:v>PTC-A</x:v>
      </x:c>
      <x:c r="D8" s="28" t="n">
        <x:v>2</x:v>
      </x:c>
      <x:c r="E8" s="28" t="str">
        <x:v>two functional twins</x:v>
      </x:c>
      <x:c r="F8" s="31" t="str"/>
      <x:c r="G8" s="31" t="str"/>
      <x:c r="H8" s="28" t="str">
        <x:f>IF(G8="","OPEN",IF(F8="","FAIL","PASS"))</x:f>
        <x:v>OPEN</x:v>
      </x:c>
    </x:row>
    <x:row r="9">
      <x:c r="B9" s="28" t="str">
        <x:v>CD-PTC-A-03</x:v>
      </x:c>
      <x:c r="C9" s="28" t="str">
        <x:v>PTC-A</x:v>
      </x:c>
      <x:c r="D9" s="28" t="n">
        <x:v>3</x:v>
      </x:c>
      <x:c r="E9" s="28" t="str">
        <x:v>one calibration article</x:v>
      </x:c>
      <x:c r="F9" s="31" t="str"/>
      <x:c r="G9" s="31" t="str"/>
      <x:c r="H9" s="28" t="str">
        <x:f>IF(G9="","OPEN",IF(F9="","FAIL","PASS"))</x:f>
        <x:v>OPEN</x:v>
      </x:c>
    </x:row>
    <x:row r="10">
      <x:c r="B10" s="28" t="str">
        <x:v>CD-PTC-A-04</x:v>
      </x:c>
      <x:c r="C10" s="28" t="str">
        <x:v>PTC-A</x:v>
      </x:c>
      <x:c r="D10" s="28" t="n">
        <x:v>4</x:v>
      </x:c>
      <x:c r="E10" s="28" t="str">
        <x:v>one destructive article</x:v>
      </x:c>
      <x:c r="F10" s="31" t="str"/>
      <x:c r="G10" s="31" t="str"/>
      <x:c r="H10" s="28" t="str">
        <x:f>IF(G10="","OPEN",IF(F10="","FAIL","PASS"))</x:f>
        <x:v>OPEN</x:v>
      </x:c>
    </x:row>
    <x:row r="11">
      <x:c r="B11" s="28" t="str">
        <x:v>CD-PTC-A-05</x:v>
      </x:c>
      <x:c r="C11" s="28" t="str">
        <x:v>PTC-A</x:v>
      </x:c>
      <x:c r="D11" s="28" t="n">
        <x:v>5</x:v>
      </x:c>
      <x:c r="E11" s="28" t="str">
        <x:v>two public rigs</x:v>
      </x:c>
      <x:c r="F11" s="31" t="str"/>
      <x:c r="G11" s="31" t="str"/>
      <x:c r="H11" s="28" t="str">
        <x:f>IF(G11="","OPEN",IF(F11="","FAIL","PASS"))</x:f>
        <x:v>OPEN</x:v>
      </x:c>
    </x:row>
    <x:row r="12">
      <x:c r="B12" s="28" t="str">
        <x:v>CD-PTC-A-06</x:v>
      </x:c>
      <x:c r="C12" s="28" t="str">
        <x:v>PTC-A</x:v>
      </x:c>
      <x:c r="D12" s="28" t="n">
        <x:v>6</x:v>
      </x:c>
      <x:c r="E12" s="28" t="str">
        <x:v>standards custody</x:v>
      </x:c>
      <x:c r="F12" s="31" t="str"/>
      <x:c r="G12" s="31" t="str"/>
      <x:c r="H12" s="28" t="str">
        <x:f>IF(G12="","OPEN",IF(F12="","FAIL","PASS"))</x:f>
        <x:v>OPEN</x:v>
      </x:c>
    </x:row>
    <x:row r="13">
      <x:c r="B13" s="28" t="str">
        <x:v>CD-PTC-A-07</x:v>
      </x:c>
      <x:c r="C13" s="28" t="str">
        <x:v>PTC-A</x:v>
      </x:c>
      <x:c r="D13" s="28" t="n">
        <x:v>7</x:v>
      </x:c>
      <x:c r="E13" s="28" t="str">
        <x:v>integration media</x:v>
      </x:c>
      <x:c r="F13" s="31" t="str"/>
      <x:c r="G13" s="31" t="str"/>
      <x:c r="H13" s="28" t="str">
        <x:f>IF(G13="","OPEN",IF(F13="","FAIL","PASS"))</x:f>
        <x:v>OPEN</x:v>
      </x:c>
    </x:row>
    <x:row r="14">
      <x:c r="B14" s="28" t="str">
        <x:v>CD-PTC-A-08</x:v>
      </x:c>
      <x:c r="C14" s="28" t="str">
        <x:v>PTC-A</x:v>
      </x:c>
      <x:c r="D14" s="28" t="n">
        <x:v>8</x:v>
      </x:c>
      <x:c r="E14" s="28" t="str">
        <x:v>qualified duty roster</x:v>
      </x:c>
      <x:c r="F14" s="31" t="str"/>
      <x:c r="G14" s="31" t="str"/>
      <x:c r="H14" s="28" t="str">
        <x:f>IF(G14="","OPEN",IF(F14="","FAIL","PASS"))</x:f>
        <x:v>OPEN</x:v>
      </x:c>
    </x:row>
    <x:row r="15">
      <x:c r="B15" s="28" t="str">
        <x:v>CD-PTC-A-09</x:v>
      </x:c>
      <x:c r="C15" s="28" t="str">
        <x:v>PTC-A</x:v>
      </x:c>
      <x:c r="D15" s="28" t="n">
        <x:v>9</x:v>
      </x:c>
      <x:c r="E15" s="28" t="str">
        <x:v>rescue command</x:v>
      </x:c>
      <x:c r="F15" s="31" t="str"/>
      <x:c r="G15" s="31" t="str"/>
      <x:c r="H15" s="28" t="str">
        <x:f>IF(G15="","OPEN",IF(F15="","FAIL","PASS"))</x:f>
        <x:v>OPEN</x:v>
      </x:c>
    </x:row>
    <x:row r="16">
      <x:c r="B16" s="28" t="str">
        <x:v>CD-PTC-A-10</x:v>
      </x:c>
      <x:c r="C16" s="28" t="str">
        <x:v>PTC-A</x:v>
      </x:c>
      <x:c r="D16" s="28" t="n">
        <x:v>10</x:v>
      </x:c>
      <x:c r="E16" s="28" t="str">
        <x:v>decontamination support</x:v>
      </x:c>
      <x:c r="F16" s="31" t="str"/>
      <x:c r="G16" s="31" t="str"/>
      <x:c r="H16" s="28" t="str">
        <x:f>IF(G16="","OPEN",IF(F16="","FAIL","PASS"))</x:f>
        <x:v>OPEN</x:v>
      </x:c>
    </x:row>
    <x:row r="17">
      <x:c r="B17" s="28" t="str">
        <x:v>CD-PTC-A-11</x:v>
      </x:c>
      <x:c r="C17" s="28" t="str">
        <x:v>PTC-A</x:v>
      </x:c>
      <x:c r="D17" s="28" t="n">
        <x:v>11</x:v>
      </x:c>
      <x:c r="E17" s="28" t="str">
        <x:v>two evidence vaults</x:v>
      </x:c>
      <x:c r="F17" s="31" t="str"/>
      <x:c r="G17" s="31" t="str"/>
      <x:c r="H17" s="28" t="str">
        <x:f>IF(G17="","OPEN",IF(F17="","FAIL","PASS"))</x:f>
        <x:v>OPEN</x:v>
      </x:c>
    </x:row>
    <x:row r="18">
      <x:c r="B18" s="28" t="str">
        <x:v>CD-PTC-A-12</x:v>
      </x:c>
      <x:c r="C18" s="28" t="str">
        <x:v>PTC-A</x:v>
      </x:c>
      <x:c r="D18" s="28" t="n">
        <x:v>12</x:v>
      </x:c>
      <x:c r="E18" s="28" t="str">
        <x:v>quarantine and repair cell</x:v>
      </x:c>
      <x:c r="F18" s="31" t="str"/>
      <x:c r="G18" s="31" t="str"/>
      <x:c r="H18" s="28" t="str">
        <x:f>IF(G18="","OPEN",IF(F18="","FAIL","PASS"))</x:f>
        <x:v>OPEN</x:v>
      </x:c>
    </x:row>
    <x:row r="19">
      <x:c r="B19" s="28" t="str">
        <x:v>CD-PTC-A-13</x:v>
      </x:c>
      <x:c r="C19" s="28" t="str">
        <x:v>PTC-A</x:v>
      </x:c>
      <x:c r="D19" s="28" t="n">
        <x:v>13</x:v>
      </x:c>
      <x:c r="E19" s="28" t="str">
        <x:v>outside-campus replay</x:v>
      </x:c>
      <x:c r="F19" s="31" t="str"/>
      <x:c r="G19" s="31" t="str"/>
      <x:c r="H19" s="28" t="str">
        <x:f>IF(G19="","OPEN",IF(F19="","FAIL","PASS"))</x:f>
        <x:v>OPEN</x:v>
      </x:c>
    </x:row>
    <x:row r="20">
      <x:c r="B20" s="28" t="str">
        <x:v>CD-PTC-A-14</x:v>
      </x:c>
      <x:c r="C20" s="28" t="str">
        <x:v>PTC-A</x:v>
      </x:c>
      <x:c r="D20" s="28" t="n">
        <x:v>14</x:v>
      </x:c>
      <x:c r="E20" s="28" t="str">
        <x:v>environmental authority</x:v>
      </x:c>
      <x:c r="F20" s="31" t="str"/>
      <x:c r="G20" s="31" t="str"/>
      <x:c r="H20" s="28" t="str">
        <x:f>IF(G20="","OPEN",IF(F20="","FAIL","PASS"))</x:f>
        <x:v>OPEN</x:v>
      </x:c>
    </x:row>
    <x:row r="21">
      <x:c r="B21" s="28" t="str">
        <x:v>CD-PTC-A-15</x:v>
      </x:c>
      <x:c r="C21" s="28" t="str">
        <x:v>PTC-A</x:v>
      </x:c>
      <x:c r="D21" s="28" t="n">
        <x:v>15</x:v>
      </x:c>
      <x:c r="E21" s="28" t="str">
        <x:v>public safety command</x:v>
      </x:c>
      <x:c r="F21" s="31" t="str"/>
      <x:c r="G21" s="31" t="str"/>
      <x:c r="H21" s="28" t="str">
        <x:f>IF(G21="","OPEN",IF(F21="","FAIL","PASS"))</x:f>
        <x:v>OPEN</x:v>
      </x:c>
    </x:row>
    <x:row r="22">
      <x:c r="B22" s="28" t="str">
        <x:v>CD-PTC-A-16</x:v>
      </x:c>
      <x:c r="C22" s="28" t="str">
        <x:v>PTC-A</x:v>
      </x:c>
      <x:c r="D22" s="28" t="n">
        <x:v>16</x:v>
      </x:c>
      <x:c r="E22" s="28" t="str">
        <x:v>campus acceptance packet</x:v>
      </x:c>
      <x:c r="F22" s="31" t="str"/>
      <x:c r="G22" s="31" t="str"/>
      <x:c r="H22" s="28" t="str">
        <x:f>IF(G22="","OPEN",IF(F22="","FAIL","PASS"))</x:f>
        <x:v>OPEN</x:v>
      </x:c>
    </x:row>
    <x:row r="23">
      <x:c r="B23" s="28" t="str">
        <x:v>CD-PTC-B-01</x:v>
      </x:c>
      <x:c r="C23" s="28" t="str">
        <x:v>PTC-B</x:v>
      </x:c>
      <x:c r="D23" s="28" t="n">
        <x:v>1</x:v>
      </x:c>
      <x:c r="E23" s="28" t="str">
        <x:v>two home operational articles</x:v>
      </x:c>
      <x:c r="F23" s="31" t="str"/>
      <x:c r="G23" s="31" t="str"/>
      <x:c r="H23" s="28" t="str">
        <x:f>IF(G23="","OPEN",IF(F23="","FAIL","PASS"))</x:f>
        <x:v>OPEN</x:v>
      </x:c>
    </x:row>
    <x:row r="24">
      <x:c r="B24" s="28" t="str">
        <x:v>CD-PTC-B-02</x:v>
      </x:c>
      <x:c r="C24" s="28" t="str">
        <x:v>PTC-B</x:v>
      </x:c>
      <x:c r="D24" s="28" t="n">
        <x:v>2</x:v>
      </x:c>
      <x:c r="E24" s="28" t="str">
        <x:v>two functional twins</x:v>
      </x:c>
      <x:c r="F24" s="31" t="str"/>
      <x:c r="G24" s="31" t="str"/>
      <x:c r="H24" s="28" t="str">
        <x:f>IF(G24="","OPEN",IF(F24="","FAIL","PASS"))</x:f>
        <x:v>OPEN</x:v>
      </x:c>
    </x:row>
    <x:row r="25">
      <x:c r="B25" s="28" t="str">
        <x:v>CD-PTC-B-03</x:v>
      </x:c>
      <x:c r="C25" s="28" t="str">
        <x:v>PTC-B</x:v>
      </x:c>
      <x:c r="D25" s="28" t="n">
        <x:v>3</x:v>
      </x:c>
      <x:c r="E25" s="28" t="str">
        <x:v>one calibration article</x:v>
      </x:c>
      <x:c r="F25" s="31" t="str"/>
      <x:c r="G25" s="31" t="str"/>
      <x:c r="H25" s="28" t="str">
        <x:f>IF(G25="","OPEN",IF(F25="","FAIL","PASS"))</x:f>
        <x:v>OPEN</x:v>
      </x:c>
    </x:row>
    <x:row r="26">
      <x:c r="B26" s="28" t="str">
        <x:v>CD-PTC-B-04</x:v>
      </x:c>
      <x:c r="C26" s="28" t="str">
        <x:v>PTC-B</x:v>
      </x:c>
      <x:c r="D26" s="28" t="n">
        <x:v>4</x:v>
      </x:c>
      <x:c r="E26" s="28" t="str">
        <x:v>one destructive article</x:v>
      </x:c>
      <x:c r="F26" s="31" t="str"/>
      <x:c r="G26" s="31" t="str"/>
      <x:c r="H26" s="28" t="str">
        <x:f>IF(G26="","OPEN",IF(F26="","FAIL","PASS"))</x:f>
        <x:v>OPEN</x:v>
      </x:c>
    </x:row>
    <x:row r="27">
      <x:c r="B27" s="28" t="str">
        <x:v>CD-PTC-B-05</x:v>
      </x:c>
      <x:c r="C27" s="28" t="str">
        <x:v>PTC-B</x:v>
      </x:c>
      <x:c r="D27" s="28" t="n">
        <x:v>5</x:v>
      </x:c>
      <x:c r="E27" s="28" t="str">
        <x:v>two public rigs</x:v>
      </x:c>
      <x:c r="F27" s="31" t="str"/>
      <x:c r="G27" s="31" t="str"/>
      <x:c r="H27" s="28" t="str">
        <x:f>IF(G27="","OPEN",IF(F27="","FAIL","PASS"))</x:f>
        <x:v>OPEN</x:v>
      </x:c>
    </x:row>
    <x:row r="28">
      <x:c r="B28" s="28" t="str">
        <x:v>CD-PTC-B-06</x:v>
      </x:c>
      <x:c r="C28" s="28" t="str">
        <x:v>PTC-B</x:v>
      </x:c>
      <x:c r="D28" s="28" t="n">
        <x:v>6</x:v>
      </x:c>
      <x:c r="E28" s="28" t="str">
        <x:v>standards custody</x:v>
      </x:c>
      <x:c r="F28" s="31" t="str"/>
      <x:c r="G28" s="31" t="str"/>
      <x:c r="H28" s="28" t="str">
        <x:f>IF(G28="","OPEN",IF(F28="","FAIL","PASS"))</x:f>
        <x:v>OPEN</x:v>
      </x:c>
    </x:row>
    <x:row r="29">
      <x:c r="B29" s="28" t="str">
        <x:v>CD-PTC-B-07</x:v>
      </x:c>
      <x:c r="C29" s="28" t="str">
        <x:v>PTC-B</x:v>
      </x:c>
      <x:c r="D29" s="28" t="n">
        <x:v>7</x:v>
      </x:c>
      <x:c r="E29" s="28" t="str">
        <x:v>integration media</x:v>
      </x:c>
      <x:c r="F29" s="31" t="str"/>
      <x:c r="G29" s="31" t="str"/>
      <x:c r="H29" s="28" t="str">
        <x:f>IF(G29="","OPEN",IF(F29="","FAIL","PASS"))</x:f>
        <x:v>OPEN</x:v>
      </x:c>
    </x:row>
    <x:row r="30">
      <x:c r="B30" s="28" t="str">
        <x:v>CD-PTC-B-08</x:v>
      </x:c>
      <x:c r="C30" s="28" t="str">
        <x:v>PTC-B</x:v>
      </x:c>
      <x:c r="D30" s="28" t="n">
        <x:v>8</x:v>
      </x:c>
      <x:c r="E30" s="28" t="str">
        <x:v>qualified duty roster</x:v>
      </x:c>
      <x:c r="F30" s="31" t="str"/>
      <x:c r="G30" s="31" t="str"/>
      <x:c r="H30" s="28" t="str">
        <x:f>IF(G30="","OPEN",IF(F30="","FAIL","PASS"))</x:f>
        <x:v>OPEN</x:v>
      </x:c>
    </x:row>
    <x:row r="31">
      <x:c r="B31" s="28" t="str">
        <x:v>CD-PTC-B-09</x:v>
      </x:c>
      <x:c r="C31" s="28" t="str">
        <x:v>PTC-B</x:v>
      </x:c>
      <x:c r="D31" s="28" t="n">
        <x:v>9</x:v>
      </x:c>
      <x:c r="E31" s="28" t="str">
        <x:v>rescue command</x:v>
      </x:c>
      <x:c r="F31" s="31" t="str"/>
      <x:c r="G31" s="31" t="str"/>
      <x:c r="H31" s="28" t="str">
        <x:f>IF(G31="","OPEN",IF(F31="","FAIL","PASS"))</x:f>
        <x:v>OPEN</x:v>
      </x:c>
    </x:row>
    <x:row r="32">
      <x:c r="B32" s="28" t="str">
        <x:v>CD-PTC-B-10</x:v>
      </x:c>
      <x:c r="C32" s="28" t="str">
        <x:v>PTC-B</x:v>
      </x:c>
      <x:c r="D32" s="28" t="n">
        <x:v>10</x:v>
      </x:c>
      <x:c r="E32" s="28" t="str">
        <x:v>decontamination support</x:v>
      </x:c>
      <x:c r="F32" s="31" t="str"/>
      <x:c r="G32" s="31" t="str"/>
      <x:c r="H32" s="28" t="str">
        <x:f>IF(G32="","OPEN",IF(F32="","FAIL","PASS"))</x:f>
        <x:v>OPEN</x:v>
      </x:c>
    </x:row>
    <x:row r="33">
      <x:c r="B33" s="28" t="str">
        <x:v>CD-PTC-B-11</x:v>
      </x:c>
      <x:c r="C33" s="28" t="str">
        <x:v>PTC-B</x:v>
      </x:c>
      <x:c r="D33" s="28" t="n">
        <x:v>11</x:v>
      </x:c>
      <x:c r="E33" s="28" t="str">
        <x:v>two evidence vaults</x:v>
      </x:c>
      <x:c r="F33" s="31" t="str"/>
      <x:c r="G33" s="31" t="str"/>
      <x:c r="H33" s="28" t="str">
        <x:f>IF(G33="","OPEN",IF(F33="","FAIL","PASS"))</x:f>
        <x:v>OPEN</x:v>
      </x:c>
    </x:row>
    <x:row r="34">
      <x:c r="B34" s="28" t="str">
        <x:v>CD-PTC-B-12</x:v>
      </x:c>
      <x:c r="C34" s="28" t="str">
        <x:v>PTC-B</x:v>
      </x:c>
      <x:c r="D34" s="28" t="n">
        <x:v>12</x:v>
      </x:c>
      <x:c r="E34" s="28" t="str">
        <x:v>quarantine and repair cell</x:v>
      </x:c>
      <x:c r="F34" s="31" t="str"/>
      <x:c r="G34" s="31" t="str"/>
      <x:c r="H34" s="28" t="str">
        <x:f>IF(G34="","OPEN",IF(F34="","FAIL","PASS"))</x:f>
        <x:v>OPEN</x:v>
      </x:c>
    </x:row>
    <x:row r="35">
      <x:c r="B35" s="28" t="str">
        <x:v>CD-PTC-B-13</x:v>
      </x:c>
      <x:c r="C35" s="28" t="str">
        <x:v>PTC-B</x:v>
      </x:c>
      <x:c r="D35" s="28" t="n">
        <x:v>13</x:v>
      </x:c>
      <x:c r="E35" s="28" t="str">
        <x:v>outside-campus replay</x:v>
      </x:c>
      <x:c r="F35" s="31" t="str"/>
      <x:c r="G35" s="31" t="str"/>
      <x:c r="H35" s="28" t="str">
        <x:f>IF(G35="","OPEN",IF(F35="","FAIL","PASS"))</x:f>
        <x:v>OPEN</x:v>
      </x:c>
    </x:row>
    <x:row r="36">
      <x:c r="B36" s="28" t="str">
        <x:v>CD-PTC-B-14</x:v>
      </x:c>
      <x:c r="C36" s="28" t="str">
        <x:v>PTC-B</x:v>
      </x:c>
      <x:c r="D36" s="28" t="n">
        <x:v>14</x:v>
      </x:c>
      <x:c r="E36" s="28" t="str">
        <x:v>environmental authority</x:v>
      </x:c>
      <x:c r="F36" s="31" t="str"/>
      <x:c r="G36" s="31" t="str"/>
      <x:c r="H36" s="28" t="str">
        <x:f>IF(G36="","OPEN",IF(F36="","FAIL","PASS"))</x:f>
        <x:v>OPEN</x:v>
      </x:c>
    </x:row>
    <x:row r="37">
      <x:c r="B37" s="28" t="str">
        <x:v>CD-PTC-B-15</x:v>
      </x:c>
      <x:c r="C37" s="28" t="str">
        <x:v>PTC-B</x:v>
      </x:c>
      <x:c r="D37" s="28" t="n">
        <x:v>15</x:v>
      </x:c>
      <x:c r="E37" s="28" t="str">
        <x:v>public safety command</x:v>
      </x:c>
      <x:c r="F37" s="31" t="str"/>
      <x:c r="G37" s="31" t="str"/>
      <x:c r="H37" s="28" t="str">
        <x:f>IF(G37="","OPEN",IF(F37="","FAIL","PASS"))</x:f>
        <x:v>OPEN</x:v>
      </x:c>
    </x:row>
    <x:row r="38">
      <x:c r="B38" s="28" t="str">
        <x:v>CD-PTC-B-16</x:v>
      </x:c>
      <x:c r="C38" s="28" t="str">
        <x:v>PTC-B</x:v>
      </x:c>
      <x:c r="D38" s="28" t="n">
        <x:v>16</x:v>
      </x:c>
      <x:c r="E38" s="28" t="str">
        <x:v>campus acceptance packet</x:v>
      </x:c>
      <x:c r="F38" s="31" t="str"/>
      <x:c r="G38" s="31" t="str"/>
      <x:c r="H38" s="28" t="str">
        <x:f>IF(G38="","OPEN",IF(F38="","FAIL","PASS"))</x:f>
        <x:v>OPEN</x:v>
      </x:c>
    </x:row>
    <x:row r="39">
      <x:c r="B39" s="28" t="str">
        <x:v>CD-PTC-C-01</x:v>
      </x:c>
      <x:c r="C39" s="28" t="str">
        <x:v>PTC-C</x:v>
      </x:c>
      <x:c r="D39" s="28" t="n">
        <x:v>1</x:v>
      </x:c>
      <x:c r="E39" s="28" t="str">
        <x:v>two home operational articles</x:v>
      </x:c>
      <x:c r="F39" s="31" t="str"/>
      <x:c r="G39" s="31" t="str"/>
      <x:c r="H39" s="28" t="str">
        <x:f>IF(G39="","OPEN",IF(F39="","FAIL","PASS"))</x:f>
        <x:v>OPEN</x:v>
      </x:c>
    </x:row>
    <x:row r="40">
      <x:c r="B40" s="28" t="str">
        <x:v>CD-PTC-C-02</x:v>
      </x:c>
      <x:c r="C40" s="28" t="str">
        <x:v>PTC-C</x:v>
      </x:c>
      <x:c r="D40" s="28" t="n">
        <x:v>2</x:v>
      </x:c>
      <x:c r="E40" s="28" t="str">
        <x:v>two functional twins</x:v>
      </x:c>
      <x:c r="F40" s="31" t="str"/>
      <x:c r="G40" s="31" t="str"/>
      <x:c r="H40" s="28" t="str">
        <x:f>IF(G40="","OPEN",IF(F40="","FAIL","PASS"))</x:f>
        <x:v>OPEN</x:v>
      </x:c>
    </x:row>
    <x:row r="41">
      <x:c r="B41" s="28" t="str">
        <x:v>CD-PTC-C-03</x:v>
      </x:c>
      <x:c r="C41" s="28" t="str">
        <x:v>PTC-C</x:v>
      </x:c>
      <x:c r="D41" s="28" t="n">
        <x:v>3</x:v>
      </x:c>
      <x:c r="E41" s="28" t="str">
        <x:v>one calibration article</x:v>
      </x:c>
      <x:c r="F41" s="31" t="str"/>
      <x:c r="G41" s="31" t="str"/>
      <x:c r="H41" s="28" t="str">
        <x:f>IF(G41="","OPEN",IF(F41="","FAIL","PASS"))</x:f>
        <x:v>OPEN</x:v>
      </x:c>
    </x:row>
    <x:row r="42">
      <x:c r="B42" s="28" t="str">
        <x:v>CD-PTC-C-04</x:v>
      </x:c>
      <x:c r="C42" s="28" t="str">
        <x:v>PTC-C</x:v>
      </x:c>
      <x:c r="D42" s="28" t="n">
        <x:v>4</x:v>
      </x:c>
      <x:c r="E42" s="28" t="str">
        <x:v>one destructive article</x:v>
      </x:c>
      <x:c r="F42" s="31" t="str"/>
      <x:c r="G42" s="31" t="str"/>
      <x:c r="H42" s="28" t="str">
        <x:f>IF(G42="","OPEN",IF(F42="","FAIL","PASS"))</x:f>
        <x:v>OPEN</x:v>
      </x:c>
    </x:row>
    <x:row r="43">
      <x:c r="B43" s="28" t="str">
        <x:v>CD-PTC-C-05</x:v>
      </x:c>
      <x:c r="C43" s="28" t="str">
        <x:v>PTC-C</x:v>
      </x:c>
      <x:c r="D43" s="28" t="n">
        <x:v>5</x:v>
      </x:c>
      <x:c r="E43" s="28" t="str">
        <x:v>two public rigs</x:v>
      </x:c>
      <x:c r="F43" s="31" t="str"/>
      <x:c r="G43" s="31" t="str"/>
      <x:c r="H43" s="28" t="str">
        <x:f>IF(G43="","OPEN",IF(F43="","FAIL","PASS"))</x:f>
        <x:v>OPEN</x:v>
      </x:c>
    </x:row>
    <x:row r="44">
      <x:c r="B44" s="28" t="str">
        <x:v>CD-PTC-C-06</x:v>
      </x:c>
      <x:c r="C44" s="28" t="str">
        <x:v>PTC-C</x:v>
      </x:c>
      <x:c r="D44" s="28" t="n">
        <x:v>6</x:v>
      </x:c>
      <x:c r="E44" s="28" t="str">
        <x:v>standards custody</x:v>
      </x:c>
      <x:c r="F44" s="31" t="str"/>
      <x:c r="G44" s="31" t="str"/>
      <x:c r="H44" s="28" t="str">
        <x:f>IF(G44="","OPEN",IF(F44="","FAIL","PASS"))</x:f>
        <x:v>OPEN</x:v>
      </x:c>
    </x:row>
    <x:row r="45">
      <x:c r="B45" s="28" t="str">
        <x:v>CD-PTC-C-07</x:v>
      </x:c>
      <x:c r="C45" s="28" t="str">
        <x:v>PTC-C</x:v>
      </x:c>
      <x:c r="D45" s="28" t="n">
        <x:v>7</x:v>
      </x:c>
      <x:c r="E45" s="28" t="str">
        <x:v>integration media</x:v>
      </x:c>
      <x:c r="F45" s="31" t="str"/>
      <x:c r="G45" s="31" t="str"/>
      <x:c r="H45" s="28" t="str">
        <x:f>IF(G45="","OPEN",IF(F45="","FAIL","PASS"))</x:f>
        <x:v>OPEN</x:v>
      </x:c>
    </x:row>
    <x:row r="46">
      <x:c r="B46" s="28" t="str">
        <x:v>CD-PTC-C-08</x:v>
      </x:c>
      <x:c r="C46" s="28" t="str">
        <x:v>PTC-C</x:v>
      </x:c>
      <x:c r="D46" s="28" t="n">
        <x:v>8</x:v>
      </x:c>
      <x:c r="E46" s="28" t="str">
        <x:v>qualified duty roster</x:v>
      </x:c>
      <x:c r="F46" s="31" t="str"/>
      <x:c r="G46" s="31" t="str"/>
      <x:c r="H46" s="28" t="str">
        <x:f>IF(G46="","OPEN",IF(F46="","FAIL","PASS"))</x:f>
        <x:v>OPEN</x:v>
      </x:c>
    </x:row>
    <x:row r="47">
      <x:c r="B47" s="28" t="str">
        <x:v>CD-PTC-C-09</x:v>
      </x:c>
      <x:c r="C47" s="28" t="str">
        <x:v>PTC-C</x:v>
      </x:c>
      <x:c r="D47" s="28" t="n">
        <x:v>9</x:v>
      </x:c>
      <x:c r="E47" s="28" t="str">
        <x:v>rescue command</x:v>
      </x:c>
      <x:c r="F47" s="31" t="str"/>
      <x:c r="G47" s="31" t="str"/>
      <x:c r="H47" s="28" t="str">
        <x:f>IF(G47="","OPEN",IF(F47="","FAIL","PASS"))</x:f>
        <x:v>OPEN</x:v>
      </x:c>
    </x:row>
    <x:row r="48">
      <x:c r="B48" s="28" t="str">
        <x:v>CD-PTC-C-10</x:v>
      </x:c>
      <x:c r="C48" s="28" t="str">
        <x:v>PTC-C</x:v>
      </x:c>
      <x:c r="D48" s="28" t="n">
        <x:v>10</x:v>
      </x:c>
      <x:c r="E48" s="28" t="str">
        <x:v>decontamination support</x:v>
      </x:c>
      <x:c r="F48" s="31" t="str"/>
      <x:c r="G48" s="31" t="str"/>
      <x:c r="H48" s="28" t="str">
        <x:f>IF(G48="","OPEN",IF(F48="","FAIL","PASS"))</x:f>
        <x:v>OPEN</x:v>
      </x:c>
    </x:row>
    <x:row r="49">
      <x:c r="B49" s="28" t="str">
        <x:v>CD-PTC-C-11</x:v>
      </x:c>
      <x:c r="C49" s="28" t="str">
        <x:v>PTC-C</x:v>
      </x:c>
      <x:c r="D49" s="28" t="n">
        <x:v>11</x:v>
      </x:c>
      <x:c r="E49" s="28" t="str">
        <x:v>two evidence vaults</x:v>
      </x:c>
      <x:c r="F49" s="31" t="str"/>
      <x:c r="G49" s="31" t="str"/>
      <x:c r="H49" s="28" t="str">
        <x:f>IF(G49="","OPEN",IF(F49="","FAIL","PASS"))</x:f>
        <x:v>OPEN</x:v>
      </x:c>
    </x:row>
    <x:row r="50">
      <x:c r="B50" s="28" t="str">
        <x:v>CD-PTC-C-12</x:v>
      </x:c>
      <x:c r="C50" s="28" t="str">
        <x:v>PTC-C</x:v>
      </x:c>
      <x:c r="D50" s="28" t="n">
        <x:v>12</x:v>
      </x:c>
      <x:c r="E50" s="28" t="str">
        <x:v>quarantine and repair cell</x:v>
      </x:c>
      <x:c r="F50" s="31" t="str"/>
      <x:c r="G50" s="31" t="str"/>
      <x:c r="H50" s="28" t="str">
        <x:f>IF(G50="","OPEN",IF(F50="","FAIL","PASS"))</x:f>
        <x:v>OPEN</x:v>
      </x:c>
    </x:row>
    <x:row r="51">
      <x:c r="B51" s="28" t="str">
        <x:v>CD-PTC-C-13</x:v>
      </x:c>
      <x:c r="C51" s="28" t="str">
        <x:v>PTC-C</x:v>
      </x:c>
      <x:c r="D51" s="28" t="n">
        <x:v>13</x:v>
      </x:c>
      <x:c r="E51" s="28" t="str">
        <x:v>outside-campus replay</x:v>
      </x:c>
      <x:c r="F51" s="31" t="str"/>
      <x:c r="G51" s="31" t="str"/>
      <x:c r="H51" s="28" t="str">
        <x:f>IF(G51="","OPEN",IF(F51="","FAIL","PASS"))</x:f>
        <x:v>OPEN</x:v>
      </x:c>
    </x:row>
    <x:row r="52">
      <x:c r="B52" s="28" t="str">
        <x:v>CD-PTC-C-14</x:v>
      </x:c>
      <x:c r="C52" s="28" t="str">
        <x:v>PTC-C</x:v>
      </x:c>
      <x:c r="D52" s="28" t="n">
        <x:v>14</x:v>
      </x:c>
      <x:c r="E52" s="28" t="str">
        <x:v>environmental authority</x:v>
      </x:c>
      <x:c r="F52" s="31" t="str"/>
      <x:c r="G52" s="31" t="str"/>
      <x:c r="H52" s="28" t="str">
        <x:f>IF(G52="","OPEN",IF(F52="","FAIL","PASS"))</x:f>
        <x:v>OPEN</x:v>
      </x:c>
    </x:row>
    <x:row r="53">
      <x:c r="B53" s="28" t="str">
        <x:v>CD-PTC-C-15</x:v>
      </x:c>
      <x:c r="C53" s="28" t="str">
        <x:v>PTC-C</x:v>
      </x:c>
      <x:c r="D53" s="28" t="n">
        <x:v>15</x:v>
      </x:c>
      <x:c r="E53" s="28" t="str">
        <x:v>public safety command</x:v>
      </x:c>
      <x:c r="F53" s="31" t="str"/>
      <x:c r="G53" s="31" t="str"/>
      <x:c r="H53" s="28" t="str">
        <x:f>IF(G53="","OPEN",IF(F53="","FAIL","PASS"))</x:f>
        <x:v>OPEN</x:v>
      </x:c>
    </x:row>
    <x:row r="54">
      <x:c r="B54" s="28" t="str">
        <x:v>CD-PTC-C-16</x:v>
      </x:c>
      <x:c r="C54" s="28" t="str">
        <x:v>PTC-C</x:v>
      </x:c>
      <x:c r="D54" s="28" t="n">
        <x:v>16</x:v>
      </x:c>
      <x:c r="E54" s="28" t="str">
        <x:v>campus acceptance packet</x:v>
      </x:c>
      <x:c r="F54" s="31" t="str"/>
      <x:c r="G54" s="31" t="str"/>
      <x:c r="H54" s="28" t="str">
        <x:f>IF(G54="","OPEN",IF(F54="","FAIL","PASS"))</x:f>
        <x:v>OPEN</x:v>
      </x:c>
    </x:row>
  </x:sheetData>
  <x:conditionalFormatting sqref="H7:H54">
    <x:cfRule type="containsText" dxfId="78" priority="1" operator="containsText" text="FAIL"/>
    <x:cfRule type="containsText" dxfId="79" priority="2" operator="containsText" text="BLOCKED"/>
    <x:cfRule type="containsText" dxfId="80" priority="3" operator="containsText" text="EXPIRED"/>
    <x:cfRule type="containsText" dxfId="81" priority="4" operator="containsText" text="OPEN"/>
    <x:cfRule type="containsText" dxfId="82" priority="5" operator="containsText" text="DORMANT"/>
    <x:cfRule type="containsText" dxfId="83" priority="6" operator="containsText" text="PASS"/>
  </x:conditionalFormatting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31" hidden="0" customWidth="1"/>
    <x:col min="4" max="4" width="14" hidden="0" customWidth="1"/>
    <x:col min="5" max="5" width="18" hidden="0" customWidth="1"/>
    <x:col min="6" max="6" width="22" hidden="0" customWidth="1"/>
    <x:col min="7" max="7" width="19" hidden="0" customWidth="1"/>
    <x:col min="8" max="8" width="33" hidden="0" customWidth="1"/>
    <x:col min="9" max="9" width="33" hidden="0" customWidth="1"/>
    <x:col min="10" max="10" width="21" hidden="0" customWidth="1"/>
    <x:col min="11" max="11" width="14" hidden="0" customWidth="1"/>
  </x:cols>
  <x:sheetData>
    <x:row r="2">
      <x:c r="B2" s="25" t="str">
        <x:v>Twelve noncredit integration-media lots</x:v>
      </x:c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B3" s="27" t="str">
        <x:v>Integration water and safe surrogate are segregated from the future RAP-1 campaign lots and cannot earn source-event credit.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</x:row>
    <x:row r="6" ht="24" customHeight="1">
      <x:c r="B6" s="6" t="str">
        <x:v>Lot</x:v>
      </x:c>
      <x:c r="C6" s="6" t="str">
        <x:v>Medium</x:v>
      </x:c>
      <x:c r="D6" s="6" t="str">
        <x:v>Rig</x:v>
      </x:c>
      <x:c r="E6" s="6" t="str">
        <x:v>Unit</x:v>
      </x:c>
      <x:c r="F6" s="6" t="str">
        <x:v>Required quantity</x:v>
      </x:c>
      <x:c r="G6" s="6" t="str">
        <x:v>Actual quantity</x:v>
      </x:c>
      <x:c r="H6" s="6" t="str">
        <x:v>Ancestry root</x:v>
      </x:c>
      <x:c r="I6" s="6" t="str">
        <x:v>Disposition path</x:v>
      </x:c>
      <x:c r="J6" s="6" t="str">
        <x:v>Accepted UTC</x:v>
      </x:c>
      <x:c r="K6" s="6" t="str">
        <x:v>State</x:v>
      </x:c>
    </x:row>
    <x:row r="7">
      <x:c r="B7" s="28" t="str">
        <x:v>WM-RFP-A1</x:v>
      </x:c>
      <x:c r="C7" s="28" t="str">
        <x:v>integration water</x:v>
      </x:c>
      <x:c r="D7" s="28" t="str">
        <x:v>RFP-A1</x:v>
      </x:c>
      <x:c r="E7" s="28" t="str">
        <x:v>cubic metres</x:v>
      </x:c>
      <x:c r="F7" s="28" t="n">
        <x:v>1</x:v>
      </x:c>
      <x:c r="G7" s="31" t="str"/>
      <x:c r="H7" s="31" t="str"/>
      <x:c r="I7" s="31" t="str"/>
      <x:c r="J7" s="31" t="str"/>
      <x:c r="K7" s="28" t="str">
        <x:f>IF(J7="","OPEN",IF(AND(ISNUMBER(G7),G7&gt;=F7,H7&lt;&gt;"",I7&lt;&gt;""),"PASS","FAIL"))</x:f>
        <x:v>OPEN</x:v>
      </x:c>
    </x:row>
    <x:row r="8">
      <x:c r="B8" s="28" t="str">
        <x:v>SM-RFP-A1</x:v>
      </x:c>
      <x:c r="C8" s="28" t="str">
        <x:v>safe integration surrogate</x:v>
      </x:c>
      <x:c r="D8" s="28" t="str">
        <x:v>RFP-A1</x:v>
      </x:c>
      <x:c r="E8" s="28" t="str">
        <x:v>kilograms</x:v>
      </x:c>
      <x:c r="F8" s="28" t="n">
        <x:v>50</x:v>
      </x:c>
      <x:c r="G8" s="31" t="str"/>
      <x:c r="H8" s="31" t="str"/>
      <x:c r="I8" s="31" t="str"/>
      <x:c r="J8" s="31" t="str"/>
      <x:c r="K8" s="28" t="str">
        <x:f>IF(J8="","OPEN",IF(AND(ISNUMBER(G8),G8&gt;=F8,H8&lt;&gt;"",I8&lt;&gt;""),"PASS","FAIL"))</x:f>
        <x:v>OPEN</x:v>
      </x:c>
    </x:row>
    <x:row r="9">
      <x:c r="B9" s="28" t="str">
        <x:v>WM-RFP-A2</x:v>
      </x:c>
      <x:c r="C9" s="28" t="str">
        <x:v>integration water</x:v>
      </x:c>
      <x:c r="D9" s="28" t="str">
        <x:v>RFP-A2</x:v>
      </x:c>
      <x:c r="E9" s="28" t="str">
        <x:v>cubic metres</x:v>
      </x:c>
      <x:c r="F9" s="28" t="n">
        <x:v>1</x:v>
      </x:c>
      <x:c r="G9" s="31" t="str"/>
      <x:c r="H9" s="31" t="str"/>
      <x:c r="I9" s="31" t="str"/>
      <x:c r="J9" s="31" t="str"/>
      <x:c r="K9" s="28" t="str">
        <x:f>IF(J9="","OPEN",IF(AND(ISNUMBER(G9),G9&gt;=F9,H9&lt;&gt;"",I9&lt;&gt;""),"PASS","FAIL"))</x:f>
        <x:v>OPEN</x:v>
      </x:c>
    </x:row>
    <x:row r="10">
      <x:c r="B10" s="28" t="str">
        <x:v>SM-RFP-A2</x:v>
      </x:c>
      <x:c r="C10" s="28" t="str">
        <x:v>safe integration surrogate</x:v>
      </x:c>
      <x:c r="D10" s="28" t="str">
        <x:v>RFP-A2</x:v>
      </x:c>
      <x:c r="E10" s="28" t="str">
        <x:v>kilograms</x:v>
      </x:c>
      <x:c r="F10" s="28" t="n">
        <x:v>50</x:v>
      </x:c>
      <x:c r="G10" s="31" t="str"/>
      <x:c r="H10" s="31" t="str"/>
      <x:c r="I10" s="31" t="str"/>
      <x:c r="J10" s="31" t="str"/>
      <x:c r="K10" s="28" t="str">
        <x:f>IF(J10="","OPEN",IF(AND(ISNUMBER(G10),G10&gt;=F10,H10&lt;&gt;"",I10&lt;&gt;""),"PASS","FAIL"))</x:f>
        <x:v>OPEN</x:v>
      </x:c>
    </x:row>
    <x:row r="11">
      <x:c r="B11" s="28" t="str">
        <x:v>WM-RFP-B1</x:v>
      </x:c>
      <x:c r="C11" s="28" t="str">
        <x:v>integration water</x:v>
      </x:c>
      <x:c r="D11" s="28" t="str">
        <x:v>RFP-B1</x:v>
      </x:c>
      <x:c r="E11" s="28" t="str">
        <x:v>cubic metres</x:v>
      </x:c>
      <x:c r="F11" s="28" t="n">
        <x:v>1</x:v>
      </x:c>
      <x:c r="G11" s="31" t="str"/>
      <x:c r="H11" s="31" t="str"/>
      <x:c r="I11" s="31" t="str"/>
      <x:c r="J11" s="31" t="str"/>
      <x:c r="K11" s="28" t="str">
        <x:f>IF(J11="","OPEN",IF(AND(ISNUMBER(G11),G11&gt;=F11,H11&lt;&gt;"",I11&lt;&gt;""),"PASS","FAIL"))</x:f>
        <x:v>OPEN</x:v>
      </x:c>
    </x:row>
    <x:row r="12">
      <x:c r="B12" s="28" t="str">
        <x:v>SM-RFP-B1</x:v>
      </x:c>
      <x:c r="C12" s="28" t="str">
        <x:v>safe integration surrogate</x:v>
      </x:c>
      <x:c r="D12" s="28" t="str">
        <x:v>RFP-B1</x:v>
      </x:c>
      <x:c r="E12" s="28" t="str">
        <x:v>kilograms</x:v>
      </x:c>
      <x:c r="F12" s="28" t="n">
        <x:v>50</x:v>
      </x:c>
      <x:c r="G12" s="31" t="str"/>
      <x:c r="H12" s="31" t="str"/>
      <x:c r="I12" s="31" t="str"/>
      <x:c r="J12" s="31" t="str"/>
      <x:c r="K12" s="28" t="str">
        <x:f>IF(J12="","OPEN",IF(AND(ISNUMBER(G12),G12&gt;=F12,H12&lt;&gt;"",I12&lt;&gt;""),"PASS","FAIL"))</x:f>
        <x:v>OPEN</x:v>
      </x:c>
    </x:row>
    <x:row r="13">
      <x:c r="B13" s="28" t="str">
        <x:v>WM-RFP-B2</x:v>
      </x:c>
      <x:c r="C13" s="28" t="str">
        <x:v>integration water</x:v>
      </x:c>
      <x:c r="D13" s="28" t="str">
        <x:v>RFP-B2</x:v>
      </x:c>
      <x:c r="E13" s="28" t="str">
        <x:v>cubic metres</x:v>
      </x:c>
      <x:c r="F13" s="28" t="n">
        <x:v>1</x:v>
      </x:c>
      <x:c r="G13" s="31" t="str"/>
      <x:c r="H13" s="31" t="str"/>
      <x:c r="I13" s="31" t="str"/>
      <x:c r="J13" s="31" t="str"/>
      <x:c r="K13" s="28" t="str">
        <x:f>IF(J13="","OPEN",IF(AND(ISNUMBER(G13),G13&gt;=F13,H13&lt;&gt;"",I13&lt;&gt;""),"PASS","FAIL"))</x:f>
        <x:v>OPEN</x:v>
      </x:c>
    </x:row>
    <x:row r="14">
      <x:c r="B14" s="28" t="str">
        <x:v>SM-RFP-B2</x:v>
      </x:c>
      <x:c r="C14" s="28" t="str">
        <x:v>safe integration surrogate</x:v>
      </x:c>
      <x:c r="D14" s="28" t="str">
        <x:v>RFP-B2</x:v>
      </x:c>
      <x:c r="E14" s="28" t="str">
        <x:v>kilograms</x:v>
      </x:c>
      <x:c r="F14" s="28" t="n">
        <x:v>50</x:v>
      </x:c>
      <x:c r="G14" s="31" t="str"/>
      <x:c r="H14" s="31" t="str"/>
      <x:c r="I14" s="31" t="str"/>
      <x:c r="J14" s="31" t="str"/>
      <x:c r="K14" s="28" t="str">
        <x:f>IF(J14="","OPEN",IF(AND(ISNUMBER(G14),G14&gt;=F14,H14&lt;&gt;"",I14&lt;&gt;""),"PASS","FAIL"))</x:f>
        <x:v>OPEN</x:v>
      </x:c>
    </x:row>
    <x:row r="15">
      <x:c r="B15" s="28" t="str">
        <x:v>WM-RFP-C1</x:v>
      </x:c>
      <x:c r="C15" s="28" t="str">
        <x:v>integration water</x:v>
      </x:c>
      <x:c r="D15" s="28" t="str">
        <x:v>RFP-C1</x:v>
      </x:c>
      <x:c r="E15" s="28" t="str">
        <x:v>cubic metres</x:v>
      </x:c>
      <x:c r="F15" s="28" t="n">
        <x:v>1</x:v>
      </x:c>
      <x:c r="G15" s="31" t="str"/>
      <x:c r="H15" s="31" t="str"/>
      <x:c r="I15" s="31" t="str"/>
      <x:c r="J15" s="31" t="str"/>
      <x:c r="K15" s="28" t="str">
        <x:f>IF(J15="","OPEN",IF(AND(ISNUMBER(G15),G15&gt;=F15,H15&lt;&gt;"",I15&lt;&gt;""),"PASS","FAIL"))</x:f>
        <x:v>OPEN</x:v>
      </x:c>
    </x:row>
    <x:row r="16">
      <x:c r="B16" s="28" t="str">
        <x:v>SM-RFP-C1</x:v>
      </x:c>
      <x:c r="C16" s="28" t="str">
        <x:v>safe integration surrogate</x:v>
      </x:c>
      <x:c r="D16" s="28" t="str">
        <x:v>RFP-C1</x:v>
      </x:c>
      <x:c r="E16" s="28" t="str">
        <x:v>kilograms</x:v>
      </x:c>
      <x:c r="F16" s="28" t="n">
        <x:v>50</x:v>
      </x:c>
      <x:c r="G16" s="31" t="str"/>
      <x:c r="H16" s="31" t="str"/>
      <x:c r="I16" s="31" t="str"/>
      <x:c r="J16" s="31" t="str"/>
      <x:c r="K16" s="28" t="str">
        <x:f>IF(J16="","OPEN",IF(AND(ISNUMBER(G16),G16&gt;=F16,H16&lt;&gt;"",I16&lt;&gt;""),"PASS","FAIL"))</x:f>
        <x:v>OPEN</x:v>
      </x:c>
    </x:row>
    <x:row r="17">
      <x:c r="B17" s="28" t="str">
        <x:v>WM-RFP-C2</x:v>
      </x:c>
      <x:c r="C17" s="28" t="str">
        <x:v>integration water</x:v>
      </x:c>
      <x:c r="D17" s="28" t="str">
        <x:v>RFP-C2</x:v>
      </x:c>
      <x:c r="E17" s="28" t="str">
        <x:v>cubic metres</x:v>
      </x:c>
      <x:c r="F17" s="28" t="n">
        <x:v>1</x:v>
      </x:c>
      <x:c r="G17" s="31" t="str"/>
      <x:c r="H17" s="31" t="str"/>
      <x:c r="I17" s="31" t="str"/>
      <x:c r="J17" s="31" t="str"/>
      <x:c r="K17" s="28" t="str">
        <x:f>IF(J17="","OPEN",IF(AND(ISNUMBER(G17),G17&gt;=F17,H17&lt;&gt;"",I17&lt;&gt;""),"PASS","FAIL"))</x:f>
        <x:v>OPEN</x:v>
      </x:c>
    </x:row>
    <x:row r="18">
      <x:c r="B18" s="28" t="str">
        <x:v>SM-RFP-C2</x:v>
      </x:c>
      <x:c r="C18" s="28" t="str">
        <x:v>safe integration surrogate</x:v>
      </x:c>
      <x:c r="D18" s="28" t="str">
        <x:v>RFP-C2</x:v>
      </x:c>
      <x:c r="E18" s="28" t="str">
        <x:v>kilograms</x:v>
      </x:c>
      <x:c r="F18" s="28" t="n">
        <x:v>50</x:v>
      </x:c>
      <x:c r="G18" s="31" t="str"/>
      <x:c r="H18" s="31" t="str"/>
      <x:c r="I18" s="31" t="str"/>
      <x:c r="J18" s="31" t="str"/>
      <x:c r="K18" s="28" t="str">
        <x:f>IF(J18="","OPEN",IF(AND(ISNUMBER(G18),G18&gt;=F18,H18&lt;&gt;"",I18&lt;&gt;""),"PASS","FAIL"))</x:f>
        <x:v>OPEN</x:v>
      </x:c>
    </x:row>
  </x:sheetData>
  <x:conditionalFormatting sqref="K7:K18">
    <x:cfRule type="containsText" dxfId="84" priority="1" operator="containsText" text="FAIL"/>
    <x:cfRule type="containsText" dxfId="85" priority="2" operator="containsText" text="BLOCKED"/>
    <x:cfRule type="containsText" dxfId="86" priority="3" operator="containsText" text="EXPIRED"/>
    <x:cfRule type="containsText" dxfId="87" priority="4" operator="containsText" text="OPEN"/>
    <x:cfRule type="containsText" dxfId="88" priority="5" operator="containsText" text="DORMANT"/>
    <x:cfRule type="containsText" dxfId="89" priority="6" operator="containsText" text="PASS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7" hidden="0" customWidth="1"/>
    <x:col min="3" max="3" width="12" hidden="0" customWidth="1"/>
    <x:col min="4" max="4" width="38" hidden="0" customWidth="1"/>
    <x:col min="5" max="5" width="23" hidden="0" customWidth="1"/>
    <x:col min="6" max="6" width="34" hidden="0" customWidth="1"/>
    <x:col min="7" max="7" width="21" hidden="0" customWidth="1"/>
    <x:col min="8" max="8" width="21" hidden="0" customWidth="1"/>
    <x:col min="9" max="9" width="14" hidden="0" customWidth="1"/>
  </x:cols>
  <x:sheetData>
    <x:row r="2">
      <x:c r="B2" s="25" t="str">
        <x:v>Twenty-four circulating public standards</x:v>
      </x:c>
      <x:c r="C2" s="26"/>
      <x:c r="D2" s="26"/>
      <x:c r="E2" s="26"/>
      <x:c r="F2" s="26"/>
      <x:c r="G2" s="26"/>
      <x:c r="H2" s="26"/>
      <x:c r="I2" s="26"/>
    </x:row>
    <x:row r="3">
      <x:c r="B3" s="27" t="str">
        <x:v>Each family requires a serialized reference, current calibration, custody root and independent acceptance before the circuit begins.</x:v>
      </x:c>
      <x:c r="C3" s="26"/>
      <x:c r="D3" s="26"/>
      <x:c r="E3" s="26"/>
      <x:c r="F3" s="26"/>
      <x:c r="G3" s="26"/>
      <x:c r="H3" s="26"/>
      <x:c r="I3" s="26"/>
    </x:row>
    <x:row r="4">
      <x:c r="B4" s="26"/>
      <x:c r="C4" s="26"/>
      <x:c r="D4" s="26"/>
      <x:c r="E4" s="26"/>
      <x:c r="F4" s="26"/>
      <x:c r="G4" s="26"/>
      <x:c r="H4" s="26"/>
      <x:c r="I4" s="26"/>
    </x:row>
    <x:row r="5">
      <x:c r="B5" s="26"/>
      <x:c r="C5" s="26"/>
      <x:c r="D5" s="26"/>
      <x:c r="E5" s="26"/>
      <x:c r="F5" s="26"/>
      <x:c r="G5" s="26"/>
      <x:c r="H5" s="26"/>
      <x:c r="I5" s="26"/>
    </x:row>
    <x:row r="6" ht="24" customHeight="1">
      <x:c r="B6" s="6" t="str">
        <x:v>Standard</x:v>
      </x:c>
      <x:c r="C6" s="6" t="str">
        <x:v>Family</x:v>
      </x:c>
      <x:c r="D6" s="6" t="str">
        <x:v>Measurement</x:v>
      </x:c>
      <x:c r="E6" s="6" t="str">
        <x:v>Serial</x:v>
      </x:c>
      <x:c r="F6" s="6" t="str">
        <x:v>Calibration root</x:v>
      </x:c>
      <x:c r="G6" s="6" t="str">
        <x:v>Valid through</x:v>
      </x:c>
      <x:c r="H6" s="6" t="str">
        <x:v>Accepted UTC</x:v>
      </x:c>
      <x:c r="I6" s="6" t="str">
        <x:v>State</x:v>
      </x:c>
    </x:row>
    <x:row r="7">
      <x:c r="B7" s="28" t="str">
        <x:v>STD-01</x:v>
      </x:c>
      <x:c r="C7" s="28" t="n">
        <x:v>1</x:v>
      </x:c>
      <x:c r="D7" s="28" t="str">
        <x:v>vessel mass</x:v>
      </x:c>
      <x:c r="E7" s="31" t="str"/>
      <x:c r="F7" s="31" t="str"/>
      <x:c r="G7" s="32" t="str"/>
      <x:c r="H7" s="31" t="str"/>
      <x:c r="I7" s="28" t="str">
        <x:f>IF(H7="","OPEN",IF(OR(E7="",F7="",G7=""),"FAIL","PASS"))</x:f>
        <x:v>OPEN</x:v>
      </x:c>
    </x:row>
    <x:row r="8">
      <x:c r="B8" s="28" t="str">
        <x:v>STD-02</x:v>
      </x:c>
      <x:c r="C8" s="28" t="n">
        <x:v>2</x:v>
      </x:c>
      <x:c r="D8" s="28" t="str">
        <x:v>integrated transfer mass</x:v>
      </x:c>
      <x:c r="E8" s="31" t="str"/>
      <x:c r="F8" s="31" t="str"/>
      <x:c r="G8" s="32" t="str"/>
      <x:c r="H8" s="31" t="str"/>
      <x:c r="I8" s="28" t="str">
        <x:f>IF(H8="","OPEN",IF(OR(E8="",F8="",G8=""),"FAIL","PASS"))</x:f>
        <x:v>OPEN</x:v>
      </x:c>
    </x:row>
    <x:row r="9">
      <x:c r="B9" s="28" t="str">
        <x:v>STD-03</x:v>
      </x:c>
      <x:c r="C9" s="28" t="n">
        <x:v>3</x:v>
      </x:c>
      <x:c r="D9" s="28" t="str">
        <x:v>pressure</x:v>
      </x:c>
      <x:c r="E9" s="31" t="str"/>
      <x:c r="F9" s="31" t="str"/>
      <x:c r="G9" s="32" t="str"/>
      <x:c r="H9" s="31" t="str"/>
      <x:c r="I9" s="28" t="str">
        <x:f>IF(H9="","OPEN",IF(OR(E9="",F9="",G9=""),"FAIL","PASS"))</x:f>
        <x:v>OPEN</x:v>
      </x:c>
    </x:row>
    <x:row r="10">
      <x:c r="B10" s="28" t="str">
        <x:v>STD-04</x:v>
      </x:c>
      <x:c r="C10" s="28" t="n">
        <x:v>4</x:v>
      </x:c>
      <x:c r="D10" s="28" t="str">
        <x:v>temperature</x:v>
      </x:c>
      <x:c r="E10" s="31" t="str"/>
      <x:c r="F10" s="31" t="str"/>
      <x:c r="G10" s="32" t="str"/>
      <x:c r="H10" s="31" t="str"/>
      <x:c r="I10" s="28" t="str">
        <x:f>IF(H10="","OPEN",IF(OR(E10="",F10="",G10=""),"FAIL","PASS"))</x:f>
        <x:v>OPEN</x:v>
      </x:c>
    </x:row>
    <x:row r="11">
      <x:c r="B11" s="28" t="str">
        <x:v>STD-05</x:v>
      </x:c>
      <x:c r="C11" s="28" t="n">
        <x:v>5</x:v>
      </x:c>
      <x:c r="D11" s="28" t="str">
        <x:v>hold-up tomography</x:v>
      </x:c>
      <x:c r="E11" s="31" t="str"/>
      <x:c r="F11" s="31" t="str"/>
      <x:c r="G11" s="32" t="str"/>
      <x:c r="H11" s="31" t="str"/>
      <x:c r="I11" s="28" t="str">
        <x:f>IF(H11="","OPEN",IF(OR(E11="",F11="",G11=""),"FAIL","PASS"))</x:f>
        <x:v>OPEN</x:v>
      </x:c>
    </x:row>
    <x:row r="12">
      <x:c r="B12" s="28" t="str">
        <x:v>STD-06</x:v>
      </x:c>
      <x:c r="C12" s="28" t="n">
        <x:v>6</x:v>
      </x:c>
      <x:c r="D12" s="28" t="str">
        <x:v>pan level</x:v>
      </x:c>
      <x:c r="E12" s="31" t="str"/>
      <x:c r="F12" s="31" t="str"/>
      <x:c r="G12" s="32" t="str"/>
      <x:c r="H12" s="31" t="str"/>
      <x:c r="I12" s="28" t="str">
        <x:f>IF(H12="","OPEN",IF(OR(E12="",F12="",G12=""),"FAIL","PASS"))</x:f>
        <x:v>OPEN</x:v>
      </x:c>
    </x:row>
    <x:row r="13">
      <x:c r="B13" s="28" t="str">
        <x:v>STD-07</x:v>
      </x:c>
      <x:c r="C13" s="28" t="n">
        <x:v>7</x:v>
      </x:c>
      <x:c r="D13" s="28" t="str">
        <x:v>receiver mass</x:v>
      </x:c>
      <x:c r="E13" s="31" t="str"/>
      <x:c r="F13" s="31" t="str"/>
      <x:c r="G13" s="32" t="str"/>
      <x:c r="H13" s="31" t="str"/>
      <x:c r="I13" s="28" t="str">
        <x:f>IF(H13="","OPEN",IF(OR(E13="",F13="",G13=""),"FAIL","PASS"))</x:f>
        <x:v>OPEN</x:v>
      </x:c>
    </x:row>
    <x:row r="14">
      <x:c r="B14" s="28" t="str">
        <x:v>STD-08</x:v>
      </x:c>
      <x:c r="C14" s="28" t="n">
        <x:v>8</x:v>
      </x:c>
      <x:c r="D14" s="28" t="str">
        <x:v>geometry and slope</x:v>
      </x:c>
      <x:c r="E14" s="31" t="str"/>
      <x:c r="F14" s="31" t="str"/>
      <x:c r="G14" s="32" t="str"/>
      <x:c r="H14" s="31" t="str"/>
      <x:c r="I14" s="28" t="str">
        <x:f>IF(H14="","OPEN",IF(OR(E14="",F14="",G14=""),"FAIL","PASS"))</x:f>
        <x:v>OPEN</x:v>
      </x:c>
    </x:row>
    <x:row r="15">
      <x:c r="B15" s="28" t="str">
        <x:v>STD-09</x:v>
      </x:c>
      <x:c r="C15" s="28" t="n">
        <x:v>9</x:v>
      </x:c>
      <x:c r="D15" s="28" t="str">
        <x:v>primary state witness</x:v>
      </x:c>
      <x:c r="E15" s="31" t="str"/>
      <x:c r="F15" s="31" t="str"/>
      <x:c r="G15" s="32" t="str"/>
      <x:c r="H15" s="31" t="str"/>
      <x:c r="I15" s="28" t="str">
        <x:f>IF(H15="","OPEN",IF(OR(E15="",F15="",G15=""),"FAIL","PASS"))</x:f>
        <x:v>OPEN</x:v>
      </x:c>
    </x:row>
    <x:row r="16">
      <x:c r="B16" s="28" t="str">
        <x:v>STD-10</x:v>
      </x:c>
      <x:c r="C16" s="28" t="n">
        <x:v>10</x:v>
      </x:c>
      <x:c r="D16" s="28" t="str">
        <x:v>diverse state witness</x:v>
      </x:c>
      <x:c r="E16" s="31" t="str"/>
      <x:c r="F16" s="31" t="str"/>
      <x:c r="G16" s="32" t="str"/>
      <x:c r="H16" s="31" t="str"/>
      <x:c r="I16" s="28" t="str">
        <x:f>IF(H16="","OPEN",IF(OR(E16="",F16="",G16=""),"FAIL","PASS"))</x:f>
        <x:v>OPEN</x:v>
      </x:c>
    </x:row>
    <x:row r="17">
      <x:c r="B17" s="28" t="str">
        <x:v>STD-11</x:v>
      </x:c>
      <x:c r="C17" s="28" t="n">
        <x:v>11</x:v>
      </x:c>
      <x:c r="D17" s="28" t="str">
        <x:v>manual state witness</x:v>
      </x:c>
      <x:c r="E17" s="31" t="str"/>
      <x:c r="F17" s="31" t="str"/>
      <x:c r="G17" s="32" t="str"/>
      <x:c r="H17" s="31" t="str"/>
      <x:c r="I17" s="28" t="str">
        <x:f>IF(H17="","OPEN",IF(OR(E17="",F17="",G17=""),"FAIL","PASS"))</x:f>
        <x:v>OPEN</x:v>
      </x:c>
    </x:row>
    <x:row r="18">
      <x:c r="B18" s="28" t="str">
        <x:v>STD-12</x:v>
      </x:c>
      <x:c r="C18" s="28" t="n">
        <x:v>12</x:v>
      </x:c>
      <x:c r="D18" s="28" t="str">
        <x:v>final-element reference</x:v>
      </x:c>
      <x:c r="E18" s="31" t="str"/>
      <x:c r="F18" s="31" t="str"/>
      <x:c r="G18" s="32" t="str"/>
      <x:c r="H18" s="31" t="str"/>
      <x:c r="I18" s="28" t="str">
        <x:f>IF(H18="","OPEN",IF(OR(E18="",F18="",G18=""),"FAIL","PASS"))</x:f>
        <x:v>OPEN</x:v>
      </x:c>
    </x:row>
    <x:row r="19">
      <x:c r="B19" s="28" t="str">
        <x:v>STD-13</x:v>
      </x:c>
      <x:c r="C19" s="28" t="n">
        <x:v>13</x:v>
      </x:c>
      <x:c r="D19" s="28" t="str">
        <x:v>causal time</x:v>
      </x:c>
      <x:c r="E19" s="31" t="str"/>
      <x:c r="F19" s="31" t="str"/>
      <x:c r="G19" s="32" t="str"/>
      <x:c r="H19" s="31" t="str"/>
      <x:c r="I19" s="28" t="str">
        <x:f>IF(H19="","OPEN",IF(OR(E19="",F19="",G19=""),"FAIL","PASS"))</x:f>
        <x:v>OPEN</x:v>
      </x:c>
    </x:row>
    <x:row r="20">
      <x:c r="B20" s="28" t="str">
        <x:v>STD-14</x:v>
      </x:c>
      <x:c r="C20" s="28" t="n">
        <x:v>14</x:v>
      </x:c>
      <x:c r="D20" s="28" t="str">
        <x:v>motive energy</x:v>
      </x:c>
      <x:c r="E20" s="31" t="str"/>
      <x:c r="F20" s="31" t="str"/>
      <x:c r="G20" s="32" t="str"/>
      <x:c r="H20" s="31" t="str"/>
      <x:c r="I20" s="28" t="str">
        <x:f>IF(H20="","OPEN",IF(OR(E20="",F20="",G20=""),"FAIL","PASS"))</x:f>
        <x:v>OPEN</x:v>
      </x:c>
    </x:row>
    <x:row r="21">
      <x:c r="B21" s="28" t="str">
        <x:v>STD-15</x:v>
      </x:c>
      <x:c r="C21" s="28" t="n">
        <x:v>15</x:v>
      </x:c>
      <x:c r="D21" s="28" t="str">
        <x:v>normal electrical power</x:v>
      </x:c>
      <x:c r="E21" s="31" t="str"/>
      <x:c r="F21" s="31" t="str"/>
      <x:c r="G21" s="32" t="str"/>
      <x:c r="H21" s="31" t="str"/>
      <x:c r="I21" s="28" t="str">
        <x:f>IF(H21="","OPEN",IF(OR(E21="",F21="",G21=""),"FAIL","PASS"))</x:f>
        <x:v>OPEN</x:v>
      </x:c>
    </x:row>
    <x:row r="22">
      <x:c r="B22" s="28" t="str">
        <x:v>STD-16</x:v>
      </x:c>
      <x:c r="C22" s="28" t="n">
        <x:v>16</x:v>
      </x:c>
      <x:c r="D22" s="28" t="str">
        <x:v>independent power</x:v>
      </x:c>
      <x:c r="E22" s="31" t="str"/>
      <x:c r="F22" s="31" t="str"/>
      <x:c r="G22" s="32" t="str"/>
      <x:c r="H22" s="31" t="str"/>
      <x:c r="I22" s="28" t="str">
        <x:f>IF(H22="","OPEN",IF(OR(E22="",F22="",G22=""),"FAIL","PASS"))</x:f>
        <x:v>OPEN</x:v>
      </x:c>
    </x:row>
    <x:row r="23">
      <x:c r="B23" s="28" t="str">
        <x:v>STD-17</x:v>
      </x:c>
      <x:c r="C23" s="28" t="n">
        <x:v>17</x:v>
      </x:c>
      <x:c r="D23" s="28" t="str">
        <x:v>leak collection</x:v>
      </x:c>
      <x:c r="E23" s="31" t="str"/>
      <x:c r="F23" s="31" t="str"/>
      <x:c r="G23" s="32" t="str"/>
      <x:c r="H23" s="31" t="str"/>
      <x:c r="I23" s="28" t="str">
        <x:f>IF(H23="","OPEN",IF(OR(E23="",F23="",G23=""),"FAIL","PASS"))</x:f>
        <x:v>OPEN</x:v>
      </x:c>
    </x:row>
    <x:row r="24">
      <x:c r="B24" s="28" t="str">
        <x:v>STD-18</x:v>
      </x:c>
      <x:c r="C24" s="28" t="n">
        <x:v>18</x:v>
      </x:c>
      <x:c r="D24" s="28" t="str">
        <x:v>occupied area</x:v>
      </x:c>
      <x:c r="E24" s="31" t="str"/>
      <x:c r="F24" s="31" t="str"/>
      <x:c r="G24" s="32" t="str"/>
      <x:c r="H24" s="31" t="str"/>
      <x:c r="I24" s="28" t="str">
        <x:f>IF(H24="","OPEN",IF(OR(E24="",F24="",G24=""),"FAIL","PASS"))</x:f>
        <x:v>OPEN</x:v>
      </x:c>
    </x:row>
    <x:row r="25">
      <x:c r="B25" s="28" t="str">
        <x:v>STD-19</x:v>
      </x:c>
      <x:c r="C25" s="28" t="n">
        <x:v>19</x:v>
      </x:c>
      <x:c r="D25" s="28" t="str">
        <x:v>water flow</x:v>
      </x:c>
      <x:c r="E25" s="31" t="str"/>
      <x:c r="F25" s="31" t="str"/>
      <x:c r="G25" s="32" t="str"/>
      <x:c r="H25" s="31" t="str"/>
      <x:c r="I25" s="28" t="str">
        <x:f>IF(H25="","OPEN",IF(OR(E25="",F25="",G25=""),"FAIL","PASS"))</x:f>
        <x:v>OPEN</x:v>
      </x:c>
    </x:row>
    <x:row r="26">
      <x:c r="B26" s="28" t="str">
        <x:v>STD-20</x:v>
      </x:c>
      <x:c r="C26" s="28" t="n">
        <x:v>20</x:v>
      </x:c>
      <x:c r="D26" s="28" t="str">
        <x:v>source ancestry root A</x:v>
      </x:c>
      <x:c r="E26" s="31" t="str"/>
      <x:c r="F26" s="31" t="str"/>
      <x:c r="G26" s="32" t="str"/>
      <x:c r="H26" s="31" t="str"/>
      <x:c r="I26" s="28" t="str">
        <x:f>IF(H26="","OPEN",IF(OR(E26="",F26="",G26=""),"FAIL","PASS"))</x:f>
        <x:v>OPEN</x:v>
      </x:c>
    </x:row>
    <x:row r="27">
      <x:c r="B27" s="28" t="str">
        <x:v>STD-21</x:v>
      </x:c>
      <x:c r="C27" s="28" t="n">
        <x:v>21</x:v>
      </x:c>
      <x:c r="D27" s="28" t="str">
        <x:v>source ancestry root B</x:v>
      </x:c>
      <x:c r="E27" s="31" t="str"/>
      <x:c r="F27" s="31" t="str"/>
      <x:c r="G27" s="32" t="str"/>
      <x:c r="H27" s="31" t="str"/>
      <x:c r="I27" s="28" t="str">
        <x:f>IF(H27="","OPEN",IF(OR(E27="",F27="",G27=""),"FAIL","PASS"))</x:f>
        <x:v>OPEN</x:v>
      </x:c>
    </x:row>
    <x:row r="28">
      <x:c r="B28" s="28" t="str">
        <x:v>STD-22</x:v>
      </x:c>
      <x:c r="C28" s="28" t="n">
        <x:v>22</x:v>
      </x:c>
      <x:c r="D28" s="28" t="str">
        <x:v>environmental release</x:v>
      </x:c>
      <x:c r="E28" s="31" t="str"/>
      <x:c r="F28" s="31" t="str"/>
      <x:c r="G28" s="32" t="str"/>
      <x:c r="H28" s="31" t="str"/>
      <x:c r="I28" s="28" t="str">
        <x:f>IF(H28="","OPEN",IF(OR(E28="",F28="",G28=""),"FAIL","PASS"))</x:f>
        <x:v>OPEN</x:v>
      </x:c>
    </x:row>
    <x:row r="29">
      <x:c r="B29" s="28" t="str">
        <x:v>STD-23</x:v>
      </x:c>
      <x:c r="C29" s="28" t="n">
        <x:v>23</x:v>
      </x:c>
      <x:c r="D29" s="28" t="str">
        <x:v>image trigger</x:v>
      </x:c>
      <x:c r="E29" s="31" t="str"/>
      <x:c r="F29" s="31" t="str"/>
      <x:c r="G29" s="32" t="str"/>
      <x:c r="H29" s="31" t="str"/>
      <x:c r="I29" s="28" t="str">
        <x:f>IF(H29="","OPEN",IF(OR(E29="",F29="",G29=""),"FAIL","PASS"))</x:f>
        <x:v>OPEN</x:v>
      </x:c>
    </x:row>
    <x:row r="30">
      <x:c r="B30" s="28" t="str">
        <x:v>STD-24</x:v>
      </x:c>
      <x:c r="C30" s="28" t="n">
        <x:v>24</x:v>
      </x:c>
      <x:c r="D30" s="28" t="str">
        <x:v>evidence health</x:v>
      </x:c>
      <x:c r="E30" s="31" t="str"/>
      <x:c r="F30" s="31" t="str"/>
      <x:c r="G30" s="32" t="str"/>
      <x:c r="H30" s="31" t="str"/>
      <x:c r="I30" s="28" t="str">
        <x:f>IF(H30="","OPEN",IF(OR(E30="",F30="",G30=""),"FAIL","PASS"))</x:f>
        <x:v>OPEN</x:v>
      </x:c>
    </x:row>
  </x:sheetData>
  <x:conditionalFormatting sqref="I7:I30">
    <x:cfRule type="containsText" dxfId="90" priority="1" operator="containsText" text="FAIL"/>
    <x:cfRule type="containsText" dxfId="91" priority="2" operator="containsText" text="BLOCKED"/>
    <x:cfRule type="containsText" dxfId="92" priority="3" operator="containsText" text="EXPIRED"/>
    <x:cfRule type="containsText" dxfId="93" priority="4" operator="containsText" text="OPEN"/>
    <x:cfRule type="containsText" dxfId="94" priority="5" operator="containsText" text="DORMANT"/>
    <x:cfRule type="containsText" dxfId="95" priority="6" operator="containsText" text="PASS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9" hidden="0" customWidth="1"/>
    <x:col min="3" max="3" width="18" hidden="0" customWidth="1"/>
    <x:col min="4" max="4" width="17" hidden="0" customWidth="1"/>
  </x:cols>
  <x:sheetData>
    <x:row r="2">
      <x:c r="B2" s="25" t="str">
        <x:v>Two hundred forty campaign positions</x:v>
      </x:c>
      <x:c r="C2" s="26"/>
      <x:c r="D2" s="26"/>
    </x:row>
    <x:row r="3">
      <x:c r="B3" s="27" t="str">
        <x:v>Six rig detachments, three campus service cells and national control functions use the inherited RAP-1 establishment.</x:v>
      </x:c>
      <x:c r="C3" s="26"/>
      <x:c r="D3" s="26"/>
    </x:row>
    <x:row r="4">
      <x:c r="B4" s="26"/>
      <x:c r="C4" s="26"/>
      <x:c r="D4" s="26"/>
    </x:row>
    <x:row r="5">
      <x:c r="B5" s="26"/>
      <x:c r="C5" s="26"/>
      <x:c r="D5" s="26"/>
    </x:row>
    <x:row r="6" ht="24" customHeight="1">
      <x:c r="B6" s="6" t="str">
        <x:v>Profession</x:v>
      </x:c>
      <x:c r="C6" s="6" t="str">
        <x:v>Positions</x:v>
      </x:c>
      <x:c r="D6" s="6" t="str">
        <x:v>Share</x:v>
      </x:c>
    </x:row>
    <x:row r="7">
      <x:c r="B7" s="28" t="str">
        <x:v>rig operations</x:v>
      </x:c>
      <x:c r="C7" s="28" t="n">
        <x:v>72</x:v>
      </x:c>
      <x:c r="D7" s="36" t="n">
        <x:f>C7/C16</x:f>
        <x:v>0.3</x:v>
      </x:c>
    </x:row>
    <x:row r="8">
      <x:c r="B8" s="28" t="str">
        <x:v>safeing and controls</x:v>
      </x:c>
      <x:c r="C8" s="28" t="n">
        <x:v>30</x:v>
      </x:c>
      <x:c r="D8" s="36" t="n">
        <x:f>C8/C16</x:f>
        <x:v>0.125</x:v>
      </x:c>
    </x:row>
    <x:row r="9">
      <x:c r="B9" s="28" t="str">
        <x:v>metrology and calibration</x:v>
      </x:c>
      <x:c r="C9" s="28" t="n">
        <x:v>30</x:v>
      </x:c>
      <x:c r="D9" s="36" t="n">
        <x:f>C9/C16</x:f>
        <x:v>0.125</x:v>
      </x:c>
    </x:row>
    <x:row r="10">
      <x:c r="B10" s="28" t="str">
        <x:v>containment and media</x:v>
      </x:c>
      <x:c r="C10" s="28" t="n">
        <x:v>24</x:v>
      </x:c>
      <x:c r="D10" s="36" t="n">
        <x:f>C10/C16</x:f>
        <x:v>0.1</x:v>
      </x:c>
    </x:row>
    <x:row r="11">
      <x:c r="B11" s="28" t="str">
        <x:v>rescue and decontamination</x:v>
      </x:c>
      <x:c r="C11" s="28" t="n">
        <x:v>24</x:v>
      </x:c>
      <x:c r="D11" s="36" t="n">
        <x:f>C11/C16</x:f>
        <x:v>0.1</x:v>
      </x:c>
    </x:row>
    <x:row r="12">
      <x:c r="B12" s="28" t="str">
        <x:v>evidence and causal time</x:v>
      </x:c>
      <x:c r="C12" s="28" t="n">
        <x:v>18</x:v>
      </x:c>
      <x:c r="D12" s="36" t="n">
        <x:f>C12/C16</x:f>
        <x:v>0.075</x:v>
      </x:c>
    </x:row>
    <x:row r="13">
      <x:c r="B13" s="28" t="str">
        <x:v>maintenance and logistics</x:v>
      </x:c>
      <x:c r="C13" s="28" t="n">
        <x:v>18</x:v>
      </x:c>
      <x:c r="D13" s="36" t="n">
        <x:f>C13/C16</x:f>
        <x:v>0.075</x:v>
      </x:c>
    </x:row>
    <x:row r="14">
      <x:c r="B14" s="28" t="str">
        <x:v>configuration integration</x:v>
      </x:c>
      <x:c r="C14" s="28" t="n">
        <x:v>12</x:v>
      </x:c>
      <x:c r="D14" s="36" t="n">
        <x:f>C14/C16</x:f>
        <x:v>0.05</x:v>
      </x:c>
    </x:row>
    <x:row r="15">
      <x:c r="B15" s="28" t="str">
        <x:v>independent acceptance</x:v>
      </x:c>
      <x:c r="C15" s="28" t="n">
        <x:v>12</x:v>
      </x:c>
      <x:c r="D15" s="36" t="n">
        <x:f>C15/C16</x:f>
        <x:v>0.05</x:v>
      </x:c>
    </x:row>
    <x:row r="16">
      <x:c r="B16" s="30" t="str">
        <x:v>Total</x:v>
      </x:c>
      <x:c r="C16" s="30" t="n">
        <x:v>240</x:v>
      </x:c>
      <x:c r="D16" s="37" t="n">
        <x:v>1</x:v>
      </x:c>
    </x:row>
  </x:sheetData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8" hidden="0" customWidth="1"/>
    <x:col min="3" max="3" width="27" hidden="0" customWidth="1"/>
    <x:col min="4" max="4" width="14" hidden="0" customWidth="1"/>
    <x:col min="5" max="5" width="14" hidden="0" customWidth="1"/>
    <x:col min="6" max="6" width="12" hidden="0" customWidth="1"/>
    <x:col min="7" max="7" width="25" hidden="0" customWidth="1"/>
    <x:col min="8" max="8" width="25" hidden="0" customWidth="1"/>
    <x:col min="9" max="9" width="21" hidden="0" customWidth="1"/>
    <x:col min="10" max="10" width="14" hidden="0" customWidth="1"/>
  </x:cols>
  <x:sheetData>
    <x:row r="2">
      <x:c r="B2" s="25" t="str">
        <x:v>Two hundred forty named duty assignments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27" t="str">
        <x:v>A budgeted position becomes available only when a named person, duty window and all four qualification modules are accepted.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6" t="str">
        <x:v>Assignment</x:v>
      </x:c>
      <x:c r="C6" s="6" t="str">
        <x:v>Formation</x:v>
      </x:c>
      <x:c r="D6" s="6" t="str">
        <x:v>Campus</x:v>
      </x:c>
      <x:c r="E6" s="6" t="str">
        <x:v>Rig</x:v>
      </x:c>
      <x:c r="F6" s="6" t="str">
        <x:v>Shift</x:v>
      </x:c>
      <x:c r="G6" s="6" t="str">
        <x:v>Person identity</x:v>
      </x:c>
      <x:c r="H6" s="6" t="str">
        <x:v>Duty window</x:v>
      </x:c>
      <x:c r="I6" s="6" t="str">
        <x:v>Accepted UTC</x:v>
      </x:c>
      <x:c r="J6" s="6" t="str">
        <x:v>State</x:v>
      </x:c>
    </x:row>
    <x:row r="7">
      <x:c r="B7" s="28" t="str">
        <x:v>DA-001</x:v>
      </x:c>
      <x:c r="C7" s="28" t="str">
        <x:v>rig detachment</x:v>
      </x:c>
      <x:c r="D7" s="28" t="str">
        <x:v>PTC-A</x:v>
      </x:c>
      <x:c r="E7" s="28" t="str">
        <x:v>RFP-A1</x:v>
      </x:c>
      <x:c r="F7" s="28" t="n">
        <x:v>1</x:v>
      </x:c>
      <x:c r="G7" s="31" t="str"/>
      <x:c r="H7" s="31" t="str"/>
      <x:c r="I7" s="31" t="str"/>
      <x:c r="J7" s="28" t="str">
        <x:f>IF(I7="","OPEN",IF(AND(G7&lt;&gt;"",H7&lt;&gt;"",COUNTIFS('Crew Qualifications'!C7:C966,B7,'Crew Qualifications'!J7:J966,"PASS")=4),"PASS","FAIL"))</x:f>
        <x:v>OPEN</x:v>
      </x:c>
    </x:row>
    <x:row r="8">
      <x:c r="B8" s="28" t="str">
        <x:v>DA-002</x:v>
      </x:c>
      <x:c r="C8" s="28" t="str">
        <x:v>rig detachment</x:v>
      </x:c>
      <x:c r="D8" s="28" t="str">
        <x:v>PTC-A</x:v>
      </x:c>
      <x:c r="E8" s="28" t="str">
        <x:v>RFP-A1</x:v>
      </x:c>
      <x:c r="F8" s="28" t="n">
        <x:v>2</x:v>
      </x:c>
      <x:c r="G8" s="31" t="str"/>
      <x:c r="H8" s="31" t="str"/>
      <x:c r="I8" s="31" t="str"/>
      <x:c r="J8" s="28" t="str">
        <x:f>IF(I8="","OPEN",IF(AND(G8&lt;&gt;"",H8&lt;&gt;"",COUNTIFS('Crew Qualifications'!C7:C966,B8,'Crew Qualifications'!J7:J966,"PASS")=4),"PASS","FAIL"))</x:f>
        <x:v>OPEN</x:v>
      </x:c>
    </x:row>
    <x:row r="9">
      <x:c r="B9" s="28" t="str">
        <x:v>DA-003</x:v>
      </x:c>
      <x:c r="C9" s="28" t="str">
        <x:v>rig detachment</x:v>
      </x:c>
      <x:c r="D9" s="28" t="str">
        <x:v>PTC-A</x:v>
      </x:c>
      <x:c r="E9" s="28" t="str">
        <x:v>RFP-A1</x:v>
      </x:c>
      <x:c r="F9" s="28" t="n">
        <x:v>3</x:v>
      </x:c>
      <x:c r="G9" s="31" t="str"/>
      <x:c r="H9" s="31" t="str"/>
      <x:c r="I9" s="31" t="str"/>
      <x:c r="J9" s="28" t="str">
        <x:f>IF(I9="","OPEN",IF(AND(G9&lt;&gt;"",H9&lt;&gt;"",COUNTIFS('Crew Qualifications'!C7:C966,B9,'Crew Qualifications'!J7:J966,"PASS")=4),"PASS","FAIL"))</x:f>
        <x:v>OPEN</x:v>
      </x:c>
    </x:row>
    <x:row r="10">
      <x:c r="B10" s="28" t="str">
        <x:v>DA-004</x:v>
      </x:c>
      <x:c r="C10" s="28" t="str">
        <x:v>rig detachment</x:v>
      </x:c>
      <x:c r="D10" s="28" t="str">
        <x:v>PTC-A</x:v>
      </x:c>
      <x:c r="E10" s="28" t="str">
        <x:v>RFP-A1</x:v>
      </x:c>
      <x:c r="F10" s="28" t="n">
        <x:v>4</x:v>
      </x:c>
      <x:c r="G10" s="31" t="str"/>
      <x:c r="H10" s="31" t="str"/>
      <x:c r="I10" s="31" t="str"/>
      <x:c r="J10" s="28" t="str">
        <x:f>IF(I10="","OPEN",IF(AND(G10&lt;&gt;"",H10&lt;&gt;"",COUNTIFS('Crew Qualifications'!C7:C966,B10,'Crew Qualifications'!J7:J966,"PASS")=4),"PASS","FAIL"))</x:f>
        <x:v>OPEN</x:v>
      </x:c>
    </x:row>
    <x:row r="11">
      <x:c r="B11" s="28" t="str">
        <x:v>DA-005</x:v>
      </x:c>
      <x:c r="C11" s="28" t="str">
        <x:v>rig detachment</x:v>
      </x:c>
      <x:c r="D11" s="28" t="str">
        <x:v>PTC-A</x:v>
      </x:c>
      <x:c r="E11" s="28" t="str">
        <x:v>RFP-A1</x:v>
      </x:c>
      <x:c r="F11" s="28" t="n">
        <x:v>1</x:v>
      </x:c>
      <x:c r="G11" s="31" t="str"/>
      <x:c r="H11" s="31" t="str"/>
      <x:c r="I11" s="31" t="str"/>
      <x:c r="J11" s="28" t="str">
        <x:f>IF(I11="","OPEN",IF(AND(G11&lt;&gt;"",H11&lt;&gt;"",COUNTIFS('Crew Qualifications'!C7:C966,B11,'Crew Qualifications'!J7:J966,"PASS")=4),"PASS","FAIL"))</x:f>
        <x:v>OPEN</x:v>
      </x:c>
    </x:row>
    <x:row r="12">
      <x:c r="B12" s="28" t="str">
        <x:v>DA-006</x:v>
      </x:c>
      <x:c r="C12" s="28" t="str">
        <x:v>rig detachment</x:v>
      </x:c>
      <x:c r="D12" s="28" t="str">
        <x:v>PTC-A</x:v>
      </x:c>
      <x:c r="E12" s="28" t="str">
        <x:v>RFP-A1</x:v>
      </x:c>
      <x:c r="F12" s="28" t="n">
        <x:v>2</x:v>
      </x:c>
      <x:c r="G12" s="31" t="str"/>
      <x:c r="H12" s="31" t="str"/>
      <x:c r="I12" s="31" t="str"/>
      <x:c r="J12" s="28" t="str">
        <x:f>IF(I12="","OPEN",IF(AND(G12&lt;&gt;"",H12&lt;&gt;"",COUNTIFS('Crew Qualifications'!C7:C966,B12,'Crew Qualifications'!J7:J966,"PASS")=4),"PASS","FAIL"))</x:f>
        <x:v>OPEN</x:v>
      </x:c>
    </x:row>
    <x:row r="13">
      <x:c r="B13" s="28" t="str">
        <x:v>DA-007</x:v>
      </x:c>
      <x:c r="C13" s="28" t="str">
        <x:v>rig detachment</x:v>
      </x:c>
      <x:c r="D13" s="28" t="str">
        <x:v>PTC-A</x:v>
      </x:c>
      <x:c r="E13" s="28" t="str">
        <x:v>RFP-A1</x:v>
      </x:c>
      <x:c r="F13" s="28" t="n">
        <x:v>3</x:v>
      </x:c>
      <x:c r="G13" s="31" t="str"/>
      <x:c r="H13" s="31" t="str"/>
      <x:c r="I13" s="31" t="str"/>
      <x:c r="J13" s="28" t="str">
        <x:f>IF(I13="","OPEN",IF(AND(G13&lt;&gt;"",H13&lt;&gt;"",COUNTIFS('Crew Qualifications'!C7:C966,B13,'Crew Qualifications'!J7:J966,"PASS")=4),"PASS","FAIL"))</x:f>
        <x:v>OPEN</x:v>
      </x:c>
    </x:row>
    <x:row r="14">
      <x:c r="B14" s="28" t="str">
        <x:v>DA-008</x:v>
      </x:c>
      <x:c r="C14" s="28" t="str">
        <x:v>rig detachment</x:v>
      </x:c>
      <x:c r="D14" s="28" t="str">
        <x:v>PTC-A</x:v>
      </x:c>
      <x:c r="E14" s="28" t="str">
        <x:v>RFP-A1</x:v>
      </x:c>
      <x:c r="F14" s="28" t="n">
        <x:v>4</x:v>
      </x:c>
      <x:c r="G14" s="31" t="str"/>
      <x:c r="H14" s="31" t="str"/>
      <x:c r="I14" s="31" t="str"/>
      <x:c r="J14" s="28" t="str">
        <x:f>IF(I14="","OPEN",IF(AND(G14&lt;&gt;"",H14&lt;&gt;"",COUNTIFS('Crew Qualifications'!C7:C966,B14,'Crew Qualifications'!J7:J966,"PASS")=4),"PASS","FAIL"))</x:f>
        <x:v>OPEN</x:v>
      </x:c>
    </x:row>
    <x:row r="15">
      <x:c r="B15" s="28" t="str">
        <x:v>DA-009</x:v>
      </x:c>
      <x:c r="C15" s="28" t="str">
        <x:v>rig detachment</x:v>
      </x:c>
      <x:c r="D15" s="28" t="str">
        <x:v>PTC-A</x:v>
      </x:c>
      <x:c r="E15" s="28" t="str">
        <x:v>RFP-A1</x:v>
      </x:c>
      <x:c r="F15" s="28" t="n">
        <x:v>1</x:v>
      </x:c>
      <x:c r="G15" s="31" t="str"/>
      <x:c r="H15" s="31" t="str"/>
      <x:c r="I15" s="31" t="str"/>
      <x:c r="J15" s="28" t="str">
        <x:f>IF(I15="","OPEN",IF(AND(G15&lt;&gt;"",H15&lt;&gt;"",COUNTIFS('Crew Qualifications'!C7:C966,B15,'Crew Qualifications'!J7:J966,"PASS")=4),"PASS","FAIL"))</x:f>
        <x:v>OPEN</x:v>
      </x:c>
    </x:row>
    <x:row r="16">
      <x:c r="B16" s="28" t="str">
        <x:v>DA-010</x:v>
      </x:c>
      <x:c r="C16" s="28" t="str">
        <x:v>rig detachment</x:v>
      </x:c>
      <x:c r="D16" s="28" t="str">
        <x:v>PTC-A</x:v>
      </x:c>
      <x:c r="E16" s="28" t="str">
        <x:v>RFP-A1</x:v>
      </x:c>
      <x:c r="F16" s="28" t="n">
        <x:v>2</x:v>
      </x:c>
      <x:c r="G16" s="31" t="str"/>
      <x:c r="H16" s="31" t="str"/>
      <x:c r="I16" s="31" t="str"/>
      <x:c r="J16" s="28" t="str">
        <x:f>IF(I16="","OPEN",IF(AND(G16&lt;&gt;"",H16&lt;&gt;"",COUNTIFS('Crew Qualifications'!C7:C966,B16,'Crew Qualifications'!J7:J966,"PASS")=4),"PASS","FAIL"))</x:f>
        <x:v>OPEN</x:v>
      </x:c>
    </x:row>
    <x:row r="17">
      <x:c r="B17" s="28" t="str">
        <x:v>DA-011</x:v>
      </x:c>
      <x:c r="C17" s="28" t="str">
        <x:v>rig detachment</x:v>
      </x:c>
      <x:c r="D17" s="28" t="str">
        <x:v>PTC-A</x:v>
      </x:c>
      <x:c r="E17" s="28" t="str">
        <x:v>RFP-A1</x:v>
      </x:c>
      <x:c r="F17" s="28" t="n">
        <x:v>3</x:v>
      </x:c>
      <x:c r="G17" s="31" t="str"/>
      <x:c r="H17" s="31" t="str"/>
      <x:c r="I17" s="31" t="str"/>
      <x:c r="J17" s="28" t="str">
        <x:f>IF(I17="","OPEN",IF(AND(G17&lt;&gt;"",H17&lt;&gt;"",COUNTIFS('Crew Qualifications'!C7:C966,B17,'Crew Qualifications'!J7:J966,"PASS")=4),"PASS","FAIL"))</x:f>
        <x:v>OPEN</x:v>
      </x:c>
    </x:row>
    <x:row r="18">
      <x:c r="B18" s="28" t="str">
        <x:v>DA-012</x:v>
      </x:c>
      <x:c r="C18" s="28" t="str">
        <x:v>rig detachment</x:v>
      </x:c>
      <x:c r="D18" s="28" t="str">
        <x:v>PTC-A</x:v>
      </x:c>
      <x:c r="E18" s="28" t="str">
        <x:v>RFP-A1</x:v>
      </x:c>
      <x:c r="F18" s="28" t="n">
        <x:v>4</x:v>
      </x:c>
      <x:c r="G18" s="31" t="str"/>
      <x:c r="H18" s="31" t="str"/>
      <x:c r="I18" s="31" t="str"/>
      <x:c r="J18" s="28" t="str">
        <x:f>IF(I18="","OPEN",IF(AND(G18&lt;&gt;"",H18&lt;&gt;"",COUNTIFS('Crew Qualifications'!C7:C966,B18,'Crew Qualifications'!J7:J966,"PASS")=4),"PASS","FAIL"))</x:f>
        <x:v>OPEN</x:v>
      </x:c>
    </x:row>
    <x:row r="19">
      <x:c r="B19" s="28" t="str">
        <x:v>DA-013</x:v>
      </x:c>
      <x:c r="C19" s="28" t="str">
        <x:v>rig detachment</x:v>
      </x:c>
      <x:c r="D19" s="28" t="str">
        <x:v>PTC-A</x:v>
      </x:c>
      <x:c r="E19" s="28" t="str">
        <x:v>RFP-A1</x:v>
      </x:c>
      <x:c r="F19" s="28" t="n">
        <x:v>1</x:v>
      </x:c>
      <x:c r="G19" s="31" t="str"/>
      <x:c r="H19" s="31" t="str"/>
      <x:c r="I19" s="31" t="str"/>
      <x:c r="J19" s="28" t="str">
        <x:f>IF(I19="","OPEN",IF(AND(G19&lt;&gt;"",H19&lt;&gt;"",COUNTIFS('Crew Qualifications'!C7:C966,B19,'Crew Qualifications'!J7:J966,"PASS")=4),"PASS","FAIL"))</x:f>
        <x:v>OPEN</x:v>
      </x:c>
    </x:row>
    <x:row r="20">
      <x:c r="B20" s="28" t="str">
        <x:v>DA-014</x:v>
      </x:c>
      <x:c r="C20" s="28" t="str">
        <x:v>rig detachment</x:v>
      </x:c>
      <x:c r="D20" s="28" t="str">
        <x:v>PTC-A</x:v>
      </x:c>
      <x:c r="E20" s="28" t="str">
        <x:v>RFP-A1</x:v>
      </x:c>
      <x:c r="F20" s="28" t="n">
        <x:v>2</x:v>
      </x:c>
      <x:c r="G20" s="31" t="str"/>
      <x:c r="H20" s="31" t="str"/>
      <x:c r="I20" s="31" t="str"/>
      <x:c r="J20" s="28" t="str">
        <x:f>IF(I20="","OPEN",IF(AND(G20&lt;&gt;"",H20&lt;&gt;"",COUNTIFS('Crew Qualifications'!C7:C966,B20,'Crew Qualifications'!J7:J966,"PASS")=4),"PASS","FAIL"))</x:f>
        <x:v>OPEN</x:v>
      </x:c>
    </x:row>
    <x:row r="21">
      <x:c r="B21" s="28" t="str">
        <x:v>DA-015</x:v>
      </x:c>
      <x:c r="C21" s="28" t="str">
        <x:v>rig detachment</x:v>
      </x:c>
      <x:c r="D21" s="28" t="str">
        <x:v>PTC-A</x:v>
      </x:c>
      <x:c r="E21" s="28" t="str">
        <x:v>RFP-A1</x:v>
      </x:c>
      <x:c r="F21" s="28" t="n">
        <x:v>3</x:v>
      </x:c>
      <x:c r="G21" s="31" t="str"/>
      <x:c r="H21" s="31" t="str"/>
      <x:c r="I21" s="31" t="str"/>
      <x:c r="J21" s="28" t="str">
        <x:f>IF(I21="","OPEN",IF(AND(G21&lt;&gt;"",H21&lt;&gt;"",COUNTIFS('Crew Qualifications'!C7:C966,B21,'Crew Qualifications'!J7:J966,"PASS")=4),"PASS","FAIL"))</x:f>
        <x:v>OPEN</x:v>
      </x:c>
    </x:row>
    <x:row r="22">
      <x:c r="B22" s="28" t="str">
        <x:v>DA-016</x:v>
      </x:c>
      <x:c r="C22" s="28" t="str">
        <x:v>rig detachment</x:v>
      </x:c>
      <x:c r="D22" s="28" t="str">
        <x:v>PTC-A</x:v>
      </x:c>
      <x:c r="E22" s="28" t="str">
        <x:v>RFP-A1</x:v>
      </x:c>
      <x:c r="F22" s="28" t="n">
        <x:v>4</x:v>
      </x:c>
      <x:c r="G22" s="31" t="str"/>
      <x:c r="H22" s="31" t="str"/>
      <x:c r="I22" s="31" t="str"/>
      <x:c r="J22" s="28" t="str">
        <x:f>IF(I22="","OPEN",IF(AND(G22&lt;&gt;"",H22&lt;&gt;"",COUNTIFS('Crew Qualifications'!C7:C966,B22,'Crew Qualifications'!J7:J966,"PASS")=4),"PASS","FAIL"))</x:f>
        <x:v>OPEN</x:v>
      </x:c>
    </x:row>
    <x:row r="23">
      <x:c r="B23" s="28" t="str">
        <x:v>DA-017</x:v>
      </x:c>
      <x:c r="C23" s="28" t="str">
        <x:v>rig detachment</x:v>
      </x:c>
      <x:c r="D23" s="28" t="str">
        <x:v>PTC-A</x:v>
      </x:c>
      <x:c r="E23" s="28" t="str">
        <x:v>RFP-A1</x:v>
      </x:c>
      <x:c r="F23" s="28" t="n">
        <x:v>1</x:v>
      </x:c>
      <x:c r="G23" s="31" t="str"/>
      <x:c r="H23" s="31" t="str"/>
      <x:c r="I23" s="31" t="str"/>
      <x:c r="J23" s="28" t="str">
        <x:f>IF(I23="","OPEN",IF(AND(G23&lt;&gt;"",H23&lt;&gt;"",COUNTIFS('Crew Qualifications'!C7:C966,B23,'Crew Qualifications'!J7:J966,"PASS")=4),"PASS","FAIL"))</x:f>
        <x:v>OPEN</x:v>
      </x:c>
    </x:row>
    <x:row r="24">
      <x:c r="B24" s="28" t="str">
        <x:v>DA-018</x:v>
      </x:c>
      <x:c r="C24" s="28" t="str">
        <x:v>rig detachment</x:v>
      </x:c>
      <x:c r="D24" s="28" t="str">
        <x:v>PTC-A</x:v>
      </x:c>
      <x:c r="E24" s="28" t="str">
        <x:v>RFP-A1</x:v>
      </x:c>
      <x:c r="F24" s="28" t="n">
        <x:v>2</x:v>
      </x:c>
      <x:c r="G24" s="31" t="str"/>
      <x:c r="H24" s="31" t="str"/>
      <x:c r="I24" s="31" t="str"/>
      <x:c r="J24" s="28" t="str">
        <x:f>IF(I24="","OPEN",IF(AND(G24&lt;&gt;"",H24&lt;&gt;"",COUNTIFS('Crew Qualifications'!C7:C966,B24,'Crew Qualifications'!J7:J966,"PASS")=4),"PASS","FAIL"))</x:f>
        <x:v>OPEN</x:v>
      </x:c>
    </x:row>
    <x:row r="25">
      <x:c r="B25" s="28" t="str">
        <x:v>DA-019</x:v>
      </x:c>
      <x:c r="C25" s="28" t="str">
        <x:v>rig detachment</x:v>
      </x:c>
      <x:c r="D25" s="28" t="str">
        <x:v>PTC-A</x:v>
      </x:c>
      <x:c r="E25" s="28" t="str">
        <x:v>RFP-A1</x:v>
      </x:c>
      <x:c r="F25" s="28" t="n">
        <x:v>3</x:v>
      </x:c>
      <x:c r="G25" s="31" t="str"/>
      <x:c r="H25" s="31" t="str"/>
      <x:c r="I25" s="31" t="str"/>
      <x:c r="J25" s="28" t="str">
        <x:f>IF(I25="","OPEN",IF(AND(G25&lt;&gt;"",H25&lt;&gt;"",COUNTIFS('Crew Qualifications'!C7:C966,B25,'Crew Qualifications'!J7:J966,"PASS")=4),"PASS","FAIL"))</x:f>
        <x:v>OPEN</x:v>
      </x:c>
    </x:row>
    <x:row r="26">
      <x:c r="B26" s="28" t="str">
        <x:v>DA-020</x:v>
      </x:c>
      <x:c r="C26" s="28" t="str">
        <x:v>rig detachment</x:v>
      </x:c>
      <x:c r="D26" s="28" t="str">
        <x:v>PTC-A</x:v>
      </x:c>
      <x:c r="E26" s="28" t="str">
        <x:v>RFP-A1</x:v>
      </x:c>
      <x:c r="F26" s="28" t="n">
        <x:v>4</x:v>
      </x:c>
      <x:c r="G26" s="31" t="str"/>
      <x:c r="H26" s="31" t="str"/>
      <x:c r="I26" s="31" t="str"/>
      <x:c r="J26" s="28" t="str">
        <x:f>IF(I26="","OPEN",IF(AND(G26&lt;&gt;"",H26&lt;&gt;"",COUNTIFS('Crew Qualifications'!C7:C966,B26,'Crew Qualifications'!J7:J966,"PASS")=4),"PASS","FAIL"))</x:f>
        <x:v>OPEN</x:v>
      </x:c>
    </x:row>
    <x:row r="27">
      <x:c r="B27" s="28" t="str">
        <x:v>DA-021</x:v>
      </x:c>
      <x:c r="C27" s="28" t="str">
        <x:v>rig detachment</x:v>
      </x:c>
      <x:c r="D27" s="28" t="str">
        <x:v>PTC-A</x:v>
      </x:c>
      <x:c r="E27" s="28" t="str">
        <x:v>RFP-A1</x:v>
      </x:c>
      <x:c r="F27" s="28" t="n">
        <x:v>1</x:v>
      </x:c>
      <x:c r="G27" s="31" t="str"/>
      <x:c r="H27" s="31" t="str"/>
      <x:c r="I27" s="31" t="str"/>
      <x:c r="J27" s="28" t="str">
        <x:f>IF(I27="","OPEN",IF(AND(G27&lt;&gt;"",H27&lt;&gt;"",COUNTIFS('Crew Qualifications'!C7:C966,B27,'Crew Qualifications'!J7:J966,"PASS")=4),"PASS","FAIL"))</x:f>
        <x:v>OPEN</x:v>
      </x:c>
    </x:row>
    <x:row r="28">
      <x:c r="B28" s="28" t="str">
        <x:v>DA-022</x:v>
      </x:c>
      <x:c r="C28" s="28" t="str">
        <x:v>rig detachment</x:v>
      </x:c>
      <x:c r="D28" s="28" t="str">
        <x:v>PTC-A</x:v>
      </x:c>
      <x:c r="E28" s="28" t="str">
        <x:v>RFP-A1</x:v>
      </x:c>
      <x:c r="F28" s="28" t="n">
        <x:v>2</x:v>
      </x:c>
      <x:c r="G28" s="31" t="str"/>
      <x:c r="H28" s="31" t="str"/>
      <x:c r="I28" s="31" t="str"/>
      <x:c r="J28" s="28" t="str">
        <x:f>IF(I28="","OPEN",IF(AND(G28&lt;&gt;"",H28&lt;&gt;"",COUNTIFS('Crew Qualifications'!C7:C966,B28,'Crew Qualifications'!J7:J966,"PASS")=4),"PASS","FAIL"))</x:f>
        <x:v>OPEN</x:v>
      </x:c>
    </x:row>
    <x:row r="29">
      <x:c r="B29" s="28" t="str">
        <x:v>DA-023</x:v>
      </x:c>
      <x:c r="C29" s="28" t="str">
        <x:v>rig detachment</x:v>
      </x:c>
      <x:c r="D29" s="28" t="str">
        <x:v>PTC-A</x:v>
      </x:c>
      <x:c r="E29" s="28" t="str">
        <x:v>RFP-A1</x:v>
      </x:c>
      <x:c r="F29" s="28" t="n">
        <x:v>3</x:v>
      </x:c>
      <x:c r="G29" s="31" t="str"/>
      <x:c r="H29" s="31" t="str"/>
      <x:c r="I29" s="31" t="str"/>
      <x:c r="J29" s="28" t="str">
        <x:f>IF(I29="","OPEN",IF(AND(G29&lt;&gt;"",H29&lt;&gt;"",COUNTIFS('Crew Qualifications'!C7:C966,B29,'Crew Qualifications'!J7:J966,"PASS")=4),"PASS","FAIL"))</x:f>
        <x:v>OPEN</x:v>
      </x:c>
    </x:row>
    <x:row r="30">
      <x:c r="B30" s="28" t="str">
        <x:v>DA-024</x:v>
      </x:c>
      <x:c r="C30" s="28" t="str">
        <x:v>rig detachment</x:v>
      </x:c>
      <x:c r="D30" s="28" t="str">
        <x:v>PTC-A</x:v>
      </x:c>
      <x:c r="E30" s="28" t="str">
        <x:v>RFP-A1</x:v>
      </x:c>
      <x:c r="F30" s="28" t="n">
        <x:v>4</x:v>
      </x:c>
      <x:c r="G30" s="31" t="str"/>
      <x:c r="H30" s="31" t="str"/>
      <x:c r="I30" s="31" t="str"/>
      <x:c r="J30" s="28" t="str">
        <x:f>IF(I30="","OPEN",IF(AND(G30&lt;&gt;"",H30&lt;&gt;"",COUNTIFS('Crew Qualifications'!C7:C966,B30,'Crew Qualifications'!J7:J966,"PASS")=4),"PASS","FAIL"))</x:f>
        <x:v>OPEN</x:v>
      </x:c>
    </x:row>
    <x:row r="31">
      <x:c r="B31" s="28" t="str">
        <x:v>DA-025</x:v>
      </x:c>
      <x:c r="C31" s="28" t="str">
        <x:v>rig detachment</x:v>
      </x:c>
      <x:c r="D31" s="28" t="str">
        <x:v>PTC-A</x:v>
      </x:c>
      <x:c r="E31" s="28" t="str">
        <x:v>RFP-A2</x:v>
      </x:c>
      <x:c r="F31" s="28" t="n">
        <x:v>1</x:v>
      </x:c>
      <x:c r="G31" s="31" t="str"/>
      <x:c r="H31" s="31" t="str"/>
      <x:c r="I31" s="31" t="str"/>
      <x:c r="J31" s="28" t="str">
        <x:f>IF(I31="","OPEN",IF(AND(G31&lt;&gt;"",H31&lt;&gt;"",COUNTIFS('Crew Qualifications'!C7:C966,B31,'Crew Qualifications'!J7:J966,"PASS")=4),"PASS","FAIL"))</x:f>
        <x:v>OPEN</x:v>
      </x:c>
    </x:row>
    <x:row r="32">
      <x:c r="B32" s="28" t="str">
        <x:v>DA-026</x:v>
      </x:c>
      <x:c r="C32" s="28" t="str">
        <x:v>rig detachment</x:v>
      </x:c>
      <x:c r="D32" s="28" t="str">
        <x:v>PTC-A</x:v>
      </x:c>
      <x:c r="E32" s="28" t="str">
        <x:v>RFP-A2</x:v>
      </x:c>
      <x:c r="F32" s="28" t="n">
        <x:v>2</x:v>
      </x:c>
      <x:c r="G32" s="31" t="str"/>
      <x:c r="H32" s="31" t="str"/>
      <x:c r="I32" s="31" t="str"/>
      <x:c r="J32" s="28" t="str">
        <x:f>IF(I32="","OPEN",IF(AND(G32&lt;&gt;"",H32&lt;&gt;"",COUNTIFS('Crew Qualifications'!C7:C966,B32,'Crew Qualifications'!J7:J966,"PASS")=4),"PASS","FAIL"))</x:f>
        <x:v>OPEN</x:v>
      </x:c>
    </x:row>
    <x:row r="33">
      <x:c r="B33" s="28" t="str">
        <x:v>DA-027</x:v>
      </x:c>
      <x:c r="C33" s="28" t="str">
        <x:v>rig detachment</x:v>
      </x:c>
      <x:c r="D33" s="28" t="str">
        <x:v>PTC-A</x:v>
      </x:c>
      <x:c r="E33" s="28" t="str">
        <x:v>RFP-A2</x:v>
      </x:c>
      <x:c r="F33" s="28" t="n">
        <x:v>3</x:v>
      </x:c>
      <x:c r="G33" s="31" t="str"/>
      <x:c r="H33" s="31" t="str"/>
      <x:c r="I33" s="31" t="str"/>
      <x:c r="J33" s="28" t="str">
        <x:f>IF(I33="","OPEN",IF(AND(G33&lt;&gt;"",H33&lt;&gt;"",COUNTIFS('Crew Qualifications'!C7:C966,B33,'Crew Qualifications'!J7:J966,"PASS")=4),"PASS","FAIL"))</x:f>
        <x:v>OPEN</x:v>
      </x:c>
    </x:row>
    <x:row r="34">
      <x:c r="B34" s="28" t="str">
        <x:v>DA-028</x:v>
      </x:c>
      <x:c r="C34" s="28" t="str">
        <x:v>rig detachment</x:v>
      </x:c>
      <x:c r="D34" s="28" t="str">
        <x:v>PTC-A</x:v>
      </x:c>
      <x:c r="E34" s="28" t="str">
        <x:v>RFP-A2</x:v>
      </x:c>
      <x:c r="F34" s="28" t="n">
        <x:v>4</x:v>
      </x:c>
      <x:c r="G34" s="31" t="str"/>
      <x:c r="H34" s="31" t="str"/>
      <x:c r="I34" s="31" t="str"/>
      <x:c r="J34" s="28" t="str">
        <x:f>IF(I34="","OPEN",IF(AND(G34&lt;&gt;"",H34&lt;&gt;"",COUNTIFS('Crew Qualifications'!C7:C966,B34,'Crew Qualifications'!J7:J966,"PASS")=4),"PASS","FAIL"))</x:f>
        <x:v>OPEN</x:v>
      </x:c>
    </x:row>
    <x:row r="35">
      <x:c r="B35" s="28" t="str">
        <x:v>DA-029</x:v>
      </x:c>
      <x:c r="C35" s="28" t="str">
        <x:v>rig detachment</x:v>
      </x:c>
      <x:c r="D35" s="28" t="str">
        <x:v>PTC-A</x:v>
      </x:c>
      <x:c r="E35" s="28" t="str">
        <x:v>RFP-A2</x:v>
      </x:c>
      <x:c r="F35" s="28" t="n">
        <x:v>1</x:v>
      </x:c>
      <x:c r="G35" s="31" t="str"/>
      <x:c r="H35" s="31" t="str"/>
      <x:c r="I35" s="31" t="str"/>
      <x:c r="J35" s="28" t="str">
        <x:f>IF(I35="","OPEN",IF(AND(G35&lt;&gt;"",H35&lt;&gt;"",COUNTIFS('Crew Qualifications'!C7:C966,B35,'Crew Qualifications'!J7:J966,"PASS")=4),"PASS","FAIL"))</x:f>
        <x:v>OPEN</x:v>
      </x:c>
    </x:row>
    <x:row r="36">
      <x:c r="B36" s="28" t="str">
        <x:v>DA-030</x:v>
      </x:c>
      <x:c r="C36" s="28" t="str">
        <x:v>rig detachment</x:v>
      </x:c>
      <x:c r="D36" s="28" t="str">
        <x:v>PTC-A</x:v>
      </x:c>
      <x:c r="E36" s="28" t="str">
        <x:v>RFP-A2</x:v>
      </x:c>
      <x:c r="F36" s="28" t="n">
        <x:v>2</x:v>
      </x:c>
      <x:c r="G36" s="31" t="str"/>
      <x:c r="H36" s="31" t="str"/>
      <x:c r="I36" s="31" t="str"/>
      <x:c r="J36" s="28" t="str">
        <x:f>IF(I36="","OPEN",IF(AND(G36&lt;&gt;"",H36&lt;&gt;"",COUNTIFS('Crew Qualifications'!C7:C966,B36,'Crew Qualifications'!J7:J966,"PASS")=4),"PASS","FAIL"))</x:f>
        <x:v>OPEN</x:v>
      </x:c>
    </x:row>
    <x:row r="37">
      <x:c r="B37" s="28" t="str">
        <x:v>DA-031</x:v>
      </x:c>
      <x:c r="C37" s="28" t="str">
        <x:v>rig detachment</x:v>
      </x:c>
      <x:c r="D37" s="28" t="str">
        <x:v>PTC-A</x:v>
      </x:c>
      <x:c r="E37" s="28" t="str">
        <x:v>RFP-A2</x:v>
      </x:c>
      <x:c r="F37" s="28" t="n">
        <x:v>3</x:v>
      </x:c>
      <x:c r="G37" s="31" t="str"/>
      <x:c r="H37" s="31" t="str"/>
      <x:c r="I37" s="31" t="str"/>
      <x:c r="J37" s="28" t="str">
        <x:f>IF(I37="","OPEN",IF(AND(G37&lt;&gt;"",H37&lt;&gt;"",COUNTIFS('Crew Qualifications'!C7:C966,B37,'Crew Qualifications'!J7:J966,"PASS")=4),"PASS","FAIL"))</x:f>
        <x:v>OPEN</x:v>
      </x:c>
    </x:row>
    <x:row r="38">
      <x:c r="B38" s="28" t="str">
        <x:v>DA-032</x:v>
      </x:c>
      <x:c r="C38" s="28" t="str">
        <x:v>rig detachment</x:v>
      </x:c>
      <x:c r="D38" s="28" t="str">
        <x:v>PTC-A</x:v>
      </x:c>
      <x:c r="E38" s="28" t="str">
        <x:v>RFP-A2</x:v>
      </x:c>
      <x:c r="F38" s="28" t="n">
        <x:v>4</x:v>
      </x:c>
      <x:c r="G38" s="31" t="str"/>
      <x:c r="H38" s="31" t="str"/>
      <x:c r="I38" s="31" t="str"/>
      <x:c r="J38" s="28" t="str">
        <x:f>IF(I38="","OPEN",IF(AND(G38&lt;&gt;"",H38&lt;&gt;"",COUNTIFS('Crew Qualifications'!C7:C966,B38,'Crew Qualifications'!J7:J966,"PASS")=4),"PASS","FAIL"))</x:f>
        <x:v>OPEN</x:v>
      </x:c>
    </x:row>
    <x:row r="39">
      <x:c r="B39" s="28" t="str">
        <x:v>DA-033</x:v>
      </x:c>
      <x:c r="C39" s="28" t="str">
        <x:v>rig detachment</x:v>
      </x:c>
      <x:c r="D39" s="28" t="str">
        <x:v>PTC-A</x:v>
      </x:c>
      <x:c r="E39" s="28" t="str">
        <x:v>RFP-A2</x:v>
      </x:c>
      <x:c r="F39" s="28" t="n">
        <x:v>1</x:v>
      </x:c>
      <x:c r="G39" s="31" t="str"/>
      <x:c r="H39" s="31" t="str"/>
      <x:c r="I39" s="31" t="str"/>
      <x:c r="J39" s="28" t="str">
        <x:f>IF(I39="","OPEN",IF(AND(G39&lt;&gt;"",H39&lt;&gt;"",COUNTIFS('Crew Qualifications'!C7:C966,B39,'Crew Qualifications'!J7:J966,"PASS")=4),"PASS","FAIL"))</x:f>
        <x:v>OPEN</x:v>
      </x:c>
    </x:row>
    <x:row r="40">
      <x:c r="B40" s="28" t="str">
        <x:v>DA-034</x:v>
      </x:c>
      <x:c r="C40" s="28" t="str">
        <x:v>rig detachment</x:v>
      </x:c>
      <x:c r="D40" s="28" t="str">
        <x:v>PTC-A</x:v>
      </x:c>
      <x:c r="E40" s="28" t="str">
        <x:v>RFP-A2</x:v>
      </x:c>
      <x:c r="F40" s="28" t="n">
        <x:v>2</x:v>
      </x:c>
      <x:c r="G40" s="31" t="str"/>
      <x:c r="H40" s="31" t="str"/>
      <x:c r="I40" s="31" t="str"/>
      <x:c r="J40" s="28" t="str">
        <x:f>IF(I40="","OPEN",IF(AND(G40&lt;&gt;"",H40&lt;&gt;"",COUNTIFS('Crew Qualifications'!C7:C966,B40,'Crew Qualifications'!J7:J966,"PASS")=4),"PASS","FAIL"))</x:f>
        <x:v>OPEN</x:v>
      </x:c>
    </x:row>
    <x:row r="41">
      <x:c r="B41" s="28" t="str">
        <x:v>DA-035</x:v>
      </x:c>
      <x:c r="C41" s="28" t="str">
        <x:v>rig detachment</x:v>
      </x:c>
      <x:c r="D41" s="28" t="str">
        <x:v>PTC-A</x:v>
      </x:c>
      <x:c r="E41" s="28" t="str">
        <x:v>RFP-A2</x:v>
      </x:c>
      <x:c r="F41" s="28" t="n">
        <x:v>3</x:v>
      </x:c>
      <x:c r="G41" s="31" t="str"/>
      <x:c r="H41" s="31" t="str"/>
      <x:c r="I41" s="31" t="str"/>
      <x:c r="J41" s="28" t="str">
        <x:f>IF(I41="","OPEN",IF(AND(G41&lt;&gt;"",H41&lt;&gt;"",COUNTIFS('Crew Qualifications'!C7:C966,B41,'Crew Qualifications'!J7:J966,"PASS")=4),"PASS","FAIL"))</x:f>
        <x:v>OPEN</x:v>
      </x:c>
    </x:row>
    <x:row r="42">
      <x:c r="B42" s="28" t="str">
        <x:v>DA-036</x:v>
      </x:c>
      <x:c r="C42" s="28" t="str">
        <x:v>rig detachment</x:v>
      </x:c>
      <x:c r="D42" s="28" t="str">
        <x:v>PTC-A</x:v>
      </x:c>
      <x:c r="E42" s="28" t="str">
        <x:v>RFP-A2</x:v>
      </x:c>
      <x:c r="F42" s="28" t="n">
        <x:v>4</x:v>
      </x:c>
      <x:c r="G42" s="31" t="str"/>
      <x:c r="H42" s="31" t="str"/>
      <x:c r="I42" s="31" t="str"/>
      <x:c r="J42" s="28" t="str">
        <x:f>IF(I42="","OPEN",IF(AND(G42&lt;&gt;"",H42&lt;&gt;"",COUNTIFS('Crew Qualifications'!C7:C966,B42,'Crew Qualifications'!J7:J966,"PASS")=4),"PASS","FAIL"))</x:f>
        <x:v>OPEN</x:v>
      </x:c>
    </x:row>
    <x:row r="43">
      <x:c r="B43" s="28" t="str">
        <x:v>DA-037</x:v>
      </x:c>
      <x:c r="C43" s="28" t="str">
        <x:v>rig detachment</x:v>
      </x:c>
      <x:c r="D43" s="28" t="str">
        <x:v>PTC-A</x:v>
      </x:c>
      <x:c r="E43" s="28" t="str">
        <x:v>RFP-A2</x:v>
      </x:c>
      <x:c r="F43" s="28" t="n">
        <x:v>1</x:v>
      </x:c>
      <x:c r="G43" s="31" t="str"/>
      <x:c r="H43" s="31" t="str"/>
      <x:c r="I43" s="31" t="str"/>
      <x:c r="J43" s="28" t="str">
        <x:f>IF(I43="","OPEN",IF(AND(G43&lt;&gt;"",H43&lt;&gt;"",COUNTIFS('Crew Qualifications'!C7:C966,B43,'Crew Qualifications'!J7:J966,"PASS")=4),"PASS","FAIL"))</x:f>
        <x:v>OPEN</x:v>
      </x:c>
    </x:row>
    <x:row r="44">
      <x:c r="B44" s="28" t="str">
        <x:v>DA-038</x:v>
      </x:c>
      <x:c r="C44" s="28" t="str">
        <x:v>rig detachment</x:v>
      </x:c>
      <x:c r="D44" s="28" t="str">
        <x:v>PTC-A</x:v>
      </x:c>
      <x:c r="E44" s="28" t="str">
        <x:v>RFP-A2</x:v>
      </x:c>
      <x:c r="F44" s="28" t="n">
        <x:v>2</x:v>
      </x:c>
      <x:c r="G44" s="31" t="str"/>
      <x:c r="H44" s="31" t="str"/>
      <x:c r="I44" s="31" t="str"/>
      <x:c r="J44" s="28" t="str">
        <x:f>IF(I44="","OPEN",IF(AND(G44&lt;&gt;"",H44&lt;&gt;"",COUNTIFS('Crew Qualifications'!C7:C966,B44,'Crew Qualifications'!J7:J966,"PASS")=4),"PASS","FAIL"))</x:f>
        <x:v>OPEN</x:v>
      </x:c>
    </x:row>
    <x:row r="45">
      <x:c r="B45" s="28" t="str">
        <x:v>DA-039</x:v>
      </x:c>
      <x:c r="C45" s="28" t="str">
        <x:v>rig detachment</x:v>
      </x:c>
      <x:c r="D45" s="28" t="str">
        <x:v>PTC-A</x:v>
      </x:c>
      <x:c r="E45" s="28" t="str">
        <x:v>RFP-A2</x:v>
      </x:c>
      <x:c r="F45" s="28" t="n">
        <x:v>3</x:v>
      </x:c>
      <x:c r="G45" s="31" t="str"/>
      <x:c r="H45" s="31" t="str"/>
      <x:c r="I45" s="31" t="str"/>
      <x:c r="J45" s="28" t="str">
        <x:f>IF(I45="","OPEN",IF(AND(G45&lt;&gt;"",H45&lt;&gt;"",COUNTIFS('Crew Qualifications'!C7:C966,B45,'Crew Qualifications'!J7:J966,"PASS")=4),"PASS","FAIL"))</x:f>
        <x:v>OPEN</x:v>
      </x:c>
    </x:row>
    <x:row r="46">
      <x:c r="B46" s="28" t="str">
        <x:v>DA-040</x:v>
      </x:c>
      <x:c r="C46" s="28" t="str">
        <x:v>rig detachment</x:v>
      </x:c>
      <x:c r="D46" s="28" t="str">
        <x:v>PTC-A</x:v>
      </x:c>
      <x:c r="E46" s="28" t="str">
        <x:v>RFP-A2</x:v>
      </x:c>
      <x:c r="F46" s="28" t="n">
        <x:v>4</x:v>
      </x:c>
      <x:c r="G46" s="31" t="str"/>
      <x:c r="H46" s="31" t="str"/>
      <x:c r="I46" s="31" t="str"/>
      <x:c r="J46" s="28" t="str">
        <x:f>IF(I46="","OPEN",IF(AND(G46&lt;&gt;"",H46&lt;&gt;"",COUNTIFS('Crew Qualifications'!C7:C966,B46,'Crew Qualifications'!J7:J966,"PASS")=4),"PASS","FAIL"))</x:f>
        <x:v>OPEN</x:v>
      </x:c>
    </x:row>
    <x:row r="47">
      <x:c r="B47" s="28" t="str">
        <x:v>DA-041</x:v>
      </x:c>
      <x:c r="C47" s="28" t="str">
        <x:v>rig detachment</x:v>
      </x:c>
      <x:c r="D47" s="28" t="str">
        <x:v>PTC-A</x:v>
      </x:c>
      <x:c r="E47" s="28" t="str">
        <x:v>RFP-A2</x:v>
      </x:c>
      <x:c r="F47" s="28" t="n">
        <x:v>1</x:v>
      </x:c>
      <x:c r="G47" s="31" t="str"/>
      <x:c r="H47" s="31" t="str"/>
      <x:c r="I47" s="31" t="str"/>
      <x:c r="J47" s="28" t="str">
        <x:f>IF(I47="","OPEN",IF(AND(G47&lt;&gt;"",H47&lt;&gt;"",COUNTIFS('Crew Qualifications'!C7:C966,B47,'Crew Qualifications'!J7:J966,"PASS")=4),"PASS","FAIL"))</x:f>
        <x:v>OPEN</x:v>
      </x:c>
    </x:row>
    <x:row r="48">
      <x:c r="B48" s="28" t="str">
        <x:v>DA-042</x:v>
      </x:c>
      <x:c r="C48" s="28" t="str">
        <x:v>rig detachment</x:v>
      </x:c>
      <x:c r="D48" s="28" t="str">
        <x:v>PTC-A</x:v>
      </x:c>
      <x:c r="E48" s="28" t="str">
        <x:v>RFP-A2</x:v>
      </x:c>
      <x:c r="F48" s="28" t="n">
        <x:v>2</x:v>
      </x:c>
      <x:c r="G48" s="31" t="str"/>
      <x:c r="H48" s="31" t="str"/>
      <x:c r="I48" s="31" t="str"/>
      <x:c r="J48" s="28" t="str">
        <x:f>IF(I48="","OPEN",IF(AND(G48&lt;&gt;"",H48&lt;&gt;"",COUNTIFS('Crew Qualifications'!C7:C966,B48,'Crew Qualifications'!J7:J966,"PASS")=4),"PASS","FAIL"))</x:f>
        <x:v>OPEN</x:v>
      </x:c>
    </x:row>
    <x:row r="49">
      <x:c r="B49" s="28" t="str">
        <x:v>DA-043</x:v>
      </x:c>
      <x:c r="C49" s="28" t="str">
        <x:v>rig detachment</x:v>
      </x:c>
      <x:c r="D49" s="28" t="str">
        <x:v>PTC-A</x:v>
      </x:c>
      <x:c r="E49" s="28" t="str">
        <x:v>RFP-A2</x:v>
      </x:c>
      <x:c r="F49" s="28" t="n">
        <x:v>3</x:v>
      </x:c>
      <x:c r="G49" s="31" t="str"/>
      <x:c r="H49" s="31" t="str"/>
      <x:c r="I49" s="31" t="str"/>
      <x:c r="J49" s="28" t="str">
        <x:f>IF(I49="","OPEN",IF(AND(G49&lt;&gt;"",H49&lt;&gt;"",COUNTIFS('Crew Qualifications'!C7:C966,B49,'Crew Qualifications'!J7:J966,"PASS")=4),"PASS","FAIL"))</x:f>
        <x:v>OPEN</x:v>
      </x:c>
    </x:row>
    <x:row r="50">
      <x:c r="B50" s="28" t="str">
        <x:v>DA-044</x:v>
      </x:c>
      <x:c r="C50" s="28" t="str">
        <x:v>rig detachment</x:v>
      </x:c>
      <x:c r="D50" s="28" t="str">
        <x:v>PTC-A</x:v>
      </x:c>
      <x:c r="E50" s="28" t="str">
        <x:v>RFP-A2</x:v>
      </x:c>
      <x:c r="F50" s="28" t="n">
        <x:v>4</x:v>
      </x:c>
      <x:c r="G50" s="31" t="str"/>
      <x:c r="H50" s="31" t="str"/>
      <x:c r="I50" s="31" t="str"/>
      <x:c r="J50" s="28" t="str">
        <x:f>IF(I50="","OPEN",IF(AND(G50&lt;&gt;"",H50&lt;&gt;"",COUNTIFS('Crew Qualifications'!C7:C966,B50,'Crew Qualifications'!J7:J966,"PASS")=4),"PASS","FAIL"))</x:f>
        <x:v>OPEN</x:v>
      </x:c>
    </x:row>
    <x:row r="51">
      <x:c r="B51" s="28" t="str">
        <x:v>DA-045</x:v>
      </x:c>
      <x:c r="C51" s="28" t="str">
        <x:v>rig detachment</x:v>
      </x:c>
      <x:c r="D51" s="28" t="str">
        <x:v>PTC-A</x:v>
      </x:c>
      <x:c r="E51" s="28" t="str">
        <x:v>RFP-A2</x:v>
      </x:c>
      <x:c r="F51" s="28" t="n">
        <x:v>1</x:v>
      </x:c>
      <x:c r="G51" s="31" t="str"/>
      <x:c r="H51" s="31" t="str"/>
      <x:c r="I51" s="31" t="str"/>
      <x:c r="J51" s="28" t="str">
        <x:f>IF(I51="","OPEN",IF(AND(G51&lt;&gt;"",H51&lt;&gt;"",COUNTIFS('Crew Qualifications'!C7:C966,B51,'Crew Qualifications'!J7:J966,"PASS")=4),"PASS","FAIL"))</x:f>
        <x:v>OPEN</x:v>
      </x:c>
    </x:row>
    <x:row r="52">
      <x:c r="B52" s="28" t="str">
        <x:v>DA-046</x:v>
      </x:c>
      <x:c r="C52" s="28" t="str">
        <x:v>rig detachment</x:v>
      </x:c>
      <x:c r="D52" s="28" t="str">
        <x:v>PTC-A</x:v>
      </x:c>
      <x:c r="E52" s="28" t="str">
        <x:v>RFP-A2</x:v>
      </x:c>
      <x:c r="F52" s="28" t="n">
        <x:v>2</x:v>
      </x:c>
      <x:c r="G52" s="31" t="str"/>
      <x:c r="H52" s="31" t="str"/>
      <x:c r="I52" s="31" t="str"/>
      <x:c r="J52" s="28" t="str">
        <x:f>IF(I52="","OPEN",IF(AND(G52&lt;&gt;"",H52&lt;&gt;"",COUNTIFS('Crew Qualifications'!C7:C966,B52,'Crew Qualifications'!J7:J966,"PASS")=4),"PASS","FAIL"))</x:f>
        <x:v>OPEN</x:v>
      </x:c>
    </x:row>
    <x:row r="53">
      <x:c r="B53" s="28" t="str">
        <x:v>DA-047</x:v>
      </x:c>
      <x:c r="C53" s="28" t="str">
        <x:v>rig detachment</x:v>
      </x:c>
      <x:c r="D53" s="28" t="str">
        <x:v>PTC-A</x:v>
      </x:c>
      <x:c r="E53" s="28" t="str">
        <x:v>RFP-A2</x:v>
      </x:c>
      <x:c r="F53" s="28" t="n">
        <x:v>3</x:v>
      </x:c>
      <x:c r="G53" s="31" t="str"/>
      <x:c r="H53" s="31" t="str"/>
      <x:c r="I53" s="31" t="str"/>
      <x:c r="J53" s="28" t="str">
        <x:f>IF(I53="","OPEN",IF(AND(G53&lt;&gt;"",H53&lt;&gt;"",COUNTIFS('Crew Qualifications'!C7:C966,B53,'Crew Qualifications'!J7:J966,"PASS")=4),"PASS","FAIL"))</x:f>
        <x:v>OPEN</x:v>
      </x:c>
    </x:row>
    <x:row r="54">
      <x:c r="B54" s="28" t="str">
        <x:v>DA-048</x:v>
      </x:c>
      <x:c r="C54" s="28" t="str">
        <x:v>rig detachment</x:v>
      </x:c>
      <x:c r="D54" s="28" t="str">
        <x:v>PTC-A</x:v>
      </x:c>
      <x:c r="E54" s="28" t="str">
        <x:v>RFP-A2</x:v>
      </x:c>
      <x:c r="F54" s="28" t="n">
        <x:v>4</x:v>
      </x:c>
      <x:c r="G54" s="31" t="str"/>
      <x:c r="H54" s="31" t="str"/>
      <x:c r="I54" s="31" t="str"/>
      <x:c r="J54" s="28" t="str">
        <x:f>IF(I54="","OPEN",IF(AND(G54&lt;&gt;"",H54&lt;&gt;"",COUNTIFS('Crew Qualifications'!C7:C966,B54,'Crew Qualifications'!J7:J966,"PASS")=4),"PASS","FAIL"))</x:f>
        <x:v>OPEN</x:v>
      </x:c>
    </x:row>
    <x:row r="55">
      <x:c r="B55" s="28" t="str">
        <x:v>DA-049</x:v>
      </x:c>
      <x:c r="C55" s="28" t="str">
        <x:v>rig detachment</x:v>
      </x:c>
      <x:c r="D55" s="28" t="str">
        <x:v>PTC-B</x:v>
      </x:c>
      <x:c r="E55" s="28" t="str">
        <x:v>RFP-B1</x:v>
      </x:c>
      <x:c r="F55" s="28" t="n">
        <x:v>1</x:v>
      </x:c>
      <x:c r="G55" s="31" t="str"/>
      <x:c r="H55" s="31" t="str"/>
      <x:c r="I55" s="31" t="str"/>
      <x:c r="J55" s="28" t="str">
        <x:f>IF(I55="","OPEN",IF(AND(G55&lt;&gt;"",H55&lt;&gt;"",COUNTIFS('Crew Qualifications'!C7:C966,B55,'Crew Qualifications'!J7:J966,"PASS")=4),"PASS","FAIL"))</x:f>
        <x:v>OPEN</x:v>
      </x:c>
    </x:row>
    <x:row r="56">
      <x:c r="B56" s="28" t="str">
        <x:v>DA-050</x:v>
      </x:c>
      <x:c r="C56" s="28" t="str">
        <x:v>rig detachment</x:v>
      </x:c>
      <x:c r="D56" s="28" t="str">
        <x:v>PTC-B</x:v>
      </x:c>
      <x:c r="E56" s="28" t="str">
        <x:v>RFP-B1</x:v>
      </x:c>
      <x:c r="F56" s="28" t="n">
        <x:v>2</x:v>
      </x:c>
      <x:c r="G56" s="31" t="str"/>
      <x:c r="H56" s="31" t="str"/>
      <x:c r="I56" s="31" t="str"/>
      <x:c r="J56" s="28" t="str">
        <x:f>IF(I56="","OPEN",IF(AND(G56&lt;&gt;"",H56&lt;&gt;"",COUNTIFS('Crew Qualifications'!C7:C966,B56,'Crew Qualifications'!J7:J966,"PASS")=4),"PASS","FAIL"))</x:f>
        <x:v>OPEN</x:v>
      </x:c>
    </x:row>
    <x:row r="57">
      <x:c r="B57" s="28" t="str">
        <x:v>DA-051</x:v>
      </x:c>
      <x:c r="C57" s="28" t="str">
        <x:v>rig detachment</x:v>
      </x:c>
      <x:c r="D57" s="28" t="str">
        <x:v>PTC-B</x:v>
      </x:c>
      <x:c r="E57" s="28" t="str">
        <x:v>RFP-B1</x:v>
      </x:c>
      <x:c r="F57" s="28" t="n">
        <x:v>3</x:v>
      </x:c>
      <x:c r="G57" s="31" t="str"/>
      <x:c r="H57" s="31" t="str"/>
      <x:c r="I57" s="31" t="str"/>
      <x:c r="J57" s="28" t="str">
        <x:f>IF(I57="","OPEN",IF(AND(G57&lt;&gt;"",H57&lt;&gt;"",COUNTIFS('Crew Qualifications'!C7:C966,B57,'Crew Qualifications'!J7:J966,"PASS")=4),"PASS","FAIL"))</x:f>
        <x:v>OPEN</x:v>
      </x:c>
    </x:row>
    <x:row r="58">
      <x:c r="B58" s="28" t="str">
        <x:v>DA-052</x:v>
      </x:c>
      <x:c r="C58" s="28" t="str">
        <x:v>rig detachment</x:v>
      </x:c>
      <x:c r="D58" s="28" t="str">
        <x:v>PTC-B</x:v>
      </x:c>
      <x:c r="E58" s="28" t="str">
        <x:v>RFP-B1</x:v>
      </x:c>
      <x:c r="F58" s="28" t="n">
        <x:v>4</x:v>
      </x:c>
      <x:c r="G58" s="31" t="str"/>
      <x:c r="H58" s="31" t="str"/>
      <x:c r="I58" s="31" t="str"/>
      <x:c r="J58" s="28" t="str">
        <x:f>IF(I58="","OPEN",IF(AND(G58&lt;&gt;"",H58&lt;&gt;"",COUNTIFS('Crew Qualifications'!C7:C966,B58,'Crew Qualifications'!J7:J966,"PASS")=4),"PASS","FAIL"))</x:f>
        <x:v>OPEN</x:v>
      </x:c>
    </x:row>
    <x:row r="59">
      <x:c r="B59" s="28" t="str">
        <x:v>DA-053</x:v>
      </x:c>
      <x:c r="C59" s="28" t="str">
        <x:v>rig detachment</x:v>
      </x:c>
      <x:c r="D59" s="28" t="str">
        <x:v>PTC-B</x:v>
      </x:c>
      <x:c r="E59" s="28" t="str">
        <x:v>RFP-B1</x:v>
      </x:c>
      <x:c r="F59" s="28" t="n">
        <x:v>1</x:v>
      </x:c>
      <x:c r="G59" s="31" t="str"/>
      <x:c r="H59" s="31" t="str"/>
      <x:c r="I59" s="31" t="str"/>
      <x:c r="J59" s="28" t="str">
        <x:f>IF(I59="","OPEN",IF(AND(G59&lt;&gt;"",H59&lt;&gt;"",COUNTIFS('Crew Qualifications'!C7:C966,B59,'Crew Qualifications'!J7:J966,"PASS")=4),"PASS","FAIL"))</x:f>
        <x:v>OPEN</x:v>
      </x:c>
    </x:row>
    <x:row r="60">
      <x:c r="B60" s="28" t="str">
        <x:v>DA-054</x:v>
      </x:c>
      <x:c r="C60" s="28" t="str">
        <x:v>rig detachment</x:v>
      </x:c>
      <x:c r="D60" s="28" t="str">
        <x:v>PTC-B</x:v>
      </x:c>
      <x:c r="E60" s="28" t="str">
        <x:v>RFP-B1</x:v>
      </x:c>
      <x:c r="F60" s="28" t="n">
        <x:v>2</x:v>
      </x:c>
      <x:c r="G60" s="31" t="str"/>
      <x:c r="H60" s="31" t="str"/>
      <x:c r="I60" s="31" t="str"/>
      <x:c r="J60" s="28" t="str">
        <x:f>IF(I60="","OPEN",IF(AND(G60&lt;&gt;"",H60&lt;&gt;"",COUNTIFS('Crew Qualifications'!C7:C966,B60,'Crew Qualifications'!J7:J966,"PASS")=4),"PASS","FAIL"))</x:f>
        <x:v>OPEN</x:v>
      </x:c>
    </x:row>
    <x:row r="61">
      <x:c r="B61" s="28" t="str">
        <x:v>DA-055</x:v>
      </x:c>
      <x:c r="C61" s="28" t="str">
        <x:v>rig detachment</x:v>
      </x:c>
      <x:c r="D61" s="28" t="str">
        <x:v>PTC-B</x:v>
      </x:c>
      <x:c r="E61" s="28" t="str">
        <x:v>RFP-B1</x:v>
      </x:c>
      <x:c r="F61" s="28" t="n">
        <x:v>3</x:v>
      </x:c>
      <x:c r="G61" s="31" t="str"/>
      <x:c r="H61" s="31" t="str"/>
      <x:c r="I61" s="31" t="str"/>
      <x:c r="J61" s="28" t="str">
        <x:f>IF(I61="","OPEN",IF(AND(G61&lt;&gt;"",H61&lt;&gt;"",COUNTIFS('Crew Qualifications'!C7:C966,B61,'Crew Qualifications'!J7:J966,"PASS")=4),"PASS","FAIL"))</x:f>
        <x:v>OPEN</x:v>
      </x:c>
    </x:row>
    <x:row r="62">
      <x:c r="B62" s="28" t="str">
        <x:v>DA-056</x:v>
      </x:c>
      <x:c r="C62" s="28" t="str">
        <x:v>rig detachment</x:v>
      </x:c>
      <x:c r="D62" s="28" t="str">
        <x:v>PTC-B</x:v>
      </x:c>
      <x:c r="E62" s="28" t="str">
        <x:v>RFP-B1</x:v>
      </x:c>
      <x:c r="F62" s="28" t="n">
        <x:v>4</x:v>
      </x:c>
      <x:c r="G62" s="31" t="str"/>
      <x:c r="H62" s="31" t="str"/>
      <x:c r="I62" s="31" t="str"/>
      <x:c r="J62" s="28" t="str">
        <x:f>IF(I62="","OPEN",IF(AND(G62&lt;&gt;"",H62&lt;&gt;"",COUNTIFS('Crew Qualifications'!C7:C966,B62,'Crew Qualifications'!J7:J966,"PASS")=4),"PASS","FAIL"))</x:f>
        <x:v>OPEN</x:v>
      </x:c>
    </x:row>
    <x:row r="63">
      <x:c r="B63" s="28" t="str">
        <x:v>DA-057</x:v>
      </x:c>
      <x:c r="C63" s="28" t="str">
        <x:v>rig detachment</x:v>
      </x:c>
      <x:c r="D63" s="28" t="str">
        <x:v>PTC-B</x:v>
      </x:c>
      <x:c r="E63" s="28" t="str">
        <x:v>RFP-B1</x:v>
      </x:c>
      <x:c r="F63" s="28" t="n">
        <x:v>1</x:v>
      </x:c>
      <x:c r="G63" s="31" t="str"/>
      <x:c r="H63" s="31" t="str"/>
      <x:c r="I63" s="31" t="str"/>
      <x:c r="J63" s="28" t="str">
        <x:f>IF(I63="","OPEN",IF(AND(G63&lt;&gt;"",H63&lt;&gt;"",COUNTIFS('Crew Qualifications'!C7:C966,B63,'Crew Qualifications'!J7:J966,"PASS")=4),"PASS","FAIL"))</x:f>
        <x:v>OPEN</x:v>
      </x:c>
    </x:row>
    <x:row r="64">
      <x:c r="B64" s="28" t="str">
        <x:v>DA-058</x:v>
      </x:c>
      <x:c r="C64" s="28" t="str">
        <x:v>rig detachment</x:v>
      </x:c>
      <x:c r="D64" s="28" t="str">
        <x:v>PTC-B</x:v>
      </x:c>
      <x:c r="E64" s="28" t="str">
        <x:v>RFP-B1</x:v>
      </x:c>
      <x:c r="F64" s="28" t="n">
        <x:v>2</x:v>
      </x:c>
      <x:c r="G64" s="31" t="str"/>
      <x:c r="H64" s="31" t="str"/>
      <x:c r="I64" s="31" t="str"/>
      <x:c r="J64" s="28" t="str">
        <x:f>IF(I64="","OPEN",IF(AND(G64&lt;&gt;"",H64&lt;&gt;"",COUNTIFS('Crew Qualifications'!C7:C966,B64,'Crew Qualifications'!J7:J966,"PASS")=4),"PASS","FAIL"))</x:f>
        <x:v>OPEN</x:v>
      </x:c>
    </x:row>
    <x:row r="65">
      <x:c r="B65" s="28" t="str">
        <x:v>DA-059</x:v>
      </x:c>
      <x:c r="C65" s="28" t="str">
        <x:v>rig detachment</x:v>
      </x:c>
      <x:c r="D65" s="28" t="str">
        <x:v>PTC-B</x:v>
      </x:c>
      <x:c r="E65" s="28" t="str">
        <x:v>RFP-B1</x:v>
      </x:c>
      <x:c r="F65" s="28" t="n">
        <x:v>3</x:v>
      </x:c>
      <x:c r="G65" s="31" t="str"/>
      <x:c r="H65" s="31" t="str"/>
      <x:c r="I65" s="31" t="str"/>
      <x:c r="J65" s="28" t="str">
        <x:f>IF(I65="","OPEN",IF(AND(G65&lt;&gt;"",H65&lt;&gt;"",COUNTIFS('Crew Qualifications'!C7:C966,B65,'Crew Qualifications'!J7:J966,"PASS")=4),"PASS","FAIL"))</x:f>
        <x:v>OPEN</x:v>
      </x:c>
    </x:row>
    <x:row r="66">
      <x:c r="B66" s="28" t="str">
        <x:v>DA-060</x:v>
      </x:c>
      <x:c r="C66" s="28" t="str">
        <x:v>rig detachment</x:v>
      </x:c>
      <x:c r="D66" s="28" t="str">
        <x:v>PTC-B</x:v>
      </x:c>
      <x:c r="E66" s="28" t="str">
        <x:v>RFP-B1</x:v>
      </x:c>
      <x:c r="F66" s="28" t="n">
        <x:v>4</x:v>
      </x:c>
      <x:c r="G66" s="31" t="str"/>
      <x:c r="H66" s="31" t="str"/>
      <x:c r="I66" s="31" t="str"/>
      <x:c r="J66" s="28" t="str">
        <x:f>IF(I66="","OPEN",IF(AND(G66&lt;&gt;"",H66&lt;&gt;"",COUNTIFS('Crew Qualifications'!C7:C966,B66,'Crew Qualifications'!J7:J966,"PASS")=4),"PASS","FAIL"))</x:f>
        <x:v>OPEN</x:v>
      </x:c>
    </x:row>
    <x:row r="67">
      <x:c r="B67" s="28" t="str">
        <x:v>DA-061</x:v>
      </x:c>
      <x:c r="C67" s="28" t="str">
        <x:v>rig detachment</x:v>
      </x:c>
      <x:c r="D67" s="28" t="str">
        <x:v>PTC-B</x:v>
      </x:c>
      <x:c r="E67" s="28" t="str">
        <x:v>RFP-B1</x:v>
      </x:c>
      <x:c r="F67" s="28" t="n">
        <x:v>1</x:v>
      </x:c>
      <x:c r="G67" s="31" t="str"/>
      <x:c r="H67" s="31" t="str"/>
      <x:c r="I67" s="31" t="str"/>
      <x:c r="J67" s="28" t="str">
        <x:f>IF(I67="","OPEN",IF(AND(G67&lt;&gt;"",H67&lt;&gt;"",COUNTIFS('Crew Qualifications'!C7:C966,B67,'Crew Qualifications'!J7:J966,"PASS")=4),"PASS","FAIL"))</x:f>
        <x:v>OPEN</x:v>
      </x:c>
    </x:row>
    <x:row r="68">
      <x:c r="B68" s="28" t="str">
        <x:v>DA-062</x:v>
      </x:c>
      <x:c r="C68" s="28" t="str">
        <x:v>rig detachment</x:v>
      </x:c>
      <x:c r="D68" s="28" t="str">
        <x:v>PTC-B</x:v>
      </x:c>
      <x:c r="E68" s="28" t="str">
        <x:v>RFP-B1</x:v>
      </x:c>
      <x:c r="F68" s="28" t="n">
        <x:v>2</x:v>
      </x:c>
      <x:c r="G68" s="31" t="str"/>
      <x:c r="H68" s="31" t="str"/>
      <x:c r="I68" s="31" t="str"/>
      <x:c r="J68" s="28" t="str">
        <x:f>IF(I68="","OPEN",IF(AND(G68&lt;&gt;"",H68&lt;&gt;"",COUNTIFS('Crew Qualifications'!C7:C966,B68,'Crew Qualifications'!J7:J966,"PASS")=4),"PASS","FAIL"))</x:f>
        <x:v>OPEN</x:v>
      </x:c>
    </x:row>
    <x:row r="69">
      <x:c r="B69" s="28" t="str">
        <x:v>DA-063</x:v>
      </x:c>
      <x:c r="C69" s="28" t="str">
        <x:v>rig detachment</x:v>
      </x:c>
      <x:c r="D69" s="28" t="str">
        <x:v>PTC-B</x:v>
      </x:c>
      <x:c r="E69" s="28" t="str">
        <x:v>RFP-B1</x:v>
      </x:c>
      <x:c r="F69" s="28" t="n">
        <x:v>3</x:v>
      </x:c>
      <x:c r="G69" s="31" t="str"/>
      <x:c r="H69" s="31" t="str"/>
      <x:c r="I69" s="31" t="str"/>
      <x:c r="J69" s="28" t="str">
        <x:f>IF(I69="","OPEN",IF(AND(G69&lt;&gt;"",H69&lt;&gt;"",COUNTIFS('Crew Qualifications'!C7:C966,B69,'Crew Qualifications'!J7:J966,"PASS")=4),"PASS","FAIL"))</x:f>
        <x:v>OPEN</x:v>
      </x:c>
    </x:row>
    <x:row r="70">
      <x:c r="B70" s="28" t="str">
        <x:v>DA-064</x:v>
      </x:c>
      <x:c r="C70" s="28" t="str">
        <x:v>rig detachment</x:v>
      </x:c>
      <x:c r="D70" s="28" t="str">
        <x:v>PTC-B</x:v>
      </x:c>
      <x:c r="E70" s="28" t="str">
        <x:v>RFP-B1</x:v>
      </x:c>
      <x:c r="F70" s="28" t="n">
        <x:v>4</x:v>
      </x:c>
      <x:c r="G70" s="31" t="str"/>
      <x:c r="H70" s="31" t="str"/>
      <x:c r="I70" s="31" t="str"/>
      <x:c r="J70" s="28" t="str">
        <x:f>IF(I70="","OPEN",IF(AND(G70&lt;&gt;"",H70&lt;&gt;"",COUNTIFS('Crew Qualifications'!C7:C966,B70,'Crew Qualifications'!J7:J966,"PASS")=4),"PASS","FAIL"))</x:f>
        <x:v>OPEN</x:v>
      </x:c>
    </x:row>
    <x:row r="71">
      <x:c r="B71" s="28" t="str">
        <x:v>DA-065</x:v>
      </x:c>
      <x:c r="C71" s="28" t="str">
        <x:v>rig detachment</x:v>
      </x:c>
      <x:c r="D71" s="28" t="str">
        <x:v>PTC-B</x:v>
      </x:c>
      <x:c r="E71" s="28" t="str">
        <x:v>RFP-B1</x:v>
      </x:c>
      <x:c r="F71" s="28" t="n">
        <x:v>1</x:v>
      </x:c>
      <x:c r="G71" s="31" t="str"/>
      <x:c r="H71" s="31" t="str"/>
      <x:c r="I71" s="31" t="str"/>
      <x:c r="J71" s="28" t="str">
        <x:f>IF(I71="","OPEN",IF(AND(G71&lt;&gt;"",H71&lt;&gt;"",COUNTIFS('Crew Qualifications'!C7:C966,B71,'Crew Qualifications'!J7:J966,"PASS")=4),"PASS","FAIL"))</x:f>
        <x:v>OPEN</x:v>
      </x:c>
    </x:row>
    <x:row r="72">
      <x:c r="B72" s="28" t="str">
        <x:v>DA-066</x:v>
      </x:c>
      <x:c r="C72" s="28" t="str">
        <x:v>rig detachment</x:v>
      </x:c>
      <x:c r="D72" s="28" t="str">
        <x:v>PTC-B</x:v>
      </x:c>
      <x:c r="E72" s="28" t="str">
        <x:v>RFP-B1</x:v>
      </x:c>
      <x:c r="F72" s="28" t="n">
        <x:v>2</x:v>
      </x:c>
      <x:c r="G72" s="31" t="str"/>
      <x:c r="H72" s="31" t="str"/>
      <x:c r="I72" s="31" t="str"/>
      <x:c r="J72" s="28" t="str">
        <x:f>IF(I72="","OPEN",IF(AND(G72&lt;&gt;"",H72&lt;&gt;"",COUNTIFS('Crew Qualifications'!C7:C966,B72,'Crew Qualifications'!J7:J966,"PASS")=4),"PASS","FAIL"))</x:f>
        <x:v>OPEN</x:v>
      </x:c>
    </x:row>
    <x:row r="73">
      <x:c r="B73" s="28" t="str">
        <x:v>DA-067</x:v>
      </x:c>
      <x:c r="C73" s="28" t="str">
        <x:v>rig detachment</x:v>
      </x:c>
      <x:c r="D73" s="28" t="str">
        <x:v>PTC-B</x:v>
      </x:c>
      <x:c r="E73" s="28" t="str">
        <x:v>RFP-B1</x:v>
      </x:c>
      <x:c r="F73" s="28" t="n">
        <x:v>3</x:v>
      </x:c>
      <x:c r="G73" s="31" t="str"/>
      <x:c r="H73" s="31" t="str"/>
      <x:c r="I73" s="31" t="str"/>
      <x:c r="J73" s="28" t="str">
        <x:f>IF(I73="","OPEN",IF(AND(G73&lt;&gt;"",H73&lt;&gt;"",COUNTIFS('Crew Qualifications'!C7:C966,B73,'Crew Qualifications'!J7:J966,"PASS")=4),"PASS","FAIL"))</x:f>
        <x:v>OPEN</x:v>
      </x:c>
    </x:row>
    <x:row r="74">
      <x:c r="B74" s="28" t="str">
        <x:v>DA-068</x:v>
      </x:c>
      <x:c r="C74" s="28" t="str">
        <x:v>rig detachment</x:v>
      </x:c>
      <x:c r="D74" s="28" t="str">
        <x:v>PTC-B</x:v>
      </x:c>
      <x:c r="E74" s="28" t="str">
        <x:v>RFP-B1</x:v>
      </x:c>
      <x:c r="F74" s="28" t="n">
        <x:v>4</x:v>
      </x:c>
      <x:c r="G74" s="31" t="str"/>
      <x:c r="H74" s="31" t="str"/>
      <x:c r="I74" s="31" t="str"/>
      <x:c r="J74" s="28" t="str">
        <x:f>IF(I74="","OPEN",IF(AND(G74&lt;&gt;"",H74&lt;&gt;"",COUNTIFS('Crew Qualifications'!C7:C966,B74,'Crew Qualifications'!J7:J966,"PASS")=4),"PASS","FAIL"))</x:f>
        <x:v>OPEN</x:v>
      </x:c>
    </x:row>
    <x:row r="75">
      <x:c r="B75" s="28" t="str">
        <x:v>DA-069</x:v>
      </x:c>
      <x:c r="C75" s="28" t="str">
        <x:v>rig detachment</x:v>
      </x:c>
      <x:c r="D75" s="28" t="str">
        <x:v>PTC-B</x:v>
      </x:c>
      <x:c r="E75" s="28" t="str">
        <x:v>RFP-B1</x:v>
      </x:c>
      <x:c r="F75" s="28" t="n">
        <x:v>1</x:v>
      </x:c>
      <x:c r="G75" s="31" t="str"/>
      <x:c r="H75" s="31" t="str"/>
      <x:c r="I75" s="31" t="str"/>
      <x:c r="J75" s="28" t="str">
        <x:f>IF(I75="","OPEN",IF(AND(G75&lt;&gt;"",H75&lt;&gt;"",COUNTIFS('Crew Qualifications'!C7:C966,B75,'Crew Qualifications'!J7:J966,"PASS")=4),"PASS","FAIL"))</x:f>
        <x:v>OPEN</x:v>
      </x:c>
    </x:row>
    <x:row r="76">
      <x:c r="B76" s="28" t="str">
        <x:v>DA-070</x:v>
      </x:c>
      <x:c r="C76" s="28" t="str">
        <x:v>rig detachment</x:v>
      </x:c>
      <x:c r="D76" s="28" t="str">
        <x:v>PTC-B</x:v>
      </x:c>
      <x:c r="E76" s="28" t="str">
        <x:v>RFP-B1</x:v>
      </x:c>
      <x:c r="F76" s="28" t="n">
        <x:v>2</x:v>
      </x:c>
      <x:c r="G76" s="31" t="str"/>
      <x:c r="H76" s="31" t="str"/>
      <x:c r="I76" s="31" t="str"/>
      <x:c r="J76" s="28" t="str">
        <x:f>IF(I76="","OPEN",IF(AND(G76&lt;&gt;"",H76&lt;&gt;"",COUNTIFS('Crew Qualifications'!C7:C966,B76,'Crew Qualifications'!J7:J966,"PASS")=4),"PASS","FAIL"))</x:f>
        <x:v>OPEN</x:v>
      </x:c>
    </x:row>
    <x:row r="77">
      <x:c r="B77" s="28" t="str">
        <x:v>DA-071</x:v>
      </x:c>
      <x:c r="C77" s="28" t="str">
        <x:v>rig detachment</x:v>
      </x:c>
      <x:c r="D77" s="28" t="str">
        <x:v>PTC-B</x:v>
      </x:c>
      <x:c r="E77" s="28" t="str">
        <x:v>RFP-B1</x:v>
      </x:c>
      <x:c r="F77" s="28" t="n">
        <x:v>3</x:v>
      </x:c>
      <x:c r="G77" s="31" t="str"/>
      <x:c r="H77" s="31" t="str"/>
      <x:c r="I77" s="31" t="str"/>
      <x:c r="J77" s="28" t="str">
        <x:f>IF(I77="","OPEN",IF(AND(G77&lt;&gt;"",H77&lt;&gt;"",COUNTIFS('Crew Qualifications'!C7:C966,B77,'Crew Qualifications'!J7:J966,"PASS")=4),"PASS","FAIL"))</x:f>
        <x:v>OPEN</x:v>
      </x:c>
    </x:row>
    <x:row r="78">
      <x:c r="B78" s="28" t="str">
        <x:v>DA-072</x:v>
      </x:c>
      <x:c r="C78" s="28" t="str">
        <x:v>rig detachment</x:v>
      </x:c>
      <x:c r="D78" s="28" t="str">
        <x:v>PTC-B</x:v>
      </x:c>
      <x:c r="E78" s="28" t="str">
        <x:v>RFP-B1</x:v>
      </x:c>
      <x:c r="F78" s="28" t="n">
        <x:v>4</x:v>
      </x:c>
      <x:c r="G78" s="31" t="str"/>
      <x:c r="H78" s="31" t="str"/>
      <x:c r="I78" s="31" t="str"/>
      <x:c r="J78" s="28" t="str">
        <x:f>IF(I78="","OPEN",IF(AND(G78&lt;&gt;"",H78&lt;&gt;"",COUNTIFS('Crew Qualifications'!C7:C966,B78,'Crew Qualifications'!J7:J966,"PASS")=4),"PASS","FAIL"))</x:f>
        <x:v>OPEN</x:v>
      </x:c>
    </x:row>
    <x:row r="79">
      <x:c r="B79" s="28" t="str">
        <x:v>DA-073</x:v>
      </x:c>
      <x:c r="C79" s="28" t="str">
        <x:v>rig detachment</x:v>
      </x:c>
      <x:c r="D79" s="28" t="str">
        <x:v>PTC-B</x:v>
      </x:c>
      <x:c r="E79" s="28" t="str">
        <x:v>RFP-B2</x:v>
      </x:c>
      <x:c r="F79" s="28" t="n">
        <x:v>1</x:v>
      </x:c>
      <x:c r="G79" s="31" t="str"/>
      <x:c r="H79" s="31" t="str"/>
      <x:c r="I79" s="31" t="str"/>
      <x:c r="J79" s="28" t="str">
        <x:f>IF(I79="","OPEN",IF(AND(G79&lt;&gt;"",H79&lt;&gt;"",COUNTIFS('Crew Qualifications'!C7:C966,B79,'Crew Qualifications'!J7:J966,"PASS")=4),"PASS","FAIL"))</x:f>
        <x:v>OPEN</x:v>
      </x:c>
    </x:row>
    <x:row r="80">
      <x:c r="B80" s="28" t="str">
        <x:v>DA-074</x:v>
      </x:c>
      <x:c r="C80" s="28" t="str">
        <x:v>rig detachment</x:v>
      </x:c>
      <x:c r="D80" s="28" t="str">
        <x:v>PTC-B</x:v>
      </x:c>
      <x:c r="E80" s="28" t="str">
        <x:v>RFP-B2</x:v>
      </x:c>
      <x:c r="F80" s="28" t="n">
        <x:v>2</x:v>
      </x:c>
      <x:c r="G80" s="31" t="str"/>
      <x:c r="H80" s="31" t="str"/>
      <x:c r="I80" s="31" t="str"/>
      <x:c r="J80" s="28" t="str">
        <x:f>IF(I80="","OPEN",IF(AND(G80&lt;&gt;"",H80&lt;&gt;"",COUNTIFS('Crew Qualifications'!C7:C966,B80,'Crew Qualifications'!J7:J966,"PASS")=4),"PASS","FAIL"))</x:f>
        <x:v>OPEN</x:v>
      </x:c>
    </x:row>
    <x:row r="81">
      <x:c r="B81" s="28" t="str">
        <x:v>DA-075</x:v>
      </x:c>
      <x:c r="C81" s="28" t="str">
        <x:v>rig detachment</x:v>
      </x:c>
      <x:c r="D81" s="28" t="str">
        <x:v>PTC-B</x:v>
      </x:c>
      <x:c r="E81" s="28" t="str">
        <x:v>RFP-B2</x:v>
      </x:c>
      <x:c r="F81" s="28" t="n">
        <x:v>3</x:v>
      </x:c>
      <x:c r="G81" s="31" t="str"/>
      <x:c r="H81" s="31" t="str"/>
      <x:c r="I81" s="31" t="str"/>
      <x:c r="J81" s="28" t="str">
        <x:f>IF(I81="","OPEN",IF(AND(G81&lt;&gt;"",H81&lt;&gt;"",COUNTIFS('Crew Qualifications'!C7:C966,B81,'Crew Qualifications'!J7:J966,"PASS")=4),"PASS","FAIL"))</x:f>
        <x:v>OPEN</x:v>
      </x:c>
    </x:row>
    <x:row r="82">
      <x:c r="B82" s="28" t="str">
        <x:v>DA-076</x:v>
      </x:c>
      <x:c r="C82" s="28" t="str">
        <x:v>rig detachment</x:v>
      </x:c>
      <x:c r="D82" s="28" t="str">
        <x:v>PTC-B</x:v>
      </x:c>
      <x:c r="E82" s="28" t="str">
        <x:v>RFP-B2</x:v>
      </x:c>
      <x:c r="F82" s="28" t="n">
        <x:v>4</x:v>
      </x:c>
      <x:c r="G82" s="31" t="str"/>
      <x:c r="H82" s="31" t="str"/>
      <x:c r="I82" s="31" t="str"/>
      <x:c r="J82" s="28" t="str">
        <x:f>IF(I82="","OPEN",IF(AND(G82&lt;&gt;"",H82&lt;&gt;"",COUNTIFS('Crew Qualifications'!C7:C966,B82,'Crew Qualifications'!J7:J966,"PASS")=4),"PASS","FAIL"))</x:f>
        <x:v>OPEN</x:v>
      </x:c>
    </x:row>
    <x:row r="83">
      <x:c r="B83" s="28" t="str">
        <x:v>DA-077</x:v>
      </x:c>
      <x:c r="C83" s="28" t="str">
        <x:v>rig detachment</x:v>
      </x:c>
      <x:c r="D83" s="28" t="str">
        <x:v>PTC-B</x:v>
      </x:c>
      <x:c r="E83" s="28" t="str">
        <x:v>RFP-B2</x:v>
      </x:c>
      <x:c r="F83" s="28" t="n">
        <x:v>1</x:v>
      </x:c>
      <x:c r="G83" s="31" t="str"/>
      <x:c r="H83" s="31" t="str"/>
      <x:c r="I83" s="31" t="str"/>
      <x:c r="J83" s="28" t="str">
        <x:f>IF(I83="","OPEN",IF(AND(G83&lt;&gt;"",H83&lt;&gt;"",COUNTIFS('Crew Qualifications'!C7:C966,B83,'Crew Qualifications'!J7:J966,"PASS")=4),"PASS","FAIL"))</x:f>
        <x:v>OPEN</x:v>
      </x:c>
    </x:row>
    <x:row r="84">
      <x:c r="B84" s="28" t="str">
        <x:v>DA-078</x:v>
      </x:c>
      <x:c r="C84" s="28" t="str">
        <x:v>rig detachment</x:v>
      </x:c>
      <x:c r="D84" s="28" t="str">
        <x:v>PTC-B</x:v>
      </x:c>
      <x:c r="E84" s="28" t="str">
        <x:v>RFP-B2</x:v>
      </x:c>
      <x:c r="F84" s="28" t="n">
        <x:v>2</x:v>
      </x:c>
      <x:c r="G84" s="31" t="str"/>
      <x:c r="H84" s="31" t="str"/>
      <x:c r="I84" s="31" t="str"/>
      <x:c r="J84" s="28" t="str">
        <x:f>IF(I84="","OPEN",IF(AND(G84&lt;&gt;"",H84&lt;&gt;"",COUNTIFS('Crew Qualifications'!C7:C966,B84,'Crew Qualifications'!J7:J966,"PASS")=4),"PASS","FAIL"))</x:f>
        <x:v>OPEN</x:v>
      </x:c>
    </x:row>
    <x:row r="85">
      <x:c r="B85" s="28" t="str">
        <x:v>DA-079</x:v>
      </x:c>
      <x:c r="C85" s="28" t="str">
        <x:v>rig detachment</x:v>
      </x:c>
      <x:c r="D85" s="28" t="str">
        <x:v>PTC-B</x:v>
      </x:c>
      <x:c r="E85" s="28" t="str">
        <x:v>RFP-B2</x:v>
      </x:c>
      <x:c r="F85" s="28" t="n">
        <x:v>3</x:v>
      </x:c>
      <x:c r="G85" s="31" t="str"/>
      <x:c r="H85" s="31" t="str"/>
      <x:c r="I85" s="31" t="str"/>
      <x:c r="J85" s="28" t="str">
        <x:f>IF(I85="","OPEN",IF(AND(G85&lt;&gt;"",H85&lt;&gt;"",COUNTIFS('Crew Qualifications'!C7:C966,B85,'Crew Qualifications'!J7:J966,"PASS")=4),"PASS","FAIL"))</x:f>
        <x:v>OPEN</x:v>
      </x:c>
    </x:row>
    <x:row r="86">
      <x:c r="B86" s="28" t="str">
        <x:v>DA-080</x:v>
      </x:c>
      <x:c r="C86" s="28" t="str">
        <x:v>rig detachment</x:v>
      </x:c>
      <x:c r="D86" s="28" t="str">
        <x:v>PTC-B</x:v>
      </x:c>
      <x:c r="E86" s="28" t="str">
        <x:v>RFP-B2</x:v>
      </x:c>
      <x:c r="F86" s="28" t="n">
        <x:v>4</x:v>
      </x:c>
      <x:c r="G86" s="31" t="str"/>
      <x:c r="H86" s="31" t="str"/>
      <x:c r="I86" s="31" t="str"/>
      <x:c r="J86" s="28" t="str">
        <x:f>IF(I86="","OPEN",IF(AND(G86&lt;&gt;"",H86&lt;&gt;"",COUNTIFS('Crew Qualifications'!C7:C966,B86,'Crew Qualifications'!J7:J966,"PASS")=4),"PASS","FAIL"))</x:f>
        <x:v>OPEN</x:v>
      </x:c>
    </x:row>
    <x:row r="87">
      <x:c r="B87" s="28" t="str">
        <x:v>DA-081</x:v>
      </x:c>
      <x:c r="C87" s="28" t="str">
        <x:v>rig detachment</x:v>
      </x:c>
      <x:c r="D87" s="28" t="str">
        <x:v>PTC-B</x:v>
      </x:c>
      <x:c r="E87" s="28" t="str">
        <x:v>RFP-B2</x:v>
      </x:c>
      <x:c r="F87" s="28" t="n">
        <x:v>1</x:v>
      </x:c>
      <x:c r="G87" s="31" t="str"/>
      <x:c r="H87" s="31" t="str"/>
      <x:c r="I87" s="31" t="str"/>
      <x:c r="J87" s="28" t="str">
        <x:f>IF(I87="","OPEN",IF(AND(G87&lt;&gt;"",H87&lt;&gt;"",COUNTIFS('Crew Qualifications'!C7:C966,B87,'Crew Qualifications'!J7:J966,"PASS")=4),"PASS","FAIL"))</x:f>
        <x:v>OPEN</x:v>
      </x:c>
    </x:row>
    <x:row r="88">
      <x:c r="B88" s="28" t="str">
        <x:v>DA-082</x:v>
      </x:c>
      <x:c r="C88" s="28" t="str">
        <x:v>rig detachment</x:v>
      </x:c>
      <x:c r="D88" s="28" t="str">
        <x:v>PTC-B</x:v>
      </x:c>
      <x:c r="E88" s="28" t="str">
        <x:v>RFP-B2</x:v>
      </x:c>
      <x:c r="F88" s="28" t="n">
        <x:v>2</x:v>
      </x:c>
      <x:c r="G88" s="31" t="str"/>
      <x:c r="H88" s="31" t="str"/>
      <x:c r="I88" s="31" t="str"/>
      <x:c r="J88" s="28" t="str">
        <x:f>IF(I88="","OPEN",IF(AND(G88&lt;&gt;"",H88&lt;&gt;"",COUNTIFS('Crew Qualifications'!C7:C966,B88,'Crew Qualifications'!J7:J966,"PASS")=4),"PASS","FAIL"))</x:f>
        <x:v>OPEN</x:v>
      </x:c>
    </x:row>
    <x:row r="89">
      <x:c r="B89" s="28" t="str">
        <x:v>DA-083</x:v>
      </x:c>
      <x:c r="C89" s="28" t="str">
        <x:v>rig detachment</x:v>
      </x:c>
      <x:c r="D89" s="28" t="str">
        <x:v>PTC-B</x:v>
      </x:c>
      <x:c r="E89" s="28" t="str">
        <x:v>RFP-B2</x:v>
      </x:c>
      <x:c r="F89" s="28" t="n">
        <x:v>3</x:v>
      </x:c>
      <x:c r="G89" s="31" t="str"/>
      <x:c r="H89" s="31" t="str"/>
      <x:c r="I89" s="31" t="str"/>
      <x:c r="J89" s="28" t="str">
        <x:f>IF(I89="","OPEN",IF(AND(G89&lt;&gt;"",H89&lt;&gt;"",COUNTIFS('Crew Qualifications'!C7:C966,B89,'Crew Qualifications'!J7:J966,"PASS")=4),"PASS","FAIL"))</x:f>
        <x:v>OPEN</x:v>
      </x:c>
    </x:row>
    <x:row r="90">
      <x:c r="B90" s="28" t="str">
        <x:v>DA-084</x:v>
      </x:c>
      <x:c r="C90" s="28" t="str">
        <x:v>rig detachment</x:v>
      </x:c>
      <x:c r="D90" s="28" t="str">
        <x:v>PTC-B</x:v>
      </x:c>
      <x:c r="E90" s="28" t="str">
        <x:v>RFP-B2</x:v>
      </x:c>
      <x:c r="F90" s="28" t="n">
        <x:v>4</x:v>
      </x:c>
      <x:c r="G90" s="31" t="str"/>
      <x:c r="H90" s="31" t="str"/>
      <x:c r="I90" s="31" t="str"/>
      <x:c r="J90" s="28" t="str">
        <x:f>IF(I90="","OPEN",IF(AND(G90&lt;&gt;"",H90&lt;&gt;"",COUNTIFS('Crew Qualifications'!C7:C966,B90,'Crew Qualifications'!J7:J966,"PASS")=4),"PASS","FAIL"))</x:f>
        <x:v>OPEN</x:v>
      </x:c>
    </x:row>
    <x:row r="91">
      <x:c r="B91" s="28" t="str">
        <x:v>DA-085</x:v>
      </x:c>
      <x:c r="C91" s="28" t="str">
        <x:v>rig detachment</x:v>
      </x:c>
      <x:c r="D91" s="28" t="str">
        <x:v>PTC-B</x:v>
      </x:c>
      <x:c r="E91" s="28" t="str">
        <x:v>RFP-B2</x:v>
      </x:c>
      <x:c r="F91" s="28" t="n">
        <x:v>1</x:v>
      </x:c>
      <x:c r="G91" s="31" t="str"/>
      <x:c r="H91" s="31" t="str"/>
      <x:c r="I91" s="31" t="str"/>
      <x:c r="J91" s="28" t="str">
        <x:f>IF(I91="","OPEN",IF(AND(G91&lt;&gt;"",H91&lt;&gt;"",COUNTIFS('Crew Qualifications'!C7:C966,B91,'Crew Qualifications'!J7:J966,"PASS")=4),"PASS","FAIL"))</x:f>
        <x:v>OPEN</x:v>
      </x:c>
    </x:row>
    <x:row r="92">
      <x:c r="B92" s="28" t="str">
        <x:v>DA-086</x:v>
      </x:c>
      <x:c r="C92" s="28" t="str">
        <x:v>rig detachment</x:v>
      </x:c>
      <x:c r="D92" s="28" t="str">
        <x:v>PTC-B</x:v>
      </x:c>
      <x:c r="E92" s="28" t="str">
        <x:v>RFP-B2</x:v>
      </x:c>
      <x:c r="F92" s="28" t="n">
        <x:v>2</x:v>
      </x:c>
      <x:c r="G92" s="31" t="str"/>
      <x:c r="H92" s="31" t="str"/>
      <x:c r="I92" s="31" t="str"/>
      <x:c r="J92" s="28" t="str">
        <x:f>IF(I92="","OPEN",IF(AND(G92&lt;&gt;"",H92&lt;&gt;"",COUNTIFS('Crew Qualifications'!C7:C966,B92,'Crew Qualifications'!J7:J966,"PASS")=4),"PASS","FAIL"))</x:f>
        <x:v>OPEN</x:v>
      </x:c>
    </x:row>
    <x:row r="93">
      <x:c r="B93" s="28" t="str">
        <x:v>DA-087</x:v>
      </x:c>
      <x:c r="C93" s="28" t="str">
        <x:v>rig detachment</x:v>
      </x:c>
      <x:c r="D93" s="28" t="str">
        <x:v>PTC-B</x:v>
      </x:c>
      <x:c r="E93" s="28" t="str">
        <x:v>RFP-B2</x:v>
      </x:c>
      <x:c r="F93" s="28" t="n">
        <x:v>3</x:v>
      </x:c>
      <x:c r="G93" s="31" t="str"/>
      <x:c r="H93" s="31" t="str"/>
      <x:c r="I93" s="31" t="str"/>
      <x:c r="J93" s="28" t="str">
        <x:f>IF(I93="","OPEN",IF(AND(G93&lt;&gt;"",H93&lt;&gt;"",COUNTIFS('Crew Qualifications'!C7:C966,B93,'Crew Qualifications'!J7:J966,"PASS")=4),"PASS","FAIL"))</x:f>
        <x:v>OPEN</x:v>
      </x:c>
    </x:row>
    <x:row r="94">
      <x:c r="B94" s="28" t="str">
        <x:v>DA-088</x:v>
      </x:c>
      <x:c r="C94" s="28" t="str">
        <x:v>rig detachment</x:v>
      </x:c>
      <x:c r="D94" s="28" t="str">
        <x:v>PTC-B</x:v>
      </x:c>
      <x:c r="E94" s="28" t="str">
        <x:v>RFP-B2</x:v>
      </x:c>
      <x:c r="F94" s="28" t="n">
        <x:v>4</x:v>
      </x:c>
      <x:c r="G94" s="31" t="str"/>
      <x:c r="H94" s="31" t="str"/>
      <x:c r="I94" s="31" t="str"/>
      <x:c r="J94" s="28" t="str">
        <x:f>IF(I94="","OPEN",IF(AND(G94&lt;&gt;"",H94&lt;&gt;"",COUNTIFS('Crew Qualifications'!C7:C966,B94,'Crew Qualifications'!J7:J966,"PASS")=4),"PASS","FAIL"))</x:f>
        <x:v>OPEN</x:v>
      </x:c>
    </x:row>
    <x:row r="95">
      <x:c r="B95" s="28" t="str">
        <x:v>DA-089</x:v>
      </x:c>
      <x:c r="C95" s="28" t="str">
        <x:v>rig detachment</x:v>
      </x:c>
      <x:c r="D95" s="28" t="str">
        <x:v>PTC-B</x:v>
      </x:c>
      <x:c r="E95" s="28" t="str">
        <x:v>RFP-B2</x:v>
      </x:c>
      <x:c r="F95" s="28" t="n">
        <x:v>1</x:v>
      </x:c>
      <x:c r="G95" s="31" t="str"/>
      <x:c r="H95" s="31" t="str"/>
      <x:c r="I95" s="31" t="str"/>
      <x:c r="J95" s="28" t="str">
        <x:f>IF(I95="","OPEN",IF(AND(G95&lt;&gt;"",H95&lt;&gt;"",COUNTIFS('Crew Qualifications'!C7:C966,B95,'Crew Qualifications'!J7:J966,"PASS")=4),"PASS","FAIL"))</x:f>
        <x:v>OPEN</x:v>
      </x:c>
    </x:row>
    <x:row r="96">
      <x:c r="B96" s="28" t="str">
        <x:v>DA-090</x:v>
      </x:c>
      <x:c r="C96" s="28" t="str">
        <x:v>rig detachment</x:v>
      </x:c>
      <x:c r="D96" s="28" t="str">
        <x:v>PTC-B</x:v>
      </x:c>
      <x:c r="E96" s="28" t="str">
        <x:v>RFP-B2</x:v>
      </x:c>
      <x:c r="F96" s="28" t="n">
        <x:v>2</x:v>
      </x:c>
      <x:c r="G96" s="31" t="str"/>
      <x:c r="H96" s="31" t="str"/>
      <x:c r="I96" s="31" t="str"/>
      <x:c r="J96" s="28" t="str">
        <x:f>IF(I96="","OPEN",IF(AND(G96&lt;&gt;"",H96&lt;&gt;"",COUNTIFS('Crew Qualifications'!C7:C966,B96,'Crew Qualifications'!J7:J966,"PASS")=4),"PASS","FAIL"))</x:f>
        <x:v>OPEN</x:v>
      </x:c>
    </x:row>
    <x:row r="97">
      <x:c r="B97" s="28" t="str">
        <x:v>DA-091</x:v>
      </x:c>
      <x:c r="C97" s="28" t="str">
        <x:v>rig detachment</x:v>
      </x:c>
      <x:c r="D97" s="28" t="str">
        <x:v>PTC-B</x:v>
      </x:c>
      <x:c r="E97" s="28" t="str">
        <x:v>RFP-B2</x:v>
      </x:c>
      <x:c r="F97" s="28" t="n">
        <x:v>3</x:v>
      </x:c>
      <x:c r="G97" s="31" t="str"/>
      <x:c r="H97" s="31" t="str"/>
      <x:c r="I97" s="31" t="str"/>
      <x:c r="J97" s="28" t="str">
        <x:f>IF(I97="","OPEN",IF(AND(G97&lt;&gt;"",H97&lt;&gt;"",COUNTIFS('Crew Qualifications'!C7:C966,B97,'Crew Qualifications'!J7:J966,"PASS")=4),"PASS","FAIL"))</x:f>
        <x:v>OPEN</x:v>
      </x:c>
    </x:row>
    <x:row r="98">
      <x:c r="B98" s="28" t="str">
        <x:v>DA-092</x:v>
      </x:c>
      <x:c r="C98" s="28" t="str">
        <x:v>rig detachment</x:v>
      </x:c>
      <x:c r="D98" s="28" t="str">
        <x:v>PTC-B</x:v>
      </x:c>
      <x:c r="E98" s="28" t="str">
        <x:v>RFP-B2</x:v>
      </x:c>
      <x:c r="F98" s="28" t="n">
        <x:v>4</x:v>
      </x:c>
      <x:c r="G98" s="31" t="str"/>
      <x:c r="H98" s="31" t="str"/>
      <x:c r="I98" s="31" t="str"/>
      <x:c r="J98" s="28" t="str">
        <x:f>IF(I98="","OPEN",IF(AND(G98&lt;&gt;"",H98&lt;&gt;"",COUNTIFS('Crew Qualifications'!C7:C966,B98,'Crew Qualifications'!J7:J966,"PASS")=4),"PASS","FAIL"))</x:f>
        <x:v>OPEN</x:v>
      </x:c>
    </x:row>
    <x:row r="99">
      <x:c r="B99" s="28" t="str">
        <x:v>DA-093</x:v>
      </x:c>
      <x:c r="C99" s="28" t="str">
        <x:v>rig detachment</x:v>
      </x:c>
      <x:c r="D99" s="28" t="str">
        <x:v>PTC-B</x:v>
      </x:c>
      <x:c r="E99" s="28" t="str">
        <x:v>RFP-B2</x:v>
      </x:c>
      <x:c r="F99" s="28" t="n">
        <x:v>1</x:v>
      </x:c>
      <x:c r="G99" s="31" t="str"/>
      <x:c r="H99" s="31" t="str"/>
      <x:c r="I99" s="31" t="str"/>
      <x:c r="J99" s="28" t="str">
        <x:f>IF(I99="","OPEN",IF(AND(G99&lt;&gt;"",H99&lt;&gt;"",COUNTIFS('Crew Qualifications'!C7:C966,B99,'Crew Qualifications'!J7:J966,"PASS")=4),"PASS","FAIL"))</x:f>
        <x:v>OPEN</x:v>
      </x:c>
    </x:row>
    <x:row r="100">
      <x:c r="B100" s="28" t="str">
        <x:v>DA-094</x:v>
      </x:c>
      <x:c r="C100" s="28" t="str">
        <x:v>rig detachment</x:v>
      </x:c>
      <x:c r="D100" s="28" t="str">
        <x:v>PTC-B</x:v>
      </x:c>
      <x:c r="E100" s="28" t="str">
        <x:v>RFP-B2</x:v>
      </x:c>
      <x:c r="F100" s="28" t="n">
        <x:v>2</x:v>
      </x:c>
      <x:c r="G100" s="31" t="str"/>
      <x:c r="H100" s="31" t="str"/>
      <x:c r="I100" s="31" t="str"/>
      <x:c r="J100" s="28" t="str">
        <x:f>IF(I100="","OPEN",IF(AND(G100&lt;&gt;"",H100&lt;&gt;"",COUNTIFS('Crew Qualifications'!C7:C966,B100,'Crew Qualifications'!J7:J966,"PASS")=4),"PASS","FAIL"))</x:f>
        <x:v>OPEN</x:v>
      </x:c>
    </x:row>
    <x:row r="101">
      <x:c r="B101" s="28" t="str">
        <x:v>DA-095</x:v>
      </x:c>
      <x:c r="C101" s="28" t="str">
        <x:v>rig detachment</x:v>
      </x:c>
      <x:c r="D101" s="28" t="str">
        <x:v>PTC-B</x:v>
      </x:c>
      <x:c r="E101" s="28" t="str">
        <x:v>RFP-B2</x:v>
      </x:c>
      <x:c r="F101" s="28" t="n">
        <x:v>3</x:v>
      </x:c>
      <x:c r="G101" s="31" t="str"/>
      <x:c r="H101" s="31" t="str"/>
      <x:c r="I101" s="31" t="str"/>
      <x:c r="J101" s="28" t="str">
        <x:f>IF(I101="","OPEN",IF(AND(G101&lt;&gt;"",H101&lt;&gt;"",COUNTIFS('Crew Qualifications'!C7:C966,B101,'Crew Qualifications'!J7:J966,"PASS")=4),"PASS","FAIL"))</x:f>
        <x:v>OPEN</x:v>
      </x:c>
    </x:row>
    <x:row r="102">
      <x:c r="B102" s="28" t="str">
        <x:v>DA-096</x:v>
      </x:c>
      <x:c r="C102" s="28" t="str">
        <x:v>rig detachment</x:v>
      </x:c>
      <x:c r="D102" s="28" t="str">
        <x:v>PTC-B</x:v>
      </x:c>
      <x:c r="E102" s="28" t="str">
        <x:v>RFP-B2</x:v>
      </x:c>
      <x:c r="F102" s="28" t="n">
        <x:v>4</x:v>
      </x:c>
      <x:c r="G102" s="31" t="str"/>
      <x:c r="H102" s="31" t="str"/>
      <x:c r="I102" s="31" t="str"/>
      <x:c r="J102" s="28" t="str">
        <x:f>IF(I102="","OPEN",IF(AND(G102&lt;&gt;"",H102&lt;&gt;"",COUNTIFS('Crew Qualifications'!C7:C966,B102,'Crew Qualifications'!J7:J966,"PASS")=4),"PASS","FAIL"))</x:f>
        <x:v>OPEN</x:v>
      </x:c>
    </x:row>
    <x:row r="103">
      <x:c r="B103" s="28" t="str">
        <x:v>DA-097</x:v>
      </x:c>
      <x:c r="C103" s="28" t="str">
        <x:v>rig detachment</x:v>
      </x:c>
      <x:c r="D103" s="28" t="str">
        <x:v>PTC-C</x:v>
      </x:c>
      <x:c r="E103" s="28" t="str">
        <x:v>RFP-C1</x:v>
      </x:c>
      <x:c r="F103" s="28" t="n">
        <x:v>1</x:v>
      </x:c>
      <x:c r="G103" s="31" t="str"/>
      <x:c r="H103" s="31" t="str"/>
      <x:c r="I103" s="31" t="str"/>
      <x:c r="J103" s="28" t="str">
        <x:f>IF(I103="","OPEN",IF(AND(G103&lt;&gt;"",H103&lt;&gt;"",COUNTIFS('Crew Qualifications'!C7:C966,B103,'Crew Qualifications'!J7:J966,"PASS")=4),"PASS","FAIL"))</x:f>
        <x:v>OPEN</x:v>
      </x:c>
    </x:row>
    <x:row r="104">
      <x:c r="B104" s="28" t="str">
        <x:v>DA-098</x:v>
      </x:c>
      <x:c r="C104" s="28" t="str">
        <x:v>rig detachment</x:v>
      </x:c>
      <x:c r="D104" s="28" t="str">
        <x:v>PTC-C</x:v>
      </x:c>
      <x:c r="E104" s="28" t="str">
        <x:v>RFP-C1</x:v>
      </x:c>
      <x:c r="F104" s="28" t="n">
        <x:v>2</x:v>
      </x:c>
      <x:c r="G104" s="31" t="str"/>
      <x:c r="H104" s="31" t="str"/>
      <x:c r="I104" s="31" t="str"/>
      <x:c r="J104" s="28" t="str">
        <x:f>IF(I104="","OPEN",IF(AND(G104&lt;&gt;"",H104&lt;&gt;"",COUNTIFS('Crew Qualifications'!C7:C966,B104,'Crew Qualifications'!J7:J966,"PASS")=4),"PASS","FAIL"))</x:f>
        <x:v>OPEN</x:v>
      </x:c>
    </x:row>
    <x:row r="105">
      <x:c r="B105" s="28" t="str">
        <x:v>DA-099</x:v>
      </x:c>
      <x:c r="C105" s="28" t="str">
        <x:v>rig detachment</x:v>
      </x:c>
      <x:c r="D105" s="28" t="str">
        <x:v>PTC-C</x:v>
      </x:c>
      <x:c r="E105" s="28" t="str">
        <x:v>RFP-C1</x:v>
      </x:c>
      <x:c r="F105" s="28" t="n">
        <x:v>3</x:v>
      </x:c>
      <x:c r="G105" s="31" t="str"/>
      <x:c r="H105" s="31" t="str"/>
      <x:c r="I105" s="31" t="str"/>
      <x:c r="J105" s="28" t="str">
        <x:f>IF(I105="","OPEN",IF(AND(G105&lt;&gt;"",H105&lt;&gt;"",COUNTIFS('Crew Qualifications'!C7:C966,B105,'Crew Qualifications'!J7:J966,"PASS")=4),"PASS","FAIL"))</x:f>
        <x:v>OPEN</x:v>
      </x:c>
    </x:row>
    <x:row r="106">
      <x:c r="B106" s="28" t="str">
        <x:v>DA-100</x:v>
      </x:c>
      <x:c r="C106" s="28" t="str">
        <x:v>rig detachment</x:v>
      </x:c>
      <x:c r="D106" s="28" t="str">
        <x:v>PTC-C</x:v>
      </x:c>
      <x:c r="E106" s="28" t="str">
        <x:v>RFP-C1</x:v>
      </x:c>
      <x:c r="F106" s="28" t="n">
        <x:v>4</x:v>
      </x:c>
      <x:c r="G106" s="31" t="str"/>
      <x:c r="H106" s="31" t="str"/>
      <x:c r="I106" s="31" t="str"/>
      <x:c r="J106" s="28" t="str">
        <x:f>IF(I106="","OPEN",IF(AND(G106&lt;&gt;"",H106&lt;&gt;"",COUNTIFS('Crew Qualifications'!C7:C966,B106,'Crew Qualifications'!J7:J966,"PASS")=4),"PASS","FAIL"))</x:f>
        <x:v>OPEN</x:v>
      </x:c>
    </x:row>
    <x:row r="107">
      <x:c r="B107" s="28" t="str">
        <x:v>DA-101</x:v>
      </x:c>
      <x:c r="C107" s="28" t="str">
        <x:v>rig detachment</x:v>
      </x:c>
      <x:c r="D107" s="28" t="str">
        <x:v>PTC-C</x:v>
      </x:c>
      <x:c r="E107" s="28" t="str">
        <x:v>RFP-C1</x:v>
      </x:c>
      <x:c r="F107" s="28" t="n">
        <x:v>1</x:v>
      </x:c>
      <x:c r="G107" s="31" t="str"/>
      <x:c r="H107" s="31" t="str"/>
      <x:c r="I107" s="31" t="str"/>
      <x:c r="J107" s="28" t="str">
        <x:f>IF(I107="","OPEN",IF(AND(G107&lt;&gt;"",H107&lt;&gt;"",COUNTIFS('Crew Qualifications'!C7:C966,B107,'Crew Qualifications'!J7:J966,"PASS")=4),"PASS","FAIL"))</x:f>
        <x:v>OPEN</x:v>
      </x:c>
    </x:row>
    <x:row r="108">
      <x:c r="B108" s="28" t="str">
        <x:v>DA-102</x:v>
      </x:c>
      <x:c r="C108" s="28" t="str">
        <x:v>rig detachment</x:v>
      </x:c>
      <x:c r="D108" s="28" t="str">
        <x:v>PTC-C</x:v>
      </x:c>
      <x:c r="E108" s="28" t="str">
        <x:v>RFP-C1</x:v>
      </x:c>
      <x:c r="F108" s="28" t="n">
        <x:v>2</x:v>
      </x:c>
      <x:c r="G108" s="31" t="str"/>
      <x:c r="H108" s="31" t="str"/>
      <x:c r="I108" s="31" t="str"/>
      <x:c r="J108" s="28" t="str">
        <x:f>IF(I108="","OPEN",IF(AND(G108&lt;&gt;"",H108&lt;&gt;"",COUNTIFS('Crew Qualifications'!C7:C966,B108,'Crew Qualifications'!J7:J966,"PASS")=4),"PASS","FAIL"))</x:f>
        <x:v>OPEN</x:v>
      </x:c>
    </x:row>
    <x:row r="109">
      <x:c r="B109" s="28" t="str">
        <x:v>DA-103</x:v>
      </x:c>
      <x:c r="C109" s="28" t="str">
        <x:v>rig detachment</x:v>
      </x:c>
      <x:c r="D109" s="28" t="str">
        <x:v>PTC-C</x:v>
      </x:c>
      <x:c r="E109" s="28" t="str">
        <x:v>RFP-C1</x:v>
      </x:c>
      <x:c r="F109" s="28" t="n">
        <x:v>3</x:v>
      </x:c>
      <x:c r="G109" s="31" t="str"/>
      <x:c r="H109" s="31" t="str"/>
      <x:c r="I109" s="31" t="str"/>
      <x:c r="J109" s="28" t="str">
        <x:f>IF(I109="","OPEN",IF(AND(G109&lt;&gt;"",H109&lt;&gt;"",COUNTIFS('Crew Qualifications'!C7:C966,B109,'Crew Qualifications'!J7:J966,"PASS")=4),"PASS","FAIL"))</x:f>
        <x:v>OPEN</x:v>
      </x:c>
    </x:row>
    <x:row r="110">
      <x:c r="B110" s="28" t="str">
        <x:v>DA-104</x:v>
      </x:c>
      <x:c r="C110" s="28" t="str">
        <x:v>rig detachment</x:v>
      </x:c>
      <x:c r="D110" s="28" t="str">
        <x:v>PTC-C</x:v>
      </x:c>
      <x:c r="E110" s="28" t="str">
        <x:v>RFP-C1</x:v>
      </x:c>
      <x:c r="F110" s="28" t="n">
        <x:v>4</x:v>
      </x:c>
      <x:c r="G110" s="31" t="str"/>
      <x:c r="H110" s="31" t="str"/>
      <x:c r="I110" s="31" t="str"/>
      <x:c r="J110" s="28" t="str">
        <x:f>IF(I110="","OPEN",IF(AND(G110&lt;&gt;"",H110&lt;&gt;"",COUNTIFS('Crew Qualifications'!C7:C966,B110,'Crew Qualifications'!J7:J966,"PASS")=4),"PASS","FAIL"))</x:f>
        <x:v>OPEN</x:v>
      </x:c>
    </x:row>
    <x:row r="111">
      <x:c r="B111" s="28" t="str">
        <x:v>DA-105</x:v>
      </x:c>
      <x:c r="C111" s="28" t="str">
        <x:v>rig detachment</x:v>
      </x:c>
      <x:c r="D111" s="28" t="str">
        <x:v>PTC-C</x:v>
      </x:c>
      <x:c r="E111" s="28" t="str">
        <x:v>RFP-C1</x:v>
      </x:c>
      <x:c r="F111" s="28" t="n">
        <x:v>1</x:v>
      </x:c>
      <x:c r="G111" s="31" t="str"/>
      <x:c r="H111" s="31" t="str"/>
      <x:c r="I111" s="31" t="str"/>
      <x:c r="J111" s="28" t="str">
        <x:f>IF(I111="","OPEN",IF(AND(G111&lt;&gt;"",H111&lt;&gt;"",COUNTIFS('Crew Qualifications'!C7:C966,B111,'Crew Qualifications'!J7:J966,"PASS")=4),"PASS","FAIL"))</x:f>
        <x:v>OPEN</x:v>
      </x:c>
    </x:row>
    <x:row r="112">
      <x:c r="B112" s="28" t="str">
        <x:v>DA-106</x:v>
      </x:c>
      <x:c r="C112" s="28" t="str">
        <x:v>rig detachment</x:v>
      </x:c>
      <x:c r="D112" s="28" t="str">
        <x:v>PTC-C</x:v>
      </x:c>
      <x:c r="E112" s="28" t="str">
        <x:v>RFP-C1</x:v>
      </x:c>
      <x:c r="F112" s="28" t="n">
        <x:v>2</x:v>
      </x:c>
      <x:c r="G112" s="31" t="str"/>
      <x:c r="H112" s="31" t="str"/>
      <x:c r="I112" s="31" t="str"/>
      <x:c r="J112" s="28" t="str">
        <x:f>IF(I112="","OPEN",IF(AND(G112&lt;&gt;"",H112&lt;&gt;"",COUNTIFS('Crew Qualifications'!C7:C966,B112,'Crew Qualifications'!J7:J966,"PASS")=4),"PASS","FAIL"))</x:f>
        <x:v>OPEN</x:v>
      </x:c>
    </x:row>
    <x:row r="113">
      <x:c r="B113" s="28" t="str">
        <x:v>DA-107</x:v>
      </x:c>
      <x:c r="C113" s="28" t="str">
        <x:v>rig detachment</x:v>
      </x:c>
      <x:c r="D113" s="28" t="str">
        <x:v>PTC-C</x:v>
      </x:c>
      <x:c r="E113" s="28" t="str">
        <x:v>RFP-C1</x:v>
      </x:c>
      <x:c r="F113" s="28" t="n">
        <x:v>3</x:v>
      </x:c>
      <x:c r="G113" s="31" t="str"/>
      <x:c r="H113" s="31" t="str"/>
      <x:c r="I113" s="31" t="str"/>
      <x:c r="J113" s="28" t="str">
        <x:f>IF(I113="","OPEN",IF(AND(G113&lt;&gt;"",H113&lt;&gt;"",COUNTIFS('Crew Qualifications'!C7:C966,B113,'Crew Qualifications'!J7:J966,"PASS")=4),"PASS","FAIL"))</x:f>
        <x:v>OPEN</x:v>
      </x:c>
    </x:row>
    <x:row r="114">
      <x:c r="B114" s="28" t="str">
        <x:v>DA-108</x:v>
      </x:c>
      <x:c r="C114" s="28" t="str">
        <x:v>rig detachment</x:v>
      </x:c>
      <x:c r="D114" s="28" t="str">
        <x:v>PTC-C</x:v>
      </x:c>
      <x:c r="E114" s="28" t="str">
        <x:v>RFP-C1</x:v>
      </x:c>
      <x:c r="F114" s="28" t="n">
        <x:v>4</x:v>
      </x:c>
      <x:c r="G114" s="31" t="str"/>
      <x:c r="H114" s="31" t="str"/>
      <x:c r="I114" s="31" t="str"/>
      <x:c r="J114" s="28" t="str">
        <x:f>IF(I114="","OPEN",IF(AND(G114&lt;&gt;"",H114&lt;&gt;"",COUNTIFS('Crew Qualifications'!C7:C966,B114,'Crew Qualifications'!J7:J966,"PASS")=4),"PASS","FAIL"))</x:f>
        <x:v>OPEN</x:v>
      </x:c>
    </x:row>
    <x:row r="115">
      <x:c r="B115" s="28" t="str">
        <x:v>DA-109</x:v>
      </x:c>
      <x:c r="C115" s="28" t="str">
        <x:v>rig detachment</x:v>
      </x:c>
      <x:c r="D115" s="28" t="str">
        <x:v>PTC-C</x:v>
      </x:c>
      <x:c r="E115" s="28" t="str">
        <x:v>RFP-C1</x:v>
      </x:c>
      <x:c r="F115" s="28" t="n">
        <x:v>1</x:v>
      </x:c>
      <x:c r="G115" s="31" t="str"/>
      <x:c r="H115" s="31" t="str"/>
      <x:c r="I115" s="31" t="str"/>
      <x:c r="J115" s="28" t="str">
        <x:f>IF(I115="","OPEN",IF(AND(G115&lt;&gt;"",H115&lt;&gt;"",COUNTIFS('Crew Qualifications'!C7:C966,B115,'Crew Qualifications'!J7:J966,"PASS")=4),"PASS","FAIL"))</x:f>
        <x:v>OPEN</x:v>
      </x:c>
    </x:row>
    <x:row r="116">
      <x:c r="B116" s="28" t="str">
        <x:v>DA-110</x:v>
      </x:c>
      <x:c r="C116" s="28" t="str">
        <x:v>rig detachment</x:v>
      </x:c>
      <x:c r="D116" s="28" t="str">
        <x:v>PTC-C</x:v>
      </x:c>
      <x:c r="E116" s="28" t="str">
        <x:v>RFP-C1</x:v>
      </x:c>
      <x:c r="F116" s="28" t="n">
        <x:v>2</x:v>
      </x:c>
      <x:c r="G116" s="31" t="str"/>
      <x:c r="H116" s="31" t="str"/>
      <x:c r="I116" s="31" t="str"/>
      <x:c r="J116" s="28" t="str">
        <x:f>IF(I116="","OPEN",IF(AND(G116&lt;&gt;"",H116&lt;&gt;"",COUNTIFS('Crew Qualifications'!C7:C966,B116,'Crew Qualifications'!J7:J966,"PASS")=4),"PASS","FAIL"))</x:f>
        <x:v>OPEN</x:v>
      </x:c>
    </x:row>
    <x:row r="117">
      <x:c r="B117" s="28" t="str">
        <x:v>DA-111</x:v>
      </x:c>
      <x:c r="C117" s="28" t="str">
        <x:v>rig detachment</x:v>
      </x:c>
      <x:c r="D117" s="28" t="str">
        <x:v>PTC-C</x:v>
      </x:c>
      <x:c r="E117" s="28" t="str">
        <x:v>RFP-C1</x:v>
      </x:c>
      <x:c r="F117" s="28" t="n">
        <x:v>3</x:v>
      </x:c>
      <x:c r="G117" s="31" t="str"/>
      <x:c r="H117" s="31" t="str"/>
      <x:c r="I117" s="31" t="str"/>
      <x:c r="J117" s="28" t="str">
        <x:f>IF(I117="","OPEN",IF(AND(G117&lt;&gt;"",H117&lt;&gt;"",COUNTIFS('Crew Qualifications'!C7:C966,B117,'Crew Qualifications'!J7:J966,"PASS")=4),"PASS","FAIL"))</x:f>
        <x:v>OPEN</x:v>
      </x:c>
    </x:row>
    <x:row r="118">
      <x:c r="B118" s="28" t="str">
        <x:v>DA-112</x:v>
      </x:c>
      <x:c r="C118" s="28" t="str">
        <x:v>rig detachment</x:v>
      </x:c>
      <x:c r="D118" s="28" t="str">
        <x:v>PTC-C</x:v>
      </x:c>
      <x:c r="E118" s="28" t="str">
        <x:v>RFP-C1</x:v>
      </x:c>
      <x:c r="F118" s="28" t="n">
        <x:v>4</x:v>
      </x:c>
      <x:c r="G118" s="31" t="str"/>
      <x:c r="H118" s="31" t="str"/>
      <x:c r="I118" s="31" t="str"/>
      <x:c r="J118" s="28" t="str">
        <x:f>IF(I118="","OPEN",IF(AND(G118&lt;&gt;"",H118&lt;&gt;"",COUNTIFS('Crew Qualifications'!C7:C966,B118,'Crew Qualifications'!J7:J966,"PASS")=4),"PASS","FAIL"))</x:f>
        <x:v>OPEN</x:v>
      </x:c>
    </x:row>
    <x:row r="119">
      <x:c r="B119" s="28" t="str">
        <x:v>DA-113</x:v>
      </x:c>
      <x:c r="C119" s="28" t="str">
        <x:v>rig detachment</x:v>
      </x:c>
      <x:c r="D119" s="28" t="str">
        <x:v>PTC-C</x:v>
      </x:c>
      <x:c r="E119" s="28" t="str">
        <x:v>RFP-C1</x:v>
      </x:c>
      <x:c r="F119" s="28" t="n">
        <x:v>1</x:v>
      </x:c>
      <x:c r="G119" s="31" t="str"/>
      <x:c r="H119" s="31" t="str"/>
      <x:c r="I119" s="31" t="str"/>
      <x:c r="J119" s="28" t="str">
        <x:f>IF(I119="","OPEN",IF(AND(G119&lt;&gt;"",H119&lt;&gt;"",COUNTIFS('Crew Qualifications'!C7:C966,B119,'Crew Qualifications'!J7:J966,"PASS")=4),"PASS","FAIL"))</x:f>
        <x:v>OPEN</x:v>
      </x:c>
    </x:row>
    <x:row r="120">
      <x:c r="B120" s="28" t="str">
        <x:v>DA-114</x:v>
      </x:c>
      <x:c r="C120" s="28" t="str">
        <x:v>rig detachment</x:v>
      </x:c>
      <x:c r="D120" s="28" t="str">
        <x:v>PTC-C</x:v>
      </x:c>
      <x:c r="E120" s="28" t="str">
        <x:v>RFP-C1</x:v>
      </x:c>
      <x:c r="F120" s="28" t="n">
        <x:v>2</x:v>
      </x:c>
      <x:c r="G120" s="31" t="str"/>
      <x:c r="H120" s="31" t="str"/>
      <x:c r="I120" s="31" t="str"/>
      <x:c r="J120" s="28" t="str">
        <x:f>IF(I120="","OPEN",IF(AND(G120&lt;&gt;"",H120&lt;&gt;"",COUNTIFS('Crew Qualifications'!C7:C966,B120,'Crew Qualifications'!J7:J966,"PASS")=4),"PASS","FAIL"))</x:f>
        <x:v>OPEN</x:v>
      </x:c>
    </x:row>
    <x:row r="121">
      <x:c r="B121" s="28" t="str">
        <x:v>DA-115</x:v>
      </x:c>
      <x:c r="C121" s="28" t="str">
        <x:v>rig detachment</x:v>
      </x:c>
      <x:c r="D121" s="28" t="str">
        <x:v>PTC-C</x:v>
      </x:c>
      <x:c r="E121" s="28" t="str">
        <x:v>RFP-C1</x:v>
      </x:c>
      <x:c r="F121" s="28" t="n">
        <x:v>3</x:v>
      </x:c>
      <x:c r="G121" s="31" t="str"/>
      <x:c r="H121" s="31" t="str"/>
      <x:c r="I121" s="31" t="str"/>
      <x:c r="J121" s="28" t="str">
        <x:f>IF(I121="","OPEN",IF(AND(G121&lt;&gt;"",H121&lt;&gt;"",COUNTIFS('Crew Qualifications'!C7:C966,B121,'Crew Qualifications'!J7:J966,"PASS")=4),"PASS","FAIL"))</x:f>
        <x:v>OPEN</x:v>
      </x:c>
    </x:row>
    <x:row r="122">
      <x:c r="B122" s="28" t="str">
        <x:v>DA-116</x:v>
      </x:c>
      <x:c r="C122" s="28" t="str">
        <x:v>rig detachment</x:v>
      </x:c>
      <x:c r="D122" s="28" t="str">
        <x:v>PTC-C</x:v>
      </x:c>
      <x:c r="E122" s="28" t="str">
        <x:v>RFP-C1</x:v>
      </x:c>
      <x:c r="F122" s="28" t="n">
        <x:v>4</x:v>
      </x:c>
      <x:c r="G122" s="31" t="str"/>
      <x:c r="H122" s="31" t="str"/>
      <x:c r="I122" s="31" t="str"/>
      <x:c r="J122" s="28" t="str">
        <x:f>IF(I122="","OPEN",IF(AND(G122&lt;&gt;"",H122&lt;&gt;"",COUNTIFS('Crew Qualifications'!C7:C966,B122,'Crew Qualifications'!J7:J966,"PASS")=4),"PASS","FAIL"))</x:f>
        <x:v>OPEN</x:v>
      </x:c>
    </x:row>
    <x:row r="123">
      <x:c r="B123" s="28" t="str">
        <x:v>DA-117</x:v>
      </x:c>
      <x:c r="C123" s="28" t="str">
        <x:v>rig detachment</x:v>
      </x:c>
      <x:c r="D123" s="28" t="str">
        <x:v>PTC-C</x:v>
      </x:c>
      <x:c r="E123" s="28" t="str">
        <x:v>RFP-C1</x:v>
      </x:c>
      <x:c r="F123" s="28" t="n">
        <x:v>1</x:v>
      </x:c>
      <x:c r="G123" s="31" t="str"/>
      <x:c r="H123" s="31" t="str"/>
      <x:c r="I123" s="31" t="str"/>
      <x:c r="J123" s="28" t="str">
        <x:f>IF(I123="","OPEN",IF(AND(G123&lt;&gt;"",H123&lt;&gt;"",COUNTIFS('Crew Qualifications'!C7:C966,B123,'Crew Qualifications'!J7:J966,"PASS")=4),"PASS","FAIL"))</x:f>
        <x:v>OPEN</x:v>
      </x:c>
    </x:row>
    <x:row r="124">
      <x:c r="B124" s="28" t="str">
        <x:v>DA-118</x:v>
      </x:c>
      <x:c r="C124" s="28" t="str">
        <x:v>rig detachment</x:v>
      </x:c>
      <x:c r="D124" s="28" t="str">
        <x:v>PTC-C</x:v>
      </x:c>
      <x:c r="E124" s="28" t="str">
        <x:v>RFP-C1</x:v>
      </x:c>
      <x:c r="F124" s="28" t="n">
        <x:v>2</x:v>
      </x:c>
      <x:c r="G124" s="31" t="str"/>
      <x:c r="H124" s="31" t="str"/>
      <x:c r="I124" s="31" t="str"/>
      <x:c r="J124" s="28" t="str">
        <x:f>IF(I124="","OPEN",IF(AND(G124&lt;&gt;"",H124&lt;&gt;"",COUNTIFS('Crew Qualifications'!C7:C966,B124,'Crew Qualifications'!J7:J966,"PASS")=4),"PASS","FAIL"))</x:f>
        <x:v>OPEN</x:v>
      </x:c>
    </x:row>
    <x:row r="125">
      <x:c r="B125" s="28" t="str">
        <x:v>DA-119</x:v>
      </x:c>
      <x:c r="C125" s="28" t="str">
        <x:v>rig detachment</x:v>
      </x:c>
      <x:c r="D125" s="28" t="str">
        <x:v>PTC-C</x:v>
      </x:c>
      <x:c r="E125" s="28" t="str">
        <x:v>RFP-C1</x:v>
      </x:c>
      <x:c r="F125" s="28" t="n">
        <x:v>3</x:v>
      </x:c>
      <x:c r="G125" s="31" t="str"/>
      <x:c r="H125" s="31" t="str"/>
      <x:c r="I125" s="31" t="str"/>
      <x:c r="J125" s="28" t="str">
        <x:f>IF(I125="","OPEN",IF(AND(G125&lt;&gt;"",H125&lt;&gt;"",COUNTIFS('Crew Qualifications'!C7:C966,B125,'Crew Qualifications'!J7:J966,"PASS")=4),"PASS","FAIL"))</x:f>
        <x:v>OPEN</x:v>
      </x:c>
    </x:row>
    <x:row r="126">
      <x:c r="B126" s="28" t="str">
        <x:v>DA-120</x:v>
      </x:c>
      <x:c r="C126" s="28" t="str">
        <x:v>rig detachment</x:v>
      </x:c>
      <x:c r="D126" s="28" t="str">
        <x:v>PTC-C</x:v>
      </x:c>
      <x:c r="E126" s="28" t="str">
        <x:v>RFP-C1</x:v>
      </x:c>
      <x:c r="F126" s="28" t="n">
        <x:v>4</x:v>
      </x:c>
      <x:c r="G126" s="31" t="str"/>
      <x:c r="H126" s="31" t="str"/>
      <x:c r="I126" s="31" t="str"/>
      <x:c r="J126" s="28" t="str">
        <x:f>IF(I126="","OPEN",IF(AND(G126&lt;&gt;"",H126&lt;&gt;"",COUNTIFS('Crew Qualifications'!C7:C966,B126,'Crew Qualifications'!J7:J966,"PASS")=4),"PASS","FAIL"))</x:f>
        <x:v>OPEN</x:v>
      </x:c>
    </x:row>
    <x:row r="127">
      <x:c r="B127" s="28" t="str">
        <x:v>DA-121</x:v>
      </x:c>
      <x:c r="C127" s="28" t="str">
        <x:v>rig detachment</x:v>
      </x:c>
      <x:c r="D127" s="28" t="str">
        <x:v>PTC-C</x:v>
      </x:c>
      <x:c r="E127" s="28" t="str">
        <x:v>RFP-C2</x:v>
      </x:c>
      <x:c r="F127" s="28" t="n">
        <x:v>1</x:v>
      </x:c>
      <x:c r="G127" s="31" t="str"/>
      <x:c r="H127" s="31" t="str"/>
      <x:c r="I127" s="31" t="str"/>
      <x:c r="J127" s="28" t="str">
        <x:f>IF(I127="","OPEN",IF(AND(G127&lt;&gt;"",H127&lt;&gt;"",COUNTIFS('Crew Qualifications'!C7:C966,B127,'Crew Qualifications'!J7:J966,"PASS")=4),"PASS","FAIL"))</x:f>
        <x:v>OPEN</x:v>
      </x:c>
    </x:row>
    <x:row r="128">
      <x:c r="B128" s="28" t="str">
        <x:v>DA-122</x:v>
      </x:c>
      <x:c r="C128" s="28" t="str">
        <x:v>rig detachment</x:v>
      </x:c>
      <x:c r="D128" s="28" t="str">
        <x:v>PTC-C</x:v>
      </x:c>
      <x:c r="E128" s="28" t="str">
        <x:v>RFP-C2</x:v>
      </x:c>
      <x:c r="F128" s="28" t="n">
        <x:v>2</x:v>
      </x:c>
      <x:c r="G128" s="31" t="str"/>
      <x:c r="H128" s="31" t="str"/>
      <x:c r="I128" s="31" t="str"/>
      <x:c r="J128" s="28" t="str">
        <x:f>IF(I128="","OPEN",IF(AND(G128&lt;&gt;"",H128&lt;&gt;"",COUNTIFS('Crew Qualifications'!C7:C966,B128,'Crew Qualifications'!J7:J966,"PASS")=4),"PASS","FAIL"))</x:f>
        <x:v>OPEN</x:v>
      </x:c>
    </x:row>
    <x:row r="129">
      <x:c r="B129" s="28" t="str">
        <x:v>DA-123</x:v>
      </x:c>
      <x:c r="C129" s="28" t="str">
        <x:v>rig detachment</x:v>
      </x:c>
      <x:c r="D129" s="28" t="str">
        <x:v>PTC-C</x:v>
      </x:c>
      <x:c r="E129" s="28" t="str">
        <x:v>RFP-C2</x:v>
      </x:c>
      <x:c r="F129" s="28" t="n">
        <x:v>3</x:v>
      </x:c>
      <x:c r="G129" s="31" t="str"/>
      <x:c r="H129" s="31" t="str"/>
      <x:c r="I129" s="31" t="str"/>
      <x:c r="J129" s="28" t="str">
        <x:f>IF(I129="","OPEN",IF(AND(G129&lt;&gt;"",H129&lt;&gt;"",COUNTIFS('Crew Qualifications'!C7:C966,B129,'Crew Qualifications'!J7:J966,"PASS")=4),"PASS","FAIL"))</x:f>
        <x:v>OPEN</x:v>
      </x:c>
    </x:row>
    <x:row r="130">
      <x:c r="B130" s="28" t="str">
        <x:v>DA-124</x:v>
      </x:c>
      <x:c r="C130" s="28" t="str">
        <x:v>rig detachment</x:v>
      </x:c>
      <x:c r="D130" s="28" t="str">
        <x:v>PTC-C</x:v>
      </x:c>
      <x:c r="E130" s="28" t="str">
        <x:v>RFP-C2</x:v>
      </x:c>
      <x:c r="F130" s="28" t="n">
        <x:v>4</x:v>
      </x:c>
      <x:c r="G130" s="31" t="str"/>
      <x:c r="H130" s="31" t="str"/>
      <x:c r="I130" s="31" t="str"/>
      <x:c r="J130" s="28" t="str">
        <x:f>IF(I130="","OPEN",IF(AND(G130&lt;&gt;"",H130&lt;&gt;"",COUNTIFS('Crew Qualifications'!C7:C966,B130,'Crew Qualifications'!J7:J966,"PASS")=4),"PASS","FAIL"))</x:f>
        <x:v>OPEN</x:v>
      </x:c>
    </x:row>
    <x:row r="131">
      <x:c r="B131" s="28" t="str">
        <x:v>DA-125</x:v>
      </x:c>
      <x:c r="C131" s="28" t="str">
        <x:v>rig detachment</x:v>
      </x:c>
      <x:c r="D131" s="28" t="str">
        <x:v>PTC-C</x:v>
      </x:c>
      <x:c r="E131" s="28" t="str">
        <x:v>RFP-C2</x:v>
      </x:c>
      <x:c r="F131" s="28" t="n">
        <x:v>1</x:v>
      </x:c>
      <x:c r="G131" s="31" t="str"/>
      <x:c r="H131" s="31" t="str"/>
      <x:c r="I131" s="31" t="str"/>
      <x:c r="J131" s="28" t="str">
        <x:f>IF(I131="","OPEN",IF(AND(G131&lt;&gt;"",H131&lt;&gt;"",COUNTIFS('Crew Qualifications'!C7:C966,B131,'Crew Qualifications'!J7:J966,"PASS")=4),"PASS","FAIL"))</x:f>
        <x:v>OPEN</x:v>
      </x:c>
    </x:row>
    <x:row r="132">
      <x:c r="B132" s="28" t="str">
        <x:v>DA-126</x:v>
      </x:c>
      <x:c r="C132" s="28" t="str">
        <x:v>rig detachment</x:v>
      </x:c>
      <x:c r="D132" s="28" t="str">
        <x:v>PTC-C</x:v>
      </x:c>
      <x:c r="E132" s="28" t="str">
        <x:v>RFP-C2</x:v>
      </x:c>
      <x:c r="F132" s="28" t="n">
        <x:v>2</x:v>
      </x:c>
      <x:c r="G132" s="31" t="str"/>
      <x:c r="H132" s="31" t="str"/>
      <x:c r="I132" s="31" t="str"/>
      <x:c r="J132" s="28" t="str">
        <x:f>IF(I132="","OPEN",IF(AND(G132&lt;&gt;"",H132&lt;&gt;"",COUNTIFS('Crew Qualifications'!C7:C966,B132,'Crew Qualifications'!J7:J966,"PASS")=4),"PASS","FAIL"))</x:f>
        <x:v>OPEN</x:v>
      </x:c>
    </x:row>
    <x:row r="133">
      <x:c r="B133" s="28" t="str">
        <x:v>DA-127</x:v>
      </x:c>
      <x:c r="C133" s="28" t="str">
        <x:v>rig detachment</x:v>
      </x:c>
      <x:c r="D133" s="28" t="str">
        <x:v>PTC-C</x:v>
      </x:c>
      <x:c r="E133" s="28" t="str">
        <x:v>RFP-C2</x:v>
      </x:c>
      <x:c r="F133" s="28" t="n">
        <x:v>3</x:v>
      </x:c>
      <x:c r="G133" s="31" t="str"/>
      <x:c r="H133" s="31" t="str"/>
      <x:c r="I133" s="31" t="str"/>
      <x:c r="J133" s="28" t="str">
        <x:f>IF(I133="","OPEN",IF(AND(G133&lt;&gt;"",H133&lt;&gt;"",COUNTIFS('Crew Qualifications'!C7:C966,B133,'Crew Qualifications'!J7:J966,"PASS")=4),"PASS","FAIL"))</x:f>
        <x:v>OPEN</x:v>
      </x:c>
    </x:row>
    <x:row r="134">
      <x:c r="B134" s="28" t="str">
        <x:v>DA-128</x:v>
      </x:c>
      <x:c r="C134" s="28" t="str">
        <x:v>rig detachment</x:v>
      </x:c>
      <x:c r="D134" s="28" t="str">
        <x:v>PTC-C</x:v>
      </x:c>
      <x:c r="E134" s="28" t="str">
        <x:v>RFP-C2</x:v>
      </x:c>
      <x:c r="F134" s="28" t="n">
        <x:v>4</x:v>
      </x:c>
      <x:c r="G134" s="31" t="str"/>
      <x:c r="H134" s="31" t="str"/>
      <x:c r="I134" s="31" t="str"/>
      <x:c r="J134" s="28" t="str">
        <x:f>IF(I134="","OPEN",IF(AND(G134&lt;&gt;"",H134&lt;&gt;"",COUNTIFS('Crew Qualifications'!C7:C966,B134,'Crew Qualifications'!J7:J966,"PASS")=4),"PASS","FAIL"))</x:f>
        <x:v>OPEN</x:v>
      </x:c>
    </x:row>
    <x:row r="135">
      <x:c r="B135" s="28" t="str">
        <x:v>DA-129</x:v>
      </x:c>
      <x:c r="C135" s="28" t="str">
        <x:v>rig detachment</x:v>
      </x:c>
      <x:c r="D135" s="28" t="str">
        <x:v>PTC-C</x:v>
      </x:c>
      <x:c r="E135" s="28" t="str">
        <x:v>RFP-C2</x:v>
      </x:c>
      <x:c r="F135" s="28" t="n">
        <x:v>1</x:v>
      </x:c>
      <x:c r="G135" s="31" t="str"/>
      <x:c r="H135" s="31" t="str"/>
      <x:c r="I135" s="31" t="str"/>
      <x:c r="J135" s="28" t="str">
        <x:f>IF(I135="","OPEN",IF(AND(G135&lt;&gt;"",H135&lt;&gt;"",COUNTIFS('Crew Qualifications'!C7:C966,B135,'Crew Qualifications'!J7:J966,"PASS")=4),"PASS","FAIL"))</x:f>
        <x:v>OPEN</x:v>
      </x:c>
    </x:row>
    <x:row r="136">
      <x:c r="B136" s="28" t="str">
        <x:v>DA-130</x:v>
      </x:c>
      <x:c r="C136" s="28" t="str">
        <x:v>rig detachment</x:v>
      </x:c>
      <x:c r="D136" s="28" t="str">
        <x:v>PTC-C</x:v>
      </x:c>
      <x:c r="E136" s="28" t="str">
        <x:v>RFP-C2</x:v>
      </x:c>
      <x:c r="F136" s="28" t="n">
        <x:v>2</x:v>
      </x:c>
      <x:c r="G136" s="31" t="str"/>
      <x:c r="H136" s="31" t="str"/>
      <x:c r="I136" s="31" t="str"/>
      <x:c r="J136" s="28" t="str">
        <x:f>IF(I136="","OPEN",IF(AND(G136&lt;&gt;"",H136&lt;&gt;"",COUNTIFS('Crew Qualifications'!C7:C966,B136,'Crew Qualifications'!J7:J966,"PASS")=4),"PASS","FAIL"))</x:f>
        <x:v>OPEN</x:v>
      </x:c>
    </x:row>
    <x:row r="137">
      <x:c r="B137" s="28" t="str">
        <x:v>DA-131</x:v>
      </x:c>
      <x:c r="C137" s="28" t="str">
        <x:v>rig detachment</x:v>
      </x:c>
      <x:c r="D137" s="28" t="str">
        <x:v>PTC-C</x:v>
      </x:c>
      <x:c r="E137" s="28" t="str">
        <x:v>RFP-C2</x:v>
      </x:c>
      <x:c r="F137" s="28" t="n">
        <x:v>3</x:v>
      </x:c>
      <x:c r="G137" s="31" t="str"/>
      <x:c r="H137" s="31" t="str"/>
      <x:c r="I137" s="31" t="str"/>
      <x:c r="J137" s="28" t="str">
        <x:f>IF(I137="","OPEN",IF(AND(G137&lt;&gt;"",H137&lt;&gt;"",COUNTIFS('Crew Qualifications'!C7:C966,B137,'Crew Qualifications'!J7:J966,"PASS")=4),"PASS","FAIL"))</x:f>
        <x:v>OPEN</x:v>
      </x:c>
    </x:row>
    <x:row r="138">
      <x:c r="B138" s="28" t="str">
        <x:v>DA-132</x:v>
      </x:c>
      <x:c r="C138" s="28" t="str">
        <x:v>rig detachment</x:v>
      </x:c>
      <x:c r="D138" s="28" t="str">
        <x:v>PTC-C</x:v>
      </x:c>
      <x:c r="E138" s="28" t="str">
        <x:v>RFP-C2</x:v>
      </x:c>
      <x:c r="F138" s="28" t="n">
        <x:v>4</x:v>
      </x:c>
      <x:c r="G138" s="31" t="str"/>
      <x:c r="H138" s="31" t="str"/>
      <x:c r="I138" s="31" t="str"/>
      <x:c r="J138" s="28" t="str">
        <x:f>IF(I138="","OPEN",IF(AND(G138&lt;&gt;"",H138&lt;&gt;"",COUNTIFS('Crew Qualifications'!C7:C966,B138,'Crew Qualifications'!J7:J966,"PASS")=4),"PASS","FAIL"))</x:f>
        <x:v>OPEN</x:v>
      </x:c>
    </x:row>
    <x:row r="139">
      <x:c r="B139" s="28" t="str">
        <x:v>DA-133</x:v>
      </x:c>
      <x:c r="C139" s="28" t="str">
        <x:v>rig detachment</x:v>
      </x:c>
      <x:c r="D139" s="28" t="str">
        <x:v>PTC-C</x:v>
      </x:c>
      <x:c r="E139" s="28" t="str">
        <x:v>RFP-C2</x:v>
      </x:c>
      <x:c r="F139" s="28" t="n">
        <x:v>1</x:v>
      </x:c>
      <x:c r="G139" s="31" t="str"/>
      <x:c r="H139" s="31" t="str"/>
      <x:c r="I139" s="31" t="str"/>
      <x:c r="J139" s="28" t="str">
        <x:f>IF(I139="","OPEN",IF(AND(G139&lt;&gt;"",H139&lt;&gt;"",COUNTIFS('Crew Qualifications'!C7:C966,B139,'Crew Qualifications'!J7:J966,"PASS")=4),"PASS","FAIL"))</x:f>
        <x:v>OPEN</x:v>
      </x:c>
    </x:row>
    <x:row r="140">
      <x:c r="B140" s="28" t="str">
        <x:v>DA-134</x:v>
      </x:c>
      <x:c r="C140" s="28" t="str">
        <x:v>rig detachment</x:v>
      </x:c>
      <x:c r="D140" s="28" t="str">
        <x:v>PTC-C</x:v>
      </x:c>
      <x:c r="E140" s="28" t="str">
        <x:v>RFP-C2</x:v>
      </x:c>
      <x:c r="F140" s="28" t="n">
        <x:v>2</x:v>
      </x:c>
      <x:c r="G140" s="31" t="str"/>
      <x:c r="H140" s="31" t="str"/>
      <x:c r="I140" s="31" t="str"/>
      <x:c r="J140" s="28" t="str">
        <x:f>IF(I140="","OPEN",IF(AND(G140&lt;&gt;"",H140&lt;&gt;"",COUNTIFS('Crew Qualifications'!C7:C966,B140,'Crew Qualifications'!J7:J966,"PASS")=4),"PASS","FAIL"))</x:f>
        <x:v>OPEN</x:v>
      </x:c>
    </x:row>
    <x:row r="141">
      <x:c r="B141" s="28" t="str">
        <x:v>DA-135</x:v>
      </x:c>
      <x:c r="C141" s="28" t="str">
        <x:v>rig detachment</x:v>
      </x:c>
      <x:c r="D141" s="28" t="str">
        <x:v>PTC-C</x:v>
      </x:c>
      <x:c r="E141" s="28" t="str">
        <x:v>RFP-C2</x:v>
      </x:c>
      <x:c r="F141" s="28" t="n">
        <x:v>3</x:v>
      </x:c>
      <x:c r="G141" s="31" t="str"/>
      <x:c r="H141" s="31" t="str"/>
      <x:c r="I141" s="31" t="str"/>
      <x:c r="J141" s="28" t="str">
        <x:f>IF(I141="","OPEN",IF(AND(G141&lt;&gt;"",H141&lt;&gt;"",COUNTIFS('Crew Qualifications'!C7:C966,B141,'Crew Qualifications'!J7:J966,"PASS")=4),"PASS","FAIL"))</x:f>
        <x:v>OPEN</x:v>
      </x:c>
    </x:row>
    <x:row r="142">
      <x:c r="B142" s="28" t="str">
        <x:v>DA-136</x:v>
      </x:c>
      <x:c r="C142" s="28" t="str">
        <x:v>rig detachment</x:v>
      </x:c>
      <x:c r="D142" s="28" t="str">
        <x:v>PTC-C</x:v>
      </x:c>
      <x:c r="E142" s="28" t="str">
        <x:v>RFP-C2</x:v>
      </x:c>
      <x:c r="F142" s="28" t="n">
        <x:v>4</x:v>
      </x:c>
      <x:c r="G142" s="31" t="str"/>
      <x:c r="H142" s="31" t="str"/>
      <x:c r="I142" s="31" t="str"/>
      <x:c r="J142" s="28" t="str">
        <x:f>IF(I142="","OPEN",IF(AND(G142&lt;&gt;"",H142&lt;&gt;"",COUNTIFS('Crew Qualifications'!C7:C966,B142,'Crew Qualifications'!J7:J966,"PASS")=4),"PASS","FAIL"))</x:f>
        <x:v>OPEN</x:v>
      </x:c>
    </x:row>
    <x:row r="143">
      <x:c r="B143" s="28" t="str">
        <x:v>DA-137</x:v>
      </x:c>
      <x:c r="C143" s="28" t="str">
        <x:v>rig detachment</x:v>
      </x:c>
      <x:c r="D143" s="28" t="str">
        <x:v>PTC-C</x:v>
      </x:c>
      <x:c r="E143" s="28" t="str">
        <x:v>RFP-C2</x:v>
      </x:c>
      <x:c r="F143" s="28" t="n">
        <x:v>1</x:v>
      </x:c>
      <x:c r="G143" s="31" t="str"/>
      <x:c r="H143" s="31" t="str"/>
      <x:c r="I143" s="31" t="str"/>
      <x:c r="J143" s="28" t="str">
        <x:f>IF(I143="","OPEN",IF(AND(G143&lt;&gt;"",H143&lt;&gt;"",COUNTIFS('Crew Qualifications'!C7:C966,B143,'Crew Qualifications'!J7:J966,"PASS")=4),"PASS","FAIL"))</x:f>
        <x:v>OPEN</x:v>
      </x:c>
    </x:row>
    <x:row r="144">
      <x:c r="B144" s="28" t="str">
        <x:v>DA-138</x:v>
      </x:c>
      <x:c r="C144" s="28" t="str">
        <x:v>rig detachment</x:v>
      </x:c>
      <x:c r="D144" s="28" t="str">
        <x:v>PTC-C</x:v>
      </x:c>
      <x:c r="E144" s="28" t="str">
        <x:v>RFP-C2</x:v>
      </x:c>
      <x:c r="F144" s="28" t="n">
        <x:v>2</x:v>
      </x:c>
      <x:c r="G144" s="31" t="str"/>
      <x:c r="H144" s="31" t="str"/>
      <x:c r="I144" s="31" t="str"/>
      <x:c r="J144" s="28" t="str">
        <x:f>IF(I144="","OPEN",IF(AND(G144&lt;&gt;"",H144&lt;&gt;"",COUNTIFS('Crew Qualifications'!C7:C966,B144,'Crew Qualifications'!J7:J966,"PASS")=4),"PASS","FAIL"))</x:f>
        <x:v>OPEN</x:v>
      </x:c>
    </x:row>
    <x:row r="145">
      <x:c r="B145" s="28" t="str">
        <x:v>DA-139</x:v>
      </x:c>
      <x:c r="C145" s="28" t="str">
        <x:v>rig detachment</x:v>
      </x:c>
      <x:c r="D145" s="28" t="str">
        <x:v>PTC-C</x:v>
      </x:c>
      <x:c r="E145" s="28" t="str">
        <x:v>RFP-C2</x:v>
      </x:c>
      <x:c r="F145" s="28" t="n">
        <x:v>3</x:v>
      </x:c>
      <x:c r="G145" s="31" t="str"/>
      <x:c r="H145" s="31" t="str"/>
      <x:c r="I145" s="31" t="str"/>
      <x:c r="J145" s="28" t="str">
        <x:f>IF(I145="","OPEN",IF(AND(G145&lt;&gt;"",H145&lt;&gt;"",COUNTIFS('Crew Qualifications'!C7:C966,B145,'Crew Qualifications'!J7:J966,"PASS")=4),"PASS","FAIL"))</x:f>
        <x:v>OPEN</x:v>
      </x:c>
    </x:row>
    <x:row r="146">
      <x:c r="B146" s="28" t="str">
        <x:v>DA-140</x:v>
      </x:c>
      <x:c r="C146" s="28" t="str">
        <x:v>rig detachment</x:v>
      </x:c>
      <x:c r="D146" s="28" t="str">
        <x:v>PTC-C</x:v>
      </x:c>
      <x:c r="E146" s="28" t="str">
        <x:v>RFP-C2</x:v>
      </x:c>
      <x:c r="F146" s="28" t="n">
        <x:v>4</x:v>
      </x:c>
      <x:c r="G146" s="31" t="str"/>
      <x:c r="H146" s="31" t="str"/>
      <x:c r="I146" s="31" t="str"/>
      <x:c r="J146" s="28" t="str">
        <x:f>IF(I146="","OPEN",IF(AND(G146&lt;&gt;"",H146&lt;&gt;"",COUNTIFS('Crew Qualifications'!C7:C966,B146,'Crew Qualifications'!J7:J966,"PASS")=4),"PASS","FAIL"))</x:f>
        <x:v>OPEN</x:v>
      </x:c>
    </x:row>
    <x:row r="147">
      <x:c r="B147" s="28" t="str">
        <x:v>DA-141</x:v>
      </x:c>
      <x:c r="C147" s="28" t="str">
        <x:v>rig detachment</x:v>
      </x:c>
      <x:c r="D147" s="28" t="str">
        <x:v>PTC-C</x:v>
      </x:c>
      <x:c r="E147" s="28" t="str">
        <x:v>RFP-C2</x:v>
      </x:c>
      <x:c r="F147" s="28" t="n">
        <x:v>1</x:v>
      </x:c>
      <x:c r="G147" s="31" t="str"/>
      <x:c r="H147" s="31" t="str"/>
      <x:c r="I147" s="31" t="str"/>
      <x:c r="J147" s="28" t="str">
        <x:f>IF(I147="","OPEN",IF(AND(G147&lt;&gt;"",H147&lt;&gt;"",COUNTIFS('Crew Qualifications'!C7:C966,B147,'Crew Qualifications'!J7:J966,"PASS")=4),"PASS","FAIL"))</x:f>
        <x:v>OPEN</x:v>
      </x:c>
    </x:row>
    <x:row r="148">
      <x:c r="B148" s="28" t="str">
        <x:v>DA-142</x:v>
      </x:c>
      <x:c r="C148" s="28" t="str">
        <x:v>rig detachment</x:v>
      </x:c>
      <x:c r="D148" s="28" t="str">
        <x:v>PTC-C</x:v>
      </x:c>
      <x:c r="E148" s="28" t="str">
        <x:v>RFP-C2</x:v>
      </x:c>
      <x:c r="F148" s="28" t="n">
        <x:v>2</x:v>
      </x:c>
      <x:c r="G148" s="31" t="str"/>
      <x:c r="H148" s="31" t="str"/>
      <x:c r="I148" s="31" t="str"/>
      <x:c r="J148" s="28" t="str">
        <x:f>IF(I148="","OPEN",IF(AND(G148&lt;&gt;"",H148&lt;&gt;"",COUNTIFS('Crew Qualifications'!C7:C966,B148,'Crew Qualifications'!J7:J966,"PASS")=4),"PASS","FAIL"))</x:f>
        <x:v>OPEN</x:v>
      </x:c>
    </x:row>
    <x:row r="149">
      <x:c r="B149" s="28" t="str">
        <x:v>DA-143</x:v>
      </x:c>
      <x:c r="C149" s="28" t="str">
        <x:v>rig detachment</x:v>
      </x:c>
      <x:c r="D149" s="28" t="str">
        <x:v>PTC-C</x:v>
      </x:c>
      <x:c r="E149" s="28" t="str">
        <x:v>RFP-C2</x:v>
      </x:c>
      <x:c r="F149" s="28" t="n">
        <x:v>3</x:v>
      </x:c>
      <x:c r="G149" s="31" t="str"/>
      <x:c r="H149" s="31" t="str"/>
      <x:c r="I149" s="31" t="str"/>
      <x:c r="J149" s="28" t="str">
        <x:f>IF(I149="","OPEN",IF(AND(G149&lt;&gt;"",H149&lt;&gt;"",COUNTIFS('Crew Qualifications'!C7:C966,B149,'Crew Qualifications'!J7:J966,"PASS")=4),"PASS","FAIL"))</x:f>
        <x:v>OPEN</x:v>
      </x:c>
    </x:row>
    <x:row r="150">
      <x:c r="B150" s="28" t="str">
        <x:v>DA-144</x:v>
      </x:c>
      <x:c r="C150" s="28" t="str">
        <x:v>rig detachment</x:v>
      </x:c>
      <x:c r="D150" s="28" t="str">
        <x:v>PTC-C</x:v>
      </x:c>
      <x:c r="E150" s="28" t="str">
        <x:v>RFP-C2</x:v>
      </x:c>
      <x:c r="F150" s="28" t="n">
        <x:v>4</x:v>
      </x:c>
      <x:c r="G150" s="31" t="str"/>
      <x:c r="H150" s="31" t="str"/>
      <x:c r="I150" s="31" t="str"/>
      <x:c r="J150" s="28" t="str">
        <x:f>IF(I150="","OPEN",IF(AND(G150&lt;&gt;"",H150&lt;&gt;"",COUNTIFS('Crew Qualifications'!C7:C966,B150,'Crew Qualifications'!J7:J966,"PASS")=4),"PASS","FAIL"))</x:f>
        <x:v>OPEN</x:v>
      </x:c>
    </x:row>
    <x:row r="151">
      <x:c r="B151" s="28" t="str">
        <x:v>DA-145</x:v>
      </x:c>
      <x:c r="C151" s="28" t="str">
        <x:v>campus service cell</x:v>
      </x:c>
      <x:c r="D151" s="28" t="str">
        <x:v>PTC-A</x:v>
      </x:c>
      <x:c r="E151" s="28" t="str">
        <x:v>CAMPUS</x:v>
      </x:c>
      <x:c r="F151" s="28" t="n">
        <x:v>1</x:v>
      </x:c>
      <x:c r="G151" s="31" t="str"/>
      <x:c r="H151" s="31" t="str"/>
      <x:c r="I151" s="31" t="str"/>
      <x:c r="J151" s="28" t="str">
        <x:f>IF(I151="","OPEN",IF(AND(G151&lt;&gt;"",H151&lt;&gt;"",COUNTIFS('Crew Qualifications'!C7:C966,B151,'Crew Qualifications'!J7:J966,"PASS")=4),"PASS","FAIL"))</x:f>
        <x:v>OPEN</x:v>
      </x:c>
    </x:row>
    <x:row r="152">
      <x:c r="B152" s="28" t="str">
        <x:v>DA-146</x:v>
      </x:c>
      <x:c r="C152" s="28" t="str">
        <x:v>campus service cell</x:v>
      </x:c>
      <x:c r="D152" s="28" t="str">
        <x:v>PTC-A</x:v>
      </x:c>
      <x:c r="E152" s="28" t="str">
        <x:v>CAMPUS</x:v>
      </x:c>
      <x:c r="F152" s="28" t="n">
        <x:v>2</x:v>
      </x:c>
      <x:c r="G152" s="31" t="str"/>
      <x:c r="H152" s="31" t="str"/>
      <x:c r="I152" s="31" t="str"/>
      <x:c r="J152" s="28" t="str">
        <x:f>IF(I152="","OPEN",IF(AND(G152&lt;&gt;"",H152&lt;&gt;"",COUNTIFS('Crew Qualifications'!C7:C966,B152,'Crew Qualifications'!J7:J966,"PASS")=4),"PASS","FAIL"))</x:f>
        <x:v>OPEN</x:v>
      </x:c>
    </x:row>
    <x:row r="153">
      <x:c r="B153" s="28" t="str">
        <x:v>DA-147</x:v>
      </x:c>
      <x:c r="C153" s="28" t="str">
        <x:v>campus service cell</x:v>
      </x:c>
      <x:c r="D153" s="28" t="str">
        <x:v>PTC-A</x:v>
      </x:c>
      <x:c r="E153" s="28" t="str">
        <x:v>CAMPUS</x:v>
      </x:c>
      <x:c r="F153" s="28" t="n">
        <x:v>3</x:v>
      </x:c>
      <x:c r="G153" s="31" t="str"/>
      <x:c r="H153" s="31" t="str"/>
      <x:c r="I153" s="31" t="str"/>
      <x:c r="J153" s="28" t="str">
        <x:f>IF(I153="","OPEN",IF(AND(G153&lt;&gt;"",H153&lt;&gt;"",COUNTIFS('Crew Qualifications'!C7:C966,B153,'Crew Qualifications'!J7:J966,"PASS")=4),"PASS","FAIL"))</x:f>
        <x:v>OPEN</x:v>
      </x:c>
    </x:row>
    <x:row r="154">
      <x:c r="B154" s="28" t="str">
        <x:v>DA-148</x:v>
      </x:c>
      <x:c r="C154" s="28" t="str">
        <x:v>campus service cell</x:v>
      </x:c>
      <x:c r="D154" s="28" t="str">
        <x:v>PTC-A</x:v>
      </x:c>
      <x:c r="E154" s="28" t="str">
        <x:v>CAMPUS</x:v>
      </x:c>
      <x:c r="F154" s="28" t="n">
        <x:v>4</x:v>
      </x:c>
      <x:c r="G154" s="31" t="str"/>
      <x:c r="H154" s="31" t="str"/>
      <x:c r="I154" s="31" t="str"/>
      <x:c r="J154" s="28" t="str">
        <x:f>IF(I154="","OPEN",IF(AND(G154&lt;&gt;"",H154&lt;&gt;"",COUNTIFS('Crew Qualifications'!C7:C966,B154,'Crew Qualifications'!J7:J966,"PASS")=4),"PASS","FAIL"))</x:f>
        <x:v>OPEN</x:v>
      </x:c>
    </x:row>
    <x:row r="155">
      <x:c r="B155" s="28" t="str">
        <x:v>DA-149</x:v>
      </x:c>
      <x:c r="C155" s="28" t="str">
        <x:v>campus service cell</x:v>
      </x:c>
      <x:c r="D155" s="28" t="str">
        <x:v>PTC-A</x:v>
      </x:c>
      <x:c r="E155" s="28" t="str">
        <x:v>CAMPUS</x:v>
      </x:c>
      <x:c r="F155" s="28" t="n">
        <x:v>1</x:v>
      </x:c>
      <x:c r="G155" s="31" t="str"/>
      <x:c r="H155" s="31" t="str"/>
      <x:c r="I155" s="31" t="str"/>
      <x:c r="J155" s="28" t="str">
        <x:f>IF(I155="","OPEN",IF(AND(G155&lt;&gt;"",H155&lt;&gt;"",COUNTIFS('Crew Qualifications'!C7:C966,B155,'Crew Qualifications'!J7:J966,"PASS")=4),"PASS","FAIL"))</x:f>
        <x:v>OPEN</x:v>
      </x:c>
    </x:row>
    <x:row r="156">
      <x:c r="B156" s="28" t="str">
        <x:v>DA-150</x:v>
      </x:c>
      <x:c r="C156" s="28" t="str">
        <x:v>campus service cell</x:v>
      </x:c>
      <x:c r="D156" s="28" t="str">
        <x:v>PTC-A</x:v>
      </x:c>
      <x:c r="E156" s="28" t="str">
        <x:v>CAMPUS</x:v>
      </x:c>
      <x:c r="F156" s="28" t="n">
        <x:v>2</x:v>
      </x:c>
      <x:c r="G156" s="31" t="str"/>
      <x:c r="H156" s="31" t="str"/>
      <x:c r="I156" s="31" t="str"/>
      <x:c r="J156" s="28" t="str">
        <x:f>IF(I156="","OPEN",IF(AND(G156&lt;&gt;"",H156&lt;&gt;"",COUNTIFS('Crew Qualifications'!C7:C966,B156,'Crew Qualifications'!J7:J966,"PASS")=4),"PASS","FAIL"))</x:f>
        <x:v>OPEN</x:v>
      </x:c>
    </x:row>
    <x:row r="157">
      <x:c r="B157" s="28" t="str">
        <x:v>DA-151</x:v>
      </x:c>
      <x:c r="C157" s="28" t="str">
        <x:v>campus service cell</x:v>
      </x:c>
      <x:c r="D157" s="28" t="str">
        <x:v>PTC-A</x:v>
      </x:c>
      <x:c r="E157" s="28" t="str">
        <x:v>CAMPUS</x:v>
      </x:c>
      <x:c r="F157" s="28" t="n">
        <x:v>3</x:v>
      </x:c>
      <x:c r="G157" s="31" t="str"/>
      <x:c r="H157" s="31" t="str"/>
      <x:c r="I157" s="31" t="str"/>
      <x:c r="J157" s="28" t="str">
        <x:f>IF(I157="","OPEN",IF(AND(G157&lt;&gt;"",H157&lt;&gt;"",COUNTIFS('Crew Qualifications'!C7:C966,B157,'Crew Qualifications'!J7:J966,"PASS")=4),"PASS","FAIL"))</x:f>
        <x:v>OPEN</x:v>
      </x:c>
    </x:row>
    <x:row r="158">
      <x:c r="B158" s="28" t="str">
        <x:v>DA-152</x:v>
      </x:c>
      <x:c r="C158" s="28" t="str">
        <x:v>campus service cell</x:v>
      </x:c>
      <x:c r="D158" s="28" t="str">
        <x:v>PTC-A</x:v>
      </x:c>
      <x:c r="E158" s="28" t="str">
        <x:v>CAMPUS</x:v>
      </x:c>
      <x:c r="F158" s="28" t="n">
        <x:v>4</x:v>
      </x:c>
      <x:c r="G158" s="31" t="str"/>
      <x:c r="H158" s="31" t="str"/>
      <x:c r="I158" s="31" t="str"/>
      <x:c r="J158" s="28" t="str">
        <x:f>IF(I158="","OPEN",IF(AND(G158&lt;&gt;"",H158&lt;&gt;"",COUNTIFS('Crew Qualifications'!C7:C966,B158,'Crew Qualifications'!J7:J966,"PASS")=4),"PASS","FAIL"))</x:f>
        <x:v>OPEN</x:v>
      </x:c>
    </x:row>
    <x:row r="159">
      <x:c r="B159" s="28" t="str">
        <x:v>DA-153</x:v>
      </x:c>
      <x:c r="C159" s="28" t="str">
        <x:v>campus service cell</x:v>
      </x:c>
      <x:c r="D159" s="28" t="str">
        <x:v>PTC-A</x:v>
      </x:c>
      <x:c r="E159" s="28" t="str">
        <x:v>CAMPUS</x:v>
      </x:c>
      <x:c r="F159" s="28" t="n">
        <x:v>1</x:v>
      </x:c>
      <x:c r="G159" s="31" t="str"/>
      <x:c r="H159" s="31" t="str"/>
      <x:c r="I159" s="31" t="str"/>
      <x:c r="J159" s="28" t="str">
        <x:f>IF(I159="","OPEN",IF(AND(G159&lt;&gt;"",H159&lt;&gt;"",COUNTIFS('Crew Qualifications'!C7:C966,B159,'Crew Qualifications'!J7:J966,"PASS")=4),"PASS","FAIL"))</x:f>
        <x:v>OPEN</x:v>
      </x:c>
    </x:row>
    <x:row r="160">
      <x:c r="B160" s="28" t="str">
        <x:v>DA-154</x:v>
      </x:c>
      <x:c r="C160" s="28" t="str">
        <x:v>campus service cell</x:v>
      </x:c>
      <x:c r="D160" s="28" t="str">
        <x:v>PTC-A</x:v>
      </x:c>
      <x:c r="E160" s="28" t="str">
        <x:v>CAMPUS</x:v>
      </x:c>
      <x:c r="F160" s="28" t="n">
        <x:v>2</x:v>
      </x:c>
      <x:c r="G160" s="31" t="str"/>
      <x:c r="H160" s="31" t="str"/>
      <x:c r="I160" s="31" t="str"/>
      <x:c r="J160" s="28" t="str">
        <x:f>IF(I160="","OPEN",IF(AND(G160&lt;&gt;"",H160&lt;&gt;"",COUNTIFS('Crew Qualifications'!C7:C966,B160,'Crew Qualifications'!J7:J966,"PASS")=4),"PASS","FAIL"))</x:f>
        <x:v>OPEN</x:v>
      </x:c>
    </x:row>
    <x:row r="161">
      <x:c r="B161" s="28" t="str">
        <x:v>DA-155</x:v>
      </x:c>
      <x:c r="C161" s="28" t="str">
        <x:v>campus service cell</x:v>
      </x:c>
      <x:c r="D161" s="28" t="str">
        <x:v>PTC-A</x:v>
      </x:c>
      <x:c r="E161" s="28" t="str">
        <x:v>CAMPUS</x:v>
      </x:c>
      <x:c r="F161" s="28" t="n">
        <x:v>3</x:v>
      </x:c>
      <x:c r="G161" s="31" t="str"/>
      <x:c r="H161" s="31" t="str"/>
      <x:c r="I161" s="31" t="str"/>
      <x:c r="J161" s="28" t="str">
        <x:f>IF(I161="","OPEN",IF(AND(G161&lt;&gt;"",H161&lt;&gt;"",COUNTIFS('Crew Qualifications'!C7:C966,B161,'Crew Qualifications'!J7:J966,"PASS")=4),"PASS","FAIL"))</x:f>
        <x:v>OPEN</x:v>
      </x:c>
    </x:row>
    <x:row r="162">
      <x:c r="B162" s="28" t="str">
        <x:v>DA-156</x:v>
      </x:c>
      <x:c r="C162" s="28" t="str">
        <x:v>campus service cell</x:v>
      </x:c>
      <x:c r="D162" s="28" t="str">
        <x:v>PTC-A</x:v>
      </x:c>
      <x:c r="E162" s="28" t="str">
        <x:v>CAMPUS</x:v>
      </x:c>
      <x:c r="F162" s="28" t="n">
        <x:v>4</x:v>
      </x:c>
      <x:c r="G162" s="31" t="str"/>
      <x:c r="H162" s="31" t="str"/>
      <x:c r="I162" s="31" t="str"/>
      <x:c r="J162" s="28" t="str">
        <x:f>IF(I162="","OPEN",IF(AND(G162&lt;&gt;"",H162&lt;&gt;"",COUNTIFS('Crew Qualifications'!C7:C966,B162,'Crew Qualifications'!J7:J966,"PASS")=4),"PASS","FAIL"))</x:f>
        <x:v>OPEN</x:v>
      </x:c>
    </x:row>
    <x:row r="163">
      <x:c r="B163" s="28" t="str">
        <x:v>DA-157</x:v>
      </x:c>
      <x:c r="C163" s="28" t="str">
        <x:v>campus service cell</x:v>
      </x:c>
      <x:c r="D163" s="28" t="str">
        <x:v>PTC-A</x:v>
      </x:c>
      <x:c r="E163" s="28" t="str">
        <x:v>CAMPUS</x:v>
      </x:c>
      <x:c r="F163" s="28" t="n">
        <x:v>1</x:v>
      </x:c>
      <x:c r="G163" s="31" t="str"/>
      <x:c r="H163" s="31" t="str"/>
      <x:c r="I163" s="31" t="str"/>
      <x:c r="J163" s="28" t="str">
        <x:f>IF(I163="","OPEN",IF(AND(G163&lt;&gt;"",H163&lt;&gt;"",COUNTIFS('Crew Qualifications'!C7:C966,B163,'Crew Qualifications'!J7:J966,"PASS")=4),"PASS","FAIL"))</x:f>
        <x:v>OPEN</x:v>
      </x:c>
    </x:row>
    <x:row r="164">
      <x:c r="B164" s="28" t="str">
        <x:v>DA-158</x:v>
      </x:c>
      <x:c r="C164" s="28" t="str">
        <x:v>campus service cell</x:v>
      </x:c>
      <x:c r="D164" s="28" t="str">
        <x:v>PTC-A</x:v>
      </x:c>
      <x:c r="E164" s="28" t="str">
        <x:v>CAMPUS</x:v>
      </x:c>
      <x:c r="F164" s="28" t="n">
        <x:v>2</x:v>
      </x:c>
      <x:c r="G164" s="31" t="str"/>
      <x:c r="H164" s="31" t="str"/>
      <x:c r="I164" s="31" t="str"/>
      <x:c r="J164" s="28" t="str">
        <x:f>IF(I164="","OPEN",IF(AND(G164&lt;&gt;"",H164&lt;&gt;"",COUNTIFS('Crew Qualifications'!C7:C966,B164,'Crew Qualifications'!J7:J966,"PASS")=4),"PASS","FAIL"))</x:f>
        <x:v>OPEN</x:v>
      </x:c>
    </x:row>
    <x:row r="165">
      <x:c r="B165" s="28" t="str">
        <x:v>DA-159</x:v>
      </x:c>
      <x:c r="C165" s="28" t="str">
        <x:v>campus service cell</x:v>
      </x:c>
      <x:c r="D165" s="28" t="str">
        <x:v>PTC-A</x:v>
      </x:c>
      <x:c r="E165" s="28" t="str">
        <x:v>CAMPUS</x:v>
      </x:c>
      <x:c r="F165" s="28" t="n">
        <x:v>3</x:v>
      </x:c>
      <x:c r="G165" s="31" t="str"/>
      <x:c r="H165" s="31" t="str"/>
      <x:c r="I165" s="31" t="str"/>
      <x:c r="J165" s="28" t="str">
        <x:f>IF(I165="","OPEN",IF(AND(G165&lt;&gt;"",H165&lt;&gt;"",COUNTIFS('Crew Qualifications'!C7:C966,B165,'Crew Qualifications'!J7:J966,"PASS")=4),"PASS","FAIL"))</x:f>
        <x:v>OPEN</x:v>
      </x:c>
    </x:row>
    <x:row r="166">
      <x:c r="B166" s="28" t="str">
        <x:v>DA-160</x:v>
      </x:c>
      <x:c r="C166" s="28" t="str">
        <x:v>campus service cell</x:v>
      </x:c>
      <x:c r="D166" s="28" t="str">
        <x:v>PTC-A</x:v>
      </x:c>
      <x:c r="E166" s="28" t="str">
        <x:v>CAMPUS</x:v>
      </x:c>
      <x:c r="F166" s="28" t="n">
        <x:v>4</x:v>
      </x:c>
      <x:c r="G166" s="31" t="str"/>
      <x:c r="H166" s="31" t="str"/>
      <x:c r="I166" s="31" t="str"/>
      <x:c r="J166" s="28" t="str">
        <x:f>IF(I166="","OPEN",IF(AND(G166&lt;&gt;"",H166&lt;&gt;"",COUNTIFS('Crew Qualifications'!C7:C966,B166,'Crew Qualifications'!J7:J966,"PASS")=4),"PASS","FAIL"))</x:f>
        <x:v>OPEN</x:v>
      </x:c>
    </x:row>
    <x:row r="167">
      <x:c r="B167" s="28" t="str">
        <x:v>DA-161</x:v>
      </x:c>
      <x:c r="C167" s="28" t="str">
        <x:v>campus service cell</x:v>
      </x:c>
      <x:c r="D167" s="28" t="str">
        <x:v>PTC-A</x:v>
      </x:c>
      <x:c r="E167" s="28" t="str">
        <x:v>CAMPUS</x:v>
      </x:c>
      <x:c r="F167" s="28" t="n">
        <x:v>1</x:v>
      </x:c>
      <x:c r="G167" s="31" t="str"/>
      <x:c r="H167" s="31" t="str"/>
      <x:c r="I167" s="31" t="str"/>
      <x:c r="J167" s="28" t="str">
        <x:f>IF(I167="","OPEN",IF(AND(G167&lt;&gt;"",H167&lt;&gt;"",COUNTIFS('Crew Qualifications'!C7:C966,B167,'Crew Qualifications'!J7:J966,"PASS")=4),"PASS","FAIL"))</x:f>
        <x:v>OPEN</x:v>
      </x:c>
    </x:row>
    <x:row r="168">
      <x:c r="B168" s="28" t="str">
        <x:v>DA-162</x:v>
      </x:c>
      <x:c r="C168" s="28" t="str">
        <x:v>campus service cell</x:v>
      </x:c>
      <x:c r="D168" s="28" t="str">
        <x:v>PTC-A</x:v>
      </x:c>
      <x:c r="E168" s="28" t="str">
        <x:v>CAMPUS</x:v>
      </x:c>
      <x:c r="F168" s="28" t="n">
        <x:v>2</x:v>
      </x:c>
      <x:c r="G168" s="31" t="str"/>
      <x:c r="H168" s="31" t="str"/>
      <x:c r="I168" s="31" t="str"/>
      <x:c r="J168" s="28" t="str">
        <x:f>IF(I168="","OPEN",IF(AND(G168&lt;&gt;"",H168&lt;&gt;"",COUNTIFS('Crew Qualifications'!C7:C966,B168,'Crew Qualifications'!J7:J966,"PASS")=4),"PASS","FAIL"))</x:f>
        <x:v>OPEN</x:v>
      </x:c>
    </x:row>
    <x:row r="169">
      <x:c r="B169" s="28" t="str">
        <x:v>DA-163</x:v>
      </x:c>
      <x:c r="C169" s="28" t="str">
        <x:v>campus service cell</x:v>
      </x:c>
      <x:c r="D169" s="28" t="str">
        <x:v>PTC-A</x:v>
      </x:c>
      <x:c r="E169" s="28" t="str">
        <x:v>CAMPUS</x:v>
      </x:c>
      <x:c r="F169" s="28" t="n">
        <x:v>3</x:v>
      </x:c>
      <x:c r="G169" s="31" t="str"/>
      <x:c r="H169" s="31" t="str"/>
      <x:c r="I169" s="31" t="str"/>
      <x:c r="J169" s="28" t="str">
        <x:f>IF(I169="","OPEN",IF(AND(G169&lt;&gt;"",H169&lt;&gt;"",COUNTIFS('Crew Qualifications'!C7:C966,B169,'Crew Qualifications'!J7:J966,"PASS")=4),"PASS","FAIL"))</x:f>
        <x:v>OPEN</x:v>
      </x:c>
    </x:row>
    <x:row r="170">
      <x:c r="B170" s="28" t="str">
        <x:v>DA-164</x:v>
      </x:c>
      <x:c r="C170" s="28" t="str">
        <x:v>campus service cell</x:v>
      </x:c>
      <x:c r="D170" s="28" t="str">
        <x:v>PTC-A</x:v>
      </x:c>
      <x:c r="E170" s="28" t="str">
        <x:v>CAMPUS</x:v>
      </x:c>
      <x:c r="F170" s="28" t="n">
        <x:v>4</x:v>
      </x:c>
      <x:c r="G170" s="31" t="str"/>
      <x:c r="H170" s="31" t="str"/>
      <x:c r="I170" s="31" t="str"/>
      <x:c r="J170" s="28" t="str">
        <x:f>IF(I170="","OPEN",IF(AND(G170&lt;&gt;"",H170&lt;&gt;"",COUNTIFS('Crew Qualifications'!C7:C966,B170,'Crew Qualifications'!J7:J966,"PASS")=4),"PASS","FAIL"))</x:f>
        <x:v>OPEN</x:v>
      </x:c>
    </x:row>
    <x:row r="171">
      <x:c r="B171" s="28" t="str">
        <x:v>DA-165</x:v>
      </x:c>
      <x:c r="C171" s="28" t="str">
        <x:v>campus service cell</x:v>
      </x:c>
      <x:c r="D171" s="28" t="str">
        <x:v>PTC-B</x:v>
      </x:c>
      <x:c r="E171" s="28" t="str">
        <x:v>CAMPUS</x:v>
      </x:c>
      <x:c r="F171" s="28" t="n">
        <x:v>1</x:v>
      </x:c>
      <x:c r="G171" s="31" t="str"/>
      <x:c r="H171" s="31" t="str"/>
      <x:c r="I171" s="31" t="str"/>
      <x:c r="J171" s="28" t="str">
        <x:f>IF(I171="","OPEN",IF(AND(G171&lt;&gt;"",H171&lt;&gt;"",COUNTIFS('Crew Qualifications'!C7:C966,B171,'Crew Qualifications'!J7:J966,"PASS")=4),"PASS","FAIL"))</x:f>
        <x:v>OPEN</x:v>
      </x:c>
    </x:row>
    <x:row r="172">
      <x:c r="B172" s="28" t="str">
        <x:v>DA-166</x:v>
      </x:c>
      <x:c r="C172" s="28" t="str">
        <x:v>campus service cell</x:v>
      </x:c>
      <x:c r="D172" s="28" t="str">
        <x:v>PTC-B</x:v>
      </x:c>
      <x:c r="E172" s="28" t="str">
        <x:v>CAMPUS</x:v>
      </x:c>
      <x:c r="F172" s="28" t="n">
        <x:v>2</x:v>
      </x:c>
      <x:c r="G172" s="31" t="str"/>
      <x:c r="H172" s="31" t="str"/>
      <x:c r="I172" s="31" t="str"/>
      <x:c r="J172" s="28" t="str">
        <x:f>IF(I172="","OPEN",IF(AND(G172&lt;&gt;"",H172&lt;&gt;"",COUNTIFS('Crew Qualifications'!C7:C966,B172,'Crew Qualifications'!J7:J966,"PASS")=4),"PASS","FAIL"))</x:f>
        <x:v>OPEN</x:v>
      </x:c>
    </x:row>
    <x:row r="173">
      <x:c r="B173" s="28" t="str">
        <x:v>DA-167</x:v>
      </x:c>
      <x:c r="C173" s="28" t="str">
        <x:v>campus service cell</x:v>
      </x:c>
      <x:c r="D173" s="28" t="str">
        <x:v>PTC-B</x:v>
      </x:c>
      <x:c r="E173" s="28" t="str">
        <x:v>CAMPUS</x:v>
      </x:c>
      <x:c r="F173" s="28" t="n">
        <x:v>3</x:v>
      </x:c>
      <x:c r="G173" s="31" t="str"/>
      <x:c r="H173" s="31" t="str"/>
      <x:c r="I173" s="31" t="str"/>
      <x:c r="J173" s="28" t="str">
        <x:f>IF(I173="","OPEN",IF(AND(G173&lt;&gt;"",H173&lt;&gt;"",COUNTIFS('Crew Qualifications'!C7:C966,B173,'Crew Qualifications'!J7:J966,"PASS")=4),"PASS","FAIL"))</x:f>
        <x:v>OPEN</x:v>
      </x:c>
    </x:row>
    <x:row r="174">
      <x:c r="B174" s="28" t="str">
        <x:v>DA-168</x:v>
      </x:c>
      <x:c r="C174" s="28" t="str">
        <x:v>campus service cell</x:v>
      </x:c>
      <x:c r="D174" s="28" t="str">
        <x:v>PTC-B</x:v>
      </x:c>
      <x:c r="E174" s="28" t="str">
        <x:v>CAMPUS</x:v>
      </x:c>
      <x:c r="F174" s="28" t="n">
        <x:v>4</x:v>
      </x:c>
      <x:c r="G174" s="31" t="str"/>
      <x:c r="H174" s="31" t="str"/>
      <x:c r="I174" s="31" t="str"/>
      <x:c r="J174" s="28" t="str">
        <x:f>IF(I174="","OPEN",IF(AND(G174&lt;&gt;"",H174&lt;&gt;"",COUNTIFS('Crew Qualifications'!C7:C966,B174,'Crew Qualifications'!J7:J966,"PASS")=4),"PASS","FAIL"))</x:f>
        <x:v>OPEN</x:v>
      </x:c>
    </x:row>
    <x:row r="175">
      <x:c r="B175" s="28" t="str">
        <x:v>DA-169</x:v>
      </x:c>
      <x:c r="C175" s="28" t="str">
        <x:v>campus service cell</x:v>
      </x:c>
      <x:c r="D175" s="28" t="str">
        <x:v>PTC-B</x:v>
      </x:c>
      <x:c r="E175" s="28" t="str">
        <x:v>CAMPUS</x:v>
      </x:c>
      <x:c r="F175" s="28" t="n">
        <x:v>1</x:v>
      </x:c>
      <x:c r="G175" s="31" t="str"/>
      <x:c r="H175" s="31" t="str"/>
      <x:c r="I175" s="31" t="str"/>
      <x:c r="J175" s="28" t="str">
        <x:f>IF(I175="","OPEN",IF(AND(G175&lt;&gt;"",H175&lt;&gt;"",COUNTIFS('Crew Qualifications'!C7:C966,B175,'Crew Qualifications'!J7:J966,"PASS")=4),"PASS","FAIL"))</x:f>
        <x:v>OPEN</x:v>
      </x:c>
    </x:row>
    <x:row r="176">
      <x:c r="B176" s="28" t="str">
        <x:v>DA-170</x:v>
      </x:c>
      <x:c r="C176" s="28" t="str">
        <x:v>campus service cell</x:v>
      </x:c>
      <x:c r="D176" s="28" t="str">
        <x:v>PTC-B</x:v>
      </x:c>
      <x:c r="E176" s="28" t="str">
        <x:v>CAMPUS</x:v>
      </x:c>
      <x:c r="F176" s="28" t="n">
        <x:v>2</x:v>
      </x:c>
      <x:c r="G176" s="31" t="str"/>
      <x:c r="H176" s="31" t="str"/>
      <x:c r="I176" s="31" t="str"/>
      <x:c r="J176" s="28" t="str">
        <x:f>IF(I176="","OPEN",IF(AND(G176&lt;&gt;"",H176&lt;&gt;"",COUNTIFS('Crew Qualifications'!C7:C966,B176,'Crew Qualifications'!J7:J966,"PASS")=4),"PASS","FAIL"))</x:f>
        <x:v>OPEN</x:v>
      </x:c>
    </x:row>
    <x:row r="177">
      <x:c r="B177" s="28" t="str">
        <x:v>DA-171</x:v>
      </x:c>
      <x:c r="C177" s="28" t="str">
        <x:v>campus service cell</x:v>
      </x:c>
      <x:c r="D177" s="28" t="str">
        <x:v>PTC-B</x:v>
      </x:c>
      <x:c r="E177" s="28" t="str">
        <x:v>CAMPUS</x:v>
      </x:c>
      <x:c r="F177" s="28" t="n">
        <x:v>3</x:v>
      </x:c>
      <x:c r="G177" s="31" t="str"/>
      <x:c r="H177" s="31" t="str"/>
      <x:c r="I177" s="31" t="str"/>
      <x:c r="J177" s="28" t="str">
        <x:f>IF(I177="","OPEN",IF(AND(G177&lt;&gt;"",H177&lt;&gt;"",COUNTIFS('Crew Qualifications'!C7:C966,B177,'Crew Qualifications'!J7:J966,"PASS")=4),"PASS","FAIL"))</x:f>
        <x:v>OPEN</x:v>
      </x:c>
    </x:row>
    <x:row r="178">
      <x:c r="B178" s="28" t="str">
        <x:v>DA-172</x:v>
      </x:c>
      <x:c r="C178" s="28" t="str">
        <x:v>campus service cell</x:v>
      </x:c>
      <x:c r="D178" s="28" t="str">
        <x:v>PTC-B</x:v>
      </x:c>
      <x:c r="E178" s="28" t="str">
        <x:v>CAMPUS</x:v>
      </x:c>
      <x:c r="F178" s="28" t="n">
        <x:v>4</x:v>
      </x:c>
      <x:c r="G178" s="31" t="str"/>
      <x:c r="H178" s="31" t="str"/>
      <x:c r="I178" s="31" t="str"/>
      <x:c r="J178" s="28" t="str">
        <x:f>IF(I178="","OPEN",IF(AND(G178&lt;&gt;"",H178&lt;&gt;"",COUNTIFS('Crew Qualifications'!C7:C966,B178,'Crew Qualifications'!J7:J966,"PASS")=4),"PASS","FAIL"))</x:f>
        <x:v>OPEN</x:v>
      </x:c>
    </x:row>
    <x:row r="179">
      <x:c r="B179" s="28" t="str">
        <x:v>DA-173</x:v>
      </x:c>
      <x:c r="C179" s="28" t="str">
        <x:v>campus service cell</x:v>
      </x:c>
      <x:c r="D179" s="28" t="str">
        <x:v>PTC-B</x:v>
      </x:c>
      <x:c r="E179" s="28" t="str">
        <x:v>CAMPUS</x:v>
      </x:c>
      <x:c r="F179" s="28" t="n">
        <x:v>1</x:v>
      </x:c>
      <x:c r="G179" s="31" t="str"/>
      <x:c r="H179" s="31" t="str"/>
      <x:c r="I179" s="31" t="str"/>
      <x:c r="J179" s="28" t="str">
        <x:f>IF(I179="","OPEN",IF(AND(G179&lt;&gt;"",H179&lt;&gt;"",COUNTIFS('Crew Qualifications'!C7:C966,B179,'Crew Qualifications'!J7:J966,"PASS")=4),"PASS","FAIL"))</x:f>
        <x:v>OPEN</x:v>
      </x:c>
    </x:row>
    <x:row r="180">
      <x:c r="B180" s="28" t="str">
        <x:v>DA-174</x:v>
      </x:c>
      <x:c r="C180" s="28" t="str">
        <x:v>campus service cell</x:v>
      </x:c>
      <x:c r="D180" s="28" t="str">
        <x:v>PTC-B</x:v>
      </x:c>
      <x:c r="E180" s="28" t="str">
        <x:v>CAMPUS</x:v>
      </x:c>
      <x:c r="F180" s="28" t="n">
        <x:v>2</x:v>
      </x:c>
      <x:c r="G180" s="31" t="str"/>
      <x:c r="H180" s="31" t="str"/>
      <x:c r="I180" s="31" t="str"/>
      <x:c r="J180" s="28" t="str">
        <x:f>IF(I180="","OPEN",IF(AND(G180&lt;&gt;"",H180&lt;&gt;"",COUNTIFS('Crew Qualifications'!C7:C966,B180,'Crew Qualifications'!J7:J966,"PASS")=4),"PASS","FAIL"))</x:f>
        <x:v>OPEN</x:v>
      </x:c>
    </x:row>
    <x:row r="181">
      <x:c r="B181" s="28" t="str">
        <x:v>DA-175</x:v>
      </x:c>
      <x:c r="C181" s="28" t="str">
        <x:v>campus service cell</x:v>
      </x:c>
      <x:c r="D181" s="28" t="str">
        <x:v>PTC-B</x:v>
      </x:c>
      <x:c r="E181" s="28" t="str">
        <x:v>CAMPUS</x:v>
      </x:c>
      <x:c r="F181" s="28" t="n">
        <x:v>3</x:v>
      </x:c>
      <x:c r="G181" s="31" t="str"/>
      <x:c r="H181" s="31" t="str"/>
      <x:c r="I181" s="31" t="str"/>
      <x:c r="J181" s="28" t="str">
        <x:f>IF(I181="","OPEN",IF(AND(G181&lt;&gt;"",H181&lt;&gt;"",COUNTIFS('Crew Qualifications'!C7:C966,B181,'Crew Qualifications'!J7:J966,"PASS")=4),"PASS","FAIL"))</x:f>
        <x:v>OPEN</x:v>
      </x:c>
    </x:row>
    <x:row r="182">
      <x:c r="B182" s="28" t="str">
        <x:v>DA-176</x:v>
      </x:c>
      <x:c r="C182" s="28" t="str">
        <x:v>campus service cell</x:v>
      </x:c>
      <x:c r="D182" s="28" t="str">
        <x:v>PTC-B</x:v>
      </x:c>
      <x:c r="E182" s="28" t="str">
        <x:v>CAMPUS</x:v>
      </x:c>
      <x:c r="F182" s="28" t="n">
        <x:v>4</x:v>
      </x:c>
      <x:c r="G182" s="31" t="str"/>
      <x:c r="H182" s="31" t="str"/>
      <x:c r="I182" s="31" t="str"/>
      <x:c r="J182" s="28" t="str">
        <x:f>IF(I182="","OPEN",IF(AND(G182&lt;&gt;"",H182&lt;&gt;"",COUNTIFS('Crew Qualifications'!C7:C966,B182,'Crew Qualifications'!J7:J966,"PASS")=4),"PASS","FAIL"))</x:f>
        <x:v>OPEN</x:v>
      </x:c>
    </x:row>
    <x:row r="183">
      <x:c r="B183" s="28" t="str">
        <x:v>DA-177</x:v>
      </x:c>
      <x:c r="C183" s="28" t="str">
        <x:v>campus service cell</x:v>
      </x:c>
      <x:c r="D183" s="28" t="str">
        <x:v>PTC-B</x:v>
      </x:c>
      <x:c r="E183" s="28" t="str">
        <x:v>CAMPUS</x:v>
      </x:c>
      <x:c r="F183" s="28" t="n">
        <x:v>1</x:v>
      </x:c>
      <x:c r="G183" s="31" t="str"/>
      <x:c r="H183" s="31" t="str"/>
      <x:c r="I183" s="31" t="str"/>
      <x:c r="J183" s="28" t="str">
        <x:f>IF(I183="","OPEN",IF(AND(G183&lt;&gt;"",H183&lt;&gt;"",COUNTIFS('Crew Qualifications'!C7:C966,B183,'Crew Qualifications'!J7:J966,"PASS")=4),"PASS","FAIL"))</x:f>
        <x:v>OPEN</x:v>
      </x:c>
    </x:row>
    <x:row r="184">
      <x:c r="B184" s="28" t="str">
        <x:v>DA-178</x:v>
      </x:c>
      <x:c r="C184" s="28" t="str">
        <x:v>campus service cell</x:v>
      </x:c>
      <x:c r="D184" s="28" t="str">
        <x:v>PTC-B</x:v>
      </x:c>
      <x:c r="E184" s="28" t="str">
        <x:v>CAMPUS</x:v>
      </x:c>
      <x:c r="F184" s="28" t="n">
        <x:v>2</x:v>
      </x:c>
      <x:c r="G184" s="31" t="str"/>
      <x:c r="H184" s="31" t="str"/>
      <x:c r="I184" s="31" t="str"/>
      <x:c r="J184" s="28" t="str">
        <x:f>IF(I184="","OPEN",IF(AND(G184&lt;&gt;"",H184&lt;&gt;"",COUNTIFS('Crew Qualifications'!C7:C966,B184,'Crew Qualifications'!J7:J966,"PASS")=4),"PASS","FAIL"))</x:f>
        <x:v>OPEN</x:v>
      </x:c>
    </x:row>
    <x:row r="185">
      <x:c r="B185" s="28" t="str">
        <x:v>DA-179</x:v>
      </x:c>
      <x:c r="C185" s="28" t="str">
        <x:v>campus service cell</x:v>
      </x:c>
      <x:c r="D185" s="28" t="str">
        <x:v>PTC-B</x:v>
      </x:c>
      <x:c r="E185" s="28" t="str">
        <x:v>CAMPUS</x:v>
      </x:c>
      <x:c r="F185" s="28" t="n">
        <x:v>3</x:v>
      </x:c>
      <x:c r="G185" s="31" t="str"/>
      <x:c r="H185" s="31" t="str"/>
      <x:c r="I185" s="31" t="str"/>
      <x:c r="J185" s="28" t="str">
        <x:f>IF(I185="","OPEN",IF(AND(G185&lt;&gt;"",H185&lt;&gt;"",COUNTIFS('Crew Qualifications'!C7:C966,B185,'Crew Qualifications'!J7:J966,"PASS")=4),"PASS","FAIL"))</x:f>
        <x:v>OPEN</x:v>
      </x:c>
    </x:row>
    <x:row r="186">
      <x:c r="B186" s="28" t="str">
        <x:v>DA-180</x:v>
      </x:c>
      <x:c r="C186" s="28" t="str">
        <x:v>campus service cell</x:v>
      </x:c>
      <x:c r="D186" s="28" t="str">
        <x:v>PTC-B</x:v>
      </x:c>
      <x:c r="E186" s="28" t="str">
        <x:v>CAMPUS</x:v>
      </x:c>
      <x:c r="F186" s="28" t="n">
        <x:v>4</x:v>
      </x:c>
      <x:c r="G186" s="31" t="str"/>
      <x:c r="H186" s="31" t="str"/>
      <x:c r="I186" s="31" t="str"/>
      <x:c r="J186" s="28" t="str">
        <x:f>IF(I186="","OPEN",IF(AND(G186&lt;&gt;"",H186&lt;&gt;"",COUNTIFS('Crew Qualifications'!C7:C966,B186,'Crew Qualifications'!J7:J966,"PASS")=4),"PASS","FAIL"))</x:f>
        <x:v>OPEN</x:v>
      </x:c>
    </x:row>
    <x:row r="187">
      <x:c r="B187" s="28" t="str">
        <x:v>DA-181</x:v>
      </x:c>
      <x:c r="C187" s="28" t="str">
        <x:v>campus service cell</x:v>
      </x:c>
      <x:c r="D187" s="28" t="str">
        <x:v>PTC-B</x:v>
      </x:c>
      <x:c r="E187" s="28" t="str">
        <x:v>CAMPUS</x:v>
      </x:c>
      <x:c r="F187" s="28" t="n">
        <x:v>1</x:v>
      </x:c>
      <x:c r="G187" s="31" t="str"/>
      <x:c r="H187" s="31" t="str"/>
      <x:c r="I187" s="31" t="str"/>
      <x:c r="J187" s="28" t="str">
        <x:f>IF(I187="","OPEN",IF(AND(G187&lt;&gt;"",H187&lt;&gt;"",COUNTIFS('Crew Qualifications'!C7:C966,B187,'Crew Qualifications'!J7:J966,"PASS")=4),"PASS","FAIL"))</x:f>
        <x:v>OPEN</x:v>
      </x:c>
    </x:row>
    <x:row r="188">
      <x:c r="B188" s="28" t="str">
        <x:v>DA-182</x:v>
      </x:c>
      <x:c r="C188" s="28" t="str">
        <x:v>campus service cell</x:v>
      </x:c>
      <x:c r="D188" s="28" t="str">
        <x:v>PTC-B</x:v>
      </x:c>
      <x:c r="E188" s="28" t="str">
        <x:v>CAMPUS</x:v>
      </x:c>
      <x:c r="F188" s="28" t="n">
        <x:v>2</x:v>
      </x:c>
      <x:c r="G188" s="31" t="str"/>
      <x:c r="H188" s="31" t="str"/>
      <x:c r="I188" s="31" t="str"/>
      <x:c r="J188" s="28" t="str">
        <x:f>IF(I188="","OPEN",IF(AND(G188&lt;&gt;"",H188&lt;&gt;"",COUNTIFS('Crew Qualifications'!C7:C966,B188,'Crew Qualifications'!J7:J966,"PASS")=4),"PASS","FAIL"))</x:f>
        <x:v>OPEN</x:v>
      </x:c>
    </x:row>
    <x:row r="189">
      <x:c r="B189" s="28" t="str">
        <x:v>DA-183</x:v>
      </x:c>
      <x:c r="C189" s="28" t="str">
        <x:v>campus service cell</x:v>
      </x:c>
      <x:c r="D189" s="28" t="str">
        <x:v>PTC-B</x:v>
      </x:c>
      <x:c r="E189" s="28" t="str">
        <x:v>CAMPUS</x:v>
      </x:c>
      <x:c r="F189" s="28" t="n">
        <x:v>3</x:v>
      </x:c>
      <x:c r="G189" s="31" t="str"/>
      <x:c r="H189" s="31" t="str"/>
      <x:c r="I189" s="31" t="str"/>
      <x:c r="J189" s="28" t="str">
        <x:f>IF(I189="","OPEN",IF(AND(G189&lt;&gt;"",H189&lt;&gt;"",COUNTIFS('Crew Qualifications'!C7:C966,B189,'Crew Qualifications'!J7:J966,"PASS")=4),"PASS","FAIL"))</x:f>
        <x:v>OPEN</x:v>
      </x:c>
    </x:row>
    <x:row r="190">
      <x:c r="B190" s="28" t="str">
        <x:v>DA-184</x:v>
      </x:c>
      <x:c r="C190" s="28" t="str">
        <x:v>campus service cell</x:v>
      </x:c>
      <x:c r="D190" s="28" t="str">
        <x:v>PTC-B</x:v>
      </x:c>
      <x:c r="E190" s="28" t="str">
        <x:v>CAMPUS</x:v>
      </x:c>
      <x:c r="F190" s="28" t="n">
        <x:v>4</x:v>
      </x:c>
      <x:c r="G190" s="31" t="str"/>
      <x:c r="H190" s="31" t="str"/>
      <x:c r="I190" s="31" t="str"/>
      <x:c r="J190" s="28" t="str">
        <x:f>IF(I190="","OPEN",IF(AND(G190&lt;&gt;"",H190&lt;&gt;"",COUNTIFS('Crew Qualifications'!C7:C966,B190,'Crew Qualifications'!J7:J966,"PASS")=4),"PASS","FAIL"))</x:f>
        <x:v>OPEN</x:v>
      </x:c>
    </x:row>
    <x:row r="191">
      <x:c r="B191" s="28" t="str">
        <x:v>DA-185</x:v>
      </x:c>
      <x:c r="C191" s="28" t="str">
        <x:v>campus service cell</x:v>
      </x:c>
      <x:c r="D191" s="28" t="str">
        <x:v>PTC-C</x:v>
      </x:c>
      <x:c r="E191" s="28" t="str">
        <x:v>CAMPUS</x:v>
      </x:c>
      <x:c r="F191" s="28" t="n">
        <x:v>1</x:v>
      </x:c>
      <x:c r="G191" s="31" t="str"/>
      <x:c r="H191" s="31" t="str"/>
      <x:c r="I191" s="31" t="str"/>
      <x:c r="J191" s="28" t="str">
        <x:f>IF(I191="","OPEN",IF(AND(G191&lt;&gt;"",H191&lt;&gt;"",COUNTIFS('Crew Qualifications'!C7:C966,B191,'Crew Qualifications'!J7:J966,"PASS")=4),"PASS","FAIL"))</x:f>
        <x:v>OPEN</x:v>
      </x:c>
    </x:row>
    <x:row r="192">
      <x:c r="B192" s="28" t="str">
        <x:v>DA-186</x:v>
      </x:c>
      <x:c r="C192" s="28" t="str">
        <x:v>campus service cell</x:v>
      </x:c>
      <x:c r="D192" s="28" t="str">
        <x:v>PTC-C</x:v>
      </x:c>
      <x:c r="E192" s="28" t="str">
        <x:v>CAMPUS</x:v>
      </x:c>
      <x:c r="F192" s="28" t="n">
        <x:v>2</x:v>
      </x:c>
      <x:c r="G192" s="31" t="str"/>
      <x:c r="H192" s="31" t="str"/>
      <x:c r="I192" s="31" t="str"/>
      <x:c r="J192" s="28" t="str">
        <x:f>IF(I192="","OPEN",IF(AND(G192&lt;&gt;"",H192&lt;&gt;"",COUNTIFS('Crew Qualifications'!C7:C966,B192,'Crew Qualifications'!J7:J966,"PASS")=4),"PASS","FAIL"))</x:f>
        <x:v>OPEN</x:v>
      </x:c>
    </x:row>
    <x:row r="193">
      <x:c r="B193" s="28" t="str">
        <x:v>DA-187</x:v>
      </x:c>
      <x:c r="C193" s="28" t="str">
        <x:v>campus service cell</x:v>
      </x:c>
      <x:c r="D193" s="28" t="str">
        <x:v>PTC-C</x:v>
      </x:c>
      <x:c r="E193" s="28" t="str">
        <x:v>CAMPUS</x:v>
      </x:c>
      <x:c r="F193" s="28" t="n">
        <x:v>3</x:v>
      </x:c>
      <x:c r="G193" s="31" t="str"/>
      <x:c r="H193" s="31" t="str"/>
      <x:c r="I193" s="31" t="str"/>
      <x:c r="J193" s="28" t="str">
        <x:f>IF(I193="","OPEN",IF(AND(G193&lt;&gt;"",H193&lt;&gt;"",COUNTIFS('Crew Qualifications'!C7:C966,B193,'Crew Qualifications'!J7:J966,"PASS")=4),"PASS","FAIL"))</x:f>
        <x:v>OPEN</x:v>
      </x:c>
    </x:row>
    <x:row r="194">
      <x:c r="B194" s="28" t="str">
        <x:v>DA-188</x:v>
      </x:c>
      <x:c r="C194" s="28" t="str">
        <x:v>campus service cell</x:v>
      </x:c>
      <x:c r="D194" s="28" t="str">
        <x:v>PTC-C</x:v>
      </x:c>
      <x:c r="E194" s="28" t="str">
        <x:v>CAMPUS</x:v>
      </x:c>
      <x:c r="F194" s="28" t="n">
        <x:v>4</x:v>
      </x:c>
      <x:c r="G194" s="31" t="str"/>
      <x:c r="H194" s="31" t="str"/>
      <x:c r="I194" s="31" t="str"/>
      <x:c r="J194" s="28" t="str">
        <x:f>IF(I194="","OPEN",IF(AND(G194&lt;&gt;"",H194&lt;&gt;"",COUNTIFS('Crew Qualifications'!C7:C966,B194,'Crew Qualifications'!J7:J966,"PASS")=4),"PASS","FAIL"))</x:f>
        <x:v>OPEN</x:v>
      </x:c>
    </x:row>
    <x:row r="195">
      <x:c r="B195" s="28" t="str">
        <x:v>DA-189</x:v>
      </x:c>
      <x:c r="C195" s="28" t="str">
        <x:v>campus service cell</x:v>
      </x:c>
      <x:c r="D195" s="28" t="str">
        <x:v>PTC-C</x:v>
      </x:c>
      <x:c r="E195" s="28" t="str">
        <x:v>CAMPUS</x:v>
      </x:c>
      <x:c r="F195" s="28" t="n">
        <x:v>1</x:v>
      </x:c>
      <x:c r="G195" s="31" t="str"/>
      <x:c r="H195" s="31" t="str"/>
      <x:c r="I195" s="31" t="str"/>
      <x:c r="J195" s="28" t="str">
        <x:f>IF(I195="","OPEN",IF(AND(G195&lt;&gt;"",H195&lt;&gt;"",COUNTIFS('Crew Qualifications'!C7:C966,B195,'Crew Qualifications'!J7:J966,"PASS")=4),"PASS","FAIL"))</x:f>
        <x:v>OPEN</x:v>
      </x:c>
    </x:row>
    <x:row r="196">
      <x:c r="B196" s="28" t="str">
        <x:v>DA-190</x:v>
      </x:c>
      <x:c r="C196" s="28" t="str">
        <x:v>campus service cell</x:v>
      </x:c>
      <x:c r="D196" s="28" t="str">
        <x:v>PTC-C</x:v>
      </x:c>
      <x:c r="E196" s="28" t="str">
        <x:v>CAMPUS</x:v>
      </x:c>
      <x:c r="F196" s="28" t="n">
        <x:v>2</x:v>
      </x:c>
      <x:c r="G196" s="31" t="str"/>
      <x:c r="H196" s="31" t="str"/>
      <x:c r="I196" s="31" t="str"/>
      <x:c r="J196" s="28" t="str">
        <x:f>IF(I196="","OPEN",IF(AND(G196&lt;&gt;"",H196&lt;&gt;"",COUNTIFS('Crew Qualifications'!C7:C966,B196,'Crew Qualifications'!J7:J966,"PASS")=4),"PASS","FAIL"))</x:f>
        <x:v>OPEN</x:v>
      </x:c>
    </x:row>
    <x:row r="197">
      <x:c r="B197" s="28" t="str">
        <x:v>DA-191</x:v>
      </x:c>
      <x:c r="C197" s="28" t="str">
        <x:v>campus service cell</x:v>
      </x:c>
      <x:c r="D197" s="28" t="str">
        <x:v>PTC-C</x:v>
      </x:c>
      <x:c r="E197" s="28" t="str">
        <x:v>CAMPUS</x:v>
      </x:c>
      <x:c r="F197" s="28" t="n">
        <x:v>3</x:v>
      </x:c>
      <x:c r="G197" s="31" t="str"/>
      <x:c r="H197" s="31" t="str"/>
      <x:c r="I197" s="31" t="str"/>
      <x:c r="J197" s="28" t="str">
        <x:f>IF(I197="","OPEN",IF(AND(G197&lt;&gt;"",H197&lt;&gt;"",COUNTIFS('Crew Qualifications'!C7:C966,B197,'Crew Qualifications'!J7:J966,"PASS")=4),"PASS","FAIL"))</x:f>
        <x:v>OPEN</x:v>
      </x:c>
    </x:row>
    <x:row r="198">
      <x:c r="B198" s="28" t="str">
        <x:v>DA-192</x:v>
      </x:c>
      <x:c r="C198" s="28" t="str">
        <x:v>campus service cell</x:v>
      </x:c>
      <x:c r="D198" s="28" t="str">
        <x:v>PTC-C</x:v>
      </x:c>
      <x:c r="E198" s="28" t="str">
        <x:v>CAMPUS</x:v>
      </x:c>
      <x:c r="F198" s="28" t="n">
        <x:v>4</x:v>
      </x:c>
      <x:c r="G198" s="31" t="str"/>
      <x:c r="H198" s="31" t="str"/>
      <x:c r="I198" s="31" t="str"/>
      <x:c r="J198" s="28" t="str">
        <x:f>IF(I198="","OPEN",IF(AND(G198&lt;&gt;"",H198&lt;&gt;"",COUNTIFS('Crew Qualifications'!C7:C966,B198,'Crew Qualifications'!J7:J966,"PASS")=4),"PASS","FAIL"))</x:f>
        <x:v>OPEN</x:v>
      </x:c>
    </x:row>
    <x:row r="199">
      <x:c r="B199" s="28" t="str">
        <x:v>DA-193</x:v>
      </x:c>
      <x:c r="C199" s="28" t="str">
        <x:v>campus service cell</x:v>
      </x:c>
      <x:c r="D199" s="28" t="str">
        <x:v>PTC-C</x:v>
      </x:c>
      <x:c r="E199" s="28" t="str">
        <x:v>CAMPUS</x:v>
      </x:c>
      <x:c r="F199" s="28" t="n">
        <x:v>1</x:v>
      </x:c>
      <x:c r="G199" s="31" t="str"/>
      <x:c r="H199" s="31" t="str"/>
      <x:c r="I199" s="31" t="str"/>
      <x:c r="J199" s="28" t="str">
        <x:f>IF(I199="","OPEN",IF(AND(G199&lt;&gt;"",H199&lt;&gt;"",COUNTIFS('Crew Qualifications'!C7:C966,B199,'Crew Qualifications'!J7:J966,"PASS")=4),"PASS","FAIL"))</x:f>
        <x:v>OPEN</x:v>
      </x:c>
    </x:row>
    <x:row r="200">
      <x:c r="B200" s="28" t="str">
        <x:v>DA-194</x:v>
      </x:c>
      <x:c r="C200" s="28" t="str">
        <x:v>campus service cell</x:v>
      </x:c>
      <x:c r="D200" s="28" t="str">
        <x:v>PTC-C</x:v>
      </x:c>
      <x:c r="E200" s="28" t="str">
        <x:v>CAMPUS</x:v>
      </x:c>
      <x:c r="F200" s="28" t="n">
        <x:v>2</x:v>
      </x:c>
      <x:c r="G200" s="31" t="str"/>
      <x:c r="H200" s="31" t="str"/>
      <x:c r="I200" s="31" t="str"/>
      <x:c r="J200" s="28" t="str">
        <x:f>IF(I200="","OPEN",IF(AND(G200&lt;&gt;"",H200&lt;&gt;"",COUNTIFS('Crew Qualifications'!C7:C966,B200,'Crew Qualifications'!J7:J966,"PASS")=4),"PASS","FAIL"))</x:f>
        <x:v>OPEN</x:v>
      </x:c>
    </x:row>
    <x:row r="201">
      <x:c r="B201" s="28" t="str">
        <x:v>DA-195</x:v>
      </x:c>
      <x:c r="C201" s="28" t="str">
        <x:v>campus service cell</x:v>
      </x:c>
      <x:c r="D201" s="28" t="str">
        <x:v>PTC-C</x:v>
      </x:c>
      <x:c r="E201" s="28" t="str">
        <x:v>CAMPUS</x:v>
      </x:c>
      <x:c r="F201" s="28" t="n">
        <x:v>3</x:v>
      </x:c>
      <x:c r="G201" s="31" t="str"/>
      <x:c r="H201" s="31" t="str"/>
      <x:c r="I201" s="31" t="str"/>
      <x:c r="J201" s="28" t="str">
        <x:f>IF(I201="","OPEN",IF(AND(G201&lt;&gt;"",H201&lt;&gt;"",COUNTIFS('Crew Qualifications'!C7:C966,B201,'Crew Qualifications'!J7:J966,"PASS")=4),"PASS","FAIL"))</x:f>
        <x:v>OPEN</x:v>
      </x:c>
    </x:row>
    <x:row r="202">
      <x:c r="B202" s="28" t="str">
        <x:v>DA-196</x:v>
      </x:c>
      <x:c r="C202" s="28" t="str">
        <x:v>campus service cell</x:v>
      </x:c>
      <x:c r="D202" s="28" t="str">
        <x:v>PTC-C</x:v>
      </x:c>
      <x:c r="E202" s="28" t="str">
        <x:v>CAMPUS</x:v>
      </x:c>
      <x:c r="F202" s="28" t="n">
        <x:v>4</x:v>
      </x:c>
      <x:c r="G202" s="31" t="str"/>
      <x:c r="H202" s="31" t="str"/>
      <x:c r="I202" s="31" t="str"/>
      <x:c r="J202" s="28" t="str">
        <x:f>IF(I202="","OPEN",IF(AND(G202&lt;&gt;"",H202&lt;&gt;"",COUNTIFS('Crew Qualifications'!C7:C966,B202,'Crew Qualifications'!J7:J966,"PASS")=4),"PASS","FAIL"))</x:f>
        <x:v>OPEN</x:v>
      </x:c>
    </x:row>
    <x:row r="203">
      <x:c r="B203" s="28" t="str">
        <x:v>DA-197</x:v>
      </x:c>
      <x:c r="C203" s="28" t="str">
        <x:v>campus service cell</x:v>
      </x:c>
      <x:c r="D203" s="28" t="str">
        <x:v>PTC-C</x:v>
      </x:c>
      <x:c r="E203" s="28" t="str">
        <x:v>CAMPUS</x:v>
      </x:c>
      <x:c r="F203" s="28" t="n">
        <x:v>1</x:v>
      </x:c>
      <x:c r="G203" s="31" t="str"/>
      <x:c r="H203" s="31" t="str"/>
      <x:c r="I203" s="31" t="str"/>
      <x:c r="J203" s="28" t="str">
        <x:f>IF(I203="","OPEN",IF(AND(G203&lt;&gt;"",H203&lt;&gt;"",COUNTIFS('Crew Qualifications'!C7:C966,B203,'Crew Qualifications'!J7:J966,"PASS")=4),"PASS","FAIL"))</x:f>
        <x:v>OPEN</x:v>
      </x:c>
    </x:row>
    <x:row r="204">
      <x:c r="B204" s="28" t="str">
        <x:v>DA-198</x:v>
      </x:c>
      <x:c r="C204" s="28" t="str">
        <x:v>campus service cell</x:v>
      </x:c>
      <x:c r="D204" s="28" t="str">
        <x:v>PTC-C</x:v>
      </x:c>
      <x:c r="E204" s="28" t="str">
        <x:v>CAMPUS</x:v>
      </x:c>
      <x:c r="F204" s="28" t="n">
        <x:v>2</x:v>
      </x:c>
      <x:c r="G204" s="31" t="str"/>
      <x:c r="H204" s="31" t="str"/>
      <x:c r="I204" s="31" t="str"/>
      <x:c r="J204" s="28" t="str">
        <x:f>IF(I204="","OPEN",IF(AND(G204&lt;&gt;"",H204&lt;&gt;"",COUNTIFS('Crew Qualifications'!C7:C966,B204,'Crew Qualifications'!J7:J966,"PASS")=4),"PASS","FAIL"))</x:f>
        <x:v>OPEN</x:v>
      </x:c>
    </x:row>
    <x:row r="205">
      <x:c r="B205" s="28" t="str">
        <x:v>DA-199</x:v>
      </x:c>
      <x:c r="C205" s="28" t="str">
        <x:v>campus service cell</x:v>
      </x:c>
      <x:c r="D205" s="28" t="str">
        <x:v>PTC-C</x:v>
      </x:c>
      <x:c r="E205" s="28" t="str">
        <x:v>CAMPUS</x:v>
      </x:c>
      <x:c r="F205" s="28" t="n">
        <x:v>3</x:v>
      </x:c>
      <x:c r="G205" s="31" t="str"/>
      <x:c r="H205" s="31" t="str"/>
      <x:c r="I205" s="31" t="str"/>
      <x:c r="J205" s="28" t="str">
        <x:f>IF(I205="","OPEN",IF(AND(G205&lt;&gt;"",H205&lt;&gt;"",COUNTIFS('Crew Qualifications'!C7:C966,B205,'Crew Qualifications'!J7:J966,"PASS")=4),"PASS","FAIL"))</x:f>
        <x:v>OPEN</x:v>
      </x:c>
    </x:row>
    <x:row r="206">
      <x:c r="B206" s="28" t="str">
        <x:v>DA-200</x:v>
      </x:c>
      <x:c r="C206" s="28" t="str">
        <x:v>campus service cell</x:v>
      </x:c>
      <x:c r="D206" s="28" t="str">
        <x:v>PTC-C</x:v>
      </x:c>
      <x:c r="E206" s="28" t="str">
        <x:v>CAMPUS</x:v>
      </x:c>
      <x:c r="F206" s="28" t="n">
        <x:v>4</x:v>
      </x:c>
      <x:c r="G206" s="31" t="str"/>
      <x:c r="H206" s="31" t="str"/>
      <x:c r="I206" s="31" t="str"/>
      <x:c r="J206" s="28" t="str">
        <x:f>IF(I206="","OPEN",IF(AND(G206&lt;&gt;"",H206&lt;&gt;"",COUNTIFS('Crew Qualifications'!C7:C966,B206,'Crew Qualifications'!J7:J966,"PASS")=4),"PASS","FAIL"))</x:f>
        <x:v>OPEN</x:v>
      </x:c>
    </x:row>
    <x:row r="207">
      <x:c r="B207" s="28" t="str">
        <x:v>DA-201</x:v>
      </x:c>
      <x:c r="C207" s="28" t="str">
        <x:v>campus service cell</x:v>
      </x:c>
      <x:c r="D207" s="28" t="str">
        <x:v>PTC-C</x:v>
      </x:c>
      <x:c r="E207" s="28" t="str">
        <x:v>CAMPUS</x:v>
      </x:c>
      <x:c r="F207" s="28" t="n">
        <x:v>1</x:v>
      </x:c>
      <x:c r="G207" s="31" t="str"/>
      <x:c r="H207" s="31" t="str"/>
      <x:c r="I207" s="31" t="str"/>
      <x:c r="J207" s="28" t="str">
        <x:f>IF(I207="","OPEN",IF(AND(G207&lt;&gt;"",H207&lt;&gt;"",COUNTIFS('Crew Qualifications'!C7:C966,B207,'Crew Qualifications'!J7:J966,"PASS")=4),"PASS","FAIL"))</x:f>
        <x:v>OPEN</x:v>
      </x:c>
    </x:row>
    <x:row r="208">
      <x:c r="B208" s="28" t="str">
        <x:v>DA-202</x:v>
      </x:c>
      <x:c r="C208" s="28" t="str">
        <x:v>campus service cell</x:v>
      </x:c>
      <x:c r="D208" s="28" t="str">
        <x:v>PTC-C</x:v>
      </x:c>
      <x:c r="E208" s="28" t="str">
        <x:v>CAMPUS</x:v>
      </x:c>
      <x:c r="F208" s="28" t="n">
        <x:v>2</x:v>
      </x:c>
      <x:c r="G208" s="31" t="str"/>
      <x:c r="H208" s="31" t="str"/>
      <x:c r="I208" s="31" t="str"/>
      <x:c r="J208" s="28" t="str">
        <x:f>IF(I208="","OPEN",IF(AND(G208&lt;&gt;"",H208&lt;&gt;"",COUNTIFS('Crew Qualifications'!C7:C966,B208,'Crew Qualifications'!J7:J966,"PASS")=4),"PASS","FAIL"))</x:f>
        <x:v>OPEN</x:v>
      </x:c>
    </x:row>
    <x:row r="209">
      <x:c r="B209" s="28" t="str">
        <x:v>DA-203</x:v>
      </x:c>
      <x:c r="C209" s="28" t="str">
        <x:v>campus service cell</x:v>
      </x:c>
      <x:c r="D209" s="28" t="str">
        <x:v>PTC-C</x:v>
      </x:c>
      <x:c r="E209" s="28" t="str">
        <x:v>CAMPUS</x:v>
      </x:c>
      <x:c r="F209" s="28" t="n">
        <x:v>3</x:v>
      </x:c>
      <x:c r="G209" s="31" t="str"/>
      <x:c r="H209" s="31" t="str"/>
      <x:c r="I209" s="31" t="str"/>
      <x:c r="J209" s="28" t="str">
        <x:f>IF(I209="","OPEN",IF(AND(G209&lt;&gt;"",H209&lt;&gt;"",COUNTIFS('Crew Qualifications'!C7:C966,B209,'Crew Qualifications'!J7:J966,"PASS")=4),"PASS","FAIL"))</x:f>
        <x:v>OPEN</x:v>
      </x:c>
    </x:row>
    <x:row r="210">
      <x:c r="B210" s="28" t="str">
        <x:v>DA-204</x:v>
      </x:c>
      <x:c r="C210" s="28" t="str">
        <x:v>campus service cell</x:v>
      </x:c>
      <x:c r="D210" s="28" t="str">
        <x:v>PTC-C</x:v>
      </x:c>
      <x:c r="E210" s="28" t="str">
        <x:v>CAMPUS</x:v>
      </x:c>
      <x:c r="F210" s="28" t="n">
        <x:v>4</x:v>
      </x:c>
      <x:c r="G210" s="31" t="str"/>
      <x:c r="H210" s="31" t="str"/>
      <x:c r="I210" s="31" t="str"/>
      <x:c r="J210" s="28" t="str">
        <x:f>IF(I210="","OPEN",IF(AND(G210&lt;&gt;"",H210&lt;&gt;"",COUNTIFS('Crew Qualifications'!C7:C966,B210,'Crew Qualifications'!J7:J966,"PASS")=4),"PASS","FAIL"))</x:f>
        <x:v>OPEN</x:v>
      </x:c>
    </x:row>
    <x:row r="211">
      <x:c r="B211" s="28" t="str">
        <x:v>DA-205</x:v>
      </x:c>
      <x:c r="C211" s="28" t="str">
        <x:v>national integration</x:v>
      </x:c>
      <x:c r="D211" s="28" t="str">
        <x:v>NATIONAL</x:v>
      </x:c>
      <x:c r="E211" s="28" t="str">
        <x:v>ALL</x:v>
      </x:c>
      <x:c r="F211" s="28" t="n">
        <x:v>1</x:v>
      </x:c>
      <x:c r="G211" s="31" t="str"/>
      <x:c r="H211" s="31" t="str"/>
      <x:c r="I211" s="31" t="str"/>
      <x:c r="J211" s="28" t="str">
        <x:f>IF(I211="","OPEN",IF(AND(G211&lt;&gt;"",H211&lt;&gt;"",COUNTIFS('Crew Qualifications'!C7:C966,B211,'Crew Qualifications'!J7:J966,"PASS")=4),"PASS","FAIL"))</x:f>
        <x:v>OPEN</x:v>
      </x:c>
    </x:row>
    <x:row r="212">
      <x:c r="B212" s="28" t="str">
        <x:v>DA-206</x:v>
      </x:c>
      <x:c r="C212" s="28" t="str">
        <x:v>national integration</x:v>
      </x:c>
      <x:c r="D212" s="28" t="str">
        <x:v>NATIONAL</x:v>
      </x:c>
      <x:c r="E212" s="28" t="str">
        <x:v>ALL</x:v>
      </x:c>
      <x:c r="F212" s="28" t="n">
        <x:v>2</x:v>
      </x:c>
      <x:c r="G212" s="31" t="str"/>
      <x:c r="H212" s="31" t="str"/>
      <x:c r="I212" s="31" t="str"/>
      <x:c r="J212" s="28" t="str">
        <x:f>IF(I212="","OPEN",IF(AND(G212&lt;&gt;"",H212&lt;&gt;"",COUNTIFS('Crew Qualifications'!C7:C966,B212,'Crew Qualifications'!J7:J966,"PASS")=4),"PASS","FAIL"))</x:f>
        <x:v>OPEN</x:v>
      </x:c>
    </x:row>
    <x:row r="213">
      <x:c r="B213" s="28" t="str">
        <x:v>DA-207</x:v>
      </x:c>
      <x:c r="C213" s="28" t="str">
        <x:v>national integration</x:v>
      </x:c>
      <x:c r="D213" s="28" t="str">
        <x:v>NATIONAL</x:v>
      </x:c>
      <x:c r="E213" s="28" t="str">
        <x:v>ALL</x:v>
      </x:c>
      <x:c r="F213" s="28" t="n">
        <x:v>3</x:v>
      </x:c>
      <x:c r="G213" s="31" t="str"/>
      <x:c r="H213" s="31" t="str"/>
      <x:c r="I213" s="31" t="str"/>
      <x:c r="J213" s="28" t="str">
        <x:f>IF(I213="","OPEN",IF(AND(G213&lt;&gt;"",H213&lt;&gt;"",COUNTIFS('Crew Qualifications'!C7:C966,B213,'Crew Qualifications'!J7:J966,"PASS")=4),"PASS","FAIL"))</x:f>
        <x:v>OPEN</x:v>
      </x:c>
    </x:row>
    <x:row r="214">
      <x:c r="B214" s="28" t="str">
        <x:v>DA-208</x:v>
      </x:c>
      <x:c r="C214" s="28" t="str">
        <x:v>national integration</x:v>
      </x:c>
      <x:c r="D214" s="28" t="str">
        <x:v>NATIONAL</x:v>
      </x:c>
      <x:c r="E214" s="28" t="str">
        <x:v>ALL</x:v>
      </x:c>
      <x:c r="F214" s="28" t="n">
        <x:v>4</x:v>
      </x:c>
      <x:c r="G214" s="31" t="str"/>
      <x:c r="H214" s="31" t="str"/>
      <x:c r="I214" s="31" t="str"/>
      <x:c r="J214" s="28" t="str">
        <x:f>IF(I214="","OPEN",IF(AND(G214&lt;&gt;"",H214&lt;&gt;"",COUNTIFS('Crew Qualifications'!C7:C966,B214,'Crew Qualifications'!J7:J966,"PASS")=4),"PASS","FAIL"))</x:f>
        <x:v>OPEN</x:v>
      </x:c>
    </x:row>
    <x:row r="215">
      <x:c r="B215" s="28" t="str">
        <x:v>DA-209</x:v>
      </x:c>
      <x:c r="C215" s="28" t="str">
        <x:v>national integration</x:v>
      </x:c>
      <x:c r="D215" s="28" t="str">
        <x:v>NATIONAL</x:v>
      </x:c>
      <x:c r="E215" s="28" t="str">
        <x:v>ALL</x:v>
      </x:c>
      <x:c r="F215" s="28" t="n">
        <x:v>1</x:v>
      </x:c>
      <x:c r="G215" s="31" t="str"/>
      <x:c r="H215" s="31" t="str"/>
      <x:c r="I215" s="31" t="str"/>
      <x:c r="J215" s="28" t="str">
        <x:f>IF(I215="","OPEN",IF(AND(G215&lt;&gt;"",H215&lt;&gt;"",COUNTIFS('Crew Qualifications'!C7:C966,B215,'Crew Qualifications'!J7:J966,"PASS")=4),"PASS","FAIL"))</x:f>
        <x:v>OPEN</x:v>
      </x:c>
    </x:row>
    <x:row r="216">
      <x:c r="B216" s="28" t="str">
        <x:v>DA-210</x:v>
      </x:c>
      <x:c r="C216" s="28" t="str">
        <x:v>national integration</x:v>
      </x:c>
      <x:c r="D216" s="28" t="str">
        <x:v>NATIONAL</x:v>
      </x:c>
      <x:c r="E216" s="28" t="str">
        <x:v>ALL</x:v>
      </x:c>
      <x:c r="F216" s="28" t="n">
        <x:v>2</x:v>
      </x:c>
      <x:c r="G216" s="31" t="str"/>
      <x:c r="H216" s="31" t="str"/>
      <x:c r="I216" s="31" t="str"/>
      <x:c r="J216" s="28" t="str">
        <x:f>IF(I216="","OPEN",IF(AND(G216&lt;&gt;"",H216&lt;&gt;"",COUNTIFS('Crew Qualifications'!C7:C966,B216,'Crew Qualifications'!J7:J966,"PASS")=4),"PASS","FAIL"))</x:f>
        <x:v>OPEN</x:v>
      </x:c>
    </x:row>
    <x:row r="217">
      <x:c r="B217" s="28" t="str">
        <x:v>DA-211</x:v>
      </x:c>
      <x:c r="C217" s="28" t="str">
        <x:v>national integration</x:v>
      </x:c>
      <x:c r="D217" s="28" t="str">
        <x:v>NATIONAL</x:v>
      </x:c>
      <x:c r="E217" s="28" t="str">
        <x:v>ALL</x:v>
      </x:c>
      <x:c r="F217" s="28" t="n">
        <x:v>3</x:v>
      </x:c>
      <x:c r="G217" s="31" t="str"/>
      <x:c r="H217" s="31" t="str"/>
      <x:c r="I217" s="31" t="str"/>
      <x:c r="J217" s="28" t="str">
        <x:f>IF(I217="","OPEN",IF(AND(G217&lt;&gt;"",H217&lt;&gt;"",COUNTIFS('Crew Qualifications'!C7:C966,B217,'Crew Qualifications'!J7:J966,"PASS")=4),"PASS","FAIL"))</x:f>
        <x:v>OPEN</x:v>
      </x:c>
    </x:row>
    <x:row r="218">
      <x:c r="B218" s="28" t="str">
        <x:v>DA-212</x:v>
      </x:c>
      <x:c r="C218" s="28" t="str">
        <x:v>national integration</x:v>
      </x:c>
      <x:c r="D218" s="28" t="str">
        <x:v>NATIONAL</x:v>
      </x:c>
      <x:c r="E218" s="28" t="str">
        <x:v>ALL</x:v>
      </x:c>
      <x:c r="F218" s="28" t="n">
        <x:v>4</x:v>
      </x:c>
      <x:c r="G218" s="31" t="str"/>
      <x:c r="H218" s="31" t="str"/>
      <x:c r="I218" s="31" t="str"/>
      <x:c r="J218" s="28" t="str">
        <x:f>IF(I218="","OPEN",IF(AND(G218&lt;&gt;"",H218&lt;&gt;"",COUNTIFS('Crew Qualifications'!C7:C966,B218,'Crew Qualifications'!J7:J966,"PASS")=4),"PASS","FAIL"))</x:f>
        <x:v>OPEN</x:v>
      </x:c>
    </x:row>
    <x:row r="219">
      <x:c r="B219" s="28" t="str">
        <x:v>DA-213</x:v>
      </x:c>
      <x:c r="C219" s="28" t="str">
        <x:v>national integration</x:v>
      </x:c>
      <x:c r="D219" s="28" t="str">
        <x:v>NATIONAL</x:v>
      </x:c>
      <x:c r="E219" s="28" t="str">
        <x:v>ALL</x:v>
      </x:c>
      <x:c r="F219" s="28" t="n">
        <x:v>1</x:v>
      </x:c>
      <x:c r="G219" s="31" t="str"/>
      <x:c r="H219" s="31" t="str"/>
      <x:c r="I219" s="31" t="str"/>
      <x:c r="J219" s="28" t="str">
        <x:f>IF(I219="","OPEN",IF(AND(G219&lt;&gt;"",H219&lt;&gt;"",COUNTIFS('Crew Qualifications'!C7:C966,B219,'Crew Qualifications'!J7:J966,"PASS")=4),"PASS","FAIL"))</x:f>
        <x:v>OPEN</x:v>
      </x:c>
    </x:row>
    <x:row r="220">
      <x:c r="B220" s="28" t="str">
        <x:v>DA-214</x:v>
      </x:c>
      <x:c r="C220" s="28" t="str">
        <x:v>national integration</x:v>
      </x:c>
      <x:c r="D220" s="28" t="str">
        <x:v>NATIONAL</x:v>
      </x:c>
      <x:c r="E220" s="28" t="str">
        <x:v>ALL</x:v>
      </x:c>
      <x:c r="F220" s="28" t="n">
        <x:v>2</x:v>
      </x:c>
      <x:c r="G220" s="31" t="str"/>
      <x:c r="H220" s="31" t="str"/>
      <x:c r="I220" s="31" t="str"/>
      <x:c r="J220" s="28" t="str">
        <x:f>IF(I220="","OPEN",IF(AND(G220&lt;&gt;"",H220&lt;&gt;"",COUNTIFS('Crew Qualifications'!C7:C966,B220,'Crew Qualifications'!J7:J966,"PASS")=4),"PASS","FAIL"))</x:f>
        <x:v>OPEN</x:v>
      </x:c>
    </x:row>
    <x:row r="221">
      <x:c r="B221" s="28" t="str">
        <x:v>DA-215</x:v>
      </x:c>
      <x:c r="C221" s="28" t="str">
        <x:v>national integration</x:v>
      </x:c>
      <x:c r="D221" s="28" t="str">
        <x:v>NATIONAL</x:v>
      </x:c>
      <x:c r="E221" s="28" t="str">
        <x:v>ALL</x:v>
      </x:c>
      <x:c r="F221" s="28" t="n">
        <x:v>3</x:v>
      </x:c>
      <x:c r="G221" s="31" t="str"/>
      <x:c r="H221" s="31" t="str"/>
      <x:c r="I221" s="31" t="str"/>
      <x:c r="J221" s="28" t="str">
        <x:f>IF(I221="","OPEN",IF(AND(G221&lt;&gt;"",H221&lt;&gt;"",COUNTIFS('Crew Qualifications'!C7:C966,B221,'Crew Qualifications'!J7:J966,"PASS")=4),"PASS","FAIL"))</x:f>
        <x:v>OPEN</x:v>
      </x:c>
    </x:row>
    <x:row r="222">
      <x:c r="B222" s="28" t="str">
        <x:v>DA-216</x:v>
      </x:c>
      <x:c r="C222" s="28" t="str">
        <x:v>national integration</x:v>
      </x:c>
      <x:c r="D222" s="28" t="str">
        <x:v>NATIONAL</x:v>
      </x:c>
      <x:c r="E222" s="28" t="str">
        <x:v>ALL</x:v>
      </x:c>
      <x:c r="F222" s="28" t="n">
        <x:v>4</x:v>
      </x:c>
      <x:c r="G222" s="31" t="str"/>
      <x:c r="H222" s="31" t="str"/>
      <x:c r="I222" s="31" t="str"/>
      <x:c r="J222" s="28" t="str">
        <x:f>IF(I222="","OPEN",IF(AND(G222&lt;&gt;"",H222&lt;&gt;"",COUNTIFS('Crew Qualifications'!C7:C966,B222,'Crew Qualifications'!J7:J966,"PASS")=4),"PASS","FAIL"))</x:f>
        <x:v>OPEN</x:v>
      </x:c>
    </x:row>
    <x:row r="223">
      <x:c r="B223" s="28" t="str">
        <x:v>DA-217</x:v>
      </x:c>
      <x:c r="C223" s="28" t="str">
        <x:v>national integration</x:v>
      </x:c>
      <x:c r="D223" s="28" t="str">
        <x:v>NATIONAL</x:v>
      </x:c>
      <x:c r="E223" s="28" t="str">
        <x:v>ALL</x:v>
      </x:c>
      <x:c r="F223" s="28" t="n">
        <x:v>1</x:v>
      </x:c>
      <x:c r="G223" s="31" t="str"/>
      <x:c r="H223" s="31" t="str"/>
      <x:c r="I223" s="31" t="str"/>
      <x:c r="J223" s="28" t="str">
        <x:f>IF(I223="","OPEN",IF(AND(G223&lt;&gt;"",H223&lt;&gt;"",COUNTIFS('Crew Qualifications'!C7:C966,B223,'Crew Qualifications'!J7:J966,"PASS")=4),"PASS","FAIL"))</x:f>
        <x:v>OPEN</x:v>
      </x:c>
    </x:row>
    <x:row r="224">
      <x:c r="B224" s="28" t="str">
        <x:v>DA-218</x:v>
      </x:c>
      <x:c r="C224" s="28" t="str">
        <x:v>national integration</x:v>
      </x:c>
      <x:c r="D224" s="28" t="str">
        <x:v>NATIONAL</x:v>
      </x:c>
      <x:c r="E224" s="28" t="str">
        <x:v>ALL</x:v>
      </x:c>
      <x:c r="F224" s="28" t="n">
        <x:v>2</x:v>
      </x:c>
      <x:c r="G224" s="31" t="str"/>
      <x:c r="H224" s="31" t="str"/>
      <x:c r="I224" s="31" t="str"/>
      <x:c r="J224" s="28" t="str">
        <x:f>IF(I224="","OPEN",IF(AND(G224&lt;&gt;"",H224&lt;&gt;"",COUNTIFS('Crew Qualifications'!C7:C966,B224,'Crew Qualifications'!J7:J966,"PASS")=4),"PASS","FAIL"))</x:f>
        <x:v>OPEN</x:v>
      </x:c>
    </x:row>
    <x:row r="225">
      <x:c r="B225" s="28" t="str">
        <x:v>DA-219</x:v>
      </x:c>
      <x:c r="C225" s="28" t="str">
        <x:v>national integration</x:v>
      </x:c>
      <x:c r="D225" s="28" t="str">
        <x:v>NATIONAL</x:v>
      </x:c>
      <x:c r="E225" s="28" t="str">
        <x:v>ALL</x:v>
      </x:c>
      <x:c r="F225" s="28" t="n">
        <x:v>3</x:v>
      </x:c>
      <x:c r="G225" s="31" t="str"/>
      <x:c r="H225" s="31" t="str"/>
      <x:c r="I225" s="31" t="str"/>
      <x:c r="J225" s="28" t="str">
        <x:f>IF(I225="","OPEN",IF(AND(G225&lt;&gt;"",H225&lt;&gt;"",COUNTIFS('Crew Qualifications'!C7:C966,B225,'Crew Qualifications'!J7:J966,"PASS")=4),"PASS","FAIL"))</x:f>
        <x:v>OPEN</x:v>
      </x:c>
    </x:row>
    <x:row r="226">
      <x:c r="B226" s="28" t="str">
        <x:v>DA-220</x:v>
      </x:c>
      <x:c r="C226" s="28" t="str">
        <x:v>national integration</x:v>
      </x:c>
      <x:c r="D226" s="28" t="str">
        <x:v>NATIONAL</x:v>
      </x:c>
      <x:c r="E226" s="28" t="str">
        <x:v>ALL</x:v>
      </x:c>
      <x:c r="F226" s="28" t="n">
        <x:v>4</x:v>
      </x:c>
      <x:c r="G226" s="31" t="str"/>
      <x:c r="H226" s="31" t="str"/>
      <x:c r="I226" s="31" t="str"/>
      <x:c r="J226" s="28" t="str">
        <x:f>IF(I226="","OPEN",IF(AND(G226&lt;&gt;"",H226&lt;&gt;"",COUNTIFS('Crew Qualifications'!C7:C966,B226,'Crew Qualifications'!J7:J966,"PASS")=4),"PASS","FAIL"))</x:f>
        <x:v>OPEN</x:v>
      </x:c>
    </x:row>
    <x:row r="227">
      <x:c r="B227" s="28" t="str">
        <x:v>DA-221</x:v>
      </x:c>
      <x:c r="C227" s="28" t="str">
        <x:v>standards and evidence</x:v>
      </x:c>
      <x:c r="D227" s="28" t="str">
        <x:v>NATIONAL</x:v>
      </x:c>
      <x:c r="E227" s="28" t="str">
        <x:v>ALL</x:v>
      </x:c>
      <x:c r="F227" s="28" t="n">
        <x:v>1</x:v>
      </x:c>
      <x:c r="G227" s="31" t="str"/>
      <x:c r="H227" s="31" t="str"/>
      <x:c r="I227" s="31" t="str"/>
      <x:c r="J227" s="28" t="str">
        <x:f>IF(I227="","OPEN",IF(AND(G227&lt;&gt;"",H227&lt;&gt;"",COUNTIFS('Crew Qualifications'!C7:C966,B227,'Crew Qualifications'!J7:J966,"PASS")=4),"PASS","FAIL"))</x:f>
        <x:v>OPEN</x:v>
      </x:c>
    </x:row>
    <x:row r="228">
      <x:c r="B228" s="28" t="str">
        <x:v>DA-222</x:v>
      </x:c>
      <x:c r="C228" s="28" t="str">
        <x:v>standards and evidence</x:v>
      </x:c>
      <x:c r="D228" s="28" t="str">
        <x:v>NATIONAL</x:v>
      </x:c>
      <x:c r="E228" s="28" t="str">
        <x:v>ALL</x:v>
      </x:c>
      <x:c r="F228" s="28" t="n">
        <x:v>2</x:v>
      </x:c>
      <x:c r="G228" s="31" t="str"/>
      <x:c r="H228" s="31" t="str"/>
      <x:c r="I228" s="31" t="str"/>
      <x:c r="J228" s="28" t="str">
        <x:f>IF(I228="","OPEN",IF(AND(G228&lt;&gt;"",H228&lt;&gt;"",COUNTIFS('Crew Qualifications'!C7:C966,B228,'Crew Qualifications'!J7:J966,"PASS")=4),"PASS","FAIL"))</x:f>
        <x:v>OPEN</x:v>
      </x:c>
    </x:row>
    <x:row r="229">
      <x:c r="B229" s="28" t="str">
        <x:v>DA-223</x:v>
      </x:c>
      <x:c r="C229" s="28" t="str">
        <x:v>standards and evidence</x:v>
      </x:c>
      <x:c r="D229" s="28" t="str">
        <x:v>NATIONAL</x:v>
      </x:c>
      <x:c r="E229" s="28" t="str">
        <x:v>ALL</x:v>
      </x:c>
      <x:c r="F229" s="28" t="n">
        <x:v>3</x:v>
      </x:c>
      <x:c r="G229" s="31" t="str"/>
      <x:c r="H229" s="31" t="str"/>
      <x:c r="I229" s="31" t="str"/>
      <x:c r="J229" s="28" t="str">
        <x:f>IF(I229="","OPEN",IF(AND(G229&lt;&gt;"",H229&lt;&gt;"",COUNTIFS('Crew Qualifications'!C7:C966,B229,'Crew Qualifications'!J7:J966,"PASS")=4),"PASS","FAIL"))</x:f>
        <x:v>OPEN</x:v>
      </x:c>
    </x:row>
    <x:row r="230">
      <x:c r="B230" s="28" t="str">
        <x:v>DA-224</x:v>
      </x:c>
      <x:c r="C230" s="28" t="str">
        <x:v>standards and evidence</x:v>
      </x:c>
      <x:c r="D230" s="28" t="str">
        <x:v>NATIONAL</x:v>
      </x:c>
      <x:c r="E230" s="28" t="str">
        <x:v>ALL</x:v>
      </x:c>
      <x:c r="F230" s="28" t="n">
        <x:v>4</x:v>
      </x:c>
      <x:c r="G230" s="31" t="str"/>
      <x:c r="H230" s="31" t="str"/>
      <x:c r="I230" s="31" t="str"/>
      <x:c r="J230" s="28" t="str">
        <x:f>IF(I230="","OPEN",IF(AND(G230&lt;&gt;"",H230&lt;&gt;"",COUNTIFS('Crew Qualifications'!C7:C966,B230,'Crew Qualifications'!J7:J966,"PASS")=4),"PASS","FAIL"))</x:f>
        <x:v>OPEN</x:v>
      </x:c>
    </x:row>
    <x:row r="231">
      <x:c r="B231" s="28" t="str">
        <x:v>DA-225</x:v>
      </x:c>
      <x:c r="C231" s="28" t="str">
        <x:v>standards and evidence</x:v>
      </x:c>
      <x:c r="D231" s="28" t="str">
        <x:v>NATIONAL</x:v>
      </x:c>
      <x:c r="E231" s="28" t="str">
        <x:v>ALL</x:v>
      </x:c>
      <x:c r="F231" s="28" t="n">
        <x:v>1</x:v>
      </x:c>
      <x:c r="G231" s="31" t="str"/>
      <x:c r="H231" s="31" t="str"/>
      <x:c r="I231" s="31" t="str"/>
      <x:c r="J231" s="28" t="str">
        <x:f>IF(I231="","OPEN",IF(AND(G231&lt;&gt;"",H231&lt;&gt;"",COUNTIFS('Crew Qualifications'!C7:C966,B231,'Crew Qualifications'!J7:J966,"PASS")=4),"PASS","FAIL"))</x:f>
        <x:v>OPEN</x:v>
      </x:c>
    </x:row>
    <x:row r="232">
      <x:c r="B232" s="28" t="str">
        <x:v>DA-226</x:v>
      </x:c>
      <x:c r="C232" s="28" t="str">
        <x:v>standards and evidence</x:v>
      </x:c>
      <x:c r="D232" s="28" t="str">
        <x:v>NATIONAL</x:v>
      </x:c>
      <x:c r="E232" s="28" t="str">
        <x:v>ALL</x:v>
      </x:c>
      <x:c r="F232" s="28" t="n">
        <x:v>2</x:v>
      </x:c>
      <x:c r="G232" s="31" t="str"/>
      <x:c r="H232" s="31" t="str"/>
      <x:c r="I232" s="31" t="str"/>
      <x:c r="J232" s="28" t="str">
        <x:f>IF(I232="","OPEN",IF(AND(G232&lt;&gt;"",H232&lt;&gt;"",COUNTIFS('Crew Qualifications'!C7:C966,B232,'Crew Qualifications'!J7:J966,"PASS")=4),"PASS","FAIL"))</x:f>
        <x:v>OPEN</x:v>
      </x:c>
    </x:row>
    <x:row r="233">
      <x:c r="B233" s="28" t="str">
        <x:v>DA-227</x:v>
      </x:c>
      <x:c r="C233" s="28" t="str">
        <x:v>standards and evidence</x:v>
      </x:c>
      <x:c r="D233" s="28" t="str">
        <x:v>NATIONAL</x:v>
      </x:c>
      <x:c r="E233" s="28" t="str">
        <x:v>ALL</x:v>
      </x:c>
      <x:c r="F233" s="28" t="n">
        <x:v>3</x:v>
      </x:c>
      <x:c r="G233" s="31" t="str"/>
      <x:c r="H233" s="31" t="str"/>
      <x:c r="I233" s="31" t="str"/>
      <x:c r="J233" s="28" t="str">
        <x:f>IF(I233="","OPEN",IF(AND(G233&lt;&gt;"",H233&lt;&gt;"",COUNTIFS('Crew Qualifications'!C7:C966,B233,'Crew Qualifications'!J7:J966,"PASS")=4),"PASS","FAIL"))</x:f>
        <x:v>OPEN</x:v>
      </x:c>
    </x:row>
    <x:row r="234">
      <x:c r="B234" s="28" t="str">
        <x:v>DA-228</x:v>
      </x:c>
      <x:c r="C234" s="28" t="str">
        <x:v>standards and evidence</x:v>
      </x:c>
      <x:c r="D234" s="28" t="str">
        <x:v>NATIONAL</x:v>
      </x:c>
      <x:c r="E234" s="28" t="str">
        <x:v>ALL</x:v>
      </x:c>
      <x:c r="F234" s="28" t="n">
        <x:v>4</x:v>
      </x:c>
      <x:c r="G234" s="31" t="str"/>
      <x:c r="H234" s="31" t="str"/>
      <x:c r="I234" s="31" t="str"/>
      <x:c r="J234" s="28" t="str">
        <x:f>IF(I234="","OPEN",IF(AND(G234&lt;&gt;"",H234&lt;&gt;"",COUNTIFS('Crew Qualifications'!C7:C966,B234,'Crew Qualifications'!J7:J966,"PASS")=4),"PASS","FAIL"))</x:f>
        <x:v>OPEN</x:v>
      </x:c>
    </x:row>
    <x:row r="235">
      <x:c r="B235" s="28" t="str">
        <x:v>DA-229</x:v>
      </x:c>
      <x:c r="C235" s="28" t="str">
        <x:v>standards and evidence</x:v>
      </x:c>
      <x:c r="D235" s="28" t="str">
        <x:v>NATIONAL</x:v>
      </x:c>
      <x:c r="E235" s="28" t="str">
        <x:v>ALL</x:v>
      </x:c>
      <x:c r="F235" s="28" t="n">
        <x:v>1</x:v>
      </x:c>
      <x:c r="G235" s="31" t="str"/>
      <x:c r="H235" s="31" t="str"/>
      <x:c r="I235" s="31" t="str"/>
      <x:c r="J235" s="28" t="str">
        <x:f>IF(I235="","OPEN",IF(AND(G235&lt;&gt;"",H235&lt;&gt;"",COUNTIFS('Crew Qualifications'!C7:C966,B235,'Crew Qualifications'!J7:J966,"PASS")=4),"PASS","FAIL"))</x:f>
        <x:v>OPEN</x:v>
      </x:c>
    </x:row>
    <x:row r="236">
      <x:c r="B236" s="28" t="str">
        <x:v>DA-230</x:v>
      </x:c>
      <x:c r="C236" s="28" t="str">
        <x:v>standards and evidence</x:v>
      </x:c>
      <x:c r="D236" s="28" t="str">
        <x:v>NATIONAL</x:v>
      </x:c>
      <x:c r="E236" s="28" t="str">
        <x:v>ALL</x:v>
      </x:c>
      <x:c r="F236" s="28" t="n">
        <x:v>2</x:v>
      </x:c>
      <x:c r="G236" s="31" t="str"/>
      <x:c r="H236" s="31" t="str"/>
      <x:c r="I236" s="31" t="str"/>
      <x:c r="J236" s="28" t="str">
        <x:f>IF(I236="","OPEN",IF(AND(G236&lt;&gt;"",H236&lt;&gt;"",COUNTIFS('Crew Qualifications'!C7:C966,B236,'Crew Qualifications'!J7:J966,"PASS")=4),"PASS","FAIL"))</x:f>
        <x:v>OPEN</x:v>
      </x:c>
    </x:row>
    <x:row r="237">
      <x:c r="B237" s="28" t="str">
        <x:v>DA-231</x:v>
      </x:c>
      <x:c r="C237" s="28" t="str">
        <x:v>standards and evidence</x:v>
      </x:c>
      <x:c r="D237" s="28" t="str">
        <x:v>NATIONAL</x:v>
      </x:c>
      <x:c r="E237" s="28" t="str">
        <x:v>ALL</x:v>
      </x:c>
      <x:c r="F237" s="28" t="n">
        <x:v>3</x:v>
      </x:c>
      <x:c r="G237" s="31" t="str"/>
      <x:c r="H237" s="31" t="str"/>
      <x:c r="I237" s="31" t="str"/>
      <x:c r="J237" s="28" t="str">
        <x:f>IF(I237="","OPEN",IF(AND(G237&lt;&gt;"",H237&lt;&gt;"",COUNTIFS('Crew Qualifications'!C7:C966,B237,'Crew Qualifications'!J7:J966,"PASS")=4),"PASS","FAIL"))</x:f>
        <x:v>OPEN</x:v>
      </x:c>
    </x:row>
    <x:row r="238">
      <x:c r="B238" s="28" t="str">
        <x:v>DA-232</x:v>
      </x:c>
      <x:c r="C238" s="28" t="str">
        <x:v>standards and evidence</x:v>
      </x:c>
      <x:c r="D238" s="28" t="str">
        <x:v>NATIONAL</x:v>
      </x:c>
      <x:c r="E238" s="28" t="str">
        <x:v>ALL</x:v>
      </x:c>
      <x:c r="F238" s="28" t="n">
        <x:v>4</x:v>
      </x:c>
      <x:c r="G238" s="31" t="str"/>
      <x:c r="H238" s="31" t="str"/>
      <x:c r="I238" s="31" t="str"/>
      <x:c r="J238" s="28" t="str">
        <x:f>IF(I238="","OPEN",IF(AND(G238&lt;&gt;"",H238&lt;&gt;"",COUNTIFS('Crew Qualifications'!C7:C966,B238,'Crew Qualifications'!J7:J966,"PASS")=4),"PASS","FAIL"))</x:f>
        <x:v>OPEN</x:v>
      </x:c>
    </x:row>
    <x:row r="239">
      <x:c r="B239" s="28" t="str">
        <x:v>DA-233</x:v>
      </x:c>
      <x:c r="C239" s="28" t="str">
        <x:v>independent acceptance</x:v>
      </x:c>
      <x:c r="D239" s="28" t="str">
        <x:v>NATIONAL</x:v>
      </x:c>
      <x:c r="E239" s="28" t="str">
        <x:v>ALL</x:v>
      </x:c>
      <x:c r="F239" s="28" t="n">
        <x:v>1</x:v>
      </x:c>
      <x:c r="G239" s="31" t="str"/>
      <x:c r="H239" s="31" t="str"/>
      <x:c r="I239" s="31" t="str"/>
      <x:c r="J239" s="28" t="str">
        <x:f>IF(I239="","OPEN",IF(AND(G239&lt;&gt;"",H239&lt;&gt;"",COUNTIFS('Crew Qualifications'!C7:C966,B239,'Crew Qualifications'!J7:J966,"PASS")=4),"PASS","FAIL"))</x:f>
        <x:v>OPEN</x:v>
      </x:c>
    </x:row>
    <x:row r="240">
      <x:c r="B240" s="28" t="str">
        <x:v>DA-234</x:v>
      </x:c>
      <x:c r="C240" s="28" t="str">
        <x:v>independent acceptance</x:v>
      </x:c>
      <x:c r="D240" s="28" t="str">
        <x:v>NATIONAL</x:v>
      </x:c>
      <x:c r="E240" s="28" t="str">
        <x:v>ALL</x:v>
      </x:c>
      <x:c r="F240" s="28" t="n">
        <x:v>2</x:v>
      </x:c>
      <x:c r="G240" s="31" t="str"/>
      <x:c r="H240" s="31" t="str"/>
      <x:c r="I240" s="31" t="str"/>
      <x:c r="J240" s="28" t="str">
        <x:f>IF(I240="","OPEN",IF(AND(G240&lt;&gt;"",H240&lt;&gt;"",COUNTIFS('Crew Qualifications'!C7:C966,B240,'Crew Qualifications'!J7:J966,"PASS")=4),"PASS","FAIL"))</x:f>
        <x:v>OPEN</x:v>
      </x:c>
    </x:row>
    <x:row r="241">
      <x:c r="B241" s="28" t="str">
        <x:v>DA-235</x:v>
      </x:c>
      <x:c r="C241" s="28" t="str">
        <x:v>independent acceptance</x:v>
      </x:c>
      <x:c r="D241" s="28" t="str">
        <x:v>NATIONAL</x:v>
      </x:c>
      <x:c r="E241" s="28" t="str">
        <x:v>ALL</x:v>
      </x:c>
      <x:c r="F241" s="28" t="n">
        <x:v>3</x:v>
      </x:c>
      <x:c r="G241" s="31" t="str"/>
      <x:c r="H241" s="31" t="str"/>
      <x:c r="I241" s="31" t="str"/>
      <x:c r="J241" s="28" t="str">
        <x:f>IF(I241="","OPEN",IF(AND(G241&lt;&gt;"",H241&lt;&gt;"",COUNTIFS('Crew Qualifications'!C7:C966,B241,'Crew Qualifications'!J7:J966,"PASS")=4),"PASS","FAIL"))</x:f>
        <x:v>OPEN</x:v>
      </x:c>
    </x:row>
    <x:row r="242">
      <x:c r="B242" s="28" t="str">
        <x:v>DA-236</x:v>
      </x:c>
      <x:c r="C242" s="28" t="str">
        <x:v>independent acceptance</x:v>
      </x:c>
      <x:c r="D242" s="28" t="str">
        <x:v>NATIONAL</x:v>
      </x:c>
      <x:c r="E242" s="28" t="str">
        <x:v>ALL</x:v>
      </x:c>
      <x:c r="F242" s="28" t="n">
        <x:v>4</x:v>
      </x:c>
      <x:c r="G242" s="31" t="str"/>
      <x:c r="H242" s="31" t="str"/>
      <x:c r="I242" s="31" t="str"/>
      <x:c r="J242" s="28" t="str">
        <x:f>IF(I242="","OPEN",IF(AND(G242&lt;&gt;"",H242&lt;&gt;"",COUNTIFS('Crew Qualifications'!C7:C966,B242,'Crew Qualifications'!J7:J966,"PASS")=4),"PASS","FAIL"))</x:f>
        <x:v>OPEN</x:v>
      </x:c>
    </x:row>
    <x:row r="243">
      <x:c r="B243" s="28" t="str">
        <x:v>DA-237</x:v>
      </x:c>
      <x:c r="C243" s="28" t="str">
        <x:v>independent acceptance</x:v>
      </x:c>
      <x:c r="D243" s="28" t="str">
        <x:v>NATIONAL</x:v>
      </x:c>
      <x:c r="E243" s="28" t="str">
        <x:v>ALL</x:v>
      </x:c>
      <x:c r="F243" s="28" t="n">
        <x:v>1</x:v>
      </x:c>
      <x:c r="G243" s="31" t="str"/>
      <x:c r="H243" s="31" t="str"/>
      <x:c r="I243" s="31" t="str"/>
      <x:c r="J243" s="28" t="str">
        <x:f>IF(I243="","OPEN",IF(AND(G243&lt;&gt;"",H243&lt;&gt;"",COUNTIFS('Crew Qualifications'!C7:C966,B243,'Crew Qualifications'!J7:J966,"PASS")=4),"PASS","FAIL"))</x:f>
        <x:v>OPEN</x:v>
      </x:c>
    </x:row>
    <x:row r="244">
      <x:c r="B244" s="28" t="str">
        <x:v>DA-238</x:v>
      </x:c>
      <x:c r="C244" s="28" t="str">
        <x:v>independent acceptance</x:v>
      </x:c>
      <x:c r="D244" s="28" t="str">
        <x:v>NATIONAL</x:v>
      </x:c>
      <x:c r="E244" s="28" t="str">
        <x:v>ALL</x:v>
      </x:c>
      <x:c r="F244" s="28" t="n">
        <x:v>2</x:v>
      </x:c>
      <x:c r="G244" s="31" t="str"/>
      <x:c r="H244" s="31" t="str"/>
      <x:c r="I244" s="31" t="str"/>
      <x:c r="J244" s="28" t="str">
        <x:f>IF(I244="","OPEN",IF(AND(G244&lt;&gt;"",H244&lt;&gt;"",COUNTIFS('Crew Qualifications'!C7:C966,B244,'Crew Qualifications'!J7:J966,"PASS")=4),"PASS","FAIL"))</x:f>
        <x:v>OPEN</x:v>
      </x:c>
    </x:row>
    <x:row r="245">
      <x:c r="B245" s="28" t="str">
        <x:v>DA-239</x:v>
      </x:c>
      <x:c r="C245" s="28" t="str">
        <x:v>independent acceptance</x:v>
      </x:c>
      <x:c r="D245" s="28" t="str">
        <x:v>NATIONAL</x:v>
      </x:c>
      <x:c r="E245" s="28" t="str">
        <x:v>ALL</x:v>
      </x:c>
      <x:c r="F245" s="28" t="n">
        <x:v>3</x:v>
      </x:c>
      <x:c r="G245" s="31" t="str"/>
      <x:c r="H245" s="31" t="str"/>
      <x:c r="I245" s="31" t="str"/>
      <x:c r="J245" s="28" t="str">
        <x:f>IF(I245="","OPEN",IF(AND(G245&lt;&gt;"",H245&lt;&gt;"",COUNTIFS('Crew Qualifications'!C7:C966,B245,'Crew Qualifications'!J7:J966,"PASS")=4),"PASS","FAIL"))</x:f>
        <x:v>OPEN</x:v>
      </x:c>
    </x:row>
    <x:row r="246">
      <x:c r="B246" s="28" t="str">
        <x:v>DA-240</x:v>
      </x:c>
      <x:c r="C246" s="28" t="str">
        <x:v>independent acceptance</x:v>
      </x:c>
      <x:c r="D246" s="28" t="str">
        <x:v>NATIONAL</x:v>
      </x:c>
      <x:c r="E246" s="28" t="str">
        <x:v>ALL</x:v>
      </x:c>
      <x:c r="F246" s="28" t="n">
        <x:v>4</x:v>
      </x:c>
      <x:c r="G246" s="31" t="str"/>
      <x:c r="H246" s="31" t="str"/>
      <x:c r="I246" s="31" t="str"/>
      <x:c r="J246" s="28" t="str">
        <x:f>IF(I246="","OPEN",IF(AND(G246&lt;&gt;"",H246&lt;&gt;"",COUNTIFS('Crew Qualifications'!C7:C966,B246,'Crew Qualifications'!J7:J966,"PASS")=4),"PASS","FAIL"))</x:f>
        <x:v>OPEN</x:v>
      </x:c>
    </x:row>
  </x:sheetData>
  <x:conditionalFormatting sqref="J7:J246">
    <x:cfRule type="containsText" dxfId="96" priority="1" operator="containsText" text="FAIL"/>
    <x:cfRule type="containsText" dxfId="97" priority="2" operator="containsText" text="BLOCKED"/>
    <x:cfRule type="containsText" dxfId="98" priority="3" operator="containsText" text="EXPIRED"/>
    <x:cfRule type="containsText" dxfId="99" priority="4" operator="containsText" text="OPEN"/>
    <x:cfRule type="containsText" dxfId="100" priority="5" operator="containsText" text="DORMANT"/>
    <x:cfRule type="containsText" dxfId="101" priority="6" operator="containsText" text="PASS"/>
  </x:conditionalFormatting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5" hidden="0" customWidth="1"/>
    <x:col min="3" max="3" width="18" hidden="0" customWidth="1"/>
    <x:col min="4" max="4" width="12" hidden="0" customWidth="1"/>
    <x:col min="5" max="5" width="37" hidden="0" customWidth="1"/>
    <x:col min="6" max="6" width="23" hidden="0" customWidth="1"/>
    <x:col min="7" max="7" width="34" hidden="0" customWidth="1"/>
    <x:col min="8" max="8" width="21" hidden="0" customWidth="1"/>
    <x:col min="9" max="9" width="21" hidden="0" customWidth="1"/>
    <x:col min="10" max="10" width="14" hidden="0" customWidth="1"/>
  </x:cols>
  <x:sheetData>
    <x:row r="2">
      <x:c r="B2" s="25" t="str">
        <x:v>Nine hundred sixty crew-qualification records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27" t="str">
        <x:v>Every duty assignment requires current role, site, article-interface and incident qualifications.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6" t="str">
        <x:v>Record</x:v>
      </x:c>
      <x:c r="C6" s="6" t="str">
        <x:v>Assignment</x:v>
      </x:c>
      <x:c r="D6" s="6" t="str">
        <x:v>Module</x:v>
      </x:c>
      <x:c r="E6" s="6" t="str">
        <x:v>Qualification</x:v>
      </x:c>
      <x:c r="F6" s="6" t="str">
        <x:v>Trainer</x:v>
      </x:c>
      <x:c r="G6" s="6" t="str">
        <x:v>Evidence root</x:v>
      </x:c>
      <x:c r="H6" s="6" t="str">
        <x:v>Valid through</x:v>
      </x:c>
      <x:c r="I6" s="6" t="str">
        <x:v>Accepted UTC</x:v>
      </x:c>
      <x:c r="J6" s="6" t="str">
        <x:v>State</x:v>
      </x:c>
    </x:row>
    <x:row r="7">
      <x:c r="B7" s="28" t="str">
        <x:v>CQ-DA-001-1</x:v>
      </x:c>
      <x:c r="C7" s="28" t="str">
        <x:v>DA-001</x:v>
      </x:c>
      <x:c r="D7" s="28" t="n">
        <x:v>1</x:v>
      </x:c>
      <x:c r="E7" s="28" t="str">
        <x:v>role qualification</x:v>
      </x:c>
      <x:c r="F7" s="31" t="str"/>
      <x:c r="G7" s="31" t="str"/>
      <x:c r="H7" s="32" t="str"/>
      <x:c r="I7" s="31" t="str"/>
      <x:c r="J7" s="28" t="str">
        <x:f>IF(I7="","OPEN",IF(OR(F7="",G7="",H7=""),"FAIL","PASS"))</x:f>
        <x:v>OPEN</x:v>
      </x:c>
    </x:row>
    <x:row r="8">
      <x:c r="B8" s="28" t="str">
        <x:v>CQ-DA-001-2</x:v>
      </x:c>
      <x:c r="C8" s="28" t="str">
        <x:v>DA-001</x:v>
      </x:c>
      <x:c r="D8" s="28" t="n">
        <x:v>2</x:v>
      </x:c>
      <x:c r="E8" s="28" t="str">
        <x:v>site and rig qualification</x:v>
      </x:c>
      <x:c r="F8" s="31" t="str"/>
      <x:c r="G8" s="31" t="str"/>
      <x:c r="H8" s="32" t="str"/>
      <x:c r="I8" s="31" t="str"/>
      <x:c r="J8" s="28" t="str">
        <x:f>IF(I8="","OPEN",IF(OR(F8="",G8="",H8=""),"FAIL","PASS"))</x:f>
        <x:v>OPEN</x:v>
      </x:c>
    </x:row>
    <x:row r="9">
      <x:c r="B9" s="28" t="str">
        <x:v>CQ-DA-001-3</x:v>
      </x:c>
      <x:c r="C9" s="28" t="str">
        <x:v>DA-001</x:v>
      </x:c>
      <x:c r="D9" s="28" t="n">
        <x:v>3</x:v>
      </x:c>
      <x:c r="E9" s="28" t="str">
        <x:v>article-interface qualification</x:v>
      </x:c>
      <x:c r="F9" s="31" t="str"/>
      <x:c r="G9" s="31" t="str"/>
      <x:c r="H9" s="32" t="str"/>
      <x:c r="I9" s="31" t="str"/>
      <x:c r="J9" s="28" t="str">
        <x:f>IF(I9="","OPEN",IF(OR(F9="",G9="",H9=""),"FAIL","PASS"))</x:f>
        <x:v>OPEN</x:v>
      </x:c>
    </x:row>
    <x:row r="10">
      <x:c r="B10" s="28" t="str">
        <x:v>CQ-DA-001-4</x:v>
      </x:c>
      <x:c r="C10" s="28" t="str">
        <x:v>DA-001</x:v>
      </x:c>
      <x:c r="D10" s="28" t="n">
        <x:v>4</x:v>
      </x:c>
      <x:c r="E10" s="28" t="str">
        <x:v>incident and rescue qualification</x:v>
      </x:c>
      <x:c r="F10" s="31" t="str"/>
      <x:c r="G10" s="31" t="str"/>
      <x:c r="H10" s="32" t="str"/>
      <x:c r="I10" s="31" t="str"/>
      <x:c r="J10" s="28" t="str">
        <x:f>IF(I10="","OPEN",IF(OR(F10="",G10="",H10=""),"FAIL","PASS"))</x:f>
        <x:v>OPEN</x:v>
      </x:c>
    </x:row>
    <x:row r="11">
      <x:c r="B11" s="28" t="str">
        <x:v>CQ-DA-002-1</x:v>
      </x:c>
      <x:c r="C11" s="28" t="str">
        <x:v>DA-002</x:v>
      </x:c>
      <x:c r="D11" s="28" t="n">
        <x:v>1</x:v>
      </x:c>
      <x:c r="E11" s="28" t="str">
        <x:v>role qualification</x:v>
      </x:c>
      <x:c r="F11" s="31" t="str"/>
      <x:c r="G11" s="31" t="str"/>
      <x:c r="H11" s="32" t="str"/>
      <x:c r="I11" s="31" t="str"/>
      <x:c r="J11" s="28" t="str">
        <x:f>IF(I11="","OPEN",IF(OR(F11="",G11="",H11=""),"FAIL","PASS"))</x:f>
        <x:v>OPEN</x:v>
      </x:c>
    </x:row>
    <x:row r="12">
      <x:c r="B12" s="28" t="str">
        <x:v>CQ-DA-002-2</x:v>
      </x:c>
      <x:c r="C12" s="28" t="str">
        <x:v>DA-002</x:v>
      </x:c>
      <x:c r="D12" s="28" t="n">
        <x:v>2</x:v>
      </x:c>
      <x:c r="E12" s="28" t="str">
        <x:v>site and rig qualification</x:v>
      </x:c>
      <x:c r="F12" s="31" t="str"/>
      <x:c r="G12" s="31" t="str"/>
      <x:c r="H12" s="32" t="str"/>
      <x:c r="I12" s="31" t="str"/>
      <x:c r="J12" s="28" t="str">
        <x:f>IF(I12="","OPEN",IF(OR(F12="",G12="",H12=""),"FAIL","PASS"))</x:f>
        <x:v>OPEN</x:v>
      </x:c>
    </x:row>
    <x:row r="13">
      <x:c r="B13" s="28" t="str">
        <x:v>CQ-DA-002-3</x:v>
      </x:c>
      <x:c r="C13" s="28" t="str">
        <x:v>DA-002</x:v>
      </x:c>
      <x:c r="D13" s="28" t="n">
        <x:v>3</x:v>
      </x:c>
      <x:c r="E13" s="28" t="str">
        <x:v>article-interface qualification</x:v>
      </x:c>
      <x:c r="F13" s="31" t="str"/>
      <x:c r="G13" s="31" t="str"/>
      <x:c r="H13" s="32" t="str"/>
      <x:c r="I13" s="31" t="str"/>
      <x:c r="J13" s="28" t="str">
        <x:f>IF(I13="","OPEN",IF(OR(F13="",G13="",H13=""),"FAIL","PASS"))</x:f>
        <x:v>OPEN</x:v>
      </x:c>
    </x:row>
    <x:row r="14">
      <x:c r="B14" s="28" t="str">
        <x:v>CQ-DA-002-4</x:v>
      </x:c>
      <x:c r="C14" s="28" t="str">
        <x:v>DA-002</x:v>
      </x:c>
      <x:c r="D14" s="28" t="n">
        <x:v>4</x:v>
      </x:c>
      <x:c r="E14" s="28" t="str">
        <x:v>incident and rescue qualification</x:v>
      </x:c>
      <x:c r="F14" s="31" t="str"/>
      <x:c r="G14" s="31" t="str"/>
      <x:c r="H14" s="32" t="str"/>
      <x:c r="I14" s="31" t="str"/>
      <x:c r="J14" s="28" t="str">
        <x:f>IF(I14="","OPEN",IF(OR(F14="",G14="",H14=""),"FAIL","PASS"))</x:f>
        <x:v>OPEN</x:v>
      </x:c>
    </x:row>
    <x:row r="15">
      <x:c r="B15" s="28" t="str">
        <x:v>CQ-DA-003-1</x:v>
      </x:c>
      <x:c r="C15" s="28" t="str">
        <x:v>DA-003</x:v>
      </x:c>
      <x:c r="D15" s="28" t="n">
        <x:v>1</x:v>
      </x:c>
      <x:c r="E15" s="28" t="str">
        <x:v>role qualification</x:v>
      </x:c>
      <x:c r="F15" s="31" t="str"/>
      <x:c r="G15" s="31" t="str"/>
      <x:c r="H15" s="32" t="str"/>
      <x:c r="I15" s="31" t="str"/>
      <x:c r="J15" s="28" t="str">
        <x:f>IF(I15="","OPEN",IF(OR(F15="",G15="",H15=""),"FAIL","PASS"))</x:f>
        <x:v>OPEN</x:v>
      </x:c>
    </x:row>
    <x:row r="16">
      <x:c r="B16" s="28" t="str">
        <x:v>CQ-DA-003-2</x:v>
      </x:c>
      <x:c r="C16" s="28" t="str">
        <x:v>DA-003</x:v>
      </x:c>
      <x:c r="D16" s="28" t="n">
        <x:v>2</x:v>
      </x:c>
      <x:c r="E16" s="28" t="str">
        <x:v>site and rig qualification</x:v>
      </x:c>
      <x:c r="F16" s="31" t="str"/>
      <x:c r="G16" s="31" t="str"/>
      <x:c r="H16" s="32" t="str"/>
      <x:c r="I16" s="31" t="str"/>
      <x:c r="J16" s="28" t="str">
        <x:f>IF(I16="","OPEN",IF(OR(F16="",G16="",H16=""),"FAIL","PASS"))</x:f>
        <x:v>OPEN</x:v>
      </x:c>
    </x:row>
    <x:row r="17">
      <x:c r="B17" s="28" t="str">
        <x:v>CQ-DA-003-3</x:v>
      </x:c>
      <x:c r="C17" s="28" t="str">
        <x:v>DA-003</x:v>
      </x:c>
      <x:c r="D17" s="28" t="n">
        <x:v>3</x:v>
      </x:c>
      <x:c r="E17" s="28" t="str">
        <x:v>article-interface qualification</x:v>
      </x:c>
      <x:c r="F17" s="31" t="str"/>
      <x:c r="G17" s="31" t="str"/>
      <x:c r="H17" s="32" t="str"/>
      <x:c r="I17" s="31" t="str"/>
      <x:c r="J17" s="28" t="str">
        <x:f>IF(I17="","OPEN",IF(OR(F17="",G17="",H17=""),"FAIL","PASS"))</x:f>
        <x:v>OPEN</x:v>
      </x:c>
    </x:row>
    <x:row r="18">
      <x:c r="B18" s="28" t="str">
        <x:v>CQ-DA-003-4</x:v>
      </x:c>
      <x:c r="C18" s="28" t="str">
        <x:v>DA-003</x:v>
      </x:c>
      <x:c r="D18" s="28" t="n">
        <x:v>4</x:v>
      </x:c>
      <x:c r="E18" s="28" t="str">
        <x:v>incident and rescue qualification</x:v>
      </x:c>
      <x:c r="F18" s="31" t="str"/>
      <x:c r="G18" s="31" t="str"/>
      <x:c r="H18" s="32" t="str"/>
      <x:c r="I18" s="31" t="str"/>
      <x:c r="J18" s="28" t="str">
        <x:f>IF(I18="","OPEN",IF(OR(F18="",G18="",H18=""),"FAIL","PASS"))</x:f>
        <x:v>OPEN</x:v>
      </x:c>
    </x:row>
    <x:row r="19">
      <x:c r="B19" s="28" t="str">
        <x:v>CQ-DA-004-1</x:v>
      </x:c>
      <x:c r="C19" s="28" t="str">
        <x:v>DA-004</x:v>
      </x:c>
      <x:c r="D19" s="28" t="n">
        <x:v>1</x:v>
      </x:c>
      <x:c r="E19" s="28" t="str">
        <x:v>role qualification</x:v>
      </x:c>
      <x:c r="F19" s="31" t="str"/>
      <x:c r="G19" s="31" t="str"/>
      <x:c r="H19" s="32" t="str"/>
      <x:c r="I19" s="31" t="str"/>
      <x:c r="J19" s="28" t="str">
        <x:f>IF(I19="","OPEN",IF(OR(F19="",G19="",H19=""),"FAIL","PASS"))</x:f>
        <x:v>OPEN</x:v>
      </x:c>
    </x:row>
    <x:row r="20">
      <x:c r="B20" s="28" t="str">
        <x:v>CQ-DA-004-2</x:v>
      </x:c>
      <x:c r="C20" s="28" t="str">
        <x:v>DA-004</x:v>
      </x:c>
      <x:c r="D20" s="28" t="n">
        <x:v>2</x:v>
      </x:c>
      <x:c r="E20" s="28" t="str">
        <x:v>site and rig qualification</x:v>
      </x:c>
      <x:c r="F20" s="31" t="str"/>
      <x:c r="G20" s="31" t="str"/>
      <x:c r="H20" s="32" t="str"/>
      <x:c r="I20" s="31" t="str"/>
      <x:c r="J20" s="28" t="str">
        <x:f>IF(I20="","OPEN",IF(OR(F20="",G20="",H20=""),"FAIL","PASS"))</x:f>
        <x:v>OPEN</x:v>
      </x:c>
    </x:row>
    <x:row r="21">
      <x:c r="B21" s="28" t="str">
        <x:v>CQ-DA-004-3</x:v>
      </x:c>
      <x:c r="C21" s="28" t="str">
        <x:v>DA-004</x:v>
      </x:c>
      <x:c r="D21" s="28" t="n">
        <x:v>3</x:v>
      </x:c>
      <x:c r="E21" s="28" t="str">
        <x:v>article-interface qualification</x:v>
      </x:c>
      <x:c r="F21" s="31" t="str"/>
      <x:c r="G21" s="31" t="str"/>
      <x:c r="H21" s="32" t="str"/>
      <x:c r="I21" s="31" t="str"/>
      <x:c r="J21" s="28" t="str">
        <x:f>IF(I21="","OPEN",IF(OR(F21="",G21="",H21=""),"FAIL","PASS"))</x:f>
        <x:v>OPEN</x:v>
      </x:c>
    </x:row>
    <x:row r="22">
      <x:c r="B22" s="28" t="str">
        <x:v>CQ-DA-004-4</x:v>
      </x:c>
      <x:c r="C22" s="28" t="str">
        <x:v>DA-004</x:v>
      </x:c>
      <x:c r="D22" s="28" t="n">
        <x:v>4</x:v>
      </x:c>
      <x:c r="E22" s="28" t="str">
        <x:v>incident and rescue qualification</x:v>
      </x:c>
      <x:c r="F22" s="31" t="str"/>
      <x:c r="G22" s="31" t="str"/>
      <x:c r="H22" s="32" t="str"/>
      <x:c r="I22" s="31" t="str"/>
      <x:c r="J22" s="28" t="str">
        <x:f>IF(I22="","OPEN",IF(OR(F22="",G22="",H22=""),"FAIL","PASS"))</x:f>
        <x:v>OPEN</x:v>
      </x:c>
    </x:row>
    <x:row r="23">
      <x:c r="B23" s="28" t="str">
        <x:v>CQ-DA-005-1</x:v>
      </x:c>
      <x:c r="C23" s="28" t="str">
        <x:v>DA-005</x:v>
      </x:c>
      <x:c r="D23" s="28" t="n">
        <x:v>1</x:v>
      </x:c>
      <x:c r="E23" s="28" t="str">
        <x:v>role qualification</x:v>
      </x:c>
      <x:c r="F23" s="31" t="str"/>
      <x:c r="G23" s="31" t="str"/>
      <x:c r="H23" s="32" t="str"/>
      <x:c r="I23" s="31" t="str"/>
      <x:c r="J23" s="28" t="str">
        <x:f>IF(I23="","OPEN",IF(OR(F23="",G23="",H23=""),"FAIL","PASS"))</x:f>
        <x:v>OPEN</x:v>
      </x:c>
    </x:row>
    <x:row r="24">
      <x:c r="B24" s="28" t="str">
        <x:v>CQ-DA-005-2</x:v>
      </x:c>
      <x:c r="C24" s="28" t="str">
        <x:v>DA-005</x:v>
      </x:c>
      <x:c r="D24" s="28" t="n">
        <x:v>2</x:v>
      </x:c>
      <x:c r="E24" s="28" t="str">
        <x:v>site and rig qualification</x:v>
      </x:c>
      <x:c r="F24" s="31" t="str"/>
      <x:c r="G24" s="31" t="str"/>
      <x:c r="H24" s="32" t="str"/>
      <x:c r="I24" s="31" t="str"/>
      <x:c r="J24" s="28" t="str">
        <x:f>IF(I24="","OPEN",IF(OR(F24="",G24="",H24=""),"FAIL","PASS"))</x:f>
        <x:v>OPEN</x:v>
      </x:c>
    </x:row>
    <x:row r="25">
      <x:c r="B25" s="28" t="str">
        <x:v>CQ-DA-005-3</x:v>
      </x:c>
      <x:c r="C25" s="28" t="str">
        <x:v>DA-005</x:v>
      </x:c>
      <x:c r="D25" s="28" t="n">
        <x:v>3</x:v>
      </x:c>
      <x:c r="E25" s="28" t="str">
        <x:v>article-interface qualification</x:v>
      </x:c>
      <x:c r="F25" s="31" t="str"/>
      <x:c r="G25" s="31" t="str"/>
      <x:c r="H25" s="32" t="str"/>
      <x:c r="I25" s="31" t="str"/>
      <x:c r="J25" s="28" t="str">
        <x:f>IF(I25="","OPEN",IF(OR(F25="",G25="",H25=""),"FAIL","PASS"))</x:f>
        <x:v>OPEN</x:v>
      </x:c>
    </x:row>
    <x:row r="26">
      <x:c r="B26" s="28" t="str">
        <x:v>CQ-DA-005-4</x:v>
      </x:c>
      <x:c r="C26" s="28" t="str">
        <x:v>DA-005</x:v>
      </x:c>
      <x:c r="D26" s="28" t="n">
        <x:v>4</x:v>
      </x:c>
      <x:c r="E26" s="28" t="str">
        <x:v>incident and rescue qualification</x:v>
      </x:c>
      <x:c r="F26" s="31" t="str"/>
      <x:c r="G26" s="31" t="str"/>
      <x:c r="H26" s="32" t="str"/>
      <x:c r="I26" s="31" t="str"/>
      <x:c r="J26" s="28" t="str">
        <x:f>IF(I26="","OPEN",IF(OR(F26="",G26="",H26=""),"FAIL","PASS"))</x:f>
        <x:v>OPEN</x:v>
      </x:c>
    </x:row>
    <x:row r="27">
      <x:c r="B27" s="28" t="str">
        <x:v>CQ-DA-006-1</x:v>
      </x:c>
      <x:c r="C27" s="28" t="str">
        <x:v>DA-006</x:v>
      </x:c>
      <x:c r="D27" s="28" t="n">
        <x:v>1</x:v>
      </x:c>
      <x:c r="E27" s="28" t="str">
        <x:v>role qualification</x:v>
      </x:c>
      <x:c r="F27" s="31" t="str"/>
      <x:c r="G27" s="31" t="str"/>
      <x:c r="H27" s="32" t="str"/>
      <x:c r="I27" s="31" t="str"/>
      <x:c r="J27" s="28" t="str">
        <x:f>IF(I27="","OPEN",IF(OR(F27="",G27="",H27=""),"FAIL","PASS"))</x:f>
        <x:v>OPEN</x:v>
      </x:c>
    </x:row>
    <x:row r="28">
      <x:c r="B28" s="28" t="str">
        <x:v>CQ-DA-006-2</x:v>
      </x:c>
      <x:c r="C28" s="28" t="str">
        <x:v>DA-006</x:v>
      </x:c>
      <x:c r="D28" s="28" t="n">
        <x:v>2</x:v>
      </x:c>
      <x:c r="E28" s="28" t="str">
        <x:v>site and rig qualification</x:v>
      </x:c>
      <x:c r="F28" s="31" t="str"/>
      <x:c r="G28" s="31" t="str"/>
      <x:c r="H28" s="32" t="str"/>
      <x:c r="I28" s="31" t="str"/>
      <x:c r="J28" s="28" t="str">
        <x:f>IF(I28="","OPEN",IF(OR(F28="",G28="",H28=""),"FAIL","PASS"))</x:f>
        <x:v>OPEN</x:v>
      </x:c>
    </x:row>
    <x:row r="29">
      <x:c r="B29" s="28" t="str">
        <x:v>CQ-DA-006-3</x:v>
      </x:c>
      <x:c r="C29" s="28" t="str">
        <x:v>DA-006</x:v>
      </x:c>
      <x:c r="D29" s="28" t="n">
        <x:v>3</x:v>
      </x:c>
      <x:c r="E29" s="28" t="str">
        <x:v>article-interface qualification</x:v>
      </x:c>
      <x:c r="F29" s="31" t="str"/>
      <x:c r="G29" s="31" t="str"/>
      <x:c r="H29" s="32" t="str"/>
      <x:c r="I29" s="31" t="str"/>
      <x:c r="J29" s="28" t="str">
        <x:f>IF(I29="","OPEN",IF(OR(F29="",G29="",H29=""),"FAIL","PASS"))</x:f>
        <x:v>OPEN</x:v>
      </x:c>
    </x:row>
    <x:row r="30">
      <x:c r="B30" s="28" t="str">
        <x:v>CQ-DA-006-4</x:v>
      </x:c>
      <x:c r="C30" s="28" t="str">
        <x:v>DA-006</x:v>
      </x:c>
      <x:c r="D30" s="28" t="n">
        <x:v>4</x:v>
      </x:c>
      <x:c r="E30" s="28" t="str">
        <x:v>incident and rescue qualification</x:v>
      </x:c>
      <x:c r="F30" s="31" t="str"/>
      <x:c r="G30" s="31" t="str"/>
      <x:c r="H30" s="32" t="str"/>
      <x:c r="I30" s="31" t="str"/>
      <x:c r="J30" s="28" t="str">
        <x:f>IF(I30="","OPEN",IF(OR(F30="",G30="",H30=""),"FAIL","PASS"))</x:f>
        <x:v>OPEN</x:v>
      </x:c>
    </x:row>
    <x:row r="31">
      <x:c r="B31" s="28" t="str">
        <x:v>CQ-DA-007-1</x:v>
      </x:c>
      <x:c r="C31" s="28" t="str">
        <x:v>DA-007</x:v>
      </x:c>
      <x:c r="D31" s="28" t="n">
        <x:v>1</x:v>
      </x:c>
      <x:c r="E31" s="28" t="str">
        <x:v>role qualification</x:v>
      </x:c>
      <x:c r="F31" s="31" t="str"/>
      <x:c r="G31" s="31" t="str"/>
      <x:c r="H31" s="32" t="str"/>
      <x:c r="I31" s="31" t="str"/>
      <x:c r="J31" s="28" t="str">
        <x:f>IF(I31="","OPEN",IF(OR(F31="",G31="",H31=""),"FAIL","PASS"))</x:f>
        <x:v>OPEN</x:v>
      </x:c>
    </x:row>
    <x:row r="32">
      <x:c r="B32" s="28" t="str">
        <x:v>CQ-DA-007-2</x:v>
      </x:c>
      <x:c r="C32" s="28" t="str">
        <x:v>DA-007</x:v>
      </x:c>
      <x:c r="D32" s="28" t="n">
        <x:v>2</x:v>
      </x:c>
      <x:c r="E32" s="28" t="str">
        <x:v>site and rig qualification</x:v>
      </x:c>
      <x:c r="F32" s="31" t="str"/>
      <x:c r="G32" s="31" t="str"/>
      <x:c r="H32" s="32" t="str"/>
      <x:c r="I32" s="31" t="str"/>
      <x:c r="J32" s="28" t="str">
        <x:f>IF(I32="","OPEN",IF(OR(F32="",G32="",H32=""),"FAIL","PASS"))</x:f>
        <x:v>OPEN</x:v>
      </x:c>
    </x:row>
    <x:row r="33">
      <x:c r="B33" s="28" t="str">
        <x:v>CQ-DA-007-3</x:v>
      </x:c>
      <x:c r="C33" s="28" t="str">
        <x:v>DA-007</x:v>
      </x:c>
      <x:c r="D33" s="28" t="n">
        <x:v>3</x:v>
      </x:c>
      <x:c r="E33" s="28" t="str">
        <x:v>article-interface qualification</x:v>
      </x:c>
      <x:c r="F33" s="31" t="str"/>
      <x:c r="G33" s="31" t="str"/>
      <x:c r="H33" s="32" t="str"/>
      <x:c r="I33" s="31" t="str"/>
      <x:c r="J33" s="28" t="str">
        <x:f>IF(I33="","OPEN",IF(OR(F33="",G33="",H33=""),"FAIL","PASS"))</x:f>
        <x:v>OPEN</x:v>
      </x:c>
    </x:row>
    <x:row r="34">
      <x:c r="B34" s="28" t="str">
        <x:v>CQ-DA-007-4</x:v>
      </x:c>
      <x:c r="C34" s="28" t="str">
        <x:v>DA-007</x:v>
      </x:c>
      <x:c r="D34" s="28" t="n">
        <x:v>4</x:v>
      </x:c>
      <x:c r="E34" s="28" t="str">
        <x:v>incident and rescue qualification</x:v>
      </x:c>
      <x:c r="F34" s="31" t="str"/>
      <x:c r="G34" s="31" t="str"/>
      <x:c r="H34" s="32" t="str"/>
      <x:c r="I34" s="31" t="str"/>
      <x:c r="J34" s="28" t="str">
        <x:f>IF(I34="","OPEN",IF(OR(F34="",G34="",H34=""),"FAIL","PASS"))</x:f>
        <x:v>OPEN</x:v>
      </x:c>
    </x:row>
    <x:row r="35">
      <x:c r="B35" s="28" t="str">
        <x:v>CQ-DA-008-1</x:v>
      </x:c>
      <x:c r="C35" s="28" t="str">
        <x:v>DA-008</x:v>
      </x:c>
      <x:c r="D35" s="28" t="n">
        <x:v>1</x:v>
      </x:c>
      <x:c r="E35" s="28" t="str">
        <x:v>role qualification</x:v>
      </x:c>
      <x:c r="F35" s="31" t="str"/>
      <x:c r="G35" s="31" t="str"/>
      <x:c r="H35" s="32" t="str"/>
      <x:c r="I35" s="31" t="str"/>
      <x:c r="J35" s="28" t="str">
        <x:f>IF(I35="","OPEN",IF(OR(F35="",G35="",H35=""),"FAIL","PASS"))</x:f>
        <x:v>OPEN</x:v>
      </x:c>
    </x:row>
    <x:row r="36">
      <x:c r="B36" s="28" t="str">
        <x:v>CQ-DA-008-2</x:v>
      </x:c>
      <x:c r="C36" s="28" t="str">
        <x:v>DA-008</x:v>
      </x:c>
      <x:c r="D36" s="28" t="n">
        <x:v>2</x:v>
      </x:c>
      <x:c r="E36" s="28" t="str">
        <x:v>site and rig qualification</x:v>
      </x:c>
      <x:c r="F36" s="31" t="str"/>
      <x:c r="G36" s="31" t="str"/>
      <x:c r="H36" s="32" t="str"/>
      <x:c r="I36" s="31" t="str"/>
      <x:c r="J36" s="28" t="str">
        <x:f>IF(I36="","OPEN",IF(OR(F36="",G36="",H36=""),"FAIL","PASS"))</x:f>
        <x:v>OPEN</x:v>
      </x:c>
    </x:row>
    <x:row r="37">
      <x:c r="B37" s="28" t="str">
        <x:v>CQ-DA-008-3</x:v>
      </x:c>
      <x:c r="C37" s="28" t="str">
        <x:v>DA-008</x:v>
      </x:c>
      <x:c r="D37" s="28" t="n">
        <x:v>3</x:v>
      </x:c>
      <x:c r="E37" s="28" t="str">
        <x:v>article-interface qualification</x:v>
      </x:c>
      <x:c r="F37" s="31" t="str"/>
      <x:c r="G37" s="31" t="str"/>
      <x:c r="H37" s="32" t="str"/>
      <x:c r="I37" s="31" t="str"/>
      <x:c r="J37" s="28" t="str">
        <x:f>IF(I37="","OPEN",IF(OR(F37="",G37="",H37=""),"FAIL","PASS"))</x:f>
        <x:v>OPEN</x:v>
      </x:c>
    </x:row>
    <x:row r="38">
      <x:c r="B38" s="28" t="str">
        <x:v>CQ-DA-008-4</x:v>
      </x:c>
      <x:c r="C38" s="28" t="str">
        <x:v>DA-008</x:v>
      </x:c>
      <x:c r="D38" s="28" t="n">
        <x:v>4</x:v>
      </x:c>
      <x:c r="E38" s="28" t="str">
        <x:v>incident and rescue qualification</x:v>
      </x:c>
      <x:c r="F38" s="31" t="str"/>
      <x:c r="G38" s="31" t="str"/>
      <x:c r="H38" s="32" t="str"/>
      <x:c r="I38" s="31" t="str"/>
      <x:c r="J38" s="28" t="str">
        <x:f>IF(I38="","OPEN",IF(OR(F38="",G38="",H38=""),"FAIL","PASS"))</x:f>
        <x:v>OPEN</x:v>
      </x:c>
    </x:row>
    <x:row r="39">
      <x:c r="B39" s="28" t="str">
        <x:v>CQ-DA-009-1</x:v>
      </x:c>
      <x:c r="C39" s="28" t="str">
        <x:v>DA-009</x:v>
      </x:c>
      <x:c r="D39" s="28" t="n">
        <x:v>1</x:v>
      </x:c>
      <x:c r="E39" s="28" t="str">
        <x:v>role qualification</x:v>
      </x:c>
      <x:c r="F39" s="31" t="str"/>
      <x:c r="G39" s="31" t="str"/>
      <x:c r="H39" s="32" t="str"/>
      <x:c r="I39" s="31" t="str"/>
      <x:c r="J39" s="28" t="str">
        <x:f>IF(I39="","OPEN",IF(OR(F39="",G39="",H39=""),"FAIL","PASS"))</x:f>
        <x:v>OPEN</x:v>
      </x:c>
    </x:row>
    <x:row r="40">
      <x:c r="B40" s="28" t="str">
        <x:v>CQ-DA-009-2</x:v>
      </x:c>
      <x:c r="C40" s="28" t="str">
        <x:v>DA-009</x:v>
      </x:c>
      <x:c r="D40" s="28" t="n">
        <x:v>2</x:v>
      </x:c>
      <x:c r="E40" s="28" t="str">
        <x:v>site and rig qualification</x:v>
      </x:c>
      <x:c r="F40" s="31" t="str"/>
      <x:c r="G40" s="31" t="str"/>
      <x:c r="H40" s="32" t="str"/>
      <x:c r="I40" s="31" t="str"/>
      <x:c r="J40" s="28" t="str">
        <x:f>IF(I40="","OPEN",IF(OR(F40="",G40="",H40=""),"FAIL","PASS"))</x:f>
        <x:v>OPEN</x:v>
      </x:c>
    </x:row>
    <x:row r="41">
      <x:c r="B41" s="28" t="str">
        <x:v>CQ-DA-009-3</x:v>
      </x:c>
      <x:c r="C41" s="28" t="str">
        <x:v>DA-009</x:v>
      </x:c>
      <x:c r="D41" s="28" t="n">
        <x:v>3</x:v>
      </x:c>
      <x:c r="E41" s="28" t="str">
        <x:v>article-interface qualification</x:v>
      </x:c>
      <x:c r="F41" s="31" t="str"/>
      <x:c r="G41" s="31" t="str"/>
      <x:c r="H41" s="32" t="str"/>
      <x:c r="I41" s="31" t="str"/>
      <x:c r="J41" s="28" t="str">
        <x:f>IF(I41="","OPEN",IF(OR(F41="",G41="",H41=""),"FAIL","PASS"))</x:f>
        <x:v>OPEN</x:v>
      </x:c>
    </x:row>
    <x:row r="42">
      <x:c r="B42" s="28" t="str">
        <x:v>CQ-DA-009-4</x:v>
      </x:c>
      <x:c r="C42" s="28" t="str">
        <x:v>DA-009</x:v>
      </x:c>
      <x:c r="D42" s="28" t="n">
        <x:v>4</x:v>
      </x:c>
      <x:c r="E42" s="28" t="str">
        <x:v>incident and rescue qualification</x:v>
      </x:c>
      <x:c r="F42" s="31" t="str"/>
      <x:c r="G42" s="31" t="str"/>
      <x:c r="H42" s="32" t="str"/>
      <x:c r="I42" s="31" t="str"/>
      <x:c r="J42" s="28" t="str">
        <x:f>IF(I42="","OPEN",IF(OR(F42="",G42="",H42=""),"FAIL","PASS"))</x:f>
        <x:v>OPEN</x:v>
      </x:c>
    </x:row>
    <x:row r="43">
      <x:c r="B43" s="28" t="str">
        <x:v>CQ-DA-010-1</x:v>
      </x:c>
      <x:c r="C43" s="28" t="str">
        <x:v>DA-010</x:v>
      </x:c>
      <x:c r="D43" s="28" t="n">
        <x:v>1</x:v>
      </x:c>
      <x:c r="E43" s="28" t="str">
        <x:v>role qualification</x:v>
      </x:c>
      <x:c r="F43" s="31" t="str"/>
      <x:c r="G43" s="31" t="str"/>
      <x:c r="H43" s="32" t="str"/>
      <x:c r="I43" s="31" t="str"/>
      <x:c r="J43" s="28" t="str">
        <x:f>IF(I43="","OPEN",IF(OR(F43="",G43="",H43=""),"FAIL","PASS"))</x:f>
        <x:v>OPEN</x:v>
      </x:c>
    </x:row>
    <x:row r="44">
      <x:c r="B44" s="28" t="str">
        <x:v>CQ-DA-010-2</x:v>
      </x:c>
      <x:c r="C44" s="28" t="str">
        <x:v>DA-010</x:v>
      </x:c>
      <x:c r="D44" s="28" t="n">
        <x:v>2</x:v>
      </x:c>
      <x:c r="E44" s="28" t="str">
        <x:v>site and rig qualification</x:v>
      </x:c>
      <x:c r="F44" s="31" t="str"/>
      <x:c r="G44" s="31" t="str"/>
      <x:c r="H44" s="32" t="str"/>
      <x:c r="I44" s="31" t="str"/>
      <x:c r="J44" s="28" t="str">
        <x:f>IF(I44="","OPEN",IF(OR(F44="",G44="",H44=""),"FAIL","PASS"))</x:f>
        <x:v>OPEN</x:v>
      </x:c>
    </x:row>
    <x:row r="45">
      <x:c r="B45" s="28" t="str">
        <x:v>CQ-DA-010-3</x:v>
      </x:c>
      <x:c r="C45" s="28" t="str">
        <x:v>DA-010</x:v>
      </x:c>
      <x:c r="D45" s="28" t="n">
        <x:v>3</x:v>
      </x:c>
      <x:c r="E45" s="28" t="str">
        <x:v>article-interface qualification</x:v>
      </x:c>
      <x:c r="F45" s="31" t="str"/>
      <x:c r="G45" s="31" t="str"/>
      <x:c r="H45" s="32" t="str"/>
      <x:c r="I45" s="31" t="str"/>
      <x:c r="J45" s="28" t="str">
        <x:f>IF(I45="","OPEN",IF(OR(F45="",G45="",H45=""),"FAIL","PASS"))</x:f>
        <x:v>OPEN</x:v>
      </x:c>
    </x:row>
    <x:row r="46">
      <x:c r="B46" s="28" t="str">
        <x:v>CQ-DA-010-4</x:v>
      </x:c>
      <x:c r="C46" s="28" t="str">
        <x:v>DA-010</x:v>
      </x:c>
      <x:c r="D46" s="28" t="n">
        <x:v>4</x:v>
      </x:c>
      <x:c r="E46" s="28" t="str">
        <x:v>incident and rescue qualification</x:v>
      </x:c>
      <x:c r="F46" s="31" t="str"/>
      <x:c r="G46" s="31" t="str"/>
      <x:c r="H46" s="32" t="str"/>
      <x:c r="I46" s="31" t="str"/>
      <x:c r="J46" s="28" t="str">
        <x:f>IF(I46="","OPEN",IF(OR(F46="",G46="",H46=""),"FAIL","PASS"))</x:f>
        <x:v>OPEN</x:v>
      </x:c>
    </x:row>
    <x:row r="47">
      <x:c r="B47" s="28" t="str">
        <x:v>CQ-DA-011-1</x:v>
      </x:c>
      <x:c r="C47" s="28" t="str">
        <x:v>DA-011</x:v>
      </x:c>
      <x:c r="D47" s="28" t="n">
        <x:v>1</x:v>
      </x:c>
      <x:c r="E47" s="28" t="str">
        <x:v>role qualification</x:v>
      </x:c>
      <x:c r="F47" s="31" t="str"/>
      <x:c r="G47" s="31" t="str"/>
      <x:c r="H47" s="32" t="str"/>
      <x:c r="I47" s="31" t="str"/>
      <x:c r="J47" s="28" t="str">
        <x:f>IF(I47="","OPEN",IF(OR(F47="",G47="",H47=""),"FAIL","PASS"))</x:f>
        <x:v>OPEN</x:v>
      </x:c>
    </x:row>
    <x:row r="48">
      <x:c r="B48" s="28" t="str">
        <x:v>CQ-DA-011-2</x:v>
      </x:c>
      <x:c r="C48" s="28" t="str">
        <x:v>DA-011</x:v>
      </x:c>
      <x:c r="D48" s="28" t="n">
        <x:v>2</x:v>
      </x:c>
      <x:c r="E48" s="28" t="str">
        <x:v>site and rig qualification</x:v>
      </x:c>
      <x:c r="F48" s="31" t="str"/>
      <x:c r="G48" s="31" t="str"/>
      <x:c r="H48" s="32" t="str"/>
      <x:c r="I48" s="31" t="str"/>
      <x:c r="J48" s="28" t="str">
        <x:f>IF(I48="","OPEN",IF(OR(F48="",G48="",H48=""),"FAIL","PASS"))</x:f>
        <x:v>OPEN</x:v>
      </x:c>
    </x:row>
    <x:row r="49">
      <x:c r="B49" s="28" t="str">
        <x:v>CQ-DA-011-3</x:v>
      </x:c>
      <x:c r="C49" s="28" t="str">
        <x:v>DA-011</x:v>
      </x:c>
      <x:c r="D49" s="28" t="n">
        <x:v>3</x:v>
      </x:c>
      <x:c r="E49" s="28" t="str">
        <x:v>article-interface qualification</x:v>
      </x:c>
      <x:c r="F49" s="31" t="str"/>
      <x:c r="G49" s="31" t="str"/>
      <x:c r="H49" s="32" t="str"/>
      <x:c r="I49" s="31" t="str"/>
      <x:c r="J49" s="28" t="str">
        <x:f>IF(I49="","OPEN",IF(OR(F49="",G49="",H49=""),"FAIL","PASS"))</x:f>
        <x:v>OPEN</x:v>
      </x:c>
    </x:row>
    <x:row r="50">
      <x:c r="B50" s="28" t="str">
        <x:v>CQ-DA-011-4</x:v>
      </x:c>
      <x:c r="C50" s="28" t="str">
        <x:v>DA-011</x:v>
      </x:c>
      <x:c r="D50" s="28" t="n">
        <x:v>4</x:v>
      </x:c>
      <x:c r="E50" s="28" t="str">
        <x:v>incident and rescue qualification</x:v>
      </x:c>
      <x:c r="F50" s="31" t="str"/>
      <x:c r="G50" s="31" t="str"/>
      <x:c r="H50" s="32" t="str"/>
      <x:c r="I50" s="31" t="str"/>
      <x:c r="J50" s="28" t="str">
        <x:f>IF(I50="","OPEN",IF(OR(F50="",G50="",H50=""),"FAIL","PASS"))</x:f>
        <x:v>OPEN</x:v>
      </x:c>
    </x:row>
    <x:row r="51">
      <x:c r="B51" s="28" t="str">
        <x:v>CQ-DA-012-1</x:v>
      </x:c>
      <x:c r="C51" s="28" t="str">
        <x:v>DA-012</x:v>
      </x:c>
      <x:c r="D51" s="28" t="n">
        <x:v>1</x:v>
      </x:c>
      <x:c r="E51" s="28" t="str">
        <x:v>role qualification</x:v>
      </x:c>
      <x:c r="F51" s="31" t="str"/>
      <x:c r="G51" s="31" t="str"/>
      <x:c r="H51" s="32" t="str"/>
      <x:c r="I51" s="31" t="str"/>
      <x:c r="J51" s="28" t="str">
        <x:f>IF(I51="","OPEN",IF(OR(F51="",G51="",H51=""),"FAIL","PASS"))</x:f>
        <x:v>OPEN</x:v>
      </x:c>
    </x:row>
    <x:row r="52">
      <x:c r="B52" s="28" t="str">
        <x:v>CQ-DA-012-2</x:v>
      </x:c>
      <x:c r="C52" s="28" t="str">
        <x:v>DA-012</x:v>
      </x:c>
      <x:c r="D52" s="28" t="n">
        <x:v>2</x:v>
      </x:c>
      <x:c r="E52" s="28" t="str">
        <x:v>site and rig qualification</x:v>
      </x:c>
      <x:c r="F52" s="31" t="str"/>
      <x:c r="G52" s="31" t="str"/>
      <x:c r="H52" s="32" t="str"/>
      <x:c r="I52" s="31" t="str"/>
      <x:c r="J52" s="28" t="str">
        <x:f>IF(I52="","OPEN",IF(OR(F52="",G52="",H52=""),"FAIL","PASS"))</x:f>
        <x:v>OPEN</x:v>
      </x:c>
    </x:row>
    <x:row r="53">
      <x:c r="B53" s="28" t="str">
        <x:v>CQ-DA-012-3</x:v>
      </x:c>
      <x:c r="C53" s="28" t="str">
        <x:v>DA-012</x:v>
      </x:c>
      <x:c r="D53" s="28" t="n">
        <x:v>3</x:v>
      </x:c>
      <x:c r="E53" s="28" t="str">
        <x:v>article-interface qualification</x:v>
      </x:c>
      <x:c r="F53" s="31" t="str"/>
      <x:c r="G53" s="31" t="str"/>
      <x:c r="H53" s="32" t="str"/>
      <x:c r="I53" s="31" t="str"/>
      <x:c r="J53" s="28" t="str">
        <x:f>IF(I53="","OPEN",IF(OR(F53="",G53="",H53=""),"FAIL","PASS"))</x:f>
        <x:v>OPEN</x:v>
      </x:c>
    </x:row>
    <x:row r="54">
      <x:c r="B54" s="28" t="str">
        <x:v>CQ-DA-012-4</x:v>
      </x:c>
      <x:c r="C54" s="28" t="str">
        <x:v>DA-012</x:v>
      </x:c>
      <x:c r="D54" s="28" t="n">
        <x:v>4</x:v>
      </x:c>
      <x:c r="E54" s="28" t="str">
        <x:v>incident and rescue qualification</x:v>
      </x:c>
      <x:c r="F54" s="31" t="str"/>
      <x:c r="G54" s="31" t="str"/>
      <x:c r="H54" s="32" t="str"/>
      <x:c r="I54" s="31" t="str"/>
      <x:c r="J54" s="28" t="str">
        <x:f>IF(I54="","OPEN",IF(OR(F54="",G54="",H54=""),"FAIL","PASS"))</x:f>
        <x:v>OPEN</x:v>
      </x:c>
    </x:row>
    <x:row r="55">
      <x:c r="B55" s="28" t="str">
        <x:v>CQ-DA-013-1</x:v>
      </x:c>
      <x:c r="C55" s="28" t="str">
        <x:v>DA-013</x:v>
      </x:c>
      <x:c r="D55" s="28" t="n">
        <x:v>1</x:v>
      </x:c>
      <x:c r="E55" s="28" t="str">
        <x:v>role qualification</x:v>
      </x:c>
      <x:c r="F55" s="31" t="str"/>
      <x:c r="G55" s="31" t="str"/>
      <x:c r="H55" s="32" t="str"/>
      <x:c r="I55" s="31" t="str"/>
      <x:c r="J55" s="28" t="str">
        <x:f>IF(I55="","OPEN",IF(OR(F55="",G55="",H55=""),"FAIL","PASS"))</x:f>
        <x:v>OPEN</x:v>
      </x:c>
    </x:row>
    <x:row r="56">
      <x:c r="B56" s="28" t="str">
        <x:v>CQ-DA-013-2</x:v>
      </x:c>
      <x:c r="C56" s="28" t="str">
        <x:v>DA-013</x:v>
      </x:c>
      <x:c r="D56" s="28" t="n">
        <x:v>2</x:v>
      </x:c>
      <x:c r="E56" s="28" t="str">
        <x:v>site and rig qualification</x:v>
      </x:c>
      <x:c r="F56" s="31" t="str"/>
      <x:c r="G56" s="31" t="str"/>
      <x:c r="H56" s="32" t="str"/>
      <x:c r="I56" s="31" t="str"/>
      <x:c r="J56" s="28" t="str">
        <x:f>IF(I56="","OPEN",IF(OR(F56="",G56="",H56=""),"FAIL","PASS"))</x:f>
        <x:v>OPEN</x:v>
      </x:c>
    </x:row>
    <x:row r="57">
      <x:c r="B57" s="28" t="str">
        <x:v>CQ-DA-013-3</x:v>
      </x:c>
      <x:c r="C57" s="28" t="str">
        <x:v>DA-013</x:v>
      </x:c>
      <x:c r="D57" s="28" t="n">
        <x:v>3</x:v>
      </x:c>
      <x:c r="E57" s="28" t="str">
        <x:v>article-interface qualification</x:v>
      </x:c>
      <x:c r="F57" s="31" t="str"/>
      <x:c r="G57" s="31" t="str"/>
      <x:c r="H57" s="32" t="str"/>
      <x:c r="I57" s="31" t="str"/>
      <x:c r="J57" s="28" t="str">
        <x:f>IF(I57="","OPEN",IF(OR(F57="",G57="",H57=""),"FAIL","PASS"))</x:f>
        <x:v>OPEN</x:v>
      </x:c>
    </x:row>
    <x:row r="58">
      <x:c r="B58" s="28" t="str">
        <x:v>CQ-DA-013-4</x:v>
      </x:c>
      <x:c r="C58" s="28" t="str">
        <x:v>DA-013</x:v>
      </x:c>
      <x:c r="D58" s="28" t="n">
        <x:v>4</x:v>
      </x:c>
      <x:c r="E58" s="28" t="str">
        <x:v>incident and rescue qualification</x:v>
      </x:c>
      <x:c r="F58" s="31" t="str"/>
      <x:c r="G58" s="31" t="str"/>
      <x:c r="H58" s="32" t="str"/>
      <x:c r="I58" s="31" t="str"/>
      <x:c r="J58" s="28" t="str">
        <x:f>IF(I58="","OPEN",IF(OR(F58="",G58="",H58=""),"FAIL","PASS"))</x:f>
        <x:v>OPEN</x:v>
      </x:c>
    </x:row>
    <x:row r="59">
      <x:c r="B59" s="28" t="str">
        <x:v>CQ-DA-014-1</x:v>
      </x:c>
      <x:c r="C59" s="28" t="str">
        <x:v>DA-014</x:v>
      </x:c>
      <x:c r="D59" s="28" t="n">
        <x:v>1</x:v>
      </x:c>
      <x:c r="E59" s="28" t="str">
        <x:v>role qualification</x:v>
      </x:c>
      <x:c r="F59" s="31" t="str"/>
      <x:c r="G59" s="31" t="str"/>
      <x:c r="H59" s="32" t="str"/>
      <x:c r="I59" s="31" t="str"/>
      <x:c r="J59" s="28" t="str">
        <x:f>IF(I59="","OPEN",IF(OR(F59="",G59="",H59=""),"FAIL","PASS"))</x:f>
        <x:v>OPEN</x:v>
      </x:c>
    </x:row>
    <x:row r="60">
      <x:c r="B60" s="28" t="str">
        <x:v>CQ-DA-014-2</x:v>
      </x:c>
      <x:c r="C60" s="28" t="str">
        <x:v>DA-014</x:v>
      </x:c>
      <x:c r="D60" s="28" t="n">
        <x:v>2</x:v>
      </x:c>
      <x:c r="E60" s="28" t="str">
        <x:v>site and rig qualification</x:v>
      </x:c>
      <x:c r="F60" s="31" t="str"/>
      <x:c r="G60" s="31" t="str"/>
      <x:c r="H60" s="32" t="str"/>
      <x:c r="I60" s="31" t="str"/>
      <x:c r="J60" s="28" t="str">
        <x:f>IF(I60="","OPEN",IF(OR(F60="",G60="",H60=""),"FAIL","PASS"))</x:f>
        <x:v>OPEN</x:v>
      </x:c>
    </x:row>
    <x:row r="61">
      <x:c r="B61" s="28" t="str">
        <x:v>CQ-DA-014-3</x:v>
      </x:c>
      <x:c r="C61" s="28" t="str">
        <x:v>DA-014</x:v>
      </x:c>
      <x:c r="D61" s="28" t="n">
        <x:v>3</x:v>
      </x:c>
      <x:c r="E61" s="28" t="str">
        <x:v>article-interface qualification</x:v>
      </x:c>
      <x:c r="F61" s="31" t="str"/>
      <x:c r="G61" s="31" t="str"/>
      <x:c r="H61" s="32" t="str"/>
      <x:c r="I61" s="31" t="str"/>
      <x:c r="J61" s="28" t="str">
        <x:f>IF(I61="","OPEN",IF(OR(F61="",G61="",H61=""),"FAIL","PASS"))</x:f>
        <x:v>OPEN</x:v>
      </x:c>
    </x:row>
    <x:row r="62">
      <x:c r="B62" s="28" t="str">
        <x:v>CQ-DA-014-4</x:v>
      </x:c>
      <x:c r="C62" s="28" t="str">
        <x:v>DA-014</x:v>
      </x:c>
      <x:c r="D62" s="28" t="n">
        <x:v>4</x:v>
      </x:c>
      <x:c r="E62" s="28" t="str">
        <x:v>incident and rescue qualification</x:v>
      </x:c>
      <x:c r="F62" s="31" t="str"/>
      <x:c r="G62" s="31" t="str"/>
      <x:c r="H62" s="32" t="str"/>
      <x:c r="I62" s="31" t="str"/>
      <x:c r="J62" s="28" t="str">
        <x:f>IF(I62="","OPEN",IF(OR(F62="",G62="",H62=""),"FAIL","PASS"))</x:f>
        <x:v>OPEN</x:v>
      </x:c>
    </x:row>
    <x:row r="63">
      <x:c r="B63" s="28" t="str">
        <x:v>CQ-DA-015-1</x:v>
      </x:c>
      <x:c r="C63" s="28" t="str">
        <x:v>DA-015</x:v>
      </x:c>
      <x:c r="D63" s="28" t="n">
        <x:v>1</x:v>
      </x:c>
      <x:c r="E63" s="28" t="str">
        <x:v>role qualification</x:v>
      </x:c>
      <x:c r="F63" s="31" t="str"/>
      <x:c r="G63" s="31" t="str"/>
      <x:c r="H63" s="32" t="str"/>
      <x:c r="I63" s="31" t="str"/>
      <x:c r="J63" s="28" t="str">
        <x:f>IF(I63="","OPEN",IF(OR(F63="",G63="",H63=""),"FAIL","PASS"))</x:f>
        <x:v>OPEN</x:v>
      </x:c>
    </x:row>
    <x:row r="64">
      <x:c r="B64" s="28" t="str">
        <x:v>CQ-DA-015-2</x:v>
      </x:c>
      <x:c r="C64" s="28" t="str">
        <x:v>DA-015</x:v>
      </x:c>
      <x:c r="D64" s="28" t="n">
        <x:v>2</x:v>
      </x:c>
      <x:c r="E64" s="28" t="str">
        <x:v>site and rig qualification</x:v>
      </x:c>
      <x:c r="F64" s="31" t="str"/>
      <x:c r="G64" s="31" t="str"/>
      <x:c r="H64" s="32" t="str"/>
      <x:c r="I64" s="31" t="str"/>
      <x:c r="J64" s="28" t="str">
        <x:f>IF(I64="","OPEN",IF(OR(F64="",G64="",H64=""),"FAIL","PASS"))</x:f>
        <x:v>OPEN</x:v>
      </x:c>
    </x:row>
    <x:row r="65">
      <x:c r="B65" s="28" t="str">
        <x:v>CQ-DA-015-3</x:v>
      </x:c>
      <x:c r="C65" s="28" t="str">
        <x:v>DA-015</x:v>
      </x:c>
      <x:c r="D65" s="28" t="n">
        <x:v>3</x:v>
      </x:c>
      <x:c r="E65" s="28" t="str">
        <x:v>article-interface qualification</x:v>
      </x:c>
      <x:c r="F65" s="31" t="str"/>
      <x:c r="G65" s="31" t="str"/>
      <x:c r="H65" s="32" t="str"/>
      <x:c r="I65" s="31" t="str"/>
      <x:c r="J65" s="28" t="str">
        <x:f>IF(I65="","OPEN",IF(OR(F65="",G65="",H65=""),"FAIL","PASS"))</x:f>
        <x:v>OPEN</x:v>
      </x:c>
    </x:row>
    <x:row r="66">
      <x:c r="B66" s="28" t="str">
        <x:v>CQ-DA-015-4</x:v>
      </x:c>
      <x:c r="C66" s="28" t="str">
        <x:v>DA-015</x:v>
      </x:c>
      <x:c r="D66" s="28" t="n">
        <x:v>4</x:v>
      </x:c>
      <x:c r="E66" s="28" t="str">
        <x:v>incident and rescue qualification</x:v>
      </x:c>
      <x:c r="F66" s="31" t="str"/>
      <x:c r="G66" s="31" t="str"/>
      <x:c r="H66" s="32" t="str"/>
      <x:c r="I66" s="31" t="str"/>
      <x:c r="J66" s="28" t="str">
        <x:f>IF(I66="","OPEN",IF(OR(F66="",G66="",H66=""),"FAIL","PASS"))</x:f>
        <x:v>OPEN</x:v>
      </x:c>
    </x:row>
    <x:row r="67">
      <x:c r="B67" s="28" t="str">
        <x:v>CQ-DA-016-1</x:v>
      </x:c>
      <x:c r="C67" s="28" t="str">
        <x:v>DA-016</x:v>
      </x:c>
      <x:c r="D67" s="28" t="n">
        <x:v>1</x:v>
      </x:c>
      <x:c r="E67" s="28" t="str">
        <x:v>role qualification</x:v>
      </x:c>
      <x:c r="F67" s="31" t="str"/>
      <x:c r="G67" s="31" t="str"/>
      <x:c r="H67" s="32" t="str"/>
      <x:c r="I67" s="31" t="str"/>
      <x:c r="J67" s="28" t="str">
        <x:f>IF(I67="","OPEN",IF(OR(F67="",G67="",H67=""),"FAIL","PASS"))</x:f>
        <x:v>OPEN</x:v>
      </x:c>
    </x:row>
    <x:row r="68">
      <x:c r="B68" s="28" t="str">
        <x:v>CQ-DA-016-2</x:v>
      </x:c>
      <x:c r="C68" s="28" t="str">
        <x:v>DA-016</x:v>
      </x:c>
      <x:c r="D68" s="28" t="n">
        <x:v>2</x:v>
      </x:c>
      <x:c r="E68" s="28" t="str">
        <x:v>site and rig qualification</x:v>
      </x:c>
      <x:c r="F68" s="31" t="str"/>
      <x:c r="G68" s="31" t="str"/>
      <x:c r="H68" s="32" t="str"/>
      <x:c r="I68" s="31" t="str"/>
      <x:c r="J68" s="28" t="str">
        <x:f>IF(I68="","OPEN",IF(OR(F68="",G68="",H68=""),"FAIL","PASS"))</x:f>
        <x:v>OPEN</x:v>
      </x:c>
    </x:row>
    <x:row r="69">
      <x:c r="B69" s="28" t="str">
        <x:v>CQ-DA-016-3</x:v>
      </x:c>
      <x:c r="C69" s="28" t="str">
        <x:v>DA-016</x:v>
      </x:c>
      <x:c r="D69" s="28" t="n">
        <x:v>3</x:v>
      </x:c>
      <x:c r="E69" s="28" t="str">
        <x:v>article-interface qualification</x:v>
      </x:c>
      <x:c r="F69" s="31" t="str"/>
      <x:c r="G69" s="31" t="str"/>
      <x:c r="H69" s="32" t="str"/>
      <x:c r="I69" s="31" t="str"/>
      <x:c r="J69" s="28" t="str">
        <x:f>IF(I69="","OPEN",IF(OR(F69="",G69="",H69=""),"FAIL","PASS"))</x:f>
        <x:v>OPEN</x:v>
      </x:c>
    </x:row>
    <x:row r="70">
      <x:c r="B70" s="28" t="str">
        <x:v>CQ-DA-016-4</x:v>
      </x:c>
      <x:c r="C70" s="28" t="str">
        <x:v>DA-016</x:v>
      </x:c>
      <x:c r="D70" s="28" t="n">
        <x:v>4</x:v>
      </x:c>
      <x:c r="E70" s="28" t="str">
        <x:v>incident and rescue qualification</x:v>
      </x:c>
      <x:c r="F70" s="31" t="str"/>
      <x:c r="G70" s="31" t="str"/>
      <x:c r="H70" s="32" t="str"/>
      <x:c r="I70" s="31" t="str"/>
      <x:c r="J70" s="28" t="str">
        <x:f>IF(I70="","OPEN",IF(OR(F70="",G70="",H70=""),"FAIL","PASS"))</x:f>
        <x:v>OPEN</x:v>
      </x:c>
    </x:row>
    <x:row r="71">
      <x:c r="B71" s="28" t="str">
        <x:v>CQ-DA-017-1</x:v>
      </x:c>
      <x:c r="C71" s="28" t="str">
        <x:v>DA-017</x:v>
      </x:c>
      <x:c r="D71" s="28" t="n">
        <x:v>1</x:v>
      </x:c>
      <x:c r="E71" s="28" t="str">
        <x:v>role qualification</x:v>
      </x:c>
      <x:c r="F71" s="31" t="str"/>
      <x:c r="G71" s="31" t="str"/>
      <x:c r="H71" s="32" t="str"/>
      <x:c r="I71" s="31" t="str"/>
      <x:c r="J71" s="28" t="str">
        <x:f>IF(I71="","OPEN",IF(OR(F71="",G71="",H71=""),"FAIL","PASS"))</x:f>
        <x:v>OPEN</x:v>
      </x:c>
    </x:row>
    <x:row r="72">
      <x:c r="B72" s="28" t="str">
        <x:v>CQ-DA-017-2</x:v>
      </x:c>
      <x:c r="C72" s="28" t="str">
        <x:v>DA-017</x:v>
      </x:c>
      <x:c r="D72" s="28" t="n">
        <x:v>2</x:v>
      </x:c>
      <x:c r="E72" s="28" t="str">
        <x:v>site and rig qualification</x:v>
      </x:c>
      <x:c r="F72" s="31" t="str"/>
      <x:c r="G72" s="31" t="str"/>
      <x:c r="H72" s="32" t="str"/>
      <x:c r="I72" s="31" t="str"/>
      <x:c r="J72" s="28" t="str">
        <x:f>IF(I72="","OPEN",IF(OR(F72="",G72="",H72=""),"FAIL","PASS"))</x:f>
        <x:v>OPEN</x:v>
      </x:c>
    </x:row>
    <x:row r="73">
      <x:c r="B73" s="28" t="str">
        <x:v>CQ-DA-017-3</x:v>
      </x:c>
      <x:c r="C73" s="28" t="str">
        <x:v>DA-017</x:v>
      </x:c>
      <x:c r="D73" s="28" t="n">
        <x:v>3</x:v>
      </x:c>
      <x:c r="E73" s="28" t="str">
        <x:v>article-interface qualification</x:v>
      </x:c>
      <x:c r="F73" s="31" t="str"/>
      <x:c r="G73" s="31" t="str"/>
      <x:c r="H73" s="32" t="str"/>
      <x:c r="I73" s="31" t="str"/>
      <x:c r="J73" s="28" t="str">
        <x:f>IF(I73="","OPEN",IF(OR(F73="",G73="",H73=""),"FAIL","PASS"))</x:f>
        <x:v>OPEN</x:v>
      </x:c>
    </x:row>
    <x:row r="74">
      <x:c r="B74" s="28" t="str">
        <x:v>CQ-DA-017-4</x:v>
      </x:c>
      <x:c r="C74" s="28" t="str">
        <x:v>DA-017</x:v>
      </x:c>
      <x:c r="D74" s="28" t="n">
        <x:v>4</x:v>
      </x:c>
      <x:c r="E74" s="28" t="str">
        <x:v>incident and rescue qualification</x:v>
      </x:c>
      <x:c r="F74" s="31" t="str"/>
      <x:c r="G74" s="31" t="str"/>
      <x:c r="H74" s="32" t="str"/>
      <x:c r="I74" s="31" t="str"/>
      <x:c r="J74" s="28" t="str">
        <x:f>IF(I74="","OPEN",IF(OR(F74="",G74="",H74=""),"FAIL","PASS"))</x:f>
        <x:v>OPEN</x:v>
      </x:c>
    </x:row>
    <x:row r="75">
      <x:c r="B75" s="28" t="str">
        <x:v>CQ-DA-018-1</x:v>
      </x:c>
      <x:c r="C75" s="28" t="str">
        <x:v>DA-018</x:v>
      </x:c>
      <x:c r="D75" s="28" t="n">
        <x:v>1</x:v>
      </x:c>
      <x:c r="E75" s="28" t="str">
        <x:v>role qualification</x:v>
      </x:c>
      <x:c r="F75" s="31" t="str"/>
      <x:c r="G75" s="31" t="str"/>
      <x:c r="H75" s="32" t="str"/>
      <x:c r="I75" s="31" t="str"/>
      <x:c r="J75" s="28" t="str">
        <x:f>IF(I75="","OPEN",IF(OR(F75="",G75="",H75=""),"FAIL","PASS"))</x:f>
        <x:v>OPEN</x:v>
      </x:c>
    </x:row>
    <x:row r="76">
      <x:c r="B76" s="28" t="str">
        <x:v>CQ-DA-018-2</x:v>
      </x:c>
      <x:c r="C76" s="28" t="str">
        <x:v>DA-018</x:v>
      </x:c>
      <x:c r="D76" s="28" t="n">
        <x:v>2</x:v>
      </x:c>
      <x:c r="E76" s="28" t="str">
        <x:v>site and rig qualification</x:v>
      </x:c>
      <x:c r="F76" s="31" t="str"/>
      <x:c r="G76" s="31" t="str"/>
      <x:c r="H76" s="32" t="str"/>
      <x:c r="I76" s="31" t="str"/>
      <x:c r="J76" s="28" t="str">
        <x:f>IF(I76="","OPEN",IF(OR(F76="",G76="",H76=""),"FAIL","PASS"))</x:f>
        <x:v>OPEN</x:v>
      </x:c>
    </x:row>
    <x:row r="77">
      <x:c r="B77" s="28" t="str">
        <x:v>CQ-DA-018-3</x:v>
      </x:c>
      <x:c r="C77" s="28" t="str">
        <x:v>DA-018</x:v>
      </x:c>
      <x:c r="D77" s="28" t="n">
        <x:v>3</x:v>
      </x:c>
      <x:c r="E77" s="28" t="str">
        <x:v>article-interface qualification</x:v>
      </x:c>
      <x:c r="F77" s="31" t="str"/>
      <x:c r="G77" s="31" t="str"/>
      <x:c r="H77" s="32" t="str"/>
      <x:c r="I77" s="31" t="str"/>
      <x:c r="J77" s="28" t="str">
        <x:f>IF(I77="","OPEN",IF(OR(F77="",G77="",H77=""),"FAIL","PASS"))</x:f>
        <x:v>OPEN</x:v>
      </x:c>
    </x:row>
    <x:row r="78">
      <x:c r="B78" s="28" t="str">
        <x:v>CQ-DA-018-4</x:v>
      </x:c>
      <x:c r="C78" s="28" t="str">
        <x:v>DA-018</x:v>
      </x:c>
      <x:c r="D78" s="28" t="n">
        <x:v>4</x:v>
      </x:c>
      <x:c r="E78" s="28" t="str">
        <x:v>incident and rescue qualification</x:v>
      </x:c>
      <x:c r="F78" s="31" t="str"/>
      <x:c r="G78" s="31" t="str"/>
      <x:c r="H78" s="32" t="str"/>
      <x:c r="I78" s="31" t="str"/>
      <x:c r="J78" s="28" t="str">
        <x:f>IF(I78="","OPEN",IF(OR(F78="",G78="",H78=""),"FAIL","PASS"))</x:f>
        <x:v>OPEN</x:v>
      </x:c>
    </x:row>
    <x:row r="79">
      <x:c r="B79" s="28" t="str">
        <x:v>CQ-DA-019-1</x:v>
      </x:c>
      <x:c r="C79" s="28" t="str">
        <x:v>DA-019</x:v>
      </x:c>
      <x:c r="D79" s="28" t="n">
        <x:v>1</x:v>
      </x:c>
      <x:c r="E79" s="28" t="str">
        <x:v>role qualification</x:v>
      </x:c>
      <x:c r="F79" s="31" t="str"/>
      <x:c r="G79" s="31" t="str"/>
      <x:c r="H79" s="32" t="str"/>
      <x:c r="I79" s="31" t="str"/>
      <x:c r="J79" s="28" t="str">
        <x:f>IF(I79="","OPEN",IF(OR(F79="",G79="",H79=""),"FAIL","PASS"))</x:f>
        <x:v>OPEN</x:v>
      </x:c>
    </x:row>
    <x:row r="80">
      <x:c r="B80" s="28" t="str">
        <x:v>CQ-DA-019-2</x:v>
      </x:c>
      <x:c r="C80" s="28" t="str">
        <x:v>DA-019</x:v>
      </x:c>
      <x:c r="D80" s="28" t="n">
        <x:v>2</x:v>
      </x:c>
      <x:c r="E80" s="28" t="str">
        <x:v>site and rig qualification</x:v>
      </x:c>
      <x:c r="F80" s="31" t="str"/>
      <x:c r="G80" s="31" t="str"/>
      <x:c r="H80" s="32" t="str"/>
      <x:c r="I80" s="31" t="str"/>
      <x:c r="J80" s="28" t="str">
        <x:f>IF(I80="","OPEN",IF(OR(F80="",G80="",H80=""),"FAIL","PASS"))</x:f>
        <x:v>OPEN</x:v>
      </x:c>
    </x:row>
    <x:row r="81">
      <x:c r="B81" s="28" t="str">
        <x:v>CQ-DA-019-3</x:v>
      </x:c>
      <x:c r="C81" s="28" t="str">
        <x:v>DA-019</x:v>
      </x:c>
      <x:c r="D81" s="28" t="n">
        <x:v>3</x:v>
      </x:c>
      <x:c r="E81" s="28" t="str">
        <x:v>article-interface qualification</x:v>
      </x:c>
      <x:c r="F81" s="31" t="str"/>
      <x:c r="G81" s="31" t="str"/>
      <x:c r="H81" s="32" t="str"/>
      <x:c r="I81" s="31" t="str"/>
      <x:c r="J81" s="28" t="str">
        <x:f>IF(I81="","OPEN",IF(OR(F81="",G81="",H81=""),"FAIL","PASS"))</x:f>
        <x:v>OPEN</x:v>
      </x:c>
    </x:row>
    <x:row r="82">
      <x:c r="B82" s="28" t="str">
        <x:v>CQ-DA-019-4</x:v>
      </x:c>
      <x:c r="C82" s="28" t="str">
        <x:v>DA-019</x:v>
      </x:c>
      <x:c r="D82" s="28" t="n">
        <x:v>4</x:v>
      </x:c>
      <x:c r="E82" s="28" t="str">
        <x:v>incident and rescue qualification</x:v>
      </x:c>
      <x:c r="F82" s="31" t="str"/>
      <x:c r="G82" s="31" t="str"/>
      <x:c r="H82" s="32" t="str"/>
      <x:c r="I82" s="31" t="str"/>
      <x:c r="J82" s="28" t="str">
        <x:f>IF(I82="","OPEN",IF(OR(F82="",G82="",H82=""),"FAIL","PASS"))</x:f>
        <x:v>OPEN</x:v>
      </x:c>
    </x:row>
    <x:row r="83">
      <x:c r="B83" s="28" t="str">
        <x:v>CQ-DA-020-1</x:v>
      </x:c>
      <x:c r="C83" s="28" t="str">
        <x:v>DA-020</x:v>
      </x:c>
      <x:c r="D83" s="28" t="n">
        <x:v>1</x:v>
      </x:c>
      <x:c r="E83" s="28" t="str">
        <x:v>role qualification</x:v>
      </x:c>
      <x:c r="F83" s="31" t="str"/>
      <x:c r="G83" s="31" t="str"/>
      <x:c r="H83" s="32" t="str"/>
      <x:c r="I83" s="31" t="str"/>
      <x:c r="J83" s="28" t="str">
        <x:f>IF(I83="","OPEN",IF(OR(F83="",G83="",H83=""),"FAIL","PASS"))</x:f>
        <x:v>OPEN</x:v>
      </x:c>
    </x:row>
    <x:row r="84">
      <x:c r="B84" s="28" t="str">
        <x:v>CQ-DA-020-2</x:v>
      </x:c>
      <x:c r="C84" s="28" t="str">
        <x:v>DA-020</x:v>
      </x:c>
      <x:c r="D84" s="28" t="n">
        <x:v>2</x:v>
      </x:c>
      <x:c r="E84" s="28" t="str">
        <x:v>site and rig qualification</x:v>
      </x:c>
      <x:c r="F84" s="31" t="str"/>
      <x:c r="G84" s="31" t="str"/>
      <x:c r="H84" s="32" t="str"/>
      <x:c r="I84" s="31" t="str"/>
      <x:c r="J84" s="28" t="str">
        <x:f>IF(I84="","OPEN",IF(OR(F84="",G84="",H84=""),"FAIL","PASS"))</x:f>
        <x:v>OPEN</x:v>
      </x:c>
    </x:row>
    <x:row r="85">
      <x:c r="B85" s="28" t="str">
        <x:v>CQ-DA-020-3</x:v>
      </x:c>
      <x:c r="C85" s="28" t="str">
        <x:v>DA-020</x:v>
      </x:c>
      <x:c r="D85" s="28" t="n">
        <x:v>3</x:v>
      </x:c>
      <x:c r="E85" s="28" t="str">
        <x:v>article-interface qualification</x:v>
      </x:c>
      <x:c r="F85" s="31" t="str"/>
      <x:c r="G85" s="31" t="str"/>
      <x:c r="H85" s="32" t="str"/>
      <x:c r="I85" s="31" t="str"/>
      <x:c r="J85" s="28" t="str">
        <x:f>IF(I85="","OPEN",IF(OR(F85="",G85="",H85=""),"FAIL","PASS"))</x:f>
        <x:v>OPEN</x:v>
      </x:c>
    </x:row>
    <x:row r="86">
      <x:c r="B86" s="28" t="str">
        <x:v>CQ-DA-020-4</x:v>
      </x:c>
      <x:c r="C86" s="28" t="str">
        <x:v>DA-020</x:v>
      </x:c>
      <x:c r="D86" s="28" t="n">
        <x:v>4</x:v>
      </x:c>
      <x:c r="E86" s="28" t="str">
        <x:v>incident and rescue qualification</x:v>
      </x:c>
      <x:c r="F86" s="31" t="str"/>
      <x:c r="G86" s="31" t="str"/>
      <x:c r="H86" s="32" t="str"/>
      <x:c r="I86" s="31" t="str"/>
      <x:c r="J86" s="28" t="str">
        <x:f>IF(I86="","OPEN",IF(OR(F86="",G86="",H86=""),"FAIL","PASS"))</x:f>
        <x:v>OPEN</x:v>
      </x:c>
    </x:row>
    <x:row r="87">
      <x:c r="B87" s="28" t="str">
        <x:v>CQ-DA-021-1</x:v>
      </x:c>
      <x:c r="C87" s="28" t="str">
        <x:v>DA-021</x:v>
      </x:c>
      <x:c r="D87" s="28" t="n">
        <x:v>1</x:v>
      </x:c>
      <x:c r="E87" s="28" t="str">
        <x:v>role qualification</x:v>
      </x:c>
      <x:c r="F87" s="31" t="str"/>
      <x:c r="G87" s="31" t="str"/>
      <x:c r="H87" s="32" t="str"/>
      <x:c r="I87" s="31" t="str"/>
      <x:c r="J87" s="28" t="str">
        <x:f>IF(I87="","OPEN",IF(OR(F87="",G87="",H87=""),"FAIL","PASS"))</x:f>
        <x:v>OPEN</x:v>
      </x:c>
    </x:row>
    <x:row r="88">
      <x:c r="B88" s="28" t="str">
        <x:v>CQ-DA-021-2</x:v>
      </x:c>
      <x:c r="C88" s="28" t="str">
        <x:v>DA-021</x:v>
      </x:c>
      <x:c r="D88" s="28" t="n">
        <x:v>2</x:v>
      </x:c>
      <x:c r="E88" s="28" t="str">
        <x:v>site and rig qualification</x:v>
      </x:c>
      <x:c r="F88" s="31" t="str"/>
      <x:c r="G88" s="31" t="str"/>
      <x:c r="H88" s="32" t="str"/>
      <x:c r="I88" s="31" t="str"/>
      <x:c r="J88" s="28" t="str">
        <x:f>IF(I88="","OPEN",IF(OR(F88="",G88="",H88=""),"FAIL","PASS"))</x:f>
        <x:v>OPEN</x:v>
      </x:c>
    </x:row>
    <x:row r="89">
      <x:c r="B89" s="28" t="str">
        <x:v>CQ-DA-021-3</x:v>
      </x:c>
      <x:c r="C89" s="28" t="str">
        <x:v>DA-021</x:v>
      </x:c>
      <x:c r="D89" s="28" t="n">
        <x:v>3</x:v>
      </x:c>
      <x:c r="E89" s="28" t="str">
        <x:v>article-interface qualification</x:v>
      </x:c>
      <x:c r="F89" s="31" t="str"/>
      <x:c r="G89" s="31" t="str"/>
      <x:c r="H89" s="32" t="str"/>
      <x:c r="I89" s="31" t="str"/>
      <x:c r="J89" s="28" t="str">
        <x:f>IF(I89="","OPEN",IF(OR(F89="",G89="",H89=""),"FAIL","PASS"))</x:f>
        <x:v>OPEN</x:v>
      </x:c>
    </x:row>
    <x:row r="90">
      <x:c r="B90" s="28" t="str">
        <x:v>CQ-DA-021-4</x:v>
      </x:c>
      <x:c r="C90" s="28" t="str">
        <x:v>DA-021</x:v>
      </x:c>
      <x:c r="D90" s="28" t="n">
        <x:v>4</x:v>
      </x:c>
      <x:c r="E90" s="28" t="str">
        <x:v>incident and rescue qualification</x:v>
      </x:c>
      <x:c r="F90" s="31" t="str"/>
      <x:c r="G90" s="31" t="str"/>
      <x:c r="H90" s="32" t="str"/>
      <x:c r="I90" s="31" t="str"/>
      <x:c r="J90" s="28" t="str">
        <x:f>IF(I90="","OPEN",IF(OR(F90="",G90="",H90=""),"FAIL","PASS"))</x:f>
        <x:v>OPEN</x:v>
      </x:c>
    </x:row>
    <x:row r="91">
      <x:c r="B91" s="28" t="str">
        <x:v>CQ-DA-022-1</x:v>
      </x:c>
      <x:c r="C91" s="28" t="str">
        <x:v>DA-022</x:v>
      </x:c>
      <x:c r="D91" s="28" t="n">
        <x:v>1</x:v>
      </x:c>
      <x:c r="E91" s="28" t="str">
        <x:v>role qualification</x:v>
      </x:c>
      <x:c r="F91" s="31" t="str"/>
      <x:c r="G91" s="31" t="str"/>
      <x:c r="H91" s="32" t="str"/>
      <x:c r="I91" s="31" t="str"/>
      <x:c r="J91" s="28" t="str">
        <x:f>IF(I91="","OPEN",IF(OR(F91="",G91="",H91=""),"FAIL","PASS"))</x:f>
        <x:v>OPEN</x:v>
      </x:c>
    </x:row>
    <x:row r="92">
      <x:c r="B92" s="28" t="str">
        <x:v>CQ-DA-022-2</x:v>
      </x:c>
      <x:c r="C92" s="28" t="str">
        <x:v>DA-022</x:v>
      </x:c>
      <x:c r="D92" s="28" t="n">
        <x:v>2</x:v>
      </x:c>
      <x:c r="E92" s="28" t="str">
        <x:v>site and rig qualification</x:v>
      </x:c>
      <x:c r="F92" s="31" t="str"/>
      <x:c r="G92" s="31" t="str"/>
      <x:c r="H92" s="32" t="str"/>
      <x:c r="I92" s="31" t="str"/>
      <x:c r="J92" s="28" t="str">
        <x:f>IF(I92="","OPEN",IF(OR(F92="",G92="",H92=""),"FAIL","PASS"))</x:f>
        <x:v>OPEN</x:v>
      </x:c>
    </x:row>
    <x:row r="93">
      <x:c r="B93" s="28" t="str">
        <x:v>CQ-DA-022-3</x:v>
      </x:c>
      <x:c r="C93" s="28" t="str">
        <x:v>DA-022</x:v>
      </x:c>
      <x:c r="D93" s="28" t="n">
        <x:v>3</x:v>
      </x:c>
      <x:c r="E93" s="28" t="str">
        <x:v>article-interface qualification</x:v>
      </x:c>
      <x:c r="F93" s="31" t="str"/>
      <x:c r="G93" s="31" t="str"/>
      <x:c r="H93" s="32" t="str"/>
      <x:c r="I93" s="31" t="str"/>
      <x:c r="J93" s="28" t="str">
        <x:f>IF(I93="","OPEN",IF(OR(F93="",G93="",H93=""),"FAIL","PASS"))</x:f>
        <x:v>OPEN</x:v>
      </x:c>
    </x:row>
    <x:row r="94">
      <x:c r="B94" s="28" t="str">
        <x:v>CQ-DA-022-4</x:v>
      </x:c>
      <x:c r="C94" s="28" t="str">
        <x:v>DA-022</x:v>
      </x:c>
      <x:c r="D94" s="28" t="n">
        <x:v>4</x:v>
      </x:c>
      <x:c r="E94" s="28" t="str">
        <x:v>incident and rescue qualification</x:v>
      </x:c>
      <x:c r="F94" s="31" t="str"/>
      <x:c r="G94" s="31" t="str"/>
      <x:c r="H94" s="32" t="str"/>
      <x:c r="I94" s="31" t="str"/>
      <x:c r="J94" s="28" t="str">
        <x:f>IF(I94="","OPEN",IF(OR(F94="",G94="",H94=""),"FAIL","PASS"))</x:f>
        <x:v>OPEN</x:v>
      </x:c>
    </x:row>
    <x:row r="95">
      <x:c r="B95" s="28" t="str">
        <x:v>CQ-DA-023-1</x:v>
      </x:c>
      <x:c r="C95" s="28" t="str">
        <x:v>DA-023</x:v>
      </x:c>
      <x:c r="D95" s="28" t="n">
        <x:v>1</x:v>
      </x:c>
      <x:c r="E95" s="28" t="str">
        <x:v>role qualification</x:v>
      </x:c>
      <x:c r="F95" s="31" t="str"/>
      <x:c r="G95" s="31" t="str"/>
      <x:c r="H95" s="32" t="str"/>
      <x:c r="I95" s="31" t="str"/>
      <x:c r="J95" s="28" t="str">
        <x:f>IF(I95="","OPEN",IF(OR(F95="",G95="",H95=""),"FAIL","PASS"))</x:f>
        <x:v>OPEN</x:v>
      </x:c>
    </x:row>
    <x:row r="96">
      <x:c r="B96" s="28" t="str">
        <x:v>CQ-DA-023-2</x:v>
      </x:c>
      <x:c r="C96" s="28" t="str">
        <x:v>DA-023</x:v>
      </x:c>
      <x:c r="D96" s="28" t="n">
        <x:v>2</x:v>
      </x:c>
      <x:c r="E96" s="28" t="str">
        <x:v>site and rig qualification</x:v>
      </x:c>
      <x:c r="F96" s="31" t="str"/>
      <x:c r="G96" s="31" t="str"/>
      <x:c r="H96" s="32" t="str"/>
      <x:c r="I96" s="31" t="str"/>
      <x:c r="J96" s="28" t="str">
        <x:f>IF(I96="","OPEN",IF(OR(F96="",G96="",H96=""),"FAIL","PASS"))</x:f>
        <x:v>OPEN</x:v>
      </x:c>
    </x:row>
    <x:row r="97">
      <x:c r="B97" s="28" t="str">
        <x:v>CQ-DA-023-3</x:v>
      </x:c>
      <x:c r="C97" s="28" t="str">
        <x:v>DA-023</x:v>
      </x:c>
      <x:c r="D97" s="28" t="n">
        <x:v>3</x:v>
      </x:c>
      <x:c r="E97" s="28" t="str">
        <x:v>article-interface qualification</x:v>
      </x:c>
      <x:c r="F97" s="31" t="str"/>
      <x:c r="G97" s="31" t="str"/>
      <x:c r="H97" s="32" t="str"/>
      <x:c r="I97" s="31" t="str"/>
      <x:c r="J97" s="28" t="str">
        <x:f>IF(I97="","OPEN",IF(OR(F97="",G97="",H97=""),"FAIL","PASS"))</x:f>
        <x:v>OPEN</x:v>
      </x:c>
    </x:row>
    <x:row r="98">
      <x:c r="B98" s="28" t="str">
        <x:v>CQ-DA-023-4</x:v>
      </x:c>
      <x:c r="C98" s="28" t="str">
        <x:v>DA-023</x:v>
      </x:c>
      <x:c r="D98" s="28" t="n">
        <x:v>4</x:v>
      </x:c>
      <x:c r="E98" s="28" t="str">
        <x:v>incident and rescue qualification</x:v>
      </x:c>
      <x:c r="F98" s="31" t="str"/>
      <x:c r="G98" s="31" t="str"/>
      <x:c r="H98" s="32" t="str"/>
      <x:c r="I98" s="31" t="str"/>
      <x:c r="J98" s="28" t="str">
        <x:f>IF(I98="","OPEN",IF(OR(F98="",G98="",H98=""),"FAIL","PASS"))</x:f>
        <x:v>OPEN</x:v>
      </x:c>
    </x:row>
    <x:row r="99">
      <x:c r="B99" s="28" t="str">
        <x:v>CQ-DA-024-1</x:v>
      </x:c>
      <x:c r="C99" s="28" t="str">
        <x:v>DA-024</x:v>
      </x:c>
      <x:c r="D99" s="28" t="n">
        <x:v>1</x:v>
      </x:c>
      <x:c r="E99" s="28" t="str">
        <x:v>role qualification</x:v>
      </x:c>
      <x:c r="F99" s="31" t="str"/>
      <x:c r="G99" s="31" t="str"/>
      <x:c r="H99" s="32" t="str"/>
      <x:c r="I99" s="31" t="str"/>
      <x:c r="J99" s="28" t="str">
        <x:f>IF(I99="","OPEN",IF(OR(F99="",G99="",H99=""),"FAIL","PASS"))</x:f>
        <x:v>OPEN</x:v>
      </x:c>
    </x:row>
    <x:row r="100">
      <x:c r="B100" s="28" t="str">
        <x:v>CQ-DA-024-2</x:v>
      </x:c>
      <x:c r="C100" s="28" t="str">
        <x:v>DA-024</x:v>
      </x:c>
      <x:c r="D100" s="28" t="n">
        <x:v>2</x:v>
      </x:c>
      <x:c r="E100" s="28" t="str">
        <x:v>site and rig qualification</x:v>
      </x:c>
      <x:c r="F100" s="31" t="str"/>
      <x:c r="G100" s="31" t="str"/>
      <x:c r="H100" s="32" t="str"/>
      <x:c r="I100" s="31" t="str"/>
      <x:c r="J100" s="28" t="str">
        <x:f>IF(I100="","OPEN",IF(OR(F100="",G100="",H100=""),"FAIL","PASS"))</x:f>
        <x:v>OPEN</x:v>
      </x:c>
    </x:row>
    <x:row r="101">
      <x:c r="B101" s="28" t="str">
        <x:v>CQ-DA-024-3</x:v>
      </x:c>
      <x:c r="C101" s="28" t="str">
        <x:v>DA-024</x:v>
      </x:c>
      <x:c r="D101" s="28" t="n">
        <x:v>3</x:v>
      </x:c>
      <x:c r="E101" s="28" t="str">
        <x:v>article-interface qualification</x:v>
      </x:c>
      <x:c r="F101" s="31" t="str"/>
      <x:c r="G101" s="31" t="str"/>
      <x:c r="H101" s="32" t="str"/>
      <x:c r="I101" s="31" t="str"/>
      <x:c r="J101" s="28" t="str">
        <x:f>IF(I101="","OPEN",IF(OR(F101="",G101="",H101=""),"FAIL","PASS"))</x:f>
        <x:v>OPEN</x:v>
      </x:c>
    </x:row>
    <x:row r="102">
      <x:c r="B102" s="28" t="str">
        <x:v>CQ-DA-024-4</x:v>
      </x:c>
      <x:c r="C102" s="28" t="str">
        <x:v>DA-024</x:v>
      </x:c>
      <x:c r="D102" s="28" t="n">
        <x:v>4</x:v>
      </x:c>
      <x:c r="E102" s="28" t="str">
        <x:v>incident and rescue qualification</x:v>
      </x:c>
      <x:c r="F102" s="31" t="str"/>
      <x:c r="G102" s="31" t="str"/>
      <x:c r="H102" s="32" t="str"/>
      <x:c r="I102" s="31" t="str"/>
      <x:c r="J102" s="28" t="str">
        <x:f>IF(I102="","OPEN",IF(OR(F102="",G102="",H102=""),"FAIL","PASS"))</x:f>
        <x:v>OPEN</x:v>
      </x:c>
    </x:row>
    <x:row r="103">
      <x:c r="B103" s="28" t="str">
        <x:v>CQ-DA-025-1</x:v>
      </x:c>
      <x:c r="C103" s="28" t="str">
        <x:v>DA-025</x:v>
      </x:c>
      <x:c r="D103" s="28" t="n">
        <x:v>1</x:v>
      </x:c>
      <x:c r="E103" s="28" t="str">
        <x:v>role qualification</x:v>
      </x:c>
      <x:c r="F103" s="31" t="str"/>
      <x:c r="G103" s="31" t="str"/>
      <x:c r="H103" s="32" t="str"/>
      <x:c r="I103" s="31" t="str"/>
      <x:c r="J103" s="28" t="str">
        <x:f>IF(I103="","OPEN",IF(OR(F103="",G103="",H103=""),"FAIL","PASS"))</x:f>
        <x:v>OPEN</x:v>
      </x:c>
    </x:row>
    <x:row r="104">
      <x:c r="B104" s="28" t="str">
        <x:v>CQ-DA-025-2</x:v>
      </x:c>
      <x:c r="C104" s="28" t="str">
        <x:v>DA-025</x:v>
      </x:c>
      <x:c r="D104" s="28" t="n">
        <x:v>2</x:v>
      </x:c>
      <x:c r="E104" s="28" t="str">
        <x:v>site and rig qualification</x:v>
      </x:c>
      <x:c r="F104" s="31" t="str"/>
      <x:c r="G104" s="31" t="str"/>
      <x:c r="H104" s="32" t="str"/>
      <x:c r="I104" s="31" t="str"/>
      <x:c r="J104" s="28" t="str">
        <x:f>IF(I104="","OPEN",IF(OR(F104="",G104="",H104=""),"FAIL","PASS"))</x:f>
        <x:v>OPEN</x:v>
      </x:c>
    </x:row>
    <x:row r="105">
      <x:c r="B105" s="28" t="str">
        <x:v>CQ-DA-025-3</x:v>
      </x:c>
      <x:c r="C105" s="28" t="str">
        <x:v>DA-025</x:v>
      </x:c>
      <x:c r="D105" s="28" t="n">
        <x:v>3</x:v>
      </x:c>
      <x:c r="E105" s="28" t="str">
        <x:v>article-interface qualification</x:v>
      </x:c>
      <x:c r="F105" s="31" t="str"/>
      <x:c r="G105" s="31" t="str"/>
      <x:c r="H105" s="32" t="str"/>
      <x:c r="I105" s="31" t="str"/>
      <x:c r="J105" s="28" t="str">
        <x:f>IF(I105="","OPEN",IF(OR(F105="",G105="",H105=""),"FAIL","PASS"))</x:f>
        <x:v>OPEN</x:v>
      </x:c>
    </x:row>
    <x:row r="106">
      <x:c r="B106" s="28" t="str">
        <x:v>CQ-DA-025-4</x:v>
      </x:c>
      <x:c r="C106" s="28" t="str">
        <x:v>DA-025</x:v>
      </x:c>
      <x:c r="D106" s="28" t="n">
        <x:v>4</x:v>
      </x:c>
      <x:c r="E106" s="28" t="str">
        <x:v>incident and rescue qualification</x:v>
      </x:c>
      <x:c r="F106" s="31" t="str"/>
      <x:c r="G106" s="31" t="str"/>
      <x:c r="H106" s="32" t="str"/>
      <x:c r="I106" s="31" t="str"/>
      <x:c r="J106" s="28" t="str">
        <x:f>IF(I106="","OPEN",IF(OR(F106="",G106="",H106=""),"FAIL","PASS"))</x:f>
        <x:v>OPEN</x:v>
      </x:c>
    </x:row>
    <x:row r="107">
      <x:c r="B107" s="28" t="str">
        <x:v>CQ-DA-026-1</x:v>
      </x:c>
      <x:c r="C107" s="28" t="str">
        <x:v>DA-026</x:v>
      </x:c>
      <x:c r="D107" s="28" t="n">
        <x:v>1</x:v>
      </x:c>
      <x:c r="E107" s="28" t="str">
        <x:v>role qualification</x:v>
      </x:c>
      <x:c r="F107" s="31" t="str"/>
      <x:c r="G107" s="31" t="str"/>
      <x:c r="H107" s="32" t="str"/>
      <x:c r="I107" s="31" t="str"/>
      <x:c r="J107" s="28" t="str">
        <x:f>IF(I107="","OPEN",IF(OR(F107="",G107="",H107=""),"FAIL","PASS"))</x:f>
        <x:v>OPEN</x:v>
      </x:c>
    </x:row>
    <x:row r="108">
      <x:c r="B108" s="28" t="str">
        <x:v>CQ-DA-026-2</x:v>
      </x:c>
      <x:c r="C108" s="28" t="str">
        <x:v>DA-026</x:v>
      </x:c>
      <x:c r="D108" s="28" t="n">
        <x:v>2</x:v>
      </x:c>
      <x:c r="E108" s="28" t="str">
        <x:v>site and rig qualification</x:v>
      </x:c>
      <x:c r="F108" s="31" t="str"/>
      <x:c r="G108" s="31" t="str"/>
      <x:c r="H108" s="32" t="str"/>
      <x:c r="I108" s="31" t="str"/>
      <x:c r="J108" s="28" t="str">
        <x:f>IF(I108="","OPEN",IF(OR(F108="",G108="",H108=""),"FAIL","PASS"))</x:f>
        <x:v>OPEN</x:v>
      </x:c>
    </x:row>
    <x:row r="109">
      <x:c r="B109" s="28" t="str">
        <x:v>CQ-DA-026-3</x:v>
      </x:c>
      <x:c r="C109" s="28" t="str">
        <x:v>DA-026</x:v>
      </x:c>
      <x:c r="D109" s="28" t="n">
        <x:v>3</x:v>
      </x:c>
      <x:c r="E109" s="28" t="str">
        <x:v>article-interface qualification</x:v>
      </x:c>
      <x:c r="F109" s="31" t="str"/>
      <x:c r="G109" s="31" t="str"/>
      <x:c r="H109" s="32" t="str"/>
      <x:c r="I109" s="31" t="str"/>
      <x:c r="J109" s="28" t="str">
        <x:f>IF(I109="","OPEN",IF(OR(F109="",G109="",H109=""),"FAIL","PASS"))</x:f>
        <x:v>OPEN</x:v>
      </x:c>
    </x:row>
    <x:row r="110">
      <x:c r="B110" s="28" t="str">
        <x:v>CQ-DA-026-4</x:v>
      </x:c>
      <x:c r="C110" s="28" t="str">
        <x:v>DA-026</x:v>
      </x:c>
      <x:c r="D110" s="28" t="n">
        <x:v>4</x:v>
      </x:c>
      <x:c r="E110" s="28" t="str">
        <x:v>incident and rescue qualification</x:v>
      </x:c>
      <x:c r="F110" s="31" t="str"/>
      <x:c r="G110" s="31" t="str"/>
      <x:c r="H110" s="32" t="str"/>
      <x:c r="I110" s="31" t="str"/>
      <x:c r="J110" s="28" t="str">
        <x:f>IF(I110="","OPEN",IF(OR(F110="",G110="",H110=""),"FAIL","PASS"))</x:f>
        <x:v>OPEN</x:v>
      </x:c>
    </x:row>
    <x:row r="111">
      <x:c r="B111" s="28" t="str">
        <x:v>CQ-DA-027-1</x:v>
      </x:c>
      <x:c r="C111" s="28" t="str">
        <x:v>DA-027</x:v>
      </x:c>
      <x:c r="D111" s="28" t="n">
        <x:v>1</x:v>
      </x:c>
      <x:c r="E111" s="28" t="str">
        <x:v>role qualification</x:v>
      </x:c>
      <x:c r="F111" s="31" t="str"/>
      <x:c r="G111" s="31" t="str"/>
      <x:c r="H111" s="32" t="str"/>
      <x:c r="I111" s="31" t="str"/>
      <x:c r="J111" s="28" t="str">
        <x:f>IF(I111="","OPEN",IF(OR(F111="",G111="",H111=""),"FAIL","PASS"))</x:f>
        <x:v>OPEN</x:v>
      </x:c>
    </x:row>
    <x:row r="112">
      <x:c r="B112" s="28" t="str">
        <x:v>CQ-DA-027-2</x:v>
      </x:c>
      <x:c r="C112" s="28" t="str">
        <x:v>DA-027</x:v>
      </x:c>
      <x:c r="D112" s="28" t="n">
        <x:v>2</x:v>
      </x:c>
      <x:c r="E112" s="28" t="str">
        <x:v>site and rig qualification</x:v>
      </x:c>
      <x:c r="F112" s="31" t="str"/>
      <x:c r="G112" s="31" t="str"/>
      <x:c r="H112" s="32" t="str"/>
      <x:c r="I112" s="31" t="str"/>
      <x:c r="J112" s="28" t="str">
        <x:f>IF(I112="","OPEN",IF(OR(F112="",G112="",H112=""),"FAIL","PASS"))</x:f>
        <x:v>OPEN</x:v>
      </x:c>
    </x:row>
    <x:row r="113">
      <x:c r="B113" s="28" t="str">
        <x:v>CQ-DA-027-3</x:v>
      </x:c>
      <x:c r="C113" s="28" t="str">
        <x:v>DA-027</x:v>
      </x:c>
      <x:c r="D113" s="28" t="n">
        <x:v>3</x:v>
      </x:c>
      <x:c r="E113" s="28" t="str">
        <x:v>article-interface qualification</x:v>
      </x:c>
      <x:c r="F113" s="31" t="str"/>
      <x:c r="G113" s="31" t="str"/>
      <x:c r="H113" s="32" t="str"/>
      <x:c r="I113" s="31" t="str"/>
      <x:c r="J113" s="28" t="str">
        <x:f>IF(I113="","OPEN",IF(OR(F113="",G113="",H113=""),"FAIL","PASS"))</x:f>
        <x:v>OPEN</x:v>
      </x:c>
    </x:row>
    <x:row r="114">
      <x:c r="B114" s="28" t="str">
        <x:v>CQ-DA-027-4</x:v>
      </x:c>
      <x:c r="C114" s="28" t="str">
        <x:v>DA-027</x:v>
      </x:c>
      <x:c r="D114" s="28" t="n">
        <x:v>4</x:v>
      </x:c>
      <x:c r="E114" s="28" t="str">
        <x:v>incident and rescue qualification</x:v>
      </x:c>
      <x:c r="F114" s="31" t="str"/>
      <x:c r="G114" s="31" t="str"/>
      <x:c r="H114" s="32" t="str"/>
      <x:c r="I114" s="31" t="str"/>
      <x:c r="J114" s="28" t="str">
        <x:f>IF(I114="","OPEN",IF(OR(F114="",G114="",H114=""),"FAIL","PASS"))</x:f>
        <x:v>OPEN</x:v>
      </x:c>
    </x:row>
    <x:row r="115">
      <x:c r="B115" s="28" t="str">
        <x:v>CQ-DA-028-1</x:v>
      </x:c>
      <x:c r="C115" s="28" t="str">
        <x:v>DA-028</x:v>
      </x:c>
      <x:c r="D115" s="28" t="n">
        <x:v>1</x:v>
      </x:c>
      <x:c r="E115" s="28" t="str">
        <x:v>role qualification</x:v>
      </x:c>
      <x:c r="F115" s="31" t="str"/>
      <x:c r="G115" s="31" t="str"/>
      <x:c r="H115" s="32" t="str"/>
      <x:c r="I115" s="31" t="str"/>
      <x:c r="J115" s="28" t="str">
        <x:f>IF(I115="","OPEN",IF(OR(F115="",G115="",H115=""),"FAIL","PASS"))</x:f>
        <x:v>OPEN</x:v>
      </x:c>
    </x:row>
    <x:row r="116">
      <x:c r="B116" s="28" t="str">
        <x:v>CQ-DA-028-2</x:v>
      </x:c>
      <x:c r="C116" s="28" t="str">
        <x:v>DA-028</x:v>
      </x:c>
      <x:c r="D116" s="28" t="n">
        <x:v>2</x:v>
      </x:c>
      <x:c r="E116" s="28" t="str">
        <x:v>site and rig qualification</x:v>
      </x:c>
      <x:c r="F116" s="31" t="str"/>
      <x:c r="G116" s="31" t="str"/>
      <x:c r="H116" s="32" t="str"/>
      <x:c r="I116" s="31" t="str"/>
      <x:c r="J116" s="28" t="str">
        <x:f>IF(I116="","OPEN",IF(OR(F116="",G116="",H116=""),"FAIL","PASS"))</x:f>
        <x:v>OPEN</x:v>
      </x:c>
    </x:row>
    <x:row r="117">
      <x:c r="B117" s="28" t="str">
        <x:v>CQ-DA-028-3</x:v>
      </x:c>
      <x:c r="C117" s="28" t="str">
        <x:v>DA-028</x:v>
      </x:c>
      <x:c r="D117" s="28" t="n">
        <x:v>3</x:v>
      </x:c>
      <x:c r="E117" s="28" t="str">
        <x:v>article-interface qualification</x:v>
      </x:c>
      <x:c r="F117" s="31" t="str"/>
      <x:c r="G117" s="31" t="str"/>
      <x:c r="H117" s="32" t="str"/>
      <x:c r="I117" s="31" t="str"/>
      <x:c r="J117" s="28" t="str">
        <x:f>IF(I117="","OPEN",IF(OR(F117="",G117="",H117=""),"FAIL","PASS"))</x:f>
        <x:v>OPEN</x:v>
      </x:c>
    </x:row>
    <x:row r="118">
      <x:c r="B118" s="28" t="str">
        <x:v>CQ-DA-028-4</x:v>
      </x:c>
      <x:c r="C118" s="28" t="str">
        <x:v>DA-028</x:v>
      </x:c>
      <x:c r="D118" s="28" t="n">
        <x:v>4</x:v>
      </x:c>
      <x:c r="E118" s="28" t="str">
        <x:v>incident and rescue qualification</x:v>
      </x:c>
      <x:c r="F118" s="31" t="str"/>
      <x:c r="G118" s="31" t="str"/>
      <x:c r="H118" s="32" t="str"/>
      <x:c r="I118" s="31" t="str"/>
      <x:c r="J118" s="28" t="str">
        <x:f>IF(I118="","OPEN",IF(OR(F118="",G118="",H118=""),"FAIL","PASS"))</x:f>
        <x:v>OPEN</x:v>
      </x:c>
    </x:row>
    <x:row r="119">
      <x:c r="B119" s="28" t="str">
        <x:v>CQ-DA-029-1</x:v>
      </x:c>
      <x:c r="C119" s="28" t="str">
        <x:v>DA-029</x:v>
      </x:c>
      <x:c r="D119" s="28" t="n">
        <x:v>1</x:v>
      </x:c>
      <x:c r="E119" s="28" t="str">
        <x:v>role qualification</x:v>
      </x:c>
      <x:c r="F119" s="31" t="str"/>
      <x:c r="G119" s="31" t="str"/>
      <x:c r="H119" s="32" t="str"/>
      <x:c r="I119" s="31" t="str"/>
      <x:c r="J119" s="28" t="str">
        <x:f>IF(I119="","OPEN",IF(OR(F119="",G119="",H119=""),"FAIL","PASS"))</x:f>
        <x:v>OPEN</x:v>
      </x:c>
    </x:row>
    <x:row r="120">
      <x:c r="B120" s="28" t="str">
        <x:v>CQ-DA-029-2</x:v>
      </x:c>
      <x:c r="C120" s="28" t="str">
        <x:v>DA-029</x:v>
      </x:c>
      <x:c r="D120" s="28" t="n">
        <x:v>2</x:v>
      </x:c>
      <x:c r="E120" s="28" t="str">
        <x:v>site and rig qualification</x:v>
      </x:c>
      <x:c r="F120" s="31" t="str"/>
      <x:c r="G120" s="31" t="str"/>
      <x:c r="H120" s="32" t="str"/>
      <x:c r="I120" s="31" t="str"/>
      <x:c r="J120" s="28" t="str">
        <x:f>IF(I120="","OPEN",IF(OR(F120="",G120="",H120=""),"FAIL","PASS"))</x:f>
        <x:v>OPEN</x:v>
      </x:c>
    </x:row>
    <x:row r="121">
      <x:c r="B121" s="28" t="str">
        <x:v>CQ-DA-029-3</x:v>
      </x:c>
      <x:c r="C121" s="28" t="str">
        <x:v>DA-029</x:v>
      </x:c>
      <x:c r="D121" s="28" t="n">
        <x:v>3</x:v>
      </x:c>
      <x:c r="E121" s="28" t="str">
        <x:v>article-interface qualification</x:v>
      </x:c>
      <x:c r="F121" s="31" t="str"/>
      <x:c r="G121" s="31" t="str"/>
      <x:c r="H121" s="32" t="str"/>
      <x:c r="I121" s="31" t="str"/>
      <x:c r="J121" s="28" t="str">
        <x:f>IF(I121="","OPEN",IF(OR(F121="",G121="",H121=""),"FAIL","PASS"))</x:f>
        <x:v>OPEN</x:v>
      </x:c>
    </x:row>
    <x:row r="122">
      <x:c r="B122" s="28" t="str">
        <x:v>CQ-DA-029-4</x:v>
      </x:c>
      <x:c r="C122" s="28" t="str">
        <x:v>DA-029</x:v>
      </x:c>
      <x:c r="D122" s="28" t="n">
        <x:v>4</x:v>
      </x:c>
      <x:c r="E122" s="28" t="str">
        <x:v>incident and rescue qualification</x:v>
      </x:c>
      <x:c r="F122" s="31" t="str"/>
      <x:c r="G122" s="31" t="str"/>
      <x:c r="H122" s="32" t="str"/>
      <x:c r="I122" s="31" t="str"/>
      <x:c r="J122" s="28" t="str">
        <x:f>IF(I122="","OPEN",IF(OR(F122="",G122="",H122=""),"FAIL","PASS"))</x:f>
        <x:v>OPEN</x:v>
      </x:c>
    </x:row>
    <x:row r="123">
      <x:c r="B123" s="28" t="str">
        <x:v>CQ-DA-030-1</x:v>
      </x:c>
      <x:c r="C123" s="28" t="str">
        <x:v>DA-030</x:v>
      </x:c>
      <x:c r="D123" s="28" t="n">
        <x:v>1</x:v>
      </x:c>
      <x:c r="E123" s="28" t="str">
        <x:v>role qualification</x:v>
      </x:c>
      <x:c r="F123" s="31" t="str"/>
      <x:c r="G123" s="31" t="str"/>
      <x:c r="H123" s="32" t="str"/>
      <x:c r="I123" s="31" t="str"/>
      <x:c r="J123" s="28" t="str">
        <x:f>IF(I123="","OPEN",IF(OR(F123="",G123="",H123=""),"FAIL","PASS"))</x:f>
        <x:v>OPEN</x:v>
      </x:c>
    </x:row>
    <x:row r="124">
      <x:c r="B124" s="28" t="str">
        <x:v>CQ-DA-030-2</x:v>
      </x:c>
      <x:c r="C124" s="28" t="str">
        <x:v>DA-030</x:v>
      </x:c>
      <x:c r="D124" s="28" t="n">
        <x:v>2</x:v>
      </x:c>
      <x:c r="E124" s="28" t="str">
        <x:v>site and rig qualification</x:v>
      </x:c>
      <x:c r="F124" s="31" t="str"/>
      <x:c r="G124" s="31" t="str"/>
      <x:c r="H124" s="32" t="str"/>
      <x:c r="I124" s="31" t="str"/>
      <x:c r="J124" s="28" t="str">
        <x:f>IF(I124="","OPEN",IF(OR(F124="",G124="",H124=""),"FAIL","PASS"))</x:f>
        <x:v>OPEN</x:v>
      </x:c>
    </x:row>
    <x:row r="125">
      <x:c r="B125" s="28" t="str">
        <x:v>CQ-DA-030-3</x:v>
      </x:c>
      <x:c r="C125" s="28" t="str">
        <x:v>DA-030</x:v>
      </x:c>
      <x:c r="D125" s="28" t="n">
        <x:v>3</x:v>
      </x:c>
      <x:c r="E125" s="28" t="str">
        <x:v>article-interface qualification</x:v>
      </x:c>
      <x:c r="F125" s="31" t="str"/>
      <x:c r="G125" s="31" t="str"/>
      <x:c r="H125" s="32" t="str"/>
      <x:c r="I125" s="31" t="str"/>
      <x:c r="J125" s="28" t="str">
        <x:f>IF(I125="","OPEN",IF(OR(F125="",G125="",H125=""),"FAIL","PASS"))</x:f>
        <x:v>OPEN</x:v>
      </x:c>
    </x:row>
    <x:row r="126">
      <x:c r="B126" s="28" t="str">
        <x:v>CQ-DA-030-4</x:v>
      </x:c>
      <x:c r="C126" s="28" t="str">
        <x:v>DA-030</x:v>
      </x:c>
      <x:c r="D126" s="28" t="n">
        <x:v>4</x:v>
      </x:c>
      <x:c r="E126" s="28" t="str">
        <x:v>incident and rescue qualification</x:v>
      </x:c>
      <x:c r="F126" s="31" t="str"/>
      <x:c r="G126" s="31" t="str"/>
      <x:c r="H126" s="32" t="str"/>
      <x:c r="I126" s="31" t="str"/>
      <x:c r="J126" s="28" t="str">
        <x:f>IF(I126="","OPEN",IF(OR(F126="",G126="",H126=""),"FAIL","PASS"))</x:f>
        <x:v>OPEN</x:v>
      </x:c>
    </x:row>
    <x:row r="127">
      <x:c r="B127" s="28" t="str">
        <x:v>CQ-DA-031-1</x:v>
      </x:c>
      <x:c r="C127" s="28" t="str">
        <x:v>DA-031</x:v>
      </x:c>
      <x:c r="D127" s="28" t="n">
        <x:v>1</x:v>
      </x:c>
      <x:c r="E127" s="28" t="str">
        <x:v>role qualification</x:v>
      </x:c>
      <x:c r="F127" s="31" t="str"/>
      <x:c r="G127" s="31" t="str"/>
      <x:c r="H127" s="32" t="str"/>
      <x:c r="I127" s="31" t="str"/>
      <x:c r="J127" s="28" t="str">
        <x:f>IF(I127="","OPEN",IF(OR(F127="",G127="",H127=""),"FAIL","PASS"))</x:f>
        <x:v>OPEN</x:v>
      </x:c>
    </x:row>
    <x:row r="128">
      <x:c r="B128" s="28" t="str">
        <x:v>CQ-DA-031-2</x:v>
      </x:c>
      <x:c r="C128" s="28" t="str">
        <x:v>DA-031</x:v>
      </x:c>
      <x:c r="D128" s="28" t="n">
        <x:v>2</x:v>
      </x:c>
      <x:c r="E128" s="28" t="str">
        <x:v>site and rig qualification</x:v>
      </x:c>
      <x:c r="F128" s="31" t="str"/>
      <x:c r="G128" s="31" t="str"/>
      <x:c r="H128" s="32" t="str"/>
      <x:c r="I128" s="31" t="str"/>
      <x:c r="J128" s="28" t="str">
        <x:f>IF(I128="","OPEN",IF(OR(F128="",G128="",H128=""),"FAIL","PASS"))</x:f>
        <x:v>OPEN</x:v>
      </x:c>
    </x:row>
    <x:row r="129">
      <x:c r="B129" s="28" t="str">
        <x:v>CQ-DA-031-3</x:v>
      </x:c>
      <x:c r="C129" s="28" t="str">
        <x:v>DA-031</x:v>
      </x:c>
      <x:c r="D129" s="28" t="n">
        <x:v>3</x:v>
      </x:c>
      <x:c r="E129" s="28" t="str">
        <x:v>article-interface qualification</x:v>
      </x:c>
      <x:c r="F129" s="31" t="str"/>
      <x:c r="G129" s="31" t="str"/>
      <x:c r="H129" s="32" t="str"/>
      <x:c r="I129" s="31" t="str"/>
      <x:c r="J129" s="28" t="str">
        <x:f>IF(I129="","OPEN",IF(OR(F129="",G129="",H129=""),"FAIL","PASS"))</x:f>
        <x:v>OPEN</x:v>
      </x:c>
    </x:row>
    <x:row r="130">
      <x:c r="B130" s="28" t="str">
        <x:v>CQ-DA-031-4</x:v>
      </x:c>
      <x:c r="C130" s="28" t="str">
        <x:v>DA-031</x:v>
      </x:c>
      <x:c r="D130" s="28" t="n">
        <x:v>4</x:v>
      </x:c>
      <x:c r="E130" s="28" t="str">
        <x:v>incident and rescue qualification</x:v>
      </x:c>
      <x:c r="F130" s="31" t="str"/>
      <x:c r="G130" s="31" t="str"/>
      <x:c r="H130" s="32" t="str"/>
      <x:c r="I130" s="31" t="str"/>
      <x:c r="J130" s="28" t="str">
        <x:f>IF(I130="","OPEN",IF(OR(F130="",G130="",H130=""),"FAIL","PASS"))</x:f>
        <x:v>OPEN</x:v>
      </x:c>
    </x:row>
    <x:row r="131">
      <x:c r="B131" s="28" t="str">
        <x:v>CQ-DA-032-1</x:v>
      </x:c>
      <x:c r="C131" s="28" t="str">
        <x:v>DA-032</x:v>
      </x:c>
      <x:c r="D131" s="28" t="n">
        <x:v>1</x:v>
      </x:c>
      <x:c r="E131" s="28" t="str">
        <x:v>role qualification</x:v>
      </x:c>
      <x:c r="F131" s="31" t="str"/>
      <x:c r="G131" s="31" t="str"/>
      <x:c r="H131" s="32" t="str"/>
      <x:c r="I131" s="31" t="str"/>
      <x:c r="J131" s="28" t="str">
        <x:f>IF(I131="","OPEN",IF(OR(F131="",G131="",H131=""),"FAIL","PASS"))</x:f>
        <x:v>OPEN</x:v>
      </x:c>
    </x:row>
    <x:row r="132">
      <x:c r="B132" s="28" t="str">
        <x:v>CQ-DA-032-2</x:v>
      </x:c>
      <x:c r="C132" s="28" t="str">
        <x:v>DA-032</x:v>
      </x:c>
      <x:c r="D132" s="28" t="n">
        <x:v>2</x:v>
      </x:c>
      <x:c r="E132" s="28" t="str">
        <x:v>site and rig qualification</x:v>
      </x:c>
      <x:c r="F132" s="31" t="str"/>
      <x:c r="G132" s="31" t="str"/>
      <x:c r="H132" s="32" t="str"/>
      <x:c r="I132" s="31" t="str"/>
      <x:c r="J132" s="28" t="str">
        <x:f>IF(I132="","OPEN",IF(OR(F132="",G132="",H132=""),"FAIL","PASS"))</x:f>
        <x:v>OPEN</x:v>
      </x:c>
    </x:row>
    <x:row r="133">
      <x:c r="B133" s="28" t="str">
        <x:v>CQ-DA-032-3</x:v>
      </x:c>
      <x:c r="C133" s="28" t="str">
        <x:v>DA-032</x:v>
      </x:c>
      <x:c r="D133" s="28" t="n">
        <x:v>3</x:v>
      </x:c>
      <x:c r="E133" s="28" t="str">
        <x:v>article-interface qualification</x:v>
      </x:c>
      <x:c r="F133" s="31" t="str"/>
      <x:c r="G133" s="31" t="str"/>
      <x:c r="H133" s="32" t="str"/>
      <x:c r="I133" s="31" t="str"/>
      <x:c r="J133" s="28" t="str">
        <x:f>IF(I133="","OPEN",IF(OR(F133="",G133="",H133=""),"FAIL","PASS"))</x:f>
        <x:v>OPEN</x:v>
      </x:c>
    </x:row>
    <x:row r="134">
      <x:c r="B134" s="28" t="str">
        <x:v>CQ-DA-032-4</x:v>
      </x:c>
      <x:c r="C134" s="28" t="str">
        <x:v>DA-032</x:v>
      </x:c>
      <x:c r="D134" s="28" t="n">
        <x:v>4</x:v>
      </x:c>
      <x:c r="E134" s="28" t="str">
        <x:v>incident and rescue qualification</x:v>
      </x:c>
      <x:c r="F134" s="31" t="str"/>
      <x:c r="G134" s="31" t="str"/>
      <x:c r="H134" s="32" t="str"/>
      <x:c r="I134" s="31" t="str"/>
      <x:c r="J134" s="28" t="str">
        <x:f>IF(I134="","OPEN",IF(OR(F134="",G134="",H134=""),"FAIL","PASS"))</x:f>
        <x:v>OPEN</x:v>
      </x:c>
    </x:row>
    <x:row r="135">
      <x:c r="B135" s="28" t="str">
        <x:v>CQ-DA-033-1</x:v>
      </x:c>
      <x:c r="C135" s="28" t="str">
        <x:v>DA-033</x:v>
      </x:c>
      <x:c r="D135" s="28" t="n">
        <x:v>1</x:v>
      </x:c>
      <x:c r="E135" s="28" t="str">
        <x:v>role qualification</x:v>
      </x:c>
      <x:c r="F135" s="31" t="str"/>
      <x:c r="G135" s="31" t="str"/>
      <x:c r="H135" s="32" t="str"/>
      <x:c r="I135" s="31" t="str"/>
      <x:c r="J135" s="28" t="str">
        <x:f>IF(I135="","OPEN",IF(OR(F135="",G135="",H135=""),"FAIL","PASS"))</x:f>
        <x:v>OPEN</x:v>
      </x:c>
    </x:row>
    <x:row r="136">
      <x:c r="B136" s="28" t="str">
        <x:v>CQ-DA-033-2</x:v>
      </x:c>
      <x:c r="C136" s="28" t="str">
        <x:v>DA-033</x:v>
      </x:c>
      <x:c r="D136" s="28" t="n">
        <x:v>2</x:v>
      </x:c>
      <x:c r="E136" s="28" t="str">
        <x:v>site and rig qualification</x:v>
      </x:c>
      <x:c r="F136" s="31" t="str"/>
      <x:c r="G136" s="31" t="str"/>
      <x:c r="H136" s="32" t="str"/>
      <x:c r="I136" s="31" t="str"/>
      <x:c r="J136" s="28" t="str">
        <x:f>IF(I136="","OPEN",IF(OR(F136="",G136="",H136=""),"FAIL","PASS"))</x:f>
        <x:v>OPEN</x:v>
      </x:c>
    </x:row>
    <x:row r="137">
      <x:c r="B137" s="28" t="str">
        <x:v>CQ-DA-033-3</x:v>
      </x:c>
      <x:c r="C137" s="28" t="str">
        <x:v>DA-033</x:v>
      </x:c>
      <x:c r="D137" s="28" t="n">
        <x:v>3</x:v>
      </x:c>
      <x:c r="E137" s="28" t="str">
        <x:v>article-interface qualification</x:v>
      </x:c>
      <x:c r="F137" s="31" t="str"/>
      <x:c r="G137" s="31" t="str"/>
      <x:c r="H137" s="32" t="str"/>
      <x:c r="I137" s="31" t="str"/>
      <x:c r="J137" s="28" t="str">
        <x:f>IF(I137="","OPEN",IF(OR(F137="",G137="",H137=""),"FAIL","PASS"))</x:f>
        <x:v>OPEN</x:v>
      </x:c>
    </x:row>
    <x:row r="138">
      <x:c r="B138" s="28" t="str">
        <x:v>CQ-DA-033-4</x:v>
      </x:c>
      <x:c r="C138" s="28" t="str">
        <x:v>DA-033</x:v>
      </x:c>
      <x:c r="D138" s="28" t="n">
        <x:v>4</x:v>
      </x:c>
      <x:c r="E138" s="28" t="str">
        <x:v>incident and rescue qualification</x:v>
      </x:c>
      <x:c r="F138" s="31" t="str"/>
      <x:c r="G138" s="31" t="str"/>
      <x:c r="H138" s="32" t="str"/>
      <x:c r="I138" s="31" t="str"/>
      <x:c r="J138" s="28" t="str">
        <x:f>IF(I138="","OPEN",IF(OR(F138="",G138="",H138=""),"FAIL","PASS"))</x:f>
        <x:v>OPEN</x:v>
      </x:c>
    </x:row>
    <x:row r="139">
      <x:c r="B139" s="28" t="str">
        <x:v>CQ-DA-034-1</x:v>
      </x:c>
      <x:c r="C139" s="28" t="str">
        <x:v>DA-034</x:v>
      </x:c>
      <x:c r="D139" s="28" t="n">
        <x:v>1</x:v>
      </x:c>
      <x:c r="E139" s="28" t="str">
        <x:v>role qualification</x:v>
      </x:c>
      <x:c r="F139" s="31" t="str"/>
      <x:c r="G139" s="31" t="str"/>
      <x:c r="H139" s="32" t="str"/>
      <x:c r="I139" s="31" t="str"/>
      <x:c r="J139" s="28" t="str">
        <x:f>IF(I139="","OPEN",IF(OR(F139="",G139="",H139=""),"FAIL","PASS"))</x:f>
        <x:v>OPEN</x:v>
      </x:c>
    </x:row>
    <x:row r="140">
      <x:c r="B140" s="28" t="str">
        <x:v>CQ-DA-034-2</x:v>
      </x:c>
      <x:c r="C140" s="28" t="str">
        <x:v>DA-034</x:v>
      </x:c>
      <x:c r="D140" s="28" t="n">
        <x:v>2</x:v>
      </x:c>
      <x:c r="E140" s="28" t="str">
        <x:v>site and rig qualification</x:v>
      </x:c>
      <x:c r="F140" s="31" t="str"/>
      <x:c r="G140" s="31" t="str"/>
      <x:c r="H140" s="32" t="str"/>
      <x:c r="I140" s="31" t="str"/>
      <x:c r="J140" s="28" t="str">
        <x:f>IF(I140="","OPEN",IF(OR(F140="",G140="",H140=""),"FAIL","PASS"))</x:f>
        <x:v>OPEN</x:v>
      </x:c>
    </x:row>
    <x:row r="141">
      <x:c r="B141" s="28" t="str">
        <x:v>CQ-DA-034-3</x:v>
      </x:c>
      <x:c r="C141" s="28" t="str">
        <x:v>DA-034</x:v>
      </x:c>
      <x:c r="D141" s="28" t="n">
        <x:v>3</x:v>
      </x:c>
      <x:c r="E141" s="28" t="str">
        <x:v>article-interface qualification</x:v>
      </x:c>
      <x:c r="F141" s="31" t="str"/>
      <x:c r="G141" s="31" t="str"/>
      <x:c r="H141" s="32" t="str"/>
      <x:c r="I141" s="31" t="str"/>
      <x:c r="J141" s="28" t="str">
        <x:f>IF(I141="","OPEN",IF(OR(F141="",G141="",H141=""),"FAIL","PASS"))</x:f>
        <x:v>OPEN</x:v>
      </x:c>
    </x:row>
    <x:row r="142">
      <x:c r="B142" s="28" t="str">
        <x:v>CQ-DA-034-4</x:v>
      </x:c>
      <x:c r="C142" s="28" t="str">
        <x:v>DA-034</x:v>
      </x:c>
      <x:c r="D142" s="28" t="n">
        <x:v>4</x:v>
      </x:c>
      <x:c r="E142" s="28" t="str">
        <x:v>incident and rescue qualification</x:v>
      </x:c>
      <x:c r="F142" s="31" t="str"/>
      <x:c r="G142" s="31" t="str"/>
      <x:c r="H142" s="32" t="str"/>
      <x:c r="I142" s="31" t="str"/>
      <x:c r="J142" s="28" t="str">
        <x:f>IF(I142="","OPEN",IF(OR(F142="",G142="",H142=""),"FAIL","PASS"))</x:f>
        <x:v>OPEN</x:v>
      </x:c>
    </x:row>
    <x:row r="143">
      <x:c r="B143" s="28" t="str">
        <x:v>CQ-DA-035-1</x:v>
      </x:c>
      <x:c r="C143" s="28" t="str">
        <x:v>DA-035</x:v>
      </x:c>
      <x:c r="D143" s="28" t="n">
        <x:v>1</x:v>
      </x:c>
      <x:c r="E143" s="28" t="str">
        <x:v>role qualification</x:v>
      </x:c>
      <x:c r="F143" s="31" t="str"/>
      <x:c r="G143" s="31" t="str"/>
      <x:c r="H143" s="32" t="str"/>
      <x:c r="I143" s="31" t="str"/>
      <x:c r="J143" s="28" t="str">
        <x:f>IF(I143="","OPEN",IF(OR(F143="",G143="",H143=""),"FAIL","PASS"))</x:f>
        <x:v>OPEN</x:v>
      </x:c>
    </x:row>
    <x:row r="144">
      <x:c r="B144" s="28" t="str">
        <x:v>CQ-DA-035-2</x:v>
      </x:c>
      <x:c r="C144" s="28" t="str">
        <x:v>DA-035</x:v>
      </x:c>
      <x:c r="D144" s="28" t="n">
        <x:v>2</x:v>
      </x:c>
      <x:c r="E144" s="28" t="str">
        <x:v>site and rig qualification</x:v>
      </x:c>
      <x:c r="F144" s="31" t="str"/>
      <x:c r="G144" s="31" t="str"/>
      <x:c r="H144" s="32" t="str"/>
      <x:c r="I144" s="31" t="str"/>
      <x:c r="J144" s="28" t="str">
        <x:f>IF(I144="","OPEN",IF(OR(F144="",G144="",H144=""),"FAIL","PASS"))</x:f>
        <x:v>OPEN</x:v>
      </x:c>
    </x:row>
    <x:row r="145">
      <x:c r="B145" s="28" t="str">
        <x:v>CQ-DA-035-3</x:v>
      </x:c>
      <x:c r="C145" s="28" t="str">
        <x:v>DA-035</x:v>
      </x:c>
      <x:c r="D145" s="28" t="n">
        <x:v>3</x:v>
      </x:c>
      <x:c r="E145" s="28" t="str">
        <x:v>article-interface qualification</x:v>
      </x:c>
      <x:c r="F145" s="31" t="str"/>
      <x:c r="G145" s="31" t="str"/>
      <x:c r="H145" s="32" t="str"/>
      <x:c r="I145" s="31" t="str"/>
      <x:c r="J145" s="28" t="str">
        <x:f>IF(I145="","OPEN",IF(OR(F145="",G145="",H145=""),"FAIL","PASS"))</x:f>
        <x:v>OPEN</x:v>
      </x:c>
    </x:row>
    <x:row r="146">
      <x:c r="B146" s="28" t="str">
        <x:v>CQ-DA-035-4</x:v>
      </x:c>
      <x:c r="C146" s="28" t="str">
        <x:v>DA-035</x:v>
      </x:c>
      <x:c r="D146" s="28" t="n">
        <x:v>4</x:v>
      </x:c>
      <x:c r="E146" s="28" t="str">
        <x:v>incident and rescue qualification</x:v>
      </x:c>
      <x:c r="F146" s="31" t="str"/>
      <x:c r="G146" s="31" t="str"/>
      <x:c r="H146" s="32" t="str"/>
      <x:c r="I146" s="31" t="str"/>
      <x:c r="J146" s="28" t="str">
        <x:f>IF(I146="","OPEN",IF(OR(F146="",G146="",H146=""),"FAIL","PASS"))</x:f>
        <x:v>OPEN</x:v>
      </x:c>
    </x:row>
    <x:row r="147">
      <x:c r="B147" s="28" t="str">
        <x:v>CQ-DA-036-1</x:v>
      </x:c>
      <x:c r="C147" s="28" t="str">
        <x:v>DA-036</x:v>
      </x:c>
      <x:c r="D147" s="28" t="n">
        <x:v>1</x:v>
      </x:c>
      <x:c r="E147" s="28" t="str">
        <x:v>role qualification</x:v>
      </x:c>
      <x:c r="F147" s="31" t="str"/>
      <x:c r="G147" s="31" t="str"/>
      <x:c r="H147" s="32" t="str"/>
      <x:c r="I147" s="31" t="str"/>
      <x:c r="J147" s="28" t="str">
        <x:f>IF(I147="","OPEN",IF(OR(F147="",G147="",H147=""),"FAIL","PASS"))</x:f>
        <x:v>OPEN</x:v>
      </x:c>
    </x:row>
    <x:row r="148">
      <x:c r="B148" s="28" t="str">
        <x:v>CQ-DA-036-2</x:v>
      </x:c>
      <x:c r="C148" s="28" t="str">
        <x:v>DA-036</x:v>
      </x:c>
      <x:c r="D148" s="28" t="n">
        <x:v>2</x:v>
      </x:c>
      <x:c r="E148" s="28" t="str">
        <x:v>site and rig qualification</x:v>
      </x:c>
      <x:c r="F148" s="31" t="str"/>
      <x:c r="G148" s="31" t="str"/>
      <x:c r="H148" s="32" t="str"/>
      <x:c r="I148" s="31" t="str"/>
      <x:c r="J148" s="28" t="str">
        <x:f>IF(I148="","OPEN",IF(OR(F148="",G148="",H148=""),"FAIL","PASS"))</x:f>
        <x:v>OPEN</x:v>
      </x:c>
    </x:row>
    <x:row r="149">
      <x:c r="B149" s="28" t="str">
        <x:v>CQ-DA-036-3</x:v>
      </x:c>
      <x:c r="C149" s="28" t="str">
        <x:v>DA-036</x:v>
      </x:c>
      <x:c r="D149" s="28" t="n">
        <x:v>3</x:v>
      </x:c>
      <x:c r="E149" s="28" t="str">
        <x:v>article-interface qualification</x:v>
      </x:c>
      <x:c r="F149" s="31" t="str"/>
      <x:c r="G149" s="31" t="str"/>
      <x:c r="H149" s="32" t="str"/>
      <x:c r="I149" s="31" t="str"/>
      <x:c r="J149" s="28" t="str">
        <x:f>IF(I149="","OPEN",IF(OR(F149="",G149="",H149=""),"FAIL","PASS"))</x:f>
        <x:v>OPEN</x:v>
      </x:c>
    </x:row>
    <x:row r="150">
      <x:c r="B150" s="28" t="str">
        <x:v>CQ-DA-036-4</x:v>
      </x:c>
      <x:c r="C150" s="28" t="str">
        <x:v>DA-036</x:v>
      </x:c>
      <x:c r="D150" s="28" t="n">
        <x:v>4</x:v>
      </x:c>
      <x:c r="E150" s="28" t="str">
        <x:v>incident and rescue qualification</x:v>
      </x:c>
      <x:c r="F150" s="31" t="str"/>
      <x:c r="G150" s="31" t="str"/>
      <x:c r="H150" s="32" t="str"/>
      <x:c r="I150" s="31" t="str"/>
      <x:c r="J150" s="28" t="str">
        <x:f>IF(I150="","OPEN",IF(OR(F150="",G150="",H150=""),"FAIL","PASS"))</x:f>
        <x:v>OPEN</x:v>
      </x:c>
    </x:row>
    <x:row r="151">
      <x:c r="B151" s="28" t="str">
        <x:v>CQ-DA-037-1</x:v>
      </x:c>
      <x:c r="C151" s="28" t="str">
        <x:v>DA-037</x:v>
      </x:c>
      <x:c r="D151" s="28" t="n">
        <x:v>1</x:v>
      </x:c>
      <x:c r="E151" s="28" t="str">
        <x:v>role qualification</x:v>
      </x:c>
      <x:c r="F151" s="31" t="str"/>
      <x:c r="G151" s="31" t="str"/>
      <x:c r="H151" s="32" t="str"/>
      <x:c r="I151" s="31" t="str"/>
      <x:c r="J151" s="28" t="str">
        <x:f>IF(I151="","OPEN",IF(OR(F151="",G151="",H151=""),"FAIL","PASS"))</x:f>
        <x:v>OPEN</x:v>
      </x:c>
    </x:row>
    <x:row r="152">
      <x:c r="B152" s="28" t="str">
        <x:v>CQ-DA-037-2</x:v>
      </x:c>
      <x:c r="C152" s="28" t="str">
        <x:v>DA-037</x:v>
      </x:c>
      <x:c r="D152" s="28" t="n">
        <x:v>2</x:v>
      </x:c>
      <x:c r="E152" s="28" t="str">
        <x:v>site and rig qualification</x:v>
      </x:c>
      <x:c r="F152" s="31" t="str"/>
      <x:c r="G152" s="31" t="str"/>
      <x:c r="H152" s="32" t="str"/>
      <x:c r="I152" s="31" t="str"/>
      <x:c r="J152" s="28" t="str">
        <x:f>IF(I152="","OPEN",IF(OR(F152="",G152="",H152=""),"FAIL","PASS"))</x:f>
        <x:v>OPEN</x:v>
      </x:c>
    </x:row>
    <x:row r="153">
      <x:c r="B153" s="28" t="str">
        <x:v>CQ-DA-037-3</x:v>
      </x:c>
      <x:c r="C153" s="28" t="str">
        <x:v>DA-037</x:v>
      </x:c>
      <x:c r="D153" s="28" t="n">
        <x:v>3</x:v>
      </x:c>
      <x:c r="E153" s="28" t="str">
        <x:v>article-interface qualification</x:v>
      </x:c>
      <x:c r="F153" s="31" t="str"/>
      <x:c r="G153" s="31" t="str"/>
      <x:c r="H153" s="32" t="str"/>
      <x:c r="I153" s="31" t="str"/>
      <x:c r="J153" s="28" t="str">
        <x:f>IF(I153="","OPEN",IF(OR(F153="",G153="",H153=""),"FAIL","PASS"))</x:f>
        <x:v>OPEN</x:v>
      </x:c>
    </x:row>
    <x:row r="154">
      <x:c r="B154" s="28" t="str">
        <x:v>CQ-DA-037-4</x:v>
      </x:c>
      <x:c r="C154" s="28" t="str">
        <x:v>DA-037</x:v>
      </x:c>
      <x:c r="D154" s="28" t="n">
        <x:v>4</x:v>
      </x:c>
      <x:c r="E154" s="28" t="str">
        <x:v>incident and rescue qualification</x:v>
      </x:c>
      <x:c r="F154" s="31" t="str"/>
      <x:c r="G154" s="31" t="str"/>
      <x:c r="H154" s="32" t="str"/>
      <x:c r="I154" s="31" t="str"/>
      <x:c r="J154" s="28" t="str">
        <x:f>IF(I154="","OPEN",IF(OR(F154="",G154="",H154=""),"FAIL","PASS"))</x:f>
        <x:v>OPEN</x:v>
      </x:c>
    </x:row>
    <x:row r="155">
      <x:c r="B155" s="28" t="str">
        <x:v>CQ-DA-038-1</x:v>
      </x:c>
      <x:c r="C155" s="28" t="str">
        <x:v>DA-038</x:v>
      </x:c>
      <x:c r="D155" s="28" t="n">
        <x:v>1</x:v>
      </x:c>
      <x:c r="E155" s="28" t="str">
        <x:v>role qualification</x:v>
      </x:c>
      <x:c r="F155" s="31" t="str"/>
      <x:c r="G155" s="31" t="str"/>
      <x:c r="H155" s="32" t="str"/>
      <x:c r="I155" s="31" t="str"/>
      <x:c r="J155" s="28" t="str">
        <x:f>IF(I155="","OPEN",IF(OR(F155="",G155="",H155=""),"FAIL","PASS"))</x:f>
        <x:v>OPEN</x:v>
      </x:c>
    </x:row>
    <x:row r="156">
      <x:c r="B156" s="28" t="str">
        <x:v>CQ-DA-038-2</x:v>
      </x:c>
      <x:c r="C156" s="28" t="str">
        <x:v>DA-038</x:v>
      </x:c>
      <x:c r="D156" s="28" t="n">
        <x:v>2</x:v>
      </x:c>
      <x:c r="E156" s="28" t="str">
        <x:v>site and rig qualification</x:v>
      </x:c>
      <x:c r="F156" s="31" t="str"/>
      <x:c r="G156" s="31" t="str"/>
      <x:c r="H156" s="32" t="str"/>
      <x:c r="I156" s="31" t="str"/>
      <x:c r="J156" s="28" t="str">
        <x:f>IF(I156="","OPEN",IF(OR(F156="",G156="",H156=""),"FAIL","PASS"))</x:f>
        <x:v>OPEN</x:v>
      </x:c>
    </x:row>
    <x:row r="157">
      <x:c r="B157" s="28" t="str">
        <x:v>CQ-DA-038-3</x:v>
      </x:c>
      <x:c r="C157" s="28" t="str">
        <x:v>DA-038</x:v>
      </x:c>
      <x:c r="D157" s="28" t="n">
        <x:v>3</x:v>
      </x:c>
      <x:c r="E157" s="28" t="str">
        <x:v>article-interface qualification</x:v>
      </x:c>
      <x:c r="F157" s="31" t="str"/>
      <x:c r="G157" s="31" t="str"/>
      <x:c r="H157" s="32" t="str"/>
      <x:c r="I157" s="31" t="str"/>
      <x:c r="J157" s="28" t="str">
        <x:f>IF(I157="","OPEN",IF(OR(F157="",G157="",H157=""),"FAIL","PASS"))</x:f>
        <x:v>OPEN</x:v>
      </x:c>
    </x:row>
    <x:row r="158">
      <x:c r="B158" s="28" t="str">
        <x:v>CQ-DA-038-4</x:v>
      </x:c>
      <x:c r="C158" s="28" t="str">
        <x:v>DA-038</x:v>
      </x:c>
      <x:c r="D158" s="28" t="n">
        <x:v>4</x:v>
      </x:c>
      <x:c r="E158" s="28" t="str">
        <x:v>incident and rescue qualification</x:v>
      </x:c>
      <x:c r="F158" s="31" t="str"/>
      <x:c r="G158" s="31" t="str"/>
      <x:c r="H158" s="32" t="str"/>
      <x:c r="I158" s="31" t="str"/>
      <x:c r="J158" s="28" t="str">
        <x:f>IF(I158="","OPEN",IF(OR(F158="",G158="",H158=""),"FAIL","PASS"))</x:f>
        <x:v>OPEN</x:v>
      </x:c>
    </x:row>
    <x:row r="159">
      <x:c r="B159" s="28" t="str">
        <x:v>CQ-DA-039-1</x:v>
      </x:c>
      <x:c r="C159" s="28" t="str">
        <x:v>DA-039</x:v>
      </x:c>
      <x:c r="D159" s="28" t="n">
        <x:v>1</x:v>
      </x:c>
      <x:c r="E159" s="28" t="str">
        <x:v>role qualification</x:v>
      </x:c>
      <x:c r="F159" s="31" t="str"/>
      <x:c r="G159" s="31" t="str"/>
      <x:c r="H159" s="32" t="str"/>
      <x:c r="I159" s="31" t="str"/>
      <x:c r="J159" s="28" t="str">
        <x:f>IF(I159="","OPEN",IF(OR(F159="",G159="",H159=""),"FAIL","PASS"))</x:f>
        <x:v>OPEN</x:v>
      </x:c>
    </x:row>
    <x:row r="160">
      <x:c r="B160" s="28" t="str">
        <x:v>CQ-DA-039-2</x:v>
      </x:c>
      <x:c r="C160" s="28" t="str">
        <x:v>DA-039</x:v>
      </x:c>
      <x:c r="D160" s="28" t="n">
        <x:v>2</x:v>
      </x:c>
      <x:c r="E160" s="28" t="str">
        <x:v>site and rig qualification</x:v>
      </x:c>
      <x:c r="F160" s="31" t="str"/>
      <x:c r="G160" s="31" t="str"/>
      <x:c r="H160" s="32" t="str"/>
      <x:c r="I160" s="31" t="str"/>
      <x:c r="J160" s="28" t="str">
        <x:f>IF(I160="","OPEN",IF(OR(F160="",G160="",H160=""),"FAIL","PASS"))</x:f>
        <x:v>OPEN</x:v>
      </x:c>
    </x:row>
    <x:row r="161">
      <x:c r="B161" s="28" t="str">
        <x:v>CQ-DA-039-3</x:v>
      </x:c>
      <x:c r="C161" s="28" t="str">
        <x:v>DA-039</x:v>
      </x:c>
      <x:c r="D161" s="28" t="n">
        <x:v>3</x:v>
      </x:c>
      <x:c r="E161" s="28" t="str">
        <x:v>article-interface qualification</x:v>
      </x:c>
      <x:c r="F161" s="31" t="str"/>
      <x:c r="G161" s="31" t="str"/>
      <x:c r="H161" s="32" t="str"/>
      <x:c r="I161" s="31" t="str"/>
      <x:c r="J161" s="28" t="str">
        <x:f>IF(I161="","OPEN",IF(OR(F161="",G161="",H161=""),"FAIL","PASS"))</x:f>
        <x:v>OPEN</x:v>
      </x:c>
    </x:row>
    <x:row r="162">
      <x:c r="B162" s="28" t="str">
        <x:v>CQ-DA-039-4</x:v>
      </x:c>
      <x:c r="C162" s="28" t="str">
        <x:v>DA-039</x:v>
      </x:c>
      <x:c r="D162" s="28" t="n">
        <x:v>4</x:v>
      </x:c>
      <x:c r="E162" s="28" t="str">
        <x:v>incident and rescue qualification</x:v>
      </x:c>
      <x:c r="F162" s="31" t="str"/>
      <x:c r="G162" s="31" t="str"/>
      <x:c r="H162" s="32" t="str"/>
      <x:c r="I162" s="31" t="str"/>
      <x:c r="J162" s="28" t="str">
        <x:f>IF(I162="","OPEN",IF(OR(F162="",G162="",H162=""),"FAIL","PASS"))</x:f>
        <x:v>OPEN</x:v>
      </x:c>
    </x:row>
    <x:row r="163">
      <x:c r="B163" s="28" t="str">
        <x:v>CQ-DA-040-1</x:v>
      </x:c>
      <x:c r="C163" s="28" t="str">
        <x:v>DA-040</x:v>
      </x:c>
      <x:c r="D163" s="28" t="n">
        <x:v>1</x:v>
      </x:c>
      <x:c r="E163" s="28" t="str">
        <x:v>role qualification</x:v>
      </x:c>
      <x:c r="F163" s="31" t="str"/>
      <x:c r="G163" s="31" t="str"/>
      <x:c r="H163" s="32" t="str"/>
      <x:c r="I163" s="31" t="str"/>
      <x:c r="J163" s="28" t="str">
        <x:f>IF(I163="","OPEN",IF(OR(F163="",G163="",H163=""),"FAIL","PASS"))</x:f>
        <x:v>OPEN</x:v>
      </x:c>
    </x:row>
    <x:row r="164">
      <x:c r="B164" s="28" t="str">
        <x:v>CQ-DA-040-2</x:v>
      </x:c>
      <x:c r="C164" s="28" t="str">
        <x:v>DA-040</x:v>
      </x:c>
      <x:c r="D164" s="28" t="n">
        <x:v>2</x:v>
      </x:c>
      <x:c r="E164" s="28" t="str">
        <x:v>site and rig qualification</x:v>
      </x:c>
      <x:c r="F164" s="31" t="str"/>
      <x:c r="G164" s="31" t="str"/>
      <x:c r="H164" s="32" t="str"/>
      <x:c r="I164" s="31" t="str"/>
      <x:c r="J164" s="28" t="str">
        <x:f>IF(I164="","OPEN",IF(OR(F164="",G164="",H164=""),"FAIL","PASS"))</x:f>
        <x:v>OPEN</x:v>
      </x:c>
    </x:row>
    <x:row r="165">
      <x:c r="B165" s="28" t="str">
        <x:v>CQ-DA-040-3</x:v>
      </x:c>
      <x:c r="C165" s="28" t="str">
        <x:v>DA-040</x:v>
      </x:c>
      <x:c r="D165" s="28" t="n">
        <x:v>3</x:v>
      </x:c>
      <x:c r="E165" s="28" t="str">
        <x:v>article-interface qualification</x:v>
      </x:c>
      <x:c r="F165" s="31" t="str"/>
      <x:c r="G165" s="31" t="str"/>
      <x:c r="H165" s="32" t="str"/>
      <x:c r="I165" s="31" t="str"/>
      <x:c r="J165" s="28" t="str">
        <x:f>IF(I165="","OPEN",IF(OR(F165="",G165="",H165=""),"FAIL","PASS"))</x:f>
        <x:v>OPEN</x:v>
      </x:c>
    </x:row>
    <x:row r="166">
      <x:c r="B166" s="28" t="str">
        <x:v>CQ-DA-040-4</x:v>
      </x:c>
      <x:c r="C166" s="28" t="str">
        <x:v>DA-040</x:v>
      </x:c>
      <x:c r="D166" s="28" t="n">
        <x:v>4</x:v>
      </x:c>
      <x:c r="E166" s="28" t="str">
        <x:v>incident and rescue qualification</x:v>
      </x:c>
      <x:c r="F166" s="31" t="str"/>
      <x:c r="G166" s="31" t="str"/>
      <x:c r="H166" s="32" t="str"/>
      <x:c r="I166" s="31" t="str"/>
      <x:c r="J166" s="28" t="str">
        <x:f>IF(I166="","OPEN",IF(OR(F166="",G166="",H166=""),"FAIL","PASS"))</x:f>
        <x:v>OPEN</x:v>
      </x:c>
    </x:row>
    <x:row r="167">
      <x:c r="B167" s="28" t="str">
        <x:v>CQ-DA-041-1</x:v>
      </x:c>
      <x:c r="C167" s="28" t="str">
        <x:v>DA-041</x:v>
      </x:c>
      <x:c r="D167" s="28" t="n">
        <x:v>1</x:v>
      </x:c>
      <x:c r="E167" s="28" t="str">
        <x:v>role qualification</x:v>
      </x:c>
      <x:c r="F167" s="31" t="str"/>
      <x:c r="G167" s="31" t="str"/>
      <x:c r="H167" s="32" t="str"/>
      <x:c r="I167" s="31" t="str"/>
      <x:c r="J167" s="28" t="str">
        <x:f>IF(I167="","OPEN",IF(OR(F167="",G167="",H167=""),"FAIL","PASS"))</x:f>
        <x:v>OPEN</x:v>
      </x:c>
    </x:row>
    <x:row r="168">
      <x:c r="B168" s="28" t="str">
        <x:v>CQ-DA-041-2</x:v>
      </x:c>
      <x:c r="C168" s="28" t="str">
        <x:v>DA-041</x:v>
      </x:c>
      <x:c r="D168" s="28" t="n">
        <x:v>2</x:v>
      </x:c>
      <x:c r="E168" s="28" t="str">
        <x:v>site and rig qualification</x:v>
      </x:c>
      <x:c r="F168" s="31" t="str"/>
      <x:c r="G168" s="31" t="str"/>
      <x:c r="H168" s="32" t="str"/>
      <x:c r="I168" s="31" t="str"/>
      <x:c r="J168" s="28" t="str">
        <x:f>IF(I168="","OPEN",IF(OR(F168="",G168="",H168=""),"FAIL","PASS"))</x:f>
        <x:v>OPEN</x:v>
      </x:c>
    </x:row>
    <x:row r="169">
      <x:c r="B169" s="28" t="str">
        <x:v>CQ-DA-041-3</x:v>
      </x:c>
      <x:c r="C169" s="28" t="str">
        <x:v>DA-041</x:v>
      </x:c>
      <x:c r="D169" s="28" t="n">
        <x:v>3</x:v>
      </x:c>
      <x:c r="E169" s="28" t="str">
        <x:v>article-interface qualification</x:v>
      </x:c>
      <x:c r="F169" s="31" t="str"/>
      <x:c r="G169" s="31" t="str"/>
      <x:c r="H169" s="32" t="str"/>
      <x:c r="I169" s="31" t="str"/>
      <x:c r="J169" s="28" t="str">
        <x:f>IF(I169="","OPEN",IF(OR(F169="",G169="",H169=""),"FAIL","PASS"))</x:f>
        <x:v>OPEN</x:v>
      </x:c>
    </x:row>
    <x:row r="170">
      <x:c r="B170" s="28" t="str">
        <x:v>CQ-DA-041-4</x:v>
      </x:c>
      <x:c r="C170" s="28" t="str">
        <x:v>DA-041</x:v>
      </x:c>
      <x:c r="D170" s="28" t="n">
        <x:v>4</x:v>
      </x:c>
      <x:c r="E170" s="28" t="str">
        <x:v>incident and rescue qualification</x:v>
      </x:c>
      <x:c r="F170" s="31" t="str"/>
      <x:c r="G170" s="31" t="str"/>
      <x:c r="H170" s="32" t="str"/>
      <x:c r="I170" s="31" t="str"/>
      <x:c r="J170" s="28" t="str">
        <x:f>IF(I170="","OPEN",IF(OR(F170="",G170="",H170=""),"FAIL","PASS"))</x:f>
        <x:v>OPEN</x:v>
      </x:c>
    </x:row>
    <x:row r="171">
      <x:c r="B171" s="28" t="str">
        <x:v>CQ-DA-042-1</x:v>
      </x:c>
      <x:c r="C171" s="28" t="str">
        <x:v>DA-042</x:v>
      </x:c>
      <x:c r="D171" s="28" t="n">
        <x:v>1</x:v>
      </x:c>
      <x:c r="E171" s="28" t="str">
        <x:v>role qualification</x:v>
      </x:c>
      <x:c r="F171" s="31" t="str"/>
      <x:c r="G171" s="31" t="str"/>
      <x:c r="H171" s="32" t="str"/>
      <x:c r="I171" s="31" t="str"/>
      <x:c r="J171" s="28" t="str">
        <x:f>IF(I171="","OPEN",IF(OR(F171="",G171="",H171=""),"FAIL","PASS"))</x:f>
        <x:v>OPEN</x:v>
      </x:c>
    </x:row>
    <x:row r="172">
      <x:c r="B172" s="28" t="str">
        <x:v>CQ-DA-042-2</x:v>
      </x:c>
      <x:c r="C172" s="28" t="str">
        <x:v>DA-042</x:v>
      </x:c>
      <x:c r="D172" s="28" t="n">
        <x:v>2</x:v>
      </x:c>
      <x:c r="E172" s="28" t="str">
        <x:v>site and rig qualification</x:v>
      </x:c>
      <x:c r="F172" s="31" t="str"/>
      <x:c r="G172" s="31" t="str"/>
      <x:c r="H172" s="32" t="str"/>
      <x:c r="I172" s="31" t="str"/>
      <x:c r="J172" s="28" t="str">
        <x:f>IF(I172="","OPEN",IF(OR(F172="",G172="",H172=""),"FAIL","PASS"))</x:f>
        <x:v>OPEN</x:v>
      </x:c>
    </x:row>
    <x:row r="173">
      <x:c r="B173" s="28" t="str">
        <x:v>CQ-DA-042-3</x:v>
      </x:c>
      <x:c r="C173" s="28" t="str">
        <x:v>DA-042</x:v>
      </x:c>
      <x:c r="D173" s="28" t="n">
        <x:v>3</x:v>
      </x:c>
      <x:c r="E173" s="28" t="str">
        <x:v>article-interface qualification</x:v>
      </x:c>
      <x:c r="F173" s="31" t="str"/>
      <x:c r="G173" s="31" t="str"/>
      <x:c r="H173" s="32" t="str"/>
      <x:c r="I173" s="31" t="str"/>
      <x:c r="J173" s="28" t="str">
        <x:f>IF(I173="","OPEN",IF(OR(F173="",G173="",H173=""),"FAIL","PASS"))</x:f>
        <x:v>OPEN</x:v>
      </x:c>
    </x:row>
    <x:row r="174">
      <x:c r="B174" s="28" t="str">
        <x:v>CQ-DA-042-4</x:v>
      </x:c>
      <x:c r="C174" s="28" t="str">
        <x:v>DA-042</x:v>
      </x:c>
      <x:c r="D174" s="28" t="n">
        <x:v>4</x:v>
      </x:c>
      <x:c r="E174" s="28" t="str">
        <x:v>incident and rescue qualification</x:v>
      </x:c>
      <x:c r="F174" s="31" t="str"/>
      <x:c r="G174" s="31" t="str"/>
      <x:c r="H174" s="32" t="str"/>
      <x:c r="I174" s="31" t="str"/>
      <x:c r="J174" s="28" t="str">
        <x:f>IF(I174="","OPEN",IF(OR(F174="",G174="",H174=""),"FAIL","PASS"))</x:f>
        <x:v>OPEN</x:v>
      </x:c>
    </x:row>
    <x:row r="175">
      <x:c r="B175" s="28" t="str">
        <x:v>CQ-DA-043-1</x:v>
      </x:c>
      <x:c r="C175" s="28" t="str">
        <x:v>DA-043</x:v>
      </x:c>
      <x:c r="D175" s="28" t="n">
        <x:v>1</x:v>
      </x:c>
      <x:c r="E175" s="28" t="str">
        <x:v>role qualification</x:v>
      </x:c>
      <x:c r="F175" s="31" t="str"/>
      <x:c r="G175" s="31" t="str"/>
      <x:c r="H175" s="32" t="str"/>
      <x:c r="I175" s="31" t="str"/>
      <x:c r="J175" s="28" t="str">
        <x:f>IF(I175="","OPEN",IF(OR(F175="",G175="",H175=""),"FAIL","PASS"))</x:f>
        <x:v>OPEN</x:v>
      </x:c>
    </x:row>
    <x:row r="176">
      <x:c r="B176" s="28" t="str">
        <x:v>CQ-DA-043-2</x:v>
      </x:c>
      <x:c r="C176" s="28" t="str">
        <x:v>DA-043</x:v>
      </x:c>
      <x:c r="D176" s="28" t="n">
        <x:v>2</x:v>
      </x:c>
      <x:c r="E176" s="28" t="str">
        <x:v>site and rig qualification</x:v>
      </x:c>
      <x:c r="F176" s="31" t="str"/>
      <x:c r="G176" s="31" t="str"/>
      <x:c r="H176" s="32" t="str"/>
      <x:c r="I176" s="31" t="str"/>
      <x:c r="J176" s="28" t="str">
        <x:f>IF(I176="","OPEN",IF(OR(F176="",G176="",H176=""),"FAIL","PASS"))</x:f>
        <x:v>OPEN</x:v>
      </x:c>
    </x:row>
    <x:row r="177">
      <x:c r="B177" s="28" t="str">
        <x:v>CQ-DA-043-3</x:v>
      </x:c>
      <x:c r="C177" s="28" t="str">
        <x:v>DA-043</x:v>
      </x:c>
      <x:c r="D177" s="28" t="n">
        <x:v>3</x:v>
      </x:c>
      <x:c r="E177" s="28" t="str">
        <x:v>article-interface qualification</x:v>
      </x:c>
      <x:c r="F177" s="31" t="str"/>
      <x:c r="G177" s="31" t="str"/>
      <x:c r="H177" s="32" t="str"/>
      <x:c r="I177" s="31" t="str"/>
      <x:c r="J177" s="28" t="str">
        <x:f>IF(I177="","OPEN",IF(OR(F177="",G177="",H177=""),"FAIL","PASS"))</x:f>
        <x:v>OPEN</x:v>
      </x:c>
    </x:row>
    <x:row r="178">
      <x:c r="B178" s="28" t="str">
        <x:v>CQ-DA-043-4</x:v>
      </x:c>
      <x:c r="C178" s="28" t="str">
        <x:v>DA-043</x:v>
      </x:c>
      <x:c r="D178" s="28" t="n">
        <x:v>4</x:v>
      </x:c>
      <x:c r="E178" s="28" t="str">
        <x:v>incident and rescue qualification</x:v>
      </x:c>
      <x:c r="F178" s="31" t="str"/>
      <x:c r="G178" s="31" t="str"/>
      <x:c r="H178" s="32" t="str"/>
      <x:c r="I178" s="31" t="str"/>
      <x:c r="J178" s="28" t="str">
        <x:f>IF(I178="","OPEN",IF(OR(F178="",G178="",H178=""),"FAIL","PASS"))</x:f>
        <x:v>OPEN</x:v>
      </x:c>
    </x:row>
    <x:row r="179">
      <x:c r="B179" s="28" t="str">
        <x:v>CQ-DA-044-1</x:v>
      </x:c>
      <x:c r="C179" s="28" t="str">
        <x:v>DA-044</x:v>
      </x:c>
      <x:c r="D179" s="28" t="n">
        <x:v>1</x:v>
      </x:c>
      <x:c r="E179" s="28" t="str">
        <x:v>role qualification</x:v>
      </x:c>
      <x:c r="F179" s="31" t="str"/>
      <x:c r="G179" s="31" t="str"/>
      <x:c r="H179" s="32" t="str"/>
      <x:c r="I179" s="31" t="str"/>
      <x:c r="J179" s="28" t="str">
        <x:f>IF(I179="","OPEN",IF(OR(F179="",G179="",H179=""),"FAIL","PASS"))</x:f>
        <x:v>OPEN</x:v>
      </x:c>
    </x:row>
    <x:row r="180">
      <x:c r="B180" s="28" t="str">
        <x:v>CQ-DA-044-2</x:v>
      </x:c>
      <x:c r="C180" s="28" t="str">
        <x:v>DA-044</x:v>
      </x:c>
      <x:c r="D180" s="28" t="n">
        <x:v>2</x:v>
      </x:c>
      <x:c r="E180" s="28" t="str">
        <x:v>site and rig qualification</x:v>
      </x:c>
      <x:c r="F180" s="31" t="str"/>
      <x:c r="G180" s="31" t="str"/>
      <x:c r="H180" s="32" t="str"/>
      <x:c r="I180" s="31" t="str"/>
      <x:c r="J180" s="28" t="str">
        <x:f>IF(I180="","OPEN",IF(OR(F180="",G180="",H180=""),"FAIL","PASS"))</x:f>
        <x:v>OPEN</x:v>
      </x:c>
    </x:row>
    <x:row r="181">
      <x:c r="B181" s="28" t="str">
        <x:v>CQ-DA-044-3</x:v>
      </x:c>
      <x:c r="C181" s="28" t="str">
        <x:v>DA-044</x:v>
      </x:c>
      <x:c r="D181" s="28" t="n">
        <x:v>3</x:v>
      </x:c>
      <x:c r="E181" s="28" t="str">
        <x:v>article-interface qualification</x:v>
      </x:c>
      <x:c r="F181" s="31" t="str"/>
      <x:c r="G181" s="31" t="str"/>
      <x:c r="H181" s="32" t="str"/>
      <x:c r="I181" s="31" t="str"/>
      <x:c r="J181" s="28" t="str">
        <x:f>IF(I181="","OPEN",IF(OR(F181="",G181="",H181=""),"FAIL","PASS"))</x:f>
        <x:v>OPEN</x:v>
      </x:c>
    </x:row>
    <x:row r="182">
      <x:c r="B182" s="28" t="str">
        <x:v>CQ-DA-044-4</x:v>
      </x:c>
      <x:c r="C182" s="28" t="str">
        <x:v>DA-044</x:v>
      </x:c>
      <x:c r="D182" s="28" t="n">
        <x:v>4</x:v>
      </x:c>
      <x:c r="E182" s="28" t="str">
        <x:v>incident and rescue qualification</x:v>
      </x:c>
      <x:c r="F182" s="31" t="str"/>
      <x:c r="G182" s="31" t="str"/>
      <x:c r="H182" s="32" t="str"/>
      <x:c r="I182" s="31" t="str"/>
      <x:c r="J182" s="28" t="str">
        <x:f>IF(I182="","OPEN",IF(OR(F182="",G182="",H182=""),"FAIL","PASS"))</x:f>
        <x:v>OPEN</x:v>
      </x:c>
    </x:row>
    <x:row r="183">
      <x:c r="B183" s="28" t="str">
        <x:v>CQ-DA-045-1</x:v>
      </x:c>
      <x:c r="C183" s="28" t="str">
        <x:v>DA-045</x:v>
      </x:c>
      <x:c r="D183" s="28" t="n">
        <x:v>1</x:v>
      </x:c>
      <x:c r="E183" s="28" t="str">
        <x:v>role qualification</x:v>
      </x:c>
      <x:c r="F183" s="31" t="str"/>
      <x:c r="G183" s="31" t="str"/>
      <x:c r="H183" s="32" t="str"/>
      <x:c r="I183" s="31" t="str"/>
      <x:c r="J183" s="28" t="str">
        <x:f>IF(I183="","OPEN",IF(OR(F183="",G183="",H183=""),"FAIL","PASS"))</x:f>
        <x:v>OPEN</x:v>
      </x:c>
    </x:row>
    <x:row r="184">
      <x:c r="B184" s="28" t="str">
        <x:v>CQ-DA-045-2</x:v>
      </x:c>
      <x:c r="C184" s="28" t="str">
        <x:v>DA-045</x:v>
      </x:c>
      <x:c r="D184" s="28" t="n">
        <x:v>2</x:v>
      </x:c>
      <x:c r="E184" s="28" t="str">
        <x:v>site and rig qualification</x:v>
      </x:c>
      <x:c r="F184" s="31" t="str"/>
      <x:c r="G184" s="31" t="str"/>
      <x:c r="H184" s="32" t="str"/>
      <x:c r="I184" s="31" t="str"/>
      <x:c r="J184" s="28" t="str">
        <x:f>IF(I184="","OPEN",IF(OR(F184="",G184="",H184=""),"FAIL","PASS"))</x:f>
        <x:v>OPEN</x:v>
      </x:c>
    </x:row>
    <x:row r="185">
      <x:c r="B185" s="28" t="str">
        <x:v>CQ-DA-045-3</x:v>
      </x:c>
      <x:c r="C185" s="28" t="str">
        <x:v>DA-045</x:v>
      </x:c>
      <x:c r="D185" s="28" t="n">
        <x:v>3</x:v>
      </x:c>
      <x:c r="E185" s="28" t="str">
        <x:v>article-interface qualification</x:v>
      </x:c>
      <x:c r="F185" s="31" t="str"/>
      <x:c r="G185" s="31" t="str"/>
      <x:c r="H185" s="32" t="str"/>
      <x:c r="I185" s="31" t="str"/>
      <x:c r="J185" s="28" t="str">
        <x:f>IF(I185="","OPEN",IF(OR(F185="",G185="",H185=""),"FAIL","PASS"))</x:f>
        <x:v>OPEN</x:v>
      </x:c>
    </x:row>
    <x:row r="186">
      <x:c r="B186" s="28" t="str">
        <x:v>CQ-DA-045-4</x:v>
      </x:c>
      <x:c r="C186" s="28" t="str">
        <x:v>DA-045</x:v>
      </x:c>
      <x:c r="D186" s="28" t="n">
        <x:v>4</x:v>
      </x:c>
      <x:c r="E186" s="28" t="str">
        <x:v>incident and rescue qualification</x:v>
      </x:c>
      <x:c r="F186" s="31" t="str"/>
      <x:c r="G186" s="31" t="str"/>
      <x:c r="H186" s="32" t="str"/>
      <x:c r="I186" s="31" t="str"/>
      <x:c r="J186" s="28" t="str">
        <x:f>IF(I186="","OPEN",IF(OR(F186="",G186="",H186=""),"FAIL","PASS"))</x:f>
        <x:v>OPEN</x:v>
      </x:c>
    </x:row>
    <x:row r="187">
      <x:c r="B187" s="28" t="str">
        <x:v>CQ-DA-046-1</x:v>
      </x:c>
      <x:c r="C187" s="28" t="str">
        <x:v>DA-046</x:v>
      </x:c>
      <x:c r="D187" s="28" t="n">
        <x:v>1</x:v>
      </x:c>
      <x:c r="E187" s="28" t="str">
        <x:v>role qualification</x:v>
      </x:c>
      <x:c r="F187" s="31" t="str"/>
      <x:c r="G187" s="31" t="str"/>
      <x:c r="H187" s="32" t="str"/>
      <x:c r="I187" s="31" t="str"/>
      <x:c r="J187" s="28" t="str">
        <x:f>IF(I187="","OPEN",IF(OR(F187="",G187="",H187=""),"FAIL","PASS"))</x:f>
        <x:v>OPEN</x:v>
      </x:c>
    </x:row>
    <x:row r="188">
      <x:c r="B188" s="28" t="str">
        <x:v>CQ-DA-046-2</x:v>
      </x:c>
      <x:c r="C188" s="28" t="str">
        <x:v>DA-046</x:v>
      </x:c>
      <x:c r="D188" s="28" t="n">
        <x:v>2</x:v>
      </x:c>
      <x:c r="E188" s="28" t="str">
        <x:v>site and rig qualification</x:v>
      </x:c>
      <x:c r="F188" s="31" t="str"/>
      <x:c r="G188" s="31" t="str"/>
      <x:c r="H188" s="32" t="str"/>
      <x:c r="I188" s="31" t="str"/>
      <x:c r="J188" s="28" t="str">
        <x:f>IF(I188="","OPEN",IF(OR(F188="",G188="",H188=""),"FAIL","PASS"))</x:f>
        <x:v>OPEN</x:v>
      </x:c>
    </x:row>
    <x:row r="189">
      <x:c r="B189" s="28" t="str">
        <x:v>CQ-DA-046-3</x:v>
      </x:c>
      <x:c r="C189" s="28" t="str">
        <x:v>DA-046</x:v>
      </x:c>
      <x:c r="D189" s="28" t="n">
        <x:v>3</x:v>
      </x:c>
      <x:c r="E189" s="28" t="str">
        <x:v>article-interface qualification</x:v>
      </x:c>
      <x:c r="F189" s="31" t="str"/>
      <x:c r="G189" s="31" t="str"/>
      <x:c r="H189" s="32" t="str"/>
      <x:c r="I189" s="31" t="str"/>
      <x:c r="J189" s="28" t="str">
        <x:f>IF(I189="","OPEN",IF(OR(F189="",G189="",H189=""),"FAIL","PASS"))</x:f>
        <x:v>OPEN</x:v>
      </x:c>
    </x:row>
    <x:row r="190">
      <x:c r="B190" s="28" t="str">
        <x:v>CQ-DA-046-4</x:v>
      </x:c>
      <x:c r="C190" s="28" t="str">
        <x:v>DA-046</x:v>
      </x:c>
      <x:c r="D190" s="28" t="n">
        <x:v>4</x:v>
      </x:c>
      <x:c r="E190" s="28" t="str">
        <x:v>incident and rescue qualification</x:v>
      </x:c>
      <x:c r="F190" s="31" t="str"/>
      <x:c r="G190" s="31" t="str"/>
      <x:c r="H190" s="32" t="str"/>
      <x:c r="I190" s="31" t="str"/>
      <x:c r="J190" s="28" t="str">
        <x:f>IF(I190="","OPEN",IF(OR(F190="",G190="",H190=""),"FAIL","PASS"))</x:f>
        <x:v>OPEN</x:v>
      </x:c>
    </x:row>
    <x:row r="191">
      <x:c r="B191" s="28" t="str">
        <x:v>CQ-DA-047-1</x:v>
      </x:c>
      <x:c r="C191" s="28" t="str">
        <x:v>DA-047</x:v>
      </x:c>
      <x:c r="D191" s="28" t="n">
        <x:v>1</x:v>
      </x:c>
      <x:c r="E191" s="28" t="str">
        <x:v>role qualification</x:v>
      </x:c>
      <x:c r="F191" s="31" t="str"/>
      <x:c r="G191" s="31" t="str"/>
      <x:c r="H191" s="32" t="str"/>
      <x:c r="I191" s="31" t="str"/>
      <x:c r="J191" s="28" t="str">
        <x:f>IF(I191="","OPEN",IF(OR(F191="",G191="",H191=""),"FAIL","PASS"))</x:f>
        <x:v>OPEN</x:v>
      </x:c>
    </x:row>
    <x:row r="192">
      <x:c r="B192" s="28" t="str">
        <x:v>CQ-DA-047-2</x:v>
      </x:c>
      <x:c r="C192" s="28" t="str">
        <x:v>DA-047</x:v>
      </x:c>
      <x:c r="D192" s="28" t="n">
        <x:v>2</x:v>
      </x:c>
      <x:c r="E192" s="28" t="str">
        <x:v>site and rig qualification</x:v>
      </x:c>
      <x:c r="F192" s="31" t="str"/>
      <x:c r="G192" s="31" t="str"/>
      <x:c r="H192" s="32" t="str"/>
      <x:c r="I192" s="31" t="str"/>
      <x:c r="J192" s="28" t="str">
        <x:f>IF(I192="","OPEN",IF(OR(F192="",G192="",H192=""),"FAIL","PASS"))</x:f>
        <x:v>OPEN</x:v>
      </x:c>
    </x:row>
    <x:row r="193">
      <x:c r="B193" s="28" t="str">
        <x:v>CQ-DA-047-3</x:v>
      </x:c>
      <x:c r="C193" s="28" t="str">
        <x:v>DA-047</x:v>
      </x:c>
      <x:c r="D193" s="28" t="n">
        <x:v>3</x:v>
      </x:c>
      <x:c r="E193" s="28" t="str">
        <x:v>article-interface qualification</x:v>
      </x:c>
      <x:c r="F193" s="31" t="str"/>
      <x:c r="G193" s="31" t="str"/>
      <x:c r="H193" s="32" t="str"/>
      <x:c r="I193" s="31" t="str"/>
      <x:c r="J193" s="28" t="str">
        <x:f>IF(I193="","OPEN",IF(OR(F193="",G193="",H193=""),"FAIL","PASS"))</x:f>
        <x:v>OPEN</x:v>
      </x:c>
    </x:row>
    <x:row r="194">
      <x:c r="B194" s="28" t="str">
        <x:v>CQ-DA-047-4</x:v>
      </x:c>
      <x:c r="C194" s="28" t="str">
        <x:v>DA-047</x:v>
      </x:c>
      <x:c r="D194" s="28" t="n">
        <x:v>4</x:v>
      </x:c>
      <x:c r="E194" s="28" t="str">
        <x:v>incident and rescue qualification</x:v>
      </x:c>
      <x:c r="F194" s="31" t="str"/>
      <x:c r="G194" s="31" t="str"/>
      <x:c r="H194" s="32" t="str"/>
      <x:c r="I194" s="31" t="str"/>
      <x:c r="J194" s="28" t="str">
        <x:f>IF(I194="","OPEN",IF(OR(F194="",G194="",H194=""),"FAIL","PASS"))</x:f>
        <x:v>OPEN</x:v>
      </x:c>
    </x:row>
    <x:row r="195">
      <x:c r="B195" s="28" t="str">
        <x:v>CQ-DA-048-1</x:v>
      </x:c>
      <x:c r="C195" s="28" t="str">
        <x:v>DA-048</x:v>
      </x:c>
      <x:c r="D195" s="28" t="n">
        <x:v>1</x:v>
      </x:c>
      <x:c r="E195" s="28" t="str">
        <x:v>role qualification</x:v>
      </x:c>
      <x:c r="F195" s="31" t="str"/>
      <x:c r="G195" s="31" t="str"/>
      <x:c r="H195" s="32" t="str"/>
      <x:c r="I195" s="31" t="str"/>
      <x:c r="J195" s="28" t="str">
        <x:f>IF(I195="","OPEN",IF(OR(F195="",G195="",H195=""),"FAIL","PASS"))</x:f>
        <x:v>OPEN</x:v>
      </x:c>
    </x:row>
    <x:row r="196">
      <x:c r="B196" s="28" t="str">
        <x:v>CQ-DA-048-2</x:v>
      </x:c>
      <x:c r="C196" s="28" t="str">
        <x:v>DA-048</x:v>
      </x:c>
      <x:c r="D196" s="28" t="n">
        <x:v>2</x:v>
      </x:c>
      <x:c r="E196" s="28" t="str">
        <x:v>site and rig qualification</x:v>
      </x:c>
      <x:c r="F196" s="31" t="str"/>
      <x:c r="G196" s="31" t="str"/>
      <x:c r="H196" s="32" t="str"/>
      <x:c r="I196" s="31" t="str"/>
      <x:c r="J196" s="28" t="str">
        <x:f>IF(I196="","OPEN",IF(OR(F196="",G196="",H196=""),"FAIL","PASS"))</x:f>
        <x:v>OPEN</x:v>
      </x:c>
    </x:row>
    <x:row r="197">
      <x:c r="B197" s="28" t="str">
        <x:v>CQ-DA-048-3</x:v>
      </x:c>
      <x:c r="C197" s="28" t="str">
        <x:v>DA-048</x:v>
      </x:c>
      <x:c r="D197" s="28" t="n">
        <x:v>3</x:v>
      </x:c>
      <x:c r="E197" s="28" t="str">
        <x:v>article-interface qualification</x:v>
      </x:c>
      <x:c r="F197" s="31" t="str"/>
      <x:c r="G197" s="31" t="str"/>
      <x:c r="H197" s="32" t="str"/>
      <x:c r="I197" s="31" t="str"/>
      <x:c r="J197" s="28" t="str">
        <x:f>IF(I197="","OPEN",IF(OR(F197="",G197="",H197=""),"FAIL","PASS"))</x:f>
        <x:v>OPEN</x:v>
      </x:c>
    </x:row>
    <x:row r="198">
      <x:c r="B198" s="28" t="str">
        <x:v>CQ-DA-048-4</x:v>
      </x:c>
      <x:c r="C198" s="28" t="str">
        <x:v>DA-048</x:v>
      </x:c>
      <x:c r="D198" s="28" t="n">
        <x:v>4</x:v>
      </x:c>
      <x:c r="E198" s="28" t="str">
        <x:v>incident and rescue qualification</x:v>
      </x:c>
      <x:c r="F198" s="31" t="str"/>
      <x:c r="G198" s="31" t="str"/>
      <x:c r="H198" s="32" t="str"/>
      <x:c r="I198" s="31" t="str"/>
      <x:c r="J198" s="28" t="str">
        <x:f>IF(I198="","OPEN",IF(OR(F198="",G198="",H198=""),"FAIL","PASS"))</x:f>
        <x:v>OPEN</x:v>
      </x:c>
    </x:row>
    <x:row r="199">
      <x:c r="B199" s="28" t="str">
        <x:v>CQ-DA-049-1</x:v>
      </x:c>
      <x:c r="C199" s="28" t="str">
        <x:v>DA-049</x:v>
      </x:c>
      <x:c r="D199" s="28" t="n">
        <x:v>1</x:v>
      </x:c>
      <x:c r="E199" s="28" t="str">
        <x:v>role qualification</x:v>
      </x:c>
      <x:c r="F199" s="31" t="str"/>
      <x:c r="G199" s="31" t="str"/>
      <x:c r="H199" s="32" t="str"/>
      <x:c r="I199" s="31" t="str"/>
      <x:c r="J199" s="28" t="str">
        <x:f>IF(I199="","OPEN",IF(OR(F199="",G199="",H199=""),"FAIL","PASS"))</x:f>
        <x:v>OPEN</x:v>
      </x:c>
    </x:row>
    <x:row r="200">
      <x:c r="B200" s="28" t="str">
        <x:v>CQ-DA-049-2</x:v>
      </x:c>
      <x:c r="C200" s="28" t="str">
        <x:v>DA-049</x:v>
      </x:c>
      <x:c r="D200" s="28" t="n">
        <x:v>2</x:v>
      </x:c>
      <x:c r="E200" s="28" t="str">
        <x:v>site and rig qualification</x:v>
      </x:c>
      <x:c r="F200" s="31" t="str"/>
      <x:c r="G200" s="31" t="str"/>
      <x:c r="H200" s="32" t="str"/>
      <x:c r="I200" s="31" t="str"/>
      <x:c r="J200" s="28" t="str">
        <x:f>IF(I200="","OPEN",IF(OR(F200="",G200="",H200=""),"FAIL","PASS"))</x:f>
        <x:v>OPEN</x:v>
      </x:c>
    </x:row>
    <x:row r="201">
      <x:c r="B201" s="28" t="str">
        <x:v>CQ-DA-049-3</x:v>
      </x:c>
      <x:c r="C201" s="28" t="str">
        <x:v>DA-049</x:v>
      </x:c>
      <x:c r="D201" s="28" t="n">
        <x:v>3</x:v>
      </x:c>
      <x:c r="E201" s="28" t="str">
        <x:v>article-interface qualification</x:v>
      </x:c>
      <x:c r="F201" s="31" t="str"/>
      <x:c r="G201" s="31" t="str"/>
      <x:c r="H201" s="32" t="str"/>
      <x:c r="I201" s="31" t="str"/>
      <x:c r="J201" s="28" t="str">
        <x:f>IF(I201="","OPEN",IF(OR(F201="",G201="",H201=""),"FAIL","PASS"))</x:f>
        <x:v>OPEN</x:v>
      </x:c>
    </x:row>
    <x:row r="202">
      <x:c r="B202" s="28" t="str">
        <x:v>CQ-DA-049-4</x:v>
      </x:c>
      <x:c r="C202" s="28" t="str">
        <x:v>DA-049</x:v>
      </x:c>
      <x:c r="D202" s="28" t="n">
        <x:v>4</x:v>
      </x:c>
      <x:c r="E202" s="28" t="str">
        <x:v>incident and rescue qualification</x:v>
      </x:c>
      <x:c r="F202" s="31" t="str"/>
      <x:c r="G202" s="31" t="str"/>
      <x:c r="H202" s="32" t="str"/>
      <x:c r="I202" s="31" t="str"/>
      <x:c r="J202" s="28" t="str">
        <x:f>IF(I202="","OPEN",IF(OR(F202="",G202="",H202=""),"FAIL","PASS"))</x:f>
        <x:v>OPEN</x:v>
      </x:c>
    </x:row>
    <x:row r="203">
      <x:c r="B203" s="28" t="str">
        <x:v>CQ-DA-050-1</x:v>
      </x:c>
      <x:c r="C203" s="28" t="str">
        <x:v>DA-050</x:v>
      </x:c>
      <x:c r="D203" s="28" t="n">
        <x:v>1</x:v>
      </x:c>
      <x:c r="E203" s="28" t="str">
        <x:v>role qualification</x:v>
      </x:c>
      <x:c r="F203" s="31" t="str"/>
      <x:c r="G203" s="31" t="str"/>
      <x:c r="H203" s="32" t="str"/>
      <x:c r="I203" s="31" t="str"/>
      <x:c r="J203" s="28" t="str">
        <x:f>IF(I203="","OPEN",IF(OR(F203="",G203="",H203=""),"FAIL","PASS"))</x:f>
        <x:v>OPEN</x:v>
      </x:c>
    </x:row>
    <x:row r="204">
      <x:c r="B204" s="28" t="str">
        <x:v>CQ-DA-050-2</x:v>
      </x:c>
      <x:c r="C204" s="28" t="str">
        <x:v>DA-050</x:v>
      </x:c>
      <x:c r="D204" s="28" t="n">
        <x:v>2</x:v>
      </x:c>
      <x:c r="E204" s="28" t="str">
        <x:v>site and rig qualification</x:v>
      </x:c>
      <x:c r="F204" s="31" t="str"/>
      <x:c r="G204" s="31" t="str"/>
      <x:c r="H204" s="32" t="str"/>
      <x:c r="I204" s="31" t="str"/>
      <x:c r="J204" s="28" t="str">
        <x:f>IF(I204="","OPEN",IF(OR(F204="",G204="",H204=""),"FAIL","PASS"))</x:f>
        <x:v>OPEN</x:v>
      </x:c>
    </x:row>
    <x:row r="205">
      <x:c r="B205" s="28" t="str">
        <x:v>CQ-DA-050-3</x:v>
      </x:c>
      <x:c r="C205" s="28" t="str">
        <x:v>DA-050</x:v>
      </x:c>
      <x:c r="D205" s="28" t="n">
        <x:v>3</x:v>
      </x:c>
      <x:c r="E205" s="28" t="str">
        <x:v>article-interface qualification</x:v>
      </x:c>
      <x:c r="F205" s="31" t="str"/>
      <x:c r="G205" s="31" t="str"/>
      <x:c r="H205" s="32" t="str"/>
      <x:c r="I205" s="31" t="str"/>
      <x:c r="J205" s="28" t="str">
        <x:f>IF(I205="","OPEN",IF(OR(F205="",G205="",H205=""),"FAIL","PASS"))</x:f>
        <x:v>OPEN</x:v>
      </x:c>
    </x:row>
    <x:row r="206">
      <x:c r="B206" s="28" t="str">
        <x:v>CQ-DA-050-4</x:v>
      </x:c>
      <x:c r="C206" s="28" t="str">
        <x:v>DA-050</x:v>
      </x:c>
      <x:c r="D206" s="28" t="n">
        <x:v>4</x:v>
      </x:c>
      <x:c r="E206" s="28" t="str">
        <x:v>incident and rescue qualification</x:v>
      </x:c>
      <x:c r="F206" s="31" t="str"/>
      <x:c r="G206" s="31" t="str"/>
      <x:c r="H206" s="32" t="str"/>
      <x:c r="I206" s="31" t="str"/>
      <x:c r="J206" s="28" t="str">
        <x:f>IF(I206="","OPEN",IF(OR(F206="",G206="",H206=""),"FAIL","PASS"))</x:f>
        <x:v>OPEN</x:v>
      </x:c>
    </x:row>
    <x:row r="207">
      <x:c r="B207" s="28" t="str">
        <x:v>CQ-DA-051-1</x:v>
      </x:c>
      <x:c r="C207" s="28" t="str">
        <x:v>DA-051</x:v>
      </x:c>
      <x:c r="D207" s="28" t="n">
        <x:v>1</x:v>
      </x:c>
      <x:c r="E207" s="28" t="str">
        <x:v>role qualification</x:v>
      </x:c>
      <x:c r="F207" s="31" t="str"/>
      <x:c r="G207" s="31" t="str"/>
      <x:c r="H207" s="32" t="str"/>
      <x:c r="I207" s="31" t="str"/>
      <x:c r="J207" s="28" t="str">
        <x:f>IF(I207="","OPEN",IF(OR(F207="",G207="",H207=""),"FAIL","PASS"))</x:f>
        <x:v>OPEN</x:v>
      </x:c>
    </x:row>
    <x:row r="208">
      <x:c r="B208" s="28" t="str">
        <x:v>CQ-DA-051-2</x:v>
      </x:c>
      <x:c r="C208" s="28" t="str">
        <x:v>DA-051</x:v>
      </x:c>
      <x:c r="D208" s="28" t="n">
        <x:v>2</x:v>
      </x:c>
      <x:c r="E208" s="28" t="str">
        <x:v>site and rig qualification</x:v>
      </x:c>
      <x:c r="F208" s="31" t="str"/>
      <x:c r="G208" s="31" t="str"/>
      <x:c r="H208" s="32" t="str"/>
      <x:c r="I208" s="31" t="str"/>
      <x:c r="J208" s="28" t="str">
        <x:f>IF(I208="","OPEN",IF(OR(F208="",G208="",H208=""),"FAIL","PASS"))</x:f>
        <x:v>OPEN</x:v>
      </x:c>
    </x:row>
    <x:row r="209">
      <x:c r="B209" s="28" t="str">
        <x:v>CQ-DA-051-3</x:v>
      </x:c>
      <x:c r="C209" s="28" t="str">
        <x:v>DA-051</x:v>
      </x:c>
      <x:c r="D209" s="28" t="n">
        <x:v>3</x:v>
      </x:c>
      <x:c r="E209" s="28" t="str">
        <x:v>article-interface qualification</x:v>
      </x:c>
      <x:c r="F209" s="31" t="str"/>
      <x:c r="G209" s="31" t="str"/>
      <x:c r="H209" s="32" t="str"/>
      <x:c r="I209" s="31" t="str"/>
      <x:c r="J209" s="28" t="str">
        <x:f>IF(I209="","OPEN",IF(OR(F209="",G209="",H209=""),"FAIL","PASS"))</x:f>
        <x:v>OPEN</x:v>
      </x:c>
    </x:row>
    <x:row r="210">
      <x:c r="B210" s="28" t="str">
        <x:v>CQ-DA-051-4</x:v>
      </x:c>
      <x:c r="C210" s="28" t="str">
        <x:v>DA-051</x:v>
      </x:c>
      <x:c r="D210" s="28" t="n">
        <x:v>4</x:v>
      </x:c>
      <x:c r="E210" s="28" t="str">
        <x:v>incident and rescue qualification</x:v>
      </x:c>
      <x:c r="F210" s="31" t="str"/>
      <x:c r="G210" s="31" t="str"/>
      <x:c r="H210" s="32" t="str"/>
      <x:c r="I210" s="31" t="str"/>
      <x:c r="J210" s="28" t="str">
        <x:f>IF(I210="","OPEN",IF(OR(F210="",G210="",H210=""),"FAIL","PASS"))</x:f>
        <x:v>OPEN</x:v>
      </x:c>
    </x:row>
    <x:row r="211">
      <x:c r="B211" s="28" t="str">
        <x:v>CQ-DA-052-1</x:v>
      </x:c>
      <x:c r="C211" s="28" t="str">
        <x:v>DA-052</x:v>
      </x:c>
      <x:c r="D211" s="28" t="n">
        <x:v>1</x:v>
      </x:c>
      <x:c r="E211" s="28" t="str">
        <x:v>role qualification</x:v>
      </x:c>
      <x:c r="F211" s="31" t="str"/>
      <x:c r="G211" s="31" t="str"/>
      <x:c r="H211" s="32" t="str"/>
      <x:c r="I211" s="31" t="str"/>
      <x:c r="J211" s="28" t="str">
        <x:f>IF(I211="","OPEN",IF(OR(F211="",G211="",H211=""),"FAIL","PASS"))</x:f>
        <x:v>OPEN</x:v>
      </x:c>
    </x:row>
    <x:row r="212">
      <x:c r="B212" s="28" t="str">
        <x:v>CQ-DA-052-2</x:v>
      </x:c>
      <x:c r="C212" s="28" t="str">
        <x:v>DA-052</x:v>
      </x:c>
      <x:c r="D212" s="28" t="n">
        <x:v>2</x:v>
      </x:c>
      <x:c r="E212" s="28" t="str">
        <x:v>site and rig qualification</x:v>
      </x:c>
      <x:c r="F212" s="31" t="str"/>
      <x:c r="G212" s="31" t="str"/>
      <x:c r="H212" s="32" t="str"/>
      <x:c r="I212" s="31" t="str"/>
      <x:c r="J212" s="28" t="str">
        <x:f>IF(I212="","OPEN",IF(OR(F212="",G212="",H212=""),"FAIL","PASS"))</x:f>
        <x:v>OPEN</x:v>
      </x:c>
    </x:row>
    <x:row r="213">
      <x:c r="B213" s="28" t="str">
        <x:v>CQ-DA-052-3</x:v>
      </x:c>
      <x:c r="C213" s="28" t="str">
        <x:v>DA-052</x:v>
      </x:c>
      <x:c r="D213" s="28" t="n">
        <x:v>3</x:v>
      </x:c>
      <x:c r="E213" s="28" t="str">
        <x:v>article-interface qualification</x:v>
      </x:c>
      <x:c r="F213" s="31" t="str"/>
      <x:c r="G213" s="31" t="str"/>
      <x:c r="H213" s="32" t="str"/>
      <x:c r="I213" s="31" t="str"/>
      <x:c r="J213" s="28" t="str">
        <x:f>IF(I213="","OPEN",IF(OR(F213="",G213="",H213=""),"FAIL","PASS"))</x:f>
        <x:v>OPEN</x:v>
      </x:c>
    </x:row>
    <x:row r="214">
      <x:c r="B214" s="28" t="str">
        <x:v>CQ-DA-052-4</x:v>
      </x:c>
      <x:c r="C214" s="28" t="str">
        <x:v>DA-052</x:v>
      </x:c>
      <x:c r="D214" s="28" t="n">
        <x:v>4</x:v>
      </x:c>
      <x:c r="E214" s="28" t="str">
        <x:v>incident and rescue qualification</x:v>
      </x:c>
      <x:c r="F214" s="31" t="str"/>
      <x:c r="G214" s="31" t="str"/>
      <x:c r="H214" s="32" t="str"/>
      <x:c r="I214" s="31" t="str"/>
      <x:c r="J214" s="28" t="str">
        <x:f>IF(I214="","OPEN",IF(OR(F214="",G214="",H214=""),"FAIL","PASS"))</x:f>
        <x:v>OPEN</x:v>
      </x:c>
    </x:row>
    <x:row r="215">
      <x:c r="B215" s="28" t="str">
        <x:v>CQ-DA-053-1</x:v>
      </x:c>
      <x:c r="C215" s="28" t="str">
        <x:v>DA-053</x:v>
      </x:c>
      <x:c r="D215" s="28" t="n">
        <x:v>1</x:v>
      </x:c>
      <x:c r="E215" s="28" t="str">
        <x:v>role qualification</x:v>
      </x:c>
      <x:c r="F215" s="31" t="str"/>
      <x:c r="G215" s="31" t="str"/>
      <x:c r="H215" s="32" t="str"/>
      <x:c r="I215" s="31" t="str"/>
      <x:c r="J215" s="28" t="str">
        <x:f>IF(I215="","OPEN",IF(OR(F215="",G215="",H215=""),"FAIL","PASS"))</x:f>
        <x:v>OPEN</x:v>
      </x:c>
    </x:row>
    <x:row r="216">
      <x:c r="B216" s="28" t="str">
        <x:v>CQ-DA-053-2</x:v>
      </x:c>
      <x:c r="C216" s="28" t="str">
        <x:v>DA-053</x:v>
      </x:c>
      <x:c r="D216" s="28" t="n">
        <x:v>2</x:v>
      </x:c>
      <x:c r="E216" s="28" t="str">
        <x:v>site and rig qualification</x:v>
      </x:c>
      <x:c r="F216" s="31" t="str"/>
      <x:c r="G216" s="31" t="str"/>
      <x:c r="H216" s="32" t="str"/>
      <x:c r="I216" s="31" t="str"/>
      <x:c r="J216" s="28" t="str">
        <x:f>IF(I216="","OPEN",IF(OR(F216="",G216="",H216=""),"FAIL","PASS"))</x:f>
        <x:v>OPEN</x:v>
      </x:c>
    </x:row>
    <x:row r="217">
      <x:c r="B217" s="28" t="str">
        <x:v>CQ-DA-053-3</x:v>
      </x:c>
      <x:c r="C217" s="28" t="str">
        <x:v>DA-053</x:v>
      </x:c>
      <x:c r="D217" s="28" t="n">
        <x:v>3</x:v>
      </x:c>
      <x:c r="E217" s="28" t="str">
        <x:v>article-interface qualification</x:v>
      </x:c>
      <x:c r="F217" s="31" t="str"/>
      <x:c r="G217" s="31" t="str"/>
      <x:c r="H217" s="32" t="str"/>
      <x:c r="I217" s="31" t="str"/>
      <x:c r="J217" s="28" t="str">
        <x:f>IF(I217="","OPEN",IF(OR(F217="",G217="",H217=""),"FAIL","PASS"))</x:f>
        <x:v>OPEN</x:v>
      </x:c>
    </x:row>
    <x:row r="218">
      <x:c r="B218" s="28" t="str">
        <x:v>CQ-DA-053-4</x:v>
      </x:c>
      <x:c r="C218" s="28" t="str">
        <x:v>DA-053</x:v>
      </x:c>
      <x:c r="D218" s="28" t="n">
        <x:v>4</x:v>
      </x:c>
      <x:c r="E218" s="28" t="str">
        <x:v>incident and rescue qualification</x:v>
      </x:c>
      <x:c r="F218" s="31" t="str"/>
      <x:c r="G218" s="31" t="str"/>
      <x:c r="H218" s="32" t="str"/>
      <x:c r="I218" s="31" t="str"/>
      <x:c r="J218" s="28" t="str">
        <x:f>IF(I218="","OPEN",IF(OR(F218="",G218="",H218=""),"FAIL","PASS"))</x:f>
        <x:v>OPEN</x:v>
      </x:c>
    </x:row>
    <x:row r="219">
      <x:c r="B219" s="28" t="str">
        <x:v>CQ-DA-054-1</x:v>
      </x:c>
      <x:c r="C219" s="28" t="str">
        <x:v>DA-054</x:v>
      </x:c>
      <x:c r="D219" s="28" t="n">
        <x:v>1</x:v>
      </x:c>
      <x:c r="E219" s="28" t="str">
        <x:v>role qualification</x:v>
      </x:c>
      <x:c r="F219" s="31" t="str"/>
      <x:c r="G219" s="31" t="str"/>
      <x:c r="H219" s="32" t="str"/>
      <x:c r="I219" s="31" t="str"/>
      <x:c r="J219" s="28" t="str">
        <x:f>IF(I219="","OPEN",IF(OR(F219="",G219="",H219=""),"FAIL","PASS"))</x:f>
        <x:v>OPEN</x:v>
      </x:c>
    </x:row>
    <x:row r="220">
      <x:c r="B220" s="28" t="str">
        <x:v>CQ-DA-054-2</x:v>
      </x:c>
      <x:c r="C220" s="28" t="str">
        <x:v>DA-054</x:v>
      </x:c>
      <x:c r="D220" s="28" t="n">
        <x:v>2</x:v>
      </x:c>
      <x:c r="E220" s="28" t="str">
        <x:v>site and rig qualification</x:v>
      </x:c>
      <x:c r="F220" s="31" t="str"/>
      <x:c r="G220" s="31" t="str"/>
      <x:c r="H220" s="32" t="str"/>
      <x:c r="I220" s="31" t="str"/>
      <x:c r="J220" s="28" t="str">
        <x:f>IF(I220="","OPEN",IF(OR(F220="",G220="",H220=""),"FAIL","PASS"))</x:f>
        <x:v>OPEN</x:v>
      </x:c>
    </x:row>
    <x:row r="221">
      <x:c r="B221" s="28" t="str">
        <x:v>CQ-DA-054-3</x:v>
      </x:c>
      <x:c r="C221" s="28" t="str">
        <x:v>DA-054</x:v>
      </x:c>
      <x:c r="D221" s="28" t="n">
        <x:v>3</x:v>
      </x:c>
      <x:c r="E221" s="28" t="str">
        <x:v>article-interface qualification</x:v>
      </x:c>
      <x:c r="F221" s="31" t="str"/>
      <x:c r="G221" s="31" t="str"/>
      <x:c r="H221" s="32" t="str"/>
      <x:c r="I221" s="31" t="str"/>
      <x:c r="J221" s="28" t="str">
        <x:f>IF(I221="","OPEN",IF(OR(F221="",G221="",H221=""),"FAIL","PASS"))</x:f>
        <x:v>OPEN</x:v>
      </x:c>
    </x:row>
    <x:row r="222">
      <x:c r="B222" s="28" t="str">
        <x:v>CQ-DA-054-4</x:v>
      </x:c>
      <x:c r="C222" s="28" t="str">
        <x:v>DA-054</x:v>
      </x:c>
      <x:c r="D222" s="28" t="n">
        <x:v>4</x:v>
      </x:c>
      <x:c r="E222" s="28" t="str">
        <x:v>incident and rescue qualification</x:v>
      </x:c>
      <x:c r="F222" s="31" t="str"/>
      <x:c r="G222" s="31" t="str"/>
      <x:c r="H222" s="32" t="str"/>
      <x:c r="I222" s="31" t="str"/>
      <x:c r="J222" s="28" t="str">
        <x:f>IF(I222="","OPEN",IF(OR(F222="",G222="",H222=""),"FAIL","PASS"))</x:f>
        <x:v>OPEN</x:v>
      </x:c>
    </x:row>
    <x:row r="223">
      <x:c r="B223" s="28" t="str">
        <x:v>CQ-DA-055-1</x:v>
      </x:c>
      <x:c r="C223" s="28" t="str">
        <x:v>DA-055</x:v>
      </x:c>
      <x:c r="D223" s="28" t="n">
        <x:v>1</x:v>
      </x:c>
      <x:c r="E223" s="28" t="str">
        <x:v>role qualification</x:v>
      </x:c>
      <x:c r="F223" s="31" t="str"/>
      <x:c r="G223" s="31" t="str"/>
      <x:c r="H223" s="32" t="str"/>
      <x:c r="I223" s="31" t="str"/>
      <x:c r="J223" s="28" t="str">
        <x:f>IF(I223="","OPEN",IF(OR(F223="",G223="",H223=""),"FAIL","PASS"))</x:f>
        <x:v>OPEN</x:v>
      </x:c>
    </x:row>
    <x:row r="224">
      <x:c r="B224" s="28" t="str">
        <x:v>CQ-DA-055-2</x:v>
      </x:c>
      <x:c r="C224" s="28" t="str">
        <x:v>DA-055</x:v>
      </x:c>
      <x:c r="D224" s="28" t="n">
        <x:v>2</x:v>
      </x:c>
      <x:c r="E224" s="28" t="str">
        <x:v>site and rig qualification</x:v>
      </x:c>
      <x:c r="F224" s="31" t="str"/>
      <x:c r="G224" s="31" t="str"/>
      <x:c r="H224" s="32" t="str"/>
      <x:c r="I224" s="31" t="str"/>
      <x:c r="J224" s="28" t="str">
        <x:f>IF(I224="","OPEN",IF(OR(F224="",G224="",H224=""),"FAIL","PASS"))</x:f>
        <x:v>OPEN</x:v>
      </x:c>
    </x:row>
    <x:row r="225">
      <x:c r="B225" s="28" t="str">
        <x:v>CQ-DA-055-3</x:v>
      </x:c>
      <x:c r="C225" s="28" t="str">
        <x:v>DA-055</x:v>
      </x:c>
      <x:c r="D225" s="28" t="n">
        <x:v>3</x:v>
      </x:c>
      <x:c r="E225" s="28" t="str">
        <x:v>article-interface qualification</x:v>
      </x:c>
      <x:c r="F225" s="31" t="str"/>
      <x:c r="G225" s="31" t="str"/>
      <x:c r="H225" s="32" t="str"/>
      <x:c r="I225" s="31" t="str"/>
      <x:c r="J225" s="28" t="str">
        <x:f>IF(I225="","OPEN",IF(OR(F225="",G225="",H225=""),"FAIL","PASS"))</x:f>
        <x:v>OPEN</x:v>
      </x:c>
    </x:row>
    <x:row r="226">
      <x:c r="B226" s="28" t="str">
        <x:v>CQ-DA-055-4</x:v>
      </x:c>
      <x:c r="C226" s="28" t="str">
        <x:v>DA-055</x:v>
      </x:c>
      <x:c r="D226" s="28" t="n">
        <x:v>4</x:v>
      </x:c>
      <x:c r="E226" s="28" t="str">
        <x:v>incident and rescue qualification</x:v>
      </x:c>
      <x:c r="F226" s="31" t="str"/>
      <x:c r="G226" s="31" t="str"/>
      <x:c r="H226" s="32" t="str"/>
      <x:c r="I226" s="31" t="str"/>
      <x:c r="J226" s="28" t="str">
        <x:f>IF(I226="","OPEN",IF(OR(F226="",G226="",H226=""),"FAIL","PASS"))</x:f>
        <x:v>OPEN</x:v>
      </x:c>
    </x:row>
    <x:row r="227">
      <x:c r="B227" s="28" t="str">
        <x:v>CQ-DA-056-1</x:v>
      </x:c>
      <x:c r="C227" s="28" t="str">
        <x:v>DA-056</x:v>
      </x:c>
      <x:c r="D227" s="28" t="n">
        <x:v>1</x:v>
      </x:c>
      <x:c r="E227" s="28" t="str">
        <x:v>role qualification</x:v>
      </x:c>
      <x:c r="F227" s="31" t="str"/>
      <x:c r="G227" s="31" t="str"/>
      <x:c r="H227" s="32" t="str"/>
      <x:c r="I227" s="31" t="str"/>
      <x:c r="J227" s="28" t="str">
        <x:f>IF(I227="","OPEN",IF(OR(F227="",G227="",H227=""),"FAIL","PASS"))</x:f>
        <x:v>OPEN</x:v>
      </x:c>
    </x:row>
    <x:row r="228">
      <x:c r="B228" s="28" t="str">
        <x:v>CQ-DA-056-2</x:v>
      </x:c>
      <x:c r="C228" s="28" t="str">
        <x:v>DA-056</x:v>
      </x:c>
      <x:c r="D228" s="28" t="n">
        <x:v>2</x:v>
      </x:c>
      <x:c r="E228" s="28" t="str">
        <x:v>site and rig qualification</x:v>
      </x:c>
      <x:c r="F228" s="31" t="str"/>
      <x:c r="G228" s="31" t="str"/>
      <x:c r="H228" s="32" t="str"/>
      <x:c r="I228" s="31" t="str"/>
      <x:c r="J228" s="28" t="str">
        <x:f>IF(I228="","OPEN",IF(OR(F228="",G228="",H228=""),"FAIL","PASS"))</x:f>
        <x:v>OPEN</x:v>
      </x:c>
    </x:row>
    <x:row r="229">
      <x:c r="B229" s="28" t="str">
        <x:v>CQ-DA-056-3</x:v>
      </x:c>
      <x:c r="C229" s="28" t="str">
        <x:v>DA-056</x:v>
      </x:c>
      <x:c r="D229" s="28" t="n">
        <x:v>3</x:v>
      </x:c>
      <x:c r="E229" s="28" t="str">
        <x:v>article-interface qualification</x:v>
      </x:c>
      <x:c r="F229" s="31" t="str"/>
      <x:c r="G229" s="31" t="str"/>
      <x:c r="H229" s="32" t="str"/>
      <x:c r="I229" s="31" t="str"/>
      <x:c r="J229" s="28" t="str">
        <x:f>IF(I229="","OPEN",IF(OR(F229="",G229="",H229=""),"FAIL","PASS"))</x:f>
        <x:v>OPEN</x:v>
      </x:c>
    </x:row>
    <x:row r="230">
      <x:c r="B230" s="28" t="str">
        <x:v>CQ-DA-056-4</x:v>
      </x:c>
      <x:c r="C230" s="28" t="str">
        <x:v>DA-056</x:v>
      </x:c>
      <x:c r="D230" s="28" t="n">
        <x:v>4</x:v>
      </x:c>
      <x:c r="E230" s="28" t="str">
        <x:v>incident and rescue qualification</x:v>
      </x:c>
      <x:c r="F230" s="31" t="str"/>
      <x:c r="G230" s="31" t="str"/>
      <x:c r="H230" s="32" t="str"/>
      <x:c r="I230" s="31" t="str"/>
      <x:c r="J230" s="28" t="str">
        <x:f>IF(I230="","OPEN",IF(OR(F230="",G230="",H230=""),"FAIL","PASS"))</x:f>
        <x:v>OPEN</x:v>
      </x:c>
    </x:row>
    <x:row r="231">
      <x:c r="B231" s="28" t="str">
        <x:v>CQ-DA-057-1</x:v>
      </x:c>
      <x:c r="C231" s="28" t="str">
        <x:v>DA-057</x:v>
      </x:c>
      <x:c r="D231" s="28" t="n">
        <x:v>1</x:v>
      </x:c>
      <x:c r="E231" s="28" t="str">
        <x:v>role qualification</x:v>
      </x:c>
      <x:c r="F231" s="31" t="str"/>
      <x:c r="G231" s="31" t="str"/>
      <x:c r="H231" s="32" t="str"/>
      <x:c r="I231" s="31" t="str"/>
      <x:c r="J231" s="28" t="str">
        <x:f>IF(I231="","OPEN",IF(OR(F231="",G231="",H231=""),"FAIL","PASS"))</x:f>
        <x:v>OPEN</x:v>
      </x:c>
    </x:row>
    <x:row r="232">
      <x:c r="B232" s="28" t="str">
        <x:v>CQ-DA-057-2</x:v>
      </x:c>
      <x:c r="C232" s="28" t="str">
        <x:v>DA-057</x:v>
      </x:c>
      <x:c r="D232" s="28" t="n">
        <x:v>2</x:v>
      </x:c>
      <x:c r="E232" s="28" t="str">
        <x:v>site and rig qualification</x:v>
      </x:c>
      <x:c r="F232" s="31" t="str"/>
      <x:c r="G232" s="31" t="str"/>
      <x:c r="H232" s="32" t="str"/>
      <x:c r="I232" s="31" t="str"/>
      <x:c r="J232" s="28" t="str">
        <x:f>IF(I232="","OPEN",IF(OR(F232="",G232="",H232=""),"FAIL","PASS"))</x:f>
        <x:v>OPEN</x:v>
      </x:c>
    </x:row>
    <x:row r="233">
      <x:c r="B233" s="28" t="str">
        <x:v>CQ-DA-057-3</x:v>
      </x:c>
      <x:c r="C233" s="28" t="str">
        <x:v>DA-057</x:v>
      </x:c>
      <x:c r="D233" s="28" t="n">
        <x:v>3</x:v>
      </x:c>
      <x:c r="E233" s="28" t="str">
        <x:v>article-interface qualification</x:v>
      </x:c>
      <x:c r="F233" s="31" t="str"/>
      <x:c r="G233" s="31" t="str"/>
      <x:c r="H233" s="32" t="str"/>
      <x:c r="I233" s="31" t="str"/>
      <x:c r="J233" s="28" t="str">
        <x:f>IF(I233="","OPEN",IF(OR(F233="",G233="",H233=""),"FAIL","PASS"))</x:f>
        <x:v>OPEN</x:v>
      </x:c>
    </x:row>
    <x:row r="234">
      <x:c r="B234" s="28" t="str">
        <x:v>CQ-DA-057-4</x:v>
      </x:c>
      <x:c r="C234" s="28" t="str">
        <x:v>DA-057</x:v>
      </x:c>
      <x:c r="D234" s="28" t="n">
        <x:v>4</x:v>
      </x:c>
      <x:c r="E234" s="28" t="str">
        <x:v>incident and rescue qualification</x:v>
      </x:c>
      <x:c r="F234" s="31" t="str"/>
      <x:c r="G234" s="31" t="str"/>
      <x:c r="H234" s="32" t="str"/>
      <x:c r="I234" s="31" t="str"/>
      <x:c r="J234" s="28" t="str">
        <x:f>IF(I234="","OPEN",IF(OR(F234="",G234="",H234=""),"FAIL","PASS"))</x:f>
        <x:v>OPEN</x:v>
      </x:c>
    </x:row>
    <x:row r="235">
      <x:c r="B235" s="28" t="str">
        <x:v>CQ-DA-058-1</x:v>
      </x:c>
      <x:c r="C235" s="28" t="str">
        <x:v>DA-058</x:v>
      </x:c>
      <x:c r="D235" s="28" t="n">
        <x:v>1</x:v>
      </x:c>
      <x:c r="E235" s="28" t="str">
        <x:v>role qualification</x:v>
      </x:c>
      <x:c r="F235" s="31" t="str"/>
      <x:c r="G235" s="31" t="str"/>
      <x:c r="H235" s="32" t="str"/>
      <x:c r="I235" s="31" t="str"/>
      <x:c r="J235" s="28" t="str">
        <x:f>IF(I235="","OPEN",IF(OR(F235="",G235="",H235=""),"FAIL","PASS"))</x:f>
        <x:v>OPEN</x:v>
      </x:c>
    </x:row>
    <x:row r="236">
      <x:c r="B236" s="28" t="str">
        <x:v>CQ-DA-058-2</x:v>
      </x:c>
      <x:c r="C236" s="28" t="str">
        <x:v>DA-058</x:v>
      </x:c>
      <x:c r="D236" s="28" t="n">
        <x:v>2</x:v>
      </x:c>
      <x:c r="E236" s="28" t="str">
        <x:v>site and rig qualification</x:v>
      </x:c>
      <x:c r="F236" s="31" t="str"/>
      <x:c r="G236" s="31" t="str"/>
      <x:c r="H236" s="32" t="str"/>
      <x:c r="I236" s="31" t="str"/>
      <x:c r="J236" s="28" t="str">
        <x:f>IF(I236="","OPEN",IF(OR(F236="",G236="",H236=""),"FAIL","PASS"))</x:f>
        <x:v>OPEN</x:v>
      </x:c>
    </x:row>
    <x:row r="237">
      <x:c r="B237" s="28" t="str">
        <x:v>CQ-DA-058-3</x:v>
      </x:c>
      <x:c r="C237" s="28" t="str">
        <x:v>DA-058</x:v>
      </x:c>
      <x:c r="D237" s="28" t="n">
        <x:v>3</x:v>
      </x:c>
      <x:c r="E237" s="28" t="str">
        <x:v>article-interface qualification</x:v>
      </x:c>
      <x:c r="F237" s="31" t="str"/>
      <x:c r="G237" s="31" t="str"/>
      <x:c r="H237" s="32" t="str"/>
      <x:c r="I237" s="31" t="str"/>
      <x:c r="J237" s="28" t="str">
        <x:f>IF(I237="","OPEN",IF(OR(F237="",G237="",H237=""),"FAIL","PASS"))</x:f>
        <x:v>OPEN</x:v>
      </x:c>
    </x:row>
    <x:row r="238">
      <x:c r="B238" s="28" t="str">
        <x:v>CQ-DA-058-4</x:v>
      </x:c>
      <x:c r="C238" s="28" t="str">
        <x:v>DA-058</x:v>
      </x:c>
      <x:c r="D238" s="28" t="n">
        <x:v>4</x:v>
      </x:c>
      <x:c r="E238" s="28" t="str">
        <x:v>incident and rescue qualification</x:v>
      </x:c>
      <x:c r="F238" s="31" t="str"/>
      <x:c r="G238" s="31" t="str"/>
      <x:c r="H238" s="32" t="str"/>
      <x:c r="I238" s="31" t="str"/>
      <x:c r="J238" s="28" t="str">
        <x:f>IF(I238="","OPEN",IF(OR(F238="",G238="",H238=""),"FAIL","PASS"))</x:f>
        <x:v>OPEN</x:v>
      </x:c>
    </x:row>
    <x:row r="239">
      <x:c r="B239" s="28" t="str">
        <x:v>CQ-DA-059-1</x:v>
      </x:c>
      <x:c r="C239" s="28" t="str">
        <x:v>DA-059</x:v>
      </x:c>
      <x:c r="D239" s="28" t="n">
        <x:v>1</x:v>
      </x:c>
      <x:c r="E239" s="28" t="str">
        <x:v>role qualification</x:v>
      </x:c>
      <x:c r="F239" s="31" t="str"/>
      <x:c r="G239" s="31" t="str"/>
      <x:c r="H239" s="32" t="str"/>
      <x:c r="I239" s="31" t="str"/>
      <x:c r="J239" s="28" t="str">
        <x:f>IF(I239="","OPEN",IF(OR(F239="",G239="",H239=""),"FAIL","PASS"))</x:f>
        <x:v>OPEN</x:v>
      </x:c>
    </x:row>
    <x:row r="240">
      <x:c r="B240" s="28" t="str">
        <x:v>CQ-DA-059-2</x:v>
      </x:c>
      <x:c r="C240" s="28" t="str">
        <x:v>DA-059</x:v>
      </x:c>
      <x:c r="D240" s="28" t="n">
        <x:v>2</x:v>
      </x:c>
      <x:c r="E240" s="28" t="str">
        <x:v>site and rig qualification</x:v>
      </x:c>
      <x:c r="F240" s="31" t="str"/>
      <x:c r="G240" s="31" t="str"/>
      <x:c r="H240" s="32" t="str"/>
      <x:c r="I240" s="31" t="str"/>
      <x:c r="J240" s="28" t="str">
        <x:f>IF(I240="","OPEN",IF(OR(F240="",G240="",H240=""),"FAIL","PASS"))</x:f>
        <x:v>OPEN</x:v>
      </x:c>
    </x:row>
    <x:row r="241">
      <x:c r="B241" s="28" t="str">
        <x:v>CQ-DA-059-3</x:v>
      </x:c>
      <x:c r="C241" s="28" t="str">
        <x:v>DA-059</x:v>
      </x:c>
      <x:c r="D241" s="28" t="n">
        <x:v>3</x:v>
      </x:c>
      <x:c r="E241" s="28" t="str">
        <x:v>article-interface qualification</x:v>
      </x:c>
      <x:c r="F241" s="31" t="str"/>
      <x:c r="G241" s="31" t="str"/>
      <x:c r="H241" s="32" t="str"/>
      <x:c r="I241" s="31" t="str"/>
      <x:c r="J241" s="28" t="str">
        <x:f>IF(I241="","OPEN",IF(OR(F241="",G241="",H241=""),"FAIL","PASS"))</x:f>
        <x:v>OPEN</x:v>
      </x:c>
    </x:row>
    <x:row r="242">
      <x:c r="B242" s="28" t="str">
        <x:v>CQ-DA-059-4</x:v>
      </x:c>
      <x:c r="C242" s="28" t="str">
        <x:v>DA-059</x:v>
      </x:c>
      <x:c r="D242" s="28" t="n">
        <x:v>4</x:v>
      </x:c>
      <x:c r="E242" s="28" t="str">
        <x:v>incident and rescue qualification</x:v>
      </x:c>
      <x:c r="F242" s="31" t="str"/>
      <x:c r="G242" s="31" t="str"/>
      <x:c r="H242" s="32" t="str"/>
      <x:c r="I242" s="31" t="str"/>
      <x:c r="J242" s="28" t="str">
        <x:f>IF(I242="","OPEN",IF(OR(F242="",G242="",H242=""),"FAIL","PASS"))</x:f>
        <x:v>OPEN</x:v>
      </x:c>
    </x:row>
    <x:row r="243">
      <x:c r="B243" s="28" t="str">
        <x:v>CQ-DA-060-1</x:v>
      </x:c>
      <x:c r="C243" s="28" t="str">
        <x:v>DA-060</x:v>
      </x:c>
      <x:c r="D243" s="28" t="n">
        <x:v>1</x:v>
      </x:c>
      <x:c r="E243" s="28" t="str">
        <x:v>role qualification</x:v>
      </x:c>
      <x:c r="F243" s="31" t="str"/>
      <x:c r="G243" s="31" t="str"/>
      <x:c r="H243" s="32" t="str"/>
      <x:c r="I243" s="31" t="str"/>
      <x:c r="J243" s="28" t="str">
        <x:f>IF(I243="","OPEN",IF(OR(F243="",G243="",H243=""),"FAIL","PASS"))</x:f>
        <x:v>OPEN</x:v>
      </x:c>
    </x:row>
    <x:row r="244">
      <x:c r="B244" s="28" t="str">
        <x:v>CQ-DA-060-2</x:v>
      </x:c>
      <x:c r="C244" s="28" t="str">
        <x:v>DA-060</x:v>
      </x:c>
      <x:c r="D244" s="28" t="n">
        <x:v>2</x:v>
      </x:c>
      <x:c r="E244" s="28" t="str">
        <x:v>site and rig qualification</x:v>
      </x:c>
      <x:c r="F244" s="31" t="str"/>
      <x:c r="G244" s="31" t="str"/>
      <x:c r="H244" s="32" t="str"/>
      <x:c r="I244" s="31" t="str"/>
      <x:c r="J244" s="28" t="str">
        <x:f>IF(I244="","OPEN",IF(OR(F244="",G244="",H244=""),"FAIL","PASS"))</x:f>
        <x:v>OPEN</x:v>
      </x:c>
    </x:row>
    <x:row r="245">
      <x:c r="B245" s="28" t="str">
        <x:v>CQ-DA-060-3</x:v>
      </x:c>
      <x:c r="C245" s="28" t="str">
        <x:v>DA-060</x:v>
      </x:c>
      <x:c r="D245" s="28" t="n">
        <x:v>3</x:v>
      </x:c>
      <x:c r="E245" s="28" t="str">
        <x:v>article-interface qualification</x:v>
      </x:c>
      <x:c r="F245" s="31" t="str"/>
      <x:c r="G245" s="31" t="str"/>
      <x:c r="H245" s="32" t="str"/>
      <x:c r="I245" s="31" t="str"/>
      <x:c r="J245" s="28" t="str">
        <x:f>IF(I245="","OPEN",IF(OR(F245="",G245="",H245=""),"FAIL","PASS"))</x:f>
        <x:v>OPEN</x:v>
      </x:c>
    </x:row>
    <x:row r="246">
      <x:c r="B246" s="28" t="str">
        <x:v>CQ-DA-060-4</x:v>
      </x:c>
      <x:c r="C246" s="28" t="str">
        <x:v>DA-060</x:v>
      </x:c>
      <x:c r="D246" s="28" t="n">
        <x:v>4</x:v>
      </x:c>
      <x:c r="E246" s="28" t="str">
        <x:v>incident and rescue qualification</x:v>
      </x:c>
      <x:c r="F246" s="31" t="str"/>
      <x:c r="G246" s="31" t="str"/>
      <x:c r="H246" s="32" t="str"/>
      <x:c r="I246" s="31" t="str"/>
      <x:c r="J246" s="28" t="str">
        <x:f>IF(I246="","OPEN",IF(OR(F246="",G246="",H246=""),"FAIL","PASS"))</x:f>
        <x:v>OPEN</x:v>
      </x:c>
    </x:row>
    <x:row r="247">
      <x:c r="B247" s="28" t="str">
        <x:v>CQ-DA-061-1</x:v>
      </x:c>
      <x:c r="C247" s="28" t="str">
        <x:v>DA-061</x:v>
      </x:c>
      <x:c r="D247" s="28" t="n">
        <x:v>1</x:v>
      </x:c>
      <x:c r="E247" s="28" t="str">
        <x:v>role qualification</x:v>
      </x:c>
      <x:c r="F247" s="31" t="str"/>
      <x:c r="G247" s="31" t="str"/>
      <x:c r="H247" s="32" t="str"/>
      <x:c r="I247" s="31" t="str"/>
      <x:c r="J247" s="28" t="str">
        <x:f>IF(I247="","OPEN",IF(OR(F247="",G247="",H247=""),"FAIL","PASS"))</x:f>
        <x:v>OPEN</x:v>
      </x:c>
    </x:row>
    <x:row r="248">
      <x:c r="B248" s="28" t="str">
        <x:v>CQ-DA-061-2</x:v>
      </x:c>
      <x:c r="C248" s="28" t="str">
        <x:v>DA-061</x:v>
      </x:c>
      <x:c r="D248" s="28" t="n">
        <x:v>2</x:v>
      </x:c>
      <x:c r="E248" s="28" t="str">
        <x:v>site and rig qualification</x:v>
      </x:c>
      <x:c r="F248" s="31" t="str"/>
      <x:c r="G248" s="31" t="str"/>
      <x:c r="H248" s="32" t="str"/>
      <x:c r="I248" s="31" t="str"/>
      <x:c r="J248" s="28" t="str">
        <x:f>IF(I248="","OPEN",IF(OR(F248="",G248="",H248=""),"FAIL","PASS"))</x:f>
        <x:v>OPEN</x:v>
      </x:c>
    </x:row>
    <x:row r="249">
      <x:c r="B249" s="28" t="str">
        <x:v>CQ-DA-061-3</x:v>
      </x:c>
      <x:c r="C249" s="28" t="str">
        <x:v>DA-061</x:v>
      </x:c>
      <x:c r="D249" s="28" t="n">
        <x:v>3</x:v>
      </x:c>
      <x:c r="E249" s="28" t="str">
        <x:v>article-interface qualification</x:v>
      </x:c>
      <x:c r="F249" s="31" t="str"/>
      <x:c r="G249" s="31" t="str"/>
      <x:c r="H249" s="32" t="str"/>
      <x:c r="I249" s="31" t="str"/>
      <x:c r="J249" s="28" t="str">
        <x:f>IF(I249="","OPEN",IF(OR(F249="",G249="",H249=""),"FAIL","PASS"))</x:f>
        <x:v>OPEN</x:v>
      </x:c>
    </x:row>
    <x:row r="250">
      <x:c r="B250" s="28" t="str">
        <x:v>CQ-DA-061-4</x:v>
      </x:c>
      <x:c r="C250" s="28" t="str">
        <x:v>DA-061</x:v>
      </x:c>
      <x:c r="D250" s="28" t="n">
        <x:v>4</x:v>
      </x:c>
      <x:c r="E250" s="28" t="str">
        <x:v>incident and rescue qualification</x:v>
      </x:c>
      <x:c r="F250" s="31" t="str"/>
      <x:c r="G250" s="31" t="str"/>
      <x:c r="H250" s="32" t="str"/>
      <x:c r="I250" s="31" t="str"/>
      <x:c r="J250" s="28" t="str">
        <x:f>IF(I250="","OPEN",IF(OR(F250="",G250="",H250=""),"FAIL","PASS"))</x:f>
        <x:v>OPEN</x:v>
      </x:c>
    </x:row>
    <x:row r="251">
      <x:c r="B251" s="28" t="str">
        <x:v>CQ-DA-062-1</x:v>
      </x:c>
      <x:c r="C251" s="28" t="str">
        <x:v>DA-062</x:v>
      </x:c>
      <x:c r="D251" s="28" t="n">
        <x:v>1</x:v>
      </x:c>
      <x:c r="E251" s="28" t="str">
        <x:v>role qualification</x:v>
      </x:c>
      <x:c r="F251" s="31" t="str"/>
      <x:c r="G251" s="31" t="str"/>
      <x:c r="H251" s="32" t="str"/>
      <x:c r="I251" s="31" t="str"/>
      <x:c r="J251" s="28" t="str">
        <x:f>IF(I251="","OPEN",IF(OR(F251="",G251="",H251=""),"FAIL","PASS"))</x:f>
        <x:v>OPEN</x:v>
      </x:c>
    </x:row>
    <x:row r="252">
      <x:c r="B252" s="28" t="str">
        <x:v>CQ-DA-062-2</x:v>
      </x:c>
      <x:c r="C252" s="28" t="str">
        <x:v>DA-062</x:v>
      </x:c>
      <x:c r="D252" s="28" t="n">
        <x:v>2</x:v>
      </x:c>
      <x:c r="E252" s="28" t="str">
        <x:v>site and rig qualification</x:v>
      </x:c>
      <x:c r="F252" s="31" t="str"/>
      <x:c r="G252" s="31" t="str"/>
      <x:c r="H252" s="32" t="str"/>
      <x:c r="I252" s="31" t="str"/>
      <x:c r="J252" s="28" t="str">
        <x:f>IF(I252="","OPEN",IF(OR(F252="",G252="",H252=""),"FAIL","PASS"))</x:f>
        <x:v>OPEN</x:v>
      </x:c>
    </x:row>
    <x:row r="253">
      <x:c r="B253" s="28" t="str">
        <x:v>CQ-DA-062-3</x:v>
      </x:c>
      <x:c r="C253" s="28" t="str">
        <x:v>DA-062</x:v>
      </x:c>
      <x:c r="D253" s="28" t="n">
        <x:v>3</x:v>
      </x:c>
      <x:c r="E253" s="28" t="str">
        <x:v>article-interface qualification</x:v>
      </x:c>
      <x:c r="F253" s="31" t="str"/>
      <x:c r="G253" s="31" t="str"/>
      <x:c r="H253" s="32" t="str"/>
      <x:c r="I253" s="31" t="str"/>
      <x:c r="J253" s="28" t="str">
        <x:f>IF(I253="","OPEN",IF(OR(F253="",G253="",H253=""),"FAIL","PASS"))</x:f>
        <x:v>OPEN</x:v>
      </x:c>
    </x:row>
    <x:row r="254">
      <x:c r="B254" s="28" t="str">
        <x:v>CQ-DA-062-4</x:v>
      </x:c>
      <x:c r="C254" s="28" t="str">
        <x:v>DA-062</x:v>
      </x:c>
      <x:c r="D254" s="28" t="n">
        <x:v>4</x:v>
      </x:c>
      <x:c r="E254" s="28" t="str">
        <x:v>incident and rescue qualification</x:v>
      </x:c>
      <x:c r="F254" s="31" t="str"/>
      <x:c r="G254" s="31" t="str"/>
      <x:c r="H254" s="32" t="str"/>
      <x:c r="I254" s="31" t="str"/>
      <x:c r="J254" s="28" t="str">
        <x:f>IF(I254="","OPEN",IF(OR(F254="",G254="",H254=""),"FAIL","PASS"))</x:f>
        <x:v>OPEN</x:v>
      </x:c>
    </x:row>
    <x:row r="255">
      <x:c r="B255" s="28" t="str">
        <x:v>CQ-DA-063-1</x:v>
      </x:c>
      <x:c r="C255" s="28" t="str">
        <x:v>DA-063</x:v>
      </x:c>
      <x:c r="D255" s="28" t="n">
        <x:v>1</x:v>
      </x:c>
      <x:c r="E255" s="28" t="str">
        <x:v>role qualification</x:v>
      </x:c>
      <x:c r="F255" s="31" t="str"/>
      <x:c r="G255" s="31" t="str"/>
      <x:c r="H255" s="32" t="str"/>
      <x:c r="I255" s="31" t="str"/>
      <x:c r="J255" s="28" t="str">
        <x:f>IF(I255="","OPEN",IF(OR(F255="",G255="",H255=""),"FAIL","PASS"))</x:f>
        <x:v>OPEN</x:v>
      </x:c>
    </x:row>
    <x:row r="256">
      <x:c r="B256" s="28" t="str">
        <x:v>CQ-DA-063-2</x:v>
      </x:c>
      <x:c r="C256" s="28" t="str">
        <x:v>DA-063</x:v>
      </x:c>
      <x:c r="D256" s="28" t="n">
        <x:v>2</x:v>
      </x:c>
      <x:c r="E256" s="28" t="str">
        <x:v>site and rig qualification</x:v>
      </x:c>
      <x:c r="F256" s="31" t="str"/>
      <x:c r="G256" s="31" t="str"/>
      <x:c r="H256" s="32" t="str"/>
      <x:c r="I256" s="31" t="str"/>
      <x:c r="J256" s="28" t="str">
        <x:f>IF(I256="","OPEN",IF(OR(F256="",G256="",H256=""),"FAIL","PASS"))</x:f>
        <x:v>OPEN</x:v>
      </x:c>
    </x:row>
    <x:row r="257">
      <x:c r="B257" s="28" t="str">
        <x:v>CQ-DA-063-3</x:v>
      </x:c>
      <x:c r="C257" s="28" t="str">
        <x:v>DA-063</x:v>
      </x:c>
      <x:c r="D257" s="28" t="n">
        <x:v>3</x:v>
      </x:c>
      <x:c r="E257" s="28" t="str">
        <x:v>article-interface qualification</x:v>
      </x:c>
      <x:c r="F257" s="31" t="str"/>
      <x:c r="G257" s="31" t="str"/>
      <x:c r="H257" s="32" t="str"/>
      <x:c r="I257" s="31" t="str"/>
      <x:c r="J257" s="28" t="str">
        <x:f>IF(I257="","OPEN",IF(OR(F257="",G257="",H257=""),"FAIL","PASS"))</x:f>
        <x:v>OPEN</x:v>
      </x:c>
    </x:row>
    <x:row r="258">
      <x:c r="B258" s="28" t="str">
        <x:v>CQ-DA-063-4</x:v>
      </x:c>
      <x:c r="C258" s="28" t="str">
        <x:v>DA-063</x:v>
      </x:c>
      <x:c r="D258" s="28" t="n">
        <x:v>4</x:v>
      </x:c>
      <x:c r="E258" s="28" t="str">
        <x:v>incident and rescue qualification</x:v>
      </x:c>
      <x:c r="F258" s="31" t="str"/>
      <x:c r="G258" s="31" t="str"/>
      <x:c r="H258" s="32" t="str"/>
      <x:c r="I258" s="31" t="str"/>
      <x:c r="J258" s="28" t="str">
        <x:f>IF(I258="","OPEN",IF(OR(F258="",G258="",H258=""),"FAIL","PASS"))</x:f>
        <x:v>OPEN</x:v>
      </x:c>
    </x:row>
    <x:row r="259">
      <x:c r="B259" s="28" t="str">
        <x:v>CQ-DA-064-1</x:v>
      </x:c>
      <x:c r="C259" s="28" t="str">
        <x:v>DA-064</x:v>
      </x:c>
      <x:c r="D259" s="28" t="n">
        <x:v>1</x:v>
      </x:c>
      <x:c r="E259" s="28" t="str">
        <x:v>role qualification</x:v>
      </x:c>
      <x:c r="F259" s="31" t="str"/>
      <x:c r="G259" s="31" t="str"/>
      <x:c r="H259" s="32" t="str"/>
      <x:c r="I259" s="31" t="str"/>
      <x:c r="J259" s="28" t="str">
        <x:f>IF(I259="","OPEN",IF(OR(F259="",G259="",H259=""),"FAIL","PASS"))</x:f>
        <x:v>OPEN</x:v>
      </x:c>
    </x:row>
    <x:row r="260">
      <x:c r="B260" s="28" t="str">
        <x:v>CQ-DA-064-2</x:v>
      </x:c>
      <x:c r="C260" s="28" t="str">
        <x:v>DA-064</x:v>
      </x:c>
      <x:c r="D260" s="28" t="n">
        <x:v>2</x:v>
      </x:c>
      <x:c r="E260" s="28" t="str">
        <x:v>site and rig qualification</x:v>
      </x:c>
      <x:c r="F260" s="31" t="str"/>
      <x:c r="G260" s="31" t="str"/>
      <x:c r="H260" s="32" t="str"/>
      <x:c r="I260" s="31" t="str"/>
      <x:c r="J260" s="28" t="str">
        <x:f>IF(I260="","OPEN",IF(OR(F260="",G260="",H260=""),"FAIL","PASS"))</x:f>
        <x:v>OPEN</x:v>
      </x:c>
    </x:row>
    <x:row r="261">
      <x:c r="B261" s="28" t="str">
        <x:v>CQ-DA-064-3</x:v>
      </x:c>
      <x:c r="C261" s="28" t="str">
        <x:v>DA-064</x:v>
      </x:c>
      <x:c r="D261" s="28" t="n">
        <x:v>3</x:v>
      </x:c>
      <x:c r="E261" s="28" t="str">
        <x:v>article-interface qualification</x:v>
      </x:c>
      <x:c r="F261" s="31" t="str"/>
      <x:c r="G261" s="31" t="str"/>
      <x:c r="H261" s="32" t="str"/>
      <x:c r="I261" s="31" t="str"/>
      <x:c r="J261" s="28" t="str">
        <x:f>IF(I261="","OPEN",IF(OR(F261="",G261="",H261=""),"FAIL","PASS"))</x:f>
        <x:v>OPEN</x:v>
      </x:c>
    </x:row>
    <x:row r="262">
      <x:c r="B262" s="28" t="str">
        <x:v>CQ-DA-064-4</x:v>
      </x:c>
      <x:c r="C262" s="28" t="str">
        <x:v>DA-064</x:v>
      </x:c>
      <x:c r="D262" s="28" t="n">
        <x:v>4</x:v>
      </x:c>
      <x:c r="E262" s="28" t="str">
        <x:v>incident and rescue qualification</x:v>
      </x:c>
      <x:c r="F262" s="31" t="str"/>
      <x:c r="G262" s="31" t="str"/>
      <x:c r="H262" s="32" t="str"/>
      <x:c r="I262" s="31" t="str"/>
      <x:c r="J262" s="28" t="str">
        <x:f>IF(I262="","OPEN",IF(OR(F262="",G262="",H262=""),"FAIL","PASS"))</x:f>
        <x:v>OPEN</x:v>
      </x:c>
    </x:row>
    <x:row r="263">
      <x:c r="B263" s="28" t="str">
        <x:v>CQ-DA-065-1</x:v>
      </x:c>
      <x:c r="C263" s="28" t="str">
        <x:v>DA-065</x:v>
      </x:c>
      <x:c r="D263" s="28" t="n">
        <x:v>1</x:v>
      </x:c>
      <x:c r="E263" s="28" t="str">
        <x:v>role qualification</x:v>
      </x:c>
      <x:c r="F263" s="31" t="str"/>
      <x:c r="G263" s="31" t="str"/>
      <x:c r="H263" s="32" t="str"/>
      <x:c r="I263" s="31" t="str"/>
      <x:c r="J263" s="28" t="str">
        <x:f>IF(I263="","OPEN",IF(OR(F263="",G263="",H263=""),"FAIL","PASS"))</x:f>
        <x:v>OPEN</x:v>
      </x:c>
    </x:row>
    <x:row r="264">
      <x:c r="B264" s="28" t="str">
        <x:v>CQ-DA-065-2</x:v>
      </x:c>
      <x:c r="C264" s="28" t="str">
        <x:v>DA-065</x:v>
      </x:c>
      <x:c r="D264" s="28" t="n">
        <x:v>2</x:v>
      </x:c>
      <x:c r="E264" s="28" t="str">
        <x:v>site and rig qualification</x:v>
      </x:c>
      <x:c r="F264" s="31" t="str"/>
      <x:c r="G264" s="31" t="str"/>
      <x:c r="H264" s="32" t="str"/>
      <x:c r="I264" s="31" t="str"/>
      <x:c r="J264" s="28" t="str">
        <x:f>IF(I264="","OPEN",IF(OR(F264="",G264="",H264=""),"FAIL","PASS"))</x:f>
        <x:v>OPEN</x:v>
      </x:c>
    </x:row>
    <x:row r="265">
      <x:c r="B265" s="28" t="str">
        <x:v>CQ-DA-065-3</x:v>
      </x:c>
      <x:c r="C265" s="28" t="str">
        <x:v>DA-065</x:v>
      </x:c>
      <x:c r="D265" s="28" t="n">
        <x:v>3</x:v>
      </x:c>
      <x:c r="E265" s="28" t="str">
        <x:v>article-interface qualification</x:v>
      </x:c>
      <x:c r="F265" s="31" t="str"/>
      <x:c r="G265" s="31" t="str"/>
      <x:c r="H265" s="32" t="str"/>
      <x:c r="I265" s="31" t="str"/>
      <x:c r="J265" s="28" t="str">
        <x:f>IF(I265="","OPEN",IF(OR(F265="",G265="",H265=""),"FAIL","PASS"))</x:f>
        <x:v>OPEN</x:v>
      </x:c>
    </x:row>
    <x:row r="266">
      <x:c r="B266" s="28" t="str">
        <x:v>CQ-DA-065-4</x:v>
      </x:c>
      <x:c r="C266" s="28" t="str">
        <x:v>DA-065</x:v>
      </x:c>
      <x:c r="D266" s="28" t="n">
        <x:v>4</x:v>
      </x:c>
      <x:c r="E266" s="28" t="str">
        <x:v>incident and rescue qualification</x:v>
      </x:c>
      <x:c r="F266" s="31" t="str"/>
      <x:c r="G266" s="31" t="str"/>
      <x:c r="H266" s="32" t="str"/>
      <x:c r="I266" s="31" t="str"/>
      <x:c r="J266" s="28" t="str">
        <x:f>IF(I266="","OPEN",IF(OR(F266="",G266="",H266=""),"FAIL","PASS"))</x:f>
        <x:v>OPEN</x:v>
      </x:c>
    </x:row>
    <x:row r="267">
      <x:c r="B267" s="28" t="str">
        <x:v>CQ-DA-066-1</x:v>
      </x:c>
      <x:c r="C267" s="28" t="str">
        <x:v>DA-066</x:v>
      </x:c>
      <x:c r="D267" s="28" t="n">
        <x:v>1</x:v>
      </x:c>
      <x:c r="E267" s="28" t="str">
        <x:v>role qualification</x:v>
      </x:c>
      <x:c r="F267" s="31" t="str"/>
      <x:c r="G267" s="31" t="str"/>
      <x:c r="H267" s="32" t="str"/>
      <x:c r="I267" s="31" t="str"/>
      <x:c r="J267" s="28" t="str">
        <x:f>IF(I267="","OPEN",IF(OR(F267="",G267="",H267=""),"FAIL","PASS"))</x:f>
        <x:v>OPEN</x:v>
      </x:c>
    </x:row>
    <x:row r="268">
      <x:c r="B268" s="28" t="str">
        <x:v>CQ-DA-066-2</x:v>
      </x:c>
      <x:c r="C268" s="28" t="str">
        <x:v>DA-066</x:v>
      </x:c>
      <x:c r="D268" s="28" t="n">
        <x:v>2</x:v>
      </x:c>
      <x:c r="E268" s="28" t="str">
        <x:v>site and rig qualification</x:v>
      </x:c>
      <x:c r="F268" s="31" t="str"/>
      <x:c r="G268" s="31" t="str"/>
      <x:c r="H268" s="32" t="str"/>
      <x:c r="I268" s="31" t="str"/>
      <x:c r="J268" s="28" t="str">
        <x:f>IF(I268="","OPEN",IF(OR(F268="",G268="",H268=""),"FAIL","PASS"))</x:f>
        <x:v>OPEN</x:v>
      </x:c>
    </x:row>
    <x:row r="269">
      <x:c r="B269" s="28" t="str">
        <x:v>CQ-DA-066-3</x:v>
      </x:c>
      <x:c r="C269" s="28" t="str">
        <x:v>DA-066</x:v>
      </x:c>
      <x:c r="D269" s="28" t="n">
        <x:v>3</x:v>
      </x:c>
      <x:c r="E269" s="28" t="str">
        <x:v>article-interface qualification</x:v>
      </x:c>
      <x:c r="F269" s="31" t="str"/>
      <x:c r="G269" s="31" t="str"/>
      <x:c r="H269" s="32" t="str"/>
      <x:c r="I269" s="31" t="str"/>
      <x:c r="J269" s="28" t="str">
        <x:f>IF(I269="","OPEN",IF(OR(F269="",G269="",H269=""),"FAIL","PASS"))</x:f>
        <x:v>OPEN</x:v>
      </x:c>
    </x:row>
    <x:row r="270">
      <x:c r="B270" s="28" t="str">
        <x:v>CQ-DA-066-4</x:v>
      </x:c>
      <x:c r="C270" s="28" t="str">
        <x:v>DA-066</x:v>
      </x:c>
      <x:c r="D270" s="28" t="n">
        <x:v>4</x:v>
      </x:c>
      <x:c r="E270" s="28" t="str">
        <x:v>incident and rescue qualification</x:v>
      </x:c>
      <x:c r="F270" s="31" t="str"/>
      <x:c r="G270" s="31" t="str"/>
      <x:c r="H270" s="32" t="str"/>
      <x:c r="I270" s="31" t="str"/>
      <x:c r="J270" s="28" t="str">
        <x:f>IF(I270="","OPEN",IF(OR(F270="",G270="",H270=""),"FAIL","PASS"))</x:f>
        <x:v>OPEN</x:v>
      </x:c>
    </x:row>
    <x:row r="271">
      <x:c r="B271" s="28" t="str">
        <x:v>CQ-DA-067-1</x:v>
      </x:c>
      <x:c r="C271" s="28" t="str">
        <x:v>DA-067</x:v>
      </x:c>
      <x:c r="D271" s="28" t="n">
        <x:v>1</x:v>
      </x:c>
      <x:c r="E271" s="28" t="str">
        <x:v>role qualification</x:v>
      </x:c>
      <x:c r="F271" s="31" t="str"/>
      <x:c r="G271" s="31" t="str"/>
      <x:c r="H271" s="32" t="str"/>
      <x:c r="I271" s="31" t="str"/>
      <x:c r="J271" s="28" t="str">
        <x:f>IF(I271="","OPEN",IF(OR(F271="",G271="",H271=""),"FAIL","PASS"))</x:f>
        <x:v>OPEN</x:v>
      </x:c>
    </x:row>
    <x:row r="272">
      <x:c r="B272" s="28" t="str">
        <x:v>CQ-DA-067-2</x:v>
      </x:c>
      <x:c r="C272" s="28" t="str">
        <x:v>DA-067</x:v>
      </x:c>
      <x:c r="D272" s="28" t="n">
        <x:v>2</x:v>
      </x:c>
      <x:c r="E272" s="28" t="str">
        <x:v>site and rig qualification</x:v>
      </x:c>
      <x:c r="F272" s="31" t="str"/>
      <x:c r="G272" s="31" t="str"/>
      <x:c r="H272" s="32" t="str"/>
      <x:c r="I272" s="31" t="str"/>
      <x:c r="J272" s="28" t="str">
        <x:f>IF(I272="","OPEN",IF(OR(F272="",G272="",H272=""),"FAIL","PASS"))</x:f>
        <x:v>OPEN</x:v>
      </x:c>
    </x:row>
    <x:row r="273">
      <x:c r="B273" s="28" t="str">
        <x:v>CQ-DA-067-3</x:v>
      </x:c>
      <x:c r="C273" s="28" t="str">
        <x:v>DA-067</x:v>
      </x:c>
      <x:c r="D273" s="28" t="n">
        <x:v>3</x:v>
      </x:c>
      <x:c r="E273" s="28" t="str">
        <x:v>article-interface qualification</x:v>
      </x:c>
      <x:c r="F273" s="31" t="str"/>
      <x:c r="G273" s="31" t="str"/>
      <x:c r="H273" s="32" t="str"/>
      <x:c r="I273" s="31" t="str"/>
      <x:c r="J273" s="28" t="str">
        <x:f>IF(I273="","OPEN",IF(OR(F273="",G273="",H273=""),"FAIL","PASS"))</x:f>
        <x:v>OPEN</x:v>
      </x:c>
    </x:row>
    <x:row r="274">
      <x:c r="B274" s="28" t="str">
        <x:v>CQ-DA-067-4</x:v>
      </x:c>
      <x:c r="C274" s="28" t="str">
        <x:v>DA-067</x:v>
      </x:c>
      <x:c r="D274" s="28" t="n">
        <x:v>4</x:v>
      </x:c>
      <x:c r="E274" s="28" t="str">
        <x:v>incident and rescue qualification</x:v>
      </x:c>
      <x:c r="F274" s="31" t="str"/>
      <x:c r="G274" s="31" t="str"/>
      <x:c r="H274" s="32" t="str"/>
      <x:c r="I274" s="31" t="str"/>
      <x:c r="J274" s="28" t="str">
        <x:f>IF(I274="","OPEN",IF(OR(F274="",G274="",H274=""),"FAIL","PASS"))</x:f>
        <x:v>OPEN</x:v>
      </x:c>
    </x:row>
    <x:row r="275">
      <x:c r="B275" s="28" t="str">
        <x:v>CQ-DA-068-1</x:v>
      </x:c>
      <x:c r="C275" s="28" t="str">
        <x:v>DA-068</x:v>
      </x:c>
      <x:c r="D275" s="28" t="n">
        <x:v>1</x:v>
      </x:c>
      <x:c r="E275" s="28" t="str">
        <x:v>role qualification</x:v>
      </x:c>
      <x:c r="F275" s="31" t="str"/>
      <x:c r="G275" s="31" t="str"/>
      <x:c r="H275" s="32" t="str"/>
      <x:c r="I275" s="31" t="str"/>
      <x:c r="J275" s="28" t="str">
        <x:f>IF(I275="","OPEN",IF(OR(F275="",G275="",H275=""),"FAIL","PASS"))</x:f>
        <x:v>OPEN</x:v>
      </x:c>
    </x:row>
    <x:row r="276">
      <x:c r="B276" s="28" t="str">
        <x:v>CQ-DA-068-2</x:v>
      </x:c>
      <x:c r="C276" s="28" t="str">
        <x:v>DA-068</x:v>
      </x:c>
      <x:c r="D276" s="28" t="n">
        <x:v>2</x:v>
      </x:c>
      <x:c r="E276" s="28" t="str">
        <x:v>site and rig qualification</x:v>
      </x:c>
      <x:c r="F276" s="31" t="str"/>
      <x:c r="G276" s="31" t="str"/>
      <x:c r="H276" s="32" t="str"/>
      <x:c r="I276" s="31" t="str"/>
      <x:c r="J276" s="28" t="str">
        <x:f>IF(I276="","OPEN",IF(OR(F276="",G276="",H276=""),"FAIL","PASS"))</x:f>
        <x:v>OPEN</x:v>
      </x:c>
    </x:row>
    <x:row r="277">
      <x:c r="B277" s="28" t="str">
        <x:v>CQ-DA-068-3</x:v>
      </x:c>
      <x:c r="C277" s="28" t="str">
        <x:v>DA-068</x:v>
      </x:c>
      <x:c r="D277" s="28" t="n">
        <x:v>3</x:v>
      </x:c>
      <x:c r="E277" s="28" t="str">
        <x:v>article-interface qualification</x:v>
      </x:c>
      <x:c r="F277" s="31" t="str"/>
      <x:c r="G277" s="31" t="str"/>
      <x:c r="H277" s="32" t="str"/>
      <x:c r="I277" s="31" t="str"/>
      <x:c r="J277" s="28" t="str">
        <x:f>IF(I277="","OPEN",IF(OR(F277="",G277="",H277=""),"FAIL","PASS"))</x:f>
        <x:v>OPEN</x:v>
      </x:c>
    </x:row>
    <x:row r="278">
      <x:c r="B278" s="28" t="str">
        <x:v>CQ-DA-068-4</x:v>
      </x:c>
      <x:c r="C278" s="28" t="str">
        <x:v>DA-068</x:v>
      </x:c>
      <x:c r="D278" s="28" t="n">
        <x:v>4</x:v>
      </x:c>
      <x:c r="E278" s="28" t="str">
        <x:v>incident and rescue qualification</x:v>
      </x:c>
      <x:c r="F278" s="31" t="str"/>
      <x:c r="G278" s="31" t="str"/>
      <x:c r="H278" s="32" t="str"/>
      <x:c r="I278" s="31" t="str"/>
      <x:c r="J278" s="28" t="str">
        <x:f>IF(I278="","OPEN",IF(OR(F278="",G278="",H278=""),"FAIL","PASS"))</x:f>
        <x:v>OPEN</x:v>
      </x:c>
    </x:row>
    <x:row r="279">
      <x:c r="B279" s="28" t="str">
        <x:v>CQ-DA-069-1</x:v>
      </x:c>
      <x:c r="C279" s="28" t="str">
        <x:v>DA-069</x:v>
      </x:c>
      <x:c r="D279" s="28" t="n">
        <x:v>1</x:v>
      </x:c>
      <x:c r="E279" s="28" t="str">
        <x:v>role qualification</x:v>
      </x:c>
      <x:c r="F279" s="31" t="str"/>
      <x:c r="G279" s="31" t="str"/>
      <x:c r="H279" s="32" t="str"/>
      <x:c r="I279" s="31" t="str"/>
      <x:c r="J279" s="28" t="str">
        <x:f>IF(I279="","OPEN",IF(OR(F279="",G279="",H279=""),"FAIL","PASS"))</x:f>
        <x:v>OPEN</x:v>
      </x:c>
    </x:row>
    <x:row r="280">
      <x:c r="B280" s="28" t="str">
        <x:v>CQ-DA-069-2</x:v>
      </x:c>
      <x:c r="C280" s="28" t="str">
        <x:v>DA-069</x:v>
      </x:c>
      <x:c r="D280" s="28" t="n">
        <x:v>2</x:v>
      </x:c>
      <x:c r="E280" s="28" t="str">
        <x:v>site and rig qualification</x:v>
      </x:c>
      <x:c r="F280" s="31" t="str"/>
      <x:c r="G280" s="31" t="str"/>
      <x:c r="H280" s="32" t="str"/>
      <x:c r="I280" s="31" t="str"/>
      <x:c r="J280" s="28" t="str">
        <x:f>IF(I280="","OPEN",IF(OR(F280="",G280="",H280=""),"FAIL","PASS"))</x:f>
        <x:v>OPEN</x:v>
      </x:c>
    </x:row>
    <x:row r="281">
      <x:c r="B281" s="28" t="str">
        <x:v>CQ-DA-069-3</x:v>
      </x:c>
      <x:c r="C281" s="28" t="str">
        <x:v>DA-069</x:v>
      </x:c>
      <x:c r="D281" s="28" t="n">
        <x:v>3</x:v>
      </x:c>
      <x:c r="E281" s="28" t="str">
        <x:v>article-interface qualification</x:v>
      </x:c>
      <x:c r="F281" s="31" t="str"/>
      <x:c r="G281" s="31" t="str"/>
      <x:c r="H281" s="32" t="str"/>
      <x:c r="I281" s="31" t="str"/>
      <x:c r="J281" s="28" t="str">
        <x:f>IF(I281="","OPEN",IF(OR(F281="",G281="",H281=""),"FAIL","PASS"))</x:f>
        <x:v>OPEN</x:v>
      </x:c>
    </x:row>
    <x:row r="282">
      <x:c r="B282" s="28" t="str">
        <x:v>CQ-DA-069-4</x:v>
      </x:c>
      <x:c r="C282" s="28" t="str">
        <x:v>DA-069</x:v>
      </x:c>
      <x:c r="D282" s="28" t="n">
        <x:v>4</x:v>
      </x:c>
      <x:c r="E282" s="28" t="str">
        <x:v>incident and rescue qualification</x:v>
      </x:c>
      <x:c r="F282" s="31" t="str"/>
      <x:c r="G282" s="31" t="str"/>
      <x:c r="H282" s="32" t="str"/>
      <x:c r="I282" s="31" t="str"/>
      <x:c r="J282" s="28" t="str">
        <x:f>IF(I282="","OPEN",IF(OR(F282="",G282="",H282=""),"FAIL","PASS"))</x:f>
        <x:v>OPEN</x:v>
      </x:c>
    </x:row>
    <x:row r="283">
      <x:c r="B283" s="28" t="str">
        <x:v>CQ-DA-070-1</x:v>
      </x:c>
      <x:c r="C283" s="28" t="str">
        <x:v>DA-070</x:v>
      </x:c>
      <x:c r="D283" s="28" t="n">
        <x:v>1</x:v>
      </x:c>
      <x:c r="E283" s="28" t="str">
        <x:v>role qualification</x:v>
      </x:c>
      <x:c r="F283" s="31" t="str"/>
      <x:c r="G283" s="31" t="str"/>
      <x:c r="H283" s="32" t="str"/>
      <x:c r="I283" s="31" t="str"/>
      <x:c r="J283" s="28" t="str">
        <x:f>IF(I283="","OPEN",IF(OR(F283="",G283="",H283=""),"FAIL","PASS"))</x:f>
        <x:v>OPEN</x:v>
      </x:c>
    </x:row>
    <x:row r="284">
      <x:c r="B284" s="28" t="str">
        <x:v>CQ-DA-070-2</x:v>
      </x:c>
      <x:c r="C284" s="28" t="str">
        <x:v>DA-070</x:v>
      </x:c>
      <x:c r="D284" s="28" t="n">
        <x:v>2</x:v>
      </x:c>
      <x:c r="E284" s="28" t="str">
        <x:v>site and rig qualification</x:v>
      </x:c>
      <x:c r="F284" s="31" t="str"/>
      <x:c r="G284" s="31" t="str"/>
      <x:c r="H284" s="32" t="str"/>
      <x:c r="I284" s="31" t="str"/>
      <x:c r="J284" s="28" t="str">
        <x:f>IF(I284="","OPEN",IF(OR(F284="",G284="",H284=""),"FAIL","PASS"))</x:f>
        <x:v>OPEN</x:v>
      </x:c>
    </x:row>
    <x:row r="285">
      <x:c r="B285" s="28" t="str">
        <x:v>CQ-DA-070-3</x:v>
      </x:c>
      <x:c r="C285" s="28" t="str">
        <x:v>DA-070</x:v>
      </x:c>
      <x:c r="D285" s="28" t="n">
        <x:v>3</x:v>
      </x:c>
      <x:c r="E285" s="28" t="str">
        <x:v>article-interface qualification</x:v>
      </x:c>
      <x:c r="F285" s="31" t="str"/>
      <x:c r="G285" s="31" t="str"/>
      <x:c r="H285" s="32" t="str"/>
      <x:c r="I285" s="31" t="str"/>
      <x:c r="J285" s="28" t="str">
        <x:f>IF(I285="","OPEN",IF(OR(F285="",G285="",H285=""),"FAIL","PASS"))</x:f>
        <x:v>OPEN</x:v>
      </x:c>
    </x:row>
    <x:row r="286">
      <x:c r="B286" s="28" t="str">
        <x:v>CQ-DA-070-4</x:v>
      </x:c>
      <x:c r="C286" s="28" t="str">
        <x:v>DA-070</x:v>
      </x:c>
      <x:c r="D286" s="28" t="n">
        <x:v>4</x:v>
      </x:c>
      <x:c r="E286" s="28" t="str">
        <x:v>incident and rescue qualification</x:v>
      </x:c>
      <x:c r="F286" s="31" t="str"/>
      <x:c r="G286" s="31" t="str"/>
      <x:c r="H286" s="32" t="str"/>
      <x:c r="I286" s="31" t="str"/>
      <x:c r="J286" s="28" t="str">
        <x:f>IF(I286="","OPEN",IF(OR(F286="",G286="",H286=""),"FAIL","PASS"))</x:f>
        <x:v>OPEN</x:v>
      </x:c>
    </x:row>
    <x:row r="287">
      <x:c r="B287" s="28" t="str">
        <x:v>CQ-DA-071-1</x:v>
      </x:c>
      <x:c r="C287" s="28" t="str">
        <x:v>DA-071</x:v>
      </x:c>
      <x:c r="D287" s="28" t="n">
        <x:v>1</x:v>
      </x:c>
      <x:c r="E287" s="28" t="str">
        <x:v>role qualification</x:v>
      </x:c>
      <x:c r="F287" s="31" t="str"/>
      <x:c r="G287" s="31" t="str"/>
      <x:c r="H287" s="32" t="str"/>
      <x:c r="I287" s="31" t="str"/>
      <x:c r="J287" s="28" t="str">
        <x:f>IF(I287="","OPEN",IF(OR(F287="",G287="",H287=""),"FAIL","PASS"))</x:f>
        <x:v>OPEN</x:v>
      </x:c>
    </x:row>
    <x:row r="288">
      <x:c r="B288" s="28" t="str">
        <x:v>CQ-DA-071-2</x:v>
      </x:c>
      <x:c r="C288" s="28" t="str">
        <x:v>DA-071</x:v>
      </x:c>
      <x:c r="D288" s="28" t="n">
        <x:v>2</x:v>
      </x:c>
      <x:c r="E288" s="28" t="str">
        <x:v>site and rig qualification</x:v>
      </x:c>
      <x:c r="F288" s="31" t="str"/>
      <x:c r="G288" s="31" t="str"/>
      <x:c r="H288" s="32" t="str"/>
      <x:c r="I288" s="31" t="str"/>
      <x:c r="J288" s="28" t="str">
        <x:f>IF(I288="","OPEN",IF(OR(F288="",G288="",H288=""),"FAIL","PASS"))</x:f>
        <x:v>OPEN</x:v>
      </x:c>
    </x:row>
    <x:row r="289">
      <x:c r="B289" s="28" t="str">
        <x:v>CQ-DA-071-3</x:v>
      </x:c>
      <x:c r="C289" s="28" t="str">
        <x:v>DA-071</x:v>
      </x:c>
      <x:c r="D289" s="28" t="n">
        <x:v>3</x:v>
      </x:c>
      <x:c r="E289" s="28" t="str">
        <x:v>article-interface qualification</x:v>
      </x:c>
      <x:c r="F289" s="31" t="str"/>
      <x:c r="G289" s="31" t="str"/>
      <x:c r="H289" s="32" t="str"/>
      <x:c r="I289" s="31" t="str"/>
      <x:c r="J289" s="28" t="str">
        <x:f>IF(I289="","OPEN",IF(OR(F289="",G289="",H289=""),"FAIL","PASS"))</x:f>
        <x:v>OPEN</x:v>
      </x:c>
    </x:row>
    <x:row r="290">
      <x:c r="B290" s="28" t="str">
        <x:v>CQ-DA-071-4</x:v>
      </x:c>
      <x:c r="C290" s="28" t="str">
        <x:v>DA-071</x:v>
      </x:c>
      <x:c r="D290" s="28" t="n">
        <x:v>4</x:v>
      </x:c>
      <x:c r="E290" s="28" t="str">
        <x:v>incident and rescue qualification</x:v>
      </x:c>
      <x:c r="F290" s="31" t="str"/>
      <x:c r="G290" s="31" t="str"/>
      <x:c r="H290" s="32" t="str"/>
      <x:c r="I290" s="31" t="str"/>
      <x:c r="J290" s="28" t="str">
        <x:f>IF(I290="","OPEN",IF(OR(F290="",G290="",H290=""),"FAIL","PASS"))</x:f>
        <x:v>OPEN</x:v>
      </x:c>
    </x:row>
    <x:row r="291">
      <x:c r="B291" s="28" t="str">
        <x:v>CQ-DA-072-1</x:v>
      </x:c>
      <x:c r="C291" s="28" t="str">
        <x:v>DA-072</x:v>
      </x:c>
      <x:c r="D291" s="28" t="n">
        <x:v>1</x:v>
      </x:c>
      <x:c r="E291" s="28" t="str">
        <x:v>role qualification</x:v>
      </x:c>
      <x:c r="F291" s="31" t="str"/>
      <x:c r="G291" s="31" t="str"/>
      <x:c r="H291" s="32" t="str"/>
      <x:c r="I291" s="31" t="str"/>
      <x:c r="J291" s="28" t="str">
        <x:f>IF(I291="","OPEN",IF(OR(F291="",G291="",H291=""),"FAIL","PASS"))</x:f>
        <x:v>OPEN</x:v>
      </x:c>
    </x:row>
    <x:row r="292">
      <x:c r="B292" s="28" t="str">
        <x:v>CQ-DA-072-2</x:v>
      </x:c>
      <x:c r="C292" s="28" t="str">
        <x:v>DA-072</x:v>
      </x:c>
      <x:c r="D292" s="28" t="n">
        <x:v>2</x:v>
      </x:c>
      <x:c r="E292" s="28" t="str">
        <x:v>site and rig qualification</x:v>
      </x:c>
      <x:c r="F292" s="31" t="str"/>
      <x:c r="G292" s="31" t="str"/>
      <x:c r="H292" s="32" t="str"/>
      <x:c r="I292" s="31" t="str"/>
      <x:c r="J292" s="28" t="str">
        <x:f>IF(I292="","OPEN",IF(OR(F292="",G292="",H292=""),"FAIL","PASS"))</x:f>
        <x:v>OPEN</x:v>
      </x:c>
    </x:row>
    <x:row r="293">
      <x:c r="B293" s="28" t="str">
        <x:v>CQ-DA-072-3</x:v>
      </x:c>
      <x:c r="C293" s="28" t="str">
        <x:v>DA-072</x:v>
      </x:c>
      <x:c r="D293" s="28" t="n">
        <x:v>3</x:v>
      </x:c>
      <x:c r="E293" s="28" t="str">
        <x:v>article-interface qualification</x:v>
      </x:c>
      <x:c r="F293" s="31" t="str"/>
      <x:c r="G293" s="31" t="str"/>
      <x:c r="H293" s="32" t="str"/>
      <x:c r="I293" s="31" t="str"/>
      <x:c r="J293" s="28" t="str">
        <x:f>IF(I293="","OPEN",IF(OR(F293="",G293="",H293=""),"FAIL","PASS"))</x:f>
        <x:v>OPEN</x:v>
      </x:c>
    </x:row>
    <x:row r="294">
      <x:c r="B294" s="28" t="str">
        <x:v>CQ-DA-072-4</x:v>
      </x:c>
      <x:c r="C294" s="28" t="str">
        <x:v>DA-072</x:v>
      </x:c>
      <x:c r="D294" s="28" t="n">
        <x:v>4</x:v>
      </x:c>
      <x:c r="E294" s="28" t="str">
        <x:v>incident and rescue qualification</x:v>
      </x:c>
      <x:c r="F294" s="31" t="str"/>
      <x:c r="G294" s="31" t="str"/>
      <x:c r="H294" s="32" t="str"/>
      <x:c r="I294" s="31" t="str"/>
      <x:c r="J294" s="28" t="str">
        <x:f>IF(I294="","OPEN",IF(OR(F294="",G294="",H294=""),"FAIL","PASS"))</x:f>
        <x:v>OPEN</x:v>
      </x:c>
    </x:row>
    <x:row r="295">
      <x:c r="B295" s="28" t="str">
        <x:v>CQ-DA-073-1</x:v>
      </x:c>
      <x:c r="C295" s="28" t="str">
        <x:v>DA-073</x:v>
      </x:c>
      <x:c r="D295" s="28" t="n">
        <x:v>1</x:v>
      </x:c>
      <x:c r="E295" s="28" t="str">
        <x:v>role qualification</x:v>
      </x:c>
      <x:c r="F295" s="31" t="str"/>
      <x:c r="G295" s="31" t="str"/>
      <x:c r="H295" s="32" t="str"/>
      <x:c r="I295" s="31" t="str"/>
      <x:c r="J295" s="28" t="str">
        <x:f>IF(I295="","OPEN",IF(OR(F295="",G295="",H295=""),"FAIL","PASS"))</x:f>
        <x:v>OPEN</x:v>
      </x:c>
    </x:row>
    <x:row r="296">
      <x:c r="B296" s="28" t="str">
        <x:v>CQ-DA-073-2</x:v>
      </x:c>
      <x:c r="C296" s="28" t="str">
        <x:v>DA-073</x:v>
      </x:c>
      <x:c r="D296" s="28" t="n">
        <x:v>2</x:v>
      </x:c>
      <x:c r="E296" s="28" t="str">
        <x:v>site and rig qualification</x:v>
      </x:c>
      <x:c r="F296" s="31" t="str"/>
      <x:c r="G296" s="31" t="str"/>
      <x:c r="H296" s="32" t="str"/>
      <x:c r="I296" s="31" t="str"/>
      <x:c r="J296" s="28" t="str">
        <x:f>IF(I296="","OPEN",IF(OR(F296="",G296="",H296=""),"FAIL","PASS"))</x:f>
        <x:v>OPEN</x:v>
      </x:c>
    </x:row>
    <x:row r="297">
      <x:c r="B297" s="28" t="str">
        <x:v>CQ-DA-073-3</x:v>
      </x:c>
      <x:c r="C297" s="28" t="str">
        <x:v>DA-073</x:v>
      </x:c>
      <x:c r="D297" s="28" t="n">
        <x:v>3</x:v>
      </x:c>
      <x:c r="E297" s="28" t="str">
        <x:v>article-interface qualification</x:v>
      </x:c>
      <x:c r="F297" s="31" t="str"/>
      <x:c r="G297" s="31" t="str"/>
      <x:c r="H297" s="32" t="str"/>
      <x:c r="I297" s="31" t="str"/>
      <x:c r="J297" s="28" t="str">
        <x:f>IF(I297="","OPEN",IF(OR(F297="",G297="",H297=""),"FAIL","PASS"))</x:f>
        <x:v>OPEN</x:v>
      </x:c>
    </x:row>
    <x:row r="298">
      <x:c r="B298" s="28" t="str">
        <x:v>CQ-DA-073-4</x:v>
      </x:c>
      <x:c r="C298" s="28" t="str">
        <x:v>DA-073</x:v>
      </x:c>
      <x:c r="D298" s="28" t="n">
        <x:v>4</x:v>
      </x:c>
      <x:c r="E298" s="28" t="str">
        <x:v>incident and rescue qualification</x:v>
      </x:c>
      <x:c r="F298" s="31" t="str"/>
      <x:c r="G298" s="31" t="str"/>
      <x:c r="H298" s="32" t="str"/>
      <x:c r="I298" s="31" t="str"/>
      <x:c r="J298" s="28" t="str">
        <x:f>IF(I298="","OPEN",IF(OR(F298="",G298="",H298=""),"FAIL","PASS"))</x:f>
        <x:v>OPEN</x:v>
      </x:c>
    </x:row>
    <x:row r="299">
      <x:c r="B299" s="28" t="str">
        <x:v>CQ-DA-074-1</x:v>
      </x:c>
      <x:c r="C299" s="28" t="str">
        <x:v>DA-074</x:v>
      </x:c>
      <x:c r="D299" s="28" t="n">
        <x:v>1</x:v>
      </x:c>
      <x:c r="E299" s="28" t="str">
        <x:v>role qualification</x:v>
      </x:c>
      <x:c r="F299" s="31" t="str"/>
      <x:c r="G299" s="31" t="str"/>
      <x:c r="H299" s="32" t="str"/>
      <x:c r="I299" s="31" t="str"/>
      <x:c r="J299" s="28" t="str">
        <x:f>IF(I299="","OPEN",IF(OR(F299="",G299="",H299=""),"FAIL","PASS"))</x:f>
        <x:v>OPEN</x:v>
      </x:c>
    </x:row>
    <x:row r="300">
      <x:c r="B300" s="28" t="str">
        <x:v>CQ-DA-074-2</x:v>
      </x:c>
      <x:c r="C300" s="28" t="str">
        <x:v>DA-074</x:v>
      </x:c>
      <x:c r="D300" s="28" t="n">
        <x:v>2</x:v>
      </x:c>
      <x:c r="E300" s="28" t="str">
        <x:v>site and rig qualification</x:v>
      </x:c>
      <x:c r="F300" s="31" t="str"/>
      <x:c r="G300" s="31" t="str"/>
      <x:c r="H300" s="32" t="str"/>
      <x:c r="I300" s="31" t="str"/>
      <x:c r="J300" s="28" t="str">
        <x:f>IF(I300="","OPEN",IF(OR(F300="",G300="",H300=""),"FAIL","PASS"))</x:f>
        <x:v>OPEN</x:v>
      </x:c>
    </x:row>
    <x:row r="301">
      <x:c r="B301" s="28" t="str">
        <x:v>CQ-DA-074-3</x:v>
      </x:c>
      <x:c r="C301" s="28" t="str">
        <x:v>DA-074</x:v>
      </x:c>
      <x:c r="D301" s="28" t="n">
        <x:v>3</x:v>
      </x:c>
      <x:c r="E301" s="28" t="str">
        <x:v>article-interface qualification</x:v>
      </x:c>
      <x:c r="F301" s="31" t="str"/>
      <x:c r="G301" s="31" t="str"/>
      <x:c r="H301" s="32" t="str"/>
      <x:c r="I301" s="31" t="str"/>
      <x:c r="J301" s="28" t="str">
        <x:f>IF(I301="","OPEN",IF(OR(F301="",G301="",H301=""),"FAIL","PASS"))</x:f>
        <x:v>OPEN</x:v>
      </x:c>
    </x:row>
    <x:row r="302">
      <x:c r="B302" s="28" t="str">
        <x:v>CQ-DA-074-4</x:v>
      </x:c>
      <x:c r="C302" s="28" t="str">
        <x:v>DA-074</x:v>
      </x:c>
      <x:c r="D302" s="28" t="n">
        <x:v>4</x:v>
      </x:c>
      <x:c r="E302" s="28" t="str">
        <x:v>incident and rescue qualification</x:v>
      </x:c>
      <x:c r="F302" s="31" t="str"/>
      <x:c r="G302" s="31" t="str"/>
      <x:c r="H302" s="32" t="str"/>
      <x:c r="I302" s="31" t="str"/>
      <x:c r="J302" s="28" t="str">
        <x:f>IF(I302="","OPEN",IF(OR(F302="",G302="",H302=""),"FAIL","PASS"))</x:f>
        <x:v>OPEN</x:v>
      </x:c>
    </x:row>
    <x:row r="303">
      <x:c r="B303" s="28" t="str">
        <x:v>CQ-DA-075-1</x:v>
      </x:c>
      <x:c r="C303" s="28" t="str">
        <x:v>DA-075</x:v>
      </x:c>
      <x:c r="D303" s="28" t="n">
        <x:v>1</x:v>
      </x:c>
      <x:c r="E303" s="28" t="str">
        <x:v>role qualification</x:v>
      </x:c>
      <x:c r="F303" s="31" t="str"/>
      <x:c r="G303" s="31" t="str"/>
      <x:c r="H303" s="32" t="str"/>
      <x:c r="I303" s="31" t="str"/>
      <x:c r="J303" s="28" t="str">
        <x:f>IF(I303="","OPEN",IF(OR(F303="",G303="",H303=""),"FAIL","PASS"))</x:f>
        <x:v>OPEN</x:v>
      </x:c>
    </x:row>
    <x:row r="304">
      <x:c r="B304" s="28" t="str">
        <x:v>CQ-DA-075-2</x:v>
      </x:c>
      <x:c r="C304" s="28" t="str">
        <x:v>DA-075</x:v>
      </x:c>
      <x:c r="D304" s="28" t="n">
        <x:v>2</x:v>
      </x:c>
      <x:c r="E304" s="28" t="str">
        <x:v>site and rig qualification</x:v>
      </x:c>
      <x:c r="F304" s="31" t="str"/>
      <x:c r="G304" s="31" t="str"/>
      <x:c r="H304" s="32" t="str"/>
      <x:c r="I304" s="31" t="str"/>
      <x:c r="J304" s="28" t="str">
        <x:f>IF(I304="","OPEN",IF(OR(F304="",G304="",H304=""),"FAIL","PASS"))</x:f>
        <x:v>OPEN</x:v>
      </x:c>
    </x:row>
    <x:row r="305">
      <x:c r="B305" s="28" t="str">
        <x:v>CQ-DA-075-3</x:v>
      </x:c>
      <x:c r="C305" s="28" t="str">
        <x:v>DA-075</x:v>
      </x:c>
      <x:c r="D305" s="28" t="n">
        <x:v>3</x:v>
      </x:c>
      <x:c r="E305" s="28" t="str">
        <x:v>article-interface qualification</x:v>
      </x:c>
      <x:c r="F305" s="31" t="str"/>
      <x:c r="G305" s="31" t="str"/>
      <x:c r="H305" s="32" t="str"/>
      <x:c r="I305" s="31" t="str"/>
      <x:c r="J305" s="28" t="str">
        <x:f>IF(I305="","OPEN",IF(OR(F305="",G305="",H305=""),"FAIL","PASS"))</x:f>
        <x:v>OPEN</x:v>
      </x:c>
    </x:row>
    <x:row r="306">
      <x:c r="B306" s="28" t="str">
        <x:v>CQ-DA-075-4</x:v>
      </x:c>
      <x:c r="C306" s="28" t="str">
        <x:v>DA-075</x:v>
      </x:c>
      <x:c r="D306" s="28" t="n">
        <x:v>4</x:v>
      </x:c>
      <x:c r="E306" s="28" t="str">
        <x:v>incident and rescue qualification</x:v>
      </x:c>
      <x:c r="F306" s="31" t="str"/>
      <x:c r="G306" s="31" t="str"/>
      <x:c r="H306" s="32" t="str"/>
      <x:c r="I306" s="31" t="str"/>
      <x:c r="J306" s="28" t="str">
        <x:f>IF(I306="","OPEN",IF(OR(F306="",G306="",H306=""),"FAIL","PASS"))</x:f>
        <x:v>OPEN</x:v>
      </x:c>
    </x:row>
    <x:row r="307">
      <x:c r="B307" s="28" t="str">
        <x:v>CQ-DA-076-1</x:v>
      </x:c>
      <x:c r="C307" s="28" t="str">
        <x:v>DA-076</x:v>
      </x:c>
      <x:c r="D307" s="28" t="n">
        <x:v>1</x:v>
      </x:c>
      <x:c r="E307" s="28" t="str">
        <x:v>role qualification</x:v>
      </x:c>
      <x:c r="F307" s="31" t="str"/>
      <x:c r="G307" s="31" t="str"/>
      <x:c r="H307" s="32" t="str"/>
      <x:c r="I307" s="31" t="str"/>
      <x:c r="J307" s="28" t="str">
        <x:f>IF(I307="","OPEN",IF(OR(F307="",G307="",H307=""),"FAIL","PASS"))</x:f>
        <x:v>OPEN</x:v>
      </x:c>
    </x:row>
    <x:row r="308">
      <x:c r="B308" s="28" t="str">
        <x:v>CQ-DA-076-2</x:v>
      </x:c>
      <x:c r="C308" s="28" t="str">
        <x:v>DA-076</x:v>
      </x:c>
      <x:c r="D308" s="28" t="n">
        <x:v>2</x:v>
      </x:c>
      <x:c r="E308" s="28" t="str">
        <x:v>site and rig qualification</x:v>
      </x:c>
      <x:c r="F308" s="31" t="str"/>
      <x:c r="G308" s="31" t="str"/>
      <x:c r="H308" s="32" t="str"/>
      <x:c r="I308" s="31" t="str"/>
      <x:c r="J308" s="28" t="str">
        <x:f>IF(I308="","OPEN",IF(OR(F308="",G308="",H308=""),"FAIL","PASS"))</x:f>
        <x:v>OPEN</x:v>
      </x:c>
    </x:row>
    <x:row r="309">
      <x:c r="B309" s="28" t="str">
        <x:v>CQ-DA-076-3</x:v>
      </x:c>
      <x:c r="C309" s="28" t="str">
        <x:v>DA-076</x:v>
      </x:c>
      <x:c r="D309" s="28" t="n">
        <x:v>3</x:v>
      </x:c>
      <x:c r="E309" s="28" t="str">
        <x:v>article-interface qualification</x:v>
      </x:c>
      <x:c r="F309" s="31" t="str"/>
      <x:c r="G309" s="31" t="str"/>
      <x:c r="H309" s="32" t="str"/>
      <x:c r="I309" s="31" t="str"/>
      <x:c r="J309" s="28" t="str">
        <x:f>IF(I309="","OPEN",IF(OR(F309="",G309="",H309=""),"FAIL","PASS"))</x:f>
        <x:v>OPEN</x:v>
      </x:c>
    </x:row>
    <x:row r="310">
      <x:c r="B310" s="28" t="str">
        <x:v>CQ-DA-076-4</x:v>
      </x:c>
      <x:c r="C310" s="28" t="str">
        <x:v>DA-076</x:v>
      </x:c>
      <x:c r="D310" s="28" t="n">
        <x:v>4</x:v>
      </x:c>
      <x:c r="E310" s="28" t="str">
        <x:v>incident and rescue qualification</x:v>
      </x:c>
      <x:c r="F310" s="31" t="str"/>
      <x:c r="G310" s="31" t="str"/>
      <x:c r="H310" s="32" t="str"/>
      <x:c r="I310" s="31" t="str"/>
      <x:c r="J310" s="28" t="str">
        <x:f>IF(I310="","OPEN",IF(OR(F310="",G310="",H310=""),"FAIL","PASS"))</x:f>
        <x:v>OPEN</x:v>
      </x:c>
    </x:row>
    <x:row r="311">
      <x:c r="B311" s="28" t="str">
        <x:v>CQ-DA-077-1</x:v>
      </x:c>
      <x:c r="C311" s="28" t="str">
        <x:v>DA-077</x:v>
      </x:c>
      <x:c r="D311" s="28" t="n">
        <x:v>1</x:v>
      </x:c>
      <x:c r="E311" s="28" t="str">
        <x:v>role qualification</x:v>
      </x:c>
      <x:c r="F311" s="31" t="str"/>
      <x:c r="G311" s="31" t="str"/>
      <x:c r="H311" s="32" t="str"/>
      <x:c r="I311" s="31" t="str"/>
      <x:c r="J311" s="28" t="str">
        <x:f>IF(I311="","OPEN",IF(OR(F311="",G311="",H311=""),"FAIL","PASS"))</x:f>
        <x:v>OPEN</x:v>
      </x:c>
    </x:row>
    <x:row r="312">
      <x:c r="B312" s="28" t="str">
        <x:v>CQ-DA-077-2</x:v>
      </x:c>
      <x:c r="C312" s="28" t="str">
        <x:v>DA-077</x:v>
      </x:c>
      <x:c r="D312" s="28" t="n">
        <x:v>2</x:v>
      </x:c>
      <x:c r="E312" s="28" t="str">
        <x:v>site and rig qualification</x:v>
      </x:c>
      <x:c r="F312" s="31" t="str"/>
      <x:c r="G312" s="31" t="str"/>
      <x:c r="H312" s="32" t="str"/>
      <x:c r="I312" s="31" t="str"/>
      <x:c r="J312" s="28" t="str">
        <x:f>IF(I312="","OPEN",IF(OR(F312="",G312="",H312=""),"FAIL","PASS"))</x:f>
        <x:v>OPEN</x:v>
      </x:c>
    </x:row>
    <x:row r="313">
      <x:c r="B313" s="28" t="str">
        <x:v>CQ-DA-077-3</x:v>
      </x:c>
      <x:c r="C313" s="28" t="str">
        <x:v>DA-077</x:v>
      </x:c>
      <x:c r="D313" s="28" t="n">
        <x:v>3</x:v>
      </x:c>
      <x:c r="E313" s="28" t="str">
        <x:v>article-interface qualification</x:v>
      </x:c>
      <x:c r="F313" s="31" t="str"/>
      <x:c r="G313" s="31" t="str"/>
      <x:c r="H313" s="32" t="str"/>
      <x:c r="I313" s="31" t="str"/>
      <x:c r="J313" s="28" t="str">
        <x:f>IF(I313="","OPEN",IF(OR(F313="",G313="",H313=""),"FAIL","PASS"))</x:f>
        <x:v>OPEN</x:v>
      </x:c>
    </x:row>
    <x:row r="314">
      <x:c r="B314" s="28" t="str">
        <x:v>CQ-DA-077-4</x:v>
      </x:c>
      <x:c r="C314" s="28" t="str">
        <x:v>DA-077</x:v>
      </x:c>
      <x:c r="D314" s="28" t="n">
        <x:v>4</x:v>
      </x:c>
      <x:c r="E314" s="28" t="str">
        <x:v>incident and rescue qualification</x:v>
      </x:c>
      <x:c r="F314" s="31" t="str"/>
      <x:c r="G314" s="31" t="str"/>
      <x:c r="H314" s="32" t="str"/>
      <x:c r="I314" s="31" t="str"/>
      <x:c r="J314" s="28" t="str">
        <x:f>IF(I314="","OPEN",IF(OR(F314="",G314="",H314=""),"FAIL","PASS"))</x:f>
        <x:v>OPEN</x:v>
      </x:c>
    </x:row>
    <x:row r="315">
      <x:c r="B315" s="28" t="str">
        <x:v>CQ-DA-078-1</x:v>
      </x:c>
      <x:c r="C315" s="28" t="str">
        <x:v>DA-078</x:v>
      </x:c>
      <x:c r="D315" s="28" t="n">
        <x:v>1</x:v>
      </x:c>
      <x:c r="E315" s="28" t="str">
        <x:v>role qualification</x:v>
      </x:c>
      <x:c r="F315" s="31" t="str"/>
      <x:c r="G315" s="31" t="str"/>
      <x:c r="H315" s="32" t="str"/>
      <x:c r="I315" s="31" t="str"/>
      <x:c r="J315" s="28" t="str">
        <x:f>IF(I315="","OPEN",IF(OR(F315="",G315="",H315=""),"FAIL","PASS"))</x:f>
        <x:v>OPEN</x:v>
      </x:c>
    </x:row>
    <x:row r="316">
      <x:c r="B316" s="28" t="str">
        <x:v>CQ-DA-078-2</x:v>
      </x:c>
      <x:c r="C316" s="28" t="str">
        <x:v>DA-078</x:v>
      </x:c>
      <x:c r="D316" s="28" t="n">
        <x:v>2</x:v>
      </x:c>
      <x:c r="E316" s="28" t="str">
        <x:v>site and rig qualification</x:v>
      </x:c>
      <x:c r="F316" s="31" t="str"/>
      <x:c r="G316" s="31" t="str"/>
      <x:c r="H316" s="32" t="str"/>
      <x:c r="I316" s="31" t="str"/>
      <x:c r="J316" s="28" t="str">
        <x:f>IF(I316="","OPEN",IF(OR(F316="",G316="",H316=""),"FAIL","PASS"))</x:f>
        <x:v>OPEN</x:v>
      </x:c>
    </x:row>
    <x:row r="317">
      <x:c r="B317" s="28" t="str">
        <x:v>CQ-DA-078-3</x:v>
      </x:c>
      <x:c r="C317" s="28" t="str">
        <x:v>DA-078</x:v>
      </x:c>
      <x:c r="D317" s="28" t="n">
        <x:v>3</x:v>
      </x:c>
      <x:c r="E317" s="28" t="str">
        <x:v>article-interface qualification</x:v>
      </x:c>
      <x:c r="F317" s="31" t="str"/>
      <x:c r="G317" s="31" t="str"/>
      <x:c r="H317" s="32" t="str"/>
      <x:c r="I317" s="31" t="str"/>
      <x:c r="J317" s="28" t="str">
        <x:f>IF(I317="","OPEN",IF(OR(F317="",G317="",H317=""),"FAIL","PASS"))</x:f>
        <x:v>OPEN</x:v>
      </x:c>
    </x:row>
    <x:row r="318">
      <x:c r="B318" s="28" t="str">
        <x:v>CQ-DA-078-4</x:v>
      </x:c>
      <x:c r="C318" s="28" t="str">
        <x:v>DA-078</x:v>
      </x:c>
      <x:c r="D318" s="28" t="n">
        <x:v>4</x:v>
      </x:c>
      <x:c r="E318" s="28" t="str">
        <x:v>incident and rescue qualification</x:v>
      </x:c>
      <x:c r="F318" s="31" t="str"/>
      <x:c r="G318" s="31" t="str"/>
      <x:c r="H318" s="32" t="str"/>
      <x:c r="I318" s="31" t="str"/>
      <x:c r="J318" s="28" t="str">
        <x:f>IF(I318="","OPEN",IF(OR(F318="",G318="",H318=""),"FAIL","PASS"))</x:f>
        <x:v>OPEN</x:v>
      </x:c>
    </x:row>
    <x:row r="319">
      <x:c r="B319" s="28" t="str">
        <x:v>CQ-DA-079-1</x:v>
      </x:c>
      <x:c r="C319" s="28" t="str">
        <x:v>DA-079</x:v>
      </x:c>
      <x:c r="D319" s="28" t="n">
        <x:v>1</x:v>
      </x:c>
      <x:c r="E319" s="28" t="str">
        <x:v>role qualification</x:v>
      </x:c>
      <x:c r="F319" s="31" t="str"/>
      <x:c r="G319" s="31" t="str"/>
      <x:c r="H319" s="32" t="str"/>
      <x:c r="I319" s="31" t="str"/>
      <x:c r="J319" s="28" t="str">
        <x:f>IF(I319="","OPEN",IF(OR(F319="",G319="",H319=""),"FAIL","PASS"))</x:f>
        <x:v>OPEN</x:v>
      </x:c>
    </x:row>
    <x:row r="320">
      <x:c r="B320" s="28" t="str">
        <x:v>CQ-DA-079-2</x:v>
      </x:c>
      <x:c r="C320" s="28" t="str">
        <x:v>DA-079</x:v>
      </x:c>
      <x:c r="D320" s="28" t="n">
        <x:v>2</x:v>
      </x:c>
      <x:c r="E320" s="28" t="str">
        <x:v>site and rig qualification</x:v>
      </x:c>
      <x:c r="F320" s="31" t="str"/>
      <x:c r="G320" s="31" t="str"/>
      <x:c r="H320" s="32" t="str"/>
      <x:c r="I320" s="31" t="str"/>
      <x:c r="J320" s="28" t="str">
        <x:f>IF(I320="","OPEN",IF(OR(F320="",G320="",H320=""),"FAIL","PASS"))</x:f>
        <x:v>OPEN</x:v>
      </x:c>
    </x:row>
    <x:row r="321">
      <x:c r="B321" s="28" t="str">
        <x:v>CQ-DA-079-3</x:v>
      </x:c>
      <x:c r="C321" s="28" t="str">
        <x:v>DA-079</x:v>
      </x:c>
      <x:c r="D321" s="28" t="n">
        <x:v>3</x:v>
      </x:c>
      <x:c r="E321" s="28" t="str">
        <x:v>article-interface qualification</x:v>
      </x:c>
      <x:c r="F321" s="31" t="str"/>
      <x:c r="G321" s="31" t="str"/>
      <x:c r="H321" s="32" t="str"/>
      <x:c r="I321" s="31" t="str"/>
      <x:c r="J321" s="28" t="str">
        <x:f>IF(I321="","OPEN",IF(OR(F321="",G321="",H321=""),"FAIL","PASS"))</x:f>
        <x:v>OPEN</x:v>
      </x:c>
    </x:row>
    <x:row r="322">
      <x:c r="B322" s="28" t="str">
        <x:v>CQ-DA-079-4</x:v>
      </x:c>
      <x:c r="C322" s="28" t="str">
        <x:v>DA-079</x:v>
      </x:c>
      <x:c r="D322" s="28" t="n">
        <x:v>4</x:v>
      </x:c>
      <x:c r="E322" s="28" t="str">
        <x:v>incident and rescue qualification</x:v>
      </x:c>
      <x:c r="F322" s="31" t="str"/>
      <x:c r="G322" s="31" t="str"/>
      <x:c r="H322" s="32" t="str"/>
      <x:c r="I322" s="31" t="str"/>
      <x:c r="J322" s="28" t="str">
        <x:f>IF(I322="","OPEN",IF(OR(F322="",G322="",H322=""),"FAIL","PASS"))</x:f>
        <x:v>OPEN</x:v>
      </x:c>
    </x:row>
    <x:row r="323">
      <x:c r="B323" s="28" t="str">
        <x:v>CQ-DA-080-1</x:v>
      </x:c>
      <x:c r="C323" s="28" t="str">
        <x:v>DA-080</x:v>
      </x:c>
      <x:c r="D323" s="28" t="n">
        <x:v>1</x:v>
      </x:c>
      <x:c r="E323" s="28" t="str">
        <x:v>role qualification</x:v>
      </x:c>
      <x:c r="F323" s="31" t="str"/>
      <x:c r="G323" s="31" t="str"/>
      <x:c r="H323" s="32" t="str"/>
      <x:c r="I323" s="31" t="str"/>
      <x:c r="J323" s="28" t="str">
        <x:f>IF(I323="","OPEN",IF(OR(F323="",G323="",H323=""),"FAIL","PASS"))</x:f>
        <x:v>OPEN</x:v>
      </x:c>
    </x:row>
    <x:row r="324">
      <x:c r="B324" s="28" t="str">
        <x:v>CQ-DA-080-2</x:v>
      </x:c>
      <x:c r="C324" s="28" t="str">
        <x:v>DA-080</x:v>
      </x:c>
      <x:c r="D324" s="28" t="n">
        <x:v>2</x:v>
      </x:c>
      <x:c r="E324" s="28" t="str">
        <x:v>site and rig qualification</x:v>
      </x:c>
      <x:c r="F324" s="31" t="str"/>
      <x:c r="G324" s="31" t="str"/>
      <x:c r="H324" s="32" t="str"/>
      <x:c r="I324" s="31" t="str"/>
      <x:c r="J324" s="28" t="str">
        <x:f>IF(I324="","OPEN",IF(OR(F324="",G324="",H324=""),"FAIL","PASS"))</x:f>
        <x:v>OPEN</x:v>
      </x:c>
    </x:row>
    <x:row r="325">
      <x:c r="B325" s="28" t="str">
        <x:v>CQ-DA-080-3</x:v>
      </x:c>
      <x:c r="C325" s="28" t="str">
        <x:v>DA-080</x:v>
      </x:c>
      <x:c r="D325" s="28" t="n">
        <x:v>3</x:v>
      </x:c>
      <x:c r="E325" s="28" t="str">
        <x:v>article-interface qualification</x:v>
      </x:c>
      <x:c r="F325" s="31" t="str"/>
      <x:c r="G325" s="31" t="str"/>
      <x:c r="H325" s="32" t="str"/>
      <x:c r="I325" s="31" t="str"/>
      <x:c r="J325" s="28" t="str">
        <x:f>IF(I325="","OPEN",IF(OR(F325="",G325="",H325=""),"FAIL","PASS"))</x:f>
        <x:v>OPEN</x:v>
      </x:c>
    </x:row>
    <x:row r="326">
      <x:c r="B326" s="28" t="str">
        <x:v>CQ-DA-080-4</x:v>
      </x:c>
      <x:c r="C326" s="28" t="str">
        <x:v>DA-080</x:v>
      </x:c>
      <x:c r="D326" s="28" t="n">
        <x:v>4</x:v>
      </x:c>
      <x:c r="E326" s="28" t="str">
        <x:v>incident and rescue qualification</x:v>
      </x:c>
      <x:c r="F326" s="31" t="str"/>
      <x:c r="G326" s="31" t="str"/>
      <x:c r="H326" s="32" t="str"/>
      <x:c r="I326" s="31" t="str"/>
      <x:c r="J326" s="28" t="str">
        <x:f>IF(I326="","OPEN",IF(OR(F326="",G326="",H326=""),"FAIL","PASS"))</x:f>
        <x:v>OPEN</x:v>
      </x:c>
    </x:row>
    <x:row r="327">
      <x:c r="B327" s="28" t="str">
        <x:v>CQ-DA-081-1</x:v>
      </x:c>
      <x:c r="C327" s="28" t="str">
        <x:v>DA-081</x:v>
      </x:c>
      <x:c r="D327" s="28" t="n">
        <x:v>1</x:v>
      </x:c>
      <x:c r="E327" s="28" t="str">
        <x:v>role qualification</x:v>
      </x:c>
      <x:c r="F327" s="31" t="str"/>
      <x:c r="G327" s="31" t="str"/>
      <x:c r="H327" s="32" t="str"/>
      <x:c r="I327" s="31" t="str"/>
      <x:c r="J327" s="28" t="str">
        <x:f>IF(I327="","OPEN",IF(OR(F327="",G327="",H327=""),"FAIL","PASS"))</x:f>
        <x:v>OPEN</x:v>
      </x:c>
    </x:row>
    <x:row r="328">
      <x:c r="B328" s="28" t="str">
        <x:v>CQ-DA-081-2</x:v>
      </x:c>
      <x:c r="C328" s="28" t="str">
        <x:v>DA-081</x:v>
      </x:c>
      <x:c r="D328" s="28" t="n">
        <x:v>2</x:v>
      </x:c>
      <x:c r="E328" s="28" t="str">
        <x:v>site and rig qualification</x:v>
      </x:c>
      <x:c r="F328" s="31" t="str"/>
      <x:c r="G328" s="31" t="str"/>
      <x:c r="H328" s="32" t="str"/>
      <x:c r="I328" s="31" t="str"/>
      <x:c r="J328" s="28" t="str">
        <x:f>IF(I328="","OPEN",IF(OR(F328="",G328="",H328=""),"FAIL","PASS"))</x:f>
        <x:v>OPEN</x:v>
      </x:c>
    </x:row>
    <x:row r="329">
      <x:c r="B329" s="28" t="str">
        <x:v>CQ-DA-081-3</x:v>
      </x:c>
      <x:c r="C329" s="28" t="str">
        <x:v>DA-081</x:v>
      </x:c>
      <x:c r="D329" s="28" t="n">
        <x:v>3</x:v>
      </x:c>
      <x:c r="E329" s="28" t="str">
        <x:v>article-interface qualification</x:v>
      </x:c>
      <x:c r="F329" s="31" t="str"/>
      <x:c r="G329" s="31" t="str"/>
      <x:c r="H329" s="32" t="str"/>
      <x:c r="I329" s="31" t="str"/>
      <x:c r="J329" s="28" t="str">
        <x:f>IF(I329="","OPEN",IF(OR(F329="",G329="",H329=""),"FAIL","PASS"))</x:f>
        <x:v>OPEN</x:v>
      </x:c>
    </x:row>
    <x:row r="330">
      <x:c r="B330" s="28" t="str">
        <x:v>CQ-DA-081-4</x:v>
      </x:c>
      <x:c r="C330" s="28" t="str">
        <x:v>DA-081</x:v>
      </x:c>
      <x:c r="D330" s="28" t="n">
        <x:v>4</x:v>
      </x:c>
      <x:c r="E330" s="28" t="str">
        <x:v>incident and rescue qualification</x:v>
      </x:c>
      <x:c r="F330" s="31" t="str"/>
      <x:c r="G330" s="31" t="str"/>
      <x:c r="H330" s="32" t="str"/>
      <x:c r="I330" s="31" t="str"/>
      <x:c r="J330" s="28" t="str">
        <x:f>IF(I330="","OPEN",IF(OR(F330="",G330="",H330=""),"FAIL","PASS"))</x:f>
        <x:v>OPEN</x:v>
      </x:c>
    </x:row>
    <x:row r="331">
      <x:c r="B331" s="28" t="str">
        <x:v>CQ-DA-082-1</x:v>
      </x:c>
      <x:c r="C331" s="28" t="str">
        <x:v>DA-082</x:v>
      </x:c>
      <x:c r="D331" s="28" t="n">
        <x:v>1</x:v>
      </x:c>
      <x:c r="E331" s="28" t="str">
        <x:v>role qualification</x:v>
      </x:c>
      <x:c r="F331" s="31" t="str"/>
      <x:c r="G331" s="31" t="str"/>
      <x:c r="H331" s="32" t="str"/>
      <x:c r="I331" s="31" t="str"/>
      <x:c r="J331" s="28" t="str">
        <x:f>IF(I331="","OPEN",IF(OR(F331="",G331="",H331=""),"FAIL","PASS"))</x:f>
        <x:v>OPEN</x:v>
      </x:c>
    </x:row>
    <x:row r="332">
      <x:c r="B332" s="28" t="str">
        <x:v>CQ-DA-082-2</x:v>
      </x:c>
      <x:c r="C332" s="28" t="str">
        <x:v>DA-082</x:v>
      </x:c>
      <x:c r="D332" s="28" t="n">
        <x:v>2</x:v>
      </x:c>
      <x:c r="E332" s="28" t="str">
        <x:v>site and rig qualification</x:v>
      </x:c>
      <x:c r="F332" s="31" t="str"/>
      <x:c r="G332" s="31" t="str"/>
      <x:c r="H332" s="32" t="str"/>
      <x:c r="I332" s="31" t="str"/>
      <x:c r="J332" s="28" t="str">
        <x:f>IF(I332="","OPEN",IF(OR(F332="",G332="",H332=""),"FAIL","PASS"))</x:f>
        <x:v>OPEN</x:v>
      </x:c>
    </x:row>
    <x:row r="333">
      <x:c r="B333" s="28" t="str">
        <x:v>CQ-DA-082-3</x:v>
      </x:c>
      <x:c r="C333" s="28" t="str">
        <x:v>DA-082</x:v>
      </x:c>
      <x:c r="D333" s="28" t="n">
        <x:v>3</x:v>
      </x:c>
      <x:c r="E333" s="28" t="str">
        <x:v>article-interface qualification</x:v>
      </x:c>
      <x:c r="F333" s="31" t="str"/>
      <x:c r="G333" s="31" t="str"/>
      <x:c r="H333" s="32" t="str"/>
      <x:c r="I333" s="31" t="str"/>
      <x:c r="J333" s="28" t="str">
        <x:f>IF(I333="","OPEN",IF(OR(F333="",G333="",H333=""),"FAIL","PASS"))</x:f>
        <x:v>OPEN</x:v>
      </x:c>
    </x:row>
    <x:row r="334">
      <x:c r="B334" s="28" t="str">
        <x:v>CQ-DA-082-4</x:v>
      </x:c>
      <x:c r="C334" s="28" t="str">
        <x:v>DA-082</x:v>
      </x:c>
      <x:c r="D334" s="28" t="n">
        <x:v>4</x:v>
      </x:c>
      <x:c r="E334" s="28" t="str">
        <x:v>incident and rescue qualification</x:v>
      </x:c>
      <x:c r="F334" s="31" t="str"/>
      <x:c r="G334" s="31" t="str"/>
      <x:c r="H334" s="32" t="str"/>
      <x:c r="I334" s="31" t="str"/>
      <x:c r="J334" s="28" t="str">
        <x:f>IF(I334="","OPEN",IF(OR(F334="",G334="",H334=""),"FAIL","PASS"))</x:f>
        <x:v>OPEN</x:v>
      </x:c>
    </x:row>
    <x:row r="335">
      <x:c r="B335" s="28" t="str">
        <x:v>CQ-DA-083-1</x:v>
      </x:c>
      <x:c r="C335" s="28" t="str">
        <x:v>DA-083</x:v>
      </x:c>
      <x:c r="D335" s="28" t="n">
        <x:v>1</x:v>
      </x:c>
      <x:c r="E335" s="28" t="str">
        <x:v>role qualification</x:v>
      </x:c>
      <x:c r="F335" s="31" t="str"/>
      <x:c r="G335" s="31" t="str"/>
      <x:c r="H335" s="32" t="str"/>
      <x:c r="I335" s="31" t="str"/>
      <x:c r="J335" s="28" t="str">
        <x:f>IF(I335="","OPEN",IF(OR(F335="",G335="",H335=""),"FAIL","PASS"))</x:f>
        <x:v>OPEN</x:v>
      </x:c>
    </x:row>
    <x:row r="336">
      <x:c r="B336" s="28" t="str">
        <x:v>CQ-DA-083-2</x:v>
      </x:c>
      <x:c r="C336" s="28" t="str">
        <x:v>DA-083</x:v>
      </x:c>
      <x:c r="D336" s="28" t="n">
        <x:v>2</x:v>
      </x:c>
      <x:c r="E336" s="28" t="str">
        <x:v>site and rig qualification</x:v>
      </x:c>
      <x:c r="F336" s="31" t="str"/>
      <x:c r="G336" s="31" t="str"/>
      <x:c r="H336" s="32" t="str"/>
      <x:c r="I336" s="31" t="str"/>
      <x:c r="J336" s="28" t="str">
        <x:f>IF(I336="","OPEN",IF(OR(F336="",G336="",H336=""),"FAIL","PASS"))</x:f>
        <x:v>OPEN</x:v>
      </x:c>
    </x:row>
    <x:row r="337">
      <x:c r="B337" s="28" t="str">
        <x:v>CQ-DA-083-3</x:v>
      </x:c>
      <x:c r="C337" s="28" t="str">
        <x:v>DA-083</x:v>
      </x:c>
      <x:c r="D337" s="28" t="n">
        <x:v>3</x:v>
      </x:c>
      <x:c r="E337" s="28" t="str">
        <x:v>article-interface qualification</x:v>
      </x:c>
      <x:c r="F337" s="31" t="str"/>
      <x:c r="G337" s="31" t="str"/>
      <x:c r="H337" s="32" t="str"/>
      <x:c r="I337" s="31" t="str"/>
      <x:c r="J337" s="28" t="str">
        <x:f>IF(I337="","OPEN",IF(OR(F337="",G337="",H337=""),"FAIL","PASS"))</x:f>
        <x:v>OPEN</x:v>
      </x:c>
    </x:row>
    <x:row r="338">
      <x:c r="B338" s="28" t="str">
        <x:v>CQ-DA-083-4</x:v>
      </x:c>
      <x:c r="C338" s="28" t="str">
        <x:v>DA-083</x:v>
      </x:c>
      <x:c r="D338" s="28" t="n">
        <x:v>4</x:v>
      </x:c>
      <x:c r="E338" s="28" t="str">
        <x:v>incident and rescue qualification</x:v>
      </x:c>
      <x:c r="F338" s="31" t="str"/>
      <x:c r="G338" s="31" t="str"/>
      <x:c r="H338" s="32" t="str"/>
      <x:c r="I338" s="31" t="str"/>
      <x:c r="J338" s="28" t="str">
        <x:f>IF(I338="","OPEN",IF(OR(F338="",G338="",H338=""),"FAIL","PASS"))</x:f>
        <x:v>OPEN</x:v>
      </x:c>
    </x:row>
    <x:row r="339">
      <x:c r="B339" s="28" t="str">
        <x:v>CQ-DA-084-1</x:v>
      </x:c>
      <x:c r="C339" s="28" t="str">
        <x:v>DA-084</x:v>
      </x:c>
      <x:c r="D339" s="28" t="n">
        <x:v>1</x:v>
      </x:c>
      <x:c r="E339" s="28" t="str">
        <x:v>role qualification</x:v>
      </x:c>
      <x:c r="F339" s="31" t="str"/>
      <x:c r="G339" s="31" t="str"/>
      <x:c r="H339" s="32" t="str"/>
      <x:c r="I339" s="31" t="str"/>
      <x:c r="J339" s="28" t="str">
        <x:f>IF(I339="","OPEN",IF(OR(F339="",G339="",H339=""),"FAIL","PASS"))</x:f>
        <x:v>OPEN</x:v>
      </x:c>
    </x:row>
    <x:row r="340">
      <x:c r="B340" s="28" t="str">
        <x:v>CQ-DA-084-2</x:v>
      </x:c>
      <x:c r="C340" s="28" t="str">
        <x:v>DA-084</x:v>
      </x:c>
      <x:c r="D340" s="28" t="n">
        <x:v>2</x:v>
      </x:c>
      <x:c r="E340" s="28" t="str">
        <x:v>site and rig qualification</x:v>
      </x:c>
      <x:c r="F340" s="31" t="str"/>
      <x:c r="G340" s="31" t="str"/>
      <x:c r="H340" s="32" t="str"/>
      <x:c r="I340" s="31" t="str"/>
      <x:c r="J340" s="28" t="str">
        <x:f>IF(I340="","OPEN",IF(OR(F340="",G340="",H340=""),"FAIL","PASS"))</x:f>
        <x:v>OPEN</x:v>
      </x:c>
    </x:row>
    <x:row r="341">
      <x:c r="B341" s="28" t="str">
        <x:v>CQ-DA-084-3</x:v>
      </x:c>
      <x:c r="C341" s="28" t="str">
        <x:v>DA-084</x:v>
      </x:c>
      <x:c r="D341" s="28" t="n">
        <x:v>3</x:v>
      </x:c>
      <x:c r="E341" s="28" t="str">
        <x:v>article-interface qualification</x:v>
      </x:c>
      <x:c r="F341" s="31" t="str"/>
      <x:c r="G341" s="31" t="str"/>
      <x:c r="H341" s="32" t="str"/>
      <x:c r="I341" s="31" t="str"/>
      <x:c r="J341" s="28" t="str">
        <x:f>IF(I341="","OPEN",IF(OR(F341="",G341="",H341=""),"FAIL","PASS"))</x:f>
        <x:v>OPEN</x:v>
      </x:c>
    </x:row>
    <x:row r="342">
      <x:c r="B342" s="28" t="str">
        <x:v>CQ-DA-084-4</x:v>
      </x:c>
      <x:c r="C342" s="28" t="str">
        <x:v>DA-084</x:v>
      </x:c>
      <x:c r="D342" s="28" t="n">
        <x:v>4</x:v>
      </x:c>
      <x:c r="E342" s="28" t="str">
        <x:v>incident and rescue qualification</x:v>
      </x:c>
      <x:c r="F342" s="31" t="str"/>
      <x:c r="G342" s="31" t="str"/>
      <x:c r="H342" s="32" t="str"/>
      <x:c r="I342" s="31" t="str"/>
      <x:c r="J342" s="28" t="str">
        <x:f>IF(I342="","OPEN",IF(OR(F342="",G342="",H342=""),"FAIL","PASS"))</x:f>
        <x:v>OPEN</x:v>
      </x:c>
    </x:row>
    <x:row r="343">
      <x:c r="B343" s="28" t="str">
        <x:v>CQ-DA-085-1</x:v>
      </x:c>
      <x:c r="C343" s="28" t="str">
        <x:v>DA-085</x:v>
      </x:c>
      <x:c r="D343" s="28" t="n">
        <x:v>1</x:v>
      </x:c>
      <x:c r="E343" s="28" t="str">
        <x:v>role qualification</x:v>
      </x:c>
      <x:c r="F343" s="31" t="str"/>
      <x:c r="G343" s="31" t="str"/>
      <x:c r="H343" s="32" t="str"/>
      <x:c r="I343" s="31" t="str"/>
      <x:c r="J343" s="28" t="str">
        <x:f>IF(I343="","OPEN",IF(OR(F343="",G343="",H343=""),"FAIL","PASS"))</x:f>
        <x:v>OPEN</x:v>
      </x:c>
    </x:row>
    <x:row r="344">
      <x:c r="B344" s="28" t="str">
        <x:v>CQ-DA-085-2</x:v>
      </x:c>
      <x:c r="C344" s="28" t="str">
        <x:v>DA-085</x:v>
      </x:c>
      <x:c r="D344" s="28" t="n">
        <x:v>2</x:v>
      </x:c>
      <x:c r="E344" s="28" t="str">
        <x:v>site and rig qualification</x:v>
      </x:c>
      <x:c r="F344" s="31" t="str"/>
      <x:c r="G344" s="31" t="str"/>
      <x:c r="H344" s="32" t="str"/>
      <x:c r="I344" s="31" t="str"/>
      <x:c r="J344" s="28" t="str">
        <x:f>IF(I344="","OPEN",IF(OR(F344="",G344="",H344=""),"FAIL","PASS"))</x:f>
        <x:v>OPEN</x:v>
      </x:c>
    </x:row>
    <x:row r="345">
      <x:c r="B345" s="28" t="str">
        <x:v>CQ-DA-085-3</x:v>
      </x:c>
      <x:c r="C345" s="28" t="str">
        <x:v>DA-085</x:v>
      </x:c>
      <x:c r="D345" s="28" t="n">
        <x:v>3</x:v>
      </x:c>
      <x:c r="E345" s="28" t="str">
        <x:v>article-interface qualification</x:v>
      </x:c>
      <x:c r="F345" s="31" t="str"/>
      <x:c r="G345" s="31" t="str"/>
      <x:c r="H345" s="32" t="str"/>
      <x:c r="I345" s="31" t="str"/>
      <x:c r="J345" s="28" t="str">
        <x:f>IF(I345="","OPEN",IF(OR(F345="",G345="",H345=""),"FAIL","PASS"))</x:f>
        <x:v>OPEN</x:v>
      </x:c>
    </x:row>
    <x:row r="346">
      <x:c r="B346" s="28" t="str">
        <x:v>CQ-DA-085-4</x:v>
      </x:c>
      <x:c r="C346" s="28" t="str">
        <x:v>DA-085</x:v>
      </x:c>
      <x:c r="D346" s="28" t="n">
        <x:v>4</x:v>
      </x:c>
      <x:c r="E346" s="28" t="str">
        <x:v>incident and rescue qualification</x:v>
      </x:c>
      <x:c r="F346" s="31" t="str"/>
      <x:c r="G346" s="31" t="str"/>
      <x:c r="H346" s="32" t="str"/>
      <x:c r="I346" s="31" t="str"/>
      <x:c r="J346" s="28" t="str">
        <x:f>IF(I346="","OPEN",IF(OR(F346="",G346="",H346=""),"FAIL","PASS"))</x:f>
        <x:v>OPEN</x:v>
      </x:c>
    </x:row>
    <x:row r="347">
      <x:c r="B347" s="28" t="str">
        <x:v>CQ-DA-086-1</x:v>
      </x:c>
      <x:c r="C347" s="28" t="str">
        <x:v>DA-086</x:v>
      </x:c>
      <x:c r="D347" s="28" t="n">
        <x:v>1</x:v>
      </x:c>
      <x:c r="E347" s="28" t="str">
        <x:v>role qualification</x:v>
      </x:c>
      <x:c r="F347" s="31" t="str"/>
      <x:c r="G347" s="31" t="str"/>
      <x:c r="H347" s="32" t="str"/>
      <x:c r="I347" s="31" t="str"/>
      <x:c r="J347" s="28" t="str">
        <x:f>IF(I347="","OPEN",IF(OR(F347="",G347="",H347=""),"FAIL","PASS"))</x:f>
        <x:v>OPEN</x:v>
      </x:c>
    </x:row>
    <x:row r="348">
      <x:c r="B348" s="28" t="str">
        <x:v>CQ-DA-086-2</x:v>
      </x:c>
      <x:c r="C348" s="28" t="str">
        <x:v>DA-086</x:v>
      </x:c>
      <x:c r="D348" s="28" t="n">
        <x:v>2</x:v>
      </x:c>
      <x:c r="E348" s="28" t="str">
        <x:v>site and rig qualification</x:v>
      </x:c>
      <x:c r="F348" s="31" t="str"/>
      <x:c r="G348" s="31" t="str"/>
      <x:c r="H348" s="32" t="str"/>
      <x:c r="I348" s="31" t="str"/>
      <x:c r="J348" s="28" t="str">
        <x:f>IF(I348="","OPEN",IF(OR(F348="",G348="",H348=""),"FAIL","PASS"))</x:f>
        <x:v>OPEN</x:v>
      </x:c>
    </x:row>
    <x:row r="349">
      <x:c r="B349" s="28" t="str">
        <x:v>CQ-DA-086-3</x:v>
      </x:c>
      <x:c r="C349" s="28" t="str">
        <x:v>DA-086</x:v>
      </x:c>
      <x:c r="D349" s="28" t="n">
        <x:v>3</x:v>
      </x:c>
      <x:c r="E349" s="28" t="str">
        <x:v>article-interface qualification</x:v>
      </x:c>
      <x:c r="F349" s="31" t="str"/>
      <x:c r="G349" s="31" t="str"/>
      <x:c r="H349" s="32" t="str"/>
      <x:c r="I349" s="31" t="str"/>
      <x:c r="J349" s="28" t="str">
        <x:f>IF(I349="","OPEN",IF(OR(F349="",G349="",H349=""),"FAIL","PASS"))</x:f>
        <x:v>OPEN</x:v>
      </x:c>
    </x:row>
    <x:row r="350">
      <x:c r="B350" s="28" t="str">
        <x:v>CQ-DA-086-4</x:v>
      </x:c>
      <x:c r="C350" s="28" t="str">
        <x:v>DA-086</x:v>
      </x:c>
      <x:c r="D350" s="28" t="n">
        <x:v>4</x:v>
      </x:c>
      <x:c r="E350" s="28" t="str">
        <x:v>incident and rescue qualification</x:v>
      </x:c>
      <x:c r="F350" s="31" t="str"/>
      <x:c r="G350" s="31" t="str"/>
      <x:c r="H350" s="32" t="str"/>
      <x:c r="I350" s="31" t="str"/>
      <x:c r="J350" s="28" t="str">
        <x:f>IF(I350="","OPEN",IF(OR(F350="",G350="",H350=""),"FAIL","PASS"))</x:f>
        <x:v>OPEN</x:v>
      </x:c>
    </x:row>
    <x:row r="351">
      <x:c r="B351" s="28" t="str">
        <x:v>CQ-DA-087-1</x:v>
      </x:c>
      <x:c r="C351" s="28" t="str">
        <x:v>DA-087</x:v>
      </x:c>
      <x:c r="D351" s="28" t="n">
        <x:v>1</x:v>
      </x:c>
      <x:c r="E351" s="28" t="str">
        <x:v>role qualification</x:v>
      </x:c>
      <x:c r="F351" s="31" t="str"/>
      <x:c r="G351" s="31" t="str"/>
      <x:c r="H351" s="32" t="str"/>
      <x:c r="I351" s="31" t="str"/>
      <x:c r="J351" s="28" t="str">
        <x:f>IF(I351="","OPEN",IF(OR(F351="",G351="",H351=""),"FAIL","PASS"))</x:f>
        <x:v>OPEN</x:v>
      </x:c>
    </x:row>
    <x:row r="352">
      <x:c r="B352" s="28" t="str">
        <x:v>CQ-DA-087-2</x:v>
      </x:c>
      <x:c r="C352" s="28" t="str">
        <x:v>DA-087</x:v>
      </x:c>
      <x:c r="D352" s="28" t="n">
        <x:v>2</x:v>
      </x:c>
      <x:c r="E352" s="28" t="str">
        <x:v>site and rig qualification</x:v>
      </x:c>
      <x:c r="F352" s="31" t="str"/>
      <x:c r="G352" s="31" t="str"/>
      <x:c r="H352" s="32" t="str"/>
      <x:c r="I352" s="31" t="str"/>
      <x:c r="J352" s="28" t="str">
        <x:f>IF(I352="","OPEN",IF(OR(F352="",G352="",H352=""),"FAIL","PASS"))</x:f>
        <x:v>OPEN</x:v>
      </x:c>
    </x:row>
    <x:row r="353">
      <x:c r="B353" s="28" t="str">
        <x:v>CQ-DA-087-3</x:v>
      </x:c>
      <x:c r="C353" s="28" t="str">
        <x:v>DA-087</x:v>
      </x:c>
      <x:c r="D353" s="28" t="n">
        <x:v>3</x:v>
      </x:c>
      <x:c r="E353" s="28" t="str">
        <x:v>article-interface qualification</x:v>
      </x:c>
      <x:c r="F353" s="31" t="str"/>
      <x:c r="G353" s="31" t="str"/>
      <x:c r="H353" s="32" t="str"/>
      <x:c r="I353" s="31" t="str"/>
      <x:c r="J353" s="28" t="str">
        <x:f>IF(I353="","OPEN",IF(OR(F353="",G353="",H353=""),"FAIL","PASS"))</x:f>
        <x:v>OPEN</x:v>
      </x:c>
    </x:row>
    <x:row r="354">
      <x:c r="B354" s="28" t="str">
        <x:v>CQ-DA-087-4</x:v>
      </x:c>
      <x:c r="C354" s="28" t="str">
        <x:v>DA-087</x:v>
      </x:c>
      <x:c r="D354" s="28" t="n">
        <x:v>4</x:v>
      </x:c>
      <x:c r="E354" s="28" t="str">
        <x:v>incident and rescue qualification</x:v>
      </x:c>
      <x:c r="F354" s="31" t="str"/>
      <x:c r="G354" s="31" t="str"/>
      <x:c r="H354" s="32" t="str"/>
      <x:c r="I354" s="31" t="str"/>
      <x:c r="J354" s="28" t="str">
        <x:f>IF(I354="","OPEN",IF(OR(F354="",G354="",H354=""),"FAIL","PASS"))</x:f>
        <x:v>OPEN</x:v>
      </x:c>
    </x:row>
    <x:row r="355">
      <x:c r="B355" s="28" t="str">
        <x:v>CQ-DA-088-1</x:v>
      </x:c>
      <x:c r="C355" s="28" t="str">
        <x:v>DA-088</x:v>
      </x:c>
      <x:c r="D355" s="28" t="n">
        <x:v>1</x:v>
      </x:c>
      <x:c r="E355" s="28" t="str">
        <x:v>role qualification</x:v>
      </x:c>
      <x:c r="F355" s="31" t="str"/>
      <x:c r="G355" s="31" t="str"/>
      <x:c r="H355" s="32" t="str"/>
      <x:c r="I355" s="31" t="str"/>
      <x:c r="J355" s="28" t="str">
        <x:f>IF(I355="","OPEN",IF(OR(F355="",G355="",H355=""),"FAIL","PASS"))</x:f>
        <x:v>OPEN</x:v>
      </x:c>
    </x:row>
    <x:row r="356">
      <x:c r="B356" s="28" t="str">
        <x:v>CQ-DA-088-2</x:v>
      </x:c>
      <x:c r="C356" s="28" t="str">
        <x:v>DA-088</x:v>
      </x:c>
      <x:c r="D356" s="28" t="n">
        <x:v>2</x:v>
      </x:c>
      <x:c r="E356" s="28" t="str">
        <x:v>site and rig qualification</x:v>
      </x:c>
      <x:c r="F356" s="31" t="str"/>
      <x:c r="G356" s="31" t="str"/>
      <x:c r="H356" s="32" t="str"/>
      <x:c r="I356" s="31" t="str"/>
      <x:c r="J356" s="28" t="str">
        <x:f>IF(I356="","OPEN",IF(OR(F356="",G356="",H356=""),"FAIL","PASS"))</x:f>
        <x:v>OPEN</x:v>
      </x:c>
    </x:row>
    <x:row r="357">
      <x:c r="B357" s="28" t="str">
        <x:v>CQ-DA-088-3</x:v>
      </x:c>
      <x:c r="C357" s="28" t="str">
        <x:v>DA-088</x:v>
      </x:c>
      <x:c r="D357" s="28" t="n">
        <x:v>3</x:v>
      </x:c>
      <x:c r="E357" s="28" t="str">
        <x:v>article-interface qualification</x:v>
      </x:c>
      <x:c r="F357" s="31" t="str"/>
      <x:c r="G357" s="31" t="str"/>
      <x:c r="H357" s="32" t="str"/>
      <x:c r="I357" s="31" t="str"/>
      <x:c r="J357" s="28" t="str">
        <x:f>IF(I357="","OPEN",IF(OR(F357="",G357="",H357=""),"FAIL","PASS"))</x:f>
        <x:v>OPEN</x:v>
      </x:c>
    </x:row>
    <x:row r="358">
      <x:c r="B358" s="28" t="str">
        <x:v>CQ-DA-088-4</x:v>
      </x:c>
      <x:c r="C358" s="28" t="str">
        <x:v>DA-088</x:v>
      </x:c>
      <x:c r="D358" s="28" t="n">
        <x:v>4</x:v>
      </x:c>
      <x:c r="E358" s="28" t="str">
        <x:v>incident and rescue qualification</x:v>
      </x:c>
      <x:c r="F358" s="31" t="str"/>
      <x:c r="G358" s="31" t="str"/>
      <x:c r="H358" s="32" t="str"/>
      <x:c r="I358" s="31" t="str"/>
      <x:c r="J358" s="28" t="str">
        <x:f>IF(I358="","OPEN",IF(OR(F358="",G358="",H358=""),"FAIL","PASS"))</x:f>
        <x:v>OPEN</x:v>
      </x:c>
    </x:row>
    <x:row r="359">
      <x:c r="B359" s="28" t="str">
        <x:v>CQ-DA-089-1</x:v>
      </x:c>
      <x:c r="C359" s="28" t="str">
        <x:v>DA-089</x:v>
      </x:c>
      <x:c r="D359" s="28" t="n">
        <x:v>1</x:v>
      </x:c>
      <x:c r="E359" s="28" t="str">
        <x:v>role qualification</x:v>
      </x:c>
      <x:c r="F359" s="31" t="str"/>
      <x:c r="G359" s="31" t="str"/>
      <x:c r="H359" s="32" t="str"/>
      <x:c r="I359" s="31" t="str"/>
      <x:c r="J359" s="28" t="str">
        <x:f>IF(I359="","OPEN",IF(OR(F359="",G359="",H359=""),"FAIL","PASS"))</x:f>
        <x:v>OPEN</x:v>
      </x:c>
    </x:row>
    <x:row r="360">
      <x:c r="B360" s="28" t="str">
        <x:v>CQ-DA-089-2</x:v>
      </x:c>
      <x:c r="C360" s="28" t="str">
        <x:v>DA-089</x:v>
      </x:c>
      <x:c r="D360" s="28" t="n">
        <x:v>2</x:v>
      </x:c>
      <x:c r="E360" s="28" t="str">
        <x:v>site and rig qualification</x:v>
      </x:c>
      <x:c r="F360" s="31" t="str"/>
      <x:c r="G360" s="31" t="str"/>
      <x:c r="H360" s="32" t="str"/>
      <x:c r="I360" s="31" t="str"/>
      <x:c r="J360" s="28" t="str">
        <x:f>IF(I360="","OPEN",IF(OR(F360="",G360="",H360=""),"FAIL","PASS"))</x:f>
        <x:v>OPEN</x:v>
      </x:c>
    </x:row>
    <x:row r="361">
      <x:c r="B361" s="28" t="str">
        <x:v>CQ-DA-089-3</x:v>
      </x:c>
      <x:c r="C361" s="28" t="str">
        <x:v>DA-089</x:v>
      </x:c>
      <x:c r="D361" s="28" t="n">
        <x:v>3</x:v>
      </x:c>
      <x:c r="E361" s="28" t="str">
        <x:v>article-interface qualification</x:v>
      </x:c>
      <x:c r="F361" s="31" t="str"/>
      <x:c r="G361" s="31" t="str"/>
      <x:c r="H361" s="32" t="str"/>
      <x:c r="I361" s="31" t="str"/>
      <x:c r="J361" s="28" t="str">
        <x:f>IF(I361="","OPEN",IF(OR(F361="",G361="",H361=""),"FAIL","PASS"))</x:f>
        <x:v>OPEN</x:v>
      </x:c>
    </x:row>
    <x:row r="362">
      <x:c r="B362" s="28" t="str">
        <x:v>CQ-DA-089-4</x:v>
      </x:c>
      <x:c r="C362" s="28" t="str">
        <x:v>DA-089</x:v>
      </x:c>
      <x:c r="D362" s="28" t="n">
        <x:v>4</x:v>
      </x:c>
      <x:c r="E362" s="28" t="str">
        <x:v>incident and rescue qualification</x:v>
      </x:c>
      <x:c r="F362" s="31" t="str"/>
      <x:c r="G362" s="31" t="str"/>
      <x:c r="H362" s="32" t="str"/>
      <x:c r="I362" s="31" t="str"/>
      <x:c r="J362" s="28" t="str">
        <x:f>IF(I362="","OPEN",IF(OR(F362="",G362="",H362=""),"FAIL","PASS"))</x:f>
        <x:v>OPEN</x:v>
      </x:c>
    </x:row>
    <x:row r="363">
      <x:c r="B363" s="28" t="str">
        <x:v>CQ-DA-090-1</x:v>
      </x:c>
      <x:c r="C363" s="28" t="str">
        <x:v>DA-090</x:v>
      </x:c>
      <x:c r="D363" s="28" t="n">
        <x:v>1</x:v>
      </x:c>
      <x:c r="E363" s="28" t="str">
        <x:v>role qualification</x:v>
      </x:c>
      <x:c r="F363" s="31" t="str"/>
      <x:c r="G363" s="31" t="str"/>
      <x:c r="H363" s="32" t="str"/>
      <x:c r="I363" s="31" t="str"/>
      <x:c r="J363" s="28" t="str">
        <x:f>IF(I363="","OPEN",IF(OR(F363="",G363="",H363=""),"FAIL","PASS"))</x:f>
        <x:v>OPEN</x:v>
      </x:c>
    </x:row>
    <x:row r="364">
      <x:c r="B364" s="28" t="str">
        <x:v>CQ-DA-090-2</x:v>
      </x:c>
      <x:c r="C364" s="28" t="str">
        <x:v>DA-090</x:v>
      </x:c>
      <x:c r="D364" s="28" t="n">
        <x:v>2</x:v>
      </x:c>
      <x:c r="E364" s="28" t="str">
        <x:v>site and rig qualification</x:v>
      </x:c>
      <x:c r="F364" s="31" t="str"/>
      <x:c r="G364" s="31" t="str"/>
      <x:c r="H364" s="32" t="str"/>
      <x:c r="I364" s="31" t="str"/>
      <x:c r="J364" s="28" t="str">
        <x:f>IF(I364="","OPEN",IF(OR(F364="",G364="",H364=""),"FAIL","PASS"))</x:f>
        <x:v>OPEN</x:v>
      </x:c>
    </x:row>
    <x:row r="365">
      <x:c r="B365" s="28" t="str">
        <x:v>CQ-DA-090-3</x:v>
      </x:c>
      <x:c r="C365" s="28" t="str">
        <x:v>DA-090</x:v>
      </x:c>
      <x:c r="D365" s="28" t="n">
        <x:v>3</x:v>
      </x:c>
      <x:c r="E365" s="28" t="str">
        <x:v>article-interface qualification</x:v>
      </x:c>
      <x:c r="F365" s="31" t="str"/>
      <x:c r="G365" s="31" t="str"/>
      <x:c r="H365" s="32" t="str"/>
      <x:c r="I365" s="31" t="str"/>
      <x:c r="J365" s="28" t="str">
        <x:f>IF(I365="","OPEN",IF(OR(F365="",G365="",H365=""),"FAIL","PASS"))</x:f>
        <x:v>OPEN</x:v>
      </x:c>
    </x:row>
    <x:row r="366">
      <x:c r="B366" s="28" t="str">
        <x:v>CQ-DA-090-4</x:v>
      </x:c>
      <x:c r="C366" s="28" t="str">
        <x:v>DA-090</x:v>
      </x:c>
      <x:c r="D366" s="28" t="n">
        <x:v>4</x:v>
      </x:c>
      <x:c r="E366" s="28" t="str">
        <x:v>incident and rescue qualification</x:v>
      </x:c>
      <x:c r="F366" s="31" t="str"/>
      <x:c r="G366" s="31" t="str"/>
      <x:c r="H366" s="32" t="str"/>
      <x:c r="I366" s="31" t="str"/>
      <x:c r="J366" s="28" t="str">
        <x:f>IF(I366="","OPEN",IF(OR(F366="",G366="",H366=""),"FAIL","PASS"))</x:f>
        <x:v>OPEN</x:v>
      </x:c>
    </x:row>
    <x:row r="367">
      <x:c r="B367" s="28" t="str">
        <x:v>CQ-DA-091-1</x:v>
      </x:c>
      <x:c r="C367" s="28" t="str">
        <x:v>DA-091</x:v>
      </x:c>
      <x:c r="D367" s="28" t="n">
        <x:v>1</x:v>
      </x:c>
      <x:c r="E367" s="28" t="str">
        <x:v>role qualification</x:v>
      </x:c>
      <x:c r="F367" s="31" t="str"/>
      <x:c r="G367" s="31" t="str"/>
      <x:c r="H367" s="32" t="str"/>
      <x:c r="I367" s="31" t="str"/>
      <x:c r="J367" s="28" t="str">
        <x:f>IF(I367="","OPEN",IF(OR(F367="",G367="",H367=""),"FAIL","PASS"))</x:f>
        <x:v>OPEN</x:v>
      </x:c>
    </x:row>
    <x:row r="368">
      <x:c r="B368" s="28" t="str">
        <x:v>CQ-DA-091-2</x:v>
      </x:c>
      <x:c r="C368" s="28" t="str">
        <x:v>DA-091</x:v>
      </x:c>
      <x:c r="D368" s="28" t="n">
        <x:v>2</x:v>
      </x:c>
      <x:c r="E368" s="28" t="str">
        <x:v>site and rig qualification</x:v>
      </x:c>
      <x:c r="F368" s="31" t="str"/>
      <x:c r="G368" s="31" t="str"/>
      <x:c r="H368" s="32" t="str"/>
      <x:c r="I368" s="31" t="str"/>
      <x:c r="J368" s="28" t="str">
        <x:f>IF(I368="","OPEN",IF(OR(F368="",G368="",H368=""),"FAIL","PASS"))</x:f>
        <x:v>OPEN</x:v>
      </x:c>
    </x:row>
    <x:row r="369">
      <x:c r="B369" s="28" t="str">
        <x:v>CQ-DA-091-3</x:v>
      </x:c>
      <x:c r="C369" s="28" t="str">
        <x:v>DA-091</x:v>
      </x:c>
      <x:c r="D369" s="28" t="n">
        <x:v>3</x:v>
      </x:c>
      <x:c r="E369" s="28" t="str">
        <x:v>article-interface qualification</x:v>
      </x:c>
      <x:c r="F369" s="31" t="str"/>
      <x:c r="G369" s="31" t="str"/>
      <x:c r="H369" s="32" t="str"/>
      <x:c r="I369" s="31" t="str"/>
      <x:c r="J369" s="28" t="str">
        <x:f>IF(I369="","OPEN",IF(OR(F369="",G369="",H369=""),"FAIL","PASS"))</x:f>
        <x:v>OPEN</x:v>
      </x:c>
    </x:row>
    <x:row r="370">
      <x:c r="B370" s="28" t="str">
        <x:v>CQ-DA-091-4</x:v>
      </x:c>
      <x:c r="C370" s="28" t="str">
        <x:v>DA-091</x:v>
      </x:c>
      <x:c r="D370" s="28" t="n">
        <x:v>4</x:v>
      </x:c>
      <x:c r="E370" s="28" t="str">
        <x:v>incident and rescue qualification</x:v>
      </x:c>
      <x:c r="F370" s="31" t="str"/>
      <x:c r="G370" s="31" t="str"/>
      <x:c r="H370" s="32" t="str"/>
      <x:c r="I370" s="31" t="str"/>
      <x:c r="J370" s="28" t="str">
        <x:f>IF(I370="","OPEN",IF(OR(F370="",G370="",H370=""),"FAIL","PASS"))</x:f>
        <x:v>OPEN</x:v>
      </x:c>
    </x:row>
    <x:row r="371">
      <x:c r="B371" s="28" t="str">
        <x:v>CQ-DA-092-1</x:v>
      </x:c>
      <x:c r="C371" s="28" t="str">
        <x:v>DA-092</x:v>
      </x:c>
      <x:c r="D371" s="28" t="n">
        <x:v>1</x:v>
      </x:c>
      <x:c r="E371" s="28" t="str">
        <x:v>role qualification</x:v>
      </x:c>
      <x:c r="F371" s="31" t="str"/>
      <x:c r="G371" s="31" t="str"/>
      <x:c r="H371" s="32" t="str"/>
      <x:c r="I371" s="31" t="str"/>
      <x:c r="J371" s="28" t="str">
        <x:f>IF(I371="","OPEN",IF(OR(F371="",G371="",H371=""),"FAIL","PASS"))</x:f>
        <x:v>OPEN</x:v>
      </x:c>
    </x:row>
    <x:row r="372">
      <x:c r="B372" s="28" t="str">
        <x:v>CQ-DA-092-2</x:v>
      </x:c>
      <x:c r="C372" s="28" t="str">
        <x:v>DA-092</x:v>
      </x:c>
      <x:c r="D372" s="28" t="n">
        <x:v>2</x:v>
      </x:c>
      <x:c r="E372" s="28" t="str">
        <x:v>site and rig qualification</x:v>
      </x:c>
      <x:c r="F372" s="31" t="str"/>
      <x:c r="G372" s="31" t="str"/>
      <x:c r="H372" s="32" t="str"/>
      <x:c r="I372" s="31" t="str"/>
      <x:c r="J372" s="28" t="str">
        <x:f>IF(I372="","OPEN",IF(OR(F372="",G372="",H372=""),"FAIL","PASS"))</x:f>
        <x:v>OPEN</x:v>
      </x:c>
    </x:row>
    <x:row r="373">
      <x:c r="B373" s="28" t="str">
        <x:v>CQ-DA-092-3</x:v>
      </x:c>
      <x:c r="C373" s="28" t="str">
        <x:v>DA-092</x:v>
      </x:c>
      <x:c r="D373" s="28" t="n">
        <x:v>3</x:v>
      </x:c>
      <x:c r="E373" s="28" t="str">
        <x:v>article-interface qualification</x:v>
      </x:c>
      <x:c r="F373" s="31" t="str"/>
      <x:c r="G373" s="31" t="str"/>
      <x:c r="H373" s="32" t="str"/>
      <x:c r="I373" s="31" t="str"/>
      <x:c r="J373" s="28" t="str">
        <x:f>IF(I373="","OPEN",IF(OR(F373="",G373="",H373=""),"FAIL","PASS"))</x:f>
        <x:v>OPEN</x:v>
      </x:c>
    </x:row>
    <x:row r="374">
      <x:c r="B374" s="28" t="str">
        <x:v>CQ-DA-092-4</x:v>
      </x:c>
      <x:c r="C374" s="28" t="str">
        <x:v>DA-092</x:v>
      </x:c>
      <x:c r="D374" s="28" t="n">
        <x:v>4</x:v>
      </x:c>
      <x:c r="E374" s="28" t="str">
        <x:v>incident and rescue qualification</x:v>
      </x:c>
      <x:c r="F374" s="31" t="str"/>
      <x:c r="G374" s="31" t="str"/>
      <x:c r="H374" s="32" t="str"/>
      <x:c r="I374" s="31" t="str"/>
      <x:c r="J374" s="28" t="str">
        <x:f>IF(I374="","OPEN",IF(OR(F374="",G374="",H374=""),"FAIL","PASS"))</x:f>
        <x:v>OPEN</x:v>
      </x:c>
    </x:row>
    <x:row r="375">
      <x:c r="B375" s="28" t="str">
        <x:v>CQ-DA-093-1</x:v>
      </x:c>
      <x:c r="C375" s="28" t="str">
        <x:v>DA-093</x:v>
      </x:c>
      <x:c r="D375" s="28" t="n">
        <x:v>1</x:v>
      </x:c>
      <x:c r="E375" s="28" t="str">
        <x:v>role qualification</x:v>
      </x:c>
      <x:c r="F375" s="31" t="str"/>
      <x:c r="G375" s="31" t="str"/>
      <x:c r="H375" s="32" t="str"/>
      <x:c r="I375" s="31" t="str"/>
      <x:c r="J375" s="28" t="str">
        <x:f>IF(I375="","OPEN",IF(OR(F375="",G375="",H375=""),"FAIL","PASS"))</x:f>
        <x:v>OPEN</x:v>
      </x:c>
    </x:row>
    <x:row r="376">
      <x:c r="B376" s="28" t="str">
        <x:v>CQ-DA-093-2</x:v>
      </x:c>
      <x:c r="C376" s="28" t="str">
        <x:v>DA-093</x:v>
      </x:c>
      <x:c r="D376" s="28" t="n">
        <x:v>2</x:v>
      </x:c>
      <x:c r="E376" s="28" t="str">
        <x:v>site and rig qualification</x:v>
      </x:c>
      <x:c r="F376" s="31" t="str"/>
      <x:c r="G376" s="31" t="str"/>
      <x:c r="H376" s="32" t="str"/>
      <x:c r="I376" s="31" t="str"/>
      <x:c r="J376" s="28" t="str">
        <x:f>IF(I376="","OPEN",IF(OR(F376="",G376="",H376=""),"FAIL","PASS"))</x:f>
        <x:v>OPEN</x:v>
      </x:c>
    </x:row>
    <x:row r="377">
      <x:c r="B377" s="28" t="str">
        <x:v>CQ-DA-093-3</x:v>
      </x:c>
      <x:c r="C377" s="28" t="str">
        <x:v>DA-093</x:v>
      </x:c>
      <x:c r="D377" s="28" t="n">
        <x:v>3</x:v>
      </x:c>
      <x:c r="E377" s="28" t="str">
        <x:v>article-interface qualification</x:v>
      </x:c>
      <x:c r="F377" s="31" t="str"/>
      <x:c r="G377" s="31" t="str"/>
      <x:c r="H377" s="32" t="str"/>
      <x:c r="I377" s="31" t="str"/>
      <x:c r="J377" s="28" t="str">
        <x:f>IF(I377="","OPEN",IF(OR(F377="",G377="",H377=""),"FAIL","PASS"))</x:f>
        <x:v>OPEN</x:v>
      </x:c>
    </x:row>
    <x:row r="378">
      <x:c r="B378" s="28" t="str">
        <x:v>CQ-DA-093-4</x:v>
      </x:c>
      <x:c r="C378" s="28" t="str">
        <x:v>DA-093</x:v>
      </x:c>
      <x:c r="D378" s="28" t="n">
        <x:v>4</x:v>
      </x:c>
      <x:c r="E378" s="28" t="str">
        <x:v>incident and rescue qualification</x:v>
      </x:c>
      <x:c r="F378" s="31" t="str"/>
      <x:c r="G378" s="31" t="str"/>
      <x:c r="H378" s="32" t="str"/>
      <x:c r="I378" s="31" t="str"/>
      <x:c r="J378" s="28" t="str">
        <x:f>IF(I378="","OPEN",IF(OR(F378="",G378="",H378=""),"FAIL","PASS"))</x:f>
        <x:v>OPEN</x:v>
      </x:c>
    </x:row>
    <x:row r="379">
      <x:c r="B379" s="28" t="str">
        <x:v>CQ-DA-094-1</x:v>
      </x:c>
      <x:c r="C379" s="28" t="str">
        <x:v>DA-094</x:v>
      </x:c>
      <x:c r="D379" s="28" t="n">
        <x:v>1</x:v>
      </x:c>
      <x:c r="E379" s="28" t="str">
        <x:v>role qualification</x:v>
      </x:c>
      <x:c r="F379" s="31" t="str"/>
      <x:c r="G379" s="31" t="str"/>
      <x:c r="H379" s="32" t="str"/>
      <x:c r="I379" s="31" t="str"/>
      <x:c r="J379" s="28" t="str">
        <x:f>IF(I379="","OPEN",IF(OR(F379="",G379="",H379=""),"FAIL","PASS"))</x:f>
        <x:v>OPEN</x:v>
      </x:c>
    </x:row>
    <x:row r="380">
      <x:c r="B380" s="28" t="str">
        <x:v>CQ-DA-094-2</x:v>
      </x:c>
      <x:c r="C380" s="28" t="str">
        <x:v>DA-094</x:v>
      </x:c>
      <x:c r="D380" s="28" t="n">
        <x:v>2</x:v>
      </x:c>
      <x:c r="E380" s="28" t="str">
        <x:v>site and rig qualification</x:v>
      </x:c>
      <x:c r="F380" s="31" t="str"/>
      <x:c r="G380" s="31" t="str"/>
      <x:c r="H380" s="32" t="str"/>
      <x:c r="I380" s="31" t="str"/>
      <x:c r="J380" s="28" t="str">
        <x:f>IF(I380="","OPEN",IF(OR(F380="",G380="",H380=""),"FAIL","PASS"))</x:f>
        <x:v>OPEN</x:v>
      </x:c>
    </x:row>
    <x:row r="381">
      <x:c r="B381" s="28" t="str">
        <x:v>CQ-DA-094-3</x:v>
      </x:c>
      <x:c r="C381" s="28" t="str">
        <x:v>DA-094</x:v>
      </x:c>
      <x:c r="D381" s="28" t="n">
        <x:v>3</x:v>
      </x:c>
      <x:c r="E381" s="28" t="str">
        <x:v>article-interface qualification</x:v>
      </x:c>
      <x:c r="F381" s="31" t="str"/>
      <x:c r="G381" s="31" t="str"/>
      <x:c r="H381" s="32" t="str"/>
      <x:c r="I381" s="31" t="str"/>
      <x:c r="J381" s="28" t="str">
        <x:f>IF(I381="","OPEN",IF(OR(F381="",G381="",H381=""),"FAIL","PASS"))</x:f>
        <x:v>OPEN</x:v>
      </x:c>
    </x:row>
    <x:row r="382">
      <x:c r="B382" s="28" t="str">
        <x:v>CQ-DA-094-4</x:v>
      </x:c>
      <x:c r="C382" s="28" t="str">
        <x:v>DA-094</x:v>
      </x:c>
      <x:c r="D382" s="28" t="n">
        <x:v>4</x:v>
      </x:c>
      <x:c r="E382" s="28" t="str">
        <x:v>incident and rescue qualification</x:v>
      </x:c>
      <x:c r="F382" s="31" t="str"/>
      <x:c r="G382" s="31" t="str"/>
      <x:c r="H382" s="32" t="str"/>
      <x:c r="I382" s="31" t="str"/>
      <x:c r="J382" s="28" t="str">
        <x:f>IF(I382="","OPEN",IF(OR(F382="",G382="",H382=""),"FAIL","PASS"))</x:f>
        <x:v>OPEN</x:v>
      </x:c>
    </x:row>
    <x:row r="383">
      <x:c r="B383" s="28" t="str">
        <x:v>CQ-DA-095-1</x:v>
      </x:c>
      <x:c r="C383" s="28" t="str">
        <x:v>DA-095</x:v>
      </x:c>
      <x:c r="D383" s="28" t="n">
        <x:v>1</x:v>
      </x:c>
      <x:c r="E383" s="28" t="str">
        <x:v>role qualification</x:v>
      </x:c>
      <x:c r="F383" s="31" t="str"/>
      <x:c r="G383" s="31" t="str"/>
      <x:c r="H383" s="32" t="str"/>
      <x:c r="I383" s="31" t="str"/>
      <x:c r="J383" s="28" t="str">
        <x:f>IF(I383="","OPEN",IF(OR(F383="",G383="",H383=""),"FAIL","PASS"))</x:f>
        <x:v>OPEN</x:v>
      </x:c>
    </x:row>
    <x:row r="384">
      <x:c r="B384" s="28" t="str">
        <x:v>CQ-DA-095-2</x:v>
      </x:c>
      <x:c r="C384" s="28" t="str">
        <x:v>DA-095</x:v>
      </x:c>
      <x:c r="D384" s="28" t="n">
        <x:v>2</x:v>
      </x:c>
      <x:c r="E384" s="28" t="str">
        <x:v>site and rig qualification</x:v>
      </x:c>
      <x:c r="F384" s="31" t="str"/>
      <x:c r="G384" s="31" t="str"/>
      <x:c r="H384" s="32" t="str"/>
      <x:c r="I384" s="31" t="str"/>
      <x:c r="J384" s="28" t="str">
        <x:f>IF(I384="","OPEN",IF(OR(F384="",G384="",H384=""),"FAIL","PASS"))</x:f>
        <x:v>OPEN</x:v>
      </x:c>
    </x:row>
    <x:row r="385">
      <x:c r="B385" s="28" t="str">
        <x:v>CQ-DA-095-3</x:v>
      </x:c>
      <x:c r="C385" s="28" t="str">
        <x:v>DA-095</x:v>
      </x:c>
      <x:c r="D385" s="28" t="n">
        <x:v>3</x:v>
      </x:c>
      <x:c r="E385" s="28" t="str">
        <x:v>article-interface qualification</x:v>
      </x:c>
      <x:c r="F385" s="31" t="str"/>
      <x:c r="G385" s="31" t="str"/>
      <x:c r="H385" s="32" t="str"/>
      <x:c r="I385" s="31" t="str"/>
      <x:c r="J385" s="28" t="str">
        <x:f>IF(I385="","OPEN",IF(OR(F385="",G385="",H385=""),"FAIL","PASS"))</x:f>
        <x:v>OPEN</x:v>
      </x:c>
    </x:row>
    <x:row r="386">
      <x:c r="B386" s="28" t="str">
        <x:v>CQ-DA-095-4</x:v>
      </x:c>
      <x:c r="C386" s="28" t="str">
        <x:v>DA-095</x:v>
      </x:c>
      <x:c r="D386" s="28" t="n">
        <x:v>4</x:v>
      </x:c>
      <x:c r="E386" s="28" t="str">
        <x:v>incident and rescue qualification</x:v>
      </x:c>
      <x:c r="F386" s="31" t="str"/>
      <x:c r="G386" s="31" t="str"/>
      <x:c r="H386" s="32" t="str"/>
      <x:c r="I386" s="31" t="str"/>
      <x:c r="J386" s="28" t="str">
        <x:f>IF(I386="","OPEN",IF(OR(F386="",G386="",H386=""),"FAIL","PASS"))</x:f>
        <x:v>OPEN</x:v>
      </x:c>
    </x:row>
    <x:row r="387">
      <x:c r="B387" s="28" t="str">
        <x:v>CQ-DA-096-1</x:v>
      </x:c>
      <x:c r="C387" s="28" t="str">
        <x:v>DA-096</x:v>
      </x:c>
      <x:c r="D387" s="28" t="n">
        <x:v>1</x:v>
      </x:c>
      <x:c r="E387" s="28" t="str">
        <x:v>role qualification</x:v>
      </x:c>
      <x:c r="F387" s="31" t="str"/>
      <x:c r="G387" s="31" t="str"/>
      <x:c r="H387" s="32" t="str"/>
      <x:c r="I387" s="31" t="str"/>
      <x:c r="J387" s="28" t="str">
        <x:f>IF(I387="","OPEN",IF(OR(F387="",G387="",H387=""),"FAIL","PASS"))</x:f>
        <x:v>OPEN</x:v>
      </x:c>
    </x:row>
    <x:row r="388">
      <x:c r="B388" s="28" t="str">
        <x:v>CQ-DA-096-2</x:v>
      </x:c>
      <x:c r="C388" s="28" t="str">
        <x:v>DA-096</x:v>
      </x:c>
      <x:c r="D388" s="28" t="n">
        <x:v>2</x:v>
      </x:c>
      <x:c r="E388" s="28" t="str">
        <x:v>site and rig qualification</x:v>
      </x:c>
      <x:c r="F388" s="31" t="str"/>
      <x:c r="G388" s="31" t="str"/>
      <x:c r="H388" s="32" t="str"/>
      <x:c r="I388" s="31" t="str"/>
      <x:c r="J388" s="28" t="str">
        <x:f>IF(I388="","OPEN",IF(OR(F388="",G388="",H388=""),"FAIL","PASS"))</x:f>
        <x:v>OPEN</x:v>
      </x:c>
    </x:row>
    <x:row r="389">
      <x:c r="B389" s="28" t="str">
        <x:v>CQ-DA-096-3</x:v>
      </x:c>
      <x:c r="C389" s="28" t="str">
        <x:v>DA-096</x:v>
      </x:c>
      <x:c r="D389" s="28" t="n">
        <x:v>3</x:v>
      </x:c>
      <x:c r="E389" s="28" t="str">
        <x:v>article-interface qualification</x:v>
      </x:c>
      <x:c r="F389" s="31" t="str"/>
      <x:c r="G389" s="31" t="str"/>
      <x:c r="H389" s="32" t="str"/>
      <x:c r="I389" s="31" t="str"/>
      <x:c r="J389" s="28" t="str">
        <x:f>IF(I389="","OPEN",IF(OR(F389="",G389="",H389=""),"FAIL","PASS"))</x:f>
        <x:v>OPEN</x:v>
      </x:c>
    </x:row>
    <x:row r="390">
      <x:c r="B390" s="28" t="str">
        <x:v>CQ-DA-096-4</x:v>
      </x:c>
      <x:c r="C390" s="28" t="str">
        <x:v>DA-096</x:v>
      </x:c>
      <x:c r="D390" s="28" t="n">
        <x:v>4</x:v>
      </x:c>
      <x:c r="E390" s="28" t="str">
        <x:v>incident and rescue qualification</x:v>
      </x:c>
      <x:c r="F390" s="31" t="str"/>
      <x:c r="G390" s="31" t="str"/>
      <x:c r="H390" s="32" t="str"/>
      <x:c r="I390" s="31" t="str"/>
      <x:c r="J390" s="28" t="str">
        <x:f>IF(I390="","OPEN",IF(OR(F390="",G390="",H390=""),"FAIL","PASS"))</x:f>
        <x:v>OPEN</x:v>
      </x:c>
    </x:row>
    <x:row r="391">
      <x:c r="B391" s="28" t="str">
        <x:v>CQ-DA-097-1</x:v>
      </x:c>
      <x:c r="C391" s="28" t="str">
        <x:v>DA-097</x:v>
      </x:c>
      <x:c r="D391" s="28" t="n">
        <x:v>1</x:v>
      </x:c>
      <x:c r="E391" s="28" t="str">
        <x:v>role qualification</x:v>
      </x:c>
      <x:c r="F391" s="31" t="str"/>
      <x:c r="G391" s="31" t="str"/>
      <x:c r="H391" s="32" t="str"/>
      <x:c r="I391" s="31" t="str"/>
      <x:c r="J391" s="28" t="str">
        <x:f>IF(I391="","OPEN",IF(OR(F391="",G391="",H391=""),"FAIL","PASS"))</x:f>
        <x:v>OPEN</x:v>
      </x:c>
    </x:row>
    <x:row r="392">
      <x:c r="B392" s="28" t="str">
        <x:v>CQ-DA-097-2</x:v>
      </x:c>
      <x:c r="C392" s="28" t="str">
        <x:v>DA-097</x:v>
      </x:c>
      <x:c r="D392" s="28" t="n">
        <x:v>2</x:v>
      </x:c>
      <x:c r="E392" s="28" t="str">
        <x:v>site and rig qualification</x:v>
      </x:c>
      <x:c r="F392" s="31" t="str"/>
      <x:c r="G392" s="31" t="str"/>
      <x:c r="H392" s="32" t="str"/>
      <x:c r="I392" s="31" t="str"/>
      <x:c r="J392" s="28" t="str">
        <x:f>IF(I392="","OPEN",IF(OR(F392="",G392="",H392=""),"FAIL","PASS"))</x:f>
        <x:v>OPEN</x:v>
      </x:c>
    </x:row>
    <x:row r="393">
      <x:c r="B393" s="28" t="str">
        <x:v>CQ-DA-097-3</x:v>
      </x:c>
      <x:c r="C393" s="28" t="str">
        <x:v>DA-097</x:v>
      </x:c>
      <x:c r="D393" s="28" t="n">
        <x:v>3</x:v>
      </x:c>
      <x:c r="E393" s="28" t="str">
        <x:v>article-interface qualification</x:v>
      </x:c>
      <x:c r="F393" s="31" t="str"/>
      <x:c r="G393" s="31" t="str"/>
      <x:c r="H393" s="32" t="str"/>
      <x:c r="I393" s="31" t="str"/>
      <x:c r="J393" s="28" t="str">
        <x:f>IF(I393="","OPEN",IF(OR(F393="",G393="",H393=""),"FAIL","PASS"))</x:f>
        <x:v>OPEN</x:v>
      </x:c>
    </x:row>
    <x:row r="394">
      <x:c r="B394" s="28" t="str">
        <x:v>CQ-DA-097-4</x:v>
      </x:c>
      <x:c r="C394" s="28" t="str">
        <x:v>DA-097</x:v>
      </x:c>
      <x:c r="D394" s="28" t="n">
        <x:v>4</x:v>
      </x:c>
      <x:c r="E394" s="28" t="str">
        <x:v>incident and rescue qualification</x:v>
      </x:c>
      <x:c r="F394" s="31" t="str"/>
      <x:c r="G394" s="31" t="str"/>
      <x:c r="H394" s="32" t="str"/>
      <x:c r="I394" s="31" t="str"/>
      <x:c r="J394" s="28" t="str">
        <x:f>IF(I394="","OPEN",IF(OR(F394="",G394="",H394=""),"FAIL","PASS"))</x:f>
        <x:v>OPEN</x:v>
      </x:c>
    </x:row>
    <x:row r="395">
      <x:c r="B395" s="28" t="str">
        <x:v>CQ-DA-098-1</x:v>
      </x:c>
      <x:c r="C395" s="28" t="str">
        <x:v>DA-098</x:v>
      </x:c>
      <x:c r="D395" s="28" t="n">
        <x:v>1</x:v>
      </x:c>
      <x:c r="E395" s="28" t="str">
        <x:v>role qualification</x:v>
      </x:c>
      <x:c r="F395" s="31" t="str"/>
      <x:c r="G395" s="31" t="str"/>
      <x:c r="H395" s="32" t="str"/>
      <x:c r="I395" s="31" t="str"/>
      <x:c r="J395" s="28" t="str">
        <x:f>IF(I395="","OPEN",IF(OR(F395="",G395="",H395=""),"FAIL","PASS"))</x:f>
        <x:v>OPEN</x:v>
      </x:c>
    </x:row>
    <x:row r="396">
      <x:c r="B396" s="28" t="str">
        <x:v>CQ-DA-098-2</x:v>
      </x:c>
      <x:c r="C396" s="28" t="str">
        <x:v>DA-098</x:v>
      </x:c>
      <x:c r="D396" s="28" t="n">
        <x:v>2</x:v>
      </x:c>
      <x:c r="E396" s="28" t="str">
        <x:v>site and rig qualification</x:v>
      </x:c>
      <x:c r="F396" s="31" t="str"/>
      <x:c r="G396" s="31" t="str"/>
      <x:c r="H396" s="32" t="str"/>
      <x:c r="I396" s="31" t="str"/>
      <x:c r="J396" s="28" t="str">
        <x:f>IF(I396="","OPEN",IF(OR(F396="",G396="",H396=""),"FAIL","PASS"))</x:f>
        <x:v>OPEN</x:v>
      </x:c>
    </x:row>
    <x:row r="397">
      <x:c r="B397" s="28" t="str">
        <x:v>CQ-DA-098-3</x:v>
      </x:c>
      <x:c r="C397" s="28" t="str">
        <x:v>DA-098</x:v>
      </x:c>
      <x:c r="D397" s="28" t="n">
        <x:v>3</x:v>
      </x:c>
      <x:c r="E397" s="28" t="str">
        <x:v>article-interface qualification</x:v>
      </x:c>
      <x:c r="F397" s="31" t="str"/>
      <x:c r="G397" s="31" t="str"/>
      <x:c r="H397" s="32" t="str"/>
      <x:c r="I397" s="31" t="str"/>
      <x:c r="J397" s="28" t="str">
        <x:f>IF(I397="","OPEN",IF(OR(F397="",G397="",H397=""),"FAIL","PASS"))</x:f>
        <x:v>OPEN</x:v>
      </x:c>
    </x:row>
    <x:row r="398">
      <x:c r="B398" s="28" t="str">
        <x:v>CQ-DA-098-4</x:v>
      </x:c>
      <x:c r="C398" s="28" t="str">
        <x:v>DA-098</x:v>
      </x:c>
      <x:c r="D398" s="28" t="n">
        <x:v>4</x:v>
      </x:c>
      <x:c r="E398" s="28" t="str">
        <x:v>incident and rescue qualification</x:v>
      </x:c>
      <x:c r="F398" s="31" t="str"/>
      <x:c r="G398" s="31" t="str"/>
      <x:c r="H398" s="32" t="str"/>
      <x:c r="I398" s="31" t="str"/>
      <x:c r="J398" s="28" t="str">
        <x:f>IF(I398="","OPEN",IF(OR(F398="",G398="",H398=""),"FAIL","PASS"))</x:f>
        <x:v>OPEN</x:v>
      </x:c>
    </x:row>
    <x:row r="399">
      <x:c r="B399" s="28" t="str">
        <x:v>CQ-DA-099-1</x:v>
      </x:c>
      <x:c r="C399" s="28" t="str">
        <x:v>DA-099</x:v>
      </x:c>
      <x:c r="D399" s="28" t="n">
        <x:v>1</x:v>
      </x:c>
      <x:c r="E399" s="28" t="str">
        <x:v>role qualification</x:v>
      </x:c>
      <x:c r="F399" s="31" t="str"/>
      <x:c r="G399" s="31" t="str"/>
      <x:c r="H399" s="32" t="str"/>
      <x:c r="I399" s="31" t="str"/>
      <x:c r="J399" s="28" t="str">
        <x:f>IF(I399="","OPEN",IF(OR(F399="",G399="",H399=""),"FAIL","PASS"))</x:f>
        <x:v>OPEN</x:v>
      </x:c>
    </x:row>
    <x:row r="400">
      <x:c r="B400" s="28" t="str">
        <x:v>CQ-DA-099-2</x:v>
      </x:c>
      <x:c r="C400" s="28" t="str">
        <x:v>DA-099</x:v>
      </x:c>
      <x:c r="D400" s="28" t="n">
        <x:v>2</x:v>
      </x:c>
      <x:c r="E400" s="28" t="str">
        <x:v>site and rig qualification</x:v>
      </x:c>
      <x:c r="F400" s="31" t="str"/>
      <x:c r="G400" s="31" t="str"/>
      <x:c r="H400" s="32" t="str"/>
      <x:c r="I400" s="31" t="str"/>
      <x:c r="J400" s="28" t="str">
        <x:f>IF(I400="","OPEN",IF(OR(F400="",G400="",H400=""),"FAIL","PASS"))</x:f>
        <x:v>OPEN</x:v>
      </x:c>
    </x:row>
    <x:row r="401">
      <x:c r="B401" s="28" t="str">
        <x:v>CQ-DA-099-3</x:v>
      </x:c>
      <x:c r="C401" s="28" t="str">
        <x:v>DA-099</x:v>
      </x:c>
      <x:c r="D401" s="28" t="n">
        <x:v>3</x:v>
      </x:c>
      <x:c r="E401" s="28" t="str">
        <x:v>article-interface qualification</x:v>
      </x:c>
      <x:c r="F401" s="31" t="str"/>
      <x:c r="G401" s="31" t="str"/>
      <x:c r="H401" s="32" t="str"/>
      <x:c r="I401" s="31" t="str"/>
      <x:c r="J401" s="28" t="str">
        <x:f>IF(I401="","OPEN",IF(OR(F401="",G401="",H401=""),"FAIL","PASS"))</x:f>
        <x:v>OPEN</x:v>
      </x:c>
    </x:row>
    <x:row r="402">
      <x:c r="B402" s="28" t="str">
        <x:v>CQ-DA-099-4</x:v>
      </x:c>
      <x:c r="C402" s="28" t="str">
        <x:v>DA-099</x:v>
      </x:c>
      <x:c r="D402" s="28" t="n">
        <x:v>4</x:v>
      </x:c>
      <x:c r="E402" s="28" t="str">
        <x:v>incident and rescue qualification</x:v>
      </x:c>
      <x:c r="F402" s="31" t="str"/>
      <x:c r="G402" s="31" t="str"/>
      <x:c r="H402" s="32" t="str"/>
      <x:c r="I402" s="31" t="str"/>
      <x:c r="J402" s="28" t="str">
        <x:f>IF(I402="","OPEN",IF(OR(F402="",G402="",H402=""),"FAIL","PASS"))</x:f>
        <x:v>OPEN</x:v>
      </x:c>
    </x:row>
    <x:row r="403">
      <x:c r="B403" s="28" t="str">
        <x:v>CQ-DA-100-1</x:v>
      </x:c>
      <x:c r="C403" s="28" t="str">
        <x:v>DA-100</x:v>
      </x:c>
      <x:c r="D403" s="28" t="n">
        <x:v>1</x:v>
      </x:c>
      <x:c r="E403" s="28" t="str">
        <x:v>role qualification</x:v>
      </x:c>
      <x:c r="F403" s="31" t="str"/>
      <x:c r="G403" s="31" t="str"/>
      <x:c r="H403" s="32" t="str"/>
      <x:c r="I403" s="31" t="str"/>
      <x:c r="J403" s="28" t="str">
        <x:f>IF(I403="","OPEN",IF(OR(F403="",G403="",H403=""),"FAIL","PASS"))</x:f>
        <x:v>OPEN</x:v>
      </x:c>
    </x:row>
    <x:row r="404">
      <x:c r="B404" s="28" t="str">
        <x:v>CQ-DA-100-2</x:v>
      </x:c>
      <x:c r="C404" s="28" t="str">
        <x:v>DA-100</x:v>
      </x:c>
      <x:c r="D404" s="28" t="n">
        <x:v>2</x:v>
      </x:c>
      <x:c r="E404" s="28" t="str">
        <x:v>site and rig qualification</x:v>
      </x:c>
      <x:c r="F404" s="31" t="str"/>
      <x:c r="G404" s="31" t="str"/>
      <x:c r="H404" s="32" t="str"/>
      <x:c r="I404" s="31" t="str"/>
      <x:c r="J404" s="28" t="str">
        <x:f>IF(I404="","OPEN",IF(OR(F404="",G404="",H404=""),"FAIL","PASS"))</x:f>
        <x:v>OPEN</x:v>
      </x:c>
    </x:row>
    <x:row r="405">
      <x:c r="B405" s="28" t="str">
        <x:v>CQ-DA-100-3</x:v>
      </x:c>
      <x:c r="C405" s="28" t="str">
        <x:v>DA-100</x:v>
      </x:c>
      <x:c r="D405" s="28" t="n">
        <x:v>3</x:v>
      </x:c>
      <x:c r="E405" s="28" t="str">
        <x:v>article-interface qualification</x:v>
      </x:c>
      <x:c r="F405" s="31" t="str"/>
      <x:c r="G405" s="31" t="str"/>
      <x:c r="H405" s="32" t="str"/>
      <x:c r="I405" s="31" t="str"/>
      <x:c r="J405" s="28" t="str">
        <x:f>IF(I405="","OPEN",IF(OR(F405="",G405="",H405=""),"FAIL","PASS"))</x:f>
        <x:v>OPEN</x:v>
      </x:c>
    </x:row>
    <x:row r="406">
      <x:c r="B406" s="28" t="str">
        <x:v>CQ-DA-100-4</x:v>
      </x:c>
      <x:c r="C406" s="28" t="str">
        <x:v>DA-100</x:v>
      </x:c>
      <x:c r="D406" s="28" t="n">
        <x:v>4</x:v>
      </x:c>
      <x:c r="E406" s="28" t="str">
        <x:v>incident and rescue qualification</x:v>
      </x:c>
      <x:c r="F406" s="31" t="str"/>
      <x:c r="G406" s="31" t="str"/>
      <x:c r="H406" s="32" t="str"/>
      <x:c r="I406" s="31" t="str"/>
      <x:c r="J406" s="28" t="str">
        <x:f>IF(I406="","OPEN",IF(OR(F406="",G406="",H406=""),"FAIL","PASS"))</x:f>
        <x:v>OPEN</x:v>
      </x:c>
    </x:row>
    <x:row r="407">
      <x:c r="B407" s="28" t="str">
        <x:v>CQ-DA-101-1</x:v>
      </x:c>
      <x:c r="C407" s="28" t="str">
        <x:v>DA-101</x:v>
      </x:c>
      <x:c r="D407" s="28" t="n">
        <x:v>1</x:v>
      </x:c>
      <x:c r="E407" s="28" t="str">
        <x:v>role qualification</x:v>
      </x:c>
      <x:c r="F407" s="31" t="str"/>
      <x:c r="G407" s="31" t="str"/>
      <x:c r="H407" s="32" t="str"/>
      <x:c r="I407" s="31" t="str"/>
      <x:c r="J407" s="28" t="str">
        <x:f>IF(I407="","OPEN",IF(OR(F407="",G407="",H407=""),"FAIL","PASS"))</x:f>
        <x:v>OPEN</x:v>
      </x:c>
    </x:row>
    <x:row r="408">
      <x:c r="B408" s="28" t="str">
        <x:v>CQ-DA-101-2</x:v>
      </x:c>
      <x:c r="C408" s="28" t="str">
        <x:v>DA-101</x:v>
      </x:c>
      <x:c r="D408" s="28" t="n">
        <x:v>2</x:v>
      </x:c>
      <x:c r="E408" s="28" t="str">
        <x:v>site and rig qualification</x:v>
      </x:c>
      <x:c r="F408" s="31" t="str"/>
      <x:c r="G408" s="31" t="str"/>
      <x:c r="H408" s="32" t="str"/>
      <x:c r="I408" s="31" t="str"/>
      <x:c r="J408" s="28" t="str">
        <x:f>IF(I408="","OPEN",IF(OR(F408="",G408="",H408=""),"FAIL","PASS"))</x:f>
        <x:v>OPEN</x:v>
      </x:c>
    </x:row>
    <x:row r="409">
      <x:c r="B409" s="28" t="str">
        <x:v>CQ-DA-101-3</x:v>
      </x:c>
      <x:c r="C409" s="28" t="str">
        <x:v>DA-101</x:v>
      </x:c>
      <x:c r="D409" s="28" t="n">
        <x:v>3</x:v>
      </x:c>
      <x:c r="E409" s="28" t="str">
        <x:v>article-interface qualification</x:v>
      </x:c>
      <x:c r="F409" s="31" t="str"/>
      <x:c r="G409" s="31" t="str"/>
      <x:c r="H409" s="32" t="str"/>
      <x:c r="I409" s="31" t="str"/>
      <x:c r="J409" s="28" t="str">
        <x:f>IF(I409="","OPEN",IF(OR(F409="",G409="",H409=""),"FAIL","PASS"))</x:f>
        <x:v>OPEN</x:v>
      </x:c>
    </x:row>
    <x:row r="410">
      <x:c r="B410" s="28" t="str">
        <x:v>CQ-DA-101-4</x:v>
      </x:c>
      <x:c r="C410" s="28" t="str">
        <x:v>DA-101</x:v>
      </x:c>
      <x:c r="D410" s="28" t="n">
        <x:v>4</x:v>
      </x:c>
      <x:c r="E410" s="28" t="str">
        <x:v>incident and rescue qualification</x:v>
      </x:c>
      <x:c r="F410" s="31" t="str"/>
      <x:c r="G410" s="31" t="str"/>
      <x:c r="H410" s="32" t="str"/>
      <x:c r="I410" s="31" t="str"/>
      <x:c r="J410" s="28" t="str">
        <x:f>IF(I410="","OPEN",IF(OR(F410="",G410="",H410=""),"FAIL","PASS"))</x:f>
        <x:v>OPEN</x:v>
      </x:c>
    </x:row>
    <x:row r="411">
      <x:c r="B411" s="28" t="str">
        <x:v>CQ-DA-102-1</x:v>
      </x:c>
      <x:c r="C411" s="28" t="str">
        <x:v>DA-102</x:v>
      </x:c>
      <x:c r="D411" s="28" t="n">
        <x:v>1</x:v>
      </x:c>
      <x:c r="E411" s="28" t="str">
        <x:v>role qualification</x:v>
      </x:c>
      <x:c r="F411" s="31" t="str"/>
      <x:c r="G411" s="31" t="str"/>
      <x:c r="H411" s="32" t="str"/>
      <x:c r="I411" s="31" t="str"/>
      <x:c r="J411" s="28" t="str">
        <x:f>IF(I411="","OPEN",IF(OR(F411="",G411="",H411=""),"FAIL","PASS"))</x:f>
        <x:v>OPEN</x:v>
      </x:c>
    </x:row>
    <x:row r="412">
      <x:c r="B412" s="28" t="str">
        <x:v>CQ-DA-102-2</x:v>
      </x:c>
      <x:c r="C412" s="28" t="str">
        <x:v>DA-102</x:v>
      </x:c>
      <x:c r="D412" s="28" t="n">
        <x:v>2</x:v>
      </x:c>
      <x:c r="E412" s="28" t="str">
        <x:v>site and rig qualification</x:v>
      </x:c>
      <x:c r="F412" s="31" t="str"/>
      <x:c r="G412" s="31" t="str"/>
      <x:c r="H412" s="32" t="str"/>
      <x:c r="I412" s="31" t="str"/>
      <x:c r="J412" s="28" t="str">
        <x:f>IF(I412="","OPEN",IF(OR(F412="",G412="",H412=""),"FAIL","PASS"))</x:f>
        <x:v>OPEN</x:v>
      </x:c>
    </x:row>
    <x:row r="413">
      <x:c r="B413" s="28" t="str">
        <x:v>CQ-DA-102-3</x:v>
      </x:c>
      <x:c r="C413" s="28" t="str">
        <x:v>DA-102</x:v>
      </x:c>
      <x:c r="D413" s="28" t="n">
        <x:v>3</x:v>
      </x:c>
      <x:c r="E413" s="28" t="str">
        <x:v>article-interface qualification</x:v>
      </x:c>
      <x:c r="F413" s="31" t="str"/>
      <x:c r="G413" s="31" t="str"/>
      <x:c r="H413" s="32" t="str"/>
      <x:c r="I413" s="31" t="str"/>
      <x:c r="J413" s="28" t="str">
        <x:f>IF(I413="","OPEN",IF(OR(F413="",G413="",H413=""),"FAIL","PASS"))</x:f>
        <x:v>OPEN</x:v>
      </x:c>
    </x:row>
    <x:row r="414">
      <x:c r="B414" s="28" t="str">
        <x:v>CQ-DA-102-4</x:v>
      </x:c>
      <x:c r="C414" s="28" t="str">
        <x:v>DA-102</x:v>
      </x:c>
      <x:c r="D414" s="28" t="n">
        <x:v>4</x:v>
      </x:c>
      <x:c r="E414" s="28" t="str">
        <x:v>incident and rescue qualification</x:v>
      </x:c>
      <x:c r="F414" s="31" t="str"/>
      <x:c r="G414" s="31" t="str"/>
      <x:c r="H414" s="32" t="str"/>
      <x:c r="I414" s="31" t="str"/>
      <x:c r="J414" s="28" t="str">
        <x:f>IF(I414="","OPEN",IF(OR(F414="",G414="",H414=""),"FAIL","PASS"))</x:f>
        <x:v>OPEN</x:v>
      </x:c>
    </x:row>
    <x:row r="415">
      <x:c r="B415" s="28" t="str">
        <x:v>CQ-DA-103-1</x:v>
      </x:c>
      <x:c r="C415" s="28" t="str">
        <x:v>DA-103</x:v>
      </x:c>
      <x:c r="D415" s="28" t="n">
        <x:v>1</x:v>
      </x:c>
      <x:c r="E415" s="28" t="str">
        <x:v>role qualification</x:v>
      </x:c>
      <x:c r="F415" s="31" t="str"/>
      <x:c r="G415" s="31" t="str"/>
      <x:c r="H415" s="32" t="str"/>
      <x:c r="I415" s="31" t="str"/>
      <x:c r="J415" s="28" t="str">
        <x:f>IF(I415="","OPEN",IF(OR(F415="",G415="",H415=""),"FAIL","PASS"))</x:f>
        <x:v>OPEN</x:v>
      </x:c>
    </x:row>
    <x:row r="416">
      <x:c r="B416" s="28" t="str">
        <x:v>CQ-DA-103-2</x:v>
      </x:c>
      <x:c r="C416" s="28" t="str">
        <x:v>DA-103</x:v>
      </x:c>
      <x:c r="D416" s="28" t="n">
        <x:v>2</x:v>
      </x:c>
      <x:c r="E416" s="28" t="str">
        <x:v>site and rig qualification</x:v>
      </x:c>
      <x:c r="F416" s="31" t="str"/>
      <x:c r="G416" s="31" t="str"/>
      <x:c r="H416" s="32" t="str"/>
      <x:c r="I416" s="31" t="str"/>
      <x:c r="J416" s="28" t="str">
        <x:f>IF(I416="","OPEN",IF(OR(F416="",G416="",H416=""),"FAIL","PASS"))</x:f>
        <x:v>OPEN</x:v>
      </x:c>
    </x:row>
    <x:row r="417">
      <x:c r="B417" s="28" t="str">
        <x:v>CQ-DA-103-3</x:v>
      </x:c>
      <x:c r="C417" s="28" t="str">
        <x:v>DA-103</x:v>
      </x:c>
      <x:c r="D417" s="28" t="n">
        <x:v>3</x:v>
      </x:c>
      <x:c r="E417" s="28" t="str">
        <x:v>article-interface qualification</x:v>
      </x:c>
      <x:c r="F417" s="31" t="str"/>
      <x:c r="G417" s="31" t="str"/>
      <x:c r="H417" s="32" t="str"/>
      <x:c r="I417" s="31" t="str"/>
      <x:c r="J417" s="28" t="str">
        <x:f>IF(I417="","OPEN",IF(OR(F417="",G417="",H417=""),"FAIL","PASS"))</x:f>
        <x:v>OPEN</x:v>
      </x:c>
    </x:row>
    <x:row r="418">
      <x:c r="B418" s="28" t="str">
        <x:v>CQ-DA-103-4</x:v>
      </x:c>
      <x:c r="C418" s="28" t="str">
        <x:v>DA-103</x:v>
      </x:c>
      <x:c r="D418" s="28" t="n">
        <x:v>4</x:v>
      </x:c>
      <x:c r="E418" s="28" t="str">
        <x:v>incident and rescue qualification</x:v>
      </x:c>
      <x:c r="F418" s="31" t="str"/>
      <x:c r="G418" s="31" t="str"/>
      <x:c r="H418" s="32" t="str"/>
      <x:c r="I418" s="31" t="str"/>
      <x:c r="J418" s="28" t="str">
        <x:f>IF(I418="","OPEN",IF(OR(F418="",G418="",H418=""),"FAIL","PASS"))</x:f>
        <x:v>OPEN</x:v>
      </x:c>
    </x:row>
    <x:row r="419">
      <x:c r="B419" s="28" t="str">
        <x:v>CQ-DA-104-1</x:v>
      </x:c>
      <x:c r="C419" s="28" t="str">
        <x:v>DA-104</x:v>
      </x:c>
      <x:c r="D419" s="28" t="n">
        <x:v>1</x:v>
      </x:c>
      <x:c r="E419" s="28" t="str">
        <x:v>role qualification</x:v>
      </x:c>
      <x:c r="F419" s="31" t="str"/>
      <x:c r="G419" s="31" t="str"/>
      <x:c r="H419" s="32" t="str"/>
      <x:c r="I419" s="31" t="str"/>
      <x:c r="J419" s="28" t="str">
        <x:f>IF(I419="","OPEN",IF(OR(F419="",G419="",H419=""),"FAIL","PASS"))</x:f>
        <x:v>OPEN</x:v>
      </x:c>
    </x:row>
    <x:row r="420">
      <x:c r="B420" s="28" t="str">
        <x:v>CQ-DA-104-2</x:v>
      </x:c>
      <x:c r="C420" s="28" t="str">
        <x:v>DA-104</x:v>
      </x:c>
      <x:c r="D420" s="28" t="n">
        <x:v>2</x:v>
      </x:c>
      <x:c r="E420" s="28" t="str">
        <x:v>site and rig qualification</x:v>
      </x:c>
      <x:c r="F420" s="31" t="str"/>
      <x:c r="G420" s="31" t="str"/>
      <x:c r="H420" s="32" t="str"/>
      <x:c r="I420" s="31" t="str"/>
      <x:c r="J420" s="28" t="str">
        <x:f>IF(I420="","OPEN",IF(OR(F420="",G420="",H420=""),"FAIL","PASS"))</x:f>
        <x:v>OPEN</x:v>
      </x:c>
    </x:row>
    <x:row r="421">
      <x:c r="B421" s="28" t="str">
        <x:v>CQ-DA-104-3</x:v>
      </x:c>
      <x:c r="C421" s="28" t="str">
        <x:v>DA-104</x:v>
      </x:c>
      <x:c r="D421" s="28" t="n">
        <x:v>3</x:v>
      </x:c>
      <x:c r="E421" s="28" t="str">
        <x:v>article-interface qualification</x:v>
      </x:c>
      <x:c r="F421" s="31" t="str"/>
      <x:c r="G421" s="31" t="str"/>
      <x:c r="H421" s="32" t="str"/>
      <x:c r="I421" s="31" t="str"/>
      <x:c r="J421" s="28" t="str">
        <x:f>IF(I421="","OPEN",IF(OR(F421="",G421="",H421=""),"FAIL","PASS"))</x:f>
        <x:v>OPEN</x:v>
      </x:c>
    </x:row>
    <x:row r="422">
      <x:c r="B422" s="28" t="str">
        <x:v>CQ-DA-104-4</x:v>
      </x:c>
      <x:c r="C422" s="28" t="str">
        <x:v>DA-104</x:v>
      </x:c>
      <x:c r="D422" s="28" t="n">
        <x:v>4</x:v>
      </x:c>
      <x:c r="E422" s="28" t="str">
        <x:v>incident and rescue qualification</x:v>
      </x:c>
      <x:c r="F422" s="31" t="str"/>
      <x:c r="G422" s="31" t="str"/>
      <x:c r="H422" s="32" t="str"/>
      <x:c r="I422" s="31" t="str"/>
      <x:c r="J422" s="28" t="str">
        <x:f>IF(I422="","OPEN",IF(OR(F422="",G422="",H422=""),"FAIL","PASS"))</x:f>
        <x:v>OPEN</x:v>
      </x:c>
    </x:row>
    <x:row r="423">
      <x:c r="B423" s="28" t="str">
        <x:v>CQ-DA-105-1</x:v>
      </x:c>
      <x:c r="C423" s="28" t="str">
        <x:v>DA-105</x:v>
      </x:c>
      <x:c r="D423" s="28" t="n">
        <x:v>1</x:v>
      </x:c>
      <x:c r="E423" s="28" t="str">
        <x:v>role qualification</x:v>
      </x:c>
      <x:c r="F423" s="31" t="str"/>
      <x:c r="G423" s="31" t="str"/>
      <x:c r="H423" s="32" t="str"/>
      <x:c r="I423" s="31" t="str"/>
      <x:c r="J423" s="28" t="str">
        <x:f>IF(I423="","OPEN",IF(OR(F423="",G423="",H423=""),"FAIL","PASS"))</x:f>
        <x:v>OPEN</x:v>
      </x:c>
    </x:row>
    <x:row r="424">
      <x:c r="B424" s="28" t="str">
        <x:v>CQ-DA-105-2</x:v>
      </x:c>
      <x:c r="C424" s="28" t="str">
        <x:v>DA-105</x:v>
      </x:c>
      <x:c r="D424" s="28" t="n">
        <x:v>2</x:v>
      </x:c>
      <x:c r="E424" s="28" t="str">
        <x:v>site and rig qualification</x:v>
      </x:c>
      <x:c r="F424" s="31" t="str"/>
      <x:c r="G424" s="31" t="str"/>
      <x:c r="H424" s="32" t="str"/>
      <x:c r="I424" s="31" t="str"/>
      <x:c r="J424" s="28" t="str">
        <x:f>IF(I424="","OPEN",IF(OR(F424="",G424="",H424=""),"FAIL","PASS"))</x:f>
        <x:v>OPEN</x:v>
      </x:c>
    </x:row>
    <x:row r="425">
      <x:c r="B425" s="28" t="str">
        <x:v>CQ-DA-105-3</x:v>
      </x:c>
      <x:c r="C425" s="28" t="str">
        <x:v>DA-105</x:v>
      </x:c>
      <x:c r="D425" s="28" t="n">
        <x:v>3</x:v>
      </x:c>
      <x:c r="E425" s="28" t="str">
        <x:v>article-interface qualification</x:v>
      </x:c>
      <x:c r="F425" s="31" t="str"/>
      <x:c r="G425" s="31" t="str"/>
      <x:c r="H425" s="32" t="str"/>
      <x:c r="I425" s="31" t="str"/>
      <x:c r="J425" s="28" t="str">
        <x:f>IF(I425="","OPEN",IF(OR(F425="",G425="",H425=""),"FAIL","PASS"))</x:f>
        <x:v>OPEN</x:v>
      </x:c>
    </x:row>
    <x:row r="426">
      <x:c r="B426" s="28" t="str">
        <x:v>CQ-DA-105-4</x:v>
      </x:c>
      <x:c r="C426" s="28" t="str">
        <x:v>DA-105</x:v>
      </x:c>
      <x:c r="D426" s="28" t="n">
        <x:v>4</x:v>
      </x:c>
      <x:c r="E426" s="28" t="str">
        <x:v>incident and rescue qualification</x:v>
      </x:c>
      <x:c r="F426" s="31" t="str"/>
      <x:c r="G426" s="31" t="str"/>
      <x:c r="H426" s="32" t="str"/>
      <x:c r="I426" s="31" t="str"/>
      <x:c r="J426" s="28" t="str">
        <x:f>IF(I426="","OPEN",IF(OR(F426="",G426="",H426=""),"FAIL","PASS"))</x:f>
        <x:v>OPEN</x:v>
      </x:c>
    </x:row>
    <x:row r="427">
      <x:c r="B427" s="28" t="str">
        <x:v>CQ-DA-106-1</x:v>
      </x:c>
      <x:c r="C427" s="28" t="str">
        <x:v>DA-106</x:v>
      </x:c>
      <x:c r="D427" s="28" t="n">
        <x:v>1</x:v>
      </x:c>
      <x:c r="E427" s="28" t="str">
        <x:v>role qualification</x:v>
      </x:c>
      <x:c r="F427" s="31" t="str"/>
      <x:c r="G427" s="31" t="str"/>
      <x:c r="H427" s="32" t="str"/>
      <x:c r="I427" s="31" t="str"/>
      <x:c r="J427" s="28" t="str">
        <x:f>IF(I427="","OPEN",IF(OR(F427="",G427="",H427=""),"FAIL","PASS"))</x:f>
        <x:v>OPEN</x:v>
      </x:c>
    </x:row>
    <x:row r="428">
      <x:c r="B428" s="28" t="str">
        <x:v>CQ-DA-106-2</x:v>
      </x:c>
      <x:c r="C428" s="28" t="str">
        <x:v>DA-106</x:v>
      </x:c>
      <x:c r="D428" s="28" t="n">
        <x:v>2</x:v>
      </x:c>
      <x:c r="E428" s="28" t="str">
        <x:v>site and rig qualification</x:v>
      </x:c>
      <x:c r="F428" s="31" t="str"/>
      <x:c r="G428" s="31" t="str"/>
      <x:c r="H428" s="32" t="str"/>
      <x:c r="I428" s="31" t="str"/>
      <x:c r="J428" s="28" t="str">
        <x:f>IF(I428="","OPEN",IF(OR(F428="",G428="",H428=""),"FAIL","PASS"))</x:f>
        <x:v>OPEN</x:v>
      </x:c>
    </x:row>
    <x:row r="429">
      <x:c r="B429" s="28" t="str">
        <x:v>CQ-DA-106-3</x:v>
      </x:c>
      <x:c r="C429" s="28" t="str">
        <x:v>DA-106</x:v>
      </x:c>
      <x:c r="D429" s="28" t="n">
        <x:v>3</x:v>
      </x:c>
      <x:c r="E429" s="28" t="str">
        <x:v>article-interface qualification</x:v>
      </x:c>
      <x:c r="F429" s="31" t="str"/>
      <x:c r="G429" s="31" t="str"/>
      <x:c r="H429" s="32" t="str"/>
      <x:c r="I429" s="31" t="str"/>
      <x:c r="J429" s="28" t="str">
        <x:f>IF(I429="","OPEN",IF(OR(F429="",G429="",H429=""),"FAIL","PASS"))</x:f>
        <x:v>OPEN</x:v>
      </x:c>
    </x:row>
    <x:row r="430">
      <x:c r="B430" s="28" t="str">
        <x:v>CQ-DA-106-4</x:v>
      </x:c>
      <x:c r="C430" s="28" t="str">
        <x:v>DA-106</x:v>
      </x:c>
      <x:c r="D430" s="28" t="n">
        <x:v>4</x:v>
      </x:c>
      <x:c r="E430" s="28" t="str">
        <x:v>incident and rescue qualification</x:v>
      </x:c>
      <x:c r="F430" s="31" t="str"/>
      <x:c r="G430" s="31" t="str"/>
      <x:c r="H430" s="32" t="str"/>
      <x:c r="I430" s="31" t="str"/>
      <x:c r="J430" s="28" t="str">
        <x:f>IF(I430="","OPEN",IF(OR(F430="",G430="",H430=""),"FAIL","PASS"))</x:f>
        <x:v>OPEN</x:v>
      </x:c>
    </x:row>
    <x:row r="431">
      <x:c r="B431" s="28" t="str">
        <x:v>CQ-DA-107-1</x:v>
      </x:c>
      <x:c r="C431" s="28" t="str">
        <x:v>DA-107</x:v>
      </x:c>
      <x:c r="D431" s="28" t="n">
        <x:v>1</x:v>
      </x:c>
      <x:c r="E431" s="28" t="str">
        <x:v>role qualification</x:v>
      </x:c>
      <x:c r="F431" s="31" t="str"/>
      <x:c r="G431" s="31" t="str"/>
      <x:c r="H431" s="32" t="str"/>
      <x:c r="I431" s="31" t="str"/>
      <x:c r="J431" s="28" t="str">
        <x:f>IF(I431="","OPEN",IF(OR(F431="",G431="",H431=""),"FAIL","PASS"))</x:f>
        <x:v>OPEN</x:v>
      </x:c>
    </x:row>
    <x:row r="432">
      <x:c r="B432" s="28" t="str">
        <x:v>CQ-DA-107-2</x:v>
      </x:c>
      <x:c r="C432" s="28" t="str">
        <x:v>DA-107</x:v>
      </x:c>
      <x:c r="D432" s="28" t="n">
        <x:v>2</x:v>
      </x:c>
      <x:c r="E432" s="28" t="str">
        <x:v>site and rig qualification</x:v>
      </x:c>
      <x:c r="F432" s="31" t="str"/>
      <x:c r="G432" s="31" t="str"/>
      <x:c r="H432" s="32" t="str"/>
      <x:c r="I432" s="31" t="str"/>
      <x:c r="J432" s="28" t="str">
        <x:f>IF(I432="","OPEN",IF(OR(F432="",G432="",H432=""),"FAIL","PASS"))</x:f>
        <x:v>OPEN</x:v>
      </x:c>
    </x:row>
    <x:row r="433">
      <x:c r="B433" s="28" t="str">
        <x:v>CQ-DA-107-3</x:v>
      </x:c>
      <x:c r="C433" s="28" t="str">
        <x:v>DA-107</x:v>
      </x:c>
      <x:c r="D433" s="28" t="n">
        <x:v>3</x:v>
      </x:c>
      <x:c r="E433" s="28" t="str">
        <x:v>article-interface qualification</x:v>
      </x:c>
      <x:c r="F433" s="31" t="str"/>
      <x:c r="G433" s="31" t="str"/>
      <x:c r="H433" s="32" t="str"/>
      <x:c r="I433" s="31" t="str"/>
      <x:c r="J433" s="28" t="str">
        <x:f>IF(I433="","OPEN",IF(OR(F433="",G433="",H433=""),"FAIL","PASS"))</x:f>
        <x:v>OPEN</x:v>
      </x:c>
    </x:row>
    <x:row r="434">
      <x:c r="B434" s="28" t="str">
        <x:v>CQ-DA-107-4</x:v>
      </x:c>
      <x:c r="C434" s="28" t="str">
        <x:v>DA-107</x:v>
      </x:c>
      <x:c r="D434" s="28" t="n">
        <x:v>4</x:v>
      </x:c>
      <x:c r="E434" s="28" t="str">
        <x:v>incident and rescue qualification</x:v>
      </x:c>
      <x:c r="F434" s="31" t="str"/>
      <x:c r="G434" s="31" t="str"/>
      <x:c r="H434" s="32" t="str"/>
      <x:c r="I434" s="31" t="str"/>
      <x:c r="J434" s="28" t="str">
        <x:f>IF(I434="","OPEN",IF(OR(F434="",G434="",H434=""),"FAIL","PASS"))</x:f>
        <x:v>OPEN</x:v>
      </x:c>
    </x:row>
    <x:row r="435">
      <x:c r="B435" s="28" t="str">
        <x:v>CQ-DA-108-1</x:v>
      </x:c>
      <x:c r="C435" s="28" t="str">
        <x:v>DA-108</x:v>
      </x:c>
      <x:c r="D435" s="28" t="n">
        <x:v>1</x:v>
      </x:c>
      <x:c r="E435" s="28" t="str">
        <x:v>role qualification</x:v>
      </x:c>
      <x:c r="F435" s="31" t="str"/>
      <x:c r="G435" s="31" t="str"/>
      <x:c r="H435" s="32" t="str"/>
      <x:c r="I435" s="31" t="str"/>
      <x:c r="J435" s="28" t="str">
        <x:f>IF(I435="","OPEN",IF(OR(F435="",G435="",H435=""),"FAIL","PASS"))</x:f>
        <x:v>OPEN</x:v>
      </x:c>
    </x:row>
    <x:row r="436">
      <x:c r="B436" s="28" t="str">
        <x:v>CQ-DA-108-2</x:v>
      </x:c>
      <x:c r="C436" s="28" t="str">
        <x:v>DA-108</x:v>
      </x:c>
      <x:c r="D436" s="28" t="n">
        <x:v>2</x:v>
      </x:c>
      <x:c r="E436" s="28" t="str">
        <x:v>site and rig qualification</x:v>
      </x:c>
      <x:c r="F436" s="31" t="str"/>
      <x:c r="G436" s="31" t="str"/>
      <x:c r="H436" s="32" t="str"/>
      <x:c r="I436" s="31" t="str"/>
      <x:c r="J436" s="28" t="str">
        <x:f>IF(I436="","OPEN",IF(OR(F436="",G436="",H436=""),"FAIL","PASS"))</x:f>
        <x:v>OPEN</x:v>
      </x:c>
    </x:row>
    <x:row r="437">
      <x:c r="B437" s="28" t="str">
        <x:v>CQ-DA-108-3</x:v>
      </x:c>
      <x:c r="C437" s="28" t="str">
        <x:v>DA-108</x:v>
      </x:c>
      <x:c r="D437" s="28" t="n">
        <x:v>3</x:v>
      </x:c>
      <x:c r="E437" s="28" t="str">
        <x:v>article-interface qualification</x:v>
      </x:c>
      <x:c r="F437" s="31" t="str"/>
      <x:c r="G437" s="31" t="str"/>
      <x:c r="H437" s="32" t="str"/>
      <x:c r="I437" s="31" t="str"/>
      <x:c r="J437" s="28" t="str">
        <x:f>IF(I437="","OPEN",IF(OR(F437="",G437="",H437=""),"FAIL","PASS"))</x:f>
        <x:v>OPEN</x:v>
      </x:c>
    </x:row>
    <x:row r="438">
      <x:c r="B438" s="28" t="str">
        <x:v>CQ-DA-108-4</x:v>
      </x:c>
      <x:c r="C438" s="28" t="str">
        <x:v>DA-108</x:v>
      </x:c>
      <x:c r="D438" s="28" t="n">
        <x:v>4</x:v>
      </x:c>
      <x:c r="E438" s="28" t="str">
        <x:v>incident and rescue qualification</x:v>
      </x:c>
      <x:c r="F438" s="31" t="str"/>
      <x:c r="G438" s="31" t="str"/>
      <x:c r="H438" s="32" t="str"/>
      <x:c r="I438" s="31" t="str"/>
      <x:c r="J438" s="28" t="str">
        <x:f>IF(I438="","OPEN",IF(OR(F438="",G438="",H438=""),"FAIL","PASS"))</x:f>
        <x:v>OPEN</x:v>
      </x:c>
    </x:row>
    <x:row r="439">
      <x:c r="B439" s="28" t="str">
        <x:v>CQ-DA-109-1</x:v>
      </x:c>
      <x:c r="C439" s="28" t="str">
        <x:v>DA-109</x:v>
      </x:c>
      <x:c r="D439" s="28" t="n">
        <x:v>1</x:v>
      </x:c>
      <x:c r="E439" s="28" t="str">
        <x:v>role qualification</x:v>
      </x:c>
      <x:c r="F439" s="31" t="str"/>
      <x:c r="G439" s="31" t="str"/>
      <x:c r="H439" s="32" t="str"/>
      <x:c r="I439" s="31" t="str"/>
      <x:c r="J439" s="28" t="str">
        <x:f>IF(I439="","OPEN",IF(OR(F439="",G439="",H439=""),"FAIL","PASS"))</x:f>
        <x:v>OPEN</x:v>
      </x:c>
    </x:row>
    <x:row r="440">
      <x:c r="B440" s="28" t="str">
        <x:v>CQ-DA-109-2</x:v>
      </x:c>
      <x:c r="C440" s="28" t="str">
        <x:v>DA-109</x:v>
      </x:c>
      <x:c r="D440" s="28" t="n">
        <x:v>2</x:v>
      </x:c>
      <x:c r="E440" s="28" t="str">
        <x:v>site and rig qualification</x:v>
      </x:c>
      <x:c r="F440" s="31" t="str"/>
      <x:c r="G440" s="31" t="str"/>
      <x:c r="H440" s="32" t="str"/>
      <x:c r="I440" s="31" t="str"/>
      <x:c r="J440" s="28" t="str">
        <x:f>IF(I440="","OPEN",IF(OR(F440="",G440="",H440=""),"FAIL","PASS"))</x:f>
        <x:v>OPEN</x:v>
      </x:c>
    </x:row>
    <x:row r="441">
      <x:c r="B441" s="28" t="str">
        <x:v>CQ-DA-109-3</x:v>
      </x:c>
      <x:c r="C441" s="28" t="str">
        <x:v>DA-109</x:v>
      </x:c>
      <x:c r="D441" s="28" t="n">
        <x:v>3</x:v>
      </x:c>
      <x:c r="E441" s="28" t="str">
        <x:v>article-interface qualification</x:v>
      </x:c>
      <x:c r="F441" s="31" t="str"/>
      <x:c r="G441" s="31" t="str"/>
      <x:c r="H441" s="32" t="str"/>
      <x:c r="I441" s="31" t="str"/>
      <x:c r="J441" s="28" t="str">
        <x:f>IF(I441="","OPEN",IF(OR(F441="",G441="",H441=""),"FAIL","PASS"))</x:f>
        <x:v>OPEN</x:v>
      </x:c>
    </x:row>
    <x:row r="442">
      <x:c r="B442" s="28" t="str">
        <x:v>CQ-DA-109-4</x:v>
      </x:c>
      <x:c r="C442" s="28" t="str">
        <x:v>DA-109</x:v>
      </x:c>
      <x:c r="D442" s="28" t="n">
        <x:v>4</x:v>
      </x:c>
      <x:c r="E442" s="28" t="str">
        <x:v>incident and rescue qualification</x:v>
      </x:c>
      <x:c r="F442" s="31" t="str"/>
      <x:c r="G442" s="31" t="str"/>
      <x:c r="H442" s="32" t="str"/>
      <x:c r="I442" s="31" t="str"/>
      <x:c r="J442" s="28" t="str">
        <x:f>IF(I442="","OPEN",IF(OR(F442="",G442="",H442=""),"FAIL","PASS"))</x:f>
        <x:v>OPEN</x:v>
      </x:c>
    </x:row>
    <x:row r="443">
      <x:c r="B443" s="28" t="str">
        <x:v>CQ-DA-110-1</x:v>
      </x:c>
      <x:c r="C443" s="28" t="str">
        <x:v>DA-110</x:v>
      </x:c>
      <x:c r="D443" s="28" t="n">
        <x:v>1</x:v>
      </x:c>
      <x:c r="E443" s="28" t="str">
        <x:v>role qualification</x:v>
      </x:c>
      <x:c r="F443" s="31" t="str"/>
      <x:c r="G443" s="31" t="str"/>
      <x:c r="H443" s="32" t="str"/>
      <x:c r="I443" s="31" t="str"/>
      <x:c r="J443" s="28" t="str">
        <x:f>IF(I443="","OPEN",IF(OR(F443="",G443="",H443=""),"FAIL","PASS"))</x:f>
        <x:v>OPEN</x:v>
      </x:c>
    </x:row>
    <x:row r="444">
      <x:c r="B444" s="28" t="str">
        <x:v>CQ-DA-110-2</x:v>
      </x:c>
      <x:c r="C444" s="28" t="str">
        <x:v>DA-110</x:v>
      </x:c>
      <x:c r="D444" s="28" t="n">
        <x:v>2</x:v>
      </x:c>
      <x:c r="E444" s="28" t="str">
        <x:v>site and rig qualification</x:v>
      </x:c>
      <x:c r="F444" s="31" t="str"/>
      <x:c r="G444" s="31" t="str"/>
      <x:c r="H444" s="32" t="str"/>
      <x:c r="I444" s="31" t="str"/>
      <x:c r="J444" s="28" t="str">
        <x:f>IF(I444="","OPEN",IF(OR(F444="",G444="",H444=""),"FAIL","PASS"))</x:f>
        <x:v>OPEN</x:v>
      </x:c>
    </x:row>
    <x:row r="445">
      <x:c r="B445" s="28" t="str">
        <x:v>CQ-DA-110-3</x:v>
      </x:c>
      <x:c r="C445" s="28" t="str">
        <x:v>DA-110</x:v>
      </x:c>
      <x:c r="D445" s="28" t="n">
        <x:v>3</x:v>
      </x:c>
      <x:c r="E445" s="28" t="str">
        <x:v>article-interface qualification</x:v>
      </x:c>
      <x:c r="F445" s="31" t="str"/>
      <x:c r="G445" s="31" t="str"/>
      <x:c r="H445" s="32" t="str"/>
      <x:c r="I445" s="31" t="str"/>
      <x:c r="J445" s="28" t="str">
        <x:f>IF(I445="","OPEN",IF(OR(F445="",G445="",H445=""),"FAIL","PASS"))</x:f>
        <x:v>OPEN</x:v>
      </x:c>
    </x:row>
    <x:row r="446">
      <x:c r="B446" s="28" t="str">
        <x:v>CQ-DA-110-4</x:v>
      </x:c>
      <x:c r="C446" s="28" t="str">
        <x:v>DA-110</x:v>
      </x:c>
      <x:c r="D446" s="28" t="n">
        <x:v>4</x:v>
      </x:c>
      <x:c r="E446" s="28" t="str">
        <x:v>incident and rescue qualification</x:v>
      </x:c>
      <x:c r="F446" s="31" t="str"/>
      <x:c r="G446" s="31" t="str"/>
      <x:c r="H446" s="32" t="str"/>
      <x:c r="I446" s="31" t="str"/>
      <x:c r="J446" s="28" t="str">
        <x:f>IF(I446="","OPEN",IF(OR(F446="",G446="",H446=""),"FAIL","PASS"))</x:f>
        <x:v>OPEN</x:v>
      </x:c>
    </x:row>
    <x:row r="447">
      <x:c r="B447" s="28" t="str">
        <x:v>CQ-DA-111-1</x:v>
      </x:c>
      <x:c r="C447" s="28" t="str">
        <x:v>DA-111</x:v>
      </x:c>
      <x:c r="D447" s="28" t="n">
        <x:v>1</x:v>
      </x:c>
      <x:c r="E447" s="28" t="str">
        <x:v>role qualification</x:v>
      </x:c>
      <x:c r="F447" s="31" t="str"/>
      <x:c r="G447" s="31" t="str"/>
      <x:c r="H447" s="32" t="str"/>
      <x:c r="I447" s="31" t="str"/>
      <x:c r="J447" s="28" t="str">
        <x:f>IF(I447="","OPEN",IF(OR(F447="",G447="",H447=""),"FAIL","PASS"))</x:f>
        <x:v>OPEN</x:v>
      </x:c>
    </x:row>
    <x:row r="448">
      <x:c r="B448" s="28" t="str">
        <x:v>CQ-DA-111-2</x:v>
      </x:c>
      <x:c r="C448" s="28" t="str">
        <x:v>DA-111</x:v>
      </x:c>
      <x:c r="D448" s="28" t="n">
        <x:v>2</x:v>
      </x:c>
      <x:c r="E448" s="28" t="str">
        <x:v>site and rig qualification</x:v>
      </x:c>
      <x:c r="F448" s="31" t="str"/>
      <x:c r="G448" s="31" t="str"/>
      <x:c r="H448" s="32" t="str"/>
      <x:c r="I448" s="31" t="str"/>
      <x:c r="J448" s="28" t="str">
        <x:f>IF(I448="","OPEN",IF(OR(F448="",G448="",H448=""),"FAIL","PASS"))</x:f>
        <x:v>OPEN</x:v>
      </x:c>
    </x:row>
    <x:row r="449">
      <x:c r="B449" s="28" t="str">
        <x:v>CQ-DA-111-3</x:v>
      </x:c>
      <x:c r="C449" s="28" t="str">
        <x:v>DA-111</x:v>
      </x:c>
      <x:c r="D449" s="28" t="n">
        <x:v>3</x:v>
      </x:c>
      <x:c r="E449" s="28" t="str">
        <x:v>article-interface qualification</x:v>
      </x:c>
      <x:c r="F449" s="31" t="str"/>
      <x:c r="G449" s="31" t="str"/>
      <x:c r="H449" s="32" t="str"/>
      <x:c r="I449" s="31" t="str"/>
      <x:c r="J449" s="28" t="str">
        <x:f>IF(I449="","OPEN",IF(OR(F449="",G449="",H449=""),"FAIL","PASS"))</x:f>
        <x:v>OPEN</x:v>
      </x:c>
    </x:row>
    <x:row r="450">
      <x:c r="B450" s="28" t="str">
        <x:v>CQ-DA-111-4</x:v>
      </x:c>
      <x:c r="C450" s="28" t="str">
        <x:v>DA-111</x:v>
      </x:c>
      <x:c r="D450" s="28" t="n">
        <x:v>4</x:v>
      </x:c>
      <x:c r="E450" s="28" t="str">
        <x:v>incident and rescue qualification</x:v>
      </x:c>
      <x:c r="F450" s="31" t="str"/>
      <x:c r="G450" s="31" t="str"/>
      <x:c r="H450" s="32" t="str"/>
      <x:c r="I450" s="31" t="str"/>
      <x:c r="J450" s="28" t="str">
        <x:f>IF(I450="","OPEN",IF(OR(F450="",G450="",H450=""),"FAIL","PASS"))</x:f>
        <x:v>OPEN</x:v>
      </x:c>
    </x:row>
    <x:row r="451">
      <x:c r="B451" s="28" t="str">
        <x:v>CQ-DA-112-1</x:v>
      </x:c>
      <x:c r="C451" s="28" t="str">
        <x:v>DA-112</x:v>
      </x:c>
      <x:c r="D451" s="28" t="n">
        <x:v>1</x:v>
      </x:c>
      <x:c r="E451" s="28" t="str">
        <x:v>role qualification</x:v>
      </x:c>
      <x:c r="F451" s="31" t="str"/>
      <x:c r="G451" s="31" t="str"/>
      <x:c r="H451" s="32" t="str"/>
      <x:c r="I451" s="31" t="str"/>
      <x:c r="J451" s="28" t="str">
        <x:f>IF(I451="","OPEN",IF(OR(F451="",G451="",H451=""),"FAIL","PASS"))</x:f>
        <x:v>OPEN</x:v>
      </x:c>
    </x:row>
    <x:row r="452">
      <x:c r="B452" s="28" t="str">
        <x:v>CQ-DA-112-2</x:v>
      </x:c>
      <x:c r="C452" s="28" t="str">
        <x:v>DA-112</x:v>
      </x:c>
      <x:c r="D452" s="28" t="n">
        <x:v>2</x:v>
      </x:c>
      <x:c r="E452" s="28" t="str">
        <x:v>site and rig qualification</x:v>
      </x:c>
      <x:c r="F452" s="31" t="str"/>
      <x:c r="G452" s="31" t="str"/>
      <x:c r="H452" s="32" t="str"/>
      <x:c r="I452" s="31" t="str"/>
      <x:c r="J452" s="28" t="str">
        <x:f>IF(I452="","OPEN",IF(OR(F452="",G452="",H452=""),"FAIL","PASS"))</x:f>
        <x:v>OPEN</x:v>
      </x:c>
    </x:row>
    <x:row r="453">
      <x:c r="B453" s="28" t="str">
        <x:v>CQ-DA-112-3</x:v>
      </x:c>
      <x:c r="C453" s="28" t="str">
        <x:v>DA-112</x:v>
      </x:c>
      <x:c r="D453" s="28" t="n">
        <x:v>3</x:v>
      </x:c>
      <x:c r="E453" s="28" t="str">
        <x:v>article-interface qualification</x:v>
      </x:c>
      <x:c r="F453" s="31" t="str"/>
      <x:c r="G453" s="31" t="str"/>
      <x:c r="H453" s="32" t="str"/>
      <x:c r="I453" s="31" t="str"/>
      <x:c r="J453" s="28" t="str">
        <x:f>IF(I453="","OPEN",IF(OR(F453="",G453="",H453=""),"FAIL","PASS"))</x:f>
        <x:v>OPEN</x:v>
      </x:c>
    </x:row>
    <x:row r="454">
      <x:c r="B454" s="28" t="str">
        <x:v>CQ-DA-112-4</x:v>
      </x:c>
      <x:c r="C454" s="28" t="str">
        <x:v>DA-112</x:v>
      </x:c>
      <x:c r="D454" s="28" t="n">
        <x:v>4</x:v>
      </x:c>
      <x:c r="E454" s="28" t="str">
        <x:v>incident and rescue qualification</x:v>
      </x:c>
      <x:c r="F454" s="31" t="str"/>
      <x:c r="G454" s="31" t="str"/>
      <x:c r="H454" s="32" t="str"/>
      <x:c r="I454" s="31" t="str"/>
      <x:c r="J454" s="28" t="str">
        <x:f>IF(I454="","OPEN",IF(OR(F454="",G454="",H454=""),"FAIL","PASS"))</x:f>
        <x:v>OPEN</x:v>
      </x:c>
    </x:row>
    <x:row r="455">
      <x:c r="B455" s="28" t="str">
        <x:v>CQ-DA-113-1</x:v>
      </x:c>
      <x:c r="C455" s="28" t="str">
        <x:v>DA-113</x:v>
      </x:c>
      <x:c r="D455" s="28" t="n">
        <x:v>1</x:v>
      </x:c>
      <x:c r="E455" s="28" t="str">
        <x:v>role qualification</x:v>
      </x:c>
      <x:c r="F455" s="31" t="str"/>
      <x:c r="G455" s="31" t="str"/>
      <x:c r="H455" s="32" t="str"/>
      <x:c r="I455" s="31" t="str"/>
      <x:c r="J455" s="28" t="str">
        <x:f>IF(I455="","OPEN",IF(OR(F455="",G455="",H455=""),"FAIL","PASS"))</x:f>
        <x:v>OPEN</x:v>
      </x:c>
    </x:row>
    <x:row r="456">
      <x:c r="B456" s="28" t="str">
        <x:v>CQ-DA-113-2</x:v>
      </x:c>
      <x:c r="C456" s="28" t="str">
        <x:v>DA-113</x:v>
      </x:c>
      <x:c r="D456" s="28" t="n">
        <x:v>2</x:v>
      </x:c>
      <x:c r="E456" s="28" t="str">
        <x:v>site and rig qualification</x:v>
      </x:c>
      <x:c r="F456" s="31" t="str"/>
      <x:c r="G456" s="31" t="str"/>
      <x:c r="H456" s="32" t="str"/>
      <x:c r="I456" s="31" t="str"/>
      <x:c r="J456" s="28" t="str">
        <x:f>IF(I456="","OPEN",IF(OR(F456="",G456="",H456=""),"FAIL","PASS"))</x:f>
        <x:v>OPEN</x:v>
      </x:c>
    </x:row>
    <x:row r="457">
      <x:c r="B457" s="28" t="str">
        <x:v>CQ-DA-113-3</x:v>
      </x:c>
      <x:c r="C457" s="28" t="str">
        <x:v>DA-113</x:v>
      </x:c>
      <x:c r="D457" s="28" t="n">
        <x:v>3</x:v>
      </x:c>
      <x:c r="E457" s="28" t="str">
        <x:v>article-interface qualification</x:v>
      </x:c>
      <x:c r="F457" s="31" t="str"/>
      <x:c r="G457" s="31" t="str"/>
      <x:c r="H457" s="32" t="str"/>
      <x:c r="I457" s="31" t="str"/>
      <x:c r="J457" s="28" t="str">
        <x:f>IF(I457="","OPEN",IF(OR(F457="",G457="",H457=""),"FAIL","PASS"))</x:f>
        <x:v>OPEN</x:v>
      </x:c>
    </x:row>
    <x:row r="458">
      <x:c r="B458" s="28" t="str">
        <x:v>CQ-DA-113-4</x:v>
      </x:c>
      <x:c r="C458" s="28" t="str">
        <x:v>DA-113</x:v>
      </x:c>
      <x:c r="D458" s="28" t="n">
        <x:v>4</x:v>
      </x:c>
      <x:c r="E458" s="28" t="str">
        <x:v>incident and rescue qualification</x:v>
      </x:c>
      <x:c r="F458" s="31" t="str"/>
      <x:c r="G458" s="31" t="str"/>
      <x:c r="H458" s="32" t="str"/>
      <x:c r="I458" s="31" t="str"/>
      <x:c r="J458" s="28" t="str">
        <x:f>IF(I458="","OPEN",IF(OR(F458="",G458="",H458=""),"FAIL","PASS"))</x:f>
        <x:v>OPEN</x:v>
      </x:c>
    </x:row>
    <x:row r="459">
      <x:c r="B459" s="28" t="str">
        <x:v>CQ-DA-114-1</x:v>
      </x:c>
      <x:c r="C459" s="28" t="str">
        <x:v>DA-114</x:v>
      </x:c>
      <x:c r="D459" s="28" t="n">
        <x:v>1</x:v>
      </x:c>
      <x:c r="E459" s="28" t="str">
        <x:v>role qualification</x:v>
      </x:c>
      <x:c r="F459" s="31" t="str"/>
      <x:c r="G459" s="31" t="str"/>
      <x:c r="H459" s="32" t="str"/>
      <x:c r="I459" s="31" t="str"/>
      <x:c r="J459" s="28" t="str">
        <x:f>IF(I459="","OPEN",IF(OR(F459="",G459="",H459=""),"FAIL","PASS"))</x:f>
        <x:v>OPEN</x:v>
      </x:c>
    </x:row>
    <x:row r="460">
      <x:c r="B460" s="28" t="str">
        <x:v>CQ-DA-114-2</x:v>
      </x:c>
      <x:c r="C460" s="28" t="str">
        <x:v>DA-114</x:v>
      </x:c>
      <x:c r="D460" s="28" t="n">
        <x:v>2</x:v>
      </x:c>
      <x:c r="E460" s="28" t="str">
        <x:v>site and rig qualification</x:v>
      </x:c>
      <x:c r="F460" s="31" t="str"/>
      <x:c r="G460" s="31" t="str"/>
      <x:c r="H460" s="32" t="str"/>
      <x:c r="I460" s="31" t="str"/>
      <x:c r="J460" s="28" t="str">
        <x:f>IF(I460="","OPEN",IF(OR(F460="",G460="",H460=""),"FAIL","PASS"))</x:f>
        <x:v>OPEN</x:v>
      </x:c>
    </x:row>
    <x:row r="461">
      <x:c r="B461" s="28" t="str">
        <x:v>CQ-DA-114-3</x:v>
      </x:c>
      <x:c r="C461" s="28" t="str">
        <x:v>DA-114</x:v>
      </x:c>
      <x:c r="D461" s="28" t="n">
        <x:v>3</x:v>
      </x:c>
      <x:c r="E461" s="28" t="str">
        <x:v>article-interface qualification</x:v>
      </x:c>
      <x:c r="F461" s="31" t="str"/>
      <x:c r="G461" s="31" t="str"/>
      <x:c r="H461" s="32" t="str"/>
      <x:c r="I461" s="31" t="str"/>
      <x:c r="J461" s="28" t="str">
        <x:f>IF(I461="","OPEN",IF(OR(F461="",G461="",H461=""),"FAIL","PASS"))</x:f>
        <x:v>OPEN</x:v>
      </x:c>
    </x:row>
    <x:row r="462">
      <x:c r="B462" s="28" t="str">
        <x:v>CQ-DA-114-4</x:v>
      </x:c>
      <x:c r="C462" s="28" t="str">
        <x:v>DA-114</x:v>
      </x:c>
      <x:c r="D462" s="28" t="n">
        <x:v>4</x:v>
      </x:c>
      <x:c r="E462" s="28" t="str">
        <x:v>incident and rescue qualification</x:v>
      </x:c>
      <x:c r="F462" s="31" t="str"/>
      <x:c r="G462" s="31" t="str"/>
      <x:c r="H462" s="32" t="str"/>
      <x:c r="I462" s="31" t="str"/>
      <x:c r="J462" s="28" t="str">
        <x:f>IF(I462="","OPEN",IF(OR(F462="",G462="",H462=""),"FAIL","PASS"))</x:f>
        <x:v>OPEN</x:v>
      </x:c>
    </x:row>
    <x:row r="463">
      <x:c r="B463" s="28" t="str">
        <x:v>CQ-DA-115-1</x:v>
      </x:c>
      <x:c r="C463" s="28" t="str">
        <x:v>DA-115</x:v>
      </x:c>
      <x:c r="D463" s="28" t="n">
        <x:v>1</x:v>
      </x:c>
      <x:c r="E463" s="28" t="str">
        <x:v>role qualification</x:v>
      </x:c>
      <x:c r="F463" s="31" t="str"/>
      <x:c r="G463" s="31" t="str"/>
      <x:c r="H463" s="32" t="str"/>
      <x:c r="I463" s="31" t="str"/>
      <x:c r="J463" s="28" t="str">
        <x:f>IF(I463="","OPEN",IF(OR(F463="",G463="",H463=""),"FAIL","PASS"))</x:f>
        <x:v>OPEN</x:v>
      </x:c>
    </x:row>
    <x:row r="464">
      <x:c r="B464" s="28" t="str">
        <x:v>CQ-DA-115-2</x:v>
      </x:c>
      <x:c r="C464" s="28" t="str">
        <x:v>DA-115</x:v>
      </x:c>
      <x:c r="D464" s="28" t="n">
        <x:v>2</x:v>
      </x:c>
      <x:c r="E464" s="28" t="str">
        <x:v>site and rig qualification</x:v>
      </x:c>
      <x:c r="F464" s="31" t="str"/>
      <x:c r="G464" s="31" t="str"/>
      <x:c r="H464" s="32" t="str"/>
      <x:c r="I464" s="31" t="str"/>
      <x:c r="J464" s="28" t="str">
        <x:f>IF(I464="","OPEN",IF(OR(F464="",G464="",H464=""),"FAIL","PASS"))</x:f>
        <x:v>OPEN</x:v>
      </x:c>
    </x:row>
    <x:row r="465">
      <x:c r="B465" s="28" t="str">
        <x:v>CQ-DA-115-3</x:v>
      </x:c>
      <x:c r="C465" s="28" t="str">
        <x:v>DA-115</x:v>
      </x:c>
      <x:c r="D465" s="28" t="n">
        <x:v>3</x:v>
      </x:c>
      <x:c r="E465" s="28" t="str">
        <x:v>article-interface qualification</x:v>
      </x:c>
      <x:c r="F465" s="31" t="str"/>
      <x:c r="G465" s="31" t="str"/>
      <x:c r="H465" s="32" t="str"/>
      <x:c r="I465" s="31" t="str"/>
      <x:c r="J465" s="28" t="str">
        <x:f>IF(I465="","OPEN",IF(OR(F465="",G465="",H465=""),"FAIL","PASS"))</x:f>
        <x:v>OPEN</x:v>
      </x:c>
    </x:row>
    <x:row r="466">
      <x:c r="B466" s="28" t="str">
        <x:v>CQ-DA-115-4</x:v>
      </x:c>
      <x:c r="C466" s="28" t="str">
        <x:v>DA-115</x:v>
      </x:c>
      <x:c r="D466" s="28" t="n">
        <x:v>4</x:v>
      </x:c>
      <x:c r="E466" s="28" t="str">
        <x:v>incident and rescue qualification</x:v>
      </x:c>
      <x:c r="F466" s="31" t="str"/>
      <x:c r="G466" s="31" t="str"/>
      <x:c r="H466" s="32" t="str"/>
      <x:c r="I466" s="31" t="str"/>
      <x:c r="J466" s="28" t="str">
        <x:f>IF(I466="","OPEN",IF(OR(F466="",G466="",H466=""),"FAIL","PASS"))</x:f>
        <x:v>OPEN</x:v>
      </x:c>
    </x:row>
    <x:row r="467">
      <x:c r="B467" s="28" t="str">
        <x:v>CQ-DA-116-1</x:v>
      </x:c>
      <x:c r="C467" s="28" t="str">
        <x:v>DA-116</x:v>
      </x:c>
      <x:c r="D467" s="28" t="n">
        <x:v>1</x:v>
      </x:c>
      <x:c r="E467" s="28" t="str">
        <x:v>role qualification</x:v>
      </x:c>
      <x:c r="F467" s="31" t="str"/>
      <x:c r="G467" s="31" t="str"/>
      <x:c r="H467" s="32" t="str"/>
      <x:c r="I467" s="31" t="str"/>
      <x:c r="J467" s="28" t="str">
        <x:f>IF(I467="","OPEN",IF(OR(F467="",G467="",H467=""),"FAIL","PASS"))</x:f>
        <x:v>OPEN</x:v>
      </x:c>
    </x:row>
    <x:row r="468">
      <x:c r="B468" s="28" t="str">
        <x:v>CQ-DA-116-2</x:v>
      </x:c>
      <x:c r="C468" s="28" t="str">
        <x:v>DA-116</x:v>
      </x:c>
      <x:c r="D468" s="28" t="n">
        <x:v>2</x:v>
      </x:c>
      <x:c r="E468" s="28" t="str">
        <x:v>site and rig qualification</x:v>
      </x:c>
      <x:c r="F468" s="31" t="str"/>
      <x:c r="G468" s="31" t="str"/>
      <x:c r="H468" s="32" t="str"/>
      <x:c r="I468" s="31" t="str"/>
      <x:c r="J468" s="28" t="str">
        <x:f>IF(I468="","OPEN",IF(OR(F468="",G468="",H468=""),"FAIL","PASS"))</x:f>
        <x:v>OPEN</x:v>
      </x:c>
    </x:row>
    <x:row r="469">
      <x:c r="B469" s="28" t="str">
        <x:v>CQ-DA-116-3</x:v>
      </x:c>
      <x:c r="C469" s="28" t="str">
        <x:v>DA-116</x:v>
      </x:c>
      <x:c r="D469" s="28" t="n">
        <x:v>3</x:v>
      </x:c>
      <x:c r="E469" s="28" t="str">
        <x:v>article-interface qualification</x:v>
      </x:c>
      <x:c r="F469" s="31" t="str"/>
      <x:c r="G469" s="31" t="str"/>
      <x:c r="H469" s="32" t="str"/>
      <x:c r="I469" s="31" t="str"/>
      <x:c r="J469" s="28" t="str">
        <x:f>IF(I469="","OPEN",IF(OR(F469="",G469="",H469=""),"FAIL","PASS"))</x:f>
        <x:v>OPEN</x:v>
      </x:c>
    </x:row>
    <x:row r="470">
      <x:c r="B470" s="28" t="str">
        <x:v>CQ-DA-116-4</x:v>
      </x:c>
      <x:c r="C470" s="28" t="str">
        <x:v>DA-116</x:v>
      </x:c>
      <x:c r="D470" s="28" t="n">
        <x:v>4</x:v>
      </x:c>
      <x:c r="E470" s="28" t="str">
        <x:v>incident and rescue qualification</x:v>
      </x:c>
      <x:c r="F470" s="31" t="str"/>
      <x:c r="G470" s="31" t="str"/>
      <x:c r="H470" s="32" t="str"/>
      <x:c r="I470" s="31" t="str"/>
      <x:c r="J470" s="28" t="str">
        <x:f>IF(I470="","OPEN",IF(OR(F470="",G470="",H470=""),"FAIL","PASS"))</x:f>
        <x:v>OPEN</x:v>
      </x:c>
    </x:row>
    <x:row r="471">
      <x:c r="B471" s="28" t="str">
        <x:v>CQ-DA-117-1</x:v>
      </x:c>
      <x:c r="C471" s="28" t="str">
        <x:v>DA-117</x:v>
      </x:c>
      <x:c r="D471" s="28" t="n">
        <x:v>1</x:v>
      </x:c>
      <x:c r="E471" s="28" t="str">
        <x:v>role qualification</x:v>
      </x:c>
      <x:c r="F471" s="31" t="str"/>
      <x:c r="G471" s="31" t="str"/>
      <x:c r="H471" s="32" t="str"/>
      <x:c r="I471" s="31" t="str"/>
      <x:c r="J471" s="28" t="str">
        <x:f>IF(I471="","OPEN",IF(OR(F471="",G471="",H471=""),"FAIL","PASS"))</x:f>
        <x:v>OPEN</x:v>
      </x:c>
    </x:row>
    <x:row r="472">
      <x:c r="B472" s="28" t="str">
        <x:v>CQ-DA-117-2</x:v>
      </x:c>
      <x:c r="C472" s="28" t="str">
        <x:v>DA-117</x:v>
      </x:c>
      <x:c r="D472" s="28" t="n">
        <x:v>2</x:v>
      </x:c>
      <x:c r="E472" s="28" t="str">
        <x:v>site and rig qualification</x:v>
      </x:c>
      <x:c r="F472" s="31" t="str"/>
      <x:c r="G472" s="31" t="str"/>
      <x:c r="H472" s="32" t="str"/>
      <x:c r="I472" s="31" t="str"/>
      <x:c r="J472" s="28" t="str">
        <x:f>IF(I472="","OPEN",IF(OR(F472="",G472="",H472=""),"FAIL","PASS"))</x:f>
        <x:v>OPEN</x:v>
      </x:c>
    </x:row>
    <x:row r="473">
      <x:c r="B473" s="28" t="str">
        <x:v>CQ-DA-117-3</x:v>
      </x:c>
      <x:c r="C473" s="28" t="str">
        <x:v>DA-117</x:v>
      </x:c>
      <x:c r="D473" s="28" t="n">
        <x:v>3</x:v>
      </x:c>
      <x:c r="E473" s="28" t="str">
        <x:v>article-interface qualification</x:v>
      </x:c>
      <x:c r="F473" s="31" t="str"/>
      <x:c r="G473" s="31" t="str"/>
      <x:c r="H473" s="32" t="str"/>
      <x:c r="I473" s="31" t="str"/>
      <x:c r="J473" s="28" t="str">
        <x:f>IF(I473="","OPEN",IF(OR(F473="",G473="",H473=""),"FAIL","PASS"))</x:f>
        <x:v>OPEN</x:v>
      </x:c>
    </x:row>
    <x:row r="474">
      <x:c r="B474" s="28" t="str">
        <x:v>CQ-DA-117-4</x:v>
      </x:c>
      <x:c r="C474" s="28" t="str">
        <x:v>DA-117</x:v>
      </x:c>
      <x:c r="D474" s="28" t="n">
        <x:v>4</x:v>
      </x:c>
      <x:c r="E474" s="28" t="str">
        <x:v>incident and rescue qualification</x:v>
      </x:c>
      <x:c r="F474" s="31" t="str"/>
      <x:c r="G474" s="31" t="str"/>
      <x:c r="H474" s="32" t="str"/>
      <x:c r="I474" s="31" t="str"/>
      <x:c r="J474" s="28" t="str">
        <x:f>IF(I474="","OPEN",IF(OR(F474="",G474="",H474=""),"FAIL","PASS"))</x:f>
        <x:v>OPEN</x:v>
      </x:c>
    </x:row>
    <x:row r="475">
      <x:c r="B475" s="28" t="str">
        <x:v>CQ-DA-118-1</x:v>
      </x:c>
      <x:c r="C475" s="28" t="str">
        <x:v>DA-118</x:v>
      </x:c>
      <x:c r="D475" s="28" t="n">
        <x:v>1</x:v>
      </x:c>
      <x:c r="E475" s="28" t="str">
        <x:v>role qualification</x:v>
      </x:c>
      <x:c r="F475" s="31" t="str"/>
      <x:c r="G475" s="31" t="str"/>
      <x:c r="H475" s="32" t="str"/>
      <x:c r="I475" s="31" t="str"/>
      <x:c r="J475" s="28" t="str">
        <x:f>IF(I475="","OPEN",IF(OR(F475="",G475="",H475=""),"FAIL","PASS"))</x:f>
        <x:v>OPEN</x:v>
      </x:c>
    </x:row>
    <x:row r="476">
      <x:c r="B476" s="28" t="str">
        <x:v>CQ-DA-118-2</x:v>
      </x:c>
      <x:c r="C476" s="28" t="str">
        <x:v>DA-118</x:v>
      </x:c>
      <x:c r="D476" s="28" t="n">
        <x:v>2</x:v>
      </x:c>
      <x:c r="E476" s="28" t="str">
        <x:v>site and rig qualification</x:v>
      </x:c>
      <x:c r="F476" s="31" t="str"/>
      <x:c r="G476" s="31" t="str"/>
      <x:c r="H476" s="32" t="str"/>
      <x:c r="I476" s="31" t="str"/>
      <x:c r="J476" s="28" t="str">
        <x:f>IF(I476="","OPEN",IF(OR(F476="",G476="",H476=""),"FAIL","PASS"))</x:f>
        <x:v>OPEN</x:v>
      </x:c>
    </x:row>
    <x:row r="477">
      <x:c r="B477" s="28" t="str">
        <x:v>CQ-DA-118-3</x:v>
      </x:c>
      <x:c r="C477" s="28" t="str">
        <x:v>DA-118</x:v>
      </x:c>
      <x:c r="D477" s="28" t="n">
        <x:v>3</x:v>
      </x:c>
      <x:c r="E477" s="28" t="str">
        <x:v>article-interface qualification</x:v>
      </x:c>
      <x:c r="F477" s="31" t="str"/>
      <x:c r="G477" s="31" t="str"/>
      <x:c r="H477" s="32" t="str"/>
      <x:c r="I477" s="31" t="str"/>
      <x:c r="J477" s="28" t="str">
        <x:f>IF(I477="","OPEN",IF(OR(F477="",G477="",H477=""),"FAIL","PASS"))</x:f>
        <x:v>OPEN</x:v>
      </x:c>
    </x:row>
    <x:row r="478">
      <x:c r="B478" s="28" t="str">
        <x:v>CQ-DA-118-4</x:v>
      </x:c>
      <x:c r="C478" s="28" t="str">
        <x:v>DA-118</x:v>
      </x:c>
      <x:c r="D478" s="28" t="n">
        <x:v>4</x:v>
      </x:c>
      <x:c r="E478" s="28" t="str">
        <x:v>incident and rescue qualification</x:v>
      </x:c>
      <x:c r="F478" s="31" t="str"/>
      <x:c r="G478" s="31" t="str"/>
      <x:c r="H478" s="32" t="str"/>
      <x:c r="I478" s="31" t="str"/>
      <x:c r="J478" s="28" t="str">
        <x:f>IF(I478="","OPEN",IF(OR(F478="",G478="",H478=""),"FAIL","PASS"))</x:f>
        <x:v>OPEN</x:v>
      </x:c>
    </x:row>
    <x:row r="479">
      <x:c r="B479" s="28" t="str">
        <x:v>CQ-DA-119-1</x:v>
      </x:c>
      <x:c r="C479" s="28" t="str">
        <x:v>DA-119</x:v>
      </x:c>
      <x:c r="D479" s="28" t="n">
        <x:v>1</x:v>
      </x:c>
      <x:c r="E479" s="28" t="str">
        <x:v>role qualification</x:v>
      </x:c>
      <x:c r="F479" s="31" t="str"/>
      <x:c r="G479" s="31" t="str"/>
      <x:c r="H479" s="32" t="str"/>
      <x:c r="I479" s="31" t="str"/>
      <x:c r="J479" s="28" t="str">
        <x:f>IF(I479="","OPEN",IF(OR(F479="",G479="",H479=""),"FAIL","PASS"))</x:f>
        <x:v>OPEN</x:v>
      </x:c>
    </x:row>
    <x:row r="480">
      <x:c r="B480" s="28" t="str">
        <x:v>CQ-DA-119-2</x:v>
      </x:c>
      <x:c r="C480" s="28" t="str">
        <x:v>DA-119</x:v>
      </x:c>
      <x:c r="D480" s="28" t="n">
        <x:v>2</x:v>
      </x:c>
      <x:c r="E480" s="28" t="str">
        <x:v>site and rig qualification</x:v>
      </x:c>
      <x:c r="F480" s="31" t="str"/>
      <x:c r="G480" s="31" t="str"/>
      <x:c r="H480" s="32" t="str"/>
      <x:c r="I480" s="31" t="str"/>
      <x:c r="J480" s="28" t="str">
        <x:f>IF(I480="","OPEN",IF(OR(F480="",G480="",H480=""),"FAIL","PASS"))</x:f>
        <x:v>OPEN</x:v>
      </x:c>
    </x:row>
    <x:row r="481">
      <x:c r="B481" s="28" t="str">
        <x:v>CQ-DA-119-3</x:v>
      </x:c>
      <x:c r="C481" s="28" t="str">
        <x:v>DA-119</x:v>
      </x:c>
      <x:c r="D481" s="28" t="n">
        <x:v>3</x:v>
      </x:c>
      <x:c r="E481" s="28" t="str">
        <x:v>article-interface qualification</x:v>
      </x:c>
      <x:c r="F481" s="31" t="str"/>
      <x:c r="G481" s="31" t="str"/>
      <x:c r="H481" s="32" t="str"/>
      <x:c r="I481" s="31" t="str"/>
      <x:c r="J481" s="28" t="str">
        <x:f>IF(I481="","OPEN",IF(OR(F481="",G481="",H481=""),"FAIL","PASS"))</x:f>
        <x:v>OPEN</x:v>
      </x:c>
    </x:row>
    <x:row r="482">
      <x:c r="B482" s="28" t="str">
        <x:v>CQ-DA-119-4</x:v>
      </x:c>
      <x:c r="C482" s="28" t="str">
        <x:v>DA-119</x:v>
      </x:c>
      <x:c r="D482" s="28" t="n">
        <x:v>4</x:v>
      </x:c>
      <x:c r="E482" s="28" t="str">
        <x:v>incident and rescue qualification</x:v>
      </x:c>
      <x:c r="F482" s="31" t="str"/>
      <x:c r="G482" s="31" t="str"/>
      <x:c r="H482" s="32" t="str"/>
      <x:c r="I482" s="31" t="str"/>
      <x:c r="J482" s="28" t="str">
        <x:f>IF(I482="","OPEN",IF(OR(F482="",G482="",H482=""),"FAIL","PASS"))</x:f>
        <x:v>OPEN</x:v>
      </x:c>
    </x:row>
    <x:row r="483">
      <x:c r="B483" s="28" t="str">
        <x:v>CQ-DA-120-1</x:v>
      </x:c>
      <x:c r="C483" s="28" t="str">
        <x:v>DA-120</x:v>
      </x:c>
      <x:c r="D483" s="28" t="n">
        <x:v>1</x:v>
      </x:c>
      <x:c r="E483" s="28" t="str">
        <x:v>role qualification</x:v>
      </x:c>
      <x:c r="F483" s="31" t="str"/>
      <x:c r="G483" s="31" t="str"/>
      <x:c r="H483" s="32" t="str"/>
      <x:c r="I483" s="31" t="str"/>
      <x:c r="J483" s="28" t="str">
        <x:f>IF(I483="","OPEN",IF(OR(F483="",G483="",H483=""),"FAIL","PASS"))</x:f>
        <x:v>OPEN</x:v>
      </x:c>
    </x:row>
    <x:row r="484">
      <x:c r="B484" s="28" t="str">
        <x:v>CQ-DA-120-2</x:v>
      </x:c>
      <x:c r="C484" s="28" t="str">
        <x:v>DA-120</x:v>
      </x:c>
      <x:c r="D484" s="28" t="n">
        <x:v>2</x:v>
      </x:c>
      <x:c r="E484" s="28" t="str">
        <x:v>site and rig qualification</x:v>
      </x:c>
      <x:c r="F484" s="31" t="str"/>
      <x:c r="G484" s="31" t="str"/>
      <x:c r="H484" s="32" t="str"/>
      <x:c r="I484" s="31" t="str"/>
      <x:c r="J484" s="28" t="str">
        <x:f>IF(I484="","OPEN",IF(OR(F484="",G484="",H484=""),"FAIL","PASS"))</x:f>
        <x:v>OPEN</x:v>
      </x:c>
    </x:row>
    <x:row r="485">
      <x:c r="B485" s="28" t="str">
        <x:v>CQ-DA-120-3</x:v>
      </x:c>
      <x:c r="C485" s="28" t="str">
        <x:v>DA-120</x:v>
      </x:c>
      <x:c r="D485" s="28" t="n">
        <x:v>3</x:v>
      </x:c>
      <x:c r="E485" s="28" t="str">
        <x:v>article-interface qualification</x:v>
      </x:c>
      <x:c r="F485" s="31" t="str"/>
      <x:c r="G485" s="31" t="str"/>
      <x:c r="H485" s="32" t="str"/>
      <x:c r="I485" s="31" t="str"/>
      <x:c r="J485" s="28" t="str">
        <x:f>IF(I485="","OPEN",IF(OR(F485="",G485="",H485=""),"FAIL","PASS"))</x:f>
        <x:v>OPEN</x:v>
      </x:c>
    </x:row>
    <x:row r="486">
      <x:c r="B486" s="28" t="str">
        <x:v>CQ-DA-120-4</x:v>
      </x:c>
      <x:c r="C486" s="28" t="str">
        <x:v>DA-120</x:v>
      </x:c>
      <x:c r="D486" s="28" t="n">
        <x:v>4</x:v>
      </x:c>
      <x:c r="E486" s="28" t="str">
        <x:v>incident and rescue qualification</x:v>
      </x:c>
      <x:c r="F486" s="31" t="str"/>
      <x:c r="G486" s="31" t="str"/>
      <x:c r="H486" s="32" t="str"/>
      <x:c r="I486" s="31" t="str"/>
      <x:c r="J486" s="28" t="str">
        <x:f>IF(I486="","OPEN",IF(OR(F486="",G486="",H486=""),"FAIL","PASS"))</x:f>
        <x:v>OPEN</x:v>
      </x:c>
    </x:row>
    <x:row r="487">
      <x:c r="B487" s="28" t="str">
        <x:v>CQ-DA-121-1</x:v>
      </x:c>
      <x:c r="C487" s="28" t="str">
        <x:v>DA-121</x:v>
      </x:c>
      <x:c r="D487" s="28" t="n">
        <x:v>1</x:v>
      </x:c>
      <x:c r="E487" s="28" t="str">
        <x:v>role qualification</x:v>
      </x:c>
      <x:c r="F487" s="31" t="str"/>
      <x:c r="G487" s="31" t="str"/>
      <x:c r="H487" s="32" t="str"/>
      <x:c r="I487" s="31" t="str"/>
      <x:c r="J487" s="28" t="str">
        <x:f>IF(I487="","OPEN",IF(OR(F487="",G487="",H487=""),"FAIL","PASS"))</x:f>
        <x:v>OPEN</x:v>
      </x:c>
    </x:row>
    <x:row r="488">
      <x:c r="B488" s="28" t="str">
        <x:v>CQ-DA-121-2</x:v>
      </x:c>
      <x:c r="C488" s="28" t="str">
        <x:v>DA-121</x:v>
      </x:c>
      <x:c r="D488" s="28" t="n">
        <x:v>2</x:v>
      </x:c>
      <x:c r="E488" s="28" t="str">
        <x:v>site and rig qualification</x:v>
      </x:c>
      <x:c r="F488" s="31" t="str"/>
      <x:c r="G488" s="31" t="str"/>
      <x:c r="H488" s="32" t="str"/>
      <x:c r="I488" s="31" t="str"/>
      <x:c r="J488" s="28" t="str">
        <x:f>IF(I488="","OPEN",IF(OR(F488="",G488="",H488=""),"FAIL","PASS"))</x:f>
        <x:v>OPEN</x:v>
      </x:c>
    </x:row>
    <x:row r="489">
      <x:c r="B489" s="28" t="str">
        <x:v>CQ-DA-121-3</x:v>
      </x:c>
      <x:c r="C489" s="28" t="str">
        <x:v>DA-121</x:v>
      </x:c>
      <x:c r="D489" s="28" t="n">
        <x:v>3</x:v>
      </x:c>
      <x:c r="E489" s="28" t="str">
        <x:v>article-interface qualification</x:v>
      </x:c>
      <x:c r="F489" s="31" t="str"/>
      <x:c r="G489" s="31" t="str"/>
      <x:c r="H489" s="32" t="str"/>
      <x:c r="I489" s="31" t="str"/>
      <x:c r="J489" s="28" t="str">
        <x:f>IF(I489="","OPEN",IF(OR(F489="",G489="",H489=""),"FAIL","PASS"))</x:f>
        <x:v>OPEN</x:v>
      </x:c>
    </x:row>
    <x:row r="490">
      <x:c r="B490" s="28" t="str">
        <x:v>CQ-DA-121-4</x:v>
      </x:c>
      <x:c r="C490" s="28" t="str">
        <x:v>DA-121</x:v>
      </x:c>
      <x:c r="D490" s="28" t="n">
        <x:v>4</x:v>
      </x:c>
      <x:c r="E490" s="28" t="str">
        <x:v>incident and rescue qualification</x:v>
      </x:c>
      <x:c r="F490" s="31" t="str"/>
      <x:c r="G490" s="31" t="str"/>
      <x:c r="H490" s="32" t="str"/>
      <x:c r="I490" s="31" t="str"/>
      <x:c r="J490" s="28" t="str">
        <x:f>IF(I490="","OPEN",IF(OR(F490="",G490="",H490=""),"FAIL","PASS"))</x:f>
        <x:v>OPEN</x:v>
      </x:c>
    </x:row>
    <x:row r="491">
      <x:c r="B491" s="28" t="str">
        <x:v>CQ-DA-122-1</x:v>
      </x:c>
      <x:c r="C491" s="28" t="str">
        <x:v>DA-122</x:v>
      </x:c>
      <x:c r="D491" s="28" t="n">
        <x:v>1</x:v>
      </x:c>
      <x:c r="E491" s="28" t="str">
        <x:v>role qualification</x:v>
      </x:c>
      <x:c r="F491" s="31" t="str"/>
      <x:c r="G491" s="31" t="str"/>
      <x:c r="H491" s="32" t="str"/>
      <x:c r="I491" s="31" t="str"/>
      <x:c r="J491" s="28" t="str">
        <x:f>IF(I491="","OPEN",IF(OR(F491="",G491="",H491=""),"FAIL","PASS"))</x:f>
        <x:v>OPEN</x:v>
      </x:c>
    </x:row>
    <x:row r="492">
      <x:c r="B492" s="28" t="str">
        <x:v>CQ-DA-122-2</x:v>
      </x:c>
      <x:c r="C492" s="28" t="str">
        <x:v>DA-122</x:v>
      </x:c>
      <x:c r="D492" s="28" t="n">
        <x:v>2</x:v>
      </x:c>
      <x:c r="E492" s="28" t="str">
        <x:v>site and rig qualification</x:v>
      </x:c>
      <x:c r="F492" s="31" t="str"/>
      <x:c r="G492" s="31" t="str"/>
      <x:c r="H492" s="32" t="str"/>
      <x:c r="I492" s="31" t="str"/>
      <x:c r="J492" s="28" t="str">
        <x:f>IF(I492="","OPEN",IF(OR(F492="",G492="",H492=""),"FAIL","PASS"))</x:f>
        <x:v>OPEN</x:v>
      </x:c>
    </x:row>
    <x:row r="493">
      <x:c r="B493" s="28" t="str">
        <x:v>CQ-DA-122-3</x:v>
      </x:c>
      <x:c r="C493" s="28" t="str">
        <x:v>DA-122</x:v>
      </x:c>
      <x:c r="D493" s="28" t="n">
        <x:v>3</x:v>
      </x:c>
      <x:c r="E493" s="28" t="str">
        <x:v>article-interface qualification</x:v>
      </x:c>
      <x:c r="F493" s="31" t="str"/>
      <x:c r="G493" s="31" t="str"/>
      <x:c r="H493" s="32" t="str"/>
      <x:c r="I493" s="31" t="str"/>
      <x:c r="J493" s="28" t="str">
        <x:f>IF(I493="","OPEN",IF(OR(F493="",G493="",H493=""),"FAIL","PASS"))</x:f>
        <x:v>OPEN</x:v>
      </x:c>
    </x:row>
    <x:row r="494">
      <x:c r="B494" s="28" t="str">
        <x:v>CQ-DA-122-4</x:v>
      </x:c>
      <x:c r="C494" s="28" t="str">
        <x:v>DA-122</x:v>
      </x:c>
      <x:c r="D494" s="28" t="n">
        <x:v>4</x:v>
      </x:c>
      <x:c r="E494" s="28" t="str">
        <x:v>incident and rescue qualification</x:v>
      </x:c>
      <x:c r="F494" s="31" t="str"/>
      <x:c r="G494" s="31" t="str"/>
      <x:c r="H494" s="32" t="str"/>
      <x:c r="I494" s="31" t="str"/>
      <x:c r="J494" s="28" t="str">
        <x:f>IF(I494="","OPEN",IF(OR(F494="",G494="",H494=""),"FAIL","PASS"))</x:f>
        <x:v>OPEN</x:v>
      </x:c>
    </x:row>
    <x:row r="495">
      <x:c r="B495" s="28" t="str">
        <x:v>CQ-DA-123-1</x:v>
      </x:c>
      <x:c r="C495" s="28" t="str">
        <x:v>DA-123</x:v>
      </x:c>
      <x:c r="D495" s="28" t="n">
        <x:v>1</x:v>
      </x:c>
      <x:c r="E495" s="28" t="str">
        <x:v>role qualification</x:v>
      </x:c>
      <x:c r="F495" s="31" t="str"/>
      <x:c r="G495" s="31" t="str"/>
      <x:c r="H495" s="32" t="str"/>
      <x:c r="I495" s="31" t="str"/>
      <x:c r="J495" s="28" t="str">
        <x:f>IF(I495="","OPEN",IF(OR(F495="",G495="",H495=""),"FAIL","PASS"))</x:f>
        <x:v>OPEN</x:v>
      </x:c>
    </x:row>
    <x:row r="496">
      <x:c r="B496" s="28" t="str">
        <x:v>CQ-DA-123-2</x:v>
      </x:c>
      <x:c r="C496" s="28" t="str">
        <x:v>DA-123</x:v>
      </x:c>
      <x:c r="D496" s="28" t="n">
        <x:v>2</x:v>
      </x:c>
      <x:c r="E496" s="28" t="str">
        <x:v>site and rig qualification</x:v>
      </x:c>
      <x:c r="F496" s="31" t="str"/>
      <x:c r="G496" s="31" t="str"/>
      <x:c r="H496" s="32" t="str"/>
      <x:c r="I496" s="31" t="str"/>
      <x:c r="J496" s="28" t="str">
        <x:f>IF(I496="","OPEN",IF(OR(F496="",G496="",H496=""),"FAIL","PASS"))</x:f>
        <x:v>OPEN</x:v>
      </x:c>
    </x:row>
    <x:row r="497">
      <x:c r="B497" s="28" t="str">
        <x:v>CQ-DA-123-3</x:v>
      </x:c>
      <x:c r="C497" s="28" t="str">
        <x:v>DA-123</x:v>
      </x:c>
      <x:c r="D497" s="28" t="n">
        <x:v>3</x:v>
      </x:c>
      <x:c r="E497" s="28" t="str">
        <x:v>article-interface qualification</x:v>
      </x:c>
      <x:c r="F497" s="31" t="str"/>
      <x:c r="G497" s="31" t="str"/>
      <x:c r="H497" s="32" t="str"/>
      <x:c r="I497" s="31" t="str"/>
      <x:c r="J497" s="28" t="str">
        <x:f>IF(I497="","OPEN",IF(OR(F497="",G497="",H497=""),"FAIL","PASS"))</x:f>
        <x:v>OPEN</x:v>
      </x:c>
    </x:row>
    <x:row r="498">
      <x:c r="B498" s="28" t="str">
        <x:v>CQ-DA-123-4</x:v>
      </x:c>
      <x:c r="C498" s="28" t="str">
        <x:v>DA-123</x:v>
      </x:c>
      <x:c r="D498" s="28" t="n">
        <x:v>4</x:v>
      </x:c>
      <x:c r="E498" s="28" t="str">
        <x:v>incident and rescue qualification</x:v>
      </x:c>
      <x:c r="F498" s="31" t="str"/>
      <x:c r="G498" s="31" t="str"/>
      <x:c r="H498" s="32" t="str"/>
      <x:c r="I498" s="31" t="str"/>
      <x:c r="J498" s="28" t="str">
        <x:f>IF(I498="","OPEN",IF(OR(F498="",G498="",H498=""),"FAIL","PASS"))</x:f>
        <x:v>OPEN</x:v>
      </x:c>
    </x:row>
    <x:row r="499">
      <x:c r="B499" s="28" t="str">
        <x:v>CQ-DA-124-1</x:v>
      </x:c>
      <x:c r="C499" s="28" t="str">
        <x:v>DA-124</x:v>
      </x:c>
      <x:c r="D499" s="28" t="n">
        <x:v>1</x:v>
      </x:c>
      <x:c r="E499" s="28" t="str">
        <x:v>role qualification</x:v>
      </x:c>
      <x:c r="F499" s="31" t="str"/>
      <x:c r="G499" s="31" t="str"/>
      <x:c r="H499" s="32" t="str"/>
      <x:c r="I499" s="31" t="str"/>
      <x:c r="J499" s="28" t="str">
        <x:f>IF(I499="","OPEN",IF(OR(F499="",G499="",H499=""),"FAIL","PASS"))</x:f>
        <x:v>OPEN</x:v>
      </x:c>
    </x:row>
    <x:row r="500">
      <x:c r="B500" s="28" t="str">
        <x:v>CQ-DA-124-2</x:v>
      </x:c>
      <x:c r="C500" s="28" t="str">
        <x:v>DA-124</x:v>
      </x:c>
      <x:c r="D500" s="28" t="n">
        <x:v>2</x:v>
      </x:c>
      <x:c r="E500" s="28" t="str">
        <x:v>site and rig qualification</x:v>
      </x:c>
      <x:c r="F500" s="31" t="str"/>
      <x:c r="G500" s="31" t="str"/>
      <x:c r="H500" s="32" t="str"/>
      <x:c r="I500" s="31" t="str"/>
      <x:c r="J500" s="28" t="str">
        <x:f>IF(I500="","OPEN",IF(OR(F500="",G500="",H500=""),"FAIL","PASS"))</x:f>
        <x:v>OPEN</x:v>
      </x:c>
    </x:row>
    <x:row r="501">
      <x:c r="B501" s="28" t="str">
        <x:v>CQ-DA-124-3</x:v>
      </x:c>
      <x:c r="C501" s="28" t="str">
        <x:v>DA-124</x:v>
      </x:c>
      <x:c r="D501" s="28" t="n">
        <x:v>3</x:v>
      </x:c>
      <x:c r="E501" s="28" t="str">
        <x:v>article-interface qualification</x:v>
      </x:c>
      <x:c r="F501" s="31" t="str"/>
      <x:c r="G501" s="31" t="str"/>
      <x:c r="H501" s="32" t="str"/>
      <x:c r="I501" s="31" t="str"/>
      <x:c r="J501" s="28" t="str">
        <x:f>IF(I501="","OPEN",IF(OR(F501="",G501="",H501=""),"FAIL","PASS"))</x:f>
        <x:v>OPEN</x:v>
      </x:c>
    </x:row>
    <x:row r="502">
      <x:c r="B502" s="28" t="str">
        <x:v>CQ-DA-124-4</x:v>
      </x:c>
      <x:c r="C502" s="28" t="str">
        <x:v>DA-124</x:v>
      </x:c>
      <x:c r="D502" s="28" t="n">
        <x:v>4</x:v>
      </x:c>
      <x:c r="E502" s="28" t="str">
        <x:v>incident and rescue qualification</x:v>
      </x:c>
      <x:c r="F502" s="31" t="str"/>
      <x:c r="G502" s="31" t="str"/>
      <x:c r="H502" s="32" t="str"/>
      <x:c r="I502" s="31" t="str"/>
      <x:c r="J502" s="28" t="str">
        <x:f>IF(I502="","OPEN",IF(OR(F502="",G502="",H502=""),"FAIL","PASS"))</x:f>
        <x:v>OPEN</x:v>
      </x:c>
    </x:row>
    <x:row r="503">
      <x:c r="B503" s="28" t="str">
        <x:v>CQ-DA-125-1</x:v>
      </x:c>
      <x:c r="C503" s="28" t="str">
        <x:v>DA-125</x:v>
      </x:c>
      <x:c r="D503" s="28" t="n">
        <x:v>1</x:v>
      </x:c>
      <x:c r="E503" s="28" t="str">
        <x:v>role qualification</x:v>
      </x:c>
      <x:c r="F503" s="31" t="str"/>
      <x:c r="G503" s="31" t="str"/>
      <x:c r="H503" s="32" t="str"/>
      <x:c r="I503" s="31" t="str"/>
      <x:c r="J503" s="28" t="str">
        <x:f>IF(I503="","OPEN",IF(OR(F503="",G503="",H503=""),"FAIL","PASS"))</x:f>
        <x:v>OPEN</x:v>
      </x:c>
    </x:row>
    <x:row r="504">
      <x:c r="B504" s="28" t="str">
        <x:v>CQ-DA-125-2</x:v>
      </x:c>
      <x:c r="C504" s="28" t="str">
        <x:v>DA-125</x:v>
      </x:c>
      <x:c r="D504" s="28" t="n">
        <x:v>2</x:v>
      </x:c>
      <x:c r="E504" s="28" t="str">
        <x:v>site and rig qualification</x:v>
      </x:c>
      <x:c r="F504" s="31" t="str"/>
      <x:c r="G504" s="31" t="str"/>
      <x:c r="H504" s="32" t="str"/>
      <x:c r="I504" s="31" t="str"/>
      <x:c r="J504" s="28" t="str">
        <x:f>IF(I504="","OPEN",IF(OR(F504="",G504="",H504=""),"FAIL","PASS"))</x:f>
        <x:v>OPEN</x:v>
      </x:c>
    </x:row>
    <x:row r="505">
      <x:c r="B505" s="28" t="str">
        <x:v>CQ-DA-125-3</x:v>
      </x:c>
      <x:c r="C505" s="28" t="str">
        <x:v>DA-125</x:v>
      </x:c>
      <x:c r="D505" s="28" t="n">
        <x:v>3</x:v>
      </x:c>
      <x:c r="E505" s="28" t="str">
        <x:v>article-interface qualification</x:v>
      </x:c>
      <x:c r="F505" s="31" t="str"/>
      <x:c r="G505" s="31" t="str"/>
      <x:c r="H505" s="32" t="str"/>
      <x:c r="I505" s="31" t="str"/>
      <x:c r="J505" s="28" t="str">
        <x:f>IF(I505="","OPEN",IF(OR(F505="",G505="",H505=""),"FAIL","PASS"))</x:f>
        <x:v>OPEN</x:v>
      </x:c>
    </x:row>
    <x:row r="506">
      <x:c r="B506" s="28" t="str">
        <x:v>CQ-DA-125-4</x:v>
      </x:c>
      <x:c r="C506" s="28" t="str">
        <x:v>DA-125</x:v>
      </x:c>
      <x:c r="D506" s="28" t="n">
        <x:v>4</x:v>
      </x:c>
      <x:c r="E506" s="28" t="str">
        <x:v>incident and rescue qualification</x:v>
      </x:c>
      <x:c r="F506" s="31" t="str"/>
      <x:c r="G506" s="31" t="str"/>
      <x:c r="H506" s="32" t="str"/>
      <x:c r="I506" s="31" t="str"/>
      <x:c r="J506" s="28" t="str">
        <x:f>IF(I506="","OPEN",IF(OR(F506="",G506="",H506=""),"FAIL","PASS"))</x:f>
        <x:v>OPEN</x:v>
      </x:c>
    </x:row>
    <x:row r="507">
      <x:c r="B507" s="28" t="str">
        <x:v>CQ-DA-126-1</x:v>
      </x:c>
      <x:c r="C507" s="28" t="str">
        <x:v>DA-126</x:v>
      </x:c>
      <x:c r="D507" s="28" t="n">
        <x:v>1</x:v>
      </x:c>
      <x:c r="E507" s="28" t="str">
        <x:v>role qualification</x:v>
      </x:c>
      <x:c r="F507" s="31" t="str"/>
      <x:c r="G507" s="31" t="str"/>
      <x:c r="H507" s="32" t="str"/>
      <x:c r="I507" s="31" t="str"/>
      <x:c r="J507" s="28" t="str">
        <x:f>IF(I507="","OPEN",IF(OR(F507="",G507="",H507=""),"FAIL","PASS"))</x:f>
        <x:v>OPEN</x:v>
      </x:c>
    </x:row>
    <x:row r="508">
      <x:c r="B508" s="28" t="str">
        <x:v>CQ-DA-126-2</x:v>
      </x:c>
      <x:c r="C508" s="28" t="str">
        <x:v>DA-126</x:v>
      </x:c>
      <x:c r="D508" s="28" t="n">
        <x:v>2</x:v>
      </x:c>
      <x:c r="E508" s="28" t="str">
        <x:v>site and rig qualification</x:v>
      </x:c>
      <x:c r="F508" s="31" t="str"/>
      <x:c r="G508" s="31" t="str"/>
      <x:c r="H508" s="32" t="str"/>
      <x:c r="I508" s="31" t="str"/>
      <x:c r="J508" s="28" t="str">
        <x:f>IF(I508="","OPEN",IF(OR(F508="",G508="",H508=""),"FAIL","PASS"))</x:f>
        <x:v>OPEN</x:v>
      </x:c>
    </x:row>
    <x:row r="509">
      <x:c r="B509" s="28" t="str">
        <x:v>CQ-DA-126-3</x:v>
      </x:c>
      <x:c r="C509" s="28" t="str">
        <x:v>DA-126</x:v>
      </x:c>
      <x:c r="D509" s="28" t="n">
        <x:v>3</x:v>
      </x:c>
      <x:c r="E509" s="28" t="str">
        <x:v>article-interface qualification</x:v>
      </x:c>
      <x:c r="F509" s="31" t="str"/>
      <x:c r="G509" s="31" t="str"/>
      <x:c r="H509" s="32" t="str"/>
      <x:c r="I509" s="31" t="str"/>
      <x:c r="J509" s="28" t="str">
        <x:f>IF(I509="","OPEN",IF(OR(F509="",G509="",H509=""),"FAIL","PASS"))</x:f>
        <x:v>OPEN</x:v>
      </x:c>
    </x:row>
    <x:row r="510">
      <x:c r="B510" s="28" t="str">
        <x:v>CQ-DA-126-4</x:v>
      </x:c>
      <x:c r="C510" s="28" t="str">
        <x:v>DA-126</x:v>
      </x:c>
      <x:c r="D510" s="28" t="n">
        <x:v>4</x:v>
      </x:c>
      <x:c r="E510" s="28" t="str">
        <x:v>incident and rescue qualification</x:v>
      </x:c>
      <x:c r="F510" s="31" t="str"/>
      <x:c r="G510" s="31" t="str"/>
      <x:c r="H510" s="32" t="str"/>
      <x:c r="I510" s="31" t="str"/>
      <x:c r="J510" s="28" t="str">
        <x:f>IF(I510="","OPEN",IF(OR(F510="",G510="",H510=""),"FAIL","PASS"))</x:f>
        <x:v>OPEN</x:v>
      </x:c>
    </x:row>
    <x:row r="511">
      <x:c r="B511" s="28" t="str">
        <x:v>CQ-DA-127-1</x:v>
      </x:c>
      <x:c r="C511" s="28" t="str">
        <x:v>DA-127</x:v>
      </x:c>
      <x:c r="D511" s="28" t="n">
        <x:v>1</x:v>
      </x:c>
      <x:c r="E511" s="28" t="str">
        <x:v>role qualification</x:v>
      </x:c>
      <x:c r="F511" s="31" t="str"/>
      <x:c r="G511" s="31" t="str"/>
      <x:c r="H511" s="32" t="str"/>
      <x:c r="I511" s="31" t="str"/>
      <x:c r="J511" s="28" t="str">
        <x:f>IF(I511="","OPEN",IF(OR(F511="",G511="",H511=""),"FAIL","PASS"))</x:f>
        <x:v>OPEN</x:v>
      </x:c>
    </x:row>
    <x:row r="512">
      <x:c r="B512" s="28" t="str">
        <x:v>CQ-DA-127-2</x:v>
      </x:c>
      <x:c r="C512" s="28" t="str">
        <x:v>DA-127</x:v>
      </x:c>
      <x:c r="D512" s="28" t="n">
        <x:v>2</x:v>
      </x:c>
      <x:c r="E512" s="28" t="str">
        <x:v>site and rig qualification</x:v>
      </x:c>
      <x:c r="F512" s="31" t="str"/>
      <x:c r="G512" s="31" t="str"/>
      <x:c r="H512" s="32" t="str"/>
      <x:c r="I512" s="31" t="str"/>
      <x:c r="J512" s="28" t="str">
        <x:f>IF(I512="","OPEN",IF(OR(F512="",G512="",H512=""),"FAIL","PASS"))</x:f>
        <x:v>OPEN</x:v>
      </x:c>
    </x:row>
    <x:row r="513">
      <x:c r="B513" s="28" t="str">
        <x:v>CQ-DA-127-3</x:v>
      </x:c>
      <x:c r="C513" s="28" t="str">
        <x:v>DA-127</x:v>
      </x:c>
      <x:c r="D513" s="28" t="n">
        <x:v>3</x:v>
      </x:c>
      <x:c r="E513" s="28" t="str">
        <x:v>article-interface qualification</x:v>
      </x:c>
      <x:c r="F513" s="31" t="str"/>
      <x:c r="G513" s="31" t="str"/>
      <x:c r="H513" s="32" t="str"/>
      <x:c r="I513" s="31" t="str"/>
      <x:c r="J513" s="28" t="str">
        <x:f>IF(I513="","OPEN",IF(OR(F513="",G513="",H513=""),"FAIL","PASS"))</x:f>
        <x:v>OPEN</x:v>
      </x:c>
    </x:row>
    <x:row r="514">
      <x:c r="B514" s="28" t="str">
        <x:v>CQ-DA-127-4</x:v>
      </x:c>
      <x:c r="C514" s="28" t="str">
        <x:v>DA-127</x:v>
      </x:c>
      <x:c r="D514" s="28" t="n">
        <x:v>4</x:v>
      </x:c>
      <x:c r="E514" s="28" t="str">
        <x:v>incident and rescue qualification</x:v>
      </x:c>
      <x:c r="F514" s="31" t="str"/>
      <x:c r="G514" s="31" t="str"/>
      <x:c r="H514" s="32" t="str"/>
      <x:c r="I514" s="31" t="str"/>
      <x:c r="J514" s="28" t="str">
        <x:f>IF(I514="","OPEN",IF(OR(F514="",G514="",H514=""),"FAIL","PASS"))</x:f>
        <x:v>OPEN</x:v>
      </x:c>
    </x:row>
    <x:row r="515">
      <x:c r="B515" s="28" t="str">
        <x:v>CQ-DA-128-1</x:v>
      </x:c>
      <x:c r="C515" s="28" t="str">
        <x:v>DA-128</x:v>
      </x:c>
      <x:c r="D515" s="28" t="n">
        <x:v>1</x:v>
      </x:c>
      <x:c r="E515" s="28" t="str">
        <x:v>role qualification</x:v>
      </x:c>
      <x:c r="F515" s="31" t="str"/>
      <x:c r="G515" s="31" t="str"/>
      <x:c r="H515" s="32" t="str"/>
      <x:c r="I515" s="31" t="str"/>
      <x:c r="J515" s="28" t="str">
        <x:f>IF(I515="","OPEN",IF(OR(F515="",G515="",H515=""),"FAIL","PASS"))</x:f>
        <x:v>OPEN</x:v>
      </x:c>
    </x:row>
    <x:row r="516">
      <x:c r="B516" s="28" t="str">
        <x:v>CQ-DA-128-2</x:v>
      </x:c>
      <x:c r="C516" s="28" t="str">
        <x:v>DA-128</x:v>
      </x:c>
      <x:c r="D516" s="28" t="n">
        <x:v>2</x:v>
      </x:c>
      <x:c r="E516" s="28" t="str">
        <x:v>site and rig qualification</x:v>
      </x:c>
      <x:c r="F516" s="31" t="str"/>
      <x:c r="G516" s="31" t="str"/>
      <x:c r="H516" s="32" t="str"/>
      <x:c r="I516" s="31" t="str"/>
      <x:c r="J516" s="28" t="str">
        <x:f>IF(I516="","OPEN",IF(OR(F516="",G516="",H516=""),"FAIL","PASS"))</x:f>
        <x:v>OPEN</x:v>
      </x:c>
    </x:row>
    <x:row r="517">
      <x:c r="B517" s="28" t="str">
        <x:v>CQ-DA-128-3</x:v>
      </x:c>
      <x:c r="C517" s="28" t="str">
        <x:v>DA-128</x:v>
      </x:c>
      <x:c r="D517" s="28" t="n">
        <x:v>3</x:v>
      </x:c>
      <x:c r="E517" s="28" t="str">
        <x:v>article-interface qualification</x:v>
      </x:c>
      <x:c r="F517" s="31" t="str"/>
      <x:c r="G517" s="31" t="str"/>
      <x:c r="H517" s="32" t="str"/>
      <x:c r="I517" s="31" t="str"/>
      <x:c r="J517" s="28" t="str">
        <x:f>IF(I517="","OPEN",IF(OR(F517="",G517="",H517=""),"FAIL","PASS"))</x:f>
        <x:v>OPEN</x:v>
      </x:c>
    </x:row>
    <x:row r="518">
      <x:c r="B518" s="28" t="str">
        <x:v>CQ-DA-128-4</x:v>
      </x:c>
      <x:c r="C518" s="28" t="str">
        <x:v>DA-128</x:v>
      </x:c>
      <x:c r="D518" s="28" t="n">
        <x:v>4</x:v>
      </x:c>
      <x:c r="E518" s="28" t="str">
        <x:v>incident and rescue qualification</x:v>
      </x:c>
      <x:c r="F518" s="31" t="str"/>
      <x:c r="G518" s="31" t="str"/>
      <x:c r="H518" s="32" t="str"/>
      <x:c r="I518" s="31" t="str"/>
      <x:c r="J518" s="28" t="str">
        <x:f>IF(I518="","OPEN",IF(OR(F518="",G518="",H518=""),"FAIL","PASS"))</x:f>
        <x:v>OPEN</x:v>
      </x:c>
    </x:row>
    <x:row r="519">
      <x:c r="B519" s="28" t="str">
        <x:v>CQ-DA-129-1</x:v>
      </x:c>
      <x:c r="C519" s="28" t="str">
        <x:v>DA-129</x:v>
      </x:c>
      <x:c r="D519" s="28" t="n">
        <x:v>1</x:v>
      </x:c>
      <x:c r="E519" s="28" t="str">
        <x:v>role qualification</x:v>
      </x:c>
      <x:c r="F519" s="31" t="str"/>
      <x:c r="G519" s="31" t="str"/>
      <x:c r="H519" s="32" t="str"/>
      <x:c r="I519" s="31" t="str"/>
      <x:c r="J519" s="28" t="str">
        <x:f>IF(I519="","OPEN",IF(OR(F519="",G519="",H519=""),"FAIL","PASS"))</x:f>
        <x:v>OPEN</x:v>
      </x:c>
    </x:row>
    <x:row r="520">
      <x:c r="B520" s="28" t="str">
        <x:v>CQ-DA-129-2</x:v>
      </x:c>
      <x:c r="C520" s="28" t="str">
        <x:v>DA-129</x:v>
      </x:c>
      <x:c r="D520" s="28" t="n">
        <x:v>2</x:v>
      </x:c>
      <x:c r="E520" s="28" t="str">
        <x:v>site and rig qualification</x:v>
      </x:c>
      <x:c r="F520" s="31" t="str"/>
      <x:c r="G520" s="31" t="str"/>
      <x:c r="H520" s="32" t="str"/>
      <x:c r="I520" s="31" t="str"/>
      <x:c r="J520" s="28" t="str">
        <x:f>IF(I520="","OPEN",IF(OR(F520="",G520="",H520=""),"FAIL","PASS"))</x:f>
        <x:v>OPEN</x:v>
      </x:c>
    </x:row>
    <x:row r="521">
      <x:c r="B521" s="28" t="str">
        <x:v>CQ-DA-129-3</x:v>
      </x:c>
      <x:c r="C521" s="28" t="str">
        <x:v>DA-129</x:v>
      </x:c>
      <x:c r="D521" s="28" t="n">
        <x:v>3</x:v>
      </x:c>
      <x:c r="E521" s="28" t="str">
        <x:v>article-interface qualification</x:v>
      </x:c>
      <x:c r="F521" s="31" t="str"/>
      <x:c r="G521" s="31" t="str"/>
      <x:c r="H521" s="32" t="str"/>
      <x:c r="I521" s="31" t="str"/>
      <x:c r="J521" s="28" t="str">
        <x:f>IF(I521="","OPEN",IF(OR(F521="",G521="",H521=""),"FAIL","PASS"))</x:f>
        <x:v>OPEN</x:v>
      </x:c>
    </x:row>
    <x:row r="522">
      <x:c r="B522" s="28" t="str">
        <x:v>CQ-DA-129-4</x:v>
      </x:c>
      <x:c r="C522" s="28" t="str">
        <x:v>DA-129</x:v>
      </x:c>
      <x:c r="D522" s="28" t="n">
        <x:v>4</x:v>
      </x:c>
      <x:c r="E522" s="28" t="str">
        <x:v>incident and rescue qualification</x:v>
      </x:c>
      <x:c r="F522" s="31" t="str"/>
      <x:c r="G522" s="31" t="str"/>
      <x:c r="H522" s="32" t="str"/>
      <x:c r="I522" s="31" t="str"/>
      <x:c r="J522" s="28" t="str">
        <x:f>IF(I522="","OPEN",IF(OR(F522="",G522="",H522=""),"FAIL","PASS"))</x:f>
        <x:v>OPEN</x:v>
      </x:c>
    </x:row>
    <x:row r="523">
      <x:c r="B523" s="28" t="str">
        <x:v>CQ-DA-130-1</x:v>
      </x:c>
      <x:c r="C523" s="28" t="str">
        <x:v>DA-130</x:v>
      </x:c>
      <x:c r="D523" s="28" t="n">
        <x:v>1</x:v>
      </x:c>
      <x:c r="E523" s="28" t="str">
        <x:v>role qualification</x:v>
      </x:c>
      <x:c r="F523" s="31" t="str"/>
      <x:c r="G523" s="31" t="str"/>
      <x:c r="H523" s="32" t="str"/>
      <x:c r="I523" s="31" t="str"/>
      <x:c r="J523" s="28" t="str">
        <x:f>IF(I523="","OPEN",IF(OR(F523="",G523="",H523=""),"FAIL","PASS"))</x:f>
        <x:v>OPEN</x:v>
      </x:c>
    </x:row>
    <x:row r="524">
      <x:c r="B524" s="28" t="str">
        <x:v>CQ-DA-130-2</x:v>
      </x:c>
      <x:c r="C524" s="28" t="str">
        <x:v>DA-130</x:v>
      </x:c>
      <x:c r="D524" s="28" t="n">
        <x:v>2</x:v>
      </x:c>
      <x:c r="E524" s="28" t="str">
        <x:v>site and rig qualification</x:v>
      </x:c>
      <x:c r="F524" s="31" t="str"/>
      <x:c r="G524" s="31" t="str"/>
      <x:c r="H524" s="32" t="str"/>
      <x:c r="I524" s="31" t="str"/>
      <x:c r="J524" s="28" t="str">
        <x:f>IF(I524="","OPEN",IF(OR(F524="",G524="",H524=""),"FAIL","PASS"))</x:f>
        <x:v>OPEN</x:v>
      </x:c>
    </x:row>
    <x:row r="525">
      <x:c r="B525" s="28" t="str">
        <x:v>CQ-DA-130-3</x:v>
      </x:c>
      <x:c r="C525" s="28" t="str">
        <x:v>DA-130</x:v>
      </x:c>
      <x:c r="D525" s="28" t="n">
        <x:v>3</x:v>
      </x:c>
      <x:c r="E525" s="28" t="str">
        <x:v>article-interface qualification</x:v>
      </x:c>
      <x:c r="F525" s="31" t="str"/>
      <x:c r="G525" s="31" t="str"/>
      <x:c r="H525" s="32" t="str"/>
      <x:c r="I525" s="31" t="str"/>
      <x:c r="J525" s="28" t="str">
        <x:f>IF(I525="","OPEN",IF(OR(F525="",G525="",H525=""),"FAIL","PASS"))</x:f>
        <x:v>OPEN</x:v>
      </x:c>
    </x:row>
    <x:row r="526">
      <x:c r="B526" s="28" t="str">
        <x:v>CQ-DA-130-4</x:v>
      </x:c>
      <x:c r="C526" s="28" t="str">
        <x:v>DA-130</x:v>
      </x:c>
      <x:c r="D526" s="28" t="n">
        <x:v>4</x:v>
      </x:c>
      <x:c r="E526" s="28" t="str">
        <x:v>incident and rescue qualification</x:v>
      </x:c>
      <x:c r="F526" s="31" t="str"/>
      <x:c r="G526" s="31" t="str"/>
      <x:c r="H526" s="32" t="str"/>
      <x:c r="I526" s="31" t="str"/>
      <x:c r="J526" s="28" t="str">
        <x:f>IF(I526="","OPEN",IF(OR(F526="",G526="",H526=""),"FAIL","PASS"))</x:f>
        <x:v>OPEN</x:v>
      </x:c>
    </x:row>
    <x:row r="527">
      <x:c r="B527" s="28" t="str">
        <x:v>CQ-DA-131-1</x:v>
      </x:c>
      <x:c r="C527" s="28" t="str">
        <x:v>DA-131</x:v>
      </x:c>
      <x:c r="D527" s="28" t="n">
        <x:v>1</x:v>
      </x:c>
      <x:c r="E527" s="28" t="str">
        <x:v>role qualification</x:v>
      </x:c>
      <x:c r="F527" s="31" t="str"/>
      <x:c r="G527" s="31" t="str"/>
      <x:c r="H527" s="32" t="str"/>
      <x:c r="I527" s="31" t="str"/>
      <x:c r="J527" s="28" t="str">
        <x:f>IF(I527="","OPEN",IF(OR(F527="",G527="",H527=""),"FAIL","PASS"))</x:f>
        <x:v>OPEN</x:v>
      </x:c>
    </x:row>
    <x:row r="528">
      <x:c r="B528" s="28" t="str">
        <x:v>CQ-DA-131-2</x:v>
      </x:c>
      <x:c r="C528" s="28" t="str">
        <x:v>DA-131</x:v>
      </x:c>
      <x:c r="D528" s="28" t="n">
        <x:v>2</x:v>
      </x:c>
      <x:c r="E528" s="28" t="str">
        <x:v>site and rig qualification</x:v>
      </x:c>
      <x:c r="F528" s="31" t="str"/>
      <x:c r="G528" s="31" t="str"/>
      <x:c r="H528" s="32" t="str"/>
      <x:c r="I528" s="31" t="str"/>
      <x:c r="J528" s="28" t="str">
        <x:f>IF(I528="","OPEN",IF(OR(F528="",G528="",H528=""),"FAIL","PASS"))</x:f>
        <x:v>OPEN</x:v>
      </x:c>
    </x:row>
    <x:row r="529">
      <x:c r="B529" s="28" t="str">
        <x:v>CQ-DA-131-3</x:v>
      </x:c>
      <x:c r="C529" s="28" t="str">
        <x:v>DA-131</x:v>
      </x:c>
      <x:c r="D529" s="28" t="n">
        <x:v>3</x:v>
      </x:c>
      <x:c r="E529" s="28" t="str">
        <x:v>article-interface qualification</x:v>
      </x:c>
      <x:c r="F529" s="31" t="str"/>
      <x:c r="G529" s="31" t="str"/>
      <x:c r="H529" s="32" t="str"/>
      <x:c r="I529" s="31" t="str"/>
      <x:c r="J529" s="28" t="str">
        <x:f>IF(I529="","OPEN",IF(OR(F529="",G529="",H529=""),"FAIL","PASS"))</x:f>
        <x:v>OPEN</x:v>
      </x:c>
    </x:row>
    <x:row r="530">
      <x:c r="B530" s="28" t="str">
        <x:v>CQ-DA-131-4</x:v>
      </x:c>
      <x:c r="C530" s="28" t="str">
        <x:v>DA-131</x:v>
      </x:c>
      <x:c r="D530" s="28" t="n">
        <x:v>4</x:v>
      </x:c>
      <x:c r="E530" s="28" t="str">
        <x:v>incident and rescue qualification</x:v>
      </x:c>
      <x:c r="F530" s="31" t="str"/>
      <x:c r="G530" s="31" t="str"/>
      <x:c r="H530" s="32" t="str"/>
      <x:c r="I530" s="31" t="str"/>
      <x:c r="J530" s="28" t="str">
        <x:f>IF(I530="","OPEN",IF(OR(F530="",G530="",H530=""),"FAIL","PASS"))</x:f>
        <x:v>OPEN</x:v>
      </x:c>
    </x:row>
    <x:row r="531">
      <x:c r="B531" s="28" t="str">
        <x:v>CQ-DA-132-1</x:v>
      </x:c>
      <x:c r="C531" s="28" t="str">
        <x:v>DA-132</x:v>
      </x:c>
      <x:c r="D531" s="28" t="n">
        <x:v>1</x:v>
      </x:c>
      <x:c r="E531" s="28" t="str">
        <x:v>role qualification</x:v>
      </x:c>
      <x:c r="F531" s="31" t="str"/>
      <x:c r="G531" s="31" t="str"/>
      <x:c r="H531" s="32" t="str"/>
      <x:c r="I531" s="31" t="str"/>
      <x:c r="J531" s="28" t="str">
        <x:f>IF(I531="","OPEN",IF(OR(F531="",G531="",H531=""),"FAIL","PASS"))</x:f>
        <x:v>OPEN</x:v>
      </x:c>
    </x:row>
    <x:row r="532">
      <x:c r="B532" s="28" t="str">
        <x:v>CQ-DA-132-2</x:v>
      </x:c>
      <x:c r="C532" s="28" t="str">
        <x:v>DA-132</x:v>
      </x:c>
      <x:c r="D532" s="28" t="n">
        <x:v>2</x:v>
      </x:c>
      <x:c r="E532" s="28" t="str">
        <x:v>site and rig qualification</x:v>
      </x:c>
      <x:c r="F532" s="31" t="str"/>
      <x:c r="G532" s="31" t="str"/>
      <x:c r="H532" s="32" t="str"/>
      <x:c r="I532" s="31" t="str"/>
      <x:c r="J532" s="28" t="str">
        <x:f>IF(I532="","OPEN",IF(OR(F532="",G532="",H532=""),"FAIL","PASS"))</x:f>
        <x:v>OPEN</x:v>
      </x:c>
    </x:row>
    <x:row r="533">
      <x:c r="B533" s="28" t="str">
        <x:v>CQ-DA-132-3</x:v>
      </x:c>
      <x:c r="C533" s="28" t="str">
        <x:v>DA-132</x:v>
      </x:c>
      <x:c r="D533" s="28" t="n">
        <x:v>3</x:v>
      </x:c>
      <x:c r="E533" s="28" t="str">
        <x:v>article-interface qualification</x:v>
      </x:c>
      <x:c r="F533" s="31" t="str"/>
      <x:c r="G533" s="31" t="str"/>
      <x:c r="H533" s="32" t="str"/>
      <x:c r="I533" s="31" t="str"/>
      <x:c r="J533" s="28" t="str">
        <x:f>IF(I533="","OPEN",IF(OR(F533="",G533="",H533=""),"FAIL","PASS"))</x:f>
        <x:v>OPEN</x:v>
      </x:c>
    </x:row>
    <x:row r="534">
      <x:c r="B534" s="28" t="str">
        <x:v>CQ-DA-132-4</x:v>
      </x:c>
      <x:c r="C534" s="28" t="str">
        <x:v>DA-132</x:v>
      </x:c>
      <x:c r="D534" s="28" t="n">
        <x:v>4</x:v>
      </x:c>
      <x:c r="E534" s="28" t="str">
        <x:v>incident and rescue qualification</x:v>
      </x:c>
      <x:c r="F534" s="31" t="str"/>
      <x:c r="G534" s="31" t="str"/>
      <x:c r="H534" s="32" t="str"/>
      <x:c r="I534" s="31" t="str"/>
      <x:c r="J534" s="28" t="str">
        <x:f>IF(I534="","OPEN",IF(OR(F534="",G534="",H534=""),"FAIL","PASS"))</x:f>
        <x:v>OPEN</x:v>
      </x:c>
    </x:row>
    <x:row r="535">
      <x:c r="B535" s="28" t="str">
        <x:v>CQ-DA-133-1</x:v>
      </x:c>
      <x:c r="C535" s="28" t="str">
        <x:v>DA-133</x:v>
      </x:c>
      <x:c r="D535" s="28" t="n">
        <x:v>1</x:v>
      </x:c>
      <x:c r="E535" s="28" t="str">
        <x:v>role qualification</x:v>
      </x:c>
      <x:c r="F535" s="31" t="str"/>
      <x:c r="G535" s="31" t="str"/>
      <x:c r="H535" s="32" t="str"/>
      <x:c r="I535" s="31" t="str"/>
      <x:c r="J535" s="28" t="str">
        <x:f>IF(I535="","OPEN",IF(OR(F535="",G535="",H535=""),"FAIL","PASS"))</x:f>
        <x:v>OPEN</x:v>
      </x:c>
    </x:row>
    <x:row r="536">
      <x:c r="B536" s="28" t="str">
        <x:v>CQ-DA-133-2</x:v>
      </x:c>
      <x:c r="C536" s="28" t="str">
        <x:v>DA-133</x:v>
      </x:c>
      <x:c r="D536" s="28" t="n">
        <x:v>2</x:v>
      </x:c>
      <x:c r="E536" s="28" t="str">
        <x:v>site and rig qualification</x:v>
      </x:c>
      <x:c r="F536" s="31" t="str"/>
      <x:c r="G536" s="31" t="str"/>
      <x:c r="H536" s="32" t="str"/>
      <x:c r="I536" s="31" t="str"/>
      <x:c r="J536" s="28" t="str">
        <x:f>IF(I536="","OPEN",IF(OR(F536="",G536="",H536=""),"FAIL","PASS"))</x:f>
        <x:v>OPEN</x:v>
      </x:c>
    </x:row>
    <x:row r="537">
      <x:c r="B537" s="28" t="str">
        <x:v>CQ-DA-133-3</x:v>
      </x:c>
      <x:c r="C537" s="28" t="str">
        <x:v>DA-133</x:v>
      </x:c>
      <x:c r="D537" s="28" t="n">
        <x:v>3</x:v>
      </x:c>
      <x:c r="E537" s="28" t="str">
        <x:v>article-interface qualification</x:v>
      </x:c>
      <x:c r="F537" s="31" t="str"/>
      <x:c r="G537" s="31" t="str"/>
      <x:c r="H537" s="32" t="str"/>
      <x:c r="I537" s="31" t="str"/>
      <x:c r="J537" s="28" t="str">
        <x:f>IF(I537="","OPEN",IF(OR(F537="",G537="",H537=""),"FAIL","PASS"))</x:f>
        <x:v>OPEN</x:v>
      </x:c>
    </x:row>
    <x:row r="538">
      <x:c r="B538" s="28" t="str">
        <x:v>CQ-DA-133-4</x:v>
      </x:c>
      <x:c r="C538" s="28" t="str">
        <x:v>DA-133</x:v>
      </x:c>
      <x:c r="D538" s="28" t="n">
        <x:v>4</x:v>
      </x:c>
      <x:c r="E538" s="28" t="str">
        <x:v>incident and rescue qualification</x:v>
      </x:c>
      <x:c r="F538" s="31" t="str"/>
      <x:c r="G538" s="31" t="str"/>
      <x:c r="H538" s="32" t="str"/>
      <x:c r="I538" s="31" t="str"/>
      <x:c r="J538" s="28" t="str">
        <x:f>IF(I538="","OPEN",IF(OR(F538="",G538="",H538=""),"FAIL","PASS"))</x:f>
        <x:v>OPEN</x:v>
      </x:c>
    </x:row>
    <x:row r="539">
      <x:c r="B539" s="28" t="str">
        <x:v>CQ-DA-134-1</x:v>
      </x:c>
      <x:c r="C539" s="28" t="str">
        <x:v>DA-134</x:v>
      </x:c>
      <x:c r="D539" s="28" t="n">
        <x:v>1</x:v>
      </x:c>
      <x:c r="E539" s="28" t="str">
        <x:v>role qualification</x:v>
      </x:c>
      <x:c r="F539" s="31" t="str"/>
      <x:c r="G539" s="31" t="str"/>
      <x:c r="H539" s="32" t="str"/>
      <x:c r="I539" s="31" t="str"/>
      <x:c r="J539" s="28" t="str">
        <x:f>IF(I539="","OPEN",IF(OR(F539="",G539="",H539=""),"FAIL","PASS"))</x:f>
        <x:v>OPEN</x:v>
      </x:c>
    </x:row>
    <x:row r="540">
      <x:c r="B540" s="28" t="str">
        <x:v>CQ-DA-134-2</x:v>
      </x:c>
      <x:c r="C540" s="28" t="str">
        <x:v>DA-134</x:v>
      </x:c>
      <x:c r="D540" s="28" t="n">
        <x:v>2</x:v>
      </x:c>
      <x:c r="E540" s="28" t="str">
        <x:v>site and rig qualification</x:v>
      </x:c>
      <x:c r="F540" s="31" t="str"/>
      <x:c r="G540" s="31" t="str"/>
      <x:c r="H540" s="32" t="str"/>
      <x:c r="I540" s="31" t="str"/>
      <x:c r="J540" s="28" t="str">
        <x:f>IF(I540="","OPEN",IF(OR(F540="",G540="",H540=""),"FAIL","PASS"))</x:f>
        <x:v>OPEN</x:v>
      </x:c>
    </x:row>
    <x:row r="541">
      <x:c r="B541" s="28" t="str">
        <x:v>CQ-DA-134-3</x:v>
      </x:c>
      <x:c r="C541" s="28" t="str">
        <x:v>DA-134</x:v>
      </x:c>
      <x:c r="D541" s="28" t="n">
        <x:v>3</x:v>
      </x:c>
      <x:c r="E541" s="28" t="str">
        <x:v>article-interface qualification</x:v>
      </x:c>
      <x:c r="F541" s="31" t="str"/>
      <x:c r="G541" s="31" t="str"/>
      <x:c r="H541" s="32" t="str"/>
      <x:c r="I541" s="31" t="str"/>
      <x:c r="J541" s="28" t="str">
        <x:f>IF(I541="","OPEN",IF(OR(F541="",G541="",H541=""),"FAIL","PASS"))</x:f>
        <x:v>OPEN</x:v>
      </x:c>
    </x:row>
    <x:row r="542">
      <x:c r="B542" s="28" t="str">
        <x:v>CQ-DA-134-4</x:v>
      </x:c>
      <x:c r="C542" s="28" t="str">
        <x:v>DA-134</x:v>
      </x:c>
      <x:c r="D542" s="28" t="n">
        <x:v>4</x:v>
      </x:c>
      <x:c r="E542" s="28" t="str">
        <x:v>incident and rescue qualification</x:v>
      </x:c>
      <x:c r="F542" s="31" t="str"/>
      <x:c r="G542" s="31" t="str"/>
      <x:c r="H542" s="32" t="str"/>
      <x:c r="I542" s="31" t="str"/>
      <x:c r="J542" s="28" t="str">
        <x:f>IF(I542="","OPEN",IF(OR(F542="",G542="",H542=""),"FAIL","PASS"))</x:f>
        <x:v>OPEN</x:v>
      </x:c>
    </x:row>
    <x:row r="543">
      <x:c r="B543" s="28" t="str">
        <x:v>CQ-DA-135-1</x:v>
      </x:c>
      <x:c r="C543" s="28" t="str">
        <x:v>DA-135</x:v>
      </x:c>
      <x:c r="D543" s="28" t="n">
        <x:v>1</x:v>
      </x:c>
      <x:c r="E543" s="28" t="str">
        <x:v>role qualification</x:v>
      </x:c>
      <x:c r="F543" s="31" t="str"/>
      <x:c r="G543" s="31" t="str"/>
      <x:c r="H543" s="32" t="str"/>
      <x:c r="I543" s="31" t="str"/>
      <x:c r="J543" s="28" t="str">
        <x:f>IF(I543="","OPEN",IF(OR(F543="",G543="",H543=""),"FAIL","PASS"))</x:f>
        <x:v>OPEN</x:v>
      </x:c>
    </x:row>
    <x:row r="544">
      <x:c r="B544" s="28" t="str">
        <x:v>CQ-DA-135-2</x:v>
      </x:c>
      <x:c r="C544" s="28" t="str">
        <x:v>DA-135</x:v>
      </x:c>
      <x:c r="D544" s="28" t="n">
        <x:v>2</x:v>
      </x:c>
      <x:c r="E544" s="28" t="str">
        <x:v>site and rig qualification</x:v>
      </x:c>
      <x:c r="F544" s="31" t="str"/>
      <x:c r="G544" s="31" t="str"/>
      <x:c r="H544" s="32" t="str"/>
      <x:c r="I544" s="31" t="str"/>
      <x:c r="J544" s="28" t="str">
        <x:f>IF(I544="","OPEN",IF(OR(F544="",G544="",H544=""),"FAIL","PASS"))</x:f>
        <x:v>OPEN</x:v>
      </x:c>
    </x:row>
    <x:row r="545">
      <x:c r="B545" s="28" t="str">
        <x:v>CQ-DA-135-3</x:v>
      </x:c>
      <x:c r="C545" s="28" t="str">
        <x:v>DA-135</x:v>
      </x:c>
      <x:c r="D545" s="28" t="n">
        <x:v>3</x:v>
      </x:c>
      <x:c r="E545" s="28" t="str">
        <x:v>article-interface qualification</x:v>
      </x:c>
      <x:c r="F545" s="31" t="str"/>
      <x:c r="G545" s="31" t="str"/>
      <x:c r="H545" s="32" t="str"/>
      <x:c r="I545" s="31" t="str"/>
      <x:c r="J545" s="28" t="str">
        <x:f>IF(I545="","OPEN",IF(OR(F545="",G545="",H545=""),"FAIL","PASS"))</x:f>
        <x:v>OPEN</x:v>
      </x:c>
    </x:row>
    <x:row r="546">
      <x:c r="B546" s="28" t="str">
        <x:v>CQ-DA-135-4</x:v>
      </x:c>
      <x:c r="C546" s="28" t="str">
        <x:v>DA-135</x:v>
      </x:c>
      <x:c r="D546" s="28" t="n">
        <x:v>4</x:v>
      </x:c>
      <x:c r="E546" s="28" t="str">
        <x:v>incident and rescue qualification</x:v>
      </x:c>
      <x:c r="F546" s="31" t="str"/>
      <x:c r="G546" s="31" t="str"/>
      <x:c r="H546" s="32" t="str"/>
      <x:c r="I546" s="31" t="str"/>
      <x:c r="J546" s="28" t="str">
        <x:f>IF(I546="","OPEN",IF(OR(F546="",G546="",H546=""),"FAIL","PASS"))</x:f>
        <x:v>OPEN</x:v>
      </x:c>
    </x:row>
    <x:row r="547">
      <x:c r="B547" s="28" t="str">
        <x:v>CQ-DA-136-1</x:v>
      </x:c>
      <x:c r="C547" s="28" t="str">
        <x:v>DA-136</x:v>
      </x:c>
      <x:c r="D547" s="28" t="n">
        <x:v>1</x:v>
      </x:c>
      <x:c r="E547" s="28" t="str">
        <x:v>role qualification</x:v>
      </x:c>
      <x:c r="F547" s="31" t="str"/>
      <x:c r="G547" s="31" t="str"/>
      <x:c r="H547" s="32" t="str"/>
      <x:c r="I547" s="31" t="str"/>
      <x:c r="J547" s="28" t="str">
        <x:f>IF(I547="","OPEN",IF(OR(F547="",G547="",H547=""),"FAIL","PASS"))</x:f>
        <x:v>OPEN</x:v>
      </x:c>
    </x:row>
    <x:row r="548">
      <x:c r="B548" s="28" t="str">
        <x:v>CQ-DA-136-2</x:v>
      </x:c>
      <x:c r="C548" s="28" t="str">
        <x:v>DA-136</x:v>
      </x:c>
      <x:c r="D548" s="28" t="n">
        <x:v>2</x:v>
      </x:c>
      <x:c r="E548" s="28" t="str">
        <x:v>site and rig qualification</x:v>
      </x:c>
      <x:c r="F548" s="31" t="str"/>
      <x:c r="G548" s="31" t="str"/>
      <x:c r="H548" s="32" t="str"/>
      <x:c r="I548" s="31" t="str"/>
      <x:c r="J548" s="28" t="str">
        <x:f>IF(I548="","OPEN",IF(OR(F548="",G548="",H548=""),"FAIL","PASS"))</x:f>
        <x:v>OPEN</x:v>
      </x:c>
    </x:row>
    <x:row r="549">
      <x:c r="B549" s="28" t="str">
        <x:v>CQ-DA-136-3</x:v>
      </x:c>
      <x:c r="C549" s="28" t="str">
        <x:v>DA-136</x:v>
      </x:c>
      <x:c r="D549" s="28" t="n">
        <x:v>3</x:v>
      </x:c>
      <x:c r="E549" s="28" t="str">
        <x:v>article-interface qualification</x:v>
      </x:c>
      <x:c r="F549" s="31" t="str"/>
      <x:c r="G549" s="31" t="str"/>
      <x:c r="H549" s="32" t="str"/>
      <x:c r="I549" s="31" t="str"/>
      <x:c r="J549" s="28" t="str">
        <x:f>IF(I549="","OPEN",IF(OR(F549="",G549="",H549=""),"FAIL","PASS"))</x:f>
        <x:v>OPEN</x:v>
      </x:c>
    </x:row>
    <x:row r="550">
      <x:c r="B550" s="28" t="str">
        <x:v>CQ-DA-136-4</x:v>
      </x:c>
      <x:c r="C550" s="28" t="str">
        <x:v>DA-136</x:v>
      </x:c>
      <x:c r="D550" s="28" t="n">
        <x:v>4</x:v>
      </x:c>
      <x:c r="E550" s="28" t="str">
        <x:v>incident and rescue qualification</x:v>
      </x:c>
      <x:c r="F550" s="31" t="str"/>
      <x:c r="G550" s="31" t="str"/>
      <x:c r="H550" s="32" t="str"/>
      <x:c r="I550" s="31" t="str"/>
      <x:c r="J550" s="28" t="str">
        <x:f>IF(I550="","OPEN",IF(OR(F550="",G550="",H550=""),"FAIL","PASS"))</x:f>
        <x:v>OPEN</x:v>
      </x:c>
    </x:row>
    <x:row r="551">
      <x:c r="B551" s="28" t="str">
        <x:v>CQ-DA-137-1</x:v>
      </x:c>
      <x:c r="C551" s="28" t="str">
        <x:v>DA-137</x:v>
      </x:c>
      <x:c r="D551" s="28" t="n">
        <x:v>1</x:v>
      </x:c>
      <x:c r="E551" s="28" t="str">
        <x:v>role qualification</x:v>
      </x:c>
      <x:c r="F551" s="31" t="str"/>
      <x:c r="G551" s="31" t="str"/>
      <x:c r="H551" s="32" t="str"/>
      <x:c r="I551" s="31" t="str"/>
      <x:c r="J551" s="28" t="str">
        <x:f>IF(I551="","OPEN",IF(OR(F551="",G551="",H551=""),"FAIL","PASS"))</x:f>
        <x:v>OPEN</x:v>
      </x:c>
    </x:row>
    <x:row r="552">
      <x:c r="B552" s="28" t="str">
        <x:v>CQ-DA-137-2</x:v>
      </x:c>
      <x:c r="C552" s="28" t="str">
        <x:v>DA-137</x:v>
      </x:c>
      <x:c r="D552" s="28" t="n">
        <x:v>2</x:v>
      </x:c>
      <x:c r="E552" s="28" t="str">
        <x:v>site and rig qualification</x:v>
      </x:c>
      <x:c r="F552" s="31" t="str"/>
      <x:c r="G552" s="31" t="str"/>
      <x:c r="H552" s="32" t="str"/>
      <x:c r="I552" s="31" t="str"/>
      <x:c r="J552" s="28" t="str">
        <x:f>IF(I552="","OPEN",IF(OR(F552="",G552="",H552=""),"FAIL","PASS"))</x:f>
        <x:v>OPEN</x:v>
      </x:c>
    </x:row>
    <x:row r="553">
      <x:c r="B553" s="28" t="str">
        <x:v>CQ-DA-137-3</x:v>
      </x:c>
      <x:c r="C553" s="28" t="str">
        <x:v>DA-137</x:v>
      </x:c>
      <x:c r="D553" s="28" t="n">
        <x:v>3</x:v>
      </x:c>
      <x:c r="E553" s="28" t="str">
        <x:v>article-interface qualification</x:v>
      </x:c>
      <x:c r="F553" s="31" t="str"/>
      <x:c r="G553" s="31" t="str"/>
      <x:c r="H553" s="32" t="str"/>
      <x:c r="I553" s="31" t="str"/>
      <x:c r="J553" s="28" t="str">
        <x:f>IF(I553="","OPEN",IF(OR(F553="",G553="",H553=""),"FAIL","PASS"))</x:f>
        <x:v>OPEN</x:v>
      </x:c>
    </x:row>
    <x:row r="554">
      <x:c r="B554" s="28" t="str">
        <x:v>CQ-DA-137-4</x:v>
      </x:c>
      <x:c r="C554" s="28" t="str">
        <x:v>DA-137</x:v>
      </x:c>
      <x:c r="D554" s="28" t="n">
        <x:v>4</x:v>
      </x:c>
      <x:c r="E554" s="28" t="str">
        <x:v>incident and rescue qualification</x:v>
      </x:c>
      <x:c r="F554" s="31" t="str"/>
      <x:c r="G554" s="31" t="str"/>
      <x:c r="H554" s="32" t="str"/>
      <x:c r="I554" s="31" t="str"/>
      <x:c r="J554" s="28" t="str">
        <x:f>IF(I554="","OPEN",IF(OR(F554="",G554="",H554=""),"FAIL","PASS"))</x:f>
        <x:v>OPEN</x:v>
      </x:c>
    </x:row>
    <x:row r="555">
      <x:c r="B555" s="28" t="str">
        <x:v>CQ-DA-138-1</x:v>
      </x:c>
      <x:c r="C555" s="28" t="str">
        <x:v>DA-138</x:v>
      </x:c>
      <x:c r="D555" s="28" t="n">
        <x:v>1</x:v>
      </x:c>
      <x:c r="E555" s="28" t="str">
        <x:v>role qualification</x:v>
      </x:c>
      <x:c r="F555" s="31" t="str"/>
      <x:c r="G555" s="31" t="str"/>
      <x:c r="H555" s="32" t="str"/>
      <x:c r="I555" s="31" t="str"/>
      <x:c r="J555" s="28" t="str">
        <x:f>IF(I555="","OPEN",IF(OR(F555="",G555="",H555=""),"FAIL","PASS"))</x:f>
        <x:v>OPEN</x:v>
      </x:c>
    </x:row>
    <x:row r="556">
      <x:c r="B556" s="28" t="str">
        <x:v>CQ-DA-138-2</x:v>
      </x:c>
      <x:c r="C556" s="28" t="str">
        <x:v>DA-138</x:v>
      </x:c>
      <x:c r="D556" s="28" t="n">
        <x:v>2</x:v>
      </x:c>
      <x:c r="E556" s="28" t="str">
        <x:v>site and rig qualification</x:v>
      </x:c>
      <x:c r="F556" s="31" t="str"/>
      <x:c r="G556" s="31" t="str"/>
      <x:c r="H556" s="32" t="str"/>
      <x:c r="I556" s="31" t="str"/>
      <x:c r="J556" s="28" t="str">
        <x:f>IF(I556="","OPEN",IF(OR(F556="",G556="",H556=""),"FAIL","PASS"))</x:f>
        <x:v>OPEN</x:v>
      </x:c>
    </x:row>
    <x:row r="557">
      <x:c r="B557" s="28" t="str">
        <x:v>CQ-DA-138-3</x:v>
      </x:c>
      <x:c r="C557" s="28" t="str">
        <x:v>DA-138</x:v>
      </x:c>
      <x:c r="D557" s="28" t="n">
        <x:v>3</x:v>
      </x:c>
      <x:c r="E557" s="28" t="str">
        <x:v>article-interface qualification</x:v>
      </x:c>
      <x:c r="F557" s="31" t="str"/>
      <x:c r="G557" s="31" t="str"/>
      <x:c r="H557" s="32" t="str"/>
      <x:c r="I557" s="31" t="str"/>
      <x:c r="J557" s="28" t="str">
        <x:f>IF(I557="","OPEN",IF(OR(F557="",G557="",H557=""),"FAIL","PASS"))</x:f>
        <x:v>OPEN</x:v>
      </x:c>
    </x:row>
    <x:row r="558">
      <x:c r="B558" s="28" t="str">
        <x:v>CQ-DA-138-4</x:v>
      </x:c>
      <x:c r="C558" s="28" t="str">
        <x:v>DA-138</x:v>
      </x:c>
      <x:c r="D558" s="28" t="n">
        <x:v>4</x:v>
      </x:c>
      <x:c r="E558" s="28" t="str">
        <x:v>incident and rescue qualification</x:v>
      </x:c>
      <x:c r="F558" s="31" t="str"/>
      <x:c r="G558" s="31" t="str"/>
      <x:c r="H558" s="32" t="str"/>
      <x:c r="I558" s="31" t="str"/>
      <x:c r="J558" s="28" t="str">
        <x:f>IF(I558="","OPEN",IF(OR(F558="",G558="",H558=""),"FAIL","PASS"))</x:f>
        <x:v>OPEN</x:v>
      </x:c>
    </x:row>
    <x:row r="559">
      <x:c r="B559" s="28" t="str">
        <x:v>CQ-DA-139-1</x:v>
      </x:c>
      <x:c r="C559" s="28" t="str">
        <x:v>DA-139</x:v>
      </x:c>
      <x:c r="D559" s="28" t="n">
        <x:v>1</x:v>
      </x:c>
      <x:c r="E559" s="28" t="str">
        <x:v>role qualification</x:v>
      </x:c>
      <x:c r="F559" s="31" t="str"/>
      <x:c r="G559" s="31" t="str"/>
      <x:c r="H559" s="32" t="str"/>
      <x:c r="I559" s="31" t="str"/>
      <x:c r="J559" s="28" t="str">
        <x:f>IF(I559="","OPEN",IF(OR(F559="",G559="",H559=""),"FAIL","PASS"))</x:f>
        <x:v>OPEN</x:v>
      </x:c>
    </x:row>
    <x:row r="560">
      <x:c r="B560" s="28" t="str">
        <x:v>CQ-DA-139-2</x:v>
      </x:c>
      <x:c r="C560" s="28" t="str">
        <x:v>DA-139</x:v>
      </x:c>
      <x:c r="D560" s="28" t="n">
        <x:v>2</x:v>
      </x:c>
      <x:c r="E560" s="28" t="str">
        <x:v>site and rig qualification</x:v>
      </x:c>
      <x:c r="F560" s="31" t="str"/>
      <x:c r="G560" s="31" t="str"/>
      <x:c r="H560" s="32" t="str"/>
      <x:c r="I560" s="31" t="str"/>
      <x:c r="J560" s="28" t="str">
        <x:f>IF(I560="","OPEN",IF(OR(F560="",G560="",H560=""),"FAIL","PASS"))</x:f>
        <x:v>OPEN</x:v>
      </x:c>
    </x:row>
    <x:row r="561">
      <x:c r="B561" s="28" t="str">
        <x:v>CQ-DA-139-3</x:v>
      </x:c>
      <x:c r="C561" s="28" t="str">
        <x:v>DA-139</x:v>
      </x:c>
      <x:c r="D561" s="28" t="n">
        <x:v>3</x:v>
      </x:c>
      <x:c r="E561" s="28" t="str">
        <x:v>article-interface qualification</x:v>
      </x:c>
      <x:c r="F561" s="31" t="str"/>
      <x:c r="G561" s="31" t="str"/>
      <x:c r="H561" s="32" t="str"/>
      <x:c r="I561" s="31" t="str"/>
      <x:c r="J561" s="28" t="str">
        <x:f>IF(I561="","OPEN",IF(OR(F561="",G561="",H561=""),"FAIL","PASS"))</x:f>
        <x:v>OPEN</x:v>
      </x:c>
    </x:row>
    <x:row r="562">
      <x:c r="B562" s="28" t="str">
        <x:v>CQ-DA-139-4</x:v>
      </x:c>
      <x:c r="C562" s="28" t="str">
        <x:v>DA-139</x:v>
      </x:c>
      <x:c r="D562" s="28" t="n">
        <x:v>4</x:v>
      </x:c>
      <x:c r="E562" s="28" t="str">
        <x:v>incident and rescue qualification</x:v>
      </x:c>
      <x:c r="F562" s="31" t="str"/>
      <x:c r="G562" s="31" t="str"/>
      <x:c r="H562" s="32" t="str"/>
      <x:c r="I562" s="31" t="str"/>
      <x:c r="J562" s="28" t="str">
        <x:f>IF(I562="","OPEN",IF(OR(F562="",G562="",H562=""),"FAIL","PASS"))</x:f>
        <x:v>OPEN</x:v>
      </x:c>
    </x:row>
    <x:row r="563">
      <x:c r="B563" s="28" t="str">
        <x:v>CQ-DA-140-1</x:v>
      </x:c>
      <x:c r="C563" s="28" t="str">
        <x:v>DA-140</x:v>
      </x:c>
      <x:c r="D563" s="28" t="n">
        <x:v>1</x:v>
      </x:c>
      <x:c r="E563" s="28" t="str">
        <x:v>role qualification</x:v>
      </x:c>
      <x:c r="F563" s="31" t="str"/>
      <x:c r="G563" s="31" t="str"/>
      <x:c r="H563" s="32" t="str"/>
      <x:c r="I563" s="31" t="str"/>
      <x:c r="J563" s="28" t="str">
        <x:f>IF(I563="","OPEN",IF(OR(F563="",G563="",H563=""),"FAIL","PASS"))</x:f>
        <x:v>OPEN</x:v>
      </x:c>
    </x:row>
    <x:row r="564">
      <x:c r="B564" s="28" t="str">
        <x:v>CQ-DA-140-2</x:v>
      </x:c>
      <x:c r="C564" s="28" t="str">
        <x:v>DA-140</x:v>
      </x:c>
      <x:c r="D564" s="28" t="n">
        <x:v>2</x:v>
      </x:c>
      <x:c r="E564" s="28" t="str">
        <x:v>site and rig qualification</x:v>
      </x:c>
      <x:c r="F564" s="31" t="str"/>
      <x:c r="G564" s="31" t="str"/>
      <x:c r="H564" s="32" t="str"/>
      <x:c r="I564" s="31" t="str"/>
      <x:c r="J564" s="28" t="str">
        <x:f>IF(I564="","OPEN",IF(OR(F564="",G564="",H564=""),"FAIL","PASS"))</x:f>
        <x:v>OPEN</x:v>
      </x:c>
    </x:row>
    <x:row r="565">
      <x:c r="B565" s="28" t="str">
        <x:v>CQ-DA-140-3</x:v>
      </x:c>
      <x:c r="C565" s="28" t="str">
        <x:v>DA-140</x:v>
      </x:c>
      <x:c r="D565" s="28" t="n">
        <x:v>3</x:v>
      </x:c>
      <x:c r="E565" s="28" t="str">
        <x:v>article-interface qualification</x:v>
      </x:c>
      <x:c r="F565" s="31" t="str"/>
      <x:c r="G565" s="31" t="str"/>
      <x:c r="H565" s="32" t="str"/>
      <x:c r="I565" s="31" t="str"/>
      <x:c r="J565" s="28" t="str">
        <x:f>IF(I565="","OPEN",IF(OR(F565="",G565="",H565=""),"FAIL","PASS"))</x:f>
        <x:v>OPEN</x:v>
      </x:c>
    </x:row>
    <x:row r="566">
      <x:c r="B566" s="28" t="str">
        <x:v>CQ-DA-140-4</x:v>
      </x:c>
      <x:c r="C566" s="28" t="str">
        <x:v>DA-140</x:v>
      </x:c>
      <x:c r="D566" s="28" t="n">
        <x:v>4</x:v>
      </x:c>
      <x:c r="E566" s="28" t="str">
        <x:v>incident and rescue qualification</x:v>
      </x:c>
      <x:c r="F566" s="31" t="str"/>
      <x:c r="G566" s="31" t="str"/>
      <x:c r="H566" s="32" t="str"/>
      <x:c r="I566" s="31" t="str"/>
      <x:c r="J566" s="28" t="str">
        <x:f>IF(I566="","OPEN",IF(OR(F566="",G566="",H566=""),"FAIL","PASS"))</x:f>
        <x:v>OPEN</x:v>
      </x:c>
    </x:row>
    <x:row r="567">
      <x:c r="B567" s="28" t="str">
        <x:v>CQ-DA-141-1</x:v>
      </x:c>
      <x:c r="C567" s="28" t="str">
        <x:v>DA-141</x:v>
      </x:c>
      <x:c r="D567" s="28" t="n">
        <x:v>1</x:v>
      </x:c>
      <x:c r="E567" s="28" t="str">
        <x:v>role qualification</x:v>
      </x:c>
      <x:c r="F567" s="31" t="str"/>
      <x:c r="G567" s="31" t="str"/>
      <x:c r="H567" s="32" t="str"/>
      <x:c r="I567" s="31" t="str"/>
      <x:c r="J567" s="28" t="str">
        <x:f>IF(I567="","OPEN",IF(OR(F567="",G567="",H567=""),"FAIL","PASS"))</x:f>
        <x:v>OPEN</x:v>
      </x:c>
    </x:row>
    <x:row r="568">
      <x:c r="B568" s="28" t="str">
        <x:v>CQ-DA-141-2</x:v>
      </x:c>
      <x:c r="C568" s="28" t="str">
        <x:v>DA-141</x:v>
      </x:c>
      <x:c r="D568" s="28" t="n">
        <x:v>2</x:v>
      </x:c>
      <x:c r="E568" s="28" t="str">
        <x:v>site and rig qualification</x:v>
      </x:c>
      <x:c r="F568" s="31" t="str"/>
      <x:c r="G568" s="31" t="str"/>
      <x:c r="H568" s="32" t="str"/>
      <x:c r="I568" s="31" t="str"/>
      <x:c r="J568" s="28" t="str">
        <x:f>IF(I568="","OPEN",IF(OR(F568="",G568="",H568=""),"FAIL","PASS"))</x:f>
        <x:v>OPEN</x:v>
      </x:c>
    </x:row>
    <x:row r="569">
      <x:c r="B569" s="28" t="str">
        <x:v>CQ-DA-141-3</x:v>
      </x:c>
      <x:c r="C569" s="28" t="str">
        <x:v>DA-141</x:v>
      </x:c>
      <x:c r="D569" s="28" t="n">
        <x:v>3</x:v>
      </x:c>
      <x:c r="E569" s="28" t="str">
        <x:v>article-interface qualification</x:v>
      </x:c>
      <x:c r="F569" s="31" t="str"/>
      <x:c r="G569" s="31" t="str"/>
      <x:c r="H569" s="32" t="str"/>
      <x:c r="I569" s="31" t="str"/>
      <x:c r="J569" s="28" t="str">
        <x:f>IF(I569="","OPEN",IF(OR(F569="",G569="",H569=""),"FAIL","PASS"))</x:f>
        <x:v>OPEN</x:v>
      </x:c>
    </x:row>
    <x:row r="570">
      <x:c r="B570" s="28" t="str">
        <x:v>CQ-DA-141-4</x:v>
      </x:c>
      <x:c r="C570" s="28" t="str">
        <x:v>DA-141</x:v>
      </x:c>
      <x:c r="D570" s="28" t="n">
        <x:v>4</x:v>
      </x:c>
      <x:c r="E570" s="28" t="str">
        <x:v>incident and rescue qualification</x:v>
      </x:c>
      <x:c r="F570" s="31" t="str"/>
      <x:c r="G570" s="31" t="str"/>
      <x:c r="H570" s="32" t="str"/>
      <x:c r="I570" s="31" t="str"/>
      <x:c r="J570" s="28" t="str">
        <x:f>IF(I570="","OPEN",IF(OR(F570="",G570="",H570=""),"FAIL","PASS"))</x:f>
        <x:v>OPEN</x:v>
      </x:c>
    </x:row>
    <x:row r="571">
      <x:c r="B571" s="28" t="str">
        <x:v>CQ-DA-142-1</x:v>
      </x:c>
      <x:c r="C571" s="28" t="str">
        <x:v>DA-142</x:v>
      </x:c>
      <x:c r="D571" s="28" t="n">
        <x:v>1</x:v>
      </x:c>
      <x:c r="E571" s="28" t="str">
        <x:v>role qualification</x:v>
      </x:c>
      <x:c r="F571" s="31" t="str"/>
      <x:c r="G571" s="31" t="str"/>
      <x:c r="H571" s="32" t="str"/>
      <x:c r="I571" s="31" t="str"/>
      <x:c r="J571" s="28" t="str">
        <x:f>IF(I571="","OPEN",IF(OR(F571="",G571="",H571=""),"FAIL","PASS"))</x:f>
        <x:v>OPEN</x:v>
      </x:c>
    </x:row>
    <x:row r="572">
      <x:c r="B572" s="28" t="str">
        <x:v>CQ-DA-142-2</x:v>
      </x:c>
      <x:c r="C572" s="28" t="str">
        <x:v>DA-142</x:v>
      </x:c>
      <x:c r="D572" s="28" t="n">
        <x:v>2</x:v>
      </x:c>
      <x:c r="E572" s="28" t="str">
        <x:v>site and rig qualification</x:v>
      </x:c>
      <x:c r="F572" s="31" t="str"/>
      <x:c r="G572" s="31" t="str"/>
      <x:c r="H572" s="32" t="str"/>
      <x:c r="I572" s="31" t="str"/>
      <x:c r="J572" s="28" t="str">
        <x:f>IF(I572="","OPEN",IF(OR(F572="",G572="",H572=""),"FAIL","PASS"))</x:f>
        <x:v>OPEN</x:v>
      </x:c>
    </x:row>
    <x:row r="573">
      <x:c r="B573" s="28" t="str">
        <x:v>CQ-DA-142-3</x:v>
      </x:c>
      <x:c r="C573" s="28" t="str">
        <x:v>DA-142</x:v>
      </x:c>
      <x:c r="D573" s="28" t="n">
        <x:v>3</x:v>
      </x:c>
      <x:c r="E573" s="28" t="str">
        <x:v>article-interface qualification</x:v>
      </x:c>
      <x:c r="F573" s="31" t="str"/>
      <x:c r="G573" s="31" t="str"/>
      <x:c r="H573" s="32" t="str"/>
      <x:c r="I573" s="31" t="str"/>
      <x:c r="J573" s="28" t="str">
        <x:f>IF(I573="","OPEN",IF(OR(F573="",G573="",H573=""),"FAIL","PASS"))</x:f>
        <x:v>OPEN</x:v>
      </x:c>
    </x:row>
    <x:row r="574">
      <x:c r="B574" s="28" t="str">
        <x:v>CQ-DA-142-4</x:v>
      </x:c>
      <x:c r="C574" s="28" t="str">
        <x:v>DA-142</x:v>
      </x:c>
      <x:c r="D574" s="28" t="n">
        <x:v>4</x:v>
      </x:c>
      <x:c r="E574" s="28" t="str">
        <x:v>incident and rescue qualification</x:v>
      </x:c>
      <x:c r="F574" s="31" t="str"/>
      <x:c r="G574" s="31" t="str"/>
      <x:c r="H574" s="32" t="str"/>
      <x:c r="I574" s="31" t="str"/>
      <x:c r="J574" s="28" t="str">
        <x:f>IF(I574="","OPEN",IF(OR(F574="",G574="",H574=""),"FAIL","PASS"))</x:f>
        <x:v>OPEN</x:v>
      </x:c>
    </x:row>
    <x:row r="575">
      <x:c r="B575" s="28" t="str">
        <x:v>CQ-DA-143-1</x:v>
      </x:c>
      <x:c r="C575" s="28" t="str">
        <x:v>DA-143</x:v>
      </x:c>
      <x:c r="D575" s="28" t="n">
        <x:v>1</x:v>
      </x:c>
      <x:c r="E575" s="28" t="str">
        <x:v>role qualification</x:v>
      </x:c>
      <x:c r="F575" s="31" t="str"/>
      <x:c r="G575" s="31" t="str"/>
      <x:c r="H575" s="32" t="str"/>
      <x:c r="I575" s="31" t="str"/>
      <x:c r="J575" s="28" t="str">
        <x:f>IF(I575="","OPEN",IF(OR(F575="",G575="",H575=""),"FAIL","PASS"))</x:f>
        <x:v>OPEN</x:v>
      </x:c>
    </x:row>
    <x:row r="576">
      <x:c r="B576" s="28" t="str">
        <x:v>CQ-DA-143-2</x:v>
      </x:c>
      <x:c r="C576" s="28" t="str">
        <x:v>DA-143</x:v>
      </x:c>
      <x:c r="D576" s="28" t="n">
        <x:v>2</x:v>
      </x:c>
      <x:c r="E576" s="28" t="str">
        <x:v>site and rig qualification</x:v>
      </x:c>
      <x:c r="F576" s="31" t="str"/>
      <x:c r="G576" s="31" t="str"/>
      <x:c r="H576" s="32" t="str"/>
      <x:c r="I576" s="31" t="str"/>
      <x:c r="J576" s="28" t="str">
        <x:f>IF(I576="","OPEN",IF(OR(F576="",G576="",H576=""),"FAIL","PASS"))</x:f>
        <x:v>OPEN</x:v>
      </x:c>
    </x:row>
    <x:row r="577">
      <x:c r="B577" s="28" t="str">
        <x:v>CQ-DA-143-3</x:v>
      </x:c>
      <x:c r="C577" s="28" t="str">
        <x:v>DA-143</x:v>
      </x:c>
      <x:c r="D577" s="28" t="n">
        <x:v>3</x:v>
      </x:c>
      <x:c r="E577" s="28" t="str">
        <x:v>article-interface qualification</x:v>
      </x:c>
      <x:c r="F577" s="31" t="str"/>
      <x:c r="G577" s="31" t="str"/>
      <x:c r="H577" s="32" t="str"/>
      <x:c r="I577" s="31" t="str"/>
      <x:c r="J577" s="28" t="str">
        <x:f>IF(I577="","OPEN",IF(OR(F577="",G577="",H577=""),"FAIL","PASS"))</x:f>
        <x:v>OPEN</x:v>
      </x:c>
    </x:row>
    <x:row r="578">
      <x:c r="B578" s="28" t="str">
        <x:v>CQ-DA-143-4</x:v>
      </x:c>
      <x:c r="C578" s="28" t="str">
        <x:v>DA-143</x:v>
      </x:c>
      <x:c r="D578" s="28" t="n">
        <x:v>4</x:v>
      </x:c>
      <x:c r="E578" s="28" t="str">
        <x:v>incident and rescue qualification</x:v>
      </x:c>
      <x:c r="F578" s="31" t="str"/>
      <x:c r="G578" s="31" t="str"/>
      <x:c r="H578" s="32" t="str"/>
      <x:c r="I578" s="31" t="str"/>
      <x:c r="J578" s="28" t="str">
        <x:f>IF(I578="","OPEN",IF(OR(F578="",G578="",H578=""),"FAIL","PASS"))</x:f>
        <x:v>OPEN</x:v>
      </x:c>
    </x:row>
    <x:row r="579">
      <x:c r="B579" s="28" t="str">
        <x:v>CQ-DA-144-1</x:v>
      </x:c>
      <x:c r="C579" s="28" t="str">
        <x:v>DA-144</x:v>
      </x:c>
      <x:c r="D579" s="28" t="n">
        <x:v>1</x:v>
      </x:c>
      <x:c r="E579" s="28" t="str">
        <x:v>role qualification</x:v>
      </x:c>
      <x:c r="F579" s="31" t="str"/>
      <x:c r="G579" s="31" t="str"/>
      <x:c r="H579" s="32" t="str"/>
      <x:c r="I579" s="31" t="str"/>
      <x:c r="J579" s="28" t="str">
        <x:f>IF(I579="","OPEN",IF(OR(F579="",G579="",H579=""),"FAIL","PASS"))</x:f>
        <x:v>OPEN</x:v>
      </x:c>
    </x:row>
    <x:row r="580">
      <x:c r="B580" s="28" t="str">
        <x:v>CQ-DA-144-2</x:v>
      </x:c>
      <x:c r="C580" s="28" t="str">
        <x:v>DA-144</x:v>
      </x:c>
      <x:c r="D580" s="28" t="n">
        <x:v>2</x:v>
      </x:c>
      <x:c r="E580" s="28" t="str">
        <x:v>site and rig qualification</x:v>
      </x:c>
      <x:c r="F580" s="31" t="str"/>
      <x:c r="G580" s="31" t="str"/>
      <x:c r="H580" s="32" t="str"/>
      <x:c r="I580" s="31" t="str"/>
      <x:c r="J580" s="28" t="str">
        <x:f>IF(I580="","OPEN",IF(OR(F580="",G580="",H580=""),"FAIL","PASS"))</x:f>
        <x:v>OPEN</x:v>
      </x:c>
    </x:row>
    <x:row r="581">
      <x:c r="B581" s="28" t="str">
        <x:v>CQ-DA-144-3</x:v>
      </x:c>
      <x:c r="C581" s="28" t="str">
        <x:v>DA-144</x:v>
      </x:c>
      <x:c r="D581" s="28" t="n">
        <x:v>3</x:v>
      </x:c>
      <x:c r="E581" s="28" t="str">
        <x:v>article-interface qualification</x:v>
      </x:c>
      <x:c r="F581" s="31" t="str"/>
      <x:c r="G581" s="31" t="str"/>
      <x:c r="H581" s="32" t="str"/>
      <x:c r="I581" s="31" t="str"/>
      <x:c r="J581" s="28" t="str">
        <x:f>IF(I581="","OPEN",IF(OR(F581="",G581="",H581=""),"FAIL","PASS"))</x:f>
        <x:v>OPEN</x:v>
      </x:c>
    </x:row>
    <x:row r="582">
      <x:c r="B582" s="28" t="str">
        <x:v>CQ-DA-144-4</x:v>
      </x:c>
      <x:c r="C582" s="28" t="str">
        <x:v>DA-144</x:v>
      </x:c>
      <x:c r="D582" s="28" t="n">
        <x:v>4</x:v>
      </x:c>
      <x:c r="E582" s="28" t="str">
        <x:v>incident and rescue qualification</x:v>
      </x:c>
      <x:c r="F582" s="31" t="str"/>
      <x:c r="G582" s="31" t="str"/>
      <x:c r="H582" s="32" t="str"/>
      <x:c r="I582" s="31" t="str"/>
      <x:c r="J582" s="28" t="str">
        <x:f>IF(I582="","OPEN",IF(OR(F582="",G582="",H582=""),"FAIL","PASS"))</x:f>
        <x:v>OPEN</x:v>
      </x:c>
    </x:row>
    <x:row r="583">
      <x:c r="B583" s="28" t="str">
        <x:v>CQ-DA-145-1</x:v>
      </x:c>
      <x:c r="C583" s="28" t="str">
        <x:v>DA-145</x:v>
      </x:c>
      <x:c r="D583" s="28" t="n">
        <x:v>1</x:v>
      </x:c>
      <x:c r="E583" s="28" t="str">
        <x:v>role qualification</x:v>
      </x:c>
      <x:c r="F583" s="31" t="str"/>
      <x:c r="G583" s="31" t="str"/>
      <x:c r="H583" s="32" t="str"/>
      <x:c r="I583" s="31" t="str"/>
      <x:c r="J583" s="28" t="str">
        <x:f>IF(I583="","OPEN",IF(OR(F583="",G583="",H583=""),"FAIL","PASS"))</x:f>
        <x:v>OPEN</x:v>
      </x:c>
    </x:row>
    <x:row r="584">
      <x:c r="B584" s="28" t="str">
        <x:v>CQ-DA-145-2</x:v>
      </x:c>
      <x:c r="C584" s="28" t="str">
        <x:v>DA-145</x:v>
      </x:c>
      <x:c r="D584" s="28" t="n">
        <x:v>2</x:v>
      </x:c>
      <x:c r="E584" s="28" t="str">
        <x:v>site and rig qualification</x:v>
      </x:c>
      <x:c r="F584" s="31" t="str"/>
      <x:c r="G584" s="31" t="str"/>
      <x:c r="H584" s="32" t="str"/>
      <x:c r="I584" s="31" t="str"/>
      <x:c r="J584" s="28" t="str">
        <x:f>IF(I584="","OPEN",IF(OR(F584="",G584="",H584=""),"FAIL","PASS"))</x:f>
        <x:v>OPEN</x:v>
      </x:c>
    </x:row>
    <x:row r="585">
      <x:c r="B585" s="28" t="str">
        <x:v>CQ-DA-145-3</x:v>
      </x:c>
      <x:c r="C585" s="28" t="str">
        <x:v>DA-145</x:v>
      </x:c>
      <x:c r="D585" s="28" t="n">
        <x:v>3</x:v>
      </x:c>
      <x:c r="E585" s="28" t="str">
        <x:v>article-interface qualification</x:v>
      </x:c>
      <x:c r="F585" s="31" t="str"/>
      <x:c r="G585" s="31" t="str"/>
      <x:c r="H585" s="32" t="str"/>
      <x:c r="I585" s="31" t="str"/>
      <x:c r="J585" s="28" t="str">
        <x:f>IF(I585="","OPEN",IF(OR(F585="",G585="",H585=""),"FAIL","PASS"))</x:f>
        <x:v>OPEN</x:v>
      </x:c>
    </x:row>
    <x:row r="586">
      <x:c r="B586" s="28" t="str">
        <x:v>CQ-DA-145-4</x:v>
      </x:c>
      <x:c r="C586" s="28" t="str">
        <x:v>DA-145</x:v>
      </x:c>
      <x:c r="D586" s="28" t="n">
        <x:v>4</x:v>
      </x:c>
      <x:c r="E586" s="28" t="str">
        <x:v>incident and rescue qualification</x:v>
      </x:c>
      <x:c r="F586" s="31" t="str"/>
      <x:c r="G586" s="31" t="str"/>
      <x:c r="H586" s="32" t="str"/>
      <x:c r="I586" s="31" t="str"/>
      <x:c r="J586" s="28" t="str">
        <x:f>IF(I586="","OPEN",IF(OR(F586="",G586="",H586=""),"FAIL","PASS"))</x:f>
        <x:v>OPEN</x:v>
      </x:c>
    </x:row>
    <x:row r="587">
      <x:c r="B587" s="28" t="str">
        <x:v>CQ-DA-146-1</x:v>
      </x:c>
      <x:c r="C587" s="28" t="str">
        <x:v>DA-146</x:v>
      </x:c>
      <x:c r="D587" s="28" t="n">
        <x:v>1</x:v>
      </x:c>
      <x:c r="E587" s="28" t="str">
        <x:v>role qualification</x:v>
      </x:c>
      <x:c r="F587" s="31" t="str"/>
      <x:c r="G587" s="31" t="str"/>
      <x:c r="H587" s="32" t="str"/>
      <x:c r="I587" s="31" t="str"/>
      <x:c r="J587" s="28" t="str">
        <x:f>IF(I587="","OPEN",IF(OR(F587="",G587="",H587=""),"FAIL","PASS"))</x:f>
        <x:v>OPEN</x:v>
      </x:c>
    </x:row>
    <x:row r="588">
      <x:c r="B588" s="28" t="str">
        <x:v>CQ-DA-146-2</x:v>
      </x:c>
      <x:c r="C588" s="28" t="str">
        <x:v>DA-146</x:v>
      </x:c>
      <x:c r="D588" s="28" t="n">
        <x:v>2</x:v>
      </x:c>
      <x:c r="E588" s="28" t="str">
        <x:v>site and rig qualification</x:v>
      </x:c>
      <x:c r="F588" s="31" t="str"/>
      <x:c r="G588" s="31" t="str"/>
      <x:c r="H588" s="32" t="str"/>
      <x:c r="I588" s="31" t="str"/>
      <x:c r="J588" s="28" t="str">
        <x:f>IF(I588="","OPEN",IF(OR(F588="",G588="",H588=""),"FAIL","PASS"))</x:f>
        <x:v>OPEN</x:v>
      </x:c>
    </x:row>
    <x:row r="589">
      <x:c r="B589" s="28" t="str">
        <x:v>CQ-DA-146-3</x:v>
      </x:c>
      <x:c r="C589" s="28" t="str">
        <x:v>DA-146</x:v>
      </x:c>
      <x:c r="D589" s="28" t="n">
        <x:v>3</x:v>
      </x:c>
      <x:c r="E589" s="28" t="str">
        <x:v>article-interface qualification</x:v>
      </x:c>
      <x:c r="F589" s="31" t="str"/>
      <x:c r="G589" s="31" t="str"/>
      <x:c r="H589" s="32" t="str"/>
      <x:c r="I589" s="31" t="str"/>
      <x:c r="J589" s="28" t="str">
        <x:f>IF(I589="","OPEN",IF(OR(F589="",G589="",H589=""),"FAIL","PASS"))</x:f>
        <x:v>OPEN</x:v>
      </x:c>
    </x:row>
    <x:row r="590">
      <x:c r="B590" s="28" t="str">
        <x:v>CQ-DA-146-4</x:v>
      </x:c>
      <x:c r="C590" s="28" t="str">
        <x:v>DA-146</x:v>
      </x:c>
      <x:c r="D590" s="28" t="n">
        <x:v>4</x:v>
      </x:c>
      <x:c r="E590" s="28" t="str">
        <x:v>incident and rescue qualification</x:v>
      </x:c>
      <x:c r="F590" s="31" t="str"/>
      <x:c r="G590" s="31" t="str"/>
      <x:c r="H590" s="32" t="str"/>
      <x:c r="I590" s="31" t="str"/>
      <x:c r="J590" s="28" t="str">
        <x:f>IF(I590="","OPEN",IF(OR(F590="",G590="",H590=""),"FAIL","PASS"))</x:f>
        <x:v>OPEN</x:v>
      </x:c>
    </x:row>
    <x:row r="591">
      <x:c r="B591" s="28" t="str">
        <x:v>CQ-DA-147-1</x:v>
      </x:c>
      <x:c r="C591" s="28" t="str">
        <x:v>DA-147</x:v>
      </x:c>
      <x:c r="D591" s="28" t="n">
        <x:v>1</x:v>
      </x:c>
      <x:c r="E591" s="28" t="str">
        <x:v>role qualification</x:v>
      </x:c>
      <x:c r="F591" s="31" t="str"/>
      <x:c r="G591" s="31" t="str"/>
      <x:c r="H591" s="32" t="str"/>
      <x:c r="I591" s="31" t="str"/>
      <x:c r="J591" s="28" t="str">
        <x:f>IF(I591="","OPEN",IF(OR(F591="",G591="",H591=""),"FAIL","PASS"))</x:f>
        <x:v>OPEN</x:v>
      </x:c>
    </x:row>
    <x:row r="592">
      <x:c r="B592" s="28" t="str">
        <x:v>CQ-DA-147-2</x:v>
      </x:c>
      <x:c r="C592" s="28" t="str">
        <x:v>DA-147</x:v>
      </x:c>
      <x:c r="D592" s="28" t="n">
        <x:v>2</x:v>
      </x:c>
      <x:c r="E592" s="28" t="str">
        <x:v>site and rig qualification</x:v>
      </x:c>
      <x:c r="F592" s="31" t="str"/>
      <x:c r="G592" s="31" t="str"/>
      <x:c r="H592" s="32" t="str"/>
      <x:c r="I592" s="31" t="str"/>
      <x:c r="J592" s="28" t="str">
        <x:f>IF(I592="","OPEN",IF(OR(F592="",G592="",H592=""),"FAIL","PASS"))</x:f>
        <x:v>OPEN</x:v>
      </x:c>
    </x:row>
    <x:row r="593">
      <x:c r="B593" s="28" t="str">
        <x:v>CQ-DA-147-3</x:v>
      </x:c>
      <x:c r="C593" s="28" t="str">
        <x:v>DA-147</x:v>
      </x:c>
      <x:c r="D593" s="28" t="n">
        <x:v>3</x:v>
      </x:c>
      <x:c r="E593" s="28" t="str">
        <x:v>article-interface qualification</x:v>
      </x:c>
      <x:c r="F593" s="31" t="str"/>
      <x:c r="G593" s="31" t="str"/>
      <x:c r="H593" s="32" t="str"/>
      <x:c r="I593" s="31" t="str"/>
      <x:c r="J593" s="28" t="str">
        <x:f>IF(I593="","OPEN",IF(OR(F593="",G593="",H593=""),"FAIL","PASS"))</x:f>
        <x:v>OPEN</x:v>
      </x:c>
    </x:row>
    <x:row r="594">
      <x:c r="B594" s="28" t="str">
        <x:v>CQ-DA-147-4</x:v>
      </x:c>
      <x:c r="C594" s="28" t="str">
        <x:v>DA-147</x:v>
      </x:c>
      <x:c r="D594" s="28" t="n">
        <x:v>4</x:v>
      </x:c>
      <x:c r="E594" s="28" t="str">
        <x:v>incident and rescue qualification</x:v>
      </x:c>
      <x:c r="F594" s="31" t="str"/>
      <x:c r="G594" s="31" t="str"/>
      <x:c r="H594" s="32" t="str"/>
      <x:c r="I594" s="31" t="str"/>
      <x:c r="J594" s="28" t="str">
        <x:f>IF(I594="","OPEN",IF(OR(F594="",G594="",H594=""),"FAIL","PASS"))</x:f>
        <x:v>OPEN</x:v>
      </x:c>
    </x:row>
    <x:row r="595">
      <x:c r="B595" s="28" t="str">
        <x:v>CQ-DA-148-1</x:v>
      </x:c>
      <x:c r="C595" s="28" t="str">
        <x:v>DA-148</x:v>
      </x:c>
      <x:c r="D595" s="28" t="n">
        <x:v>1</x:v>
      </x:c>
      <x:c r="E595" s="28" t="str">
        <x:v>role qualification</x:v>
      </x:c>
      <x:c r="F595" s="31" t="str"/>
      <x:c r="G595" s="31" t="str"/>
      <x:c r="H595" s="32" t="str"/>
      <x:c r="I595" s="31" t="str"/>
      <x:c r="J595" s="28" t="str">
        <x:f>IF(I595="","OPEN",IF(OR(F595="",G595="",H595=""),"FAIL","PASS"))</x:f>
        <x:v>OPEN</x:v>
      </x:c>
    </x:row>
    <x:row r="596">
      <x:c r="B596" s="28" t="str">
        <x:v>CQ-DA-148-2</x:v>
      </x:c>
      <x:c r="C596" s="28" t="str">
        <x:v>DA-148</x:v>
      </x:c>
      <x:c r="D596" s="28" t="n">
        <x:v>2</x:v>
      </x:c>
      <x:c r="E596" s="28" t="str">
        <x:v>site and rig qualification</x:v>
      </x:c>
      <x:c r="F596" s="31" t="str"/>
      <x:c r="G596" s="31" t="str"/>
      <x:c r="H596" s="32" t="str"/>
      <x:c r="I596" s="31" t="str"/>
      <x:c r="J596" s="28" t="str">
        <x:f>IF(I596="","OPEN",IF(OR(F596="",G596="",H596=""),"FAIL","PASS"))</x:f>
        <x:v>OPEN</x:v>
      </x:c>
    </x:row>
    <x:row r="597">
      <x:c r="B597" s="28" t="str">
        <x:v>CQ-DA-148-3</x:v>
      </x:c>
      <x:c r="C597" s="28" t="str">
        <x:v>DA-148</x:v>
      </x:c>
      <x:c r="D597" s="28" t="n">
        <x:v>3</x:v>
      </x:c>
      <x:c r="E597" s="28" t="str">
        <x:v>article-interface qualification</x:v>
      </x:c>
      <x:c r="F597" s="31" t="str"/>
      <x:c r="G597" s="31" t="str"/>
      <x:c r="H597" s="32" t="str"/>
      <x:c r="I597" s="31" t="str"/>
      <x:c r="J597" s="28" t="str">
        <x:f>IF(I597="","OPEN",IF(OR(F597="",G597="",H597=""),"FAIL","PASS"))</x:f>
        <x:v>OPEN</x:v>
      </x:c>
    </x:row>
    <x:row r="598">
      <x:c r="B598" s="28" t="str">
        <x:v>CQ-DA-148-4</x:v>
      </x:c>
      <x:c r="C598" s="28" t="str">
        <x:v>DA-148</x:v>
      </x:c>
      <x:c r="D598" s="28" t="n">
        <x:v>4</x:v>
      </x:c>
      <x:c r="E598" s="28" t="str">
        <x:v>incident and rescue qualification</x:v>
      </x:c>
      <x:c r="F598" s="31" t="str"/>
      <x:c r="G598" s="31" t="str"/>
      <x:c r="H598" s="32" t="str"/>
      <x:c r="I598" s="31" t="str"/>
      <x:c r="J598" s="28" t="str">
        <x:f>IF(I598="","OPEN",IF(OR(F598="",G598="",H598=""),"FAIL","PASS"))</x:f>
        <x:v>OPEN</x:v>
      </x:c>
    </x:row>
    <x:row r="599">
      <x:c r="B599" s="28" t="str">
        <x:v>CQ-DA-149-1</x:v>
      </x:c>
      <x:c r="C599" s="28" t="str">
        <x:v>DA-149</x:v>
      </x:c>
      <x:c r="D599" s="28" t="n">
        <x:v>1</x:v>
      </x:c>
      <x:c r="E599" s="28" t="str">
        <x:v>role qualification</x:v>
      </x:c>
      <x:c r="F599" s="31" t="str"/>
      <x:c r="G599" s="31" t="str"/>
      <x:c r="H599" s="32" t="str"/>
      <x:c r="I599" s="31" t="str"/>
      <x:c r="J599" s="28" t="str">
        <x:f>IF(I599="","OPEN",IF(OR(F599="",G599="",H599=""),"FAIL","PASS"))</x:f>
        <x:v>OPEN</x:v>
      </x:c>
    </x:row>
    <x:row r="600">
      <x:c r="B600" s="28" t="str">
        <x:v>CQ-DA-149-2</x:v>
      </x:c>
      <x:c r="C600" s="28" t="str">
        <x:v>DA-149</x:v>
      </x:c>
      <x:c r="D600" s="28" t="n">
        <x:v>2</x:v>
      </x:c>
      <x:c r="E600" s="28" t="str">
        <x:v>site and rig qualification</x:v>
      </x:c>
      <x:c r="F600" s="31" t="str"/>
      <x:c r="G600" s="31" t="str"/>
      <x:c r="H600" s="32" t="str"/>
      <x:c r="I600" s="31" t="str"/>
      <x:c r="J600" s="28" t="str">
        <x:f>IF(I600="","OPEN",IF(OR(F600="",G600="",H600=""),"FAIL","PASS"))</x:f>
        <x:v>OPEN</x:v>
      </x:c>
    </x:row>
    <x:row r="601">
      <x:c r="B601" s="28" t="str">
        <x:v>CQ-DA-149-3</x:v>
      </x:c>
      <x:c r="C601" s="28" t="str">
        <x:v>DA-149</x:v>
      </x:c>
      <x:c r="D601" s="28" t="n">
        <x:v>3</x:v>
      </x:c>
      <x:c r="E601" s="28" t="str">
        <x:v>article-interface qualification</x:v>
      </x:c>
      <x:c r="F601" s="31" t="str"/>
      <x:c r="G601" s="31" t="str"/>
      <x:c r="H601" s="32" t="str"/>
      <x:c r="I601" s="31" t="str"/>
      <x:c r="J601" s="28" t="str">
        <x:f>IF(I601="","OPEN",IF(OR(F601="",G601="",H601=""),"FAIL","PASS"))</x:f>
        <x:v>OPEN</x:v>
      </x:c>
    </x:row>
    <x:row r="602">
      <x:c r="B602" s="28" t="str">
        <x:v>CQ-DA-149-4</x:v>
      </x:c>
      <x:c r="C602" s="28" t="str">
        <x:v>DA-149</x:v>
      </x:c>
      <x:c r="D602" s="28" t="n">
        <x:v>4</x:v>
      </x:c>
      <x:c r="E602" s="28" t="str">
        <x:v>incident and rescue qualification</x:v>
      </x:c>
      <x:c r="F602" s="31" t="str"/>
      <x:c r="G602" s="31" t="str"/>
      <x:c r="H602" s="32" t="str"/>
      <x:c r="I602" s="31" t="str"/>
      <x:c r="J602" s="28" t="str">
        <x:f>IF(I602="","OPEN",IF(OR(F602="",G602="",H602=""),"FAIL","PASS"))</x:f>
        <x:v>OPEN</x:v>
      </x:c>
    </x:row>
    <x:row r="603">
      <x:c r="B603" s="28" t="str">
        <x:v>CQ-DA-150-1</x:v>
      </x:c>
      <x:c r="C603" s="28" t="str">
        <x:v>DA-150</x:v>
      </x:c>
      <x:c r="D603" s="28" t="n">
        <x:v>1</x:v>
      </x:c>
      <x:c r="E603" s="28" t="str">
        <x:v>role qualification</x:v>
      </x:c>
      <x:c r="F603" s="31" t="str"/>
      <x:c r="G603" s="31" t="str"/>
      <x:c r="H603" s="32" t="str"/>
      <x:c r="I603" s="31" t="str"/>
      <x:c r="J603" s="28" t="str">
        <x:f>IF(I603="","OPEN",IF(OR(F603="",G603="",H603=""),"FAIL","PASS"))</x:f>
        <x:v>OPEN</x:v>
      </x:c>
    </x:row>
    <x:row r="604">
      <x:c r="B604" s="28" t="str">
        <x:v>CQ-DA-150-2</x:v>
      </x:c>
      <x:c r="C604" s="28" t="str">
        <x:v>DA-150</x:v>
      </x:c>
      <x:c r="D604" s="28" t="n">
        <x:v>2</x:v>
      </x:c>
      <x:c r="E604" s="28" t="str">
        <x:v>site and rig qualification</x:v>
      </x:c>
      <x:c r="F604" s="31" t="str"/>
      <x:c r="G604" s="31" t="str"/>
      <x:c r="H604" s="32" t="str"/>
      <x:c r="I604" s="31" t="str"/>
      <x:c r="J604" s="28" t="str">
        <x:f>IF(I604="","OPEN",IF(OR(F604="",G604="",H604=""),"FAIL","PASS"))</x:f>
        <x:v>OPEN</x:v>
      </x:c>
    </x:row>
    <x:row r="605">
      <x:c r="B605" s="28" t="str">
        <x:v>CQ-DA-150-3</x:v>
      </x:c>
      <x:c r="C605" s="28" t="str">
        <x:v>DA-150</x:v>
      </x:c>
      <x:c r="D605" s="28" t="n">
        <x:v>3</x:v>
      </x:c>
      <x:c r="E605" s="28" t="str">
        <x:v>article-interface qualification</x:v>
      </x:c>
      <x:c r="F605" s="31" t="str"/>
      <x:c r="G605" s="31" t="str"/>
      <x:c r="H605" s="32" t="str"/>
      <x:c r="I605" s="31" t="str"/>
      <x:c r="J605" s="28" t="str">
        <x:f>IF(I605="","OPEN",IF(OR(F605="",G605="",H605=""),"FAIL","PASS"))</x:f>
        <x:v>OPEN</x:v>
      </x:c>
    </x:row>
    <x:row r="606">
      <x:c r="B606" s="28" t="str">
        <x:v>CQ-DA-150-4</x:v>
      </x:c>
      <x:c r="C606" s="28" t="str">
        <x:v>DA-150</x:v>
      </x:c>
      <x:c r="D606" s="28" t="n">
        <x:v>4</x:v>
      </x:c>
      <x:c r="E606" s="28" t="str">
        <x:v>incident and rescue qualification</x:v>
      </x:c>
      <x:c r="F606" s="31" t="str"/>
      <x:c r="G606" s="31" t="str"/>
      <x:c r="H606" s="32" t="str"/>
      <x:c r="I606" s="31" t="str"/>
      <x:c r="J606" s="28" t="str">
        <x:f>IF(I606="","OPEN",IF(OR(F606="",G606="",H606=""),"FAIL","PASS"))</x:f>
        <x:v>OPEN</x:v>
      </x:c>
    </x:row>
    <x:row r="607">
      <x:c r="B607" s="28" t="str">
        <x:v>CQ-DA-151-1</x:v>
      </x:c>
      <x:c r="C607" s="28" t="str">
        <x:v>DA-151</x:v>
      </x:c>
      <x:c r="D607" s="28" t="n">
        <x:v>1</x:v>
      </x:c>
      <x:c r="E607" s="28" t="str">
        <x:v>role qualification</x:v>
      </x:c>
      <x:c r="F607" s="31" t="str"/>
      <x:c r="G607" s="31" t="str"/>
      <x:c r="H607" s="32" t="str"/>
      <x:c r="I607" s="31" t="str"/>
      <x:c r="J607" s="28" t="str">
        <x:f>IF(I607="","OPEN",IF(OR(F607="",G607="",H607=""),"FAIL","PASS"))</x:f>
        <x:v>OPEN</x:v>
      </x:c>
    </x:row>
    <x:row r="608">
      <x:c r="B608" s="28" t="str">
        <x:v>CQ-DA-151-2</x:v>
      </x:c>
      <x:c r="C608" s="28" t="str">
        <x:v>DA-151</x:v>
      </x:c>
      <x:c r="D608" s="28" t="n">
        <x:v>2</x:v>
      </x:c>
      <x:c r="E608" s="28" t="str">
        <x:v>site and rig qualification</x:v>
      </x:c>
      <x:c r="F608" s="31" t="str"/>
      <x:c r="G608" s="31" t="str"/>
      <x:c r="H608" s="32" t="str"/>
      <x:c r="I608" s="31" t="str"/>
      <x:c r="J608" s="28" t="str">
        <x:f>IF(I608="","OPEN",IF(OR(F608="",G608="",H608=""),"FAIL","PASS"))</x:f>
        <x:v>OPEN</x:v>
      </x:c>
    </x:row>
    <x:row r="609">
      <x:c r="B609" s="28" t="str">
        <x:v>CQ-DA-151-3</x:v>
      </x:c>
      <x:c r="C609" s="28" t="str">
        <x:v>DA-151</x:v>
      </x:c>
      <x:c r="D609" s="28" t="n">
        <x:v>3</x:v>
      </x:c>
      <x:c r="E609" s="28" t="str">
        <x:v>article-interface qualification</x:v>
      </x:c>
      <x:c r="F609" s="31" t="str"/>
      <x:c r="G609" s="31" t="str"/>
      <x:c r="H609" s="32" t="str"/>
      <x:c r="I609" s="31" t="str"/>
      <x:c r="J609" s="28" t="str">
        <x:f>IF(I609="","OPEN",IF(OR(F609="",G609="",H609=""),"FAIL","PASS"))</x:f>
        <x:v>OPEN</x:v>
      </x:c>
    </x:row>
    <x:row r="610">
      <x:c r="B610" s="28" t="str">
        <x:v>CQ-DA-151-4</x:v>
      </x:c>
      <x:c r="C610" s="28" t="str">
        <x:v>DA-151</x:v>
      </x:c>
      <x:c r="D610" s="28" t="n">
        <x:v>4</x:v>
      </x:c>
      <x:c r="E610" s="28" t="str">
        <x:v>incident and rescue qualification</x:v>
      </x:c>
      <x:c r="F610" s="31" t="str"/>
      <x:c r="G610" s="31" t="str"/>
      <x:c r="H610" s="32" t="str"/>
      <x:c r="I610" s="31" t="str"/>
      <x:c r="J610" s="28" t="str">
        <x:f>IF(I610="","OPEN",IF(OR(F610="",G610="",H610=""),"FAIL","PASS"))</x:f>
        <x:v>OPEN</x:v>
      </x:c>
    </x:row>
    <x:row r="611">
      <x:c r="B611" s="28" t="str">
        <x:v>CQ-DA-152-1</x:v>
      </x:c>
      <x:c r="C611" s="28" t="str">
        <x:v>DA-152</x:v>
      </x:c>
      <x:c r="D611" s="28" t="n">
        <x:v>1</x:v>
      </x:c>
      <x:c r="E611" s="28" t="str">
        <x:v>role qualification</x:v>
      </x:c>
      <x:c r="F611" s="31" t="str"/>
      <x:c r="G611" s="31" t="str"/>
      <x:c r="H611" s="32" t="str"/>
      <x:c r="I611" s="31" t="str"/>
      <x:c r="J611" s="28" t="str">
        <x:f>IF(I611="","OPEN",IF(OR(F611="",G611="",H611=""),"FAIL","PASS"))</x:f>
        <x:v>OPEN</x:v>
      </x:c>
    </x:row>
    <x:row r="612">
      <x:c r="B612" s="28" t="str">
        <x:v>CQ-DA-152-2</x:v>
      </x:c>
      <x:c r="C612" s="28" t="str">
        <x:v>DA-152</x:v>
      </x:c>
      <x:c r="D612" s="28" t="n">
        <x:v>2</x:v>
      </x:c>
      <x:c r="E612" s="28" t="str">
        <x:v>site and rig qualification</x:v>
      </x:c>
      <x:c r="F612" s="31" t="str"/>
      <x:c r="G612" s="31" t="str"/>
      <x:c r="H612" s="32" t="str"/>
      <x:c r="I612" s="31" t="str"/>
      <x:c r="J612" s="28" t="str">
        <x:f>IF(I612="","OPEN",IF(OR(F612="",G612="",H612=""),"FAIL","PASS"))</x:f>
        <x:v>OPEN</x:v>
      </x:c>
    </x:row>
    <x:row r="613">
      <x:c r="B613" s="28" t="str">
        <x:v>CQ-DA-152-3</x:v>
      </x:c>
      <x:c r="C613" s="28" t="str">
        <x:v>DA-152</x:v>
      </x:c>
      <x:c r="D613" s="28" t="n">
        <x:v>3</x:v>
      </x:c>
      <x:c r="E613" s="28" t="str">
        <x:v>article-interface qualification</x:v>
      </x:c>
      <x:c r="F613" s="31" t="str"/>
      <x:c r="G613" s="31" t="str"/>
      <x:c r="H613" s="32" t="str"/>
      <x:c r="I613" s="31" t="str"/>
      <x:c r="J613" s="28" t="str">
        <x:f>IF(I613="","OPEN",IF(OR(F613="",G613="",H613=""),"FAIL","PASS"))</x:f>
        <x:v>OPEN</x:v>
      </x:c>
    </x:row>
    <x:row r="614">
      <x:c r="B614" s="28" t="str">
        <x:v>CQ-DA-152-4</x:v>
      </x:c>
      <x:c r="C614" s="28" t="str">
        <x:v>DA-152</x:v>
      </x:c>
      <x:c r="D614" s="28" t="n">
        <x:v>4</x:v>
      </x:c>
      <x:c r="E614" s="28" t="str">
        <x:v>incident and rescue qualification</x:v>
      </x:c>
      <x:c r="F614" s="31" t="str"/>
      <x:c r="G614" s="31" t="str"/>
      <x:c r="H614" s="32" t="str"/>
      <x:c r="I614" s="31" t="str"/>
      <x:c r="J614" s="28" t="str">
        <x:f>IF(I614="","OPEN",IF(OR(F614="",G614="",H614=""),"FAIL","PASS"))</x:f>
        <x:v>OPEN</x:v>
      </x:c>
    </x:row>
    <x:row r="615">
      <x:c r="B615" s="28" t="str">
        <x:v>CQ-DA-153-1</x:v>
      </x:c>
      <x:c r="C615" s="28" t="str">
        <x:v>DA-153</x:v>
      </x:c>
      <x:c r="D615" s="28" t="n">
        <x:v>1</x:v>
      </x:c>
      <x:c r="E615" s="28" t="str">
        <x:v>role qualification</x:v>
      </x:c>
      <x:c r="F615" s="31" t="str"/>
      <x:c r="G615" s="31" t="str"/>
      <x:c r="H615" s="32" t="str"/>
      <x:c r="I615" s="31" t="str"/>
      <x:c r="J615" s="28" t="str">
        <x:f>IF(I615="","OPEN",IF(OR(F615="",G615="",H615=""),"FAIL","PASS"))</x:f>
        <x:v>OPEN</x:v>
      </x:c>
    </x:row>
    <x:row r="616">
      <x:c r="B616" s="28" t="str">
        <x:v>CQ-DA-153-2</x:v>
      </x:c>
      <x:c r="C616" s="28" t="str">
        <x:v>DA-153</x:v>
      </x:c>
      <x:c r="D616" s="28" t="n">
        <x:v>2</x:v>
      </x:c>
      <x:c r="E616" s="28" t="str">
        <x:v>site and rig qualification</x:v>
      </x:c>
      <x:c r="F616" s="31" t="str"/>
      <x:c r="G616" s="31" t="str"/>
      <x:c r="H616" s="32" t="str"/>
      <x:c r="I616" s="31" t="str"/>
      <x:c r="J616" s="28" t="str">
        <x:f>IF(I616="","OPEN",IF(OR(F616="",G616="",H616=""),"FAIL","PASS"))</x:f>
        <x:v>OPEN</x:v>
      </x:c>
    </x:row>
    <x:row r="617">
      <x:c r="B617" s="28" t="str">
        <x:v>CQ-DA-153-3</x:v>
      </x:c>
      <x:c r="C617" s="28" t="str">
        <x:v>DA-153</x:v>
      </x:c>
      <x:c r="D617" s="28" t="n">
        <x:v>3</x:v>
      </x:c>
      <x:c r="E617" s="28" t="str">
        <x:v>article-interface qualification</x:v>
      </x:c>
      <x:c r="F617" s="31" t="str"/>
      <x:c r="G617" s="31" t="str"/>
      <x:c r="H617" s="32" t="str"/>
      <x:c r="I617" s="31" t="str"/>
      <x:c r="J617" s="28" t="str">
        <x:f>IF(I617="","OPEN",IF(OR(F617="",G617="",H617=""),"FAIL","PASS"))</x:f>
        <x:v>OPEN</x:v>
      </x:c>
    </x:row>
    <x:row r="618">
      <x:c r="B618" s="28" t="str">
        <x:v>CQ-DA-153-4</x:v>
      </x:c>
      <x:c r="C618" s="28" t="str">
        <x:v>DA-153</x:v>
      </x:c>
      <x:c r="D618" s="28" t="n">
        <x:v>4</x:v>
      </x:c>
      <x:c r="E618" s="28" t="str">
        <x:v>incident and rescue qualification</x:v>
      </x:c>
      <x:c r="F618" s="31" t="str"/>
      <x:c r="G618" s="31" t="str"/>
      <x:c r="H618" s="32" t="str"/>
      <x:c r="I618" s="31" t="str"/>
      <x:c r="J618" s="28" t="str">
        <x:f>IF(I618="","OPEN",IF(OR(F618="",G618="",H618=""),"FAIL","PASS"))</x:f>
        <x:v>OPEN</x:v>
      </x:c>
    </x:row>
    <x:row r="619">
      <x:c r="B619" s="28" t="str">
        <x:v>CQ-DA-154-1</x:v>
      </x:c>
      <x:c r="C619" s="28" t="str">
        <x:v>DA-154</x:v>
      </x:c>
      <x:c r="D619" s="28" t="n">
        <x:v>1</x:v>
      </x:c>
      <x:c r="E619" s="28" t="str">
        <x:v>role qualification</x:v>
      </x:c>
      <x:c r="F619" s="31" t="str"/>
      <x:c r="G619" s="31" t="str"/>
      <x:c r="H619" s="32" t="str"/>
      <x:c r="I619" s="31" t="str"/>
      <x:c r="J619" s="28" t="str">
        <x:f>IF(I619="","OPEN",IF(OR(F619="",G619="",H619=""),"FAIL","PASS"))</x:f>
        <x:v>OPEN</x:v>
      </x:c>
    </x:row>
    <x:row r="620">
      <x:c r="B620" s="28" t="str">
        <x:v>CQ-DA-154-2</x:v>
      </x:c>
      <x:c r="C620" s="28" t="str">
        <x:v>DA-154</x:v>
      </x:c>
      <x:c r="D620" s="28" t="n">
        <x:v>2</x:v>
      </x:c>
      <x:c r="E620" s="28" t="str">
        <x:v>site and rig qualification</x:v>
      </x:c>
      <x:c r="F620" s="31" t="str"/>
      <x:c r="G620" s="31" t="str"/>
      <x:c r="H620" s="32" t="str"/>
      <x:c r="I620" s="31" t="str"/>
      <x:c r="J620" s="28" t="str">
        <x:f>IF(I620="","OPEN",IF(OR(F620="",G620="",H620=""),"FAIL","PASS"))</x:f>
        <x:v>OPEN</x:v>
      </x:c>
    </x:row>
    <x:row r="621">
      <x:c r="B621" s="28" t="str">
        <x:v>CQ-DA-154-3</x:v>
      </x:c>
      <x:c r="C621" s="28" t="str">
        <x:v>DA-154</x:v>
      </x:c>
      <x:c r="D621" s="28" t="n">
        <x:v>3</x:v>
      </x:c>
      <x:c r="E621" s="28" t="str">
        <x:v>article-interface qualification</x:v>
      </x:c>
      <x:c r="F621" s="31" t="str"/>
      <x:c r="G621" s="31" t="str"/>
      <x:c r="H621" s="32" t="str"/>
      <x:c r="I621" s="31" t="str"/>
      <x:c r="J621" s="28" t="str">
        <x:f>IF(I621="","OPEN",IF(OR(F621="",G621="",H621=""),"FAIL","PASS"))</x:f>
        <x:v>OPEN</x:v>
      </x:c>
    </x:row>
    <x:row r="622">
      <x:c r="B622" s="28" t="str">
        <x:v>CQ-DA-154-4</x:v>
      </x:c>
      <x:c r="C622" s="28" t="str">
        <x:v>DA-154</x:v>
      </x:c>
      <x:c r="D622" s="28" t="n">
        <x:v>4</x:v>
      </x:c>
      <x:c r="E622" s="28" t="str">
        <x:v>incident and rescue qualification</x:v>
      </x:c>
      <x:c r="F622" s="31" t="str"/>
      <x:c r="G622" s="31" t="str"/>
      <x:c r="H622" s="32" t="str"/>
      <x:c r="I622" s="31" t="str"/>
      <x:c r="J622" s="28" t="str">
        <x:f>IF(I622="","OPEN",IF(OR(F622="",G622="",H622=""),"FAIL","PASS"))</x:f>
        <x:v>OPEN</x:v>
      </x:c>
    </x:row>
    <x:row r="623">
      <x:c r="B623" s="28" t="str">
        <x:v>CQ-DA-155-1</x:v>
      </x:c>
      <x:c r="C623" s="28" t="str">
        <x:v>DA-155</x:v>
      </x:c>
      <x:c r="D623" s="28" t="n">
        <x:v>1</x:v>
      </x:c>
      <x:c r="E623" s="28" t="str">
        <x:v>role qualification</x:v>
      </x:c>
      <x:c r="F623" s="31" t="str"/>
      <x:c r="G623" s="31" t="str"/>
      <x:c r="H623" s="32" t="str"/>
      <x:c r="I623" s="31" t="str"/>
      <x:c r="J623" s="28" t="str">
        <x:f>IF(I623="","OPEN",IF(OR(F623="",G623="",H623=""),"FAIL","PASS"))</x:f>
        <x:v>OPEN</x:v>
      </x:c>
    </x:row>
    <x:row r="624">
      <x:c r="B624" s="28" t="str">
        <x:v>CQ-DA-155-2</x:v>
      </x:c>
      <x:c r="C624" s="28" t="str">
        <x:v>DA-155</x:v>
      </x:c>
      <x:c r="D624" s="28" t="n">
        <x:v>2</x:v>
      </x:c>
      <x:c r="E624" s="28" t="str">
        <x:v>site and rig qualification</x:v>
      </x:c>
      <x:c r="F624" s="31" t="str"/>
      <x:c r="G624" s="31" t="str"/>
      <x:c r="H624" s="32" t="str"/>
      <x:c r="I624" s="31" t="str"/>
      <x:c r="J624" s="28" t="str">
        <x:f>IF(I624="","OPEN",IF(OR(F624="",G624="",H624=""),"FAIL","PASS"))</x:f>
        <x:v>OPEN</x:v>
      </x:c>
    </x:row>
    <x:row r="625">
      <x:c r="B625" s="28" t="str">
        <x:v>CQ-DA-155-3</x:v>
      </x:c>
      <x:c r="C625" s="28" t="str">
        <x:v>DA-155</x:v>
      </x:c>
      <x:c r="D625" s="28" t="n">
        <x:v>3</x:v>
      </x:c>
      <x:c r="E625" s="28" t="str">
        <x:v>article-interface qualification</x:v>
      </x:c>
      <x:c r="F625" s="31" t="str"/>
      <x:c r="G625" s="31" t="str"/>
      <x:c r="H625" s="32" t="str"/>
      <x:c r="I625" s="31" t="str"/>
      <x:c r="J625" s="28" t="str">
        <x:f>IF(I625="","OPEN",IF(OR(F625="",G625="",H625=""),"FAIL","PASS"))</x:f>
        <x:v>OPEN</x:v>
      </x:c>
    </x:row>
    <x:row r="626">
      <x:c r="B626" s="28" t="str">
        <x:v>CQ-DA-155-4</x:v>
      </x:c>
      <x:c r="C626" s="28" t="str">
        <x:v>DA-155</x:v>
      </x:c>
      <x:c r="D626" s="28" t="n">
        <x:v>4</x:v>
      </x:c>
      <x:c r="E626" s="28" t="str">
        <x:v>incident and rescue qualification</x:v>
      </x:c>
      <x:c r="F626" s="31" t="str"/>
      <x:c r="G626" s="31" t="str"/>
      <x:c r="H626" s="32" t="str"/>
      <x:c r="I626" s="31" t="str"/>
      <x:c r="J626" s="28" t="str">
        <x:f>IF(I626="","OPEN",IF(OR(F626="",G626="",H626=""),"FAIL","PASS"))</x:f>
        <x:v>OPEN</x:v>
      </x:c>
    </x:row>
    <x:row r="627">
      <x:c r="B627" s="28" t="str">
        <x:v>CQ-DA-156-1</x:v>
      </x:c>
      <x:c r="C627" s="28" t="str">
        <x:v>DA-156</x:v>
      </x:c>
      <x:c r="D627" s="28" t="n">
        <x:v>1</x:v>
      </x:c>
      <x:c r="E627" s="28" t="str">
        <x:v>role qualification</x:v>
      </x:c>
      <x:c r="F627" s="31" t="str"/>
      <x:c r="G627" s="31" t="str"/>
      <x:c r="H627" s="32" t="str"/>
      <x:c r="I627" s="31" t="str"/>
      <x:c r="J627" s="28" t="str">
        <x:f>IF(I627="","OPEN",IF(OR(F627="",G627="",H627=""),"FAIL","PASS"))</x:f>
        <x:v>OPEN</x:v>
      </x:c>
    </x:row>
    <x:row r="628">
      <x:c r="B628" s="28" t="str">
        <x:v>CQ-DA-156-2</x:v>
      </x:c>
      <x:c r="C628" s="28" t="str">
        <x:v>DA-156</x:v>
      </x:c>
      <x:c r="D628" s="28" t="n">
        <x:v>2</x:v>
      </x:c>
      <x:c r="E628" s="28" t="str">
        <x:v>site and rig qualification</x:v>
      </x:c>
      <x:c r="F628" s="31" t="str"/>
      <x:c r="G628" s="31" t="str"/>
      <x:c r="H628" s="32" t="str"/>
      <x:c r="I628" s="31" t="str"/>
      <x:c r="J628" s="28" t="str">
        <x:f>IF(I628="","OPEN",IF(OR(F628="",G628="",H628=""),"FAIL","PASS"))</x:f>
        <x:v>OPEN</x:v>
      </x:c>
    </x:row>
    <x:row r="629">
      <x:c r="B629" s="28" t="str">
        <x:v>CQ-DA-156-3</x:v>
      </x:c>
      <x:c r="C629" s="28" t="str">
        <x:v>DA-156</x:v>
      </x:c>
      <x:c r="D629" s="28" t="n">
        <x:v>3</x:v>
      </x:c>
      <x:c r="E629" s="28" t="str">
        <x:v>article-interface qualification</x:v>
      </x:c>
      <x:c r="F629" s="31" t="str"/>
      <x:c r="G629" s="31" t="str"/>
      <x:c r="H629" s="32" t="str"/>
      <x:c r="I629" s="31" t="str"/>
      <x:c r="J629" s="28" t="str">
        <x:f>IF(I629="","OPEN",IF(OR(F629="",G629="",H629=""),"FAIL","PASS"))</x:f>
        <x:v>OPEN</x:v>
      </x:c>
    </x:row>
    <x:row r="630">
      <x:c r="B630" s="28" t="str">
        <x:v>CQ-DA-156-4</x:v>
      </x:c>
      <x:c r="C630" s="28" t="str">
        <x:v>DA-156</x:v>
      </x:c>
      <x:c r="D630" s="28" t="n">
        <x:v>4</x:v>
      </x:c>
      <x:c r="E630" s="28" t="str">
        <x:v>incident and rescue qualification</x:v>
      </x:c>
      <x:c r="F630" s="31" t="str"/>
      <x:c r="G630" s="31" t="str"/>
      <x:c r="H630" s="32" t="str"/>
      <x:c r="I630" s="31" t="str"/>
      <x:c r="J630" s="28" t="str">
        <x:f>IF(I630="","OPEN",IF(OR(F630="",G630="",H630=""),"FAIL","PASS"))</x:f>
        <x:v>OPEN</x:v>
      </x:c>
    </x:row>
    <x:row r="631">
      <x:c r="B631" s="28" t="str">
        <x:v>CQ-DA-157-1</x:v>
      </x:c>
      <x:c r="C631" s="28" t="str">
        <x:v>DA-157</x:v>
      </x:c>
      <x:c r="D631" s="28" t="n">
        <x:v>1</x:v>
      </x:c>
      <x:c r="E631" s="28" t="str">
        <x:v>role qualification</x:v>
      </x:c>
      <x:c r="F631" s="31" t="str"/>
      <x:c r="G631" s="31" t="str"/>
      <x:c r="H631" s="32" t="str"/>
      <x:c r="I631" s="31" t="str"/>
      <x:c r="J631" s="28" t="str">
        <x:f>IF(I631="","OPEN",IF(OR(F631="",G631="",H631=""),"FAIL","PASS"))</x:f>
        <x:v>OPEN</x:v>
      </x:c>
    </x:row>
    <x:row r="632">
      <x:c r="B632" s="28" t="str">
        <x:v>CQ-DA-157-2</x:v>
      </x:c>
      <x:c r="C632" s="28" t="str">
        <x:v>DA-157</x:v>
      </x:c>
      <x:c r="D632" s="28" t="n">
        <x:v>2</x:v>
      </x:c>
      <x:c r="E632" s="28" t="str">
        <x:v>site and rig qualification</x:v>
      </x:c>
      <x:c r="F632" s="31" t="str"/>
      <x:c r="G632" s="31" t="str"/>
      <x:c r="H632" s="32" t="str"/>
      <x:c r="I632" s="31" t="str"/>
      <x:c r="J632" s="28" t="str">
        <x:f>IF(I632="","OPEN",IF(OR(F632="",G632="",H632=""),"FAIL","PASS"))</x:f>
        <x:v>OPEN</x:v>
      </x:c>
    </x:row>
    <x:row r="633">
      <x:c r="B633" s="28" t="str">
        <x:v>CQ-DA-157-3</x:v>
      </x:c>
      <x:c r="C633" s="28" t="str">
        <x:v>DA-157</x:v>
      </x:c>
      <x:c r="D633" s="28" t="n">
        <x:v>3</x:v>
      </x:c>
      <x:c r="E633" s="28" t="str">
        <x:v>article-interface qualification</x:v>
      </x:c>
      <x:c r="F633" s="31" t="str"/>
      <x:c r="G633" s="31" t="str"/>
      <x:c r="H633" s="32" t="str"/>
      <x:c r="I633" s="31" t="str"/>
      <x:c r="J633" s="28" t="str">
        <x:f>IF(I633="","OPEN",IF(OR(F633="",G633="",H633=""),"FAIL","PASS"))</x:f>
        <x:v>OPEN</x:v>
      </x:c>
    </x:row>
    <x:row r="634">
      <x:c r="B634" s="28" t="str">
        <x:v>CQ-DA-157-4</x:v>
      </x:c>
      <x:c r="C634" s="28" t="str">
        <x:v>DA-157</x:v>
      </x:c>
      <x:c r="D634" s="28" t="n">
        <x:v>4</x:v>
      </x:c>
      <x:c r="E634" s="28" t="str">
        <x:v>incident and rescue qualification</x:v>
      </x:c>
      <x:c r="F634" s="31" t="str"/>
      <x:c r="G634" s="31" t="str"/>
      <x:c r="H634" s="32" t="str"/>
      <x:c r="I634" s="31" t="str"/>
      <x:c r="J634" s="28" t="str">
        <x:f>IF(I634="","OPEN",IF(OR(F634="",G634="",H634=""),"FAIL","PASS"))</x:f>
        <x:v>OPEN</x:v>
      </x:c>
    </x:row>
    <x:row r="635">
      <x:c r="B635" s="28" t="str">
        <x:v>CQ-DA-158-1</x:v>
      </x:c>
      <x:c r="C635" s="28" t="str">
        <x:v>DA-158</x:v>
      </x:c>
      <x:c r="D635" s="28" t="n">
        <x:v>1</x:v>
      </x:c>
      <x:c r="E635" s="28" t="str">
        <x:v>role qualification</x:v>
      </x:c>
      <x:c r="F635" s="31" t="str"/>
      <x:c r="G635" s="31" t="str"/>
      <x:c r="H635" s="32" t="str"/>
      <x:c r="I635" s="31" t="str"/>
      <x:c r="J635" s="28" t="str">
        <x:f>IF(I635="","OPEN",IF(OR(F635="",G635="",H635=""),"FAIL","PASS"))</x:f>
        <x:v>OPEN</x:v>
      </x:c>
    </x:row>
    <x:row r="636">
      <x:c r="B636" s="28" t="str">
        <x:v>CQ-DA-158-2</x:v>
      </x:c>
      <x:c r="C636" s="28" t="str">
        <x:v>DA-158</x:v>
      </x:c>
      <x:c r="D636" s="28" t="n">
        <x:v>2</x:v>
      </x:c>
      <x:c r="E636" s="28" t="str">
        <x:v>site and rig qualification</x:v>
      </x:c>
      <x:c r="F636" s="31" t="str"/>
      <x:c r="G636" s="31" t="str"/>
      <x:c r="H636" s="32" t="str"/>
      <x:c r="I636" s="31" t="str"/>
      <x:c r="J636" s="28" t="str">
        <x:f>IF(I636="","OPEN",IF(OR(F636="",G636="",H636=""),"FAIL","PASS"))</x:f>
        <x:v>OPEN</x:v>
      </x:c>
    </x:row>
    <x:row r="637">
      <x:c r="B637" s="28" t="str">
        <x:v>CQ-DA-158-3</x:v>
      </x:c>
      <x:c r="C637" s="28" t="str">
        <x:v>DA-158</x:v>
      </x:c>
      <x:c r="D637" s="28" t="n">
        <x:v>3</x:v>
      </x:c>
      <x:c r="E637" s="28" t="str">
        <x:v>article-interface qualification</x:v>
      </x:c>
      <x:c r="F637" s="31" t="str"/>
      <x:c r="G637" s="31" t="str"/>
      <x:c r="H637" s="32" t="str"/>
      <x:c r="I637" s="31" t="str"/>
      <x:c r="J637" s="28" t="str">
        <x:f>IF(I637="","OPEN",IF(OR(F637="",G637="",H637=""),"FAIL","PASS"))</x:f>
        <x:v>OPEN</x:v>
      </x:c>
    </x:row>
    <x:row r="638">
      <x:c r="B638" s="28" t="str">
        <x:v>CQ-DA-158-4</x:v>
      </x:c>
      <x:c r="C638" s="28" t="str">
        <x:v>DA-158</x:v>
      </x:c>
      <x:c r="D638" s="28" t="n">
        <x:v>4</x:v>
      </x:c>
      <x:c r="E638" s="28" t="str">
        <x:v>incident and rescue qualification</x:v>
      </x:c>
      <x:c r="F638" s="31" t="str"/>
      <x:c r="G638" s="31" t="str"/>
      <x:c r="H638" s="32" t="str"/>
      <x:c r="I638" s="31" t="str"/>
      <x:c r="J638" s="28" t="str">
        <x:f>IF(I638="","OPEN",IF(OR(F638="",G638="",H638=""),"FAIL","PASS"))</x:f>
        <x:v>OPEN</x:v>
      </x:c>
    </x:row>
    <x:row r="639">
      <x:c r="B639" s="28" t="str">
        <x:v>CQ-DA-159-1</x:v>
      </x:c>
      <x:c r="C639" s="28" t="str">
        <x:v>DA-159</x:v>
      </x:c>
      <x:c r="D639" s="28" t="n">
        <x:v>1</x:v>
      </x:c>
      <x:c r="E639" s="28" t="str">
        <x:v>role qualification</x:v>
      </x:c>
      <x:c r="F639" s="31" t="str"/>
      <x:c r="G639" s="31" t="str"/>
      <x:c r="H639" s="32" t="str"/>
      <x:c r="I639" s="31" t="str"/>
      <x:c r="J639" s="28" t="str">
        <x:f>IF(I639="","OPEN",IF(OR(F639="",G639="",H639=""),"FAIL","PASS"))</x:f>
        <x:v>OPEN</x:v>
      </x:c>
    </x:row>
    <x:row r="640">
      <x:c r="B640" s="28" t="str">
        <x:v>CQ-DA-159-2</x:v>
      </x:c>
      <x:c r="C640" s="28" t="str">
        <x:v>DA-159</x:v>
      </x:c>
      <x:c r="D640" s="28" t="n">
        <x:v>2</x:v>
      </x:c>
      <x:c r="E640" s="28" t="str">
        <x:v>site and rig qualification</x:v>
      </x:c>
      <x:c r="F640" s="31" t="str"/>
      <x:c r="G640" s="31" t="str"/>
      <x:c r="H640" s="32" t="str"/>
      <x:c r="I640" s="31" t="str"/>
      <x:c r="J640" s="28" t="str">
        <x:f>IF(I640="","OPEN",IF(OR(F640="",G640="",H640=""),"FAIL","PASS"))</x:f>
        <x:v>OPEN</x:v>
      </x:c>
    </x:row>
    <x:row r="641">
      <x:c r="B641" s="28" t="str">
        <x:v>CQ-DA-159-3</x:v>
      </x:c>
      <x:c r="C641" s="28" t="str">
        <x:v>DA-159</x:v>
      </x:c>
      <x:c r="D641" s="28" t="n">
        <x:v>3</x:v>
      </x:c>
      <x:c r="E641" s="28" t="str">
        <x:v>article-interface qualification</x:v>
      </x:c>
      <x:c r="F641" s="31" t="str"/>
      <x:c r="G641" s="31" t="str"/>
      <x:c r="H641" s="32" t="str"/>
      <x:c r="I641" s="31" t="str"/>
      <x:c r="J641" s="28" t="str">
        <x:f>IF(I641="","OPEN",IF(OR(F641="",G641="",H641=""),"FAIL","PASS"))</x:f>
        <x:v>OPEN</x:v>
      </x:c>
    </x:row>
    <x:row r="642">
      <x:c r="B642" s="28" t="str">
        <x:v>CQ-DA-159-4</x:v>
      </x:c>
      <x:c r="C642" s="28" t="str">
        <x:v>DA-159</x:v>
      </x:c>
      <x:c r="D642" s="28" t="n">
        <x:v>4</x:v>
      </x:c>
      <x:c r="E642" s="28" t="str">
        <x:v>incident and rescue qualification</x:v>
      </x:c>
      <x:c r="F642" s="31" t="str"/>
      <x:c r="G642" s="31" t="str"/>
      <x:c r="H642" s="32" t="str"/>
      <x:c r="I642" s="31" t="str"/>
      <x:c r="J642" s="28" t="str">
        <x:f>IF(I642="","OPEN",IF(OR(F642="",G642="",H642=""),"FAIL","PASS"))</x:f>
        <x:v>OPEN</x:v>
      </x:c>
    </x:row>
    <x:row r="643">
      <x:c r="B643" s="28" t="str">
        <x:v>CQ-DA-160-1</x:v>
      </x:c>
      <x:c r="C643" s="28" t="str">
        <x:v>DA-160</x:v>
      </x:c>
      <x:c r="D643" s="28" t="n">
        <x:v>1</x:v>
      </x:c>
      <x:c r="E643" s="28" t="str">
        <x:v>role qualification</x:v>
      </x:c>
      <x:c r="F643" s="31" t="str"/>
      <x:c r="G643" s="31" t="str"/>
      <x:c r="H643" s="32" t="str"/>
      <x:c r="I643" s="31" t="str"/>
      <x:c r="J643" s="28" t="str">
        <x:f>IF(I643="","OPEN",IF(OR(F643="",G643="",H643=""),"FAIL","PASS"))</x:f>
        <x:v>OPEN</x:v>
      </x:c>
    </x:row>
    <x:row r="644">
      <x:c r="B644" s="28" t="str">
        <x:v>CQ-DA-160-2</x:v>
      </x:c>
      <x:c r="C644" s="28" t="str">
        <x:v>DA-160</x:v>
      </x:c>
      <x:c r="D644" s="28" t="n">
        <x:v>2</x:v>
      </x:c>
      <x:c r="E644" s="28" t="str">
        <x:v>site and rig qualification</x:v>
      </x:c>
      <x:c r="F644" s="31" t="str"/>
      <x:c r="G644" s="31" t="str"/>
      <x:c r="H644" s="32" t="str"/>
      <x:c r="I644" s="31" t="str"/>
      <x:c r="J644" s="28" t="str">
        <x:f>IF(I644="","OPEN",IF(OR(F644="",G644="",H644=""),"FAIL","PASS"))</x:f>
        <x:v>OPEN</x:v>
      </x:c>
    </x:row>
    <x:row r="645">
      <x:c r="B645" s="28" t="str">
        <x:v>CQ-DA-160-3</x:v>
      </x:c>
      <x:c r="C645" s="28" t="str">
        <x:v>DA-160</x:v>
      </x:c>
      <x:c r="D645" s="28" t="n">
        <x:v>3</x:v>
      </x:c>
      <x:c r="E645" s="28" t="str">
        <x:v>article-interface qualification</x:v>
      </x:c>
      <x:c r="F645" s="31" t="str"/>
      <x:c r="G645" s="31" t="str"/>
      <x:c r="H645" s="32" t="str"/>
      <x:c r="I645" s="31" t="str"/>
      <x:c r="J645" s="28" t="str">
        <x:f>IF(I645="","OPEN",IF(OR(F645="",G645="",H645=""),"FAIL","PASS"))</x:f>
        <x:v>OPEN</x:v>
      </x:c>
    </x:row>
    <x:row r="646">
      <x:c r="B646" s="28" t="str">
        <x:v>CQ-DA-160-4</x:v>
      </x:c>
      <x:c r="C646" s="28" t="str">
        <x:v>DA-160</x:v>
      </x:c>
      <x:c r="D646" s="28" t="n">
        <x:v>4</x:v>
      </x:c>
      <x:c r="E646" s="28" t="str">
        <x:v>incident and rescue qualification</x:v>
      </x:c>
      <x:c r="F646" s="31" t="str"/>
      <x:c r="G646" s="31" t="str"/>
      <x:c r="H646" s="32" t="str"/>
      <x:c r="I646" s="31" t="str"/>
      <x:c r="J646" s="28" t="str">
        <x:f>IF(I646="","OPEN",IF(OR(F646="",G646="",H646=""),"FAIL","PASS"))</x:f>
        <x:v>OPEN</x:v>
      </x:c>
    </x:row>
    <x:row r="647">
      <x:c r="B647" s="28" t="str">
        <x:v>CQ-DA-161-1</x:v>
      </x:c>
      <x:c r="C647" s="28" t="str">
        <x:v>DA-161</x:v>
      </x:c>
      <x:c r="D647" s="28" t="n">
        <x:v>1</x:v>
      </x:c>
      <x:c r="E647" s="28" t="str">
        <x:v>role qualification</x:v>
      </x:c>
      <x:c r="F647" s="31" t="str"/>
      <x:c r="G647" s="31" t="str"/>
      <x:c r="H647" s="32" t="str"/>
      <x:c r="I647" s="31" t="str"/>
      <x:c r="J647" s="28" t="str">
        <x:f>IF(I647="","OPEN",IF(OR(F647="",G647="",H647=""),"FAIL","PASS"))</x:f>
        <x:v>OPEN</x:v>
      </x:c>
    </x:row>
    <x:row r="648">
      <x:c r="B648" s="28" t="str">
        <x:v>CQ-DA-161-2</x:v>
      </x:c>
      <x:c r="C648" s="28" t="str">
        <x:v>DA-161</x:v>
      </x:c>
      <x:c r="D648" s="28" t="n">
        <x:v>2</x:v>
      </x:c>
      <x:c r="E648" s="28" t="str">
        <x:v>site and rig qualification</x:v>
      </x:c>
      <x:c r="F648" s="31" t="str"/>
      <x:c r="G648" s="31" t="str"/>
      <x:c r="H648" s="32" t="str"/>
      <x:c r="I648" s="31" t="str"/>
      <x:c r="J648" s="28" t="str">
        <x:f>IF(I648="","OPEN",IF(OR(F648="",G648="",H648=""),"FAIL","PASS"))</x:f>
        <x:v>OPEN</x:v>
      </x:c>
    </x:row>
    <x:row r="649">
      <x:c r="B649" s="28" t="str">
        <x:v>CQ-DA-161-3</x:v>
      </x:c>
      <x:c r="C649" s="28" t="str">
        <x:v>DA-161</x:v>
      </x:c>
      <x:c r="D649" s="28" t="n">
        <x:v>3</x:v>
      </x:c>
      <x:c r="E649" s="28" t="str">
        <x:v>article-interface qualification</x:v>
      </x:c>
      <x:c r="F649" s="31" t="str"/>
      <x:c r="G649" s="31" t="str"/>
      <x:c r="H649" s="32" t="str"/>
      <x:c r="I649" s="31" t="str"/>
      <x:c r="J649" s="28" t="str">
        <x:f>IF(I649="","OPEN",IF(OR(F649="",G649="",H649=""),"FAIL","PASS"))</x:f>
        <x:v>OPEN</x:v>
      </x:c>
    </x:row>
    <x:row r="650">
      <x:c r="B650" s="28" t="str">
        <x:v>CQ-DA-161-4</x:v>
      </x:c>
      <x:c r="C650" s="28" t="str">
        <x:v>DA-161</x:v>
      </x:c>
      <x:c r="D650" s="28" t="n">
        <x:v>4</x:v>
      </x:c>
      <x:c r="E650" s="28" t="str">
        <x:v>incident and rescue qualification</x:v>
      </x:c>
      <x:c r="F650" s="31" t="str"/>
      <x:c r="G650" s="31" t="str"/>
      <x:c r="H650" s="32" t="str"/>
      <x:c r="I650" s="31" t="str"/>
      <x:c r="J650" s="28" t="str">
        <x:f>IF(I650="","OPEN",IF(OR(F650="",G650="",H650=""),"FAIL","PASS"))</x:f>
        <x:v>OPEN</x:v>
      </x:c>
    </x:row>
    <x:row r="651">
      <x:c r="B651" s="28" t="str">
        <x:v>CQ-DA-162-1</x:v>
      </x:c>
      <x:c r="C651" s="28" t="str">
        <x:v>DA-162</x:v>
      </x:c>
      <x:c r="D651" s="28" t="n">
        <x:v>1</x:v>
      </x:c>
      <x:c r="E651" s="28" t="str">
        <x:v>role qualification</x:v>
      </x:c>
      <x:c r="F651" s="31" t="str"/>
      <x:c r="G651" s="31" t="str"/>
      <x:c r="H651" s="32" t="str"/>
      <x:c r="I651" s="31" t="str"/>
      <x:c r="J651" s="28" t="str">
        <x:f>IF(I651="","OPEN",IF(OR(F651="",G651="",H651=""),"FAIL","PASS"))</x:f>
        <x:v>OPEN</x:v>
      </x:c>
    </x:row>
    <x:row r="652">
      <x:c r="B652" s="28" t="str">
        <x:v>CQ-DA-162-2</x:v>
      </x:c>
      <x:c r="C652" s="28" t="str">
        <x:v>DA-162</x:v>
      </x:c>
      <x:c r="D652" s="28" t="n">
        <x:v>2</x:v>
      </x:c>
      <x:c r="E652" s="28" t="str">
        <x:v>site and rig qualification</x:v>
      </x:c>
      <x:c r="F652" s="31" t="str"/>
      <x:c r="G652" s="31" t="str"/>
      <x:c r="H652" s="32" t="str"/>
      <x:c r="I652" s="31" t="str"/>
      <x:c r="J652" s="28" t="str">
        <x:f>IF(I652="","OPEN",IF(OR(F652="",G652="",H652=""),"FAIL","PASS"))</x:f>
        <x:v>OPEN</x:v>
      </x:c>
    </x:row>
    <x:row r="653">
      <x:c r="B653" s="28" t="str">
        <x:v>CQ-DA-162-3</x:v>
      </x:c>
      <x:c r="C653" s="28" t="str">
        <x:v>DA-162</x:v>
      </x:c>
      <x:c r="D653" s="28" t="n">
        <x:v>3</x:v>
      </x:c>
      <x:c r="E653" s="28" t="str">
        <x:v>article-interface qualification</x:v>
      </x:c>
      <x:c r="F653" s="31" t="str"/>
      <x:c r="G653" s="31" t="str"/>
      <x:c r="H653" s="32" t="str"/>
      <x:c r="I653" s="31" t="str"/>
      <x:c r="J653" s="28" t="str">
        <x:f>IF(I653="","OPEN",IF(OR(F653="",G653="",H653=""),"FAIL","PASS"))</x:f>
        <x:v>OPEN</x:v>
      </x:c>
    </x:row>
    <x:row r="654">
      <x:c r="B654" s="28" t="str">
        <x:v>CQ-DA-162-4</x:v>
      </x:c>
      <x:c r="C654" s="28" t="str">
        <x:v>DA-162</x:v>
      </x:c>
      <x:c r="D654" s="28" t="n">
        <x:v>4</x:v>
      </x:c>
      <x:c r="E654" s="28" t="str">
        <x:v>incident and rescue qualification</x:v>
      </x:c>
      <x:c r="F654" s="31" t="str"/>
      <x:c r="G654" s="31" t="str"/>
      <x:c r="H654" s="32" t="str"/>
      <x:c r="I654" s="31" t="str"/>
      <x:c r="J654" s="28" t="str">
        <x:f>IF(I654="","OPEN",IF(OR(F654="",G654="",H654=""),"FAIL","PASS"))</x:f>
        <x:v>OPEN</x:v>
      </x:c>
    </x:row>
    <x:row r="655">
      <x:c r="B655" s="28" t="str">
        <x:v>CQ-DA-163-1</x:v>
      </x:c>
      <x:c r="C655" s="28" t="str">
        <x:v>DA-163</x:v>
      </x:c>
      <x:c r="D655" s="28" t="n">
        <x:v>1</x:v>
      </x:c>
      <x:c r="E655" s="28" t="str">
        <x:v>role qualification</x:v>
      </x:c>
      <x:c r="F655" s="31" t="str"/>
      <x:c r="G655" s="31" t="str"/>
      <x:c r="H655" s="32" t="str"/>
      <x:c r="I655" s="31" t="str"/>
      <x:c r="J655" s="28" t="str">
        <x:f>IF(I655="","OPEN",IF(OR(F655="",G655="",H655=""),"FAIL","PASS"))</x:f>
        <x:v>OPEN</x:v>
      </x:c>
    </x:row>
    <x:row r="656">
      <x:c r="B656" s="28" t="str">
        <x:v>CQ-DA-163-2</x:v>
      </x:c>
      <x:c r="C656" s="28" t="str">
        <x:v>DA-163</x:v>
      </x:c>
      <x:c r="D656" s="28" t="n">
        <x:v>2</x:v>
      </x:c>
      <x:c r="E656" s="28" t="str">
        <x:v>site and rig qualification</x:v>
      </x:c>
      <x:c r="F656" s="31" t="str"/>
      <x:c r="G656" s="31" t="str"/>
      <x:c r="H656" s="32" t="str"/>
      <x:c r="I656" s="31" t="str"/>
      <x:c r="J656" s="28" t="str">
        <x:f>IF(I656="","OPEN",IF(OR(F656="",G656="",H656=""),"FAIL","PASS"))</x:f>
        <x:v>OPEN</x:v>
      </x:c>
    </x:row>
    <x:row r="657">
      <x:c r="B657" s="28" t="str">
        <x:v>CQ-DA-163-3</x:v>
      </x:c>
      <x:c r="C657" s="28" t="str">
        <x:v>DA-163</x:v>
      </x:c>
      <x:c r="D657" s="28" t="n">
        <x:v>3</x:v>
      </x:c>
      <x:c r="E657" s="28" t="str">
        <x:v>article-interface qualification</x:v>
      </x:c>
      <x:c r="F657" s="31" t="str"/>
      <x:c r="G657" s="31" t="str"/>
      <x:c r="H657" s="32" t="str"/>
      <x:c r="I657" s="31" t="str"/>
      <x:c r="J657" s="28" t="str">
        <x:f>IF(I657="","OPEN",IF(OR(F657="",G657="",H657=""),"FAIL","PASS"))</x:f>
        <x:v>OPEN</x:v>
      </x:c>
    </x:row>
    <x:row r="658">
      <x:c r="B658" s="28" t="str">
        <x:v>CQ-DA-163-4</x:v>
      </x:c>
      <x:c r="C658" s="28" t="str">
        <x:v>DA-163</x:v>
      </x:c>
      <x:c r="D658" s="28" t="n">
        <x:v>4</x:v>
      </x:c>
      <x:c r="E658" s="28" t="str">
        <x:v>incident and rescue qualification</x:v>
      </x:c>
      <x:c r="F658" s="31" t="str"/>
      <x:c r="G658" s="31" t="str"/>
      <x:c r="H658" s="32" t="str"/>
      <x:c r="I658" s="31" t="str"/>
      <x:c r="J658" s="28" t="str">
        <x:f>IF(I658="","OPEN",IF(OR(F658="",G658="",H658=""),"FAIL","PASS"))</x:f>
        <x:v>OPEN</x:v>
      </x:c>
    </x:row>
    <x:row r="659">
      <x:c r="B659" s="28" t="str">
        <x:v>CQ-DA-164-1</x:v>
      </x:c>
      <x:c r="C659" s="28" t="str">
        <x:v>DA-164</x:v>
      </x:c>
      <x:c r="D659" s="28" t="n">
        <x:v>1</x:v>
      </x:c>
      <x:c r="E659" s="28" t="str">
        <x:v>role qualification</x:v>
      </x:c>
      <x:c r="F659" s="31" t="str"/>
      <x:c r="G659" s="31" t="str"/>
      <x:c r="H659" s="32" t="str"/>
      <x:c r="I659" s="31" t="str"/>
      <x:c r="J659" s="28" t="str">
        <x:f>IF(I659="","OPEN",IF(OR(F659="",G659="",H659=""),"FAIL","PASS"))</x:f>
        <x:v>OPEN</x:v>
      </x:c>
    </x:row>
    <x:row r="660">
      <x:c r="B660" s="28" t="str">
        <x:v>CQ-DA-164-2</x:v>
      </x:c>
      <x:c r="C660" s="28" t="str">
        <x:v>DA-164</x:v>
      </x:c>
      <x:c r="D660" s="28" t="n">
        <x:v>2</x:v>
      </x:c>
      <x:c r="E660" s="28" t="str">
        <x:v>site and rig qualification</x:v>
      </x:c>
      <x:c r="F660" s="31" t="str"/>
      <x:c r="G660" s="31" t="str"/>
      <x:c r="H660" s="32" t="str"/>
      <x:c r="I660" s="31" t="str"/>
      <x:c r="J660" s="28" t="str">
        <x:f>IF(I660="","OPEN",IF(OR(F660="",G660="",H660=""),"FAIL","PASS"))</x:f>
        <x:v>OPEN</x:v>
      </x:c>
    </x:row>
    <x:row r="661">
      <x:c r="B661" s="28" t="str">
        <x:v>CQ-DA-164-3</x:v>
      </x:c>
      <x:c r="C661" s="28" t="str">
        <x:v>DA-164</x:v>
      </x:c>
      <x:c r="D661" s="28" t="n">
        <x:v>3</x:v>
      </x:c>
      <x:c r="E661" s="28" t="str">
        <x:v>article-interface qualification</x:v>
      </x:c>
      <x:c r="F661" s="31" t="str"/>
      <x:c r="G661" s="31" t="str"/>
      <x:c r="H661" s="32" t="str"/>
      <x:c r="I661" s="31" t="str"/>
      <x:c r="J661" s="28" t="str">
        <x:f>IF(I661="","OPEN",IF(OR(F661="",G661="",H661=""),"FAIL","PASS"))</x:f>
        <x:v>OPEN</x:v>
      </x:c>
    </x:row>
    <x:row r="662">
      <x:c r="B662" s="28" t="str">
        <x:v>CQ-DA-164-4</x:v>
      </x:c>
      <x:c r="C662" s="28" t="str">
        <x:v>DA-164</x:v>
      </x:c>
      <x:c r="D662" s="28" t="n">
        <x:v>4</x:v>
      </x:c>
      <x:c r="E662" s="28" t="str">
        <x:v>incident and rescue qualification</x:v>
      </x:c>
      <x:c r="F662" s="31" t="str"/>
      <x:c r="G662" s="31" t="str"/>
      <x:c r="H662" s="32" t="str"/>
      <x:c r="I662" s="31" t="str"/>
      <x:c r="J662" s="28" t="str">
        <x:f>IF(I662="","OPEN",IF(OR(F662="",G662="",H662=""),"FAIL","PASS"))</x:f>
        <x:v>OPEN</x:v>
      </x:c>
    </x:row>
    <x:row r="663">
      <x:c r="B663" s="28" t="str">
        <x:v>CQ-DA-165-1</x:v>
      </x:c>
      <x:c r="C663" s="28" t="str">
        <x:v>DA-165</x:v>
      </x:c>
      <x:c r="D663" s="28" t="n">
        <x:v>1</x:v>
      </x:c>
      <x:c r="E663" s="28" t="str">
        <x:v>role qualification</x:v>
      </x:c>
      <x:c r="F663" s="31" t="str"/>
      <x:c r="G663" s="31" t="str"/>
      <x:c r="H663" s="32" t="str"/>
      <x:c r="I663" s="31" t="str"/>
      <x:c r="J663" s="28" t="str">
        <x:f>IF(I663="","OPEN",IF(OR(F663="",G663="",H663=""),"FAIL","PASS"))</x:f>
        <x:v>OPEN</x:v>
      </x:c>
    </x:row>
    <x:row r="664">
      <x:c r="B664" s="28" t="str">
        <x:v>CQ-DA-165-2</x:v>
      </x:c>
      <x:c r="C664" s="28" t="str">
        <x:v>DA-165</x:v>
      </x:c>
      <x:c r="D664" s="28" t="n">
        <x:v>2</x:v>
      </x:c>
      <x:c r="E664" s="28" t="str">
        <x:v>site and rig qualification</x:v>
      </x:c>
      <x:c r="F664" s="31" t="str"/>
      <x:c r="G664" s="31" t="str"/>
      <x:c r="H664" s="32" t="str"/>
      <x:c r="I664" s="31" t="str"/>
      <x:c r="J664" s="28" t="str">
        <x:f>IF(I664="","OPEN",IF(OR(F664="",G664="",H664=""),"FAIL","PASS"))</x:f>
        <x:v>OPEN</x:v>
      </x:c>
    </x:row>
    <x:row r="665">
      <x:c r="B665" s="28" t="str">
        <x:v>CQ-DA-165-3</x:v>
      </x:c>
      <x:c r="C665" s="28" t="str">
        <x:v>DA-165</x:v>
      </x:c>
      <x:c r="D665" s="28" t="n">
        <x:v>3</x:v>
      </x:c>
      <x:c r="E665" s="28" t="str">
        <x:v>article-interface qualification</x:v>
      </x:c>
      <x:c r="F665" s="31" t="str"/>
      <x:c r="G665" s="31" t="str"/>
      <x:c r="H665" s="32" t="str"/>
      <x:c r="I665" s="31" t="str"/>
      <x:c r="J665" s="28" t="str">
        <x:f>IF(I665="","OPEN",IF(OR(F665="",G665="",H665=""),"FAIL","PASS"))</x:f>
        <x:v>OPEN</x:v>
      </x:c>
    </x:row>
    <x:row r="666">
      <x:c r="B666" s="28" t="str">
        <x:v>CQ-DA-165-4</x:v>
      </x:c>
      <x:c r="C666" s="28" t="str">
        <x:v>DA-165</x:v>
      </x:c>
      <x:c r="D666" s="28" t="n">
        <x:v>4</x:v>
      </x:c>
      <x:c r="E666" s="28" t="str">
        <x:v>incident and rescue qualification</x:v>
      </x:c>
      <x:c r="F666" s="31" t="str"/>
      <x:c r="G666" s="31" t="str"/>
      <x:c r="H666" s="32" t="str"/>
      <x:c r="I666" s="31" t="str"/>
      <x:c r="J666" s="28" t="str">
        <x:f>IF(I666="","OPEN",IF(OR(F666="",G666="",H666=""),"FAIL","PASS"))</x:f>
        <x:v>OPEN</x:v>
      </x:c>
    </x:row>
    <x:row r="667">
      <x:c r="B667" s="28" t="str">
        <x:v>CQ-DA-166-1</x:v>
      </x:c>
      <x:c r="C667" s="28" t="str">
        <x:v>DA-166</x:v>
      </x:c>
      <x:c r="D667" s="28" t="n">
        <x:v>1</x:v>
      </x:c>
      <x:c r="E667" s="28" t="str">
        <x:v>role qualification</x:v>
      </x:c>
      <x:c r="F667" s="31" t="str"/>
      <x:c r="G667" s="31" t="str"/>
      <x:c r="H667" s="32" t="str"/>
      <x:c r="I667" s="31" t="str"/>
      <x:c r="J667" s="28" t="str">
        <x:f>IF(I667="","OPEN",IF(OR(F667="",G667="",H667=""),"FAIL","PASS"))</x:f>
        <x:v>OPEN</x:v>
      </x:c>
    </x:row>
    <x:row r="668">
      <x:c r="B668" s="28" t="str">
        <x:v>CQ-DA-166-2</x:v>
      </x:c>
      <x:c r="C668" s="28" t="str">
        <x:v>DA-166</x:v>
      </x:c>
      <x:c r="D668" s="28" t="n">
        <x:v>2</x:v>
      </x:c>
      <x:c r="E668" s="28" t="str">
        <x:v>site and rig qualification</x:v>
      </x:c>
      <x:c r="F668" s="31" t="str"/>
      <x:c r="G668" s="31" t="str"/>
      <x:c r="H668" s="32" t="str"/>
      <x:c r="I668" s="31" t="str"/>
      <x:c r="J668" s="28" t="str">
        <x:f>IF(I668="","OPEN",IF(OR(F668="",G668="",H668=""),"FAIL","PASS"))</x:f>
        <x:v>OPEN</x:v>
      </x:c>
    </x:row>
    <x:row r="669">
      <x:c r="B669" s="28" t="str">
        <x:v>CQ-DA-166-3</x:v>
      </x:c>
      <x:c r="C669" s="28" t="str">
        <x:v>DA-166</x:v>
      </x:c>
      <x:c r="D669" s="28" t="n">
        <x:v>3</x:v>
      </x:c>
      <x:c r="E669" s="28" t="str">
        <x:v>article-interface qualification</x:v>
      </x:c>
      <x:c r="F669" s="31" t="str"/>
      <x:c r="G669" s="31" t="str"/>
      <x:c r="H669" s="32" t="str"/>
      <x:c r="I669" s="31" t="str"/>
      <x:c r="J669" s="28" t="str">
        <x:f>IF(I669="","OPEN",IF(OR(F669="",G669="",H669=""),"FAIL","PASS"))</x:f>
        <x:v>OPEN</x:v>
      </x:c>
    </x:row>
    <x:row r="670">
      <x:c r="B670" s="28" t="str">
        <x:v>CQ-DA-166-4</x:v>
      </x:c>
      <x:c r="C670" s="28" t="str">
        <x:v>DA-166</x:v>
      </x:c>
      <x:c r="D670" s="28" t="n">
        <x:v>4</x:v>
      </x:c>
      <x:c r="E670" s="28" t="str">
        <x:v>incident and rescue qualification</x:v>
      </x:c>
      <x:c r="F670" s="31" t="str"/>
      <x:c r="G670" s="31" t="str"/>
      <x:c r="H670" s="32" t="str"/>
      <x:c r="I670" s="31" t="str"/>
      <x:c r="J670" s="28" t="str">
        <x:f>IF(I670="","OPEN",IF(OR(F670="",G670="",H670=""),"FAIL","PASS"))</x:f>
        <x:v>OPEN</x:v>
      </x:c>
    </x:row>
    <x:row r="671">
      <x:c r="B671" s="28" t="str">
        <x:v>CQ-DA-167-1</x:v>
      </x:c>
      <x:c r="C671" s="28" t="str">
        <x:v>DA-167</x:v>
      </x:c>
      <x:c r="D671" s="28" t="n">
        <x:v>1</x:v>
      </x:c>
      <x:c r="E671" s="28" t="str">
        <x:v>role qualification</x:v>
      </x:c>
      <x:c r="F671" s="31" t="str"/>
      <x:c r="G671" s="31" t="str"/>
      <x:c r="H671" s="32" t="str"/>
      <x:c r="I671" s="31" t="str"/>
      <x:c r="J671" s="28" t="str">
        <x:f>IF(I671="","OPEN",IF(OR(F671="",G671="",H671=""),"FAIL","PASS"))</x:f>
        <x:v>OPEN</x:v>
      </x:c>
    </x:row>
    <x:row r="672">
      <x:c r="B672" s="28" t="str">
        <x:v>CQ-DA-167-2</x:v>
      </x:c>
      <x:c r="C672" s="28" t="str">
        <x:v>DA-167</x:v>
      </x:c>
      <x:c r="D672" s="28" t="n">
        <x:v>2</x:v>
      </x:c>
      <x:c r="E672" s="28" t="str">
        <x:v>site and rig qualification</x:v>
      </x:c>
      <x:c r="F672" s="31" t="str"/>
      <x:c r="G672" s="31" t="str"/>
      <x:c r="H672" s="32" t="str"/>
      <x:c r="I672" s="31" t="str"/>
      <x:c r="J672" s="28" t="str">
        <x:f>IF(I672="","OPEN",IF(OR(F672="",G672="",H672=""),"FAIL","PASS"))</x:f>
        <x:v>OPEN</x:v>
      </x:c>
    </x:row>
    <x:row r="673">
      <x:c r="B673" s="28" t="str">
        <x:v>CQ-DA-167-3</x:v>
      </x:c>
      <x:c r="C673" s="28" t="str">
        <x:v>DA-167</x:v>
      </x:c>
      <x:c r="D673" s="28" t="n">
        <x:v>3</x:v>
      </x:c>
      <x:c r="E673" s="28" t="str">
        <x:v>article-interface qualification</x:v>
      </x:c>
      <x:c r="F673" s="31" t="str"/>
      <x:c r="G673" s="31" t="str"/>
      <x:c r="H673" s="32" t="str"/>
      <x:c r="I673" s="31" t="str"/>
      <x:c r="J673" s="28" t="str">
        <x:f>IF(I673="","OPEN",IF(OR(F673="",G673="",H673=""),"FAIL","PASS"))</x:f>
        <x:v>OPEN</x:v>
      </x:c>
    </x:row>
    <x:row r="674">
      <x:c r="B674" s="28" t="str">
        <x:v>CQ-DA-167-4</x:v>
      </x:c>
      <x:c r="C674" s="28" t="str">
        <x:v>DA-167</x:v>
      </x:c>
      <x:c r="D674" s="28" t="n">
        <x:v>4</x:v>
      </x:c>
      <x:c r="E674" s="28" t="str">
        <x:v>incident and rescue qualification</x:v>
      </x:c>
      <x:c r="F674" s="31" t="str"/>
      <x:c r="G674" s="31" t="str"/>
      <x:c r="H674" s="32" t="str"/>
      <x:c r="I674" s="31" t="str"/>
      <x:c r="J674" s="28" t="str">
        <x:f>IF(I674="","OPEN",IF(OR(F674="",G674="",H674=""),"FAIL","PASS"))</x:f>
        <x:v>OPEN</x:v>
      </x:c>
    </x:row>
    <x:row r="675">
      <x:c r="B675" s="28" t="str">
        <x:v>CQ-DA-168-1</x:v>
      </x:c>
      <x:c r="C675" s="28" t="str">
        <x:v>DA-168</x:v>
      </x:c>
      <x:c r="D675" s="28" t="n">
        <x:v>1</x:v>
      </x:c>
      <x:c r="E675" s="28" t="str">
        <x:v>role qualification</x:v>
      </x:c>
      <x:c r="F675" s="31" t="str"/>
      <x:c r="G675" s="31" t="str"/>
      <x:c r="H675" s="32" t="str"/>
      <x:c r="I675" s="31" t="str"/>
      <x:c r="J675" s="28" t="str">
        <x:f>IF(I675="","OPEN",IF(OR(F675="",G675="",H675=""),"FAIL","PASS"))</x:f>
        <x:v>OPEN</x:v>
      </x:c>
    </x:row>
    <x:row r="676">
      <x:c r="B676" s="28" t="str">
        <x:v>CQ-DA-168-2</x:v>
      </x:c>
      <x:c r="C676" s="28" t="str">
        <x:v>DA-168</x:v>
      </x:c>
      <x:c r="D676" s="28" t="n">
        <x:v>2</x:v>
      </x:c>
      <x:c r="E676" s="28" t="str">
        <x:v>site and rig qualification</x:v>
      </x:c>
      <x:c r="F676" s="31" t="str"/>
      <x:c r="G676" s="31" t="str"/>
      <x:c r="H676" s="32" t="str"/>
      <x:c r="I676" s="31" t="str"/>
      <x:c r="J676" s="28" t="str">
        <x:f>IF(I676="","OPEN",IF(OR(F676="",G676="",H676=""),"FAIL","PASS"))</x:f>
        <x:v>OPEN</x:v>
      </x:c>
    </x:row>
    <x:row r="677">
      <x:c r="B677" s="28" t="str">
        <x:v>CQ-DA-168-3</x:v>
      </x:c>
      <x:c r="C677" s="28" t="str">
        <x:v>DA-168</x:v>
      </x:c>
      <x:c r="D677" s="28" t="n">
        <x:v>3</x:v>
      </x:c>
      <x:c r="E677" s="28" t="str">
        <x:v>article-interface qualification</x:v>
      </x:c>
      <x:c r="F677" s="31" t="str"/>
      <x:c r="G677" s="31" t="str"/>
      <x:c r="H677" s="32" t="str"/>
      <x:c r="I677" s="31" t="str"/>
      <x:c r="J677" s="28" t="str">
        <x:f>IF(I677="","OPEN",IF(OR(F677="",G677="",H677=""),"FAIL","PASS"))</x:f>
        <x:v>OPEN</x:v>
      </x:c>
    </x:row>
    <x:row r="678">
      <x:c r="B678" s="28" t="str">
        <x:v>CQ-DA-168-4</x:v>
      </x:c>
      <x:c r="C678" s="28" t="str">
        <x:v>DA-168</x:v>
      </x:c>
      <x:c r="D678" s="28" t="n">
        <x:v>4</x:v>
      </x:c>
      <x:c r="E678" s="28" t="str">
        <x:v>incident and rescue qualification</x:v>
      </x:c>
      <x:c r="F678" s="31" t="str"/>
      <x:c r="G678" s="31" t="str"/>
      <x:c r="H678" s="32" t="str"/>
      <x:c r="I678" s="31" t="str"/>
      <x:c r="J678" s="28" t="str">
        <x:f>IF(I678="","OPEN",IF(OR(F678="",G678="",H678=""),"FAIL","PASS"))</x:f>
        <x:v>OPEN</x:v>
      </x:c>
    </x:row>
    <x:row r="679">
      <x:c r="B679" s="28" t="str">
        <x:v>CQ-DA-169-1</x:v>
      </x:c>
      <x:c r="C679" s="28" t="str">
        <x:v>DA-169</x:v>
      </x:c>
      <x:c r="D679" s="28" t="n">
        <x:v>1</x:v>
      </x:c>
      <x:c r="E679" s="28" t="str">
        <x:v>role qualification</x:v>
      </x:c>
      <x:c r="F679" s="31" t="str"/>
      <x:c r="G679" s="31" t="str"/>
      <x:c r="H679" s="32" t="str"/>
      <x:c r="I679" s="31" t="str"/>
      <x:c r="J679" s="28" t="str">
        <x:f>IF(I679="","OPEN",IF(OR(F679="",G679="",H679=""),"FAIL","PASS"))</x:f>
        <x:v>OPEN</x:v>
      </x:c>
    </x:row>
    <x:row r="680">
      <x:c r="B680" s="28" t="str">
        <x:v>CQ-DA-169-2</x:v>
      </x:c>
      <x:c r="C680" s="28" t="str">
        <x:v>DA-169</x:v>
      </x:c>
      <x:c r="D680" s="28" t="n">
        <x:v>2</x:v>
      </x:c>
      <x:c r="E680" s="28" t="str">
        <x:v>site and rig qualification</x:v>
      </x:c>
      <x:c r="F680" s="31" t="str"/>
      <x:c r="G680" s="31" t="str"/>
      <x:c r="H680" s="32" t="str"/>
      <x:c r="I680" s="31" t="str"/>
      <x:c r="J680" s="28" t="str">
        <x:f>IF(I680="","OPEN",IF(OR(F680="",G680="",H680=""),"FAIL","PASS"))</x:f>
        <x:v>OPEN</x:v>
      </x:c>
    </x:row>
    <x:row r="681">
      <x:c r="B681" s="28" t="str">
        <x:v>CQ-DA-169-3</x:v>
      </x:c>
      <x:c r="C681" s="28" t="str">
        <x:v>DA-169</x:v>
      </x:c>
      <x:c r="D681" s="28" t="n">
        <x:v>3</x:v>
      </x:c>
      <x:c r="E681" s="28" t="str">
        <x:v>article-interface qualification</x:v>
      </x:c>
      <x:c r="F681" s="31" t="str"/>
      <x:c r="G681" s="31" t="str"/>
      <x:c r="H681" s="32" t="str"/>
      <x:c r="I681" s="31" t="str"/>
      <x:c r="J681" s="28" t="str">
        <x:f>IF(I681="","OPEN",IF(OR(F681="",G681="",H681=""),"FAIL","PASS"))</x:f>
        <x:v>OPEN</x:v>
      </x:c>
    </x:row>
    <x:row r="682">
      <x:c r="B682" s="28" t="str">
        <x:v>CQ-DA-169-4</x:v>
      </x:c>
      <x:c r="C682" s="28" t="str">
        <x:v>DA-169</x:v>
      </x:c>
      <x:c r="D682" s="28" t="n">
        <x:v>4</x:v>
      </x:c>
      <x:c r="E682" s="28" t="str">
        <x:v>incident and rescue qualification</x:v>
      </x:c>
      <x:c r="F682" s="31" t="str"/>
      <x:c r="G682" s="31" t="str"/>
      <x:c r="H682" s="32" t="str"/>
      <x:c r="I682" s="31" t="str"/>
      <x:c r="J682" s="28" t="str">
        <x:f>IF(I682="","OPEN",IF(OR(F682="",G682="",H682=""),"FAIL","PASS"))</x:f>
        <x:v>OPEN</x:v>
      </x:c>
    </x:row>
    <x:row r="683">
      <x:c r="B683" s="28" t="str">
        <x:v>CQ-DA-170-1</x:v>
      </x:c>
      <x:c r="C683" s="28" t="str">
        <x:v>DA-170</x:v>
      </x:c>
      <x:c r="D683" s="28" t="n">
        <x:v>1</x:v>
      </x:c>
      <x:c r="E683" s="28" t="str">
        <x:v>role qualification</x:v>
      </x:c>
      <x:c r="F683" s="31" t="str"/>
      <x:c r="G683" s="31" t="str"/>
      <x:c r="H683" s="32" t="str"/>
      <x:c r="I683" s="31" t="str"/>
      <x:c r="J683" s="28" t="str">
        <x:f>IF(I683="","OPEN",IF(OR(F683="",G683="",H683=""),"FAIL","PASS"))</x:f>
        <x:v>OPEN</x:v>
      </x:c>
    </x:row>
    <x:row r="684">
      <x:c r="B684" s="28" t="str">
        <x:v>CQ-DA-170-2</x:v>
      </x:c>
      <x:c r="C684" s="28" t="str">
        <x:v>DA-170</x:v>
      </x:c>
      <x:c r="D684" s="28" t="n">
        <x:v>2</x:v>
      </x:c>
      <x:c r="E684" s="28" t="str">
        <x:v>site and rig qualification</x:v>
      </x:c>
      <x:c r="F684" s="31" t="str"/>
      <x:c r="G684" s="31" t="str"/>
      <x:c r="H684" s="32" t="str"/>
      <x:c r="I684" s="31" t="str"/>
      <x:c r="J684" s="28" t="str">
        <x:f>IF(I684="","OPEN",IF(OR(F684="",G684="",H684=""),"FAIL","PASS"))</x:f>
        <x:v>OPEN</x:v>
      </x:c>
    </x:row>
    <x:row r="685">
      <x:c r="B685" s="28" t="str">
        <x:v>CQ-DA-170-3</x:v>
      </x:c>
      <x:c r="C685" s="28" t="str">
        <x:v>DA-170</x:v>
      </x:c>
      <x:c r="D685" s="28" t="n">
        <x:v>3</x:v>
      </x:c>
      <x:c r="E685" s="28" t="str">
        <x:v>article-interface qualification</x:v>
      </x:c>
      <x:c r="F685" s="31" t="str"/>
      <x:c r="G685" s="31" t="str"/>
      <x:c r="H685" s="32" t="str"/>
      <x:c r="I685" s="31" t="str"/>
      <x:c r="J685" s="28" t="str">
        <x:f>IF(I685="","OPEN",IF(OR(F685="",G685="",H685=""),"FAIL","PASS"))</x:f>
        <x:v>OPEN</x:v>
      </x:c>
    </x:row>
    <x:row r="686">
      <x:c r="B686" s="28" t="str">
        <x:v>CQ-DA-170-4</x:v>
      </x:c>
      <x:c r="C686" s="28" t="str">
        <x:v>DA-170</x:v>
      </x:c>
      <x:c r="D686" s="28" t="n">
        <x:v>4</x:v>
      </x:c>
      <x:c r="E686" s="28" t="str">
        <x:v>incident and rescue qualification</x:v>
      </x:c>
      <x:c r="F686" s="31" t="str"/>
      <x:c r="G686" s="31" t="str"/>
      <x:c r="H686" s="32" t="str"/>
      <x:c r="I686" s="31" t="str"/>
      <x:c r="J686" s="28" t="str">
        <x:f>IF(I686="","OPEN",IF(OR(F686="",G686="",H686=""),"FAIL","PASS"))</x:f>
        <x:v>OPEN</x:v>
      </x:c>
    </x:row>
    <x:row r="687">
      <x:c r="B687" s="28" t="str">
        <x:v>CQ-DA-171-1</x:v>
      </x:c>
      <x:c r="C687" s="28" t="str">
        <x:v>DA-171</x:v>
      </x:c>
      <x:c r="D687" s="28" t="n">
        <x:v>1</x:v>
      </x:c>
      <x:c r="E687" s="28" t="str">
        <x:v>role qualification</x:v>
      </x:c>
      <x:c r="F687" s="31" t="str"/>
      <x:c r="G687" s="31" t="str"/>
      <x:c r="H687" s="32" t="str"/>
      <x:c r="I687" s="31" t="str"/>
      <x:c r="J687" s="28" t="str">
        <x:f>IF(I687="","OPEN",IF(OR(F687="",G687="",H687=""),"FAIL","PASS"))</x:f>
        <x:v>OPEN</x:v>
      </x:c>
    </x:row>
    <x:row r="688">
      <x:c r="B688" s="28" t="str">
        <x:v>CQ-DA-171-2</x:v>
      </x:c>
      <x:c r="C688" s="28" t="str">
        <x:v>DA-171</x:v>
      </x:c>
      <x:c r="D688" s="28" t="n">
        <x:v>2</x:v>
      </x:c>
      <x:c r="E688" s="28" t="str">
        <x:v>site and rig qualification</x:v>
      </x:c>
      <x:c r="F688" s="31" t="str"/>
      <x:c r="G688" s="31" t="str"/>
      <x:c r="H688" s="32" t="str"/>
      <x:c r="I688" s="31" t="str"/>
      <x:c r="J688" s="28" t="str">
        <x:f>IF(I688="","OPEN",IF(OR(F688="",G688="",H688=""),"FAIL","PASS"))</x:f>
        <x:v>OPEN</x:v>
      </x:c>
    </x:row>
    <x:row r="689">
      <x:c r="B689" s="28" t="str">
        <x:v>CQ-DA-171-3</x:v>
      </x:c>
      <x:c r="C689" s="28" t="str">
        <x:v>DA-171</x:v>
      </x:c>
      <x:c r="D689" s="28" t="n">
        <x:v>3</x:v>
      </x:c>
      <x:c r="E689" s="28" t="str">
        <x:v>article-interface qualification</x:v>
      </x:c>
      <x:c r="F689" s="31" t="str"/>
      <x:c r="G689" s="31" t="str"/>
      <x:c r="H689" s="32" t="str"/>
      <x:c r="I689" s="31" t="str"/>
      <x:c r="J689" s="28" t="str">
        <x:f>IF(I689="","OPEN",IF(OR(F689="",G689="",H689=""),"FAIL","PASS"))</x:f>
        <x:v>OPEN</x:v>
      </x:c>
    </x:row>
    <x:row r="690">
      <x:c r="B690" s="28" t="str">
        <x:v>CQ-DA-171-4</x:v>
      </x:c>
      <x:c r="C690" s="28" t="str">
        <x:v>DA-171</x:v>
      </x:c>
      <x:c r="D690" s="28" t="n">
        <x:v>4</x:v>
      </x:c>
      <x:c r="E690" s="28" t="str">
        <x:v>incident and rescue qualification</x:v>
      </x:c>
      <x:c r="F690" s="31" t="str"/>
      <x:c r="G690" s="31" t="str"/>
      <x:c r="H690" s="32" t="str"/>
      <x:c r="I690" s="31" t="str"/>
      <x:c r="J690" s="28" t="str">
        <x:f>IF(I690="","OPEN",IF(OR(F690="",G690="",H690=""),"FAIL","PASS"))</x:f>
        <x:v>OPEN</x:v>
      </x:c>
    </x:row>
    <x:row r="691">
      <x:c r="B691" s="28" t="str">
        <x:v>CQ-DA-172-1</x:v>
      </x:c>
      <x:c r="C691" s="28" t="str">
        <x:v>DA-172</x:v>
      </x:c>
      <x:c r="D691" s="28" t="n">
        <x:v>1</x:v>
      </x:c>
      <x:c r="E691" s="28" t="str">
        <x:v>role qualification</x:v>
      </x:c>
      <x:c r="F691" s="31" t="str"/>
      <x:c r="G691" s="31" t="str"/>
      <x:c r="H691" s="32" t="str"/>
      <x:c r="I691" s="31" t="str"/>
      <x:c r="J691" s="28" t="str">
        <x:f>IF(I691="","OPEN",IF(OR(F691="",G691="",H691=""),"FAIL","PASS"))</x:f>
        <x:v>OPEN</x:v>
      </x:c>
    </x:row>
    <x:row r="692">
      <x:c r="B692" s="28" t="str">
        <x:v>CQ-DA-172-2</x:v>
      </x:c>
      <x:c r="C692" s="28" t="str">
        <x:v>DA-172</x:v>
      </x:c>
      <x:c r="D692" s="28" t="n">
        <x:v>2</x:v>
      </x:c>
      <x:c r="E692" s="28" t="str">
        <x:v>site and rig qualification</x:v>
      </x:c>
      <x:c r="F692" s="31" t="str"/>
      <x:c r="G692" s="31" t="str"/>
      <x:c r="H692" s="32" t="str"/>
      <x:c r="I692" s="31" t="str"/>
      <x:c r="J692" s="28" t="str">
        <x:f>IF(I692="","OPEN",IF(OR(F692="",G692="",H692=""),"FAIL","PASS"))</x:f>
        <x:v>OPEN</x:v>
      </x:c>
    </x:row>
    <x:row r="693">
      <x:c r="B693" s="28" t="str">
        <x:v>CQ-DA-172-3</x:v>
      </x:c>
      <x:c r="C693" s="28" t="str">
        <x:v>DA-172</x:v>
      </x:c>
      <x:c r="D693" s="28" t="n">
        <x:v>3</x:v>
      </x:c>
      <x:c r="E693" s="28" t="str">
        <x:v>article-interface qualification</x:v>
      </x:c>
      <x:c r="F693" s="31" t="str"/>
      <x:c r="G693" s="31" t="str"/>
      <x:c r="H693" s="32" t="str"/>
      <x:c r="I693" s="31" t="str"/>
      <x:c r="J693" s="28" t="str">
        <x:f>IF(I693="","OPEN",IF(OR(F693="",G693="",H693=""),"FAIL","PASS"))</x:f>
        <x:v>OPEN</x:v>
      </x:c>
    </x:row>
    <x:row r="694">
      <x:c r="B694" s="28" t="str">
        <x:v>CQ-DA-172-4</x:v>
      </x:c>
      <x:c r="C694" s="28" t="str">
        <x:v>DA-172</x:v>
      </x:c>
      <x:c r="D694" s="28" t="n">
        <x:v>4</x:v>
      </x:c>
      <x:c r="E694" s="28" t="str">
        <x:v>incident and rescue qualification</x:v>
      </x:c>
      <x:c r="F694" s="31" t="str"/>
      <x:c r="G694" s="31" t="str"/>
      <x:c r="H694" s="32" t="str"/>
      <x:c r="I694" s="31" t="str"/>
      <x:c r="J694" s="28" t="str">
        <x:f>IF(I694="","OPEN",IF(OR(F694="",G694="",H694=""),"FAIL","PASS"))</x:f>
        <x:v>OPEN</x:v>
      </x:c>
    </x:row>
    <x:row r="695">
      <x:c r="B695" s="28" t="str">
        <x:v>CQ-DA-173-1</x:v>
      </x:c>
      <x:c r="C695" s="28" t="str">
        <x:v>DA-173</x:v>
      </x:c>
      <x:c r="D695" s="28" t="n">
        <x:v>1</x:v>
      </x:c>
      <x:c r="E695" s="28" t="str">
        <x:v>role qualification</x:v>
      </x:c>
      <x:c r="F695" s="31" t="str"/>
      <x:c r="G695" s="31" t="str"/>
      <x:c r="H695" s="32" t="str"/>
      <x:c r="I695" s="31" t="str"/>
      <x:c r="J695" s="28" t="str">
        <x:f>IF(I695="","OPEN",IF(OR(F695="",G695="",H695=""),"FAIL","PASS"))</x:f>
        <x:v>OPEN</x:v>
      </x:c>
    </x:row>
    <x:row r="696">
      <x:c r="B696" s="28" t="str">
        <x:v>CQ-DA-173-2</x:v>
      </x:c>
      <x:c r="C696" s="28" t="str">
        <x:v>DA-173</x:v>
      </x:c>
      <x:c r="D696" s="28" t="n">
        <x:v>2</x:v>
      </x:c>
      <x:c r="E696" s="28" t="str">
        <x:v>site and rig qualification</x:v>
      </x:c>
      <x:c r="F696" s="31" t="str"/>
      <x:c r="G696" s="31" t="str"/>
      <x:c r="H696" s="32" t="str"/>
      <x:c r="I696" s="31" t="str"/>
      <x:c r="J696" s="28" t="str">
        <x:f>IF(I696="","OPEN",IF(OR(F696="",G696="",H696=""),"FAIL","PASS"))</x:f>
        <x:v>OPEN</x:v>
      </x:c>
    </x:row>
    <x:row r="697">
      <x:c r="B697" s="28" t="str">
        <x:v>CQ-DA-173-3</x:v>
      </x:c>
      <x:c r="C697" s="28" t="str">
        <x:v>DA-173</x:v>
      </x:c>
      <x:c r="D697" s="28" t="n">
        <x:v>3</x:v>
      </x:c>
      <x:c r="E697" s="28" t="str">
        <x:v>article-interface qualification</x:v>
      </x:c>
      <x:c r="F697" s="31" t="str"/>
      <x:c r="G697" s="31" t="str"/>
      <x:c r="H697" s="32" t="str"/>
      <x:c r="I697" s="31" t="str"/>
      <x:c r="J697" s="28" t="str">
        <x:f>IF(I697="","OPEN",IF(OR(F697="",G697="",H697=""),"FAIL","PASS"))</x:f>
        <x:v>OPEN</x:v>
      </x:c>
    </x:row>
    <x:row r="698">
      <x:c r="B698" s="28" t="str">
        <x:v>CQ-DA-173-4</x:v>
      </x:c>
      <x:c r="C698" s="28" t="str">
        <x:v>DA-173</x:v>
      </x:c>
      <x:c r="D698" s="28" t="n">
        <x:v>4</x:v>
      </x:c>
      <x:c r="E698" s="28" t="str">
        <x:v>incident and rescue qualification</x:v>
      </x:c>
      <x:c r="F698" s="31" t="str"/>
      <x:c r="G698" s="31" t="str"/>
      <x:c r="H698" s="32" t="str"/>
      <x:c r="I698" s="31" t="str"/>
      <x:c r="J698" s="28" t="str">
        <x:f>IF(I698="","OPEN",IF(OR(F698="",G698="",H698=""),"FAIL","PASS"))</x:f>
        <x:v>OPEN</x:v>
      </x:c>
    </x:row>
    <x:row r="699">
      <x:c r="B699" s="28" t="str">
        <x:v>CQ-DA-174-1</x:v>
      </x:c>
      <x:c r="C699" s="28" t="str">
        <x:v>DA-174</x:v>
      </x:c>
      <x:c r="D699" s="28" t="n">
        <x:v>1</x:v>
      </x:c>
      <x:c r="E699" s="28" t="str">
        <x:v>role qualification</x:v>
      </x:c>
      <x:c r="F699" s="31" t="str"/>
      <x:c r="G699" s="31" t="str"/>
      <x:c r="H699" s="32" t="str"/>
      <x:c r="I699" s="31" t="str"/>
      <x:c r="J699" s="28" t="str">
        <x:f>IF(I699="","OPEN",IF(OR(F699="",G699="",H699=""),"FAIL","PASS"))</x:f>
        <x:v>OPEN</x:v>
      </x:c>
    </x:row>
    <x:row r="700">
      <x:c r="B700" s="28" t="str">
        <x:v>CQ-DA-174-2</x:v>
      </x:c>
      <x:c r="C700" s="28" t="str">
        <x:v>DA-174</x:v>
      </x:c>
      <x:c r="D700" s="28" t="n">
        <x:v>2</x:v>
      </x:c>
      <x:c r="E700" s="28" t="str">
        <x:v>site and rig qualification</x:v>
      </x:c>
      <x:c r="F700" s="31" t="str"/>
      <x:c r="G700" s="31" t="str"/>
      <x:c r="H700" s="32" t="str"/>
      <x:c r="I700" s="31" t="str"/>
      <x:c r="J700" s="28" t="str">
        <x:f>IF(I700="","OPEN",IF(OR(F700="",G700="",H700=""),"FAIL","PASS"))</x:f>
        <x:v>OPEN</x:v>
      </x:c>
    </x:row>
    <x:row r="701">
      <x:c r="B701" s="28" t="str">
        <x:v>CQ-DA-174-3</x:v>
      </x:c>
      <x:c r="C701" s="28" t="str">
        <x:v>DA-174</x:v>
      </x:c>
      <x:c r="D701" s="28" t="n">
        <x:v>3</x:v>
      </x:c>
      <x:c r="E701" s="28" t="str">
        <x:v>article-interface qualification</x:v>
      </x:c>
      <x:c r="F701" s="31" t="str"/>
      <x:c r="G701" s="31" t="str"/>
      <x:c r="H701" s="32" t="str"/>
      <x:c r="I701" s="31" t="str"/>
      <x:c r="J701" s="28" t="str">
        <x:f>IF(I701="","OPEN",IF(OR(F701="",G701="",H701=""),"FAIL","PASS"))</x:f>
        <x:v>OPEN</x:v>
      </x:c>
    </x:row>
    <x:row r="702">
      <x:c r="B702" s="28" t="str">
        <x:v>CQ-DA-174-4</x:v>
      </x:c>
      <x:c r="C702" s="28" t="str">
        <x:v>DA-174</x:v>
      </x:c>
      <x:c r="D702" s="28" t="n">
        <x:v>4</x:v>
      </x:c>
      <x:c r="E702" s="28" t="str">
        <x:v>incident and rescue qualification</x:v>
      </x:c>
      <x:c r="F702" s="31" t="str"/>
      <x:c r="G702" s="31" t="str"/>
      <x:c r="H702" s="32" t="str"/>
      <x:c r="I702" s="31" t="str"/>
      <x:c r="J702" s="28" t="str">
        <x:f>IF(I702="","OPEN",IF(OR(F702="",G702="",H702=""),"FAIL","PASS"))</x:f>
        <x:v>OPEN</x:v>
      </x:c>
    </x:row>
    <x:row r="703">
      <x:c r="B703" s="28" t="str">
        <x:v>CQ-DA-175-1</x:v>
      </x:c>
      <x:c r="C703" s="28" t="str">
        <x:v>DA-175</x:v>
      </x:c>
      <x:c r="D703" s="28" t="n">
        <x:v>1</x:v>
      </x:c>
      <x:c r="E703" s="28" t="str">
        <x:v>role qualification</x:v>
      </x:c>
      <x:c r="F703" s="31" t="str"/>
      <x:c r="G703" s="31" t="str"/>
      <x:c r="H703" s="32" t="str"/>
      <x:c r="I703" s="31" t="str"/>
      <x:c r="J703" s="28" t="str">
        <x:f>IF(I703="","OPEN",IF(OR(F703="",G703="",H703=""),"FAIL","PASS"))</x:f>
        <x:v>OPEN</x:v>
      </x:c>
    </x:row>
    <x:row r="704">
      <x:c r="B704" s="28" t="str">
        <x:v>CQ-DA-175-2</x:v>
      </x:c>
      <x:c r="C704" s="28" t="str">
        <x:v>DA-175</x:v>
      </x:c>
      <x:c r="D704" s="28" t="n">
        <x:v>2</x:v>
      </x:c>
      <x:c r="E704" s="28" t="str">
        <x:v>site and rig qualification</x:v>
      </x:c>
      <x:c r="F704" s="31" t="str"/>
      <x:c r="G704" s="31" t="str"/>
      <x:c r="H704" s="32" t="str"/>
      <x:c r="I704" s="31" t="str"/>
      <x:c r="J704" s="28" t="str">
        <x:f>IF(I704="","OPEN",IF(OR(F704="",G704="",H704=""),"FAIL","PASS"))</x:f>
        <x:v>OPEN</x:v>
      </x:c>
    </x:row>
    <x:row r="705">
      <x:c r="B705" s="28" t="str">
        <x:v>CQ-DA-175-3</x:v>
      </x:c>
      <x:c r="C705" s="28" t="str">
        <x:v>DA-175</x:v>
      </x:c>
      <x:c r="D705" s="28" t="n">
        <x:v>3</x:v>
      </x:c>
      <x:c r="E705" s="28" t="str">
        <x:v>article-interface qualification</x:v>
      </x:c>
      <x:c r="F705" s="31" t="str"/>
      <x:c r="G705" s="31" t="str"/>
      <x:c r="H705" s="32" t="str"/>
      <x:c r="I705" s="31" t="str"/>
      <x:c r="J705" s="28" t="str">
        <x:f>IF(I705="","OPEN",IF(OR(F705="",G705="",H705=""),"FAIL","PASS"))</x:f>
        <x:v>OPEN</x:v>
      </x:c>
    </x:row>
    <x:row r="706">
      <x:c r="B706" s="28" t="str">
        <x:v>CQ-DA-175-4</x:v>
      </x:c>
      <x:c r="C706" s="28" t="str">
        <x:v>DA-175</x:v>
      </x:c>
      <x:c r="D706" s="28" t="n">
        <x:v>4</x:v>
      </x:c>
      <x:c r="E706" s="28" t="str">
        <x:v>incident and rescue qualification</x:v>
      </x:c>
      <x:c r="F706" s="31" t="str"/>
      <x:c r="G706" s="31" t="str"/>
      <x:c r="H706" s="32" t="str"/>
      <x:c r="I706" s="31" t="str"/>
      <x:c r="J706" s="28" t="str">
        <x:f>IF(I706="","OPEN",IF(OR(F706="",G706="",H706=""),"FAIL","PASS"))</x:f>
        <x:v>OPEN</x:v>
      </x:c>
    </x:row>
    <x:row r="707">
      <x:c r="B707" s="28" t="str">
        <x:v>CQ-DA-176-1</x:v>
      </x:c>
      <x:c r="C707" s="28" t="str">
        <x:v>DA-176</x:v>
      </x:c>
      <x:c r="D707" s="28" t="n">
        <x:v>1</x:v>
      </x:c>
      <x:c r="E707" s="28" t="str">
        <x:v>role qualification</x:v>
      </x:c>
      <x:c r="F707" s="31" t="str"/>
      <x:c r="G707" s="31" t="str"/>
      <x:c r="H707" s="32" t="str"/>
      <x:c r="I707" s="31" t="str"/>
      <x:c r="J707" s="28" t="str">
        <x:f>IF(I707="","OPEN",IF(OR(F707="",G707="",H707=""),"FAIL","PASS"))</x:f>
        <x:v>OPEN</x:v>
      </x:c>
    </x:row>
    <x:row r="708">
      <x:c r="B708" s="28" t="str">
        <x:v>CQ-DA-176-2</x:v>
      </x:c>
      <x:c r="C708" s="28" t="str">
        <x:v>DA-176</x:v>
      </x:c>
      <x:c r="D708" s="28" t="n">
        <x:v>2</x:v>
      </x:c>
      <x:c r="E708" s="28" t="str">
        <x:v>site and rig qualification</x:v>
      </x:c>
      <x:c r="F708" s="31" t="str"/>
      <x:c r="G708" s="31" t="str"/>
      <x:c r="H708" s="32" t="str"/>
      <x:c r="I708" s="31" t="str"/>
      <x:c r="J708" s="28" t="str">
        <x:f>IF(I708="","OPEN",IF(OR(F708="",G708="",H708=""),"FAIL","PASS"))</x:f>
        <x:v>OPEN</x:v>
      </x:c>
    </x:row>
    <x:row r="709">
      <x:c r="B709" s="28" t="str">
        <x:v>CQ-DA-176-3</x:v>
      </x:c>
      <x:c r="C709" s="28" t="str">
        <x:v>DA-176</x:v>
      </x:c>
      <x:c r="D709" s="28" t="n">
        <x:v>3</x:v>
      </x:c>
      <x:c r="E709" s="28" t="str">
        <x:v>article-interface qualification</x:v>
      </x:c>
      <x:c r="F709" s="31" t="str"/>
      <x:c r="G709" s="31" t="str"/>
      <x:c r="H709" s="32" t="str"/>
      <x:c r="I709" s="31" t="str"/>
      <x:c r="J709" s="28" t="str">
        <x:f>IF(I709="","OPEN",IF(OR(F709="",G709="",H709=""),"FAIL","PASS"))</x:f>
        <x:v>OPEN</x:v>
      </x:c>
    </x:row>
    <x:row r="710">
      <x:c r="B710" s="28" t="str">
        <x:v>CQ-DA-176-4</x:v>
      </x:c>
      <x:c r="C710" s="28" t="str">
        <x:v>DA-176</x:v>
      </x:c>
      <x:c r="D710" s="28" t="n">
        <x:v>4</x:v>
      </x:c>
      <x:c r="E710" s="28" t="str">
        <x:v>incident and rescue qualification</x:v>
      </x:c>
      <x:c r="F710" s="31" t="str"/>
      <x:c r="G710" s="31" t="str"/>
      <x:c r="H710" s="32" t="str"/>
      <x:c r="I710" s="31" t="str"/>
      <x:c r="J710" s="28" t="str">
        <x:f>IF(I710="","OPEN",IF(OR(F710="",G710="",H710=""),"FAIL","PASS"))</x:f>
        <x:v>OPEN</x:v>
      </x:c>
    </x:row>
    <x:row r="711">
      <x:c r="B711" s="28" t="str">
        <x:v>CQ-DA-177-1</x:v>
      </x:c>
      <x:c r="C711" s="28" t="str">
        <x:v>DA-177</x:v>
      </x:c>
      <x:c r="D711" s="28" t="n">
        <x:v>1</x:v>
      </x:c>
      <x:c r="E711" s="28" t="str">
        <x:v>role qualification</x:v>
      </x:c>
      <x:c r="F711" s="31" t="str"/>
      <x:c r="G711" s="31" t="str"/>
      <x:c r="H711" s="32" t="str"/>
      <x:c r="I711" s="31" t="str"/>
      <x:c r="J711" s="28" t="str">
        <x:f>IF(I711="","OPEN",IF(OR(F711="",G711="",H711=""),"FAIL","PASS"))</x:f>
        <x:v>OPEN</x:v>
      </x:c>
    </x:row>
    <x:row r="712">
      <x:c r="B712" s="28" t="str">
        <x:v>CQ-DA-177-2</x:v>
      </x:c>
      <x:c r="C712" s="28" t="str">
        <x:v>DA-177</x:v>
      </x:c>
      <x:c r="D712" s="28" t="n">
        <x:v>2</x:v>
      </x:c>
      <x:c r="E712" s="28" t="str">
        <x:v>site and rig qualification</x:v>
      </x:c>
      <x:c r="F712" s="31" t="str"/>
      <x:c r="G712" s="31" t="str"/>
      <x:c r="H712" s="32" t="str"/>
      <x:c r="I712" s="31" t="str"/>
      <x:c r="J712" s="28" t="str">
        <x:f>IF(I712="","OPEN",IF(OR(F712="",G712="",H712=""),"FAIL","PASS"))</x:f>
        <x:v>OPEN</x:v>
      </x:c>
    </x:row>
    <x:row r="713">
      <x:c r="B713" s="28" t="str">
        <x:v>CQ-DA-177-3</x:v>
      </x:c>
      <x:c r="C713" s="28" t="str">
        <x:v>DA-177</x:v>
      </x:c>
      <x:c r="D713" s="28" t="n">
        <x:v>3</x:v>
      </x:c>
      <x:c r="E713" s="28" t="str">
        <x:v>article-interface qualification</x:v>
      </x:c>
      <x:c r="F713" s="31" t="str"/>
      <x:c r="G713" s="31" t="str"/>
      <x:c r="H713" s="32" t="str"/>
      <x:c r="I713" s="31" t="str"/>
      <x:c r="J713" s="28" t="str">
        <x:f>IF(I713="","OPEN",IF(OR(F713="",G713="",H713=""),"FAIL","PASS"))</x:f>
        <x:v>OPEN</x:v>
      </x:c>
    </x:row>
    <x:row r="714">
      <x:c r="B714" s="28" t="str">
        <x:v>CQ-DA-177-4</x:v>
      </x:c>
      <x:c r="C714" s="28" t="str">
        <x:v>DA-177</x:v>
      </x:c>
      <x:c r="D714" s="28" t="n">
        <x:v>4</x:v>
      </x:c>
      <x:c r="E714" s="28" t="str">
        <x:v>incident and rescue qualification</x:v>
      </x:c>
      <x:c r="F714" s="31" t="str"/>
      <x:c r="G714" s="31" t="str"/>
      <x:c r="H714" s="32" t="str"/>
      <x:c r="I714" s="31" t="str"/>
      <x:c r="J714" s="28" t="str">
        <x:f>IF(I714="","OPEN",IF(OR(F714="",G714="",H714=""),"FAIL","PASS"))</x:f>
        <x:v>OPEN</x:v>
      </x:c>
    </x:row>
    <x:row r="715">
      <x:c r="B715" s="28" t="str">
        <x:v>CQ-DA-178-1</x:v>
      </x:c>
      <x:c r="C715" s="28" t="str">
        <x:v>DA-178</x:v>
      </x:c>
      <x:c r="D715" s="28" t="n">
        <x:v>1</x:v>
      </x:c>
      <x:c r="E715" s="28" t="str">
        <x:v>role qualification</x:v>
      </x:c>
      <x:c r="F715" s="31" t="str"/>
      <x:c r="G715" s="31" t="str"/>
      <x:c r="H715" s="32" t="str"/>
      <x:c r="I715" s="31" t="str"/>
      <x:c r="J715" s="28" t="str">
        <x:f>IF(I715="","OPEN",IF(OR(F715="",G715="",H715=""),"FAIL","PASS"))</x:f>
        <x:v>OPEN</x:v>
      </x:c>
    </x:row>
    <x:row r="716">
      <x:c r="B716" s="28" t="str">
        <x:v>CQ-DA-178-2</x:v>
      </x:c>
      <x:c r="C716" s="28" t="str">
        <x:v>DA-178</x:v>
      </x:c>
      <x:c r="D716" s="28" t="n">
        <x:v>2</x:v>
      </x:c>
      <x:c r="E716" s="28" t="str">
        <x:v>site and rig qualification</x:v>
      </x:c>
      <x:c r="F716" s="31" t="str"/>
      <x:c r="G716" s="31" t="str"/>
      <x:c r="H716" s="32" t="str"/>
      <x:c r="I716" s="31" t="str"/>
      <x:c r="J716" s="28" t="str">
        <x:f>IF(I716="","OPEN",IF(OR(F716="",G716="",H716=""),"FAIL","PASS"))</x:f>
        <x:v>OPEN</x:v>
      </x:c>
    </x:row>
    <x:row r="717">
      <x:c r="B717" s="28" t="str">
        <x:v>CQ-DA-178-3</x:v>
      </x:c>
      <x:c r="C717" s="28" t="str">
        <x:v>DA-178</x:v>
      </x:c>
      <x:c r="D717" s="28" t="n">
        <x:v>3</x:v>
      </x:c>
      <x:c r="E717" s="28" t="str">
        <x:v>article-interface qualification</x:v>
      </x:c>
      <x:c r="F717" s="31" t="str"/>
      <x:c r="G717" s="31" t="str"/>
      <x:c r="H717" s="32" t="str"/>
      <x:c r="I717" s="31" t="str"/>
      <x:c r="J717" s="28" t="str">
        <x:f>IF(I717="","OPEN",IF(OR(F717="",G717="",H717=""),"FAIL","PASS"))</x:f>
        <x:v>OPEN</x:v>
      </x:c>
    </x:row>
    <x:row r="718">
      <x:c r="B718" s="28" t="str">
        <x:v>CQ-DA-178-4</x:v>
      </x:c>
      <x:c r="C718" s="28" t="str">
        <x:v>DA-178</x:v>
      </x:c>
      <x:c r="D718" s="28" t="n">
        <x:v>4</x:v>
      </x:c>
      <x:c r="E718" s="28" t="str">
        <x:v>incident and rescue qualification</x:v>
      </x:c>
      <x:c r="F718" s="31" t="str"/>
      <x:c r="G718" s="31" t="str"/>
      <x:c r="H718" s="32" t="str"/>
      <x:c r="I718" s="31" t="str"/>
      <x:c r="J718" s="28" t="str">
        <x:f>IF(I718="","OPEN",IF(OR(F718="",G718="",H718=""),"FAIL","PASS"))</x:f>
        <x:v>OPEN</x:v>
      </x:c>
    </x:row>
    <x:row r="719">
      <x:c r="B719" s="28" t="str">
        <x:v>CQ-DA-179-1</x:v>
      </x:c>
      <x:c r="C719" s="28" t="str">
        <x:v>DA-179</x:v>
      </x:c>
      <x:c r="D719" s="28" t="n">
        <x:v>1</x:v>
      </x:c>
      <x:c r="E719" s="28" t="str">
        <x:v>role qualification</x:v>
      </x:c>
      <x:c r="F719" s="31" t="str"/>
      <x:c r="G719" s="31" t="str"/>
      <x:c r="H719" s="32" t="str"/>
      <x:c r="I719" s="31" t="str"/>
      <x:c r="J719" s="28" t="str">
        <x:f>IF(I719="","OPEN",IF(OR(F719="",G719="",H719=""),"FAIL","PASS"))</x:f>
        <x:v>OPEN</x:v>
      </x:c>
    </x:row>
    <x:row r="720">
      <x:c r="B720" s="28" t="str">
        <x:v>CQ-DA-179-2</x:v>
      </x:c>
      <x:c r="C720" s="28" t="str">
        <x:v>DA-179</x:v>
      </x:c>
      <x:c r="D720" s="28" t="n">
        <x:v>2</x:v>
      </x:c>
      <x:c r="E720" s="28" t="str">
        <x:v>site and rig qualification</x:v>
      </x:c>
      <x:c r="F720" s="31" t="str"/>
      <x:c r="G720" s="31" t="str"/>
      <x:c r="H720" s="32" t="str"/>
      <x:c r="I720" s="31" t="str"/>
      <x:c r="J720" s="28" t="str">
        <x:f>IF(I720="","OPEN",IF(OR(F720="",G720="",H720=""),"FAIL","PASS"))</x:f>
        <x:v>OPEN</x:v>
      </x:c>
    </x:row>
    <x:row r="721">
      <x:c r="B721" s="28" t="str">
        <x:v>CQ-DA-179-3</x:v>
      </x:c>
      <x:c r="C721" s="28" t="str">
        <x:v>DA-179</x:v>
      </x:c>
      <x:c r="D721" s="28" t="n">
        <x:v>3</x:v>
      </x:c>
      <x:c r="E721" s="28" t="str">
        <x:v>article-interface qualification</x:v>
      </x:c>
      <x:c r="F721" s="31" t="str"/>
      <x:c r="G721" s="31" t="str"/>
      <x:c r="H721" s="32" t="str"/>
      <x:c r="I721" s="31" t="str"/>
      <x:c r="J721" s="28" t="str">
        <x:f>IF(I721="","OPEN",IF(OR(F721="",G721="",H721=""),"FAIL","PASS"))</x:f>
        <x:v>OPEN</x:v>
      </x:c>
    </x:row>
    <x:row r="722">
      <x:c r="B722" s="28" t="str">
        <x:v>CQ-DA-179-4</x:v>
      </x:c>
      <x:c r="C722" s="28" t="str">
        <x:v>DA-179</x:v>
      </x:c>
      <x:c r="D722" s="28" t="n">
        <x:v>4</x:v>
      </x:c>
      <x:c r="E722" s="28" t="str">
        <x:v>incident and rescue qualification</x:v>
      </x:c>
      <x:c r="F722" s="31" t="str"/>
      <x:c r="G722" s="31" t="str"/>
      <x:c r="H722" s="32" t="str"/>
      <x:c r="I722" s="31" t="str"/>
      <x:c r="J722" s="28" t="str">
        <x:f>IF(I722="","OPEN",IF(OR(F722="",G722="",H722=""),"FAIL","PASS"))</x:f>
        <x:v>OPEN</x:v>
      </x:c>
    </x:row>
    <x:row r="723">
      <x:c r="B723" s="28" t="str">
        <x:v>CQ-DA-180-1</x:v>
      </x:c>
      <x:c r="C723" s="28" t="str">
        <x:v>DA-180</x:v>
      </x:c>
      <x:c r="D723" s="28" t="n">
        <x:v>1</x:v>
      </x:c>
      <x:c r="E723" s="28" t="str">
        <x:v>role qualification</x:v>
      </x:c>
      <x:c r="F723" s="31" t="str"/>
      <x:c r="G723" s="31" t="str"/>
      <x:c r="H723" s="32" t="str"/>
      <x:c r="I723" s="31" t="str"/>
      <x:c r="J723" s="28" t="str">
        <x:f>IF(I723="","OPEN",IF(OR(F723="",G723="",H723=""),"FAIL","PASS"))</x:f>
        <x:v>OPEN</x:v>
      </x:c>
    </x:row>
    <x:row r="724">
      <x:c r="B724" s="28" t="str">
        <x:v>CQ-DA-180-2</x:v>
      </x:c>
      <x:c r="C724" s="28" t="str">
        <x:v>DA-180</x:v>
      </x:c>
      <x:c r="D724" s="28" t="n">
        <x:v>2</x:v>
      </x:c>
      <x:c r="E724" s="28" t="str">
        <x:v>site and rig qualification</x:v>
      </x:c>
      <x:c r="F724" s="31" t="str"/>
      <x:c r="G724" s="31" t="str"/>
      <x:c r="H724" s="32" t="str"/>
      <x:c r="I724" s="31" t="str"/>
      <x:c r="J724" s="28" t="str">
        <x:f>IF(I724="","OPEN",IF(OR(F724="",G724="",H724=""),"FAIL","PASS"))</x:f>
        <x:v>OPEN</x:v>
      </x:c>
    </x:row>
    <x:row r="725">
      <x:c r="B725" s="28" t="str">
        <x:v>CQ-DA-180-3</x:v>
      </x:c>
      <x:c r="C725" s="28" t="str">
        <x:v>DA-180</x:v>
      </x:c>
      <x:c r="D725" s="28" t="n">
        <x:v>3</x:v>
      </x:c>
      <x:c r="E725" s="28" t="str">
        <x:v>article-interface qualification</x:v>
      </x:c>
      <x:c r="F725" s="31" t="str"/>
      <x:c r="G725" s="31" t="str"/>
      <x:c r="H725" s="32" t="str"/>
      <x:c r="I725" s="31" t="str"/>
      <x:c r="J725" s="28" t="str">
        <x:f>IF(I725="","OPEN",IF(OR(F725="",G725="",H725=""),"FAIL","PASS"))</x:f>
        <x:v>OPEN</x:v>
      </x:c>
    </x:row>
    <x:row r="726">
      <x:c r="B726" s="28" t="str">
        <x:v>CQ-DA-180-4</x:v>
      </x:c>
      <x:c r="C726" s="28" t="str">
        <x:v>DA-180</x:v>
      </x:c>
      <x:c r="D726" s="28" t="n">
        <x:v>4</x:v>
      </x:c>
      <x:c r="E726" s="28" t="str">
        <x:v>incident and rescue qualification</x:v>
      </x:c>
      <x:c r="F726" s="31" t="str"/>
      <x:c r="G726" s="31" t="str"/>
      <x:c r="H726" s="32" t="str"/>
      <x:c r="I726" s="31" t="str"/>
      <x:c r="J726" s="28" t="str">
        <x:f>IF(I726="","OPEN",IF(OR(F726="",G726="",H726=""),"FAIL","PASS"))</x:f>
        <x:v>OPEN</x:v>
      </x:c>
    </x:row>
    <x:row r="727">
      <x:c r="B727" s="28" t="str">
        <x:v>CQ-DA-181-1</x:v>
      </x:c>
      <x:c r="C727" s="28" t="str">
        <x:v>DA-181</x:v>
      </x:c>
      <x:c r="D727" s="28" t="n">
        <x:v>1</x:v>
      </x:c>
      <x:c r="E727" s="28" t="str">
        <x:v>role qualification</x:v>
      </x:c>
      <x:c r="F727" s="31" t="str"/>
      <x:c r="G727" s="31" t="str"/>
      <x:c r="H727" s="32" t="str"/>
      <x:c r="I727" s="31" t="str"/>
      <x:c r="J727" s="28" t="str">
        <x:f>IF(I727="","OPEN",IF(OR(F727="",G727="",H727=""),"FAIL","PASS"))</x:f>
        <x:v>OPEN</x:v>
      </x:c>
    </x:row>
    <x:row r="728">
      <x:c r="B728" s="28" t="str">
        <x:v>CQ-DA-181-2</x:v>
      </x:c>
      <x:c r="C728" s="28" t="str">
        <x:v>DA-181</x:v>
      </x:c>
      <x:c r="D728" s="28" t="n">
        <x:v>2</x:v>
      </x:c>
      <x:c r="E728" s="28" t="str">
        <x:v>site and rig qualification</x:v>
      </x:c>
      <x:c r="F728" s="31" t="str"/>
      <x:c r="G728" s="31" t="str"/>
      <x:c r="H728" s="32" t="str"/>
      <x:c r="I728" s="31" t="str"/>
      <x:c r="J728" s="28" t="str">
        <x:f>IF(I728="","OPEN",IF(OR(F728="",G728="",H728=""),"FAIL","PASS"))</x:f>
        <x:v>OPEN</x:v>
      </x:c>
    </x:row>
    <x:row r="729">
      <x:c r="B729" s="28" t="str">
        <x:v>CQ-DA-181-3</x:v>
      </x:c>
      <x:c r="C729" s="28" t="str">
        <x:v>DA-181</x:v>
      </x:c>
      <x:c r="D729" s="28" t="n">
        <x:v>3</x:v>
      </x:c>
      <x:c r="E729" s="28" t="str">
        <x:v>article-interface qualification</x:v>
      </x:c>
      <x:c r="F729" s="31" t="str"/>
      <x:c r="G729" s="31" t="str"/>
      <x:c r="H729" s="32" t="str"/>
      <x:c r="I729" s="31" t="str"/>
      <x:c r="J729" s="28" t="str">
        <x:f>IF(I729="","OPEN",IF(OR(F729="",G729="",H729=""),"FAIL","PASS"))</x:f>
        <x:v>OPEN</x:v>
      </x:c>
    </x:row>
    <x:row r="730">
      <x:c r="B730" s="28" t="str">
        <x:v>CQ-DA-181-4</x:v>
      </x:c>
      <x:c r="C730" s="28" t="str">
        <x:v>DA-181</x:v>
      </x:c>
      <x:c r="D730" s="28" t="n">
        <x:v>4</x:v>
      </x:c>
      <x:c r="E730" s="28" t="str">
        <x:v>incident and rescue qualification</x:v>
      </x:c>
      <x:c r="F730" s="31" t="str"/>
      <x:c r="G730" s="31" t="str"/>
      <x:c r="H730" s="32" t="str"/>
      <x:c r="I730" s="31" t="str"/>
      <x:c r="J730" s="28" t="str">
        <x:f>IF(I730="","OPEN",IF(OR(F730="",G730="",H730=""),"FAIL","PASS"))</x:f>
        <x:v>OPEN</x:v>
      </x:c>
    </x:row>
    <x:row r="731">
      <x:c r="B731" s="28" t="str">
        <x:v>CQ-DA-182-1</x:v>
      </x:c>
      <x:c r="C731" s="28" t="str">
        <x:v>DA-182</x:v>
      </x:c>
      <x:c r="D731" s="28" t="n">
        <x:v>1</x:v>
      </x:c>
      <x:c r="E731" s="28" t="str">
        <x:v>role qualification</x:v>
      </x:c>
      <x:c r="F731" s="31" t="str"/>
      <x:c r="G731" s="31" t="str"/>
      <x:c r="H731" s="32" t="str"/>
      <x:c r="I731" s="31" t="str"/>
      <x:c r="J731" s="28" t="str">
        <x:f>IF(I731="","OPEN",IF(OR(F731="",G731="",H731=""),"FAIL","PASS"))</x:f>
        <x:v>OPEN</x:v>
      </x:c>
    </x:row>
    <x:row r="732">
      <x:c r="B732" s="28" t="str">
        <x:v>CQ-DA-182-2</x:v>
      </x:c>
      <x:c r="C732" s="28" t="str">
        <x:v>DA-182</x:v>
      </x:c>
      <x:c r="D732" s="28" t="n">
        <x:v>2</x:v>
      </x:c>
      <x:c r="E732" s="28" t="str">
        <x:v>site and rig qualification</x:v>
      </x:c>
      <x:c r="F732" s="31" t="str"/>
      <x:c r="G732" s="31" t="str"/>
      <x:c r="H732" s="32" t="str"/>
      <x:c r="I732" s="31" t="str"/>
      <x:c r="J732" s="28" t="str">
        <x:f>IF(I732="","OPEN",IF(OR(F732="",G732="",H732=""),"FAIL","PASS"))</x:f>
        <x:v>OPEN</x:v>
      </x:c>
    </x:row>
    <x:row r="733">
      <x:c r="B733" s="28" t="str">
        <x:v>CQ-DA-182-3</x:v>
      </x:c>
      <x:c r="C733" s="28" t="str">
        <x:v>DA-182</x:v>
      </x:c>
      <x:c r="D733" s="28" t="n">
        <x:v>3</x:v>
      </x:c>
      <x:c r="E733" s="28" t="str">
        <x:v>article-interface qualification</x:v>
      </x:c>
      <x:c r="F733" s="31" t="str"/>
      <x:c r="G733" s="31" t="str"/>
      <x:c r="H733" s="32" t="str"/>
      <x:c r="I733" s="31" t="str"/>
      <x:c r="J733" s="28" t="str">
        <x:f>IF(I733="","OPEN",IF(OR(F733="",G733="",H733=""),"FAIL","PASS"))</x:f>
        <x:v>OPEN</x:v>
      </x:c>
    </x:row>
    <x:row r="734">
      <x:c r="B734" s="28" t="str">
        <x:v>CQ-DA-182-4</x:v>
      </x:c>
      <x:c r="C734" s="28" t="str">
        <x:v>DA-182</x:v>
      </x:c>
      <x:c r="D734" s="28" t="n">
        <x:v>4</x:v>
      </x:c>
      <x:c r="E734" s="28" t="str">
        <x:v>incident and rescue qualification</x:v>
      </x:c>
      <x:c r="F734" s="31" t="str"/>
      <x:c r="G734" s="31" t="str"/>
      <x:c r="H734" s="32" t="str"/>
      <x:c r="I734" s="31" t="str"/>
      <x:c r="J734" s="28" t="str">
        <x:f>IF(I734="","OPEN",IF(OR(F734="",G734="",H734=""),"FAIL","PASS"))</x:f>
        <x:v>OPEN</x:v>
      </x:c>
    </x:row>
    <x:row r="735">
      <x:c r="B735" s="28" t="str">
        <x:v>CQ-DA-183-1</x:v>
      </x:c>
      <x:c r="C735" s="28" t="str">
        <x:v>DA-183</x:v>
      </x:c>
      <x:c r="D735" s="28" t="n">
        <x:v>1</x:v>
      </x:c>
      <x:c r="E735" s="28" t="str">
        <x:v>role qualification</x:v>
      </x:c>
      <x:c r="F735" s="31" t="str"/>
      <x:c r="G735" s="31" t="str"/>
      <x:c r="H735" s="32" t="str"/>
      <x:c r="I735" s="31" t="str"/>
      <x:c r="J735" s="28" t="str">
        <x:f>IF(I735="","OPEN",IF(OR(F735="",G735="",H735=""),"FAIL","PASS"))</x:f>
        <x:v>OPEN</x:v>
      </x:c>
    </x:row>
    <x:row r="736">
      <x:c r="B736" s="28" t="str">
        <x:v>CQ-DA-183-2</x:v>
      </x:c>
      <x:c r="C736" s="28" t="str">
        <x:v>DA-183</x:v>
      </x:c>
      <x:c r="D736" s="28" t="n">
        <x:v>2</x:v>
      </x:c>
      <x:c r="E736" s="28" t="str">
        <x:v>site and rig qualification</x:v>
      </x:c>
      <x:c r="F736" s="31" t="str"/>
      <x:c r="G736" s="31" t="str"/>
      <x:c r="H736" s="32" t="str"/>
      <x:c r="I736" s="31" t="str"/>
      <x:c r="J736" s="28" t="str">
        <x:f>IF(I736="","OPEN",IF(OR(F736="",G736="",H736=""),"FAIL","PASS"))</x:f>
        <x:v>OPEN</x:v>
      </x:c>
    </x:row>
    <x:row r="737">
      <x:c r="B737" s="28" t="str">
        <x:v>CQ-DA-183-3</x:v>
      </x:c>
      <x:c r="C737" s="28" t="str">
        <x:v>DA-183</x:v>
      </x:c>
      <x:c r="D737" s="28" t="n">
        <x:v>3</x:v>
      </x:c>
      <x:c r="E737" s="28" t="str">
        <x:v>article-interface qualification</x:v>
      </x:c>
      <x:c r="F737" s="31" t="str"/>
      <x:c r="G737" s="31" t="str"/>
      <x:c r="H737" s="32" t="str"/>
      <x:c r="I737" s="31" t="str"/>
      <x:c r="J737" s="28" t="str">
        <x:f>IF(I737="","OPEN",IF(OR(F737="",G737="",H737=""),"FAIL","PASS"))</x:f>
        <x:v>OPEN</x:v>
      </x:c>
    </x:row>
    <x:row r="738">
      <x:c r="B738" s="28" t="str">
        <x:v>CQ-DA-183-4</x:v>
      </x:c>
      <x:c r="C738" s="28" t="str">
        <x:v>DA-183</x:v>
      </x:c>
      <x:c r="D738" s="28" t="n">
        <x:v>4</x:v>
      </x:c>
      <x:c r="E738" s="28" t="str">
        <x:v>incident and rescue qualification</x:v>
      </x:c>
      <x:c r="F738" s="31" t="str"/>
      <x:c r="G738" s="31" t="str"/>
      <x:c r="H738" s="32" t="str"/>
      <x:c r="I738" s="31" t="str"/>
      <x:c r="J738" s="28" t="str">
        <x:f>IF(I738="","OPEN",IF(OR(F738="",G738="",H738=""),"FAIL","PASS"))</x:f>
        <x:v>OPEN</x:v>
      </x:c>
    </x:row>
    <x:row r="739">
      <x:c r="B739" s="28" t="str">
        <x:v>CQ-DA-184-1</x:v>
      </x:c>
      <x:c r="C739" s="28" t="str">
        <x:v>DA-184</x:v>
      </x:c>
      <x:c r="D739" s="28" t="n">
        <x:v>1</x:v>
      </x:c>
      <x:c r="E739" s="28" t="str">
        <x:v>role qualification</x:v>
      </x:c>
      <x:c r="F739" s="31" t="str"/>
      <x:c r="G739" s="31" t="str"/>
      <x:c r="H739" s="32" t="str"/>
      <x:c r="I739" s="31" t="str"/>
      <x:c r="J739" s="28" t="str">
        <x:f>IF(I739="","OPEN",IF(OR(F739="",G739="",H739=""),"FAIL","PASS"))</x:f>
        <x:v>OPEN</x:v>
      </x:c>
    </x:row>
    <x:row r="740">
      <x:c r="B740" s="28" t="str">
        <x:v>CQ-DA-184-2</x:v>
      </x:c>
      <x:c r="C740" s="28" t="str">
        <x:v>DA-184</x:v>
      </x:c>
      <x:c r="D740" s="28" t="n">
        <x:v>2</x:v>
      </x:c>
      <x:c r="E740" s="28" t="str">
        <x:v>site and rig qualification</x:v>
      </x:c>
      <x:c r="F740" s="31" t="str"/>
      <x:c r="G740" s="31" t="str"/>
      <x:c r="H740" s="32" t="str"/>
      <x:c r="I740" s="31" t="str"/>
      <x:c r="J740" s="28" t="str">
        <x:f>IF(I740="","OPEN",IF(OR(F740="",G740="",H740=""),"FAIL","PASS"))</x:f>
        <x:v>OPEN</x:v>
      </x:c>
    </x:row>
    <x:row r="741">
      <x:c r="B741" s="28" t="str">
        <x:v>CQ-DA-184-3</x:v>
      </x:c>
      <x:c r="C741" s="28" t="str">
        <x:v>DA-184</x:v>
      </x:c>
      <x:c r="D741" s="28" t="n">
        <x:v>3</x:v>
      </x:c>
      <x:c r="E741" s="28" t="str">
        <x:v>article-interface qualification</x:v>
      </x:c>
      <x:c r="F741" s="31" t="str"/>
      <x:c r="G741" s="31" t="str"/>
      <x:c r="H741" s="32" t="str"/>
      <x:c r="I741" s="31" t="str"/>
      <x:c r="J741" s="28" t="str">
        <x:f>IF(I741="","OPEN",IF(OR(F741="",G741="",H741=""),"FAIL","PASS"))</x:f>
        <x:v>OPEN</x:v>
      </x:c>
    </x:row>
    <x:row r="742">
      <x:c r="B742" s="28" t="str">
        <x:v>CQ-DA-184-4</x:v>
      </x:c>
      <x:c r="C742" s="28" t="str">
        <x:v>DA-184</x:v>
      </x:c>
      <x:c r="D742" s="28" t="n">
        <x:v>4</x:v>
      </x:c>
      <x:c r="E742" s="28" t="str">
        <x:v>incident and rescue qualification</x:v>
      </x:c>
      <x:c r="F742" s="31" t="str"/>
      <x:c r="G742" s="31" t="str"/>
      <x:c r="H742" s="32" t="str"/>
      <x:c r="I742" s="31" t="str"/>
      <x:c r="J742" s="28" t="str">
        <x:f>IF(I742="","OPEN",IF(OR(F742="",G742="",H742=""),"FAIL","PASS"))</x:f>
        <x:v>OPEN</x:v>
      </x:c>
    </x:row>
    <x:row r="743">
      <x:c r="B743" s="28" t="str">
        <x:v>CQ-DA-185-1</x:v>
      </x:c>
      <x:c r="C743" s="28" t="str">
        <x:v>DA-185</x:v>
      </x:c>
      <x:c r="D743" s="28" t="n">
        <x:v>1</x:v>
      </x:c>
      <x:c r="E743" s="28" t="str">
        <x:v>role qualification</x:v>
      </x:c>
      <x:c r="F743" s="31" t="str"/>
      <x:c r="G743" s="31" t="str"/>
      <x:c r="H743" s="32" t="str"/>
      <x:c r="I743" s="31" t="str"/>
      <x:c r="J743" s="28" t="str">
        <x:f>IF(I743="","OPEN",IF(OR(F743="",G743="",H743=""),"FAIL","PASS"))</x:f>
        <x:v>OPEN</x:v>
      </x:c>
    </x:row>
    <x:row r="744">
      <x:c r="B744" s="28" t="str">
        <x:v>CQ-DA-185-2</x:v>
      </x:c>
      <x:c r="C744" s="28" t="str">
        <x:v>DA-185</x:v>
      </x:c>
      <x:c r="D744" s="28" t="n">
        <x:v>2</x:v>
      </x:c>
      <x:c r="E744" s="28" t="str">
        <x:v>site and rig qualification</x:v>
      </x:c>
      <x:c r="F744" s="31" t="str"/>
      <x:c r="G744" s="31" t="str"/>
      <x:c r="H744" s="32" t="str"/>
      <x:c r="I744" s="31" t="str"/>
      <x:c r="J744" s="28" t="str">
        <x:f>IF(I744="","OPEN",IF(OR(F744="",G744="",H744=""),"FAIL","PASS"))</x:f>
        <x:v>OPEN</x:v>
      </x:c>
    </x:row>
    <x:row r="745">
      <x:c r="B745" s="28" t="str">
        <x:v>CQ-DA-185-3</x:v>
      </x:c>
      <x:c r="C745" s="28" t="str">
        <x:v>DA-185</x:v>
      </x:c>
      <x:c r="D745" s="28" t="n">
        <x:v>3</x:v>
      </x:c>
      <x:c r="E745" s="28" t="str">
        <x:v>article-interface qualification</x:v>
      </x:c>
      <x:c r="F745" s="31" t="str"/>
      <x:c r="G745" s="31" t="str"/>
      <x:c r="H745" s="32" t="str"/>
      <x:c r="I745" s="31" t="str"/>
      <x:c r="J745" s="28" t="str">
        <x:f>IF(I745="","OPEN",IF(OR(F745="",G745="",H745=""),"FAIL","PASS"))</x:f>
        <x:v>OPEN</x:v>
      </x:c>
    </x:row>
    <x:row r="746">
      <x:c r="B746" s="28" t="str">
        <x:v>CQ-DA-185-4</x:v>
      </x:c>
      <x:c r="C746" s="28" t="str">
        <x:v>DA-185</x:v>
      </x:c>
      <x:c r="D746" s="28" t="n">
        <x:v>4</x:v>
      </x:c>
      <x:c r="E746" s="28" t="str">
        <x:v>incident and rescue qualification</x:v>
      </x:c>
      <x:c r="F746" s="31" t="str"/>
      <x:c r="G746" s="31" t="str"/>
      <x:c r="H746" s="32" t="str"/>
      <x:c r="I746" s="31" t="str"/>
      <x:c r="J746" s="28" t="str">
        <x:f>IF(I746="","OPEN",IF(OR(F746="",G746="",H746=""),"FAIL","PASS"))</x:f>
        <x:v>OPEN</x:v>
      </x:c>
    </x:row>
    <x:row r="747">
      <x:c r="B747" s="28" t="str">
        <x:v>CQ-DA-186-1</x:v>
      </x:c>
      <x:c r="C747" s="28" t="str">
        <x:v>DA-186</x:v>
      </x:c>
      <x:c r="D747" s="28" t="n">
        <x:v>1</x:v>
      </x:c>
      <x:c r="E747" s="28" t="str">
        <x:v>role qualification</x:v>
      </x:c>
      <x:c r="F747" s="31" t="str"/>
      <x:c r="G747" s="31" t="str"/>
      <x:c r="H747" s="32" t="str"/>
      <x:c r="I747" s="31" t="str"/>
      <x:c r="J747" s="28" t="str">
        <x:f>IF(I747="","OPEN",IF(OR(F747="",G747="",H747=""),"FAIL","PASS"))</x:f>
        <x:v>OPEN</x:v>
      </x:c>
    </x:row>
    <x:row r="748">
      <x:c r="B748" s="28" t="str">
        <x:v>CQ-DA-186-2</x:v>
      </x:c>
      <x:c r="C748" s="28" t="str">
        <x:v>DA-186</x:v>
      </x:c>
      <x:c r="D748" s="28" t="n">
        <x:v>2</x:v>
      </x:c>
      <x:c r="E748" s="28" t="str">
        <x:v>site and rig qualification</x:v>
      </x:c>
      <x:c r="F748" s="31" t="str"/>
      <x:c r="G748" s="31" t="str"/>
      <x:c r="H748" s="32" t="str"/>
      <x:c r="I748" s="31" t="str"/>
      <x:c r="J748" s="28" t="str">
        <x:f>IF(I748="","OPEN",IF(OR(F748="",G748="",H748=""),"FAIL","PASS"))</x:f>
        <x:v>OPEN</x:v>
      </x:c>
    </x:row>
    <x:row r="749">
      <x:c r="B749" s="28" t="str">
        <x:v>CQ-DA-186-3</x:v>
      </x:c>
      <x:c r="C749" s="28" t="str">
        <x:v>DA-186</x:v>
      </x:c>
      <x:c r="D749" s="28" t="n">
        <x:v>3</x:v>
      </x:c>
      <x:c r="E749" s="28" t="str">
        <x:v>article-interface qualification</x:v>
      </x:c>
      <x:c r="F749" s="31" t="str"/>
      <x:c r="G749" s="31" t="str"/>
      <x:c r="H749" s="32" t="str"/>
      <x:c r="I749" s="31" t="str"/>
      <x:c r="J749" s="28" t="str">
        <x:f>IF(I749="","OPEN",IF(OR(F749="",G749="",H749=""),"FAIL","PASS"))</x:f>
        <x:v>OPEN</x:v>
      </x:c>
    </x:row>
    <x:row r="750">
      <x:c r="B750" s="28" t="str">
        <x:v>CQ-DA-186-4</x:v>
      </x:c>
      <x:c r="C750" s="28" t="str">
        <x:v>DA-186</x:v>
      </x:c>
      <x:c r="D750" s="28" t="n">
        <x:v>4</x:v>
      </x:c>
      <x:c r="E750" s="28" t="str">
        <x:v>incident and rescue qualification</x:v>
      </x:c>
      <x:c r="F750" s="31" t="str"/>
      <x:c r="G750" s="31" t="str"/>
      <x:c r="H750" s="32" t="str"/>
      <x:c r="I750" s="31" t="str"/>
      <x:c r="J750" s="28" t="str">
        <x:f>IF(I750="","OPEN",IF(OR(F750="",G750="",H750=""),"FAIL","PASS"))</x:f>
        <x:v>OPEN</x:v>
      </x:c>
    </x:row>
    <x:row r="751">
      <x:c r="B751" s="28" t="str">
        <x:v>CQ-DA-187-1</x:v>
      </x:c>
      <x:c r="C751" s="28" t="str">
        <x:v>DA-187</x:v>
      </x:c>
      <x:c r="D751" s="28" t="n">
        <x:v>1</x:v>
      </x:c>
      <x:c r="E751" s="28" t="str">
        <x:v>role qualification</x:v>
      </x:c>
      <x:c r="F751" s="31" t="str"/>
      <x:c r="G751" s="31" t="str"/>
      <x:c r="H751" s="32" t="str"/>
      <x:c r="I751" s="31" t="str"/>
      <x:c r="J751" s="28" t="str">
        <x:f>IF(I751="","OPEN",IF(OR(F751="",G751="",H751=""),"FAIL","PASS"))</x:f>
        <x:v>OPEN</x:v>
      </x:c>
    </x:row>
    <x:row r="752">
      <x:c r="B752" s="28" t="str">
        <x:v>CQ-DA-187-2</x:v>
      </x:c>
      <x:c r="C752" s="28" t="str">
        <x:v>DA-187</x:v>
      </x:c>
      <x:c r="D752" s="28" t="n">
        <x:v>2</x:v>
      </x:c>
      <x:c r="E752" s="28" t="str">
        <x:v>site and rig qualification</x:v>
      </x:c>
      <x:c r="F752" s="31" t="str"/>
      <x:c r="G752" s="31" t="str"/>
      <x:c r="H752" s="32" t="str"/>
      <x:c r="I752" s="31" t="str"/>
      <x:c r="J752" s="28" t="str">
        <x:f>IF(I752="","OPEN",IF(OR(F752="",G752="",H752=""),"FAIL","PASS"))</x:f>
        <x:v>OPEN</x:v>
      </x:c>
    </x:row>
    <x:row r="753">
      <x:c r="B753" s="28" t="str">
        <x:v>CQ-DA-187-3</x:v>
      </x:c>
      <x:c r="C753" s="28" t="str">
        <x:v>DA-187</x:v>
      </x:c>
      <x:c r="D753" s="28" t="n">
        <x:v>3</x:v>
      </x:c>
      <x:c r="E753" s="28" t="str">
        <x:v>article-interface qualification</x:v>
      </x:c>
      <x:c r="F753" s="31" t="str"/>
      <x:c r="G753" s="31" t="str"/>
      <x:c r="H753" s="32" t="str"/>
      <x:c r="I753" s="31" t="str"/>
      <x:c r="J753" s="28" t="str">
        <x:f>IF(I753="","OPEN",IF(OR(F753="",G753="",H753=""),"FAIL","PASS"))</x:f>
        <x:v>OPEN</x:v>
      </x:c>
    </x:row>
    <x:row r="754">
      <x:c r="B754" s="28" t="str">
        <x:v>CQ-DA-187-4</x:v>
      </x:c>
      <x:c r="C754" s="28" t="str">
        <x:v>DA-187</x:v>
      </x:c>
      <x:c r="D754" s="28" t="n">
        <x:v>4</x:v>
      </x:c>
      <x:c r="E754" s="28" t="str">
        <x:v>incident and rescue qualification</x:v>
      </x:c>
      <x:c r="F754" s="31" t="str"/>
      <x:c r="G754" s="31" t="str"/>
      <x:c r="H754" s="32" t="str"/>
      <x:c r="I754" s="31" t="str"/>
      <x:c r="J754" s="28" t="str">
        <x:f>IF(I754="","OPEN",IF(OR(F754="",G754="",H754=""),"FAIL","PASS"))</x:f>
        <x:v>OPEN</x:v>
      </x:c>
    </x:row>
    <x:row r="755">
      <x:c r="B755" s="28" t="str">
        <x:v>CQ-DA-188-1</x:v>
      </x:c>
      <x:c r="C755" s="28" t="str">
        <x:v>DA-188</x:v>
      </x:c>
      <x:c r="D755" s="28" t="n">
        <x:v>1</x:v>
      </x:c>
      <x:c r="E755" s="28" t="str">
        <x:v>role qualification</x:v>
      </x:c>
      <x:c r="F755" s="31" t="str"/>
      <x:c r="G755" s="31" t="str"/>
      <x:c r="H755" s="32" t="str"/>
      <x:c r="I755" s="31" t="str"/>
      <x:c r="J755" s="28" t="str">
        <x:f>IF(I755="","OPEN",IF(OR(F755="",G755="",H755=""),"FAIL","PASS"))</x:f>
        <x:v>OPEN</x:v>
      </x:c>
    </x:row>
    <x:row r="756">
      <x:c r="B756" s="28" t="str">
        <x:v>CQ-DA-188-2</x:v>
      </x:c>
      <x:c r="C756" s="28" t="str">
        <x:v>DA-188</x:v>
      </x:c>
      <x:c r="D756" s="28" t="n">
        <x:v>2</x:v>
      </x:c>
      <x:c r="E756" s="28" t="str">
        <x:v>site and rig qualification</x:v>
      </x:c>
      <x:c r="F756" s="31" t="str"/>
      <x:c r="G756" s="31" t="str"/>
      <x:c r="H756" s="32" t="str"/>
      <x:c r="I756" s="31" t="str"/>
      <x:c r="J756" s="28" t="str">
        <x:f>IF(I756="","OPEN",IF(OR(F756="",G756="",H756=""),"FAIL","PASS"))</x:f>
        <x:v>OPEN</x:v>
      </x:c>
    </x:row>
    <x:row r="757">
      <x:c r="B757" s="28" t="str">
        <x:v>CQ-DA-188-3</x:v>
      </x:c>
      <x:c r="C757" s="28" t="str">
        <x:v>DA-188</x:v>
      </x:c>
      <x:c r="D757" s="28" t="n">
        <x:v>3</x:v>
      </x:c>
      <x:c r="E757" s="28" t="str">
        <x:v>article-interface qualification</x:v>
      </x:c>
      <x:c r="F757" s="31" t="str"/>
      <x:c r="G757" s="31" t="str"/>
      <x:c r="H757" s="32" t="str"/>
      <x:c r="I757" s="31" t="str"/>
      <x:c r="J757" s="28" t="str">
        <x:f>IF(I757="","OPEN",IF(OR(F757="",G757="",H757=""),"FAIL","PASS"))</x:f>
        <x:v>OPEN</x:v>
      </x:c>
    </x:row>
    <x:row r="758">
      <x:c r="B758" s="28" t="str">
        <x:v>CQ-DA-188-4</x:v>
      </x:c>
      <x:c r="C758" s="28" t="str">
        <x:v>DA-188</x:v>
      </x:c>
      <x:c r="D758" s="28" t="n">
        <x:v>4</x:v>
      </x:c>
      <x:c r="E758" s="28" t="str">
        <x:v>incident and rescue qualification</x:v>
      </x:c>
      <x:c r="F758" s="31" t="str"/>
      <x:c r="G758" s="31" t="str"/>
      <x:c r="H758" s="32" t="str"/>
      <x:c r="I758" s="31" t="str"/>
      <x:c r="J758" s="28" t="str">
        <x:f>IF(I758="","OPEN",IF(OR(F758="",G758="",H758=""),"FAIL","PASS"))</x:f>
        <x:v>OPEN</x:v>
      </x:c>
    </x:row>
    <x:row r="759">
      <x:c r="B759" s="28" t="str">
        <x:v>CQ-DA-189-1</x:v>
      </x:c>
      <x:c r="C759" s="28" t="str">
        <x:v>DA-189</x:v>
      </x:c>
      <x:c r="D759" s="28" t="n">
        <x:v>1</x:v>
      </x:c>
      <x:c r="E759" s="28" t="str">
        <x:v>role qualification</x:v>
      </x:c>
      <x:c r="F759" s="31" t="str"/>
      <x:c r="G759" s="31" t="str"/>
      <x:c r="H759" s="32" t="str"/>
      <x:c r="I759" s="31" t="str"/>
      <x:c r="J759" s="28" t="str">
        <x:f>IF(I759="","OPEN",IF(OR(F759="",G759="",H759=""),"FAIL","PASS"))</x:f>
        <x:v>OPEN</x:v>
      </x:c>
    </x:row>
    <x:row r="760">
      <x:c r="B760" s="28" t="str">
        <x:v>CQ-DA-189-2</x:v>
      </x:c>
      <x:c r="C760" s="28" t="str">
        <x:v>DA-189</x:v>
      </x:c>
      <x:c r="D760" s="28" t="n">
        <x:v>2</x:v>
      </x:c>
      <x:c r="E760" s="28" t="str">
        <x:v>site and rig qualification</x:v>
      </x:c>
      <x:c r="F760" s="31" t="str"/>
      <x:c r="G760" s="31" t="str"/>
      <x:c r="H760" s="32" t="str"/>
      <x:c r="I760" s="31" t="str"/>
      <x:c r="J760" s="28" t="str">
        <x:f>IF(I760="","OPEN",IF(OR(F760="",G760="",H760=""),"FAIL","PASS"))</x:f>
        <x:v>OPEN</x:v>
      </x:c>
    </x:row>
    <x:row r="761">
      <x:c r="B761" s="28" t="str">
        <x:v>CQ-DA-189-3</x:v>
      </x:c>
      <x:c r="C761" s="28" t="str">
        <x:v>DA-189</x:v>
      </x:c>
      <x:c r="D761" s="28" t="n">
        <x:v>3</x:v>
      </x:c>
      <x:c r="E761" s="28" t="str">
        <x:v>article-interface qualification</x:v>
      </x:c>
      <x:c r="F761" s="31" t="str"/>
      <x:c r="G761" s="31" t="str"/>
      <x:c r="H761" s="32" t="str"/>
      <x:c r="I761" s="31" t="str"/>
      <x:c r="J761" s="28" t="str">
        <x:f>IF(I761="","OPEN",IF(OR(F761="",G761="",H761=""),"FAIL","PASS"))</x:f>
        <x:v>OPEN</x:v>
      </x:c>
    </x:row>
    <x:row r="762">
      <x:c r="B762" s="28" t="str">
        <x:v>CQ-DA-189-4</x:v>
      </x:c>
      <x:c r="C762" s="28" t="str">
        <x:v>DA-189</x:v>
      </x:c>
      <x:c r="D762" s="28" t="n">
        <x:v>4</x:v>
      </x:c>
      <x:c r="E762" s="28" t="str">
        <x:v>incident and rescue qualification</x:v>
      </x:c>
      <x:c r="F762" s="31" t="str"/>
      <x:c r="G762" s="31" t="str"/>
      <x:c r="H762" s="32" t="str"/>
      <x:c r="I762" s="31" t="str"/>
      <x:c r="J762" s="28" t="str">
        <x:f>IF(I762="","OPEN",IF(OR(F762="",G762="",H762=""),"FAIL","PASS"))</x:f>
        <x:v>OPEN</x:v>
      </x:c>
    </x:row>
    <x:row r="763">
      <x:c r="B763" s="28" t="str">
        <x:v>CQ-DA-190-1</x:v>
      </x:c>
      <x:c r="C763" s="28" t="str">
        <x:v>DA-190</x:v>
      </x:c>
      <x:c r="D763" s="28" t="n">
        <x:v>1</x:v>
      </x:c>
      <x:c r="E763" s="28" t="str">
        <x:v>role qualification</x:v>
      </x:c>
      <x:c r="F763" s="31" t="str"/>
      <x:c r="G763" s="31" t="str"/>
      <x:c r="H763" s="32" t="str"/>
      <x:c r="I763" s="31" t="str"/>
      <x:c r="J763" s="28" t="str">
        <x:f>IF(I763="","OPEN",IF(OR(F763="",G763="",H763=""),"FAIL","PASS"))</x:f>
        <x:v>OPEN</x:v>
      </x:c>
    </x:row>
    <x:row r="764">
      <x:c r="B764" s="28" t="str">
        <x:v>CQ-DA-190-2</x:v>
      </x:c>
      <x:c r="C764" s="28" t="str">
        <x:v>DA-190</x:v>
      </x:c>
      <x:c r="D764" s="28" t="n">
        <x:v>2</x:v>
      </x:c>
      <x:c r="E764" s="28" t="str">
        <x:v>site and rig qualification</x:v>
      </x:c>
      <x:c r="F764" s="31" t="str"/>
      <x:c r="G764" s="31" t="str"/>
      <x:c r="H764" s="32" t="str"/>
      <x:c r="I764" s="31" t="str"/>
      <x:c r="J764" s="28" t="str">
        <x:f>IF(I764="","OPEN",IF(OR(F764="",G764="",H764=""),"FAIL","PASS"))</x:f>
        <x:v>OPEN</x:v>
      </x:c>
    </x:row>
    <x:row r="765">
      <x:c r="B765" s="28" t="str">
        <x:v>CQ-DA-190-3</x:v>
      </x:c>
      <x:c r="C765" s="28" t="str">
        <x:v>DA-190</x:v>
      </x:c>
      <x:c r="D765" s="28" t="n">
        <x:v>3</x:v>
      </x:c>
      <x:c r="E765" s="28" t="str">
        <x:v>article-interface qualification</x:v>
      </x:c>
      <x:c r="F765" s="31" t="str"/>
      <x:c r="G765" s="31" t="str"/>
      <x:c r="H765" s="32" t="str"/>
      <x:c r="I765" s="31" t="str"/>
      <x:c r="J765" s="28" t="str">
        <x:f>IF(I765="","OPEN",IF(OR(F765="",G765="",H765=""),"FAIL","PASS"))</x:f>
        <x:v>OPEN</x:v>
      </x:c>
    </x:row>
    <x:row r="766">
      <x:c r="B766" s="28" t="str">
        <x:v>CQ-DA-190-4</x:v>
      </x:c>
      <x:c r="C766" s="28" t="str">
        <x:v>DA-190</x:v>
      </x:c>
      <x:c r="D766" s="28" t="n">
        <x:v>4</x:v>
      </x:c>
      <x:c r="E766" s="28" t="str">
        <x:v>incident and rescue qualification</x:v>
      </x:c>
      <x:c r="F766" s="31" t="str"/>
      <x:c r="G766" s="31" t="str"/>
      <x:c r="H766" s="32" t="str"/>
      <x:c r="I766" s="31" t="str"/>
      <x:c r="J766" s="28" t="str">
        <x:f>IF(I766="","OPEN",IF(OR(F766="",G766="",H766=""),"FAIL","PASS"))</x:f>
        <x:v>OPEN</x:v>
      </x:c>
    </x:row>
    <x:row r="767">
      <x:c r="B767" s="28" t="str">
        <x:v>CQ-DA-191-1</x:v>
      </x:c>
      <x:c r="C767" s="28" t="str">
        <x:v>DA-191</x:v>
      </x:c>
      <x:c r="D767" s="28" t="n">
        <x:v>1</x:v>
      </x:c>
      <x:c r="E767" s="28" t="str">
        <x:v>role qualification</x:v>
      </x:c>
      <x:c r="F767" s="31" t="str"/>
      <x:c r="G767" s="31" t="str"/>
      <x:c r="H767" s="32" t="str"/>
      <x:c r="I767" s="31" t="str"/>
      <x:c r="J767" s="28" t="str">
        <x:f>IF(I767="","OPEN",IF(OR(F767="",G767="",H767=""),"FAIL","PASS"))</x:f>
        <x:v>OPEN</x:v>
      </x:c>
    </x:row>
    <x:row r="768">
      <x:c r="B768" s="28" t="str">
        <x:v>CQ-DA-191-2</x:v>
      </x:c>
      <x:c r="C768" s="28" t="str">
        <x:v>DA-191</x:v>
      </x:c>
      <x:c r="D768" s="28" t="n">
        <x:v>2</x:v>
      </x:c>
      <x:c r="E768" s="28" t="str">
        <x:v>site and rig qualification</x:v>
      </x:c>
      <x:c r="F768" s="31" t="str"/>
      <x:c r="G768" s="31" t="str"/>
      <x:c r="H768" s="32" t="str"/>
      <x:c r="I768" s="31" t="str"/>
      <x:c r="J768" s="28" t="str">
        <x:f>IF(I768="","OPEN",IF(OR(F768="",G768="",H768=""),"FAIL","PASS"))</x:f>
        <x:v>OPEN</x:v>
      </x:c>
    </x:row>
    <x:row r="769">
      <x:c r="B769" s="28" t="str">
        <x:v>CQ-DA-191-3</x:v>
      </x:c>
      <x:c r="C769" s="28" t="str">
        <x:v>DA-191</x:v>
      </x:c>
      <x:c r="D769" s="28" t="n">
        <x:v>3</x:v>
      </x:c>
      <x:c r="E769" s="28" t="str">
        <x:v>article-interface qualification</x:v>
      </x:c>
      <x:c r="F769" s="31" t="str"/>
      <x:c r="G769" s="31" t="str"/>
      <x:c r="H769" s="32" t="str"/>
      <x:c r="I769" s="31" t="str"/>
      <x:c r="J769" s="28" t="str">
        <x:f>IF(I769="","OPEN",IF(OR(F769="",G769="",H769=""),"FAIL","PASS"))</x:f>
        <x:v>OPEN</x:v>
      </x:c>
    </x:row>
    <x:row r="770">
      <x:c r="B770" s="28" t="str">
        <x:v>CQ-DA-191-4</x:v>
      </x:c>
      <x:c r="C770" s="28" t="str">
        <x:v>DA-191</x:v>
      </x:c>
      <x:c r="D770" s="28" t="n">
        <x:v>4</x:v>
      </x:c>
      <x:c r="E770" s="28" t="str">
        <x:v>incident and rescue qualification</x:v>
      </x:c>
      <x:c r="F770" s="31" t="str"/>
      <x:c r="G770" s="31" t="str"/>
      <x:c r="H770" s="32" t="str"/>
      <x:c r="I770" s="31" t="str"/>
      <x:c r="J770" s="28" t="str">
        <x:f>IF(I770="","OPEN",IF(OR(F770="",G770="",H770=""),"FAIL","PASS"))</x:f>
        <x:v>OPEN</x:v>
      </x:c>
    </x:row>
    <x:row r="771">
      <x:c r="B771" s="28" t="str">
        <x:v>CQ-DA-192-1</x:v>
      </x:c>
      <x:c r="C771" s="28" t="str">
        <x:v>DA-192</x:v>
      </x:c>
      <x:c r="D771" s="28" t="n">
        <x:v>1</x:v>
      </x:c>
      <x:c r="E771" s="28" t="str">
        <x:v>role qualification</x:v>
      </x:c>
      <x:c r="F771" s="31" t="str"/>
      <x:c r="G771" s="31" t="str"/>
      <x:c r="H771" s="32" t="str"/>
      <x:c r="I771" s="31" t="str"/>
      <x:c r="J771" s="28" t="str">
        <x:f>IF(I771="","OPEN",IF(OR(F771="",G771="",H771=""),"FAIL","PASS"))</x:f>
        <x:v>OPEN</x:v>
      </x:c>
    </x:row>
    <x:row r="772">
      <x:c r="B772" s="28" t="str">
        <x:v>CQ-DA-192-2</x:v>
      </x:c>
      <x:c r="C772" s="28" t="str">
        <x:v>DA-192</x:v>
      </x:c>
      <x:c r="D772" s="28" t="n">
        <x:v>2</x:v>
      </x:c>
      <x:c r="E772" s="28" t="str">
        <x:v>site and rig qualification</x:v>
      </x:c>
      <x:c r="F772" s="31" t="str"/>
      <x:c r="G772" s="31" t="str"/>
      <x:c r="H772" s="32" t="str"/>
      <x:c r="I772" s="31" t="str"/>
      <x:c r="J772" s="28" t="str">
        <x:f>IF(I772="","OPEN",IF(OR(F772="",G772="",H772=""),"FAIL","PASS"))</x:f>
        <x:v>OPEN</x:v>
      </x:c>
    </x:row>
    <x:row r="773">
      <x:c r="B773" s="28" t="str">
        <x:v>CQ-DA-192-3</x:v>
      </x:c>
      <x:c r="C773" s="28" t="str">
        <x:v>DA-192</x:v>
      </x:c>
      <x:c r="D773" s="28" t="n">
        <x:v>3</x:v>
      </x:c>
      <x:c r="E773" s="28" t="str">
        <x:v>article-interface qualification</x:v>
      </x:c>
      <x:c r="F773" s="31" t="str"/>
      <x:c r="G773" s="31" t="str"/>
      <x:c r="H773" s="32" t="str"/>
      <x:c r="I773" s="31" t="str"/>
      <x:c r="J773" s="28" t="str">
        <x:f>IF(I773="","OPEN",IF(OR(F773="",G773="",H773=""),"FAIL","PASS"))</x:f>
        <x:v>OPEN</x:v>
      </x:c>
    </x:row>
    <x:row r="774">
      <x:c r="B774" s="28" t="str">
        <x:v>CQ-DA-192-4</x:v>
      </x:c>
      <x:c r="C774" s="28" t="str">
        <x:v>DA-192</x:v>
      </x:c>
      <x:c r="D774" s="28" t="n">
        <x:v>4</x:v>
      </x:c>
      <x:c r="E774" s="28" t="str">
        <x:v>incident and rescue qualification</x:v>
      </x:c>
      <x:c r="F774" s="31" t="str"/>
      <x:c r="G774" s="31" t="str"/>
      <x:c r="H774" s="32" t="str"/>
      <x:c r="I774" s="31" t="str"/>
      <x:c r="J774" s="28" t="str">
        <x:f>IF(I774="","OPEN",IF(OR(F774="",G774="",H774=""),"FAIL","PASS"))</x:f>
        <x:v>OPEN</x:v>
      </x:c>
    </x:row>
    <x:row r="775">
      <x:c r="B775" s="28" t="str">
        <x:v>CQ-DA-193-1</x:v>
      </x:c>
      <x:c r="C775" s="28" t="str">
        <x:v>DA-193</x:v>
      </x:c>
      <x:c r="D775" s="28" t="n">
        <x:v>1</x:v>
      </x:c>
      <x:c r="E775" s="28" t="str">
        <x:v>role qualification</x:v>
      </x:c>
      <x:c r="F775" s="31" t="str"/>
      <x:c r="G775" s="31" t="str"/>
      <x:c r="H775" s="32" t="str"/>
      <x:c r="I775" s="31" t="str"/>
      <x:c r="J775" s="28" t="str">
        <x:f>IF(I775="","OPEN",IF(OR(F775="",G775="",H775=""),"FAIL","PASS"))</x:f>
        <x:v>OPEN</x:v>
      </x:c>
    </x:row>
    <x:row r="776">
      <x:c r="B776" s="28" t="str">
        <x:v>CQ-DA-193-2</x:v>
      </x:c>
      <x:c r="C776" s="28" t="str">
        <x:v>DA-193</x:v>
      </x:c>
      <x:c r="D776" s="28" t="n">
        <x:v>2</x:v>
      </x:c>
      <x:c r="E776" s="28" t="str">
        <x:v>site and rig qualification</x:v>
      </x:c>
      <x:c r="F776" s="31" t="str"/>
      <x:c r="G776" s="31" t="str"/>
      <x:c r="H776" s="32" t="str"/>
      <x:c r="I776" s="31" t="str"/>
      <x:c r="J776" s="28" t="str">
        <x:f>IF(I776="","OPEN",IF(OR(F776="",G776="",H776=""),"FAIL","PASS"))</x:f>
        <x:v>OPEN</x:v>
      </x:c>
    </x:row>
    <x:row r="777">
      <x:c r="B777" s="28" t="str">
        <x:v>CQ-DA-193-3</x:v>
      </x:c>
      <x:c r="C777" s="28" t="str">
        <x:v>DA-193</x:v>
      </x:c>
      <x:c r="D777" s="28" t="n">
        <x:v>3</x:v>
      </x:c>
      <x:c r="E777" s="28" t="str">
        <x:v>article-interface qualification</x:v>
      </x:c>
      <x:c r="F777" s="31" t="str"/>
      <x:c r="G777" s="31" t="str"/>
      <x:c r="H777" s="32" t="str"/>
      <x:c r="I777" s="31" t="str"/>
      <x:c r="J777" s="28" t="str">
        <x:f>IF(I777="","OPEN",IF(OR(F777="",G777="",H777=""),"FAIL","PASS"))</x:f>
        <x:v>OPEN</x:v>
      </x:c>
    </x:row>
    <x:row r="778">
      <x:c r="B778" s="28" t="str">
        <x:v>CQ-DA-193-4</x:v>
      </x:c>
      <x:c r="C778" s="28" t="str">
        <x:v>DA-193</x:v>
      </x:c>
      <x:c r="D778" s="28" t="n">
        <x:v>4</x:v>
      </x:c>
      <x:c r="E778" s="28" t="str">
        <x:v>incident and rescue qualification</x:v>
      </x:c>
      <x:c r="F778" s="31" t="str"/>
      <x:c r="G778" s="31" t="str"/>
      <x:c r="H778" s="32" t="str"/>
      <x:c r="I778" s="31" t="str"/>
      <x:c r="J778" s="28" t="str">
        <x:f>IF(I778="","OPEN",IF(OR(F778="",G778="",H778=""),"FAIL","PASS"))</x:f>
        <x:v>OPEN</x:v>
      </x:c>
    </x:row>
    <x:row r="779">
      <x:c r="B779" s="28" t="str">
        <x:v>CQ-DA-194-1</x:v>
      </x:c>
      <x:c r="C779" s="28" t="str">
        <x:v>DA-194</x:v>
      </x:c>
      <x:c r="D779" s="28" t="n">
        <x:v>1</x:v>
      </x:c>
      <x:c r="E779" s="28" t="str">
        <x:v>role qualification</x:v>
      </x:c>
      <x:c r="F779" s="31" t="str"/>
      <x:c r="G779" s="31" t="str"/>
      <x:c r="H779" s="32" t="str"/>
      <x:c r="I779" s="31" t="str"/>
      <x:c r="J779" s="28" t="str">
        <x:f>IF(I779="","OPEN",IF(OR(F779="",G779="",H779=""),"FAIL","PASS"))</x:f>
        <x:v>OPEN</x:v>
      </x:c>
    </x:row>
    <x:row r="780">
      <x:c r="B780" s="28" t="str">
        <x:v>CQ-DA-194-2</x:v>
      </x:c>
      <x:c r="C780" s="28" t="str">
        <x:v>DA-194</x:v>
      </x:c>
      <x:c r="D780" s="28" t="n">
        <x:v>2</x:v>
      </x:c>
      <x:c r="E780" s="28" t="str">
        <x:v>site and rig qualification</x:v>
      </x:c>
      <x:c r="F780" s="31" t="str"/>
      <x:c r="G780" s="31" t="str"/>
      <x:c r="H780" s="32" t="str"/>
      <x:c r="I780" s="31" t="str"/>
      <x:c r="J780" s="28" t="str">
        <x:f>IF(I780="","OPEN",IF(OR(F780="",G780="",H780=""),"FAIL","PASS"))</x:f>
        <x:v>OPEN</x:v>
      </x:c>
    </x:row>
    <x:row r="781">
      <x:c r="B781" s="28" t="str">
        <x:v>CQ-DA-194-3</x:v>
      </x:c>
      <x:c r="C781" s="28" t="str">
        <x:v>DA-194</x:v>
      </x:c>
      <x:c r="D781" s="28" t="n">
        <x:v>3</x:v>
      </x:c>
      <x:c r="E781" s="28" t="str">
        <x:v>article-interface qualification</x:v>
      </x:c>
      <x:c r="F781" s="31" t="str"/>
      <x:c r="G781" s="31" t="str"/>
      <x:c r="H781" s="32" t="str"/>
      <x:c r="I781" s="31" t="str"/>
      <x:c r="J781" s="28" t="str">
        <x:f>IF(I781="","OPEN",IF(OR(F781="",G781="",H781=""),"FAIL","PASS"))</x:f>
        <x:v>OPEN</x:v>
      </x:c>
    </x:row>
    <x:row r="782">
      <x:c r="B782" s="28" t="str">
        <x:v>CQ-DA-194-4</x:v>
      </x:c>
      <x:c r="C782" s="28" t="str">
        <x:v>DA-194</x:v>
      </x:c>
      <x:c r="D782" s="28" t="n">
        <x:v>4</x:v>
      </x:c>
      <x:c r="E782" s="28" t="str">
        <x:v>incident and rescue qualification</x:v>
      </x:c>
      <x:c r="F782" s="31" t="str"/>
      <x:c r="G782" s="31" t="str"/>
      <x:c r="H782" s="32" t="str"/>
      <x:c r="I782" s="31" t="str"/>
      <x:c r="J782" s="28" t="str">
        <x:f>IF(I782="","OPEN",IF(OR(F782="",G782="",H782=""),"FAIL","PASS"))</x:f>
        <x:v>OPEN</x:v>
      </x:c>
    </x:row>
    <x:row r="783">
      <x:c r="B783" s="28" t="str">
        <x:v>CQ-DA-195-1</x:v>
      </x:c>
      <x:c r="C783" s="28" t="str">
        <x:v>DA-195</x:v>
      </x:c>
      <x:c r="D783" s="28" t="n">
        <x:v>1</x:v>
      </x:c>
      <x:c r="E783" s="28" t="str">
        <x:v>role qualification</x:v>
      </x:c>
      <x:c r="F783" s="31" t="str"/>
      <x:c r="G783" s="31" t="str"/>
      <x:c r="H783" s="32" t="str"/>
      <x:c r="I783" s="31" t="str"/>
      <x:c r="J783" s="28" t="str">
        <x:f>IF(I783="","OPEN",IF(OR(F783="",G783="",H783=""),"FAIL","PASS"))</x:f>
        <x:v>OPEN</x:v>
      </x:c>
    </x:row>
    <x:row r="784">
      <x:c r="B784" s="28" t="str">
        <x:v>CQ-DA-195-2</x:v>
      </x:c>
      <x:c r="C784" s="28" t="str">
        <x:v>DA-195</x:v>
      </x:c>
      <x:c r="D784" s="28" t="n">
        <x:v>2</x:v>
      </x:c>
      <x:c r="E784" s="28" t="str">
        <x:v>site and rig qualification</x:v>
      </x:c>
      <x:c r="F784" s="31" t="str"/>
      <x:c r="G784" s="31" t="str"/>
      <x:c r="H784" s="32" t="str"/>
      <x:c r="I784" s="31" t="str"/>
      <x:c r="J784" s="28" t="str">
        <x:f>IF(I784="","OPEN",IF(OR(F784="",G784="",H784=""),"FAIL","PASS"))</x:f>
        <x:v>OPEN</x:v>
      </x:c>
    </x:row>
    <x:row r="785">
      <x:c r="B785" s="28" t="str">
        <x:v>CQ-DA-195-3</x:v>
      </x:c>
      <x:c r="C785" s="28" t="str">
        <x:v>DA-195</x:v>
      </x:c>
      <x:c r="D785" s="28" t="n">
        <x:v>3</x:v>
      </x:c>
      <x:c r="E785" s="28" t="str">
        <x:v>article-interface qualification</x:v>
      </x:c>
      <x:c r="F785" s="31" t="str"/>
      <x:c r="G785" s="31" t="str"/>
      <x:c r="H785" s="32" t="str"/>
      <x:c r="I785" s="31" t="str"/>
      <x:c r="J785" s="28" t="str">
        <x:f>IF(I785="","OPEN",IF(OR(F785="",G785="",H785=""),"FAIL","PASS"))</x:f>
        <x:v>OPEN</x:v>
      </x:c>
    </x:row>
    <x:row r="786">
      <x:c r="B786" s="28" t="str">
        <x:v>CQ-DA-195-4</x:v>
      </x:c>
      <x:c r="C786" s="28" t="str">
        <x:v>DA-195</x:v>
      </x:c>
      <x:c r="D786" s="28" t="n">
        <x:v>4</x:v>
      </x:c>
      <x:c r="E786" s="28" t="str">
        <x:v>incident and rescue qualification</x:v>
      </x:c>
      <x:c r="F786" s="31" t="str"/>
      <x:c r="G786" s="31" t="str"/>
      <x:c r="H786" s="32" t="str"/>
      <x:c r="I786" s="31" t="str"/>
      <x:c r="J786" s="28" t="str">
        <x:f>IF(I786="","OPEN",IF(OR(F786="",G786="",H786=""),"FAIL","PASS"))</x:f>
        <x:v>OPEN</x:v>
      </x:c>
    </x:row>
    <x:row r="787">
      <x:c r="B787" s="28" t="str">
        <x:v>CQ-DA-196-1</x:v>
      </x:c>
      <x:c r="C787" s="28" t="str">
        <x:v>DA-196</x:v>
      </x:c>
      <x:c r="D787" s="28" t="n">
        <x:v>1</x:v>
      </x:c>
      <x:c r="E787" s="28" t="str">
        <x:v>role qualification</x:v>
      </x:c>
      <x:c r="F787" s="31" t="str"/>
      <x:c r="G787" s="31" t="str"/>
      <x:c r="H787" s="32" t="str"/>
      <x:c r="I787" s="31" t="str"/>
      <x:c r="J787" s="28" t="str">
        <x:f>IF(I787="","OPEN",IF(OR(F787="",G787="",H787=""),"FAIL","PASS"))</x:f>
        <x:v>OPEN</x:v>
      </x:c>
    </x:row>
    <x:row r="788">
      <x:c r="B788" s="28" t="str">
        <x:v>CQ-DA-196-2</x:v>
      </x:c>
      <x:c r="C788" s="28" t="str">
        <x:v>DA-196</x:v>
      </x:c>
      <x:c r="D788" s="28" t="n">
        <x:v>2</x:v>
      </x:c>
      <x:c r="E788" s="28" t="str">
        <x:v>site and rig qualification</x:v>
      </x:c>
      <x:c r="F788" s="31" t="str"/>
      <x:c r="G788" s="31" t="str"/>
      <x:c r="H788" s="32" t="str"/>
      <x:c r="I788" s="31" t="str"/>
      <x:c r="J788" s="28" t="str">
        <x:f>IF(I788="","OPEN",IF(OR(F788="",G788="",H788=""),"FAIL","PASS"))</x:f>
        <x:v>OPEN</x:v>
      </x:c>
    </x:row>
    <x:row r="789">
      <x:c r="B789" s="28" t="str">
        <x:v>CQ-DA-196-3</x:v>
      </x:c>
      <x:c r="C789" s="28" t="str">
        <x:v>DA-196</x:v>
      </x:c>
      <x:c r="D789" s="28" t="n">
        <x:v>3</x:v>
      </x:c>
      <x:c r="E789" s="28" t="str">
        <x:v>article-interface qualification</x:v>
      </x:c>
      <x:c r="F789" s="31" t="str"/>
      <x:c r="G789" s="31" t="str"/>
      <x:c r="H789" s="32" t="str"/>
      <x:c r="I789" s="31" t="str"/>
      <x:c r="J789" s="28" t="str">
        <x:f>IF(I789="","OPEN",IF(OR(F789="",G789="",H789=""),"FAIL","PASS"))</x:f>
        <x:v>OPEN</x:v>
      </x:c>
    </x:row>
    <x:row r="790">
      <x:c r="B790" s="28" t="str">
        <x:v>CQ-DA-196-4</x:v>
      </x:c>
      <x:c r="C790" s="28" t="str">
        <x:v>DA-196</x:v>
      </x:c>
      <x:c r="D790" s="28" t="n">
        <x:v>4</x:v>
      </x:c>
      <x:c r="E790" s="28" t="str">
        <x:v>incident and rescue qualification</x:v>
      </x:c>
      <x:c r="F790" s="31" t="str"/>
      <x:c r="G790" s="31" t="str"/>
      <x:c r="H790" s="32" t="str"/>
      <x:c r="I790" s="31" t="str"/>
      <x:c r="J790" s="28" t="str">
        <x:f>IF(I790="","OPEN",IF(OR(F790="",G790="",H790=""),"FAIL","PASS"))</x:f>
        <x:v>OPEN</x:v>
      </x:c>
    </x:row>
    <x:row r="791">
      <x:c r="B791" s="28" t="str">
        <x:v>CQ-DA-197-1</x:v>
      </x:c>
      <x:c r="C791" s="28" t="str">
        <x:v>DA-197</x:v>
      </x:c>
      <x:c r="D791" s="28" t="n">
        <x:v>1</x:v>
      </x:c>
      <x:c r="E791" s="28" t="str">
        <x:v>role qualification</x:v>
      </x:c>
      <x:c r="F791" s="31" t="str"/>
      <x:c r="G791" s="31" t="str"/>
      <x:c r="H791" s="32" t="str"/>
      <x:c r="I791" s="31" t="str"/>
      <x:c r="J791" s="28" t="str">
        <x:f>IF(I791="","OPEN",IF(OR(F791="",G791="",H791=""),"FAIL","PASS"))</x:f>
        <x:v>OPEN</x:v>
      </x:c>
    </x:row>
    <x:row r="792">
      <x:c r="B792" s="28" t="str">
        <x:v>CQ-DA-197-2</x:v>
      </x:c>
      <x:c r="C792" s="28" t="str">
        <x:v>DA-197</x:v>
      </x:c>
      <x:c r="D792" s="28" t="n">
        <x:v>2</x:v>
      </x:c>
      <x:c r="E792" s="28" t="str">
        <x:v>site and rig qualification</x:v>
      </x:c>
      <x:c r="F792" s="31" t="str"/>
      <x:c r="G792" s="31" t="str"/>
      <x:c r="H792" s="32" t="str"/>
      <x:c r="I792" s="31" t="str"/>
      <x:c r="J792" s="28" t="str">
        <x:f>IF(I792="","OPEN",IF(OR(F792="",G792="",H792=""),"FAIL","PASS"))</x:f>
        <x:v>OPEN</x:v>
      </x:c>
    </x:row>
    <x:row r="793">
      <x:c r="B793" s="28" t="str">
        <x:v>CQ-DA-197-3</x:v>
      </x:c>
      <x:c r="C793" s="28" t="str">
        <x:v>DA-197</x:v>
      </x:c>
      <x:c r="D793" s="28" t="n">
        <x:v>3</x:v>
      </x:c>
      <x:c r="E793" s="28" t="str">
        <x:v>article-interface qualification</x:v>
      </x:c>
      <x:c r="F793" s="31" t="str"/>
      <x:c r="G793" s="31" t="str"/>
      <x:c r="H793" s="32" t="str"/>
      <x:c r="I793" s="31" t="str"/>
      <x:c r="J793" s="28" t="str">
        <x:f>IF(I793="","OPEN",IF(OR(F793="",G793="",H793=""),"FAIL","PASS"))</x:f>
        <x:v>OPEN</x:v>
      </x:c>
    </x:row>
    <x:row r="794">
      <x:c r="B794" s="28" t="str">
        <x:v>CQ-DA-197-4</x:v>
      </x:c>
      <x:c r="C794" s="28" t="str">
        <x:v>DA-197</x:v>
      </x:c>
      <x:c r="D794" s="28" t="n">
        <x:v>4</x:v>
      </x:c>
      <x:c r="E794" s="28" t="str">
        <x:v>incident and rescue qualification</x:v>
      </x:c>
      <x:c r="F794" s="31" t="str"/>
      <x:c r="G794" s="31" t="str"/>
      <x:c r="H794" s="32" t="str"/>
      <x:c r="I794" s="31" t="str"/>
      <x:c r="J794" s="28" t="str">
        <x:f>IF(I794="","OPEN",IF(OR(F794="",G794="",H794=""),"FAIL","PASS"))</x:f>
        <x:v>OPEN</x:v>
      </x:c>
    </x:row>
    <x:row r="795">
      <x:c r="B795" s="28" t="str">
        <x:v>CQ-DA-198-1</x:v>
      </x:c>
      <x:c r="C795" s="28" t="str">
        <x:v>DA-198</x:v>
      </x:c>
      <x:c r="D795" s="28" t="n">
        <x:v>1</x:v>
      </x:c>
      <x:c r="E795" s="28" t="str">
        <x:v>role qualification</x:v>
      </x:c>
      <x:c r="F795" s="31" t="str"/>
      <x:c r="G795" s="31" t="str"/>
      <x:c r="H795" s="32" t="str"/>
      <x:c r="I795" s="31" t="str"/>
      <x:c r="J795" s="28" t="str">
        <x:f>IF(I795="","OPEN",IF(OR(F795="",G795="",H795=""),"FAIL","PASS"))</x:f>
        <x:v>OPEN</x:v>
      </x:c>
    </x:row>
    <x:row r="796">
      <x:c r="B796" s="28" t="str">
        <x:v>CQ-DA-198-2</x:v>
      </x:c>
      <x:c r="C796" s="28" t="str">
        <x:v>DA-198</x:v>
      </x:c>
      <x:c r="D796" s="28" t="n">
        <x:v>2</x:v>
      </x:c>
      <x:c r="E796" s="28" t="str">
        <x:v>site and rig qualification</x:v>
      </x:c>
      <x:c r="F796" s="31" t="str"/>
      <x:c r="G796" s="31" t="str"/>
      <x:c r="H796" s="32" t="str"/>
      <x:c r="I796" s="31" t="str"/>
      <x:c r="J796" s="28" t="str">
        <x:f>IF(I796="","OPEN",IF(OR(F796="",G796="",H796=""),"FAIL","PASS"))</x:f>
        <x:v>OPEN</x:v>
      </x:c>
    </x:row>
    <x:row r="797">
      <x:c r="B797" s="28" t="str">
        <x:v>CQ-DA-198-3</x:v>
      </x:c>
      <x:c r="C797" s="28" t="str">
        <x:v>DA-198</x:v>
      </x:c>
      <x:c r="D797" s="28" t="n">
        <x:v>3</x:v>
      </x:c>
      <x:c r="E797" s="28" t="str">
        <x:v>article-interface qualification</x:v>
      </x:c>
      <x:c r="F797" s="31" t="str"/>
      <x:c r="G797" s="31" t="str"/>
      <x:c r="H797" s="32" t="str"/>
      <x:c r="I797" s="31" t="str"/>
      <x:c r="J797" s="28" t="str">
        <x:f>IF(I797="","OPEN",IF(OR(F797="",G797="",H797=""),"FAIL","PASS"))</x:f>
        <x:v>OPEN</x:v>
      </x:c>
    </x:row>
    <x:row r="798">
      <x:c r="B798" s="28" t="str">
        <x:v>CQ-DA-198-4</x:v>
      </x:c>
      <x:c r="C798" s="28" t="str">
        <x:v>DA-198</x:v>
      </x:c>
      <x:c r="D798" s="28" t="n">
        <x:v>4</x:v>
      </x:c>
      <x:c r="E798" s="28" t="str">
        <x:v>incident and rescue qualification</x:v>
      </x:c>
      <x:c r="F798" s="31" t="str"/>
      <x:c r="G798" s="31" t="str"/>
      <x:c r="H798" s="32" t="str"/>
      <x:c r="I798" s="31" t="str"/>
      <x:c r="J798" s="28" t="str">
        <x:f>IF(I798="","OPEN",IF(OR(F798="",G798="",H798=""),"FAIL","PASS"))</x:f>
        <x:v>OPEN</x:v>
      </x:c>
    </x:row>
    <x:row r="799">
      <x:c r="B799" s="28" t="str">
        <x:v>CQ-DA-199-1</x:v>
      </x:c>
      <x:c r="C799" s="28" t="str">
        <x:v>DA-199</x:v>
      </x:c>
      <x:c r="D799" s="28" t="n">
        <x:v>1</x:v>
      </x:c>
      <x:c r="E799" s="28" t="str">
        <x:v>role qualification</x:v>
      </x:c>
      <x:c r="F799" s="31" t="str"/>
      <x:c r="G799" s="31" t="str"/>
      <x:c r="H799" s="32" t="str"/>
      <x:c r="I799" s="31" t="str"/>
      <x:c r="J799" s="28" t="str">
        <x:f>IF(I799="","OPEN",IF(OR(F799="",G799="",H799=""),"FAIL","PASS"))</x:f>
        <x:v>OPEN</x:v>
      </x:c>
    </x:row>
    <x:row r="800">
      <x:c r="B800" s="28" t="str">
        <x:v>CQ-DA-199-2</x:v>
      </x:c>
      <x:c r="C800" s="28" t="str">
        <x:v>DA-199</x:v>
      </x:c>
      <x:c r="D800" s="28" t="n">
        <x:v>2</x:v>
      </x:c>
      <x:c r="E800" s="28" t="str">
        <x:v>site and rig qualification</x:v>
      </x:c>
      <x:c r="F800" s="31" t="str"/>
      <x:c r="G800" s="31" t="str"/>
      <x:c r="H800" s="32" t="str"/>
      <x:c r="I800" s="31" t="str"/>
      <x:c r="J800" s="28" t="str">
        <x:f>IF(I800="","OPEN",IF(OR(F800="",G800="",H800=""),"FAIL","PASS"))</x:f>
        <x:v>OPEN</x:v>
      </x:c>
    </x:row>
    <x:row r="801">
      <x:c r="B801" s="28" t="str">
        <x:v>CQ-DA-199-3</x:v>
      </x:c>
      <x:c r="C801" s="28" t="str">
        <x:v>DA-199</x:v>
      </x:c>
      <x:c r="D801" s="28" t="n">
        <x:v>3</x:v>
      </x:c>
      <x:c r="E801" s="28" t="str">
        <x:v>article-interface qualification</x:v>
      </x:c>
      <x:c r="F801" s="31" t="str"/>
      <x:c r="G801" s="31" t="str"/>
      <x:c r="H801" s="32" t="str"/>
      <x:c r="I801" s="31" t="str"/>
      <x:c r="J801" s="28" t="str">
        <x:f>IF(I801="","OPEN",IF(OR(F801="",G801="",H801=""),"FAIL","PASS"))</x:f>
        <x:v>OPEN</x:v>
      </x:c>
    </x:row>
    <x:row r="802">
      <x:c r="B802" s="28" t="str">
        <x:v>CQ-DA-199-4</x:v>
      </x:c>
      <x:c r="C802" s="28" t="str">
        <x:v>DA-199</x:v>
      </x:c>
      <x:c r="D802" s="28" t="n">
        <x:v>4</x:v>
      </x:c>
      <x:c r="E802" s="28" t="str">
        <x:v>incident and rescue qualification</x:v>
      </x:c>
      <x:c r="F802" s="31" t="str"/>
      <x:c r="G802" s="31" t="str"/>
      <x:c r="H802" s="32" t="str"/>
      <x:c r="I802" s="31" t="str"/>
      <x:c r="J802" s="28" t="str">
        <x:f>IF(I802="","OPEN",IF(OR(F802="",G802="",H802=""),"FAIL","PASS"))</x:f>
        <x:v>OPEN</x:v>
      </x:c>
    </x:row>
    <x:row r="803">
      <x:c r="B803" s="28" t="str">
        <x:v>CQ-DA-200-1</x:v>
      </x:c>
      <x:c r="C803" s="28" t="str">
        <x:v>DA-200</x:v>
      </x:c>
      <x:c r="D803" s="28" t="n">
        <x:v>1</x:v>
      </x:c>
      <x:c r="E803" s="28" t="str">
        <x:v>role qualification</x:v>
      </x:c>
      <x:c r="F803" s="31" t="str"/>
      <x:c r="G803" s="31" t="str"/>
      <x:c r="H803" s="32" t="str"/>
      <x:c r="I803" s="31" t="str"/>
      <x:c r="J803" s="28" t="str">
        <x:f>IF(I803="","OPEN",IF(OR(F803="",G803="",H803=""),"FAIL","PASS"))</x:f>
        <x:v>OPEN</x:v>
      </x:c>
    </x:row>
    <x:row r="804">
      <x:c r="B804" s="28" t="str">
        <x:v>CQ-DA-200-2</x:v>
      </x:c>
      <x:c r="C804" s="28" t="str">
        <x:v>DA-200</x:v>
      </x:c>
      <x:c r="D804" s="28" t="n">
        <x:v>2</x:v>
      </x:c>
      <x:c r="E804" s="28" t="str">
        <x:v>site and rig qualification</x:v>
      </x:c>
      <x:c r="F804" s="31" t="str"/>
      <x:c r="G804" s="31" t="str"/>
      <x:c r="H804" s="32" t="str"/>
      <x:c r="I804" s="31" t="str"/>
      <x:c r="J804" s="28" t="str">
        <x:f>IF(I804="","OPEN",IF(OR(F804="",G804="",H804=""),"FAIL","PASS"))</x:f>
        <x:v>OPEN</x:v>
      </x:c>
    </x:row>
    <x:row r="805">
      <x:c r="B805" s="28" t="str">
        <x:v>CQ-DA-200-3</x:v>
      </x:c>
      <x:c r="C805" s="28" t="str">
        <x:v>DA-200</x:v>
      </x:c>
      <x:c r="D805" s="28" t="n">
        <x:v>3</x:v>
      </x:c>
      <x:c r="E805" s="28" t="str">
        <x:v>article-interface qualification</x:v>
      </x:c>
      <x:c r="F805" s="31" t="str"/>
      <x:c r="G805" s="31" t="str"/>
      <x:c r="H805" s="32" t="str"/>
      <x:c r="I805" s="31" t="str"/>
      <x:c r="J805" s="28" t="str">
        <x:f>IF(I805="","OPEN",IF(OR(F805="",G805="",H805=""),"FAIL","PASS"))</x:f>
        <x:v>OPEN</x:v>
      </x:c>
    </x:row>
    <x:row r="806">
      <x:c r="B806" s="28" t="str">
        <x:v>CQ-DA-200-4</x:v>
      </x:c>
      <x:c r="C806" s="28" t="str">
        <x:v>DA-200</x:v>
      </x:c>
      <x:c r="D806" s="28" t="n">
        <x:v>4</x:v>
      </x:c>
      <x:c r="E806" s="28" t="str">
        <x:v>incident and rescue qualification</x:v>
      </x:c>
      <x:c r="F806" s="31" t="str"/>
      <x:c r="G806" s="31" t="str"/>
      <x:c r="H806" s="32" t="str"/>
      <x:c r="I806" s="31" t="str"/>
      <x:c r="J806" s="28" t="str">
        <x:f>IF(I806="","OPEN",IF(OR(F806="",G806="",H806=""),"FAIL","PASS"))</x:f>
        <x:v>OPEN</x:v>
      </x:c>
    </x:row>
    <x:row r="807">
      <x:c r="B807" s="28" t="str">
        <x:v>CQ-DA-201-1</x:v>
      </x:c>
      <x:c r="C807" s="28" t="str">
        <x:v>DA-201</x:v>
      </x:c>
      <x:c r="D807" s="28" t="n">
        <x:v>1</x:v>
      </x:c>
      <x:c r="E807" s="28" t="str">
        <x:v>role qualification</x:v>
      </x:c>
      <x:c r="F807" s="31" t="str"/>
      <x:c r="G807" s="31" t="str"/>
      <x:c r="H807" s="32" t="str"/>
      <x:c r="I807" s="31" t="str"/>
      <x:c r="J807" s="28" t="str">
        <x:f>IF(I807="","OPEN",IF(OR(F807="",G807="",H807=""),"FAIL","PASS"))</x:f>
        <x:v>OPEN</x:v>
      </x:c>
    </x:row>
    <x:row r="808">
      <x:c r="B808" s="28" t="str">
        <x:v>CQ-DA-201-2</x:v>
      </x:c>
      <x:c r="C808" s="28" t="str">
        <x:v>DA-201</x:v>
      </x:c>
      <x:c r="D808" s="28" t="n">
        <x:v>2</x:v>
      </x:c>
      <x:c r="E808" s="28" t="str">
        <x:v>site and rig qualification</x:v>
      </x:c>
      <x:c r="F808" s="31" t="str"/>
      <x:c r="G808" s="31" t="str"/>
      <x:c r="H808" s="32" t="str"/>
      <x:c r="I808" s="31" t="str"/>
      <x:c r="J808" s="28" t="str">
        <x:f>IF(I808="","OPEN",IF(OR(F808="",G808="",H808=""),"FAIL","PASS"))</x:f>
        <x:v>OPEN</x:v>
      </x:c>
    </x:row>
    <x:row r="809">
      <x:c r="B809" s="28" t="str">
        <x:v>CQ-DA-201-3</x:v>
      </x:c>
      <x:c r="C809" s="28" t="str">
        <x:v>DA-201</x:v>
      </x:c>
      <x:c r="D809" s="28" t="n">
        <x:v>3</x:v>
      </x:c>
      <x:c r="E809" s="28" t="str">
        <x:v>article-interface qualification</x:v>
      </x:c>
      <x:c r="F809" s="31" t="str"/>
      <x:c r="G809" s="31" t="str"/>
      <x:c r="H809" s="32" t="str"/>
      <x:c r="I809" s="31" t="str"/>
      <x:c r="J809" s="28" t="str">
        <x:f>IF(I809="","OPEN",IF(OR(F809="",G809="",H809=""),"FAIL","PASS"))</x:f>
        <x:v>OPEN</x:v>
      </x:c>
    </x:row>
    <x:row r="810">
      <x:c r="B810" s="28" t="str">
        <x:v>CQ-DA-201-4</x:v>
      </x:c>
      <x:c r="C810" s="28" t="str">
        <x:v>DA-201</x:v>
      </x:c>
      <x:c r="D810" s="28" t="n">
        <x:v>4</x:v>
      </x:c>
      <x:c r="E810" s="28" t="str">
        <x:v>incident and rescue qualification</x:v>
      </x:c>
      <x:c r="F810" s="31" t="str"/>
      <x:c r="G810" s="31" t="str"/>
      <x:c r="H810" s="32" t="str"/>
      <x:c r="I810" s="31" t="str"/>
      <x:c r="J810" s="28" t="str">
        <x:f>IF(I810="","OPEN",IF(OR(F810="",G810="",H810=""),"FAIL","PASS"))</x:f>
        <x:v>OPEN</x:v>
      </x:c>
    </x:row>
    <x:row r="811">
      <x:c r="B811" s="28" t="str">
        <x:v>CQ-DA-202-1</x:v>
      </x:c>
      <x:c r="C811" s="28" t="str">
        <x:v>DA-202</x:v>
      </x:c>
      <x:c r="D811" s="28" t="n">
        <x:v>1</x:v>
      </x:c>
      <x:c r="E811" s="28" t="str">
        <x:v>role qualification</x:v>
      </x:c>
      <x:c r="F811" s="31" t="str"/>
      <x:c r="G811" s="31" t="str"/>
      <x:c r="H811" s="32" t="str"/>
      <x:c r="I811" s="31" t="str"/>
      <x:c r="J811" s="28" t="str">
        <x:f>IF(I811="","OPEN",IF(OR(F811="",G811="",H811=""),"FAIL","PASS"))</x:f>
        <x:v>OPEN</x:v>
      </x:c>
    </x:row>
    <x:row r="812">
      <x:c r="B812" s="28" t="str">
        <x:v>CQ-DA-202-2</x:v>
      </x:c>
      <x:c r="C812" s="28" t="str">
        <x:v>DA-202</x:v>
      </x:c>
      <x:c r="D812" s="28" t="n">
        <x:v>2</x:v>
      </x:c>
      <x:c r="E812" s="28" t="str">
        <x:v>site and rig qualification</x:v>
      </x:c>
      <x:c r="F812" s="31" t="str"/>
      <x:c r="G812" s="31" t="str"/>
      <x:c r="H812" s="32" t="str"/>
      <x:c r="I812" s="31" t="str"/>
      <x:c r="J812" s="28" t="str">
        <x:f>IF(I812="","OPEN",IF(OR(F812="",G812="",H812=""),"FAIL","PASS"))</x:f>
        <x:v>OPEN</x:v>
      </x:c>
    </x:row>
    <x:row r="813">
      <x:c r="B813" s="28" t="str">
        <x:v>CQ-DA-202-3</x:v>
      </x:c>
      <x:c r="C813" s="28" t="str">
        <x:v>DA-202</x:v>
      </x:c>
      <x:c r="D813" s="28" t="n">
        <x:v>3</x:v>
      </x:c>
      <x:c r="E813" s="28" t="str">
        <x:v>article-interface qualification</x:v>
      </x:c>
      <x:c r="F813" s="31" t="str"/>
      <x:c r="G813" s="31" t="str"/>
      <x:c r="H813" s="32" t="str"/>
      <x:c r="I813" s="31" t="str"/>
      <x:c r="J813" s="28" t="str">
        <x:f>IF(I813="","OPEN",IF(OR(F813="",G813="",H813=""),"FAIL","PASS"))</x:f>
        <x:v>OPEN</x:v>
      </x:c>
    </x:row>
    <x:row r="814">
      <x:c r="B814" s="28" t="str">
        <x:v>CQ-DA-202-4</x:v>
      </x:c>
      <x:c r="C814" s="28" t="str">
        <x:v>DA-202</x:v>
      </x:c>
      <x:c r="D814" s="28" t="n">
        <x:v>4</x:v>
      </x:c>
      <x:c r="E814" s="28" t="str">
        <x:v>incident and rescue qualification</x:v>
      </x:c>
      <x:c r="F814" s="31" t="str"/>
      <x:c r="G814" s="31" t="str"/>
      <x:c r="H814" s="32" t="str"/>
      <x:c r="I814" s="31" t="str"/>
      <x:c r="J814" s="28" t="str">
        <x:f>IF(I814="","OPEN",IF(OR(F814="",G814="",H814=""),"FAIL","PASS"))</x:f>
        <x:v>OPEN</x:v>
      </x:c>
    </x:row>
    <x:row r="815">
      <x:c r="B815" s="28" t="str">
        <x:v>CQ-DA-203-1</x:v>
      </x:c>
      <x:c r="C815" s="28" t="str">
        <x:v>DA-203</x:v>
      </x:c>
      <x:c r="D815" s="28" t="n">
        <x:v>1</x:v>
      </x:c>
      <x:c r="E815" s="28" t="str">
        <x:v>role qualification</x:v>
      </x:c>
      <x:c r="F815" s="31" t="str"/>
      <x:c r="G815" s="31" t="str"/>
      <x:c r="H815" s="32" t="str"/>
      <x:c r="I815" s="31" t="str"/>
      <x:c r="J815" s="28" t="str">
        <x:f>IF(I815="","OPEN",IF(OR(F815="",G815="",H815=""),"FAIL","PASS"))</x:f>
        <x:v>OPEN</x:v>
      </x:c>
    </x:row>
    <x:row r="816">
      <x:c r="B816" s="28" t="str">
        <x:v>CQ-DA-203-2</x:v>
      </x:c>
      <x:c r="C816" s="28" t="str">
        <x:v>DA-203</x:v>
      </x:c>
      <x:c r="D816" s="28" t="n">
        <x:v>2</x:v>
      </x:c>
      <x:c r="E816" s="28" t="str">
        <x:v>site and rig qualification</x:v>
      </x:c>
      <x:c r="F816" s="31" t="str"/>
      <x:c r="G816" s="31" t="str"/>
      <x:c r="H816" s="32" t="str"/>
      <x:c r="I816" s="31" t="str"/>
      <x:c r="J816" s="28" t="str">
        <x:f>IF(I816="","OPEN",IF(OR(F816="",G816="",H816=""),"FAIL","PASS"))</x:f>
        <x:v>OPEN</x:v>
      </x:c>
    </x:row>
    <x:row r="817">
      <x:c r="B817" s="28" t="str">
        <x:v>CQ-DA-203-3</x:v>
      </x:c>
      <x:c r="C817" s="28" t="str">
        <x:v>DA-203</x:v>
      </x:c>
      <x:c r="D817" s="28" t="n">
        <x:v>3</x:v>
      </x:c>
      <x:c r="E817" s="28" t="str">
        <x:v>article-interface qualification</x:v>
      </x:c>
      <x:c r="F817" s="31" t="str"/>
      <x:c r="G817" s="31" t="str"/>
      <x:c r="H817" s="32" t="str"/>
      <x:c r="I817" s="31" t="str"/>
      <x:c r="J817" s="28" t="str">
        <x:f>IF(I817="","OPEN",IF(OR(F817="",G817="",H817=""),"FAIL","PASS"))</x:f>
        <x:v>OPEN</x:v>
      </x:c>
    </x:row>
    <x:row r="818">
      <x:c r="B818" s="28" t="str">
        <x:v>CQ-DA-203-4</x:v>
      </x:c>
      <x:c r="C818" s="28" t="str">
        <x:v>DA-203</x:v>
      </x:c>
      <x:c r="D818" s="28" t="n">
        <x:v>4</x:v>
      </x:c>
      <x:c r="E818" s="28" t="str">
        <x:v>incident and rescue qualification</x:v>
      </x:c>
      <x:c r="F818" s="31" t="str"/>
      <x:c r="G818" s="31" t="str"/>
      <x:c r="H818" s="32" t="str"/>
      <x:c r="I818" s="31" t="str"/>
      <x:c r="J818" s="28" t="str">
        <x:f>IF(I818="","OPEN",IF(OR(F818="",G818="",H818=""),"FAIL","PASS"))</x:f>
        <x:v>OPEN</x:v>
      </x:c>
    </x:row>
    <x:row r="819">
      <x:c r="B819" s="28" t="str">
        <x:v>CQ-DA-204-1</x:v>
      </x:c>
      <x:c r="C819" s="28" t="str">
        <x:v>DA-204</x:v>
      </x:c>
      <x:c r="D819" s="28" t="n">
        <x:v>1</x:v>
      </x:c>
      <x:c r="E819" s="28" t="str">
        <x:v>role qualification</x:v>
      </x:c>
      <x:c r="F819" s="31" t="str"/>
      <x:c r="G819" s="31" t="str"/>
      <x:c r="H819" s="32" t="str"/>
      <x:c r="I819" s="31" t="str"/>
      <x:c r="J819" s="28" t="str">
        <x:f>IF(I819="","OPEN",IF(OR(F819="",G819="",H819=""),"FAIL","PASS"))</x:f>
        <x:v>OPEN</x:v>
      </x:c>
    </x:row>
    <x:row r="820">
      <x:c r="B820" s="28" t="str">
        <x:v>CQ-DA-204-2</x:v>
      </x:c>
      <x:c r="C820" s="28" t="str">
        <x:v>DA-204</x:v>
      </x:c>
      <x:c r="D820" s="28" t="n">
        <x:v>2</x:v>
      </x:c>
      <x:c r="E820" s="28" t="str">
        <x:v>site and rig qualification</x:v>
      </x:c>
      <x:c r="F820" s="31" t="str"/>
      <x:c r="G820" s="31" t="str"/>
      <x:c r="H820" s="32" t="str"/>
      <x:c r="I820" s="31" t="str"/>
      <x:c r="J820" s="28" t="str">
        <x:f>IF(I820="","OPEN",IF(OR(F820="",G820="",H820=""),"FAIL","PASS"))</x:f>
        <x:v>OPEN</x:v>
      </x:c>
    </x:row>
    <x:row r="821">
      <x:c r="B821" s="28" t="str">
        <x:v>CQ-DA-204-3</x:v>
      </x:c>
      <x:c r="C821" s="28" t="str">
        <x:v>DA-204</x:v>
      </x:c>
      <x:c r="D821" s="28" t="n">
        <x:v>3</x:v>
      </x:c>
      <x:c r="E821" s="28" t="str">
        <x:v>article-interface qualification</x:v>
      </x:c>
      <x:c r="F821" s="31" t="str"/>
      <x:c r="G821" s="31" t="str"/>
      <x:c r="H821" s="32" t="str"/>
      <x:c r="I821" s="31" t="str"/>
      <x:c r="J821" s="28" t="str">
        <x:f>IF(I821="","OPEN",IF(OR(F821="",G821="",H821=""),"FAIL","PASS"))</x:f>
        <x:v>OPEN</x:v>
      </x:c>
    </x:row>
    <x:row r="822">
      <x:c r="B822" s="28" t="str">
        <x:v>CQ-DA-204-4</x:v>
      </x:c>
      <x:c r="C822" s="28" t="str">
        <x:v>DA-204</x:v>
      </x:c>
      <x:c r="D822" s="28" t="n">
        <x:v>4</x:v>
      </x:c>
      <x:c r="E822" s="28" t="str">
        <x:v>incident and rescue qualification</x:v>
      </x:c>
      <x:c r="F822" s="31" t="str"/>
      <x:c r="G822" s="31" t="str"/>
      <x:c r="H822" s="32" t="str"/>
      <x:c r="I822" s="31" t="str"/>
      <x:c r="J822" s="28" t="str">
        <x:f>IF(I822="","OPEN",IF(OR(F822="",G822="",H822=""),"FAIL","PASS"))</x:f>
        <x:v>OPEN</x:v>
      </x:c>
    </x:row>
    <x:row r="823">
      <x:c r="B823" s="28" t="str">
        <x:v>CQ-DA-205-1</x:v>
      </x:c>
      <x:c r="C823" s="28" t="str">
        <x:v>DA-205</x:v>
      </x:c>
      <x:c r="D823" s="28" t="n">
        <x:v>1</x:v>
      </x:c>
      <x:c r="E823" s="28" t="str">
        <x:v>role qualification</x:v>
      </x:c>
      <x:c r="F823" s="31" t="str"/>
      <x:c r="G823" s="31" t="str"/>
      <x:c r="H823" s="32" t="str"/>
      <x:c r="I823" s="31" t="str"/>
      <x:c r="J823" s="28" t="str">
        <x:f>IF(I823="","OPEN",IF(OR(F823="",G823="",H823=""),"FAIL","PASS"))</x:f>
        <x:v>OPEN</x:v>
      </x:c>
    </x:row>
    <x:row r="824">
      <x:c r="B824" s="28" t="str">
        <x:v>CQ-DA-205-2</x:v>
      </x:c>
      <x:c r="C824" s="28" t="str">
        <x:v>DA-205</x:v>
      </x:c>
      <x:c r="D824" s="28" t="n">
        <x:v>2</x:v>
      </x:c>
      <x:c r="E824" s="28" t="str">
        <x:v>site and rig qualification</x:v>
      </x:c>
      <x:c r="F824" s="31" t="str"/>
      <x:c r="G824" s="31" t="str"/>
      <x:c r="H824" s="32" t="str"/>
      <x:c r="I824" s="31" t="str"/>
      <x:c r="J824" s="28" t="str">
        <x:f>IF(I824="","OPEN",IF(OR(F824="",G824="",H824=""),"FAIL","PASS"))</x:f>
        <x:v>OPEN</x:v>
      </x:c>
    </x:row>
    <x:row r="825">
      <x:c r="B825" s="28" t="str">
        <x:v>CQ-DA-205-3</x:v>
      </x:c>
      <x:c r="C825" s="28" t="str">
        <x:v>DA-205</x:v>
      </x:c>
      <x:c r="D825" s="28" t="n">
        <x:v>3</x:v>
      </x:c>
      <x:c r="E825" s="28" t="str">
        <x:v>article-interface qualification</x:v>
      </x:c>
      <x:c r="F825" s="31" t="str"/>
      <x:c r="G825" s="31" t="str"/>
      <x:c r="H825" s="32" t="str"/>
      <x:c r="I825" s="31" t="str"/>
      <x:c r="J825" s="28" t="str">
        <x:f>IF(I825="","OPEN",IF(OR(F825="",G825="",H825=""),"FAIL","PASS"))</x:f>
        <x:v>OPEN</x:v>
      </x:c>
    </x:row>
    <x:row r="826">
      <x:c r="B826" s="28" t="str">
        <x:v>CQ-DA-205-4</x:v>
      </x:c>
      <x:c r="C826" s="28" t="str">
        <x:v>DA-205</x:v>
      </x:c>
      <x:c r="D826" s="28" t="n">
        <x:v>4</x:v>
      </x:c>
      <x:c r="E826" s="28" t="str">
        <x:v>incident and rescue qualification</x:v>
      </x:c>
      <x:c r="F826" s="31" t="str"/>
      <x:c r="G826" s="31" t="str"/>
      <x:c r="H826" s="32" t="str"/>
      <x:c r="I826" s="31" t="str"/>
      <x:c r="J826" s="28" t="str">
        <x:f>IF(I826="","OPEN",IF(OR(F826="",G826="",H826=""),"FAIL","PASS"))</x:f>
        <x:v>OPEN</x:v>
      </x:c>
    </x:row>
    <x:row r="827">
      <x:c r="B827" s="28" t="str">
        <x:v>CQ-DA-206-1</x:v>
      </x:c>
      <x:c r="C827" s="28" t="str">
        <x:v>DA-206</x:v>
      </x:c>
      <x:c r="D827" s="28" t="n">
        <x:v>1</x:v>
      </x:c>
      <x:c r="E827" s="28" t="str">
        <x:v>role qualification</x:v>
      </x:c>
      <x:c r="F827" s="31" t="str"/>
      <x:c r="G827" s="31" t="str"/>
      <x:c r="H827" s="32" t="str"/>
      <x:c r="I827" s="31" t="str"/>
      <x:c r="J827" s="28" t="str">
        <x:f>IF(I827="","OPEN",IF(OR(F827="",G827="",H827=""),"FAIL","PASS"))</x:f>
        <x:v>OPEN</x:v>
      </x:c>
    </x:row>
    <x:row r="828">
      <x:c r="B828" s="28" t="str">
        <x:v>CQ-DA-206-2</x:v>
      </x:c>
      <x:c r="C828" s="28" t="str">
        <x:v>DA-206</x:v>
      </x:c>
      <x:c r="D828" s="28" t="n">
        <x:v>2</x:v>
      </x:c>
      <x:c r="E828" s="28" t="str">
        <x:v>site and rig qualification</x:v>
      </x:c>
      <x:c r="F828" s="31" t="str"/>
      <x:c r="G828" s="31" t="str"/>
      <x:c r="H828" s="32" t="str"/>
      <x:c r="I828" s="31" t="str"/>
      <x:c r="J828" s="28" t="str">
        <x:f>IF(I828="","OPEN",IF(OR(F828="",G828="",H828=""),"FAIL","PASS"))</x:f>
        <x:v>OPEN</x:v>
      </x:c>
    </x:row>
    <x:row r="829">
      <x:c r="B829" s="28" t="str">
        <x:v>CQ-DA-206-3</x:v>
      </x:c>
      <x:c r="C829" s="28" t="str">
        <x:v>DA-206</x:v>
      </x:c>
      <x:c r="D829" s="28" t="n">
        <x:v>3</x:v>
      </x:c>
      <x:c r="E829" s="28" t="str">
        <x:v>article-interface qualification</x:v>
      </x:c>
      <x:c r="F829" s="31" t="str"/>
      <x:c r="G829" s="31" t="str"/>
      <x:c r="H829" s="32" t="str"/>
      <x:c r="I829" s="31" t="str"/>
      <x:c r="J829" s="28" t="str">
        <x:f>IF(I829="","OPEN",IF(OR(F829="",G829="",H829=""),"FAIL","PASS"))</x:f>
        <x:v>OPEN</x:v>
      </x:c>
    </x:row>
    <x:row r="830">
      <x:c r="B830" s="28" t="str">
        <x:v>CQ-DA-206-4</x:v>
      </x:c>
      <x:c r="C830" s="28" t="str">
        <x:v>DA-206</x:v>
      </x:c>
      <x:c r="D830" s="28" t="n">
        <x:v>4</x:v>
      </x:c>
      <x:c r="E830" s="28" t="str">
        <x:v>incident and rescue qualification</x:v>
      </x:c>
      <x:c r="F830" s="31" t="str"/>
      <x:c r="G830" s="31" t="str"/>
      <x:c r="H830" s="32" t="str"/>
      <x:c r="I830" s="31" t="str"/>
      <x:c r="J830" s="28" t="str">
        <x:f>IF(I830="","OPEN",IF(OR(F830="",G830="",H830=""),"FAIL","PASS"))</x:f>
        <x:v>OPEN</x:v>
      </x:c>
    </x:row>
    <x:row r="831">
      <x:c r="B831" s="28" t="str">
        <x:v>CQ-DA-207-1</x:v>
      </x:c>
      <x:c r="C831" s="28" t="str">
        <x:v>DA-207</x:v>
      </x:c>
      <x:c r="D831" s="28" t="n">
        <x:v>1</x:v>
      </x:c>
      <x:c r="E831" s="28" t="str">
        <x:v>role qualification</x:v>
      </x:c>
      <x:c r="F831" s="31" t="str"/>
      <x:c r="G831" s="31" t="str"/>
      <x:c r="H831" s="32" t="str"/>
      <x:c r="I831" s="31" t="str"/>
      <x:c r="J831" s="28" t="str">
        <x:f>IF(I831="","OPEN",IF(OR(F831="",G831="",H831=""),"FAIL","PASS"))</x:f>
        <x:v>OPEN</x:v>
      </x:c>
    </x:row>
    <x:row r="832">
      <x:c r="B832" s="28" t="str">
        <x:v>CQ-DA-207-2</x:v>
      </x:c>
      <x:c r="C832" s="28" t="str">
        <x:v>DA-207</x:v>
      </x:c>
      <x:c r="D832" s="28" t="n">
        <x:v>2</x:v>
      </x:c>
      <x:c r="E832" s="28" t="str">
        <x:v>site and rig qualification</x:v>
      </x:c>
      <x:c r="F832" s="31" t="str"/>
      <x:c r="G832" s="31" t="str"/>
      <x:c r="H832" s="32" t="str"/>
      <x:c r="I832" s="31" t="str"/>
      <x:c r="J832" s="28" t="str">
        <x:f>IF(I832="","OPEN",IF(OR(F832="",G832="",H832=""),"FAIL","PASS"))</x:f>
        <x:v>OPEN</x:v>
      </x:c>
    </x:row>
    <x:row r="833">
      <x:c r="B833" s="28" t="str">
        <x:v>CQ-DA-207-3</x:v>
      </x:c>
      <x:c r="C833" s="28" t="str">
        <x:v>DA-207</x:v>
      </x:c>
      <x:c r="D833" s="28" t="n">
        <x:v>3</x:v>
      </x:c>
      <x:c r="E833" s="28" t="str">
        <x:v>article-interface qualification</x:v>
      </x:c>
      <x:c r="F833" s="31" t="str"/>
      <x:c r="G833" s="31" t="str"/>
      <x:c r="H833" s="32" t="str"/>
      <x:c r="I833" s="31" t="str"/>
      <x:c r="J833" s="28" t="str">
        <x:f>IF(I833="","OPEN",IF(OR(F833="",G833="",H833=""),"FAIL","PASS"))</x:f>
        <x:v>OPEN</x:v>
      </x:c>
    </x:row>
    <x:row r="834">
      <x:c r="B834" s="28" t="str">
        <x:v>CQ-DA-207-4</x:v>
      </x:c>
      <x:c r="C834" s="28" t="str">
        <x:v>DA-207</x:v>
      </x:c>
      <x:c r="D834" s="28" t="n">
        <x:v>4</x:v>
      </x:c>
      <x:c r="E834" s="28" t="str">
        <x:v>incident and rescue qualification</x:v>
      </x:c>
      <x:c r="F834" s="31" t="str"/>
      <x:c r="G834" s="31" t="str"/>
      <x:c r="H834" s="32" t="str"/>
      <x:c r="I834" s="31" t="str"/>
      <x:c r="J834" s="28" t="str">
        <x:f>IF(I834="","OPEN",IF(OR(F834="",G834="",H834=""),"FAIL","PASS"))</x:f>
        <x:v>OPEN</x:v>
      </x:c>
    </x:row>
    <x:row r="835">
      <x:c r="B835" s="28" t="str">
        <x:v>CQ-DA-208-1</x:v>
      </x:c>
      <x:c r="C835" s="28" t="str">
        <x:v>DA-208</x:v>
      </x:c>
      <x:c r="D835" s="28" t="n">
        <x:v>1</x:v>
      </x:c>
      <x:c r="E835" s="28" t="str">
        <x:v>role qualification</x:v>
      </x:c>
      <x:c r="F835" s="31" t="str"/>
      <x:c r="G835" s="31" t="str"/>
      <x:c r="H835" s="32" t="str"/>
      <x:c r="I835" s="31" t="str"/>
      <x:c r="J835" s="28" t="str">
        <x:f>IF(I835="","OPEN",IF(OR(F835="",G835="",H835=""),"FAIL","PASS"))</x:f>
        <x:v>OPEN</x:v>
      </x:c>
    </x:row>
    <x:row r="836">
      <x:c r="B836" s="28" t="str">
        <x:v>CQ-DA-208-2</x:v>
      </x:c>
      <x:c r="C836" s="28" t="str">
        <x:v>DA-208</x:v>
      </x:c>
      <x:c r="D836" s="28" t="n">
        <x:v>2</x:v>
      </x:c>
      <x:c r="E836" s="28" t="str">
        <x:v>site and rig qualification</x:v>
      </x:c>
      <x:c r="F836" s="31" t="str"/>
      <x:c r="G836" s="31" t="str"/>
      <x:c r="H836" s="32" t="str"/>
      <x:c r="I836" s="31" t="str"/>
      <x:c r="J836" s="28" t="str">
        <x:f>IF(I836="","OPEN",IF(OR(F836="",G836="",H836=""),"FAIL","PASS"))</x:f>
        <x:v>OPEN</x:v>
      </x:c>
    </x:row>
    <x:row r="837">
      <x:c r="B837" s="28" t="str">
        <x:v>CQ-DA-208-3</x:v>
      </x:c>
      <x:c r="C837" s="28" t="str">
        <x:v>DA-208</x:v>
      </x:c>
      <x:c r="D837" s="28" t="n">
        <x:v>3</x:v>
      </x:c>
      <x:c r="E837" s="28" t="str">
        <x:v>article-interface qualification</x:v>
      </x:c>
      <x:c r="F837" s="31" t="str"/>
      <x:c r="G837" s="31" t="str"/>
      <x:c r="H837" s="32" t="str"/>
      <x:c r="I837" s="31" t="str"/>
      <x:c r="J837" s="28" t="str">
        <x:f>IF(I837="","OPEN",IF(OR(F837="",G837="",H837=""),"FAIL","PASS"))</x:f>
        <x:v>OPEN</x:v>
      </x:c>
    </x:row>
    <x:row r="838">
      <x:c r="B838" s="28" t="str">
        <x:v>CQ-DA-208-4</x:v>
      </x:c>
      <x:c r="C838" s="28" t="str">
        <x:v>DA-208</x:v>
      </x:c>
      <x:c r="D838" s="28" t="n">
        <x:v>4</x:v>
      </x:c>
      <x:c r="E838" s="28" t="str">
        <x:v>incident and rescue qualification</x:v>
      </x:c>
      <x:c r="F838" s="31" t="str"/>
      <x:c r="G838" s="31" t="str"/>
      <x:c r="H838" s="32" t="str"/>
      <x:c r="I838" s="31" t="str"/>
      <x:c r="J838" s="28" t="str">
        <x:f>IF(I838="","OPEN",IF(OR(F838="",G838="",H838=""),"FAIL","PASS"))</x:f>
        <x:v>OPEN</x:v>
      </x:c>
    </x:row>
    <x:row r="839">
      <x:c r="B839" s="28" t="str">
        <x:v>CQ-DA-209-1</x:v>
      </x:c>
      <x:c r="C839" s="28" t="str">
        <x:v>DA-209</x:v>
      </x:c>
      <x:c r="D839" s="28" t="n">
        <x:v>1</x:v>
      </x:c>
      <x:c r="E839" s="28" t="str">
        <x:v>role qualification</x:v>
      </x:c>
      <x:c r="F839" s="31" t="str"/>
      <x:c r="G839" s="31" t="str"/>
      <x:c r="H839" s="32" t="str"/>
      <x:c r="I839" s="31" t="str"/>
      <x:c r="J839" s="28" t="str">
        <x:f>IF(I839="","OPEN",IF(OR(F839="",G839="",H839=""),"FAIL","PASS"))</x:f>
        <x:v>OPEN</x:v>
      </x:c>
    </x:row>
    <x:row r="840">
      <x:c r="B840" s="28" t="str">
        <x:v>CQ-DA-209-2</x:v>
      </x:c>
      <x:c r="C840" s="28" t="str">
        <x:v>DA-209</x:v>
      </x:c>
      <x:c r="D840" s="28" t="n">
        <x:v>2</x:v>
      </x:c>
      <x:c r="E840" s="28" t="str">
        <x:v>site and rig qualification</x:v>
      </x:c>
      <x:c r="F840" s="31" t="str"/>
      <x:c r="G840" s="31" t="str"/>
      <x:c r="H840" s="32" t="str"/>
      <x:c r="I840" s="31" t="str"/>
      <x:c r="J840" s="28" t="str">
        <x:f>IF(I840="","OPEN",IF(OR(F840="",G840="",H840=""),"FAIL","PASS"))</x:f>
        <x:v>OPEN</x:v>
      </x:c>
    </x:row>
    <x:row r="841">
      <x:c r="B841" s="28" t="str">
        <x:v>CQ-DA-209-3</x:v>
      </x:c>
      <x:c r="C841" s="28" t="str">
        <x:v>DA-209</x:v>
      </x:c>
      <x:c r="D841" s="28" t="n">
        <x:v>3</x:v>
      </x:c>
      <x:c r="E841" s="28" t="str">
        <x:v>article-interface qualification</x:v>
      </x:c>
      <x:c r="F841" s="31" t="str"/>
      <x:c r="G841" s="31" t="str"/>
      <x:c r="H841" s="32" t="str"/>
      <x:c r="I841" s="31" t="str"/>
      <x:c r="J841" s="28" t="str">
        <x:f>IF(I841="","OPEN",IF(OR(F841="",G841="",H841=""),"FAIL","PASS"))</x:f>
        <x:v>OPEN</x:v>
      </x:c>
    </x:row>
    <x:row r="842">
      <x:c r="B842" s="28" t="str">
        <x:v>CQ-DA-209-4</x:v>
      </x:c>
      <x:c r="C842" s="28" t="str">
        <x:v>DA-209</x:v>
      </x:c>
      <x:c r="D842" s="28" t="n">
        <x:v>4</x:v>
      </x:c>
      <x:c r="E842" s="28" t="str">
        <x:v>incident and rescue qualification</x:v>
      </x:c>
      <x:c r="F842" s="31" t="str"/>
      <x:c r="G842" s="31" t="str"/>
      <x:c r="H842" s="32" t="str"/>
      <x:c r="I842" s="31" t="str"/>
      <x:c r="J842" s="28" t="str">
        <x:f>IF(I842="","OPEN",IF(OR(F842="",G842="",H842=""),"FAIL","PASS"))</x:f>
        <x:v>OPEN</x:v>
      </x:c>
    </x:row>
    <x:row r="843">
      <x:c r="B843" s="28" t="str">
        <x:v>CQ-DA-210-1</x:v>
      </x:c>
      <x:c r="C843" s="28" t="str">
        <x:v>DA-210</x:v>
      </x:c>
      <x:c r="D843" s="28" t="n">
        <x:v>1</x:v>
      </x:c>
      <x:c r="E843" s="28" t="str">
        <x:v>role qualification</x:v>
      </x:c>
      <x:c r="F843" s="31" t="str"/>
      <x:c r="G843" s="31" t="str"/>
      <x:c r="H843" s="32" t="str"/>
      <x:c r="I843" s="31" t="str"/>
      <x:c r="J843" s="28" t="str">
        <x:f>IF(I843="","OPEN",IF(OR(F843="",G843="",H843=""),"FAIL","PASS"))</x:f>
        <x:v>OPEN</x:v>
      </x:c>
    </x:row>
    <x:row r="844">
      <x:c r="B844" s="28" t="str">
        <x:v>CQ-DA-210-2</x:v>
      </x:c>
      <x:c r="C844" s="28" t="str">
        <x:v>DA-210</x:v>
      </x:c>
      <x:c r="D844" s="28" t="n">
        <x:v>2</x:v>
      </x:c>
      <x:c r="E844" s="28" t="str">
        <x:v>site and rig qualification</x:v>
      </x:c>
      <x:c r="F844" s="31" t="str"/>
      <x:c r="G844" s="31" t="str"/>
      <x:c r="H844" s="32" t="str"/>
      <x:c r="I844" s="31" t="str"/>
      <x:c r="J844" s="28" t="str">
        <x:f>IF(I844="","OPEN",IF(OR(F844="",G844="",H844=""),"FAIL","PASS"))</x:f>
        <x:v>OPEN</x:v>
      </x:c>
    </x:row>
    <x:row r="845">
      <x:c r="B845" s="28" t="str">
        <x:v>CQ-DA-210-3</x:v>
      </x:c>
      <x:c r="C845" s="28" t="str">
        <x:v>DA-210</x:v>
      </x:c>
      <x:c r="D845" s="28" t="n">
        <x:v>3</x:v>
      </x:c>
      <x:c r="E845" s="28" t="str">
        <x:v>article-interface qualification</x:v>
      </x:c>
      <x:c r="F845" s="31" t="str"/>
      <x:c r="G845" s="31" t="str"/>
      <x:c r="H845" s="32" t="str"/>
      <x:c r="I845" s="31" t="str"/>
      <x:c r="J845" s="28" t="str">
        <x:f>IF(I845="","OPEN",IF(OR(F845="",G845="",H845=""),"FAIL","PASS"))</x:f>
        <x:v>OPEN</x:v>
      </x:c>
    </x:row>
    <x:row r="846">
      <x:c r="B846" s="28" t="str">
        <x:v>CQ-DA-210-4</x:v>
      </x:c>
      <x:c r="C846" s="28" t="str">
        <x:v>DA-210</x:v>
      </x:c>
      <x:c r="D846" s="28" t="n">
        <x:v>4</x:v>
      </x:c>
      <x:c r="E846" s="28" t="str">
        <x:v>incident and rescue qualification</x:v>
      </x:c>
      <x:c r="F846" s="31" t="str"/>
      <x:c r="G846" s="31" t="str"/>
      <x:c r="H846" s="32" t="str"/>
      <x:c r="I846" s="31" t="str"/>
      <x:c r="J846" s="28" t="str">
        <x:f>IF(I846="","OPEN",IF(OR(F846="",G846="",H846=""),"FAIL","PASS"))</x:f>
        <x:v>OPEN</x:v>
      </x:c>
    </x:row>
    <x:row r="847">
      <x:c r="B847" s="28" t="str">
        <x:v>CQ-DA-211-1</x:v>
      </x:c>
      <x:c r="C847" s="28" t="str">
        <x:v>DA-211</x:v>
      </x:c>
      <x:c r="D847" s="28" t="n">
        <x:v>1</x:v>
      </x:c>
      <x:c r="E847" s="28" t="str">
        <x:v>role qualification</x:v>
      </x:c>
      <x:c r="F847" s="31" t="str"/>
      <x:c r="G847" s="31" t="str"/>
      <x:c r="H847" s="32" t="str"/>
      <x:c r="I847" s="31" t="str"/>
      <x:c r="J847" s="28" t="str">
        <x:f>IF(I847="","OPEN",IF(OR(F847="",G847="",H847=""),"FAIL","PASS"))</x:f>
        <x:v>OPEN</x:v>
      </x:c>
    </x:row>
    <x:row r="848">
      <x:c r="B848" s="28" t="str">
        <x:v>CQ-DA-211-2</x:v>
      </x:c>
      <x:c r="C848" s="28" t="str">
        <x:v>DA-211</x:v>
      </x:c>
      <x:c r="D848" s="28" t="n">
        <x:v>2</x:v>
      </x:c>
      <x:c r="E848" s="28" t="str">
        <x:v>site and rig qualification</x:v>
      </x:c>
      <x:c r="F848" s="31" t="str"/>
      <x:c r="G848" s="31" t="str"/>
      <x:c r="H848" s="32" t="str"/>
      <x:c r="I848" s="31" t="str"/>
      <x:c r="J848" s="28" t="str">
        <x:f>IF(I848="","OPEN",IF(OR(F848="",G848="",H848=""),"FAIL","PASS"))</x:f>
        <x:v>OPEN</x:v>
      </x:c>
    </x:row>
    <x:row r="849">
      <x:c r="B849" s="28" t="str">
        <x:v>CQ-DA-211-3</x:v>
      </x:c>
      <x:c r="C849" s="28" t="str">
        <x:v>DA-211</x:v>
      </x:c>
      <x:c r="D849" s="28" t="n">
        <x:v>3</x:v>
      </x:c>
      <x:c r="E849" s="28" t="str">
        <x:v>article-interface qualification</x:v>
      </x:c>
      <x:c r="F849" s="31" t="str"/>
      <x:c r="G849" s="31" t="str"/>
      <x:c r="H849" s="32" t="str"/>
      <x:c r="I849" s="31" t="str"/>
      <x:c r="J849" s="28" t="str">
        <x:f>IF(I849="","OPEN",IF(OR(F849="",G849="",H849=""),"FAIL","PASS"))</x:f>
        <x:v>OPEN</x:v>
      </x:c>
    </x:row>
    <x:row r="850">
      <x:c r="B850" s="28" t="str">
        <x:v>CQ-DA-211-4</x:v>
      </x:c>
      <x:c r="C850" s="28" t="str">
        <x:v>DA-211</x:v>
      </x:c>
      <x:c r="D850" s="28" t="n">
        <x:v>4</x:v>
      </x:c>
      <x:c r="E850" s="28" t="str">
        <x:v>incident and rescue qualification</x:v>
      </x:c>
      <x:c r="F850" s="31" t="str"/>
      <x:c r="G850" s="31" t="str"/>
      <x:c r="H850" s="32" t="str"/>
      <x:c r="I850" s="31" t="str"/>
      <x:c r="J850" s="28" t="str">
        <x:f>IF(I850="","OPEN",IF(OR(F850="",G850="",H850=""),"FAIL","PASS"))</x:f>
        <x:v>OPEN</x:v>
      </x:c>
    </x:row>
    <x:row r="851">
      <x:c r="B851" s="28" t="str">
        <x:v>CQ-DA-212-1</x:v>
      </x:c>
      <x:c r="C851" s="28" t="str">
        <x:v>DA-212</x:v>
      </x:c>
      <x:c r="D851" s="28" t="n">
        <x:v>1</x:v>
      </x:c>
      <x:c r="E851" s="28" t="str">
        <x:v>role qualification</x:v>
      </x:c>
      <x:c r="F851" s="31" t="str"/>
      <x:c r="G851" s="31" t="str"/>
      <x:c r="H851" s="32" t="str"/>
      <x:c r="I851" s="31" t="str"/>
      <x:c r="J851" s="28" t="str">
        <x:f>IF(I851="","OPEN",IF(OR(F851="",G851="",H851=""),"FAIL","PASS"))</x:f>
        <x:v>OPEN</x:v>
      </x:c>
    </x:row>
    <x:row r="852">
      <x:c r="B852" s="28" t="str">
        <x:v>CQ-DA-212-2</x:v>
      </x:c>
      <x:c r="C852" s="28" t="str">
        <x:v>DA-212</x:v>
      </x:c>
      <x:c r="D852" s="28" t="n">
        <x:v>2</x:v>
      </x:c>
      <x:c r="E852" s="28" t="str">
        <x:v>site and rig qualification</x:v>
      </x:c>
      <x:c r="F852" s="31" t="str"/>
      <x:c r="G852" s="31" t="str"/>
      <x:c r="H852" s="32" t="str"/>
      <x:c r="I852" s="31" t="str"/>
      <x:c r="J852" s="28" t="str">
        <x:f>IF(I852="","OPEN",IF(OR(F852="",G852="",H852=""),"FAIL","PASS"))</x:f>
        <x:v>OPEN</x:v>
      </x:c>
    </x:row>
    <x:row r="853">
      <x:c r="B853" s="28" t="str">
        <x:v>CQ-DA-212-3</x:v>
      </x:c>
      <x:c r="C853" s="28" t="str">
        <x:v>DA-212</x:v>
      </x:c>
      <x:c r="D853" s="28" t="n">
        <x:v>3</x:v>
      </x:c>
      <x:c r="E853" s="28" t="str">
        <x:v>article-interface qualification</x:v>
      </x:c>
      <x:c r="F853" s="31" t="str"/>
      <x:c r="G853" s="31" t="str"/>
      <x:c r="H853" s="32" t="str"/>
      <x:c r="I853" s="31" t="str"/>
      <x:c r="J853" s="28" t="str">
        <x:f>IF(I853="","OPEN",IF(OR(F853="",G853="",H853=""),"FAIL","PASS"))</x:f>
        <x:v>OPEN</x:v>
      </x:c>
    </x:row>
    <x:row r="854">
      <x:c r="B854" s="28" t="str">
        <x:v>CQ-DA-212-4</x:v>
      </x:c>
      <x:c r="C854" s="28" t="str">
        <x:v>DA-212</x:v>
      </x:c>
      <x:c r="D854" s="28" t="n">
        <x:v>4</x:v>
      </x:c>
      <x:c r="E854" s="28" t="str">
        <x:v>incident and rescue qualification</x:v>
      </x:c>
      <x:c r="F854" s="31" t="str"/>
      <x:c r="G854" s="31" t="str"/>
      <x:c r="H854" s="32" t="str"/>
      <x:c r="I854" s="31" t="str"/>
      <x:c r="J854" s="28" t="str">
        <x:f>IF(I854="","OPEN",IF(OR(F854="",G854="",H854=""),"FAIL","PASS"))</x:f>
        <x:v>OPEN</x:v>
      </x:c>
    </x:row>
    <x:row r="855">
      <x:c r="B855" s="28" t="str">
        <x:v>CQ-DA-213-1</x:v>
      </x:c>
      <x:c r="C855" s="28" t="str">
        <x:v>DA-213</x:v>
      </x:c>
      <x:c r="D855" s="28" t="n">
        <x:v>1</x:v>
      </x:c>
      <x:c r="E855" s="28" t="str">
        <x:v>role qualification</x:v>
      </x:c>
      <x:c r="F855" s="31" t="str"/>
      <x:c r="G855" s="31" t="str"/>
      <x:c r="H855" s="32" t="str"/>
      <x:c r="I855" s="31" t="str"/>
      <x:c r="J855" s="28" t="str">
        <x:f>IF(I855="","OPEN",IF(OR(F855="",G855="",H855=""),"FAIL","PASS"))</x:f>
        <x:v>OPEN</x:v>
      </x:c>
    </x:row>
    <x:row r="856">
      <x:c r="B856" s="28" t="str">
        <x:v>CQ-DA-213-2</x:v>
      </x:c>
      <x:c r="C856" s="28" t="str">
        <x:v>DA-213</x:v>
      </x:c>
      <x:c r="D856" s="28" t="n">
        <x:v>2</x:v>
      </x:c>
      <x:c r="E856" s="28" t="str">
        <x:v>site and rig qualification</x:v>
      </x:c>
      <x:c r="F856" s="31" t="str"/>
      <x:c r="G856" s="31" t="str"/>
      <x:c r="H856" s="32" t="str"/>
      <x:c r="I856" s="31" t="str"/>
      <x:c r="J856" s="28" t="str">
        <x:f>IF(I856="","OPEN",IF(OR(F856="",G856="",H856=""),"FAIL","PASS"))</x:f>
        <x:v>OPEN</x:v>
      </x:c>
    </x:row>
    <x:row r="857">
      <x:c r="B857" s="28" t="str">
        <x:v>CQ-DA-213-3</x:v>
      </x:c>
      <x:c r="C857" s="28" t="str">
        <x:v>DA-213</x:v>
      </x:c>
      <x:c r="D857" s="28" t="n">
        <x:v>3</x:v>
      </x:c>
      <x:c r="E857" s="28" t="str">
        <x:v>article-interface qualification</x:v>
      </x:c>
      <x:c r="F857" s="31" t="str"/>
      <x:c r="G857" s="31" t="str"/>
      <x:c r="H857" s="32" t="str"/>
      <x:c r="I857" s="31" t="str"/>
      <x:c r="J857" s="28" t="str">
        <x:f>IF(I857="","OPEN",IF(OR(F857="",G857="",H857=""),"FAIL","PASS"))</x:f>
        <x:v>OPEN</x:v>
      </x:c>
    </x:row>
    <x:row r="858">
      <x:c r="B858" s="28" t="str">
        <x:v>CQ-DA-213-4</x:v>
      </x:c>
      <x:c r="C858" s="28" t="str">
        <x:v>DA-213</x:v>
      </x:c>
      <x:c r="D858" s="28" t="n">
        <x:v>4</x:v>
      </x:c>
      <x:c r="E858" s="28" t="str">
        <x:v>incident and rescue qualification</x:v>
      </x:c>
      <x:c r="F858" s="31" t="str"/>
      <x:c r="G858" s="31" t="str"/>
      <x:c r="H858" s="32" t="str"/>
      <x:c r="I858" s="31" t="str"/>
      <x:c r="J858" s="28" t="str">
        <x:f>IF(I858="","OPEN",IF(OR(F858="",G858="",H858=""),"FAIL","PASS"))</x:f>
        <x:v>OPEN</x:v>
      </x:c>
    </x:row>
    <x:row r="859">
      <x:c r="B859" s="28" t="str">
        <x:v>CQ-DA-214-1</x:v>
      </x:c>
      <x:c r="C859" s="28" t="str">
        <x:v>DA-214</x:v>
      </x:c>
      <x:c r="D859" s="28" t="n">
        <x:v>1</x:v>
      </x:c>
      <x:c r="E859" s="28" t="str">
        <x:v>role qualification</x:v>
      </x:c>
      <x:c r="F859" s="31" t="str"/>
      <x:c r="G859" s="31" t="str"/>
      <x:c r="H859" s="32" t="str"/>
      <x:c r="I859" s="31" t="str"/>
      <x:c r="J859" s="28" t="str">
        <x:f>IF(I859="","OPEN",IF(OR(F859="",G859="",H859=""),"FAIL","PASS"))</x:f>
        <x:v>OPEN</x:v>
      </x:c>
    </x:row>
    <x:row r="860">
      <x:c r="B860" s="28" t="str">
        <x:v>CQ-DA-214-2</x:v>
      </x:c>
      <x:c r="C860" s="28" t="str">
        <x:v>DA-214</x:v>
      </x:c>
      <x:c r="D860" s="28" t="n">
        <x:v>2</x:v>
      </x:c>
      <x:c r="E860" s="28" t="str">
        <x:v>site and rig qualification</x:v>
      </x:c>
      <x:c r="F860" s="31" t="str"/>
      <x:c r="G860" s="31" t="str"/>
      <x:c r="H860" s="32" t="str"/>
      <x:c r="I860" s="31" t="str"/>
      <x:c r="J860" s="28" t="str">
        <x:f>IF(I860="","OPEN",IF(OR(F860="",G860="",H860=""),"FAIL","PASS"))</x:f>
        <x:v>OPEN</x:v>
      </x:c>
    </x:row>
    <x:row r="861">
      <x:c r="B861" s="28" t="str">
        <x:v>CQ-DA-214-3</x:v>
      </x:c>
      <x:c r="C861" s="28" t="str">
        <x:v>DA-214</x:v>
      </x:c>
      <x:c r="D861" s="28" t="n">
        <x:v>3</x:v>
      </x:c>
      <x:c r="E861" s="28" t="str">
        <x:v>article-interface qualification</x:v>
      </x:c>
      <x:c r="F861" s="31" t="str"/>
      <x:c r="G861" s="31" t="str"/>
      <x:c r="H861" s="32" t="str"/>
      <x:c r="I861" s="31" t="str"/>
      <x:c r="J861" s="28" t="str">
        <x:f>IF(I861="","OPEN",IF(OR(F861="",G861="",H861=""),"FAIL","PASS"))</x:f>
        <x:v>OPEN</x:v>
      </x:c>
    </x:row>
    <x:row r="862">
      <x:c r="B862" s="28" t="str">
        <x:v>CQ-DA-214-4</x:v>
      </x:c>
      <x:c r="C862" s="28" t="str">
        <x:v>DA-214</x:v>
      </x:c>
      <x:c r="D862" s="28" t="n">
        <x:v>4</x:v>
      </x:c>
      <x:c r="E862" s="28" t="str">
        <x:v>incident and rescue qualification</x:v>
      </x:c>
      <x:c r="F862" s="31" t="str"/>
      <x:c r="G862" s="31" t="str"/>
      <x:c r="H862" s="32" t="str"/>
      <x:c r="I862" s="31" t="str"/>
      <x:c r="J862" s="28" t="str">
        <x:f>IF(I862="","OPEN",IF(OR(F862="",G862="",H862=""),"FAIL","PASS"))</x:f>
        <x:v>OPEN</x:v>
      </x:c>
    </x:row>
    <x:row r="863">
      <x:c r="B863" s="28" t="str">
        <x:v>CQ-DA-215-1</x:v>
      </x:c>
      <x:c r="C863" s="28" t="str">
        <x:v>DA-215</x:v>
      </x:c>
      <x:c r="D863" s="28" t="n">
        <x:v>1</x:v>
      </x:c>
      <x:c r="E863" s="28" t="str">
        <x:v>role qualification</x:v>
      </x:c>
      <x:c r="F863" s="31" t="str"/>
      <x:c r="G863" s="31" t="str"/>
      <x:c r="H863" s="32" t="str"/>
      <x:c r="I863" s="31" t="str"/>
      <x:c r="J863" s="28" t="str">
        <x:f>IF(I863="","OPEN",IF(OR(F863="",G863="",H863=""),"FAIL","PASS"))</x:f>
        <x:v>OPEN</x:v>
      </x:c>
    </x:row>
    <x:row r="864">
      <x:c r="B864" s="28" t="str">
        <x:v>CQ-DA-215-2</x:v>
      </x:c>
      <x:c r="C864" s="28" t="str">
        <x:v>DA-215</x:v>
      </x:c>
      <x:c r="D864" s="28" t="n">
        <x:v>2</x:v>
      </x:c>
      <x:c r="E864" s="28" t="str">
        <x:v>site and rig qualification</x:v>
      </x:c>
      <x:c r="F864" s="31" t="str"/>
      <x:c r="G864" s="31" t="str"/>
      <x:c r="H864" s="32" t="str"/>
      <x:c r="I864" s="31" t="str"/>
      <x:c r="J864" s="28" t="str">
        <x:f>IF(I864="","OPEN",IF(OR(F864="",G864="",H864=""),"FAIL","PASS"))</x:f>
        <x:v>OPEN</x:v>
      </x:c>
    </x:row>
    <x:row r="865">
      <x:c r="B865" s="28" t="str">
        <x:v>CQ-DA-215-3</x:v>
      </x:c>
      <x:c r="C865" s="28" t="str">
        <x:v>DA-215</x:v>
      </x:c>
      <x:c r="D865" s="28" t="n">
        <x:v>3</x:v>
      </x:c>
      <x:c r="E865" s="28" t="str">
        <x:v>article-interface qualification</x:v>
      </x:c>
      <x:c r="F865" s="31" t="str"/>
      <x:c r="G865" s="31" t="str"/>
      <x:c r="H865" s="32" t="str"/>
      <x:c r="I865" s="31" t="str"/>
      <x:c r="J865" s="28" t="str">
        <x:f>IF(I865="","OPEN",IF(OR(F865="",G865="",H865=""),"FAIL","PASS"))</x:f>
        <x:v>OPEN</x:v>
      </x:c>
    </x:row>
    <x:row r="866">
      <x:c r="B866" s="28" t="str">
        <x:v>CQ-DA-215-4</x:v>
      </x:c>
      <x:c r="C866" s="28" t="str">
        <x:v>DA-215</x:v>
      </x:c>
      <x:c r="D866" s="28" t="n">
        <x:v>4</x:v>
      </x:c>
      <x:c r="E866" s="28" t="str">
        <x:v>incident and rescue qualification</x:v>
      </x:c>
      <x:c r="F866" s="31" t="str"/>
      <x:c r="G866" s="31" t="str"/>
      <x:c r="H866" s="32" t="str"/>
      <x:c r="I866" s="31" t="str"/>
      <x:c r="J866" s="28" t="str">
        <x:f>IF(I866="","OPEN",IF(OR(F866="",G866="",H866=""),"FAIL","PASS"))</x:f>
        <x:v>OPEN</x:v>
      </x:c>
    </x:row>
    <x:row r="867">
      <x:c r="B867" s="28" t="str">
        <x:v>CQ-DA-216-1</x:v>
      </x:c>
      <x:c r="C867" s="28" t="str">
        <x:v>DA-216</x:v>
      </x:c>
      <x:c r="D867" s="28" t="n">
        <x:v>1</x:v>
      </x:c>
      <x:c r="E867" s="28" t="str">
        <x:v>role qualification</x:v>
      </x:c>
      <x:c r="F867" s="31" t="str"/>
      <x:c r="G867" s="31" t="str"/>
      <x:c r="H867" s="32" t="str"/>
      <x:c r="I867" s="31" t="str"/>
      <x:c r="J867" s="28" t="str">
        <x:f>IF(I867="","OPEN",IF(OR(F867="",G867="",H867=""),"FAIL","PASS"))</x:f>
        <x:v>OPEN</x:v>
      </x:c>
    </x:row>
    <x:row r="868">
      <x:c r="B868" s="28" t="str">
        <x:v>CQ-DA-216-2</x:v>
      </x:c>
      <x:c r="C868" s="28" t="str">
        <x:v>DA-216</x:v>
      </x:c>
      <x:c r="D868" s="28" t="n">
        <x:v>2</x:v>
      </x:c>
      <x:c r="E868" s="28" t="str">
        <x:v>site and rig qualification</x:v>
      </x:c>
      <x:c r="F868" s="31" t="str"/>
      <x:c r="G868" s="31" t="str"/>
      <x:c r="H868" s="32" t="str"/>
      <x:c r="I868" s="31" t="str"/>
      <x:c r="J868" s="28" t="str">
        <x:f>IF(I868="","OPEN",IF(OR(F868="",G868="",H868=""),"FAIL","PASS"))</x:f>
        <x:v>OPEN</x:v>
      </x:c>
    </x:row>
    <x:row r="869">
      <x:c r="B869" s="28" t="str">
        <x:v>CQ-DA-216-3</x:v>
      </x:c>
      <x:c r="C869" s="28" t="str">
        <x:v>DA-216</x:v>
      </x:c>
      <x:c r="D869" s="28" t="n">
        <x:v>3</x:v>
      </x:c>
      <x:c r="E869" s="28" t="str">
        <x:v>article-interface qualification</x:v>
      </x:c>
      <x:c r="F869" s="31" t="str"/>
      <x:c r="G869" s="31" t="str"/>
      <x:c r="H869" s="32" t="str"/>
      <x:c r="I869" s="31" t="str"/>
      <x:c r="J869" s="28" t="str">
        <x:f>IF(I869="","OPEN",IF(OR(F869="",G869="",H869=""),"FAIL","PASS"))</x:f>
        <x:v>OPEN</x:v>
      </x:c>
    </x:row>
    <x:row r="870">
      <x:c r="B870" s="28" t="str">
        <x:v>CQ-DA-216-4</x:v>
      </x:c>
      <x:c r="C870" s="28" t="str">
        <x:v>DA-216</x:v>
      </x:c>
      <x:c r="D870" s="28" t="n">
        <x:v>4</x:v>
      </x:c>
      <x:c r="E870" s="28" t="str">
        <x:v>incident and rescue qualification</x:v>
      </x:c>
      <x:c r="F870" s="31" t="str"/>
      <x:c r="G870" s="31" t="str"/>
      <x:c r="H870" s="32" t="str"/>
      <x:c r="I870" s="31" t="str"/>
      <x:c r="J870" s="28" t="str">
        <x:f>IF(I870="","OPEN",IF(OR(F870="",G870="",H870=""),"FAIL","PASS"))</x:f>
        <x:v>OPEN</x:v>
      </x:c>
    </x:row>
    <x:row r="871">
      <x:c r="B871" s="28" t="str">
        <x:v>CQ-DA-217-1</x:v>
      </x:c>
      <x:c r="C871" s="28" t="str">
        <x:v>DA-217</x:v>
      </x:c>
      <x:c r="D871" s="28" t="n">
        <x:v>1</x:v>
      </x:c>
      <x:c r="E871" s="28" t="str">
        <x:v>role qualification</x:v>
      </x:c>
      <x:c r="F871" s="31" t="str"/>
      <x:c r="G871" s="31" t="str"/>
      <x:c r="H871" s="32" t="str"/>
      <x:c r="I871" s="31" t="str"/>
      <x:c r="J871" s="28" t="str">
        <x:f>IF(I871="","OPEN",IF(OR(F871="",G871="",H871=""),"FAIL","PASS"))</x:f>
        <x:v>OPEN</x:v>
      </x:c>
    </x:row>
    <x:row r="872">
      <x:c r="B872" s="28" t="str">
        <x:v>CQ-DA-217-2</x:v>
      </x:c>
      <x:c r="C872" s="28" t="str">
        <x:v>DA-217</x:v>
      </x:c>
      <x:c r="D872" s="28" t="n">
        <x:v>2</x:v>
      </x:c>
      <x:c r="E872" s="28" t="str">
        <x:v>site and rig qualification</x:v>
      </x:c>
      <x:c r="F872" s="31" t="str"/>
      <x:c r="G872" s="31" t="str"/>
      <x:c r="H872" s="32" t="str"/>
      <x:c r="I872" s="31" t="str"/>
      <x:c r="J872" s="28" t="str">
        <x:f>IF(I872="","OPEN",IF(OR(F872="",G872="",H872=""),"FAIL","PASS"))</x:f>
        <x:v>OPEN</x:v>
      </x:c>
    </x:row>
    <x:row r="873">
      <x:c r="B873" s="28" t="str">
        <x:v>CQ-DA-217-3</x:v>
      </x:c>
      <x:c r="C873" s="28" t="str">
        <x:v>DA-217</x:v>
      </x:c>
      <x:c r="D873" s="28" t="n">
        <x:v>3</x:v>
      </x:c>
      <x:c r="E873" s="28" t="str">
        <x:v>article-interface qualification</x:v>
      </x:c>
      <x:c r="F873" s="31" t="str"/>
      <x:c r="G873" s="31" t="str"/>
      <x:c r="H873" s="32" t="str"/>
      <x:c r="I873" s="31" t="str"/>
      <x:c r="J873" s="28" t="str">
        <x:f>IF(I873="","OPEN",IF(OR(F873="",G873="",H873=""),"FAIL","PASS"))</x:f>
        <x:v>OPEN</x:v>
      </x:c>
    </x:row>
    <x:row r="874">
      <x:c r="B874" s="28" t="str">
        <x:v>CQ-DA-217-4</x:v>
      </x:c>
      <x:c r="C874" s="28" t="str">
        <x:v>DA-217</x:v>
      </x:c>
      <x:c r="D874" s="28" t="n">
        <x:v>4</x:v>
      </x:c>
      <x:c r="E874" s="28" t="str">
        <x:v>incident and rescue qualification</x:v>
      </x:c>
      <x:c r="F874" s="31" t="str"/>
      <x:c r="G874" s="31" t="str"/>
      <x:c r="H874" s="32" t="str"/>
      <x:c r="I874" s="31" t="str"/>
      <x:c r="J874" s="28" t="str">
        <x:f>IF(I874="","OPEN",IF(OR(F874="",G874="",H874=""),"FAIL","PASS"))</x:f>
        <x:v>OPEN</x:v>
      </x:c>
    </x:row>
    <x:row r="875">
      <x:c r="B875" s="28" t="str">
        <x:v>CQ-DA-218-1</x:v>
      </x:c>
      <x:c r="C875" s="28" t="str">
        <x:v>DA-218</x:v>
      </x:c>
      <x:c r="D875" s="28" t="n">
        <x:v>1</x:v>
      </x:c>
      <x:c r="E875" s="28" t="str">
        <x:v>role qualification</x:v>
      </x:c>
      <x:c r="F875" s="31" t="str"/>
      <x:c r="G875" s="31" t="str"/>
      <x:c r="H875" s="32" t="str"/>
      <x:c r="I875" s="31" t="str"/>
      <x:c r="J875" s="28" t="str">
        <x:f>IF(I875="","OPEN",IF(OR(F875="",G875="",H875=""),"FAIL","PASS"))</x:f>
        <x:v>OPEN</x:v>
      </x:c>
    </x:row>
    <x:row r="876">
      <x:c r="B876" s="28" t="str">
        <x:v>CQ-DA-218-2</x:v>
      </x:c>
      <x:c r="C876" s="28" t="str">
        <x:v>DA-218</x:v>
      </x:c>
      <x:c r="D876" s="28" t="n">
        <x:v>2</x:v>
      </x:c>
      <x:c r="E876" s="28" t="str">
        <x:v>site and rig qualification</x:v>
      </x:c>
      <x:c r="F876" s="31" t="str"/>
      <x:c r="G876" s="31" t="str"/>
      <x:c r="H876" s="32" t="str"/>
      <x:c r="I876" s="31" t="str"/>
      <x:c r="J876" s="28" t="str">
        <x:f>IF(I876="","OPEN",IF(OR(F876="",G876="",H876=""),"FAIL","PASS"))</x:f>
        <x:v>OPEN</x:v>
      </x:c>
    </x:row>
    <x:row r="877">
      <x:c r="B877" s="28" t="str">
        <x:v>CQ-DA-218-3</x:v>
      </x:c>
      <x:c r="C877" s="28" t="str">
        <x:v>DA-218</x:v>
      </x:c>
      <x:c r="D877" s="28" t="n">
        <x:v>3</x:v>
      </x:c>
      <x:c r="E877" s="28" t="str">
        <x:v>article-interface qualification</x:v>
      </x:c>
      <x:c r="F877" s="31" t="str"/>
      <x:c r="G877" s="31" t="str"/>
      <x:c r="H877" s="32" t="str"/>
      <x:c r="I877" s="31" t="str"/>
      <x:c r="J877" s="28" t="str">
        <x:f>IF(I877="","OPEN",IF(OR(F877="",G877="",H877=""),"FAIL","PASS"))</x:f>
        <x:v>OPEN</x:v>
      </x:c>
    </x:row>
    <x:row r="878">
      <x:c r="B878" s="28" t="str">
        <x:v>CQ-DA-218-4</x:v>
      </x:c>
      <x:c r="C878" s="28" t="str">
        <x:v>DA-218</x:v>
      </x:c>
      <x:c r="D878" s="28" t="n">
        <x:v>4</x:v>
      </x:c>
      <x:c r="E878" s="28" t="str">
        <x:v>incident and rescue qualification</x:v>
      </x:c>
      <x:c r="F878" s="31" t="str"/>
      <x:c r="G878" s="31" t="str"/>
      <x:c r="H878" s="32" t="str"/>
      <x:c r="I878" s="31" t="str"/>
      <x:c r="J878" s="28" t="str">
        <x:f>IF(I878="","OPEN",IF(OR(F878="",G878="",H878=""),"FAIL","PASS"))</x:f>
        <x:v>OPEN</x:v>
      </x:c>
    </x:row>
    <x:row r="879">
      <x:c r="B879" s="28" t="str">
        <x:v>CQ-DA-219-1</x:v>
      </x:c>
      <x:c r="C879" s="28" t="str">
        <x:v>DA-219</x:v>
      </x:c>
      <x:c r="D879" s="28" t="n">
        <x:v>1</x:v>
      </x:c>
      <x:c r="E879" s="28" t="str">
        <x:v>role qualification</x:v>
      </x:c>
      <x:c r="F879" s="31" t="str"/>
      <x:c r="G879" s="31" t="str"/>
      <x:c r="H879" s="32" t="str"/>
      <x:c r="I879" s="31" t="str"/>
      <x:c r="J879" s="28" t="str">
        <x:f>IF(I879="","OPEN",IF(OR(F879="",G879="",H879=""),"FAIL","PASS"))</x:f>
        <x:v>OPEN</x:v>
      </x:c>
    </x:row>
    <x:row r="880">
      <x:c r="B880" s="28" t="str">
        <x:v>CQ-DA-219-2</x:v>
      </x:c>
      <x:c r="C880" s="28" t="str">
        <x:v>DA-219</x:v>
      </x:c>
      <x:c r="D880" s="28" t="n">
        <x:v>2</x:v>
      </x:c>
      <x:c r="E880" s="28" t="str">
        <x:v>site and rig qualification</x:v>
      </x:c>
      <x:c r="F880" s="31" t="str"/>
      <x:c r="G880" s="31" t="str"/>
      <x:c r="H880" s="32" t="str"/>
      <x:c r="I880" s="31" t="str"/>
      <x:c r="J880" s="28" t="str">
        <x:f>IF(I880="","OPEN",IF(OR(F880="",G880="",H880=""),"FAIL","PASS"))</x:f>
        <x:v>OPEN</x:v>
      </x:c>
    </x:row>
    <x:row r="881">
      <x:c r="B881" s="28" t="str">
        <x:v>CQ-DA-219-3</x:v>
      </x:c>
      <x:c r="C881" s="28" t="str">
        <x:v>DA-219</x:v>
      </x:c>
      <x:c r="D881" s="28" t="n">
        <x:v>3</x:v>
      </x:c>
      <x:c r="E881" s="28" t="str">
        <x:v>article-interface qualification</x:v>
      </x:c>
      <x:c r="F881" s="31" t="str"/>
      <x:c r="G881" s="31" t="str"/>
      <x:c r="H881" s="32" t="str"/>
      <x:c r="I881" s="31" t="str"/>
      <x:c r="J881" s="28" t="str">
        <x:f>IF(I881="","OPEN",IF(OR(F881="",G881="",H881=""),"FAIL","PASS"))</x:f>
        <x:v>OPEN</x:v>
      </x:c>
    </x:row>
    <x:row r="882">
      <x:c r="B882" s="28" t="str">
        <x:v>CQ-DA-219-4</x:v>
      </x:c>
      <x:c r="C882" s="28" t="str">
        <x:v>DA-219</x:v>
      </x:c>
      <x:c r="D882" s="28" t="n">
        <x:v>4</x:v>
      </x:c>
      <x:c r="E882" s="28" t="str">
        <x:v>incident and rescue qualification</x:v>
      </x:c>
      <x:c r="F882" s="31" t="str"/>
      <x:c r="G882" s="31" t="str"/>
      <x:c r="H882" s="32" t="str"/>
      <x:c r="I882" s="31" t="str"/>
      <x:c r="J882" s="28" t="str">
        <x:f>IF(I882="","OPEN",IF(OR(F882="",G882="",H882=""),"FAIL","PASS"))</x:f>
        <x:v>OPEN</x:v>
      </x:c>
    </x:row>
    <x:row r="883">
      <x:c r="B883" s="28" t="str">
        <x:v>CQ-DA-220-1</x:v>
      </x:c>
      <x:c r="C883" s="28" t="str">
        <x:v>DA-220</x:v>
      </x:c>
      <x:c r="D883" s="28" t="n">
        <x:v>1</x:v>
      </x:c>
      <x:c r="E883" s="28" t="str">
        <x:v>role qualification</x:v>
      </x:c>
      <x:c r="F883" s="31" t="str"/>
      <x:c r="G883" s="31" t="str"/>
      <x:c r="H883" s="32" t="str"/>
      <x:c r="I883" s="31" t="str"/>
      <x:c r="J883" s="28" t="str">
        <x:f>IF(I883="","OPEN",IF(OR(F883="",G883="",H883=""),"FAIL","PASS"))</x:f>
        <x:v>OPEN</x:v>
      </x:c>
    </x:row>
    <x:row r="884">
      <x:c r="B884" s="28" t="str">
        <x:v>CQ-DA-220-2</x:v>
      </x:c>
      <x:c r="C884" s="28" t="str">
        <x:v>DA-220</x:v>
      </x:c>
      <x:c r="D884" s="28" t="n">
        <x:v>2</x:v>
      </x:c>
      <x:c r="E884" s="28" t="str">
        <x:v>site and rig qualification</x:v>
      </x:c>
      <x:c r="F884" s="31" t="str"/>
      <x:c r="G884" s="31" t="str"/>
      <x:c r="H884" s="32" t="str"/>
      <x:c r="I884" s="31" t="str"/>
      <x:c r="J884" s="28" t="str">
        <x:f>IF(I884="","OPEN",IF(OR(F884="",G884="",H884=""),"FAIL","PASS"))</x:f>
        <x:v>OPEN</x:v>
      </x:c>
    </x:row>
    <x:row r="885">
      <x:c r="B885" s="28" t="str">
        <x:v>CQ-DA-220-3</x:v>
      </x:c>
      <x:c r="C885" s="28" t="str">
        <x:v>DA-220</x:v>
      </x:c>
      <x:c r="D885" s="28" t="n">
        <x:v>3</x:v>
      </x:c>
      <x:c r="E885" s="28" t="str">
        <x:v>article-interface qualification</x:v>
      </x:c>
      <x:c r="F885" s="31" t="str"/>
      <x:c r="G885" s="31" t="str"/>
      <x:c r="H885" s="32" t="str"/>
      <x:c r="I885" s="31" t="str"/>
      <x:c r="J885" s="28" t="str">
        <x:f>IF(I885="","OPEN",IF(OR(F885="",G885="",H885=""),"FAIL","PASS"))</x:f>
        <x:v>OPEN</x:v>
      </x:c>
    </x:row>
    <x:row r="886">
      <x:c r="B886" s="28" t="str">
        <x:v>CQ-DA-220-4</x:v>
      </x:c>
      <x:c r="C886" s="28" t="str">
        <x:v>DA-220</x:v>
      </x:c>
      <x:c r="D886" s="28" t="n">
        <x:v>4</x:v>
      </x:c>
      <x:c r="E886" s="28" t="str">
        <x:v>incident and rescue qualification</x:v>
      </x:c>
      <x:c r="F886" s="31" t="str"/>
      <x:c r="G886" s="31" t="str"/>
      <x:c r="H886" s="32" t="str"/>
      <x:c r="I886" s="31" t="str"/>
      <x:c r="J886" s="28" t="str">
        <x:f>IF(I886="","OPEN",IF(OR(F886="",G886="",H886=""),"FAIL","PASS"))</x:f>
        <x:v>OPEN</x:v>
      </x:c>
    </x:row>
    <x:row r="887">
      <x:c r="B887" s="28" t="str">
        <x:v>CQ-DA-221-1</x:v>
      </x:c>
      <x:c r="C887" s="28" t="str">
        <x:v>DA-221</x:v>
      </x:c>
      <x:c r="D887" s="28" t="n">
        <x:v>1</x:v>
      </x:c>
      <x:c r="E887" s="28" t="str">
        <x:v>role qualification</x:v>
      </x:c>
      <x:c r="F887" s="31" t="str"/>
      <x:c r="G887" s="31" t="str"/>
      <x:c r="H887" s="32" t="str"/>
      <x:c r="I887" s="31" t="str"/>
      <x:c r="J887" s="28" t="str">
        <x:f>IF(I887="","OPEN",IF(OR(F887="",G887="",H887=""),"FAIL","PASS"))</x:f>
        <x:v>OPEN</x:v>
      </x:c>
    </x:row>
    <x:row r="888">
      <x:c r="B888" s="28" t="str">
        <x:v>CQ-DA-221-2</x:v>
      </x:c>
      <x:c r="C888" s="28" t="str">
        <x:v>DA-221</x:v>
      </x:c>
      <x:c r="D888" s="28" t="n">
        <x:v>2</x:v>
      </x:c>
      <x:c r="E888" s="28" t="str">
        <x:v>site and rig qualification</x:v>
      </x:c>
      <x:c r="F888" s="31" t="str"/>
      <x:c r="G888" s="31" t="str"/>
      <x:c r="H888" s="32" t="str"/>
      <x:c r="I888" s="31" t="str"/>
      <x:c r="J888" s="28" t="str">
        <x:f>IF(I888="","OPEN",IF(OR(F888="",G888="",H888=""),"FAIL","PASS"))</x:f>
        <x:v>OPEN</x:v>
      </x:c>
    </x:row>
    <x:row r="889">
      <x:c r="B889" s="28" t="str">
        <x:v>CQ-DA-221-3</x:v>
      </x:c>
      <x:c r="C889" s="28" t="str">
        <x:v>DA-221</x:v>
      </x:c>
      <x:c r="D889" s="28" t="n">
        <x:v>3</x:v>
      </x:c>
      <x:c r="E889" s="28" t="str">
        <x:v>article-interface qualification</x:v>
      </x:c>
      <x:c r="F889" s="31" t="str"/>
      <x:c r="G889" s="31" t="str"/>
      <x:c r="H889" s="32" t="str"/>
      <x:c r="I889" s="31" t="str"/>
      <x:c r="J889" s="28" t="str">
        <x:f>IF(I889="","OPEN",IF(OR(F889="",G889="",H889=""),"FAIL","PASS"))</x:f>
        <x:v>OPEN</x:v>
      </x:c>
    </x:row>
    <x:row r="890">
      <x:c r="B890" s="28" t="str">
        <x:v>CQ-DA-221-4</x:v>
      </x:c>
      <x:c r="C890" s="28" t="str">
        <x:v>DA-221</x:v>
      </x:c>
      <x:c r="D890" s="28" t="n">
        <x:v>4</x:v>
      </x:c>
      <x:c r="E890" s="28" t="str">
        <x:v>incident and rescue qualification</x:v>
      </x:c>
      <x:c r="F890" s="31" t="str"/>
      <x:c r="G890" s="31" t="str"/>
      <x:c r="H890" s="32" t="str"/>
      <x:c r="I890" s="31" t="str"/>
      <x:c r="J890" s="28" t="str">
        <x:f>IF(I890="","OPEN",IF(OR(F890="",G890="",H890=""),"FAIL","PASS"))</x:f>
        <x:v>OPEN</x:v>
      </x:c>
    </x:row>
    <x:row r="891">
      <x:c r="B891" s="28" t="str">
        <x:v>CQ-DA-222-1</x:v>
      </x:c>
      <x:c r="C891" s="28" t="str">
        <x:v>DA-222</x:v>
      </x:c>
      <x:c r="D891" s="28" t="n">
        <x:v>1</x:v>
      </x:c>
      <x:c r="E891" s="28" t="str">
        <x:v>role qualification</x:v>
      </x:c>
      <x:c r="F891" s="31" t="str"/>
      <x:c r="G891" s="31" t="str"/>
      <x:c r="H891" s="32" t="str"/>
      <x:c r="I891" s="31" t="str"/>
      <x:c r="J891" s="28" t="str">
        <x:f>IF(I891="","OPEN",IF(OR(F891="",G891="",H891=""),"FAIL","PASS"))</x:f>
        <x:v>OPEN</x:v>
      </x:c>
    </x:row>
    <x:row r="892">
      <x:c r="B892" s="28" t="str">
        <x:v>CQ-DA-222-2</x:v>
      </x:c>
      <x:c r="C892" s="28" t="str">
        <x:v>DA-222</x:v>
      </x:c>
      <x:c r="D892" s="28" t="n">
        <x:v>2</x:v>
      </x:c>
      <x:c r="E892" s="28" t="str">
        <x:v>site and rig qualification</x:v>
      </x:c>
      <x:c r="F892" s="31" t="str"/>
      <x:c r="G892" s="31" t="str"/>
      <x:c r="H892" s="32" t="str"/>
      <x:c r="I892" s="31" t="str"/>
      <x:c r="J892" s="28" t="str">
        <x:f>IF(I892="","OPEN",IF(OR(F892="",G892="",H892=""),"FAIL","PASS"))</x:f>
        <x:v>OPEN</x:v>
      </x:c>
    </x:row>
    <x:row r="893">
      <x:c r="B893" s="28" t="str">
        <x:v>CQ-DA-222-3</x:v>
      </x:c>
      <x:c r="C893" s="28" t="str">
        <x:v>DA-222</x:v>
      </x:c>
      <x:c r="D893" s="28" t="n">
        <x:v>3</x:v>
      </x:c>
      <x:c r="E893" s="28" t="str">
        <x:v>article-interface qualification</x:v>
      </x:c>
      <x:c r="F893" s="31" t="str"/>
      <x:c r="G893" s="31" t="str"/>
      <x:c r="H893" s="32" t="str"/>
      <x:c r="I893" s="31" t="str"/>
      <x:c r="J893" s="28" t="str">
        <x:f>IF(I893="","OPEN",IF(OR(F893="",G893="",H893=""),"FAIL","PASS"))</x:f>
        <x:v>OPEN</x:v>
      </x:c>
    </x:row>
    <x:row r="894">
      <x:c r="B894" s="28" t="str">
        <x:v>CQ-DA-222-4</x:v>
      </x:c>
      <x:c r="C894" s="28" t="str">
        <x:v>DA-222</x:v>
      </x:c>
      <x:c r="D894" s="28" t="n">
        <x:v>4</x:v>
      </x:c>
      <x:c r="E894" s="28" t="str">
        <x:v>incident and rescue qualification</x:v>
      </x:c>
      <x:c r="F894" s="31" t="str"/>
      <x:c r="G894" s="31" t="str"/>
      <x:c r="H894" s="32" t="str"/>
      <x:c r="I894" s="31" t="str"/>
      <x:c r="J894" s="28" t="str">
        <x:f>IF(I894="","OPEN",IF(OR(F894="",G894="",H894=""),"FAIL","PASS"))</x:f>
        <x:v>OPEN</x:v>
      </x:c>
    </x:row>
    <x:row r="895">
      <x:c r="B895" s="28" t="str">
        <x:v>CQ-DA-223-1</x:v>
      </x:c>
      <x:c r="C895" s="28" t="str">
        <x:v>DA-223</x:v>
      </x:c>
      <x:c r="D895" s="28" t="n">
        <x:v>1</x:v>
      </x:c>
      <x:c r="E895" s="28" t="str">
        <x:v>role qualification</x:v>
      </x:c>
      <x:c r="F895" s="31" t="str"/>
      <x:c r="G895" s="31" t="str"/>
      <x:c r="H895" s="32" t="str"/>
      <x:c r="I895" s="31" t="str"/>
      <x:c r="J895" s="28" t="str">
        <x:f>IF(I895="","OPEN",IF(OR(F895="",G895="",H895=""),"FAIL","PASS"))</x:f>
        <x:v>OPEN</x:v>
      </x:c>
    </x:row>
    <x:row r="896">
      <x:c r="B896" s="28" t="str">
        <x:v>CQ-DA-223-2</x:v>
      </x:c>
      <x:c r="C896" s="28" t="str">
        <x:v>DA-223</x:v>
      </x:c>
      <x:c r="D896" s="28" t="n">
        <x:v>2</x:v>
      </x:c>
      <x:c r="E896" s="28" t="str">
        <x:v>site and rig qualification</x:v>
      </x:c>
      <x:c r="F896" s="31" t="str"/>
      <x:c r="G896" s="31" t="str"/>
      <x:c r="H896" s="32" t="str"/>
      <x:c r="I896" s="31" t="str"/>
      <x:c r="J896" s="28" t="str">
        <x:f>IF(I896="","OPEN",IF(OR(F896="",G896="",H896=""),"FAIL","PASS"))</x:f>
        <x:v>OPEN</x:v>
      </x:c>
    </x:row>
    <x:row r="897">
      <x:c r="B897" s="28" t="str">
        <x:v>CQ-DA-223-3</x:v>
      </x:c>
      <x:c r="C897" s="28" t="str">
        <x:v>DA-223</x:v>
      </x:c>
      <x:c r="D897" s="28" t="n">
        <x:v>3</x:v>
      </x:c>
      <x:c r="E897" s="28" t="str">
        <x:v>article-interface qualification</x:v>
      </x:c>
      <x:c r="F897" s="31" t="str"/>
      <x:c r="G897" s="31" t="str"/>
      <x:c r="H897" s="32" t="str"/>
      <x:c r="I897" s="31" t="str"/>
      <x:c r="J897" s="28" t="str">
        <x:f>IF(I897="","OPEN",IF(OR(F897="",G897="",H897=""),"FAIL","PASS"))</x:f>
        <x:v>OPEN</x:v>
      </x:c>
    </x:row>
    <x:row r="898">
      <x:c r="B898" s="28" t="str">
        <x:v>CQ-DA-223-4</x:v>
      </x:c>
      <x:c r="C898" s="28" t="str">
        <x:v>DA-223</x:v>
      </x:c>
      <x:c r="D898" s="28" t="n">
        <x:v>4</x:v>
      </x:c>
      <x:c r="E898" s="28" t="str">
        <x:v>incident and rescue qualification</x:v>
      </x:c>
      <x:c r="F898" s="31" t="str"/>
      <x:c r="G898" s="31" t="str"/>
      <x:c r="H898" s="32" t="str"/>
      <x:c r="I898" s="31" t="str"/>
      <x:c r="J898" s="28" t="str">
        <x:f>IF(I898="","OPEN",IF(OR(F898="",G898="",H898=""),"FAIL","PASS"))</x:f>
        <x:v>OPEN</x:v>
      </x:c>
    </x:row>
    <x:row r="899">
      <x:c r="B899" s="28" t="str">
        <x:v>CQ-DA-224-1</x:v>
      </x:c>
      <x:c r="C899" s="28" t="str">
        <x:v>DA-224</x:v>
      </x:c>
      <x:c r="D899" s="28" t="n">
        <x:v>1</x:v>
      </x:c>
      <x:c r="E899" s="28" t="str">
        <x:v>role qualification</x:v>
      </x:c>
      <x:c r="F899" s="31" t="str"/>
      <x:c r="G899" s="31" t="str"/>
      <x:c r="H899" s="32" t="str"/>
      <x:c r="I899" s="31" t="str"/>
      <x:c r="J899" s="28" t="str">
        <x:f>IF(I899="","OPEN",IF(OR(F899="",G899="",H899=""),"FAIL","PASS"))</x:f>
        <x:v>OPEN</x:v>
      </x:c>
    </x:row>
    <x:row r="900">
      <x:c r="B900" s="28" t="str">
        <x:v>CQ-DA-224-2</x:v>
      </x:c>
      <x:c r="C900" s="28" t="str">
        <x:v>DA-224</x:v>
      </x:c>
      <x:c r="D900" s="28" t="n">
        <x:v>2</x:v>
      </x:c>
      <x:c r="E900" s="28" t="str">
        <x:v>site and rig qualification</x:v>
      </x:c>
      <x:c r="F900" s="31" t="str"/>
      <x:c r="G900" s="31" t="str"/>
      <x:c r="H900" s="32" t="str"/>
      <x:c r="I900" s="31" t="str"/>
      <x:c r="J900" s="28" t="str">
        <x:f>IF(I900="","OPEN",IF(OR(F900="",G900="",H900=""),"FAIL","PASS"))</x:f>
        <x:v>OPEN</x:v>
      </x:c>
    </x:row>
    <x:row r="901">
      <x:c r="B901" s="28" t="str">
        <x:v>CQ-DA-224-3</x:v>
      </x:c>
      <x:c r="C901" s="28" t="str">
        <x:v>DA-224</x:v>
      </x:c>
      <x:c r="D901" s="28" t="n">
        <x:v>3</x:v>
      </x:c>
      <x:c r="E901" s="28" t="str">
        <x:v>article-interface qualification</x:v>
      </x:c>
      <x:c r="F901" s="31" t="str"/>
      <x:c r="G901" s="31" t="str"/>
      <x:c r="H901" s="32" t="str"/>
      <x:c r="I901" s="31" t="str"/>
      <x:c r="J901" s="28" t="str">
        <x:f>IF(I901="","OPEN",IF(OR(F901="",G901="",H901=""),"FAIL","PASS"))</x:f>
        <x:v>OPEN</x:v>
      </x:c>
    </x:row>
    <x:row r="902">
      <x:c r="B902" s="28" t="str">
        <x:v>CQ-DA-224-4</x:v>
      </x:c>
      <x:c r="C902" s="28" t="str">
        <x:v>DA-224</x:v>
      </x:c>
      <x:c r="D902" s="28" t="n">
        <x:v>4</x:v>
      </x:c>
      <x:c r="E902" s="28" t="str">
        <x:v>incident and rescue qualification</x:v>
      </x:c>
      <x:c r="F902" s="31" t="str"/>
      <x:c r="G902" s="31" t="str"/>
      <x:c r="H902" s="32" t="str"/>
      <x:c r="I902" s="31" t="str"/>
      <x:c r="J902" s="28" t="str">
        <x:f>IF(I902="","OPEN",IF(OR(F902="",G902="",H902=""),"FAIL","PASS"))</x:f>
        <x:v>OPEN</x:v>
      </x:c>
    </x:row>
    <x:row r="903">
      <x:c r="B903" s="28" t="str">
        <x:v>CQ-DA-225-1</x:v>
      </x:c>
      <x:c r="C903" s="28" t="str">
        <x:v>DA-225</x:v>
      </x:c>
      <x:c r="D903" s="28" t="n">
        <x:v>1</x:v>
      </x:c>
      <x:c r="E903" s="28" t="str">
        <x:v>role qualification</x:v>
      </x:c>
      <x:c r="F903" s="31" t="str"/>
      <x:c r="G903" s="31" t="str"/>
      <x:c r="H903" s="32" t="str"/>
      <x:c r="I903" s="31" t="str"/>
      <x:c r="J903" s="28" t="str">
        <x:f>IF(I903="","OPEN",IF(OR(F903="",G903="",H903=""),"FAIL","PASS"))</x:f>
        <x:v>OPEN</x:v>
      </x:c>
    </x:row>
    <x:row r="904">
      <x:c r="B904" s="28" t="str">
        <x:v>CQ-DA-225-2</x:v>
      </x:c>
      <x:c r="C904" s="28" t="str">
        <x:v>DA-225</x:v>
      </x:c>
      <x:c r="D904" s="28" t="n">
        <x:v>2</x:v>
      </x:c>
      <x:c r="E904" s="28" t="str">
        <x:v>site and rig qualification</x:v>
      </x:c>
      <x:c r="F904" s="31" t="str"/>
      <x:c r="G904" s="31" t="str"/>
      <x:c r="H904" s="32" t="str"/>
      <x:c r="I904" s="31" t="str"/>
      <x:c r="J904" s="28" t="str">
        <x:f>IF(I904="","OPEN",IF(OR(F904="",G904="",H904=""),"FAIL","PASS"))</x:f>
        <x:v>OPEN</x:v>
      </x:c>
    </x:row>
    <x:row r="905">
      <x:c r="B905" s="28" t="str">
        <x:v>CQ-DA-225-3</x:v>
      </x:c>
      <x:c r="C905" s="28" t="str">
        <x:v>DA-225</x:v>
      </x:c>
      <x:c r="D905" s="28" t="n">
        <x:v>3</x:v>
      </x:c>
      <x:c r="E905" s="28" t="str">
        <x:v>article-interface qualification</x:v>
      </x:c>
      <x:c r="F905" s="31" t="str"/>
      <x:c r="G905" s="31" t="str"/>
      <x:c r="H905" s="32" t="str"/>
      <x:c r="I905" s="31" t="str"/>
      <x:c r="J905" s="28" t="str">
        <x:f>IF(I905="","OPEN",IF(OR(F905="",G905="",H905=""),"FAIL","PASS"))</x:f>
        <x:v>OPEN</x:v>
      </x:c>
    </x:row>
    <x:row r="906">
      <x:c r="B906" s="28" t="str">
        <x:v>CQ-DA-225-4</x:v>
      </x:c>
      <x:c r="C906" s="28" t="str">
        <x:v>DA-225</x:v>
      </x:c>
      <x:c r="D906" s="28" t="n">
        <x:v>4</x:v>
      </x:c>
      <x:c r="E906" s="28" t="str">
        <x:v>incident and rescue qualification</x:v>
      </x:c>
      <x:c r="F906" s="31" t="str"/>
      <x:c r="G906" s="31" t="str"/>
      <x:c r="H906" s="32" t="str"/>
      <x:c r="I906" s="31" t="str"/>
      <x:c r="J906" s="28" t="str">
        <x:f>IF(I906="","OPEN",IF(OR(F906="",G906="",H906=""),"FAIL","PASS"))</x:f>
        <x:v>OPEN</x:v>
      </x:c>
    </x:row>
    <x:row r="907">
      <x:c r="B907" s="28" t="str">
        <x:v>CQ-DA-226-1</x:v>
      </x:c>
      <x:c r="C907" s="28" t="str">
        <x:v>DA-226</x:v>
      </x:c>
      <x:c r="D907" s="28" t="n">
        <x:v>1</x:v>
      </x:c>
      <x:c r="E907" s="28" t="str">
        <x:v>role qualification</x:v>
      </x:c>
      <x:c r="F907" s="31" t="str"/>
      <x:c r="G907" s="31" t="str"/>
      <x:c r="H907" s="32" t="str"/>
      <x:c r="I907" s="31" t="str"/>
      <x:c r="J907" s="28" t="str">
        <x:f>IF(I907="","OPEN",IF(OR(F907="",G907="",H907=""),"FAIL","PASS"))</x:f>
        <x:v>OPEN</x:v>
      </x:c>
    </x:row>
    <x:row r="908">
      <x:c r="B908" s="28" t="str">
        <x:v>CQ-DA-226-2</x:v>
      </x:c>
      <x:c r="C908" s="28" t="str">
        <x:v>DA-226</x:v>
      </x:c>
      <x:c r="D908" s="28" t="n">
        <x:v>2</x:v>
      </x:c>
      <x:c r="E908" s="28" t="str">
        <x:v>site and rig qualification</x:v>
      </x:c>
      <x:c r="F908" s="31" t="str"/>
      <x:c r="G908" s="31" t="str"/>
      <x:c r="H908" s="32" t="str"/>
      <x:c r="I908" s="31" t="str"/>
      <x:c r="J908" s="28" t="str">
        <x:f>IF(I908="","OPEN",IF(OR(F908="",G908="",H908=""),"FAIL","PASS"))</x:f>
        <x:v>OPEN</x:v>
      </x:c>
    </x:row>
    <x:row r="909">
      <x:c r="B909" s="28" t="str">
        <x:v>CQ-DA-226-3</x:v>
      </x:c>
      <x:c r="C909" s="28" t="str">
        <x:v>DA-226</x:v>
      </x:c>
      <x:c r="D909" s="28" t="n">
        <x:v>3</x:v>
      </x:c>
      <x:c r="E909" s="28" t="str">
        <x:v>article-interface qualification</x:v>
      </x:c>
      <x:c r="F909" s="31" t="str"/>
      <x:c r="G909" s="31" t="str"/>
      <x:c r="H909" s="32" t="str"/>
      <x:c r="I909" s="31" t="str"/>
      <x:c r="J909" s="28" t="str">
        <x:f>IF(I909="","OPEN",IF(OR(F909="",G909="",H909=""),"FAIL","PASS"))</x:f>
        <x:v>OPEN</x:v>
      </x:c>
    </x:row>
    <x:row r="910">
      <x:c r="B910" s="28" t="str">
        <x:v>CQ-DA-226-4</x:v>
      </x:c>
      <x:c r="C910" s="28" t="str">
        <x:v>DA-226</x:v>
      </x:c>
      <x:c r="D910" s="28" t="n">
        <x:v>4</x:v>
      </x:c>
      <x:c r="E910" s="28" t="str">
        <x:v>incident and rescue qualification</x:v>
      </x:c>
      <x:c r="F910" s="31" t="str"/>
      <x:c r="G910" s="31" t="str"/>
      <x:c r="H910" s="32" t="str"/>
      <x:c r="I910" s="31" t="str"/>
      <x:c r="J910" s="28" t="str">
        <x:f>IF(I910="","OPEN",IF(OR(F910="",G910="",H910=""),"FAIL","PASS"))</x:f>
        <x:v>OPEN</x:v>
      </x:c>
    </x:row>
    <x:row r="911">
      <x:c r="B911" s="28" t="str">
        <x:v>CQ-DA-227-1</x:v>
      </x:c>
      <x:c r="C911" s="28" t="str">
        <x:v>DA-227</x:v>
      </x:c>
      <x:c r="D911" s="28" t="n">
        <x:v>1</x:v>
      </x:c>
      <x:c r="E911" s="28" t="str">
        <x:v>role qualification</x:v>
      </x:c>
      <x:c r="F911" s="31" t="str"/>
      <x:c r="G911" s="31" t="str"/>
      <x:c r="H911" s="32" t="str"/>
      <x:c r="I911" s="31" t="str"/>
      <x:c r="J911" s="28" t="str">
        <x:f>IF(I911="","OPEN",IF(OR(F911="",G911="",H911=""),"FAIL","PASS"))</x:f>
        <x:v>OPEN</x:v>
      </x:c>
    </x:row>
    <x:row r="912">
      <x:c r="B912" s="28" t="str">
        <x:v>CQ-DA-227-2</x:v>
      </x:c>
      <x:c r="C912" s="28" t="str">
        <x:v>DA-227</x:v>
      </x:c>
      <x:c r="D912" s="28" t="n">
        <x:v>2</x:v>
      </x:c>
      <x:c r="E912" s="28" t="str">
        <x:v>site and rig qualification</x:v>
      </x:c>
      <x:c r="F912" s="31" t="str"/>
      <x:c r="G912" s="31" t="str"/>
      <x:c r="H912" s="32" t="str"/>
      <x:c r="I912" s="31" t="str"/>
      <x:c r="J912" s="28" t="str">
        <x:f>IF(I912="","OPEN",IF(OR(F912="",G912="",H912=""),"FAIL","PASS"))</x:f>
        <x:v>OPEN</x:v>
      </x:c>
    </x:row>
    <x:row r="913">
      <x:c r="B913" s="28" t="str">
        <x:v>CQ-DA-227-3</x:v>
      </x:c>
      <x:c r="C913" s="28" t="str">
        <x:v>DA-227</x:v>
      </x:c>
      <x:c r="D913" s="28" t="n">
        <x:v>3</x:v>
      </x:c>
      <x:c r="E913" s="28" t="str">
        <x:v>article-interface qualification</x:v>
      </x:c>
      <x:c r="F913" s="31" t="str"/>
      <x:c r="G913" s="31" t="str"/>
      <x:c r="H913" s="32" t="str"/>
      <x:c r="I913" s="31" t="str"/>
      <x:c r="J913" s="28" t="str">
        <x:f>IF(I913="","OPEN",IF(OR(F913="",G913="",H913=""),"FAIL","PASS"))</x:f>
        <x:v>OPEN</x:v>
      </x:c>
    </x:row>
    <x:row r="914">
      <x:c r="B914" s="28" t="str">
        <x:v>CQ-DA-227-4</x:v>
      </x:c>
      <x:c r="C914" s="28" t="str">
        <x:v>DA-227</x:v>
      </x:c>
      <x:c r="D914" s="28" t="n">
        <x:v>4</x:v>
      </x:c>
      <x:c r="E914" s="28" t="str">
        <x:v>incident and rescue qualification</x:v>
      </x:c>
      <x:c r="F914" s="31" t="str"/>
      <x:c r="G914" s="31" t="str"/>
      <x:c r="H914" s="32" t="str"/>
      <x:c r="I914" s="31" t="str"/>
      <x:c r="J914" s="28" t="str">
        <x:f>IF(I914="","OPEN",IF(OR(F914="",G914="",H914=""),"FAIL","PASS"))</x:f>
        <x:v>OPEN</x:v>
      </x:c>
    </x:row>
    <x:row r="915">
      <x:c r="B915" s="28" t="str">
        <x:v>CQ-DA-228-1</x:v>
      </x:c>
      <x:c r="C915" s="28" t="str">
        <x:v>DA-228</x:v>
      </x:c>
      <x:c r="D915" s="28" t="n">
        <x:v>1</x:v>
      </x:c>
      <x:c r="E915" s="28" t="str">
        <x:v>role qualification</x:v>
      </x:c>
      <x:c r="F915" s="31" t="str"/>
      <x:c r="G915" s="31" t="str"/>
      <x:c r="H915" s="32" t="str"/>
      <x:c r="I915" s="31" t="str"/>
      <x:c r="J915" s="28" t="str">
        <x:f>IF(I915="","OPEN",IF(OR(F915="",G915="",H915=""),"FAIL","PASS"))</x:f>
        <x:v>OPEN</x:v>
      </x:c>
    </x:row>
    <x:row r="916">
      <x:c r="B916" s="28" t="str">
        <x:v>CQ-DA-228-2</x:v>
      </x:c>
      <x:c r="C916" s="28" t="str">
        <x:v>DA-228</x:v>
      </x:c>
      <x:c r="D916" s="28" t="n">
        <x:v>2</x:v>
      </x:c>
      <x:c r="E916" s="28" t="str">
        <x:v>site and rig qualification</x:v>
      </x:c>
      <x:c r="F916" s="31" t="str"/>
      <x:c r="G916" s="31" t="str"/>
      <x:c r="H916" s="32" t="str"/>
      <x:c r="I916" s="31" t="str"/>
      <x:c r="J916" s="28" t="str">
        <x:f>IF(I916="","OPEN",IF(OR(F916="",G916="",H916=""),"FAIL","PASS"))</x:f>
        <x:v>OPEN</x:v>
      </x:c>
    </x:row>
    <x:row r="917">
      <x:c r="B917" s="28" t="str">
        <x:v>CQ-DA-228-3</x:v>
      </x:c>
      <x:c r="C917" s="28" t="str">
        <x:v>DA-228</x:v>
      </x:c>
      <x:c r="D917" s="28" t="n">
        <x:v>3</x:v>
      </x:c>
      <x:c r="E917" s="28" t="str">
        <x:v>article-interface qualification</x:v>
      </x:c>
      <x:c r="F917" s="31" t="str"/>
      <x:c r="G917" s="31" t="str"/>
      <x:c r="H917" s="32" t="str"/>
      <x:c r="I917" s="31" t="str"/>
      <x:c r="J917" s="28" t="str">
        <x:f>IF(I917="","OPEN",IF(OR(F917="",G917="",H917=""),"FAIL","PASS"))</x:f>
        <x:v>OPEN</x:v>
      </x:c>
    </x:row>
    <x:row r="918">
      <x:c r="B918" s="28" t="str">
        <x:v>CQ-DA-228-4</x:v>
      </x:c>
      <x:c r="C918" s="28" t="str">
        <x:v>DA-228</x:v>
      </x:c>
      <x:c r="D918" s="28" t="n">
        <x:v>4</x:v>
      </x:c>
      <x:c r="E918" s="28" t="str">
        <x:v>incident and rescue qualification</x:v>
      </x:c>
      <x:c r="F918" s="31" t="str"/>
      <x:c r="G918" s="31" t="str"/>
      <x:c r="H918" s="32" t="str"/>
      <x:c r="I918" s="31" t="str"/>
      <x:c r="J918" s="28" t="str">
        <x:f>IF(I918="","OPEN",IF(OR(F918="",G918="",H918=""),"FAIL","PASS"))</x:f>
        <x:v>OPEN</x:v>
      </x:c>
    </x:row>
    <x:row r="919">
      <x:c r="B919" s="28" t="str">
        <x:v>CQ-DA-229-1</x:v>
      </x:c>
      <x:c r="C919" s="28" t="str">
        <x:v>DA-229</x:v>
      </x:c>
      <x:c r="D919" s="28" t="n">
        <x:v>1</x:v>
      </x:c>
      <x:c r="E919" s="28" t="str">
        <x:v>role qualification</x:v>
      </x:c>
      <x:c r="F919" s="31" t="str"/>
      <x:c r="G919" s="31" t="str"/>
      <x:c r="H919" s="32" t="str"/>
      <x:c r="I919" s="31" t="str"/>
      <x:c r="J919" s="28" t="str">
        <x:f>IF(I919="","OPEN",IF(OR(F919="",G919="",H919=""),"FAIL","PASS"))</x:f>
        <x:v>OPEN</x:v>
      </x:c>
    </x:row>
    <x:row r="920">
      <x:c r="B920" s="28" t="str">
        <x:v>CQ-DA-229-2</x:v>
      </x:c>
      <x:c r="C920" s="28" t="str">
        <x:v>DA-229</x:v>
      </x:c>
      <x:c r="D920" s="28" t="n">
        <x:v>2</x:v>
      </x:c>
      <x:c r="E920" s="28" t="str">
        <x:v>site and rig qualification</x:v>
      </x:c>
      <x:c r="F920" s="31" t="str"/>
      <x:c r="G920" s="31" t="str"/>
      <x:c r="H920" s="32" t="str"/>
      <x:c r="I920" s="31" t="str"/>
      <x:c r="J920" s="28" t="str">
        <x:f>IF(I920="","OPEN",IF(OR(F920="",G920="",H920=""),"FAIL","PASS"))</x:f>
        <x:v>OPEN</x:v>
      </x:c>
    </x:row>
    <x:row r="921">
      <x:c r="B921" s="28" t="str">
        <x:v>CQ-DA-229-3</x:v>
      </x:c>
      <x:c r="C921" s="28" t="str">
        <x:v>DA-229</x:v>
      </x:c>
      <x:c r="D921" s="28" t="n">
        <x:v>3</x:v>
      </x:c>
      <x:c r="E921" s="28" t="str">
        <x:v>article-interface qualification</x:v>
      </x:c>
      <x:c r="F921" s="31" t="str"/>
      <x:c r="G921" s="31" t="str"/>
      <x:c r="H921" s="32" t="str"/>
      <x:c r="I921" s="31" t="str"/>
      <x:c r="J921" s="28" t="str">
        <x:f>IF(I921="","OPEN",IF(OR(F921="",G921="",H921=""),"FAIL","PASS"))</x:f>
        <x:v>OPEN</x:v>
      </x:c>
    </x:row>
    <x:row r="922">
      <x:c r="B922" s="28" t="str">
        <x:v>CQ-DA-229-4</x:v>
      </x:c>
      <x:c r="C922" s="28" t="str">
        <x:v>DA-229</x:v>
      </x:c>
      <x:c r="D922" s="28" t="n">
        <x:v>4</x:v>
      </x:c>
      <x:c r="E922" s="28" t="str">
        <x:v>incident and rescue qualification</x:v>
      </x:c>
      <x:c r="F922" s="31" t="str"/>
      <x:c r="G922" s="31" t="str"/>
      <x:c r="H922" s="32" t="str"/>
      <x:c r="I922" s="31" t="str"/>
      <x:c r="J922" s="28" t="str">
        <x:f>IF(I922="","OPEN",IF(OR(F922="",G922="",H922=""),"FAIL","PASS"))</x:f>
        <x:v>OPEN</x:v>
      </x:c>
    </x:row>
    <x:row r="923">
      <x:c r="B923" s="28" t="str">
        <x:v>CQ-DA-230-1</x:v>
      </x:c>
      <x:c r="C923" s="28" t="str">
        <x:v>DA-230</x:v>
      </x:c>
      <x:c r="D923" s="28" t="n">
        <x:v>1</x:v>
      </x:c>
      <x:c r="E923" s="28" t="str">
        <x:v>role qualification</x:v>
      </x:c>
      <x:c r="F923" s="31" t="str"/>
      <x:c r="G923" s="31" t="str"/>
      <x:c r="H923" s="32" t="str"/>
      <x:c r="I923" s="31" t="str"/>
      <x:c r="J923" s="28" t="str">
        <x:f>IF(I923="","OPEN",IF(OR(F923="",G923="",H923=""),"FAIL","PASS"))</x:f>
        <x:v>OPEN</x:v>
      </x:c>
    </x:row>
    <x:row r="924">
      <x:c r="B924" s="28" t="str">
        <x:v>CQ-DA-230-2</x:v>
      </x:c>
      <x:c r="C924" s="28" t="str">
        <x:v>DA-230</x:v>
      </x:c>
      <x:c r="D924" s="28" t="n">
        <x:v>2</x:v>
      </x:c>
      <x:c r="E924" s="28" t="str">
        <x:v>site and rig qualification</x:v>
      </x:c>
      <x:c r="F924" s="31" t="str"/>
      <x:c r="G924" s="31" t="str"/>
      <x:c r="H924" s="32" t="str"/>
      <x:c r="I924" s="31" t="str"/>
      <x:c r="J924" s="28" t="str">
        <x:f>IF(I924="","OPEN",IF(OR(F924="",G924="",H924=""),"FAIL","PASS"))</x:f>
        <x:v>OPEN</x:v>
      </x:c>
    </x:row>
    <x:row r="925">
      <x:c r="B925" s="28" t="str">
        <x:v>CQ-DA-230-3</x:v>
      </x:c>
      <x:c r="C925" s="28" t="str">
        <x:v>DA-230</x:v>
      </x:c>
      <x:c r="D925" s="28" t="n">
        <x:v>3</x:v>
      </x:c>
      <x:c r="E925" s="28" t="str">
        <x:v>article-interface qualification</x:v>
      </x:c>
      <x:c r="F925" s="31" t="str"/>
      <x:c r="G925" s="31" t="str"/>
      <x:c r="H925" s="32" t="str"/>
      <x:c r="I925" s="31" t="str"/>
      <x:c r="J925" s="28" t="str">
        <x:f>IF(I925="","OPEN",IF(OR(F925="",G925="",H925=""),"FAIL","PASS"))</x:f>
        <x:v>OPEN</x:v>
      </x:c>
    </x:row>
    <x:row r="926">
      <x:c r="B926" s="28" t="str">
        <x:v>CQ-DA-230-4</x:v>
      </x:c>
      <x:c r="C926" s="28" t="str">
        <x:v>DA-230</x:v>
      </x:c>
      <x:c r="D926" s="28" t="n">
        <x:v>4</x:v>
      </x:c>
      <x:c r="E926" s="28" t="str">
        <x:v>incident and rescue qualification</x:v>
      </x:c>
      <x:c r="F926" s="31" t="str"/>
      <x:c r="G926" s="31" t="str"/>
      <x:c r="H926" s="32" t="str"/>
      <x:c r="I926" s="31" t="str"/>
      <x:c r="J926" s="28" t="str">
        <x:f>IF(I926="","OPEN",IF(OR(F926="",G926="",H926=""),"FAIL","PASS"))</x:f>
        <x:v>OPEN</x:v>
      </x:c>
    </x:row>
    <x:row r="927">
      <x:c r="B927" s="28" t="str">
        <x:v>CQ-DA-231-1</x:v>
      </x:c>
      <x:c r="C927" s="28" t="str">
        <x:v>DA-231</x:v>
      </x:c>
      <x:c r="D927" s="28" t="n">
        <x:v>1</x:v>
      </x:c>
      <x:c r="E927" s="28" t="str">
        <x:v>role qualification</x:v>
      </x:c>
      <x:c r="F927" s="31" t="str"/>
      <x:c r="G927" s="31" t="str"/>
      <x:c r="H927" s="32" t="str"/>
      <x:c r="I927" s="31" t="str"/>
      <x:c r="J927" s="28" t="str">
        <x:f>IF(I927="","OPEN",IF(OR(F927="",G927="",H927=""),"FAIL","PASS"))</x:f>
        <x:v>OPEN</x:v>
      </x:c>
    </x:row>
    <x:row r="928">
      <x:c r="B928" s="28" t="str">
        <x:v>CQ-DA-231-2</x:v>
      </x:c>
      <x:c r="C928" s="28" t="str">
        <x:v>DA-231</x:v>
      </x:c>
      <x:c r="D928" s="28" t="n">
        <x:v>2</x:v>
      </x:c>
      <x:c r="E928" s="28" t="str">
        <x:v>site and rig qualification</x:v>
      </x:c>
      <x:c r="F928" s="31" t="str"/>
      <x:c r="G928" s="31" t="str"/>
      <x:c r="H928" s="32" t="str"/>
      <x:c r="I928" s="31" t="str"/>
      <x:c r="J928" s="28" t="str">
        <x:f>IF(I928="","OPEN",IF(OR(F928="",G928="",H928=""),"FAIL","PASS"))</x:f>
        <x:v>OPEN</x:v>
      </x:c>
    </x:row>
    <x:row r="929">
      <x:c r="B929" s="28" t="str">
        <x:v>CQ-DA-231-3</x:v>
      </x:c>
      <x:c r="C929" s="28" t="str">
        <x:v>DA-231</x:v>
      </x:c>
      <x:c r="D929" s="28" t="n">
        <x:v>3</x:v>
      </x:c>
      <x:c r="E929" s="28" t="str">
        <x:v>article-interface qualification</x:v>
      </x:c>
      <x:c r="F929" s="31" t="str"/>
      <x:c r="G929" s="31" t="str"/>
      <x:c r="H929" s="32" t="str"/>
      <x:c r="I929" s="31" t="str"/>
      <x:c r="J929" s="28" t="str">
        <x:f>IF(I929="","OPEN",IF(OR(F929="",G929="",H929=""),"FAIL","PASS"))</x:f>
        <x:v>OPEN</x:v>
      </x:c>
    </x:row>
    <x:row r="930">
      <x:c r="B930" s="28" t="str">
        <x:v>CQ-DA-231-4</x:v>
      </x:c>
      <x:c r="C930" s="28" t="str">
        <x:v>DA-231</x:v>
      </x:c>
      <x:c r="D930" s="28" t="n">
        <x:v>4</x:v>
      </x:c>
      <x:c r="E930" s="28" t="str">
        <x:v>incident and rescue qualification</x:v>
      </x:c>
      <x:c r="F930" s="31" t="str"/>
      <x:c r="G930" s="31" t="str"/>
      <x:c r="H930" s="32" t="str"/>
      <x:c r="I930" s="31" t="str"/>
      <x:c r="J930" s="28" t="str">
        <x:f>IF(I930="","OPEN",IF(OR(F930="",G930="",H930=""),"FAIL","PASS"))</x:f>
        <x:v>OPEN</x:v>
      </x:c>
    </x:row>
    <x:row r="931">
      <x:c r="B931" s="28" t="str">
        <x:v>CQ-DA-232-1</x:v>
      </x:c>
      <x:c r="C931" s="28" t="str">
        <x:v>DA-232</x:v>
      </x:c>
      <x:c r="D931" s="28" t="n">
        <x:v>1</x:v>
      </x:c>
      <x:c r="E931" s="28" t="str">
        <x:v>role qualification</x:v>
      </x:c>
      <x:c r="F931" s="31" t="str"/>
      <x:c r="G931" s="31" t="str"/>
      <x:c r="H931" s="32" t="str"/>
      <x:c r="I931" s="31" t="str"/>
      <x:c r="J931" s="28" t="str">
        <x:f>IF(I931="","OPEN",IF(OR(F931="",G931="",H931=""),"FAIL","PASS"))</x:f>
        <x:v>OPEN</x:v>
      </x:c>
    </x:row>
    <x:row r="932">
      <x:c r="B932" s="28" t="str">
        <x:v>CQ-DA-232-2</x:v>
      </x:c>
      <x:c r="C932" s="28" t="str">
        <x:v>DA-232</x:v>
      </x:c>
      <x:c r="D932" s="28" t="n">
        <x:v>2</x:v>
      </x:c>
      <x:c r="E932" s="28" t="str">
        <x:v>site and rig qualification</x:v>
      </x:c>
      <x:c r="F932" s="31" t="str"/>
      <x:c r="G932" s="31" t="str"/>
      <x:c r="H932" s="32" t="str"/>
      <x:c r="I932" s="31" t="str"/>
      <x:c r="J932" s="28" t="str">
        <x:f>IF(I932="","OPEN",IF(OR(F932="",G932="",H932=""),"FAIL","PASS"))</x:f>
        <x:v>OPEN</x:v>
      </x:c>
    </x:row>
    <x:row r="933">
      <x:c r="B933" s="28" t="str">
        <x:v>CQ-DA-232-3</x:v>
      </x:c>
      <x:c r="C933" s="28" t="str">
        <x:v>DA-232</x:v>
      </x:c>
      <x:c r="D933" s="28" t="n">
        <x:v>3</x:v>
      </x:c>
      <x:c r="E933" s="28" t="str">
        <x:v>article-interface qualification</x:v>
      </x:c>
      <x:c r="F933" s="31" t="str"/>
      <x:c r="G933" s="31" t="str"/>
      <x:c r="H933" s="32" t="str"/>
      <x:c r="I933" s="31" t="str"/>
      <x:c r="J933" s="28" t="str">
        <x:f>IF(I933="","OPEN",IF(OR(F933="",G933="",H933=""),"FAIL","PASS"))</x:f>
        <x:v>OPEN</x:v>
      </x:c>
    </x:row>
    <x:row r="934">
      <x:c r="B934" s="28" t="str">
        <x:v>CQ-DA-232-4</x:v>
      </x:c>
      <x:c r="C934" s="28" t="str">
        <x:v>DA-232</x:v>
      </x:c>
      <x:c r="D934" s="28" t="n">
        <x:v>4</x:v>
      </x:c>
      <x:c r="E934" s="28" t="str">
        <x:v>incident and rescue qualification</x:v>
      </x:c>
      <x:c r="F934" s="31" t="str"/>
      <x:c r="G934" s="31" t="str"/>
      <x:c r="H934" s="32" t="str"/>
      <x:c r="I934" s="31" t="str"/>
      <x:c r="J934" s="28" t="str">
        <x:f>IF(I934="","OPEN",IF(OR(F934="",G934="",H934=""),"FAIL","PASS"))</x:f>
        <x:v>OPEN</x:v>
      </x:c>
    </x:row>
    <x:row r="935">
      <x:c r="B935" s="28" t="str">
        <x:v>CQ-DA-233-1</x:v>
      </x:c>
      <x:c r="C935" s="28" t="str">
        <x:v>DA-233</x:v>
      </x:c>
      <x:c r="D935" s="28" t="n">
        <x:v>1</x:v>
      </x:c>
      <x:c r="E935" s="28" t="str">
        <x:v>role qualification</x:v>
      </x:c>
      <x:c r="F935" s="31" t="str"/>
      <x:c r="G935" s="31" t="str"/>
      <x:c r="H935" s="32" t="str"/>
      <x:c r="I935" s="31" t="str"/>
      <x:c r="J935" s="28" t="str">
        <x:f>IF(I935="","OPEN",IF(OR(F935="",G935="",H935=""),"FAIL","PASS"))</x:f>
        <x:v>OPEN</x:v>
      </x:c>
    </x:row>
    <x:row r="936">
      <x:c r="B936" s="28" t="str">
        <x:v>CQ-DA-233-2</x:v>
      </x:c>
      <x:c r="C936" s="28" t="str">
        <x:v>DA-233</x:v>
      </x:c>
      <x:c r="D936" s="28" t="n">
        <x:v>2</x:v>
      </x:c>
      <x:c r="E936" s="28" t="str">
        <x:v>site and rig qualification</x:v>
      </x:c>
      <x:c r="F936" s="31" t="str"/>
      <x:c r="G936" s="31" t="str"/>
      <x:c r="H936" s="32" t="str"/>
      <x:c r="I936" s="31" t="str"/>
      <x:c r="J936" s="28" t="str">
        <x:f>IF(I936="","OPEN",IF(OR(F936="",G936="",H936=""),"FAIL","PASS"))</x:f>
        <x:v>OPEN</x:v>
      </x:c>
    </x:row>
    <x:row r="937">
      <x:c r="B937" s="28" t="str">
        <x:v>CQ-DA-233-3</x:v>
      </x:c>
      <x:c r="C937" s="28" t="str">
        <x:v>DA-233</x:v>
      </x:c>
      <x:c r="D937" s="28" t="n">
        <x:v>3</x:v>
      </x:c>
      <x:c r="E937" s="28" t="str">
        <x:v>article-interface qualification</x:v>
      </x:c>
      <x:c r="F937" s="31" t="str"/>
      <x:c r="G937" s="31" t="str"/>
      <x:c r="H937" s="32" t="str"/>
      <x:c r="I937" s="31" t="str"/>
      <x:c r="J937" s="28" t="str">
        <x:f>IF(I937="","OPEN",IF(OR(F937="",G937="",H937=""),"FAIL","PASS"))</x:f>
        <x:v>OPEN</x:v>
      </x:c>
    </x:row>
    <x:row r="938">
      <x:c r="B938" s="28" t="str">
        <x:v>CQ-DA-233-4</x:v>
      </x:c>
      <x:c r="C938" s="28" t="str">
        <x:v>DA-233</x:v>
      </x:c>
      <x:c r="D938" s="28" t="n">
        <x:v>4</x:v>
      </x:c>
      <x:c r="E938" s="28" t="str">
        <x:v>incident and rescue qualification</x:v>
      </x:c>
      <x:c r="F938" s="31" t="str"/>
      <x:c r="G938" s="31" t="str"/>
      <x:c r="H938" s="32" t="str"/>
      <x:c r="I938" s="31" t="str"/>
      <x:c r="J938" s="28" t="str">
        <x:f>IF(I938="","OPEN",IF(OR(F938="",G938="",H938=""),"FAIL","PASS"))</x:f>
        <x:v>OPEN</x:v>
      </x:c>
    </x:row>
    <x:row r="939">
      <x:c r="B939" s="28" t="str">
        <x:v>CQ-DA-234-1</x:v>
      </x:c>
      <x:c r="C939" s="28" t="str">
        <x:v>DA-234</x:v>
      </x:c>
      <x:c r="D939" s="28" t="n">
        <x:v>1</x:v>
      </x:c>
      <x:c r="E939" s="28" t="str">
        <x:v>role qualification</x:v>
      </x:c>
      <x:c r="F939" s="31" t="str"/>
      <x:c r="G939" s="31" t="str"/>
      <x:c r="H939" s="32" t="str"/>
      <x:c r="I939" s="31" t="str"/>
      <x:c r="J939" s="28" t="str">
        <x:f>IF(I939="","OPEN",IF(OR(F939="",G939="",H939=""),"FAIL","PASS"))</x:f>
        <x:v>OPEN</x:v>
      </x:c>
    </x:row>
    <x:row r="940">
      <x:c r="B940" s="28" t="str">
        <x:v>CQ-DA-234-2</x:v>
      </x:c>
      <x:c r="C940" s="28" t="str">
        <x:v>DA-234</x:v>
      </x:c>
      <x:c r="D940" s="28" t="n">
        <x:v>2</x:v>
      </x:c>
      <x:c r="E940" s="28" t="str">
        <x:v>site and rig qualification</x:v>
      </x:c>
      <x:c r="F940" s="31" t="str"/>
      <x:c r="G940" s="31" t="str"/>
      <x:c r="H940" s="32" t="str"/>
      <x:c r="I940" s="31" t="str"/>
      <x:c r="J940" s="28" t="str">
        <x:f>IF(I940="","OPEN",IF(OR(F940="",G940="",H940=""),"FAIL","PASS"))</x:f>
        <x:v>OPEN</x:v>
      </x:c>
    </x:row>
    <x:row r="941">
      <x:c r="B941" s="28" t="str">
        <x:v>CQ-DA-234-3</x:v>
      </x:c>
      <x:c r="C941" s="28" t="str">
        <x:v>DA-234</x:v>
      </x:c>
      <x:c r="D941" s="28" t="n">
        <x:v>3</x:v>
      </x:c>
      <x:c r="E941" s="28" t="str">
        <x:v>article-interface qualification</x:v>
      </x:c>
      <x:c r="F941" s="31" t="str"/>
      <x:c r="G941" s="31" t="str"/>
      <x:c r="H941" s="32" t="str"/>
      <x:c r="I941" s="31" t="str"/>
      <x:c r="J941" s="28" t="str">
        <x:f>IF(I941="","OPEN",IF(OR(F941="",G941="",H941=""),"FAIL","PASS"))</x:f>
        <x:v>OPEN</x:v>
      </x:c>
    </x:row>
    <x:row r="942">
      <x:c r="B942" s="28" t="str">
        <x:v>CQ-DA-234-4</x:v>
      </x:c>
      <x:c r="C942" s="28" t="str">
        <x:v>DA-234</x:v>
      </x:c>
      <x:c r="D942" s="28" t="n">
        <x:v>4</x:v>
      </x:c>
      <x:c r="E942" s="28" t="str">
        <x:v>incident and rescue qualification</x:v>
      </x:c>
      <x:c r="F942" s="31" t="str"/>
      <x:c r="G942" s="31" t="str"/>
      <x:c r="H942" s="32" t="str"/>
      <x:c r="I942" s="31" t="str"/>
      <x:c r="J942" s="28" t="str">
        <x:f>IF(I942="","OPEN",IF(OR(F942="",G942="",H942=""),"FAIL","PASS"))</x:f>
        <x:v>OPEN</x:v>
      </x:c>
    </x:row>
    <x:row r="943">
      <x:c r="B943" s="28" t="str">
        <x:v>CQ-DA-235-1</x:v>
      </x:c>
      <x:c r="C943" s="28" t="str">
        <x:v>DA-235</x:v>
      </x:c>
      <x:c r="D943" s="28" t="n">
        <x:v>1</x:v>
      </x:c>
      <x:c r="E943" s="28" t="str">
        <x:v>role qualification</x:v>
      </x:c>
      <x:c r="F943" s="31" t="str"/>
      <x:c r="G943" s="31" t="str"/>
      <x:c r="H943" s="32" t="str"/>
      <x:c r="I943" s="31" t="str"/>
      <x:c r="J943" s="28" t="str">
        <x:f>IF(I943="","OPEN",IF(OR(F943="",G943="",H943=""),"FAIL","PASS"))</x:f>
        <x:v>OPEN</x:v>
      </x:c>
    </x:row>
    <x:row r="944">
      <x:c r="B944" s="28" t="str">
        <x:v>CQ-DA-235-2</x:v>
      </x:c>
      <x:c r="C944" s="28" t="str">
        <x:v>DA-235</x:v>
      </x:c>
      <x:c r="D944" s="28" t="n">
        <x:v>2</x:v>
      </x:c>
      <x:c r="E944" s="28" t="str">
        <x:v>site and rig qualification</x:v>
      </x:c>
      <x:c r="F944" s="31" t="str"/>
      <x:c r="G944" s="31" t="str"/>
      <x:c r="H944" s="32" t="str"/>
      <x:c r="I944" s="31" t="str"/>
      <x:c r="J944" s="28" t="str">
        <x:f>IF(I944="","OPEN",IF(OR(F944="",G944="",H944=""),"FAIL","PASS"))</x:f>
        <x:v>OPEN</x:v>
      </x:c>
    </x:row>
    <x:row r="945">
      <x:c r="B945" s="28" t="str">
        <x:v>CQ-DA-235-3</x:v>
      </x:c>
      <x:c r="C945" s="28" t="str">
        <x:v>DA-235</x:v>
      </x:c>
      <x:c r="D945" s="28" t="n">
        <x:v>3</x:v>
      </x:c>
      <x:c r="E945" s="28" t="str">
        <x:v>article-interface qualification</x:v>
      </x:c>
      <x:c r="F945" s="31" t="str"/>
      <x:c r="G945" s="31" t="str"/>
      <x:c r="H945" s="32" t="str"/>
      <x:c r="I945" s="31" t="str"/>
      <x:c r="J945" s="28" t="str">
        <x:f>IF(I945="","OPEN",IF(OR(F945="",G945="",H945=""),"FAIL","PASS"))</x:f>
        <x:v>OPEN</x:v>
      </x:c>
    </x:row>
    <x:row r="946">
      <x:c r="B946" s="28" t="str">
        <x:v>CQ-DA-235-4</x:v>
      </x:c>
      <x:c r="C946" s="28" t="str">
        <x:v>DA-235</x:v>
      </x:c>
      <x:c r="D946" s="28" t="n">
        <x:v>4</x:v>
      </x:c>
      <x:c r="E946" s="28" t="str">
        <x:v>incident and rescue qualification</x:v>
      </x:c>
      <x:c r="F946" s="31" t="str"/>
      <x:c r="G946" s="31" t="str"/>
      <x:c r="H946" s="32" t="str"/>
      <x:c r="I946" s="31" t="str"/>
      <x:c r="J946" s="28" t="str">
        <x:f>IF(I946="","OPEN",IF(OR(F946="",G946="",H946=""),"FAIL","PASS"))</x:f>
        <x:v>OPEN</x:v>
      </x:c>
    </x:row>
    <x:row r="947">
      <x:c r="B947" s="28" t="str">
        <x:v>CQ-DA-236-1</x:v>
      </x:c>
      <x:c r="C947" s="28" t="str">
        <x:v>DA-236</x:v>
      </x:c>
      <x:c r="D947" s="28" t="n">
        <x:v>1</x:v>
      </x:c>
      <x:c r="E947" s="28" t="str">
        <x:v>role qualification</x:v>
      </x:c>
      <x:c r="F947" s="31" t="str"/>
      <x:c r="G947" s="31" t="str"/>
      <x:c r="H947" s="32" t="str"/>
      <x:c r="I947" s="31" t="str"/>
      <x:c r="J947" s="28" t="str">
        <x:f>IF(I947="","OPEN",IF(OR(F947="",G947="",H947=""),"FAIL","PASS"))</x:f>
        <x:v>OPEN</x:v>
      </x:c>
    </x:row>
    <x:row r="948">
      <x:c r="B948" s="28" t="str">
        <x:v>CQ-DA-236-2</x:v>
      </x:c>
      <x:c r="C948" s="28" t="str">
        <x:v>DA-236</x:v>
      </x:c>
      <x:c r="D948" s="28" t="n">
        <x:v>2</x:v>
      </x:c>
      <x:c r="E948" s="28" t="str">
        <x:v>site and rig qualification</x:v>
      </x:c>
      <x:c r="F948" s="31" t="str"/>
      <x:c r="G948" s="31" t="str"/>
      <x:c r="H948" s="32" t="str"/>
      <x:c r="I948" s="31" t="str"/>
      <x:c r="J948" s="28" t="str">
        <x:f>IF(I948="","OPEN",IF(OR(F948="",G948="",H948=""),"FAIL","PASS"))</x:f>
        <x:v>OPEN</x:v>
      </x:c>
    </x:row>
    <x:row r="949">
      <x:c r="B949" s="28" t="str">
        <x:v>CQ-DA-236-3</x:v>
      </x:c>
      <x:c r="C949" s="28" t="str">
        <x:v>DA-236</x:v>
      </x:c>
      <x:c r="D949" s="28" t="n">
        <x:v>3</x:v>
      </x:c>
      <x:c r="E949" s="28" t="str">
        <x:v>article-interface qualification</x:v>
      </x:c>
      <x:c r="F949" s="31" t="str"/>
      <x:c r="G949" s="31" t="str"/>
      <x:c r="H949" s="32" t="str"/>
      <x:c r="I949" s="31" t="str"/>
      <x:c r="J949" s="28" t="str">
        <x:f>IF(I949="","OPEN",IF(OR(F949="",G949="",H949=""),"FAIL","PASS"))</x:f>
        <x:v>OPEN</x:v>
      </x:c>
    </x:row>
    <x:row r="950">
      <x:c r="B950" s="28" t="str">
        <x:v>CQ-DA-236-4</x:v>
      </x:c>
      <x:c r="C950" s="28" t="str">
        <x:v>DA-236</x:v>
      </x:c>
      <x:c r="D950" s="28" t="n">
        <x:v>4</x:v>
      </x:c>
      <x:c r="E950" s="28" t="str">
        <x:v>incident and rescue qualification</x:v>
      </x:c>
      <x:c r="F950" s="31" t="str"/>
      <x:c r="G950" s="31" t="str"/>
      <x:c r="H950" s="32" t="str"/>
      <x:c r="I950" s="31" t="str"/>
      <x:c r="J950" s="28" t="str">
        <x:f>IF(I950="","OPEN",IF(OR(F950="",G950="",H950=""),"FAIL","PASS"))</x:f>
        <x:v>OPEN</x:v>
      </x:c>
    </x:row>
    <x:row r="951">
      <x:c r="B951" s="28" t="str">
        <x:v>CQ-DA-237-1</x:v>
      </x:c>
      <x:c r="C951" s="28" t="str">
        <x:v>DA-237</x:v>
      </x:c>
      <x:c r="D951" s="28" t="n">
        <x:v>1</x:v>
      </x:c>
      <x:c r="E951" s="28" t="str">
        <x:v>role qualification</x:v>
      </x:c>
      <x:c r="F951" s="31" t="str"/>
      <x:c r="G951" s="31" t="str"/>
      <x:c r="H951" s="32" t="str"/>
      <x:c r="I951" s="31" t="str"/>
      <x:c r="J951" s="28" t="str">
        <x:f>IF(I951="","OPEN",IF(OR(F951="",G951="",H951=""),"FAIL","PASS"))</x:f>
        <x:v>OPEN</x:v>
      </x:c>
    </x:row>
    <x:row r="952">
      <x:c r="B952" s="28" t="str">
        <x:v>CQ-DA-237-2</x:v>
      </x:c>
      <x:c r="C952" s="28" t="str">
        <x:v>DA-237</x:v>
      </x:c>
      <x:c r="D952" s="28" t="n">
        <x:v>2</x:v>
      </x:c>
      <x:c r="E952" s="28" t="str">
        <x:v>site and rig qualification</x:v>
      </x:c>
      <x:c r="F952" s="31" t="str"/>
      <x:c r="G952" s="31" t="str"/>
      <x:c r="H952" s="32" t="str"/>
      <x:c r="I952" s="31" t="str"/>
      <x:c r="J952" s="28" t="str">
        <x:f>IF(I952="","OPEN",IF(OR(F952="",G952="",H952=""),"FAIL","PASS"))</x:f>
        <x:v>OPEN</x:v>
      </x:c>
    </x:row>
    <x:row r="953">
      <x:c r="B953" s="28" t="str">
        <x:v>CQ-DA-237-3</x:v>
      </x:c>
      <x:c r="C953" s="28" t="str">
        <x:v>DA-237</x:v>
      </x:c>
      <x:c r="D953" s="28" t="n">
        <x:v>3</x:v>
      </x:c>
      <x:c r="E953" s="28" t="str">
        <x:v>article-interface qualification</x:v>
      </x:c>
      <x:c r="F953" s="31" t="str"/>
      <x:c r="G953" s="31" t="str"/>
      <x:c r="H953" s="32" t="str"/>
      <x:c r="I953" s="31" t="str"/>
      <x:c r="J953" s="28" t="str">
        <x:f>IF(I953="","OPEN",IF(OR(F953="",G953="",H953=""),"FAIL","PASS"))</x:f>
        <x:v>OPEN</x:v>
      </x:c>
    </x:row>
    <x:row r="954">
      <x:c r="B954" s="28" t="str">
        <x:v>CQ-DA-237-4</x:v>
      </x:c>
      <x:c r="C954" s="28" t="str">
        <x:v>DA-237</x:v>
      </x:c>
      <x:c r="D954" s="28" t="n">
        <x:v>4</x:v>
      </x:c>
      <x:c r="E954" s="28" t="str">
        <x:v>incident and rescue qualification</x:v>
      </x:c>
      <x:c r="F954" s="31" t="str"/>
      <x:c r="G954" s="31" t="str"/>
      <x:c r="H954" s="32" t="str"/>
      <x:c r="I954" s="31" t="str"/>
      <x:c r="J954" s="28" t="str">
        <x:f>IF(I954="","OPEN",IF(OR(F954="",G954="",H954=""),"FAIL","PASS"))</x:f>
        <x:v>OPEN</x:v>
      </x:c>
    </x:row>
    <x:row r="955">
      <x:c r="B955" s="28" t="str">
        <x:v>CQ-DA-238-1</x:v>
      </x:c>
      <x:c r="C955" s="28" t="str">
        <x:v>DA-238</x:v>
      </x:c>
      <x:c r="D955" s="28" t="n">
        <x:v>1</x:v>
      </x:c>
      <x:c r="E955" s="28" t="str">
        <x:v>role qualification</x:v>
      </x:c>
      <x:c r="F955" s="31" t="str"/>
      <x:c r="G955" s="31" t="str"/>
      <x:c r="H955" s="32" t="str"/>
      <x:c r="I955" s="31" t="str"/>
      <x:c r="J955" s="28" t="str">
        <x:f>IF(I955="","OPEN",IF(OR(F955="",G955="",H955=""),"FAIL","PASS"))</x:f>
        <x:v>OPEN</x:v>
      </x:c>
    </x:row>
    <x:row r="956">
      <x:c r="B956" s="28" t="str">
        <x:v>CQ-DA-238-2</x:v>
      </x:c>
      <x:c r="C956" s="28" t="str">
        <x:v>DA-238</x:v>
      </x:c>
      <x:c r="D956" s="28" t="n">
        <x:v>2</x:v>
      </x:c>
      <x:c r="E956" s="28" t="str">
        <x:v>site and rig qualification</x:v>
      </x:c>
      <x:c r="F956" s="31" t="str"/>
      <x:c r="G956" s="31" t="str"/>
      <x:c r="H956" s="32" t="str"/>
      <x:c r="I956" s="31" t="str"/>
      <x:c r="J956" s="28" t="str">
        <x:f>IF(I956="","OPEN",IF(OR(F956="",G956="",H956=""),"FAIL","PASS"))</x:f>
        <x:v>OPEN</x:v>
      </x:c>
    </x:row>
    <x:row r="957">
      <x:c r="B957" s="28" t="str">
        <x:v>CQ-DA-238-3</x:v>
      </x:c>
      <x:c r="C957" s="28" t="str">
        <x:v>DA-238</x:v>
      </x:c>
      <x:c r="D957" s="28" t="n">
        <x:v>3</x:v>
      </x:c>
      <x:c r="E957" s="28" t="str">
        <x:v>article-interface qualification</x:v>
      </x:c>
      <x:c r="F957" s="31" t="str"/>
      <x:c r="G957" s="31" t="str"/>
      <x:c r="H957" s="32" t="str"/>
      <x:c r="I957" s="31" t="str"/>
      <x:c r="J957" s="28" t="str">
        <x:f>IF(I957="","OPEN",IF(OR(F957="",G957="",H957=""),"FAIL","PASS"))</x:f>
        <x:v>OPEN</x:v>
      </x:c>
    </x:row>
    <x:row r="958">
      <x:c r="B958" s="28" t="str">
        <x:v>CQ-DA-238-4</x:v>
      </x:c>
      <x:c r="C958" s="28" t="str">
        <x:v>DA-238</x:v>
      </x:c>
      <x:c r="D958" s="28" t="n">
        <x:v>4</x:v>
      </x:c>
      <x:c r="E958" s="28" t="str">
        <x:v>incident and rescue qualification</x:v>
      </x:c>
      <x:c r="F958" s="31" t="str"/>
      <x:c r="G958" s="31" t="str"/>
      <x:c r="H958" s="32" t="str"/>
      <x:c r="I958" s="31" t="str"/>
      <x:c r="J958" s="28" t="str">
        <x:f>IF(I958="","OPEN",IF(OR(F958="",G958="",H958=""),"FAIL","PASS"))</x:f>
        <x:v>OPEN</x:v>
      </x:c>
    </x:row>
    <x:row r="959">
      <x:c r="B959" s="28" t="str">
        <x:v>CQ-DA-239-1</x:v>
      </x:c>
      <x:c r="C959" s="28" t="str">
        <x:v>DA-239</x:v>
      </x:c>
      <x:c r="D959" s="28" t="n">
        <x:v>1</x:v>
      </x:c>
      <x:c r="E959" s="28" t="str">
        <x:v>role qualification</x:v>
      </x:c>
      <x:c r="F959" s="31" t="str"/>
      <x:c r="G959" s="31" t="str"/>
      <x:c r="H959" s="32" t="str"/>
      <x:c r="I959" s="31" t="str"/>
      <x:c r="J959" s="28" t="str">
        <x:f>IF(I959="","OPEN",IF(OR(F959="",G959="",H959=""),"FAIL","PASS"))</x:f>
        <x:v>OPEN</x:v>
      </x:c>
    </x:row>
    <x:row r="960">
      <x:c r="B960" s="28" t="str">
        <x:v>CQ-DA-239-2</x:v>
      </x:c>
      <x:c r="C960" s="28" t="str">
        <x:v>DA-239</x:v>
      </x:c>
      <x:c r="D960" s="28" t="n">
        <x:v>2</x:v>
      </x:c>
      <x:c r="E960" s="28" t="str">
        <x:v>site and rig qualification</x:v>
      </x:c>
      <x:c r="F960" s="31" t="str"/>
      <x:c r="G960" s="31" t="str"/>
      <x:c r="H960" s="32" t="str"/>
      <x:c r="I960" s="31" t="str"/>
      <x:c r="J960" s="28" t="str">
        <x:f>IF(I960="","OPEN",IF(OR(F960="",G960="",H960=""),"FAIL","PASS"))</x:f>
        <x:v>OPEN</x:v>
      </x:c>
    </x:row>
    <x:row r="961">
      <x:c r="B961" s="28" t="str">
        <x:v>CQ-DA-239-3</x:v>
      </x:c>
      <x:c r="C961" s="28" t="str">
        <x:v>DA-239</x:v>
      </x:c>
      <x:c r="D961" s="28" t="n">
        <x:v>3</x:v>
      </x:c>
      <x:c r="E961" s="28" t="str">
        <x:v>article-interface qualification</x:v>
      </x:c>
      <x:c r="F961" s="31" t="str"/>
      <x:c r="G961" s="31" t="str"/>
      <x:c r="H961" s="32" t="str"/>
      <x:c r="I961" s="31" t="str"/>
      <x:c r="J961" s="28" t="str">
        <x:f>IF(I961="","OPEN",IF(OR(F961="",G961="",H961=""),"FAIL","PASS"))</x:f>
        <x:v>OPEN</x:v>
      </x:c>
    </x:row>
    <x:row r="962">
      <x:c r="B962" s="28" t="str">
        <x:v>CQ-DA-239-4</x:v>
      </x:c>
      <x:c r="C962" s="28" t="str">
        <x:v>DA-239</x:v>
      </x:c>
      <x:c r="D962" s="28" t="n">
        <x:v>4</x:v>
      </x:c>
      <x:c r="E962" s="28" t="str">
        <x:v>incident and rescue qualification</x:v>
      </x:c>
      <x:c r="F962" s="31" t="str"/>
      <x:c r="G962" s="31" t="str"/>
      <x:c r="H962" s="32" t="str"/>
      <x:c r="I962" s="31" t="str"/>
      <x:c r="J962" s="28" t="str">
        <x:f>IF(I962="","OPEN",IF(OR(F962="",G962="",H962=""),"FAIL","PASS"))</x:f>
        <x:v>OPEN</x:v>
      </x:c>
    </x:row>
    <x:row r="963">
      <x:c r="B963" s="28" t="str">
        <x:v>CQ-DA-240-1</x:v>
      </x:c>
      <x:c r="C963" s="28" t="str">
        <x:v>DA-240</x:v>
      </x:c>
      <x:c r="D963" s="28" t="n">
        <x:v>1</x:v>
      </x:c>
      <x:c r="E963" s="28" t="str">
        <x:v>role qualification</x:v>
      </x:c>
      <x:c r="F963" s="31" t="str"/>
      <x:c r="G963" s="31" t="str"/>
      <x:c r="H963" s="32" t="str"/>
      <x:c r="I963" s="31" t="str"/>
      <x:c r="J963" s="28" t="str">
        <x:f>IF(I963="","OPEN",IF(OR(F963="",G963="",H963=""),"FAIL","PASS"))</x:f>
        <x:v>OPEN</x:v>
      </x:c>
    </x:row>
    <x:row r="964">
      <x:c r="B964" s="28" t="str">
        <x:v>CQ-DA-240-2</x:v>
      </x:c>
      <x:c r="C964" s="28" t="str">
        <x:v>DA-240</x:v>
      </x:c>
      <x:c r="D964" s="28" t="n">
        <x:v>2</x:v>
      </x:c>
      <x:c r="E964" s="28" t="str">
        <x:v>site and rig qualification</x:v>
      </x:c>
      <x:c r="F964" s="31" t="str"/>
      <x:c r="G964" s="31" t="str"/>
      <x:c r="H964" s="32" t="str"/>
      <x:c r="I964" s="31" t="str"/>
      <x:c r="J964" s="28" t="str">
        <x:f>IF(I964="","OPEN",IF(OR(F964="",G964="",H964=""),"FAIL","PASS"))</x:f>
        <x:v>OPEN</x:v>
      </x:c>
    </x:row>
    <x:row r="965">
      <x:c r="B965" s="28" t="str">
        <x:v>CQ-DA-240-3</x:v>
      </x:c>
      <x:c r="C965" s="28" t="str">
        <x:v>DA-240</x:v>
      </x:c>
      <x:c r="D965" s="28" t="n">
        <x:v>3</x:v>
      </x:c>
      <x:c r="E965" s="28" t="str">
        <x:v>article-interface qualification</x:v>
      </x:c>
      <x:c r="F965" s="31" t="str"/>
      <x:c r="G965" s="31" t="str"/>
      <x:c r="H965" s="32" t="str"/>
      <x:c r="I965" s="31" t="str"/>
      <x:c r="J965" s="28" t="str">
        <x:f>IF(I965="","OPEN",IF(OR(F965="",G965="",H965=""),"FAIL","PASS"))</x:f>
        <x:v>OPEN</x:v>
      </x:c>
    </x:row>
    <x:row r="966">
      <x:c r="B966" s="28" t="str">
        <x:v>CQ-DA-240-4</x:v>
      </x:c>
      <x:c r="C966" s="28" t="str">
        <x:v>DA-240</x:v>
      </x:c>
      <x:c r="D966" s="28" t="n">
        <x:v>4</x:v>
      </x:c>
      <x:c r="E966" s="28" t="str">
        <x:v>incident and rescue qualification</x:v>
      </x:c>
      <x:c r="F966" s="31" t="str"/>
      <x:c r="G966" s="31" t="str"/>
      <x:c r="H966" s="32" t="str"/>
      <x:c r="I966" s="31" t="str"/>
      <x:c r="J966" s="28" t="str">
        <x:f>IF(I966="","OPEN",IF(OR(F966="",G966="",H966=""),"FAIL","PASS"))</x:f>
        <x:v>OPEN</x:v>
      </x:c>
    </x:row>
  </x:sheetData>
  <x:conditionalFormatting sqref="J7:J966">
    <x:cfRule type="containsText" dxfId="102" priority="1" operator="containsText" text="FAIL"/>
    <x:cfRule type="containsText" dxfId="103" priority="2" operator="containsText" text="BLOCKED"/>
    <x:cfRule type="containsText" dxfId="104" priority="3" operator="containsText" text="EXPIRED"/>
    <x:cfRule type="containsText" dxfId="105" priority="4" operator="containsText" text="OPEN"/>
    <x:cfRule type="containsText" dxfId="106" priority="5" operator="containsText" text="DORMANT"/>
    <x:cfRule type="containsText" dxfId="107" priority="6" operator="containsText" text="PASS"/>
  </x:conditionalFormatting>
  <x:pageMargins left="0.7" right="0.7" top="0.75" bottom="0.75" header="0.3" footer="0.3"/>
</x:worksheet>
</file>

<file path=xl/worksheets/sheet25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2" hidden="0" customWidth="1"/>
    <x:col min="3" max="3" width="14" hidden="0" customWidth="1"/>
    <x:col min="4" max="4" width="14" hidden="0" customWidth="1"/>
    <x:col min="5" max="5" width="12" hidden="0" customWidth="1"/>
    <x:col min="6" max="6" width="38" hidden="0" customWidth="1"/>
    <x:col min="7" max="7" width="38" hidden="0" customWidth="1"/>
    <x:col min="8" max="8" width="24" hidden="0" customWidth="1"/>
    <x:col min="9" max="9" width="34" hidden="0" customWidth="1"/>
    <x:col min="10" max="10" width="21" hidden="0" customWidth="1"/>
    <x:col min="11" max="11" width="14" hidden="0" customWidth="1"/>
  </x:cols>
  <x:sheetData>
    <x:row r="2">
      <x:c r="B2" s="25" t="str">
        <x:v>Seventy-two degraded-service readiness drills</x:v>
      </x:c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B3" s="27" t="str">
        <x:v>No-source drills verify the named survivor and local safe state. They do not create source-event credit.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</x:row>
    <x:row r="6" ht="24" customHeight="1">
      <x:c r="B6" s="6" t="str">
        <x:v>Drill</x:v>
      </x:c>
      <x:c r="C6" s="6" t="str">
        <x:v>Rig</x:v>
      </x:c>
      <x:c r="D6" s="6" t="str">
        <x:v>Campus</x:v>
      </x:c>
      <x:c r="E6" s="6" t="str">
        <x:v>Case</x:v>
      </x:c>
      <x:c r="F6" s="6" t="str">
        <x:v>Denied condition</x:v>
      </x:c>
      <x:c r="G6" s="6" t="str">
        <x:v>Required survivor</x:v>
      </x:c>
      <x:c r="H6" s="6" t="str">
        <x:v>Observed survivor</x:v>
      </x:c>
      <x:c r="I6" s="6" t="str">
        <x:v>Evidence root</x:v>
      </x:c>
      <x:c r="J6" s="6" t="str">
        <x:v>Accepted UTC</x:v>
      </x:c>
      <x:c r="K6" s="6" t="str">
        <x:v>State</x:v>
      </x:c>
    </x:row>
    <x:row r="7">
      <x:c r="B7" s="28" t="str">
        <x:v>DR-RFP-A1-01</x:v>
      </x:c>
      <x:c r="C7" s="28" t="str">
        <x:v>RFP-A1</x:v>
      </x:c>
      <x:c r="D7" s="28" t="str">
        <x:v>PTC-A</x:v>
      </x:c>
      <x:c r="E7" s="28" t="n">
        <x:v>1</x:v>
      </x:c>
      <x:c r="F7" s="28" t="str">
        <x:v>normal power loss</x:v>
      </x:c>
      <x:c r="G7" s="28" t="str">
        <x:v>independent safety energy</x:v>
      </x:c>
      <x:c r="H7" s="31" t="str"/>
      <x:c r="I7" s="31" t="str"/>
      <x:c r="J7" s="31" t="str"/>
      <x:c r="K7" s="28" t="str">
        <x:f>IF(J7="","OPEN",IF(OR(H7="",I7=""),"FAIL",IF(H7=G7,"PASS","FAIL")))</x:f>
        <x:v>OPEN</x:v>
      </x:c>
    </x:row>
    <x:row r="8">
      <x:c r="B8" s="28" t="str">
        <x:v>DR-RFP-A1-02</x:v>
      </x:c>
      <x:c r="C8" s="28" t="str">
        <x:v>RFP-A1</x:v>
      </x:c>
      <x:c r="D8" s="28" t="str">
        <x:v>PTC-A</x:v>
      </x:c>
      <x:c r="E8" s="28" t="n">
        <x:v>2</x:v>
      </x:c>
      <x:c r="F8" s="28" t="str">
        <x:v>campus network loss</x:v>
      </x:c>
      <x:c r="G8" s="28" t="str">
        <x:v>local control and evidence</x:v>
      </x:c>
      <x:c r="H8" s="31" t="str"/>
      <x:c r="I8" s="31" t="str"/>
      <x:c r="J8" s="31" t="str"/>
      <x:c r="K8" s="28" t="str">
        <x:f>IF(J8="","OPEN",IF(OR(H8="",I8=""),"FAIL",IF(H8=G8,"PASS","FAIL")))</x:f>
        <x:v>OPEN</x:v>
      </x:c>
    </x:row>
    <x:row r="9">
      <x:c r="B9" s="28" t="str">
        <x:v>DR-RFP-A1-03</x:v>
      </x:c>
      <x:c r="C9" s="28" t="str">
        <x:v>RFP-A1</x:v>
      </x:c>
      <x:c r="D9" s="28" t="str">
        <x:v>PTC-A</x:v>
      </x:c>
      <x:c r="E9" s="28" t="n">
        <x:v>3</x:v>
      </x:c>
      <x:c r="F9" s="28" t="str">
        <x:v>primary-time loss</x:v>
      </x:c>
      <x:c r="G9" s="28" t="str">
        <x:v>unlike local time</x:v>
      </x:c>
      <x:c r="H9" s="31" t="str"/>
      <x:c r="I9" s="31" t="str"/>
      <x:c r="J9" s="31" t="str"/>
      <x:c r="K9" s="28" t="str">
        <x:f>IF(J9="","OPEN",IF(OR(H9="",I9=""),"FAIL",IF(H9=G9,"PASS","FAIL")))</x:f>
        <x:v>OPEN</x:v>
      </x:c>
    </x:row>
    <x:row r="10">
      <x:c r="B10" s="28" t="str">
        <x:v>DR-RFP-A1-04</x:v>
      </x:c>
      <x:c r="C10" s="28" t="str">
        <x:v>RFP-A1</x:v>
      </x:c>
      <x:c r="D10" s="28" t="str">
        <x:v>PTC-A</x:v>
      </x:c>
      <x:c r="E10" s="28" t="n">
        <x:v>4</x:v>
      </x:c>
      <x:c r="F10" s="28" t="str">
        <x:v>normal water loss</x:v>
      </x:c>
      <x:c r="G10" s="28" t="str">
        <x:v>isolation and casualty-water path</x:v>
      </x:c>
      <x:c r="H10" s="31" t="str"/>
      <x:c r="I10" s="31" t="str"/>
      <x:c r="J10" s="31" t="str"/>
      <x:c r="K10" s="28" t="str">
        <x:f>IF(J10="","OPEN",IF(OR(H10="",I10=""),"FAIL",IF(H10=G10,"PASS","FAIL")))</x:f>
        <x:v>OPEN</x:v>
      </x:c>
    </x:row>
    <x:row r="11">
      <x:c r="B11" s="28" t="str">
        <x:v>DR-RFP-A1-05</x:v>
      </x:c>
      <x:c r="C11" s="28" t="str">
        <x:v>RFP-A1</x:v>
      </x:c>
      <x:c r="D11" s="28" t="str">
        <x:v>PTC-A</x:v>
      </x:c>
      <x:c r="E11" s="28" t="n">
        <x:v>5</x:v>
      </x:c>
      <x:c r="F11" s="28" t="str">
        <x:v>normal receiver unavailable</x:v>
      </x:c>
      <x:c r="G11" s="28" t="str">
        <x:v>casualty-source receiver</x:v>
      </x:c>
      <x:c r="H11" s="31" t="str"/>
      <x:c r="I11" s="31" t="str"/>
      <x:c r="J11" s="31" t="str"/>
      <x:c r="K11" s="28" t="str">
        <x:f>IF(J11="","OPEN",IF(OR(H11="",I11=""),"FAIL",IF(H11=G11,"PASS","FAIL")))</x:f>
        <x:v>OPEN</x:v>
      </x:c>
    </x:row>
    <x:row r="12">
      <x:c r="B12" s="28" t="str">
        <x:v>DR-RFP-A1-06</x:v>
      </x:c>
      <x:c r="C12" s="28" t="str">
        <x:v>RFP-A1</x:v>
      </x:c>
      <x:c r="D12" s="28" t="str">
        <x:v>PTC-A</x:v>
      </x:c>
      <x:c r="E12" s="28" t="n">
        <x:v>6</x:v>
      </x:c>
      <x:c r="F12" s="28" t="str">
        <x:v>primary safeing path unavailable</x:v>
      </x:c>
      <x:c r="G12" s="28" t="str">
        <x:v>diverse or passive path</x:v>
      </x:c>
      <x:c r="H12" s="31" t="str"/>
      <x:c r="I12" s="31" t="str"/>
      <x:c r="J12" s="31" t="str"/>
      <x:c r="K12" s="28" t="str">
        <x:f>IF(J12="","OPEN",IF(OR(H12="",I12=""),"FAIL",IF(H12=G12,"PASS","FAIL")))</x:f>
        <x:v>OPEN</x:v>
      </x:c>
    </x:row>
    <x:row r="13">
      <x:c r="B13" s="28" t="str">
        <x:v>DR-RFP-A1-07</x:v>
      </x:c>
      <x:c r="C13" s="28" t="str">
        <x:v>RFP-A1</x:v>
      </x:c>
      <x:c r="D13" s="28" t="str">
        <x:v>PTC-A</x:v>
      </x:c>
      <x:c r="E13" s="28" t="n">
        <x:v>7</x:v>
      </x:c>
      <x:c r="F13" s="28" t="str">
        <x:v>one evidence original lost</x:v>
      </x:c>
      <x:c r="G13" s="28" t="str">
        <x:v>second local original</x:v>
      </x:c>
      <x:c r="H13" s="31" t="str"/>
      <x:c r="I13" s="31" t="str"/>
      <x:c r="J13" s="31" t="str"/>
      <x:c r="K13" s="28" t="str">
        <x:f>IF(J13="","OPEN",IF(OR(H13="",I13=""),"FAIL",IF(H13=G13,"PASS","FAIL")))</x:f>
        <x:v>OPEN</x:v>
      </x:c>
    </x:row>
    <x:row r="14">
      <x:c r="B14" s="28" t="str">
        <x:v>DR-RFP-A1-08</x:v>
      </x:c>
      <x:c r="C14" s="28" t="str">
        <x:v>RFP-A1</x:v>
      </x:c>
      <x:c r="D14" s="28" t="str">
        <x:v>PTC-A</x:v>
      </x:c>
      <x:c r="E14" s="28" t="n">
        <x:v>8</x:v>
      </x:c>
      <x:c r="F14" s="28" t="str">
        <x:v>casualty route demanded</x:v>
      </x:c>
      <x:c r="G14" s="28" t="str">
        <x:v>separate casualty custody</x:v>
      </x:c>
      <x:c r="H14" s="31" t="str"/>
      <x:c r="I14" s="31" t="str"/>
      <x:c r="J14" s="31" t="str"/>
      <x:c r="K14" s="28" t="str">
        <x:f>IF(J14="","OPEN",IF(OR(H14="",I14=""),"FAIL",IF(H14=G14,"PASS","FAIL")))</x:f>
        <x:v>OPEN</x:v>
      </x:c>
    </x:row>
    <x:row r="15">
      <x:c r="B15" s="28" t="str">
        <x:v>DR-RFP-A1-09</x:v>
      </x:c>
      <x:c r="C15" s="28" t="str">
        <x:v>RFP-A1</x:v>
      </x:c>
      <x:c r="D15" s="28" t="str">
        <x:v>PTC-A</x:v>
      </x:c>
      <x:c r="E15" s="28" t="n">
        <x:v>9</x:v>
      </x:c>
      <x:c r="F15" s="28" t="str">
        <x:v>rescue corridor obstructed</x:v>
      </x:c>
      <x:c r="G15" s="28" t="str">
        <x:v>unlike extraction path</x:v>
      </x:c>
      <x:c r="H15" s="31" t="str"/>
      <x:c r="I15" s="31" t="str"/>
      <x:c r="J15" s="31" t="str"/>
      <x:c r="K15" s="28" t="str">
        <x:f>IF(J15="","OPEN",IF(OR(H15="",I15=""),"FAIL",IF(H15=G15,"PASS","FAIL")))</x:f>
        <x:v>OPEN</x:v>
      </x:c>
    </x:row>
    <x:row r="16">
      <x:c r="B16" s="28" t="str">
        <x:v>DR-RFP-A1-10</x:v>
      </x:c>
      <x:c r="C16" s="28" t="str">
        <x:v>RFP-A1</x:v>
      </x:c>
      <x:c r="D16" s="28" t="str">
        <x:v>PTC-A</x:v>
      </x:c>
      <x:c r="E16" s="28" t="n">
        <x:v>10</x:v>
      </x:c>
      <x:c r="F16" s="28" t="str">
        <x:v>key operator absent</x:v>
      </x:c>
      <x:c r="G16" s="28" t="str">
        <x:v>qualified relief assignment</x:v>
      </x:c>
      <x:c r="H16" s="31" t="str"/>
      <x:c r="I16" s="31" t="str"/>
      <x:c r="J16" s="31" t="str"/>
      <x:c r="K16" s="28" t="str">
        <x:f>IF(J16="","OPEN",IF(OR(H16="",I16=""),"FAIL",IF(H16=G16,"PASS","FAIL")))</x:f>
        <x:v>OPEN</x:v>
      </x:c>
    </x:row>
    <x:row r="17">
      <x:c r="B17" s="28" t="str">
        <x:v>DR-RFP-A1-11</x:v>
      </x:c>
      <x:c r="C17" s="28" t="str">
        <x:v>RFP-A1</x:v>
      </x:c>
      <x:c r="D17" s="28" t="str">
        <x:v>PTC-A</x:v>
      </x:c>
      <x:c r="E17" s="28" t="n">
        <x:v>11</x:v>
      </x:c>
      <x:c r="F17" s="28" t="str">
        <x:v>environmental witness lost</x:v>
      </x:c>
      <x:c r="G17" s="28" t="str">
        <x:v>unlike local witness</x:v>
      </x:c>
      <x:c r="H17" s="31" t="str"/>
      <x:c r="I17" s="31" t="str"/>
      <x:c r="J17" s="31" t="str"/>
      <x:c r="K17" s="28" t="str">
        <x:f>IF(J17="","OPEN",IF(OR(H17="",I17=""),"FAIL",IF(H17=G17,"PASS","FAIL")))</x:f>
        <x:v>OPEN</x:v>
      </x:c>
    </x:row>
    <x:row r="18">
      <x:c r="B18" s="28" t="str">
        <x:v>DR-RFP-A1-12</x:v>
      </x:c>
      <x:c r="C18" s="28" t="str">
        <x:v>RFP-A1</x:v>
      </x:c>
      <x:c r="D18" s="28" t="str">
        <x:v>PTC-A</x:v>
      </x:c>
      <x:c r="E18" s="28" t="n">
        <x:v>12</x:v>
      </x:c>
      <x:c r="F18" s="28" t="str">
        <x:v>reference standard unavailable</x:v>
      </x:c>
      <x:c r="G18" s="28" t="str">
        <x:v>held transfer reserve</x:v>
      </x:c>
      <x:c r="H18" s="31" t="str"/>
      <x:c r="I18" s="31" t="str"/>
      <x:c r="J18" s="31" t="str"/>
      <x:c r="K18" s="28" t="str">
        <x:f>IF(J18="","OPEN",IF(OR(H18="",I18=""),"FAIL",IF(H18=G18,"PASS","FAIL")))</x:f>
        <x:v>OPEN</x:v>
      </x:c>
    </x:row>
    <x:row r="19">
      <x:c r="B19" s="28" t="str">
        <x:v>DR-RFP-A2-01</x:v>
      </x:c>
      <x:c r="C19" s="28" t="str">
        <x:v>RFP-A2</x:v>
      </x:c>
      <x:c r="D19" s="28" t="str">
        <x:v>PTC-A</x:v>
      </x:c>
      <x:c r="E19" s="28" t="n">
        <x:v>1</x:v>
      </x:c>
      <x:c r="F19" s="28" t="str">
        <x:v>normal power loss</x:v>
      </x:c>
      <x:c r="G19" s="28" t="str">
        <x:v>independent safety energy</x:v>
      </x:c>
      <x:c r="H19" s="31" t="str"/>
      <x:c r="I19" s="31" t="str"/>
      <x:c r="J19" s="31" t="str"/>
      <x:c r="K19" s="28" t="str">
        <x:f>IF(J19="","OPEN",IF(OR(H19="",I19=""),"FAIL",IF(H19=G19,"PASS","FAIL")))</x:f>
        <x:v>OPEN</x:v>
      </x:c>
    </x:row>
    <x:row r="20">
      <x:c r="B20" s="28" t="str">
        <x:v>DR-RFP-A2-02</x:v>
      </x:c>
      <x:c r="C20" s="28" t="str">
        <x:v>RFP-A2</x:v>
      </x:c>
      <x:c r="D20" s="28" t="str">
        <x:v>PTC-A</x:v>
      </x:c>
      <x:c r="E20" s="28" t="n">
        <x:v>2</x:v>
      </x:c>
      <x:c r="F20" s="28" t="str">
        <x:v>campus network loss</x:v>
      </x:c>
      <x:c r="G20" s="28" t="str">
        <x:v>local control and evidence</x:v>
      </x:c>
      <x:c r="H20" s="31" t="str"/>
      <x:c r="I20" s="31" t="str"/>
      <x:c r="J20" s="31" t="str"/>
      <x:c r="K20" s="28" t="str">
        <x:f>IF(J20="","OPEN",IF(OR(H20="",I20=""),"FAIL",IF(H20=G20,"PASS","FAIL")))</x:f>
        <x:v>OPEN</x:v>
      </x:c>
    </x:row>
    <x:row r="21">
      <x:c r="B21" s="28" t="str">
        <x:v>DR-RFP-A2-03</x:v>
      </x:c>
      <x:c r="C21" s="28" t="str">
        <x:v>RFP-A2</x:v>
      </x:c>
      <x:c r="D21" s="28" t="str">
        <x:v>PTC-A</x:v>
      </x:c>
      <x:c r="E21" s="28" t="n">
        <x:v>3</x:v>
      </x:c>
      <x:c r="F21" s="28" t="str">
        <x:v>primary-time loss</x:v>
      </x:c>
      <x:c r="G21" s="28" t="str">
        <x:v>unlike local time</x:v>
      </x:c>
      <x:c r="H21" s="31" t="str"/>
      <x:c r="I21" s="31" t="str"/>
      <x:c r="J21" s="31" t="str"/>
      <x:c r="K21" s="28" t="str">
        <x:f>IF(J21="","OPEN",IF(OR(H21="",I21=""),"FAIL",IF(H21=G21,"PASS","FAIL")))</x:f>
        <x:v>OPEN</x:v>
      </x:c>
    </x:row>
    <x:row r="22">
      <x:c r="B22" s="28" t="str">
        <x:v>DR-RFP-A2-04</x:v>
      </x:c>
      <x:c r="C22" s="28" t="str">
        <x:v>RFP-A2</x:v>
      </x:c>
      <x:c r="D22" s="28" t="str">
        <x:v>PTC-A</x:v>
      </x:c>
      <x:c r="E22" s="28" t="n">
        <x:v>4</x:v>
      </x:c>
      <x:c r="F22" s="28" t="str">
        <x:v>normal water loss</x:v>
      </x:c>
      <x:c r="G22" s="28" t="str">
        <x:v>isolation and casualty-water path</x:v>
      </x:c>
      <x:c r="H22" s="31" t="str"/>
      <x:c r="I22" s="31" t="str"/>
      <x:c r="J22" s="31" t="str"/>
      <x:c r="K22" s="28" t="str">
        <x:f>IF(J22="","OPEN",IF(OR(H22="",I22=""),"FAIL",IF(H22=G22,"PASS","FAIL")))</x:f>
        <x:v>OPEN</x:v>
      </x:c>
    </x:row>
    <x:row r="23">
      <x:c r="B23" s="28" t="str">
        <x:v>DR-RFP-A2-05</x:v>
      </x:c>
      <x:c r="C23" s="28" t="str">
        <x:v>RFP-A2</x:v>
      </x:c>
      <x:c r="D23" s="28" t="str">
        <x:v>PTC-A</x:v>
      </x:c>
      <x:c r="E23" s="28" t="n">
        <x:v>5</x:v>
      </x:c>
      <x:c r="F23" s="28" t="str">
        <x:v>normal receiver unavailable</x:v>
      </x:c>
      <x:c r="G23" s="28" t="str">
        <x:v>casualty-source receiver</x:v>
      </x:c>
      <x:c r="H23" s="31" t="str"/>
      <x:c r="I23" s="31" t="str"/>
      <x:c r="J23" s="31" t="str"/>
      <x:c r="K23" s="28" t="str">
        <x:f>IF(J23="","OPEN",IF(OR(H23="",I23=""),"FAIL",IF(H23=G23,"PASS","FAIL")))</x:f>
        <x:v>OPEN</x:v>
      </x:c>
    </x:row>
    <x:row r="24">
      <x:c r="B24" s="28" t="str">
        <x:v>DR-RFP-A2-06</x:v>
      </x:c>
      <x:c r="C24" s="28" t="str">
        <x:v>RFP-A2</x:v>
      </x:c>
      <x:c r="D24" s="28" t="str">
        <x:v>PTC-A</x:v>
      </x:c>
      <x:c r="E24" s="28" t="n">
        <x:v>6</x:v>
      </x:c>
      <x:c r="F24" s="28" t="str">
        <x:v>primary safeing path unavailable</x:v>
      </x:c>
      <x:c r="G24" s="28" t="str">
        <x:v>diverse or passive path</x:v>
      </x:c>
      <x:c r="H24" s="31" t="str"/>
      <x:c r="I24" s="31" t="str"/>
      <x:c r="J24" s="31" t="str"/>
      <x:c r="K24" s="28" t="str">
        <x:f>IF(J24="","OPEN",IF(OR(H24="",I24=""),"FAIL",IF(H24=G24,"PASS","FAIL")))</x:f>
        <x:v>OPEN</x:v>
      </x:c>
    </x:row>
    <x:row r="25">
      <x:c r="B25" s="28" t="str">
        <x:v>DR-RFP-A2-07</x:v>
      </x:c>
      <x:c r="C25" s="28" t="str">
        <x:v>RFP-A2</x:v>
      </x:c>
      <x:c r="D25" s="28" t="str">
        <x:v>PTC-A</x:v>
      </x:c>
      <x:c r="E25" s="28" t="n">
        <x:v>7</x:v>
      </x:c>
      <x:c r="F25" s="28" t="str">
        <x:v>one evidence original lost</x:v>
      </x:c>
      <x:c r="G25" s="28" t="str">
        <x:v>second local original</x:v>
      </x:c>
      <x:c r="H25" s="31" t="str"/>
      <x:c r="I25" s="31" t="str"/>
      <x:c r="J25" s="31" t="str"/>
      <x:c r="K25" s="28" t="str">
        <x:f>IF(J25="","OPEN",IF(OR(H25="",I25=""),"FAIL",IF(H25=G25,"PASS","FAIL")))</x:f>
        <x:v>OPEN</x:v>
      </x:c>
    </x:row>
    <x:row r="26">
      <x:c r="B26" s="28" t="str">
        <x:v>DR-RFP-A2-08</x:v>
      </x:c>
      <x:c r="C26" s="28" t="str">
        <x:v>RFP-A2</x:v>
      </x:c>
      <x:c r="D26" s="28" t="str">
        <x:v>PTC-A</x:v>
      </x:c>
      <x:c r="E26" s="28" t="n">
        <x:v>8</x:v>
      </x:c>
      <x:c r="F26" s="28" t="str">
        <x:v>casualty route demanded</x:v>
      </x:c>
      <x:c r="G26" s="28" t="str">
        <x:v>separate casualty custody</x:v>
      </x:c>
      <x:c r="H26" s="31" t="str"/>
      <x:c r="I26" s="31" t="str"/>
      <x:c r="J26" s="31" t="str"/>
      <x:c r="K26" s="28" t="str">
        <x:f>IF(J26="","OPEN",IF(OR(H26="",I26=""),"FAIL",IF(H26=G26,"PASS","FAIL")))</x:f>
        <x:v>OPEN</x:v>
      </x:c>
    </x:row>
    <x:row r="27">
      <x:c r="B27" s="28" t="str">
        <x:v>DR-RFP-A2-09</x:v>
      </x:c>
      <x:c r="C27" s="28" t="str">
        <x:v>RFP-A2</x:v>
      </x:c>
      <x:c r="D27" s="28" t="str">
        <x:v>PTC-A</x:v>
      </x:c>
      <x:c r="E27" s="28" t="n">
        <x:v>9</x:v>
      </x:c>
      <x:c r="F27" s="28" t="str">
        <x:v>rescue corridor obstructed</x:v>
      </x:c>
      <x:c r="G27" s="28" t="str">
        <x:v>unlike extraction path</x:v>
      </x:c>
      <x:c r="H27" s="31" t="str"/>
      <x:c r="I27" s="31" t="str"/>
      <x:c r="J27" s="31" t="str"/>
      <x:c r="K27" s="28" t="str">
        <x:f>IF(J27="","OPEN",IF(OR(H27="",I27=""),"FAIL",IF(H27=G27,"PASS","FAIL")))</x:f>
        <x:v>OPEN</x:v>
      </x:c>
    </x:row>
    <x:row r="28">
      <x:c r="B28" s="28" t="str">
        <x:v>DR-RFP-A2-10</x:v>
      </x:c>
      <x:c r="C28" s="28" t="str">
        <x:v>RFP-A2</x:v>
      </x:c>
      <x:c r="D28" s="28" t="str">
        <x:v>PTC-A</x:v>
      </x:c>
      <x:c r="E28" s="28" t="n">
        <x:v>10</x:v>
      </x:c>
      <x:c r="F28" s="28" t="str">
        <x:v>key operator absent</x:v>
      </x:c>
      <x:c r="G28" s="28" t="str">
        <x:v>qualified relief assignment</x:v>
      </x:c>
      <x:c r="H28" s="31" t="str"/>
      <x:c r="I28" s="31" t="str"/>
      <x:c r="J28" s="31" t="str"/>
      <x:c r="K28" s="28" t="str">
        <x:f>IF(J28="","OPEN",IF(OR(H28="",I28=""),"FAIL",IF(H28=G28,"PASS","FAIL")))</x:f>
        <x:v>OPEN</x:v>
      </x:c>
    </x:row>
    <x:row r="29">
      <x:c r="B29" s="28" t="str">
        <x:v>DR-RFP-A2-11</x:v>
      </x:c>
      <x:c r="C29" s="28" t="str">
        <x:v>RFP-A2</x:v>
      </x:c>
      <x:c r="D29" s="28" t="str">
        <x:v>PTC-A</x:v>
      </x:c>
      <x:c r="E29" s="28" t="n">
        <x:v>11</x:v>
      </x:c>
      <x:c r="F29" s="28" t="str">
        <x:v>environmental witness lost</x:v>
      </x:c>
      <x:c r="G29" s="28" t="str">
        <x:v>unlike local witness</x:v>
      </x:c>
      <x:c r="H29" s="31" t="str"/>
      <x:c r="I29" s="31" t="str"/>
      <x:c r="J29" s="31" t="str"/>
      <x:c r="K29" s="28" t="str">
        <x:f>IF(J29="","OPEN",IF(OR(H29="",I29=""),"FAIL",IF(H29=G29,"PASS","FAIL")))</x:f>
        <x:v>OPEN</x:v>
      </x:c>
    </x:row>
    <x:row r="30">
      <x:c r="B30" s="28" t="str">
        <x:v>DR-RFP-A2-12</x:v>
      </x:c>
      <x:c r="C30" s="28" t="str">
        <x:v>RFP-A2</x:v>
      </x:c>
      <x:c r="D30" s="28" t="str">
        <x:v>PTC-A</x:v>
      </x:c>
      <x:c r="E30" s="28" t="n">
        <x:v>12</x:v>
      </x:c>
      <x:c r="F30" s="28" t="str">
        <x:v>reference standard unavailable</x:v>
      </x:c>
      <x:c r="G30" s="28" t="str">
        <x:v>held transfer reserve</x:v>
      </x:c>
      <x:c r="H30" s="31" t="str"/>
      <x:c r="I30" s="31" t="str"/>
      <x:c r="J30" s="31" t="str"/>
      <x:c r="K30" s="28" t="str">
        <x:f>IF(J30="","OPEN",IF(OR(H30="",I30=""),"FAIL",IF(H30=G30,"PASS","FAIL")))</x:f>
        <x:v>OPEN</x:v>
      </x:c>
    </x:row>
    <x:row r="31">
      <x:c r="B31" s="28" t="str">
        <x:v>DR-RFP-B1-01</x:v>
      </x:c>
      <x:c r="C31" s="28" t="str">
        <x:v>RFP-B1</x:v>
      </x:c>
      <x:c r="D31" s="28" t="str">
        <x:v>PTC-B</x:v>
      </x:c>
      <x:c r="E31" s="28" t="n">
        <x:v>1</x:v>
      </x:c>
      <x:c r="F31" s="28" t="str">
        <x:v>normal power loss</x:v>
      </x:c>
      <x:c r="G31" s="28" t="str">
        <x:v>independent safety energy</x:v>
      </x:c>
      <x:c r="H31" s="31" t="str"/>
      <x:c r="I31" s="31" t="str"/>
      <x:c r="J31" s="31" t="str"/>
      <x:c r="K31" s="28" t="str">
        <x:f>IF(J31="","OPEN",IF(OR(H31="",I31=""),"FAIL",IF(H31=G31,"PASS","FAIL")))</x:f>
        <x:v>OPEN</x:v>
      </x:c>
    </x:row>
    <x:row r="32">
      <x:c r="B32" s="28" t="str">
        <x:v>DR-RFP-B1-02</x:v>
      </x:c>
      <x:c r="C32" s="28" t="str">
        <x:v>RFP-B1</x:v>
      </x:c>
      <x:c r="D32" s="28" t="str">
        <x:v>PTC-B</x:v>
      </x:c>
      <x:c r="E32" s="28" t="n">
        <x:v>2</x:v>
      </x:c>
      <x:c r="F32" s="28" t="str">
        <x:v>campus network loss</x:v>
      </x:c>
      <x:c r="G32" s="28" t="str">
        <x:v>local control and evidence</x:v>
      </x:c>
      <x:c r="H32" s="31" t="str"/>
      <x:c r="I32" s="31" t="str"/>
      <x:c r="J32" s="31" t="str"/>
      <x:c r="K32" s="28" t="str">
        <x:f>IF(J32="","OPEN",IF(OR(H32="",I32=""),"FAIL",IF(H32=G32,"PASS","FAIL")))</x:f>
        <x:v>OPEN</x:v>
      </x:c>
    </x:row>
    <x:row r="33">
      <x:c r="B33" s="28" t="str">
        <x:v>DR-RFP-B1-03</x:v>
      </x:c>
      <x:c r="C33" s="28" t="str">
        <x:v>RFP-B1</x:v>
      </x:c>
      <x:c r="D33" s="28" t="str">
        <x:v>PTC-B</x:v>
      </x:c>
      <x:c r="E33" s="28" t="n">
        <x:v>3</x:v>
      </x:c>
      <x:c r="F33" s="28" t="str">
        <x:v>primary-time loss</x:v>
      </x:c>
      <x:c r="G33" s="28" t="str">
        <x:v>unlike local time</x:v>
      </x:c>
      <x:c r="H33" s="31" t="str"/>
      <x:c r="I33" s="31" t="str"/>
      <x:c r="J33" s="31" t="str"/>
      <x:c r="K33" s="28" t="str">
        <x:f>IF(J33="","OPEN",IF(OR(H33="",I33=""),"FAIL",IF(H33=G33,"PASS","FAIL")))</x:f>
        <x:v>OPEN</x:v>
      </x:c>
    </x:row>
    <x:row r="34">
      <x:c r="B34" s="28" t="str">
        <x:v>DR-RFP-B1-04</x:v>
      </x:c>
      <x:c r="C34" s="28" t="str">
        <x:v>RFP-B1</x:v>
      </x:c>
      <x:c r="D34" s="28" t="str">
        <x:v>PTC-B</x:v>
      </x:c>
      <x:c r="E34" s="28" t="n">
        <x:v>4</x:v>
      </x:c>
      <x:c r="F34" s="28" t="str">
        <x:v>normal water loss</x:v>
      </x:c>
      <x:c r="G34" s="28" t="str">
        <x:v>isolation and casualty-water path</x:v>
      </x:c>
      <x:c r="H34" s="31" t="str"/>
      <x:c r="I34" s="31" t="str"/>
      <x:c r="J34" s="31" t="str"/>
      <x:c r="K34" s="28" t="str">
        <x:f>IF(J34="","OPEN",IF(OR(H34="",I34=""),"FAIL",IF(H34=G34,"PASS","FAIL")))</x:f>
        <x:v>OPEN</x:v>
      </x:c>
    </x:row>
    <x:row r="35">
      <x:c r="B35" s="28" t="str">
        <x:v>DR-RFP-B1-05</x:v>
      </x:c>
      <x:c r="C35" s="28" t="str">
        <x:v>RFP-B1</x:v>
      </x:c>
      <x:c r="D35" s="28" t="str">
        <x:v>PTC-B</x:v>
      </x:c>
      <x:c r="E35" s="28" t="n">
        <x:v>5</x:v>
      </x:c>
      <x:c r="F35" s="28" t="str">
        <x:v>normal receiver unavailable</x:v>
      </x:c>
      <x:c r="G35" s="28" t="str">
        <x:v>casualty-source receiver</x:v>
      </x:c>
      <x:c r="H35" s="31" t="str"/>
      <x:c r="I35" s="31" t="str"/>
      <x:c r="J35" s="31" t="str"/>
      <x:c r="K35" s="28" t="str">
        <x:f>IF(J35="","OPEN",IF(OR(H35="",I35=""),"FAIL",IF(H35=G35,"PASS","FAIL")))</x:f>
        <x:v>OPEN</x:v>
      </x:c>
    </x:row>
    <x:row r="36">
      <x:c r="B36" s="28" t="str">
        <x:v>DR-RFP-B1-06</x:v>
      </x:c>
      <x:c r="C36" s="28" t="str">
        <x:v>RFP-B1</x:v>
      </x:c>
      <x:c r="D36" s="28" t="str">
        <x:v>PTC-B</x:v>
      </x:c>
      <x:c r="E36" s="28" t="n">
        <x:v>6</x:v>
      </x:c>
      <x:c r="F36" s="28" t="str">
        <x:v>primary safeing path unavailable</x:v>
      </x:c>
      <x:c r="G36" s="28" t="str">
        <x:v>diverse or passive path</x:v>
      </x:c>
      <x:c r="H36" s="31" t="str"/>
      <x:c r="I36" s="31" t="str"/>
      <x:c r="J36" s="31" t="str"/>
      <x:c r="K36" s="28" t="str">
        <x:f>IF(J36="","OPEN",IF(OR(H36="",I36=""),"FAIL",IF(H36=G36,"PASS","FAIL")))</x:f>
        <x:v>OPEN</x:v>
      </x:c>
    </x:row>
    <x:row r="37">
      <x:c r="B37" s="28" t="str">
        <x:v>DR-RFP-B1-07</x:v>
      </x:c>
      <x:c r="C37" s="28" t="str">
        <x:v>RFP-B1</x:v>
      </x:c>
      <x:c r="D37" s="28" t="str">
        <x:v>PTC-B</x:v>
      </x:c>
      <x:c r="E37" s="28" t="n">
        <x:v>7</x:v>
      </x:c>
      <x:c r="F37" s="28" t="str">
        <x:v>one evidence original lost</x:v>
      </x:c>
      <x:c r="G37" s="28" t="str">
        <x:v>second local original</x:v>
      </x:c>
      <x:c r="H37" s="31" t="str"/>
      <x:c r="I37" s="31" t="str"/>
      <x:c r="J37" s="31" t="str"/>
      <x:c r="K37" s="28" t="str">
        <x:f>IF(J37="","OPEN",IF(OR(H37="",I37=""),"FAIL",IF(H37=G37,"PASS","FAIL")))</x:f>
        <x:v>OPEN</x:v>
      </x:c>
    </x:row>
    <x:row r="38">
      <x:c r="B38" s="28" t="str">
        <x:v>DR-RFP-B1-08</x:v>
      </x:c>
      <x:c r="C38" s="28" t="str">
        <x:v>RFP-B1</x:v>
      </x:c>
      <x:c r="D38" s="28" t="str">
        <x:v>PTC-B</x:v>
      </x:c>
      <x:c r="E38" s="28" t="n">
        <x:v>8</x:v>
      </x:c>
      <x:c r="F38" s="28" t="str">
        <x:v>casualty route demanded</x:v>
      </x:c>
      <x:c r="G38" s="28" t="str">
        <x:v>separate casualty custody</x:v>
      </x:c>
      <x:c r="H38" s="31" t="str"/>
      <x:c r="I38" s="31" t="str"/>
      <x:c r="J38" s="31" t="str"/>
      <x:c r="K38" s="28" t="str">
        <x:f>IF(J38="","OPEN",IF(OR(H38="",I38=""),"FAIL",IF(H38=G38,"PASS","FAIL")))</x:f>
        <x:v>OPEN</x:v>
      </x:c>
    </x:row>
    <x:row r="39">
      <x:c r="B39" s="28" t="str">
        <x:v>DR-RFP-B1-09</x:v>
      </x:c>
      <x:c r="C39" s="28" t="str">
        <x:v>RFP-B1</x:v>
      </x:c>
      <x:c r="D39" s="28" t="str">
        <x:v>PTC-B</x:v>
      </x:c>
      <x:c r="E39" s="28" t="n">
        <x:v>9</x:v>
      </x:c>
      <x:c r="F39" s="28" t="str">
        <x:v>rescue corridor obstructed</x:v>
      </x:c>
      <x:c r="G39" s="28" t="str">
        <x:v>unlike extraction path</x:v>
      </x:c>
      <x:c r="H39" s="31" t="str"/>
      <x:c r="I39" s="31" t="str"/>
      <x:c r="J39" s="31" t="str"/>
      <x:c r="K39" s="28" t="str">
        <x:f>IF(J39="","OPEN",IF(OR(H39="",I39=""),"FAIL",IF(H39=G39,"PASS","FAIL")))</x:f>
        <x:v>OPEN</x:v>
      </x:c>
    </x:row>
    <x:row r="40">
      <x:c r="B40" s="28" t="str">
        <x:v>DR-RFP-B1-10</x:v>
      </x:c>
      <x:c r="C40" s="28" t="str">
        <x:v>RFP-B1</x:v>
      </x:c>
      <x:c r="D40" s="28" t="str">
        <x:v>PTC-B</x:v>
      </x:c>
      <x:c r="E40" s="28" t="n">
        <x:v>10</x:v>
      </x:c>
      <x:c r="F40" s="28" t="str">
        <x:v>key operator absent</x:v>
      </x:c>
      <x:c r="G40" s="28" t="str">
        <x:v>qualified relief assignment</x:v>
      </x:c>
      <x:c r="H40" s="31" t="str"/>
      <x:c r="I40" s="31" t="str"/>
      <x:c r="J40" s="31" t="str"/>
      <x:c r="K40" s="28" t="str">
        <x:f>IF(J40="","OPEN",IF(OR(H40="",I40=""),"FAIL",IF(H40=G40,"PASS","FAIL")))</x:f>
        <x:v>OPEN</x:v>
      </x:c>
    </x:row>
    <x:row r="41">
      <x:c r="B41" s="28" t="str">
        <x:v>DR-RFP-B1-11</x:v>
      </x:c>
      <x:c r="C41" s="28" t="str">
        <x:v>RFP-B1</x:v>
      </x:c>
      <x:c r="D41" s="28" t="str">
        <x:v>PTC-B</x:v>
      </x:c>
      <x:c r="E41" s="28" t="n">
        <x:v>11</x:v>
      </x:c>
      <x:c r="F41" s="28" t="str">
        <x:v>environmental witness lost</x:v>
      </x:c>
      <x:c r="G41" s="28" t="str">
        <x:v>unlike local witness</x:v>
      </x:c>
      <x:c r="H41" s="31" t="str"/>
      <x:c r="I41" s="31" t="str"/>
      <x:c r="J41" s="31" t="str"/>
      <x:c r="K41" s="28" t="str">
        <x:f>IF(J41="","OPEN",IF(OR(H41="",I41=""),"FAIL",IF(H41=G41,"PASS","FAIL")))</x:f>
        <x:v>OPEN</x:v>
      </x:c>
    </x:row>
    <x:row r="42">
      <x:c r="B42" s="28" t="str">
        <x:v>DR-RFP-B1-12</x:v>
      </x:c>
      <x:c r="C42" s="28" t="str">
        <x:v>RFP-B1</x:v>
      </x:c>
      <x:c r="D42" s="28" t="str">
        <x:v>PTC-B</x:v>
      </x:c>
      <x:c r="E42" s="28" t="n">
        <x:v>12</x:v>
      </x:c>
      <x:c r="F42" s="28" t="str">
        <x:v>reference standard unavailable</x:v>
      </x:c>
      <x:c r="G42" s="28" t="str">
        <x:v>held transfer reserve</x:v>
      </x:c>
      <x:c r="H42" s="31" t="str"/>
      <x:c r="I42" s="31" t="str"/>
      <x:c r="J42" s="31" t="str"/>
      <x:c r="K42" s="28" t="str">
        <x:f>IF(J42="","OPEN",IF(OR(H42="",I42=""),"FAIL",IF(H42=G42,"PASS","FAIL")))</x:f>
        <x:v>OPEN</x:v>
      </x:c>
    </x:row>
    <x:row r="43">
      <x:c r="B43" s="28" t="str">
        <x:v>DR-RFP-B2-01</x:v>
      </x:c>
      <x:c r="C43" s="28" t="str">
        <x:v>RFP-B2</x:v>
      </x:c>
      <x:c r="D43" s="28" t="str">
        <x:v>PTC-B</x:v>
      </x:c>
      <x:c r="E43" s="28" t="n">
        <x:v>1</x:v>
      </x:c>
      <x:c r="F43" s="28" t="str">
        <x:v>normal power loss</x:v>
      </x:c>
      <x:c r="G43" s="28" t="str">
        <x:v>independent safety energy</x:v>
      </x:c>
      <x:c r="H43" s="31" t="str"/>
      <x:c r="I43" s="31" t="str"/>
      <x:c r="J43" s="31" t="str"/>
      <x:c r="K43" s="28" t="str">
        <x:f>IF(J43="","OPEN",IF(OR(H43="",I43=""),"FAIL",IF(H43=G43,"PASS","FAIL")))</x:f>
        <x:v>OPEN</x:v>
      </x:c>
    </x:row>
    <x:row r="44">
      <x:c r="B44" s="28" t="str">
        <x:v>DR-RFP-B2-02</x:v>
      </x:c>
      <x:c r="C44" s="28" t="str">
        <x:v>RFP-B2</x:v>
      </x:c>
      <x:c r="D44" s="28" t="str">
        <x:v>PTC-B</x:v>
      </x:c>
      <x:c r="E44" s="28" t="n">
        <x:v>2</x:v>
      </x:c>
      <x:c r="F44" s="28" t="str">
        <x:v>campus network loss</x:v>
      </x:c>
      <x:c r="G44" s="28" t="str">
        <x:v>local control and evidence</x:v>
      </x:c>
      <x:c r="H44" s="31" t="str"/>
      <x:c r="I44" s="31" t="str"/>
      <x:c r="J44" s="31" t="str"/>
      <x:c r="K44" s="28" t="str">
        <x:f>IF(J44="","OPEN",IF(OR(H44="",I44=""),"FAIL",IF(H44=G44,"PASS","FAIL")))</x:f>
        <x:v>OPEN</x:v>
      </x:c>
    </x:row>
    <x:row r="45">
      <x:c r="B45" s="28" t="str">
        <x:v>DR-RFP-B2-03</x:v>
      </x:c>
      <x:c r="C45" s="28" t="str">
        <x:v>RFP-B2</x:v>
      </x:c>
      <x:c r="D45" s="28" t="str">
        <x:v>PTC-B</x:v>
      </x:c>
      <x:c r="E45" s="28" t="n">
        <x:v>3</x:v>
      </x:c>
      <x:c r="F45" s="28" t="str">
        <x:v>primary-time loss</x:v>
      </x:c>
      <x:c r="G45" s="28" t="str">
        <x:v>unlike local time</x:v>
      </x:c>
      <x:c r="H45" s="31" t="str"/>
      <x:c r="I45" s="31" t="str"/>
      <x:c r="J45" s="31" t="str"/>
      <x:c r="K45" s="28" t="str">
        <x:f>IF(J45="","OPEN",IF(OR(H45="",I45=""),"FAIL",IF(H45=G45,"PASS","FAIL")))</x:f>
        <x:v>OPEN</x:v>
      </x:c>
    </x:row>
    <x:row r="46">
      <x:c r="B46" s="28" t="str">
        <x:v>DR-RFP-B2-04</x:v>
      </x:c>
      <x:c r="C46" s="28" t="str">
        <x:v>RFP-B2</x:v>
      </x:c>
      <x:c r="D46" s="28" t="str">
        <x:v>PTC-B</x:v>
      </x:c>
      <x:c r="E46" s="28" t="n">
        <x:v>4</x:v>
      </x:c>
      <x:c r="F46" s="28" t="str">
        <x:v>normal water loss</x:v>
      </x:c>
      <x:c r="G46" s="28" t="str">
        <x:v>isolation and casualty-water path</x:v>
      </x:c>
      <x:c r="H46" s="31" t="str"/>
      <x:c r="I46" s="31" t="str"/>
      <x:c r="J46" s="31" t="str"/>
      <x:c r="K46" s="28" t="str">
        <x:f>IF(J46="","OPEN",IF(OR(H46="",I46=""),"FAIL",IF(H46=G46,"PASS","FAIL")))</x:f>
        <x:v>OPEN</x:v>
      </x:c>
    </x:row>
    <x:row r="47">
      <x:c r="B47" s="28" t="str">
        <x:v>DR-RFP-B2-05</x:v>
      </x:c>
      <x:c r="C47" s="28" t="str">
        <x:v>RFP-B2</x:v>
      </x:c>
      <x:c r="D47" s="28" t="str">
        <x:v>PTC-B</x:v>
      </x:c>
      <x:c r="E47" s="28" t="n">
        <x:v>5</x:v>
      </x:c>
      <x:c r="F47" s="28" t="str">
        <x:v>normal receiver unavailable</x:v>
      </x:c>
      <x:c r="G47" s="28" t="str">
        <x:v>casualty-source receiver</x:v>
      </x:c>
      <x:c r="H47" s="31" t="str"/>
      <x:c r="I47" s="31" t="str"/>
      <x:c r="J47" s="31" t="str"/>
      <x:c r="K47" s="28" t="str">
        <x:f>IF(J47="","OPEN",IF(OR(H47="",I47=""),"FAIL",IF(H47=G47,"PASS","FAIL")))</x:f>
        <x:v>OPEN</x:v>
      </x:c>
    </x:row>
    <x:row r="48">
      <x:c r="B48" s="28" t="str">
        <x:v>DR-RFP-B2-06</x:v>
      </x:c>
      <x:c r="C48" s="28" t="str">
        <x:v>RFP-B2</x:v>
      </x:c>
      <x:c r="D48" s="28" t="str">
        <x:v>PTC-B</x:v>
      </x:c>
      <x:c r="E48" s="28" t="n">
        <x:v>6</x:v>
      </x:c>
      <x:c r="F48" s="28" t="str">
        <x:v>primary safeing path unavailable</x:v>
      </x:c>
      <x:c r="G48" s="28" t="str">
        <x:v>diverse or passive path</x:v>
      </x:c>
      <x:c r="H48" s="31" t="str"/>
      <x:c r="I48" s="31" t="str"/>
      <x:c r="J48" s="31" t="str"/>
      <x:c r="K48" s="28" t="str">
        <x:f>IF(J48="","OPEN",IF(OR(H48="",I48=""),"FAIL",IF(H48=G48,"PASS","FAIL")))</x:f>
        <x:v>OPEN</x:v>
      </x:c>
    </x:row>
    <x:row r="49">
      <x:c r="B49" s="28" t="str">
        <x:v>DR-RFP-B2-07</x:v>
      </x:c>
      <x:c r="C49" s="28" t="str">
        <x:v>RFP-B2</x:v>
      </x:c>
      <x:c r="D49" s="28" t="str">
        <x:v>PTC-B</x:v>
      </x:c>
      <x:c r="E49" s="28" t="n">
        <x:v>7</x:v>
      </x:c>
      <x:c r="F49" s="28" t="str">
        <x:v>one evidence original lost</x:v>
      </x:c>
      <x:c r="G49" s="28" t="str">
        <x:v>second local original</x:v>
      </x:c>
      <x:c r="H49" s="31" t="str"/>
      <x:c r="I49" s="31" t="str"/>
      <x:c r="J49" s="31" t="str"/>
      <x:c r="K49" s="28" t="str">
        <x:f>IF(J49="","OPEN",IF(OR(H49="",I49=""),"FAIL",IF(H49=G49,"PASS","FAIL")))</x:f>
        <x:v>OPEN</x:v>
      </x:c>
    </x:row>
    <x:row r="50">
      <x:c r="B50" s="28" t="str">
        <x:v>DR-RFP-B2-08</x:v>
      </x:c>
      <x:c r="C50" s="28" t="str">
        <x:v>RFP-B2</x:v>
      </x:c>
      <x:c r="D50" s="28" t="str">
        <x:v>PTC-B</x:v>
      </x:c>
      <x:c r="E50" s="28" t="n">
        <x:v>8</x:v>
      </x:c>
      <x:c r="F50" s="28" t="str">
        <x:v>casualty route demanded</x:v>
      </x:c>
      <x:c r="G50" s="28" t="str">
        <x:v>separate casualty custody</x:v>
      </x:c>
      <x:c r="H50" s="31" t="str"/>
      <x:c r="I50" s="31" t="str"/>
      <x:c r="J50" s="31" t="str"/>
      <x:c r="K50" s="28" t="str">
        <x:f>IF(J50="","OPEN",IF(OR(H50="",I50=""),"FAIL",IF(H50=G50,"PASS","FAIL")))</x:f>
        <x:v>OPEN</x:v>
      </x:c>
    </x:row>
    <x:row r="51">
      <x:c r="B51" s="28" t="str">
        <x:v>DR-RFP-B2-09</x:v>
      </x:c>
      <x:c r="C51" s="28" t="str">
        <x:v>RFP-B2</x:v>
      </x:c>
      <x:c r="D51" s="28" t="str">
        <x:v>PTC-B</x:v>
      </x:c>
      <x:c r="E51" s="28" t="n">
        <x:v>9</x:v>
      </x:c>
      <x:c r="F51" s="28" t="str">
        <x:v>rescue corridor obstructed</x:v>
      </x:c>
      <x:c r="G51" s="28" t="str">
        <x:v>unlike extraction path</x:v>
      </x:c>
      <x:c r="H51" s="31" t="str"/>
      <x:c r="I51" s="31" t="str"/>
      <x:c r="J51" s="31" t="str"/>
      <x:c r="K51" s="28" t="str">
        <x:f>IF(J51="","OPEN",IF(OR(H51="",I51=""),"FAIL",IF(H51=G51,"PASS","FAIL")))</x:f>
        <x:v>OPEN</x:v>
      </x:c>
    </x:row>
    <x:row r="52">
      <x:c r="B52" s="28" t="str">
        <x:v>DR-RFP-B2-10</x:v>
      </x:c>
      <x:c r="C52" s="28" t="str">
        <x:v>RFP-B2</x:v>
      </x:c>
      <x:c r="D52" s="28" t="str">
        <x:v>PTC-B</x:v>
      </x:c>
      <x:c r="E52" s="28" t="n">
        <x:v>10</x:v>
      </x:c>
      <x:c r="F52" s="28" t="str">
        <x:v>key operator absent</x:v>
      </x:c>
      <x:c r="G52" s="28" t="str">
        <x:v>qualified relief assignment</x:v>
      </x:c>
      <x:c r="H52" s="31" t="str"/>
      <x:c r="I52" s="31" t="str"/>
      <x:c r="J52" s="31" t="str"/>
      <x:c r="K52" s="28" t="str">
        <x:f>IF(J52="","OPEN",IF(OR(H52="",I52=""),"FAIL",IF(H52=G52,"PASS","FAIL")))</x:f>
        <x:v>OPEN</x:v>
      </x:c>
    </x:row>
    <x:row r="53">
      <x:c r="B53" s="28" t="str">
        <x:v>DR-RFP-B2-11</x:v>
      </x:c>
      <x:c r="C53" s="28" t="str">
        <x:v>RFP-B2</x:v>
      </x:c>
      <x:c r="D53" s="28" t="str">
        <x:v>PTC-B</x:v>
      </x:c>
      <x:c r="E53" s="28" t="n">
        <x:v>11</x:v>
      </x:c>
      <x:c r="F53" s="28" t="str">
        <x:v>environmental witness lost</x:v>
      </x:c>
      <x:c r="G53" s="28" t="str">
        <x:v>unlike local witness</x:v>
      </x:c>
      <x:c r="H53" s="31" t="str"/>
      <x:c r="I53" s="31" t="str"/>
      <x:c r="J53" s="31" t="str"/>
      <x:c r="K53" s="28" t="str">
        <x:f>IF(J53="","OPEN",IF(OR(H53="",I53=""),"FAIL",IF(H53=G53,"PASS","FAIL")))</x:f>
        <x:v>OPEN</x:v>
      </x:c>
    </x:row>
    <x:row r="54">
      <x:c r="B54" s="28" t="str">
        <x:v>DR-RFP-B2-12</x:v>
      </x:c>
      <x:c r="C54" s="28" t="str">
        <x:v>RFP-B2</x:v>
      </x:c>
      <x:c r="D54" s="28" t="str">
        <x:v>PTC-B</x:v>
      </x:c>
      <x:c r="E54" s="28" t="n">
        <x:v>12</x:v>
      </x:c>
      <x:c r="F54" s="28" t="str">
        <x:v>reference standard unavailable</x:v>
      </x:c>
      <x:c r="G54" s="28" t="str">
        <x:v>held transfer reserve</x:v>
      </x:c>
      <x:c r="H54" s="31" t="str"/>
      <x:c r="I54" s="31" t="str"/>
      <x:c r="J54" s="31" t="str"/>
      <x:c r="K54" s="28" t="str">
        <x:f>IF(J54="","OPEN",IF(OR(H54="",I54=""),"FAIL",IF(H54=G54,"PASS","FAIL")))</x:f>
        <x:v>OPEN</x:v>
      </x:c>
    </x:row>
    <x:row r="55">
      <x:c r="B55" s="28" t="str">
        <x:v>DR-RFP-C1-01</x:v>
      </x:c>
      <x:c r="C55" s="28" t="str">
        <x:v>RFP-C1</x:v>
      </x:c>
      <x:c r="D55" s="28" t="str">
        <x:v>PTC-C</x:v>
      </x:c>
      <x:c r="E55" s="28" t="n">
        <x:v>1</x:v>
      </x:c>
      <x:c r="F55" s="28" t="str">
        <x:v>normal power loss</x:v>
      </x:c>
      <x:c r="G55" s="28" t="str">
        <x:v>independent safety energy</x:v>
      </x:c>
      <x:c r="H55" s="31" t="str"/>
      <x:c r="I55" s="31" t="str"/>
      <x:c r="J55" s="31" t="str"/>
      <x:c r="K55" s="28" t="str">
        <x:f>IF(J55="","OPEN",IF(OR(H55="",I55=""),"FAIL",IF(H55=G55,"PASS","FAIL")))</x:f>
        <x:v>OPEN</x:v>
      </x:c>
    </x:row>
    <x:row r="56">
      <x:c r="B56" s="28" t="str">
        <x:v>DR-RFP-C1-02</x:v>
      </x:c>
      <x:c r="C56" s="28" t="str">
        <x:v>RFP-C1</x:v>
      </x:c>
      <x:c r="D56" s="28" t="str">
        <x:v>PTC-C</x:v>
      </x:c>
      <x:c r="E56" s="28" t="n">
        <x:v>2</x:v>
      </x:c>
      <x:c r="F56" s="28" t="str">
        <x:v>campus network loss</x:v>
      </x:c>
      <x:c r="G56" s="28" t="str">
        <x:v>local control and evidence</x:v>
      </x:c>
      <x:c r="H56" s="31" t="str"/>
      <x:c r="I56" s="31" t="str"/>
      <x:c r="J56" s="31" t="str"/>
      <x:c r="K56" s="28" t="str">
        <x:f>IF(J56="","OPEN",IF(OR(H56="",I56=""),"FAIL",IF(H56=G56,"PASS","FAIL")))</x:f>
        <x:v>OPEN</x:v>
      </x:c>
    </x:row>
    <x:row r="57">
      <x:c r="B57" s="28" t="str">
        <x:v>DR-RFP-C1-03</x:v>
      </x:c>
      <x:c r="C57" s="28" t="str">
        <x:v>RFP-C1</x:v>
      </x:c>
      <x:c r="D57" s="28" t="str">
        <x:v>PTC-C</x:v>
      </x:c>
      <x:c r="E57" s="28" t="n">
        <x:v>3</x:v>
      </x:c>
      <x:c r="F57" s="28" t="str">
        <x:v>primary-time loss</x:v>
      </x:c>
      <x:c r="G57" s="28" t="str">
        <x:v>unlike local time</x:v>
      </x:c>
      <x:c r="H57" s="31" t="str"/>
      <x:c r="I57" s="31" t="str"/>
      <x:c r="J57" s="31" t="str"/>
      <x:c r="K57" s="28" t="str">
        <x:f>IF(J57="","OPEN",IF(OR(H57="",I57=""),"FAIL",IF(H57=G57,"PASS","FAIL")))</x:f>
        <x:v>OPEN</x:v>
      </x:c>
    </x:row>
    <x:row r="58">
      <x:c r="B58" s="28" t="str">
        <x:v>DR-RFP-C1-04</x:v>
      </x:c>
      <x:c r="C58" s="28" t="str">
        <x:v>RFP-C1</x:v>
      </x:c>
      <x:c r="D58" s="28" t="str">
        <x:v>PTC-C</x:v>
      </x:c>
      <x:c r="E58" s="28" t="n">
        <x:v>4</x:v>
      </x:c>
      <x:c r="F58" s="28" t="str">
        <x:v>normal water loss</x:v>
      </x:c>
      <x:c r="G58" s="28" t="str">
        <x:v>isolation and casualty-water path</x:v>
      </x:c>
      <x:c r="H58" s="31" t="str"/>
      <x:c r="I58" s="31" t="str"/>
      <x:c r="J58" s="31" t="str"/>
      <x:c r="K58" s="28" t="str">
        <x:f>IF(J58="","OPEN",IF(OR(H58="",I58=""),"FAIL",IF(H58=G58,"PASS","FAIL")))</x:f>
        <x:v>OPEN</x:v>
      </x:c>
    </x:row>
    <x:row r="59">
      <x:c r="B59" s="28" t="str">
        <x:v>DR-RFP-C1-05</x:v>
      </x:c>
      <x:c r="C59" s="28" t="str">
        <x:v>RFP-C1</x:v>
      </x:c>
      <x:c r="D59" s="28" t="str">
        <x:v>PTC-C</x:v>
      </x:c>
      <x:c r="E59" s="28" t="n">
        <x:v>5</x:v>
      </x:c>
      <x:c r="F59" s="28" t="str">
        <x:v>normal receiver unavailable</x:v>
      </x:c>
      <x:c r="G59" s="28" t="str">
        <x:v>casualty-source receiver</x:v>
      </x:c>
      <x:c r="H59" s="31" t="str"/>
      <x:c r="I59" s="31" t="str"/>
      <x:c r="J59" s="31" t="str"/>
      <x:c r="K59" s="28" t="str">
        <x:f>IF(J59="","OPEN",IF(OR(H59="",I59=""),"FAIL",IF(H59=G59,"PASS","FAIL")))</x:f>
        <x:v>OPEN</x:v>
      </x:c>
    </x:row>
    <x:row r="60">
      <x:c r="B60" s="28" t="str">
        <x:v>DR-RFP-C1-06</x:v>
      </x:c>
      <x:c r="C60" s="28" t="str">
        <x:v>RFP-C1</x:v>
      </x:c>
      <x:c r="D60" s="28" t="str">
        <x:v>PTC-C</x:v>
      </x:c>
      <x:c r="E60" s="28" t="n">
        <x:v>6</x:v>
      </x:c>
      <x:c r="F60" s="28" t="str">
        <x:v>primary safeing path unavailable</x:v>
      </x:c>
      <x:c r="G60" s="28" t="str">
        <x:v>diverse or passive path</x:v>
      </x:c>
      <x:c r="H60" s="31" t="str"/>
      <x:c r="I60" s="31" t="str"/>
      <x:c r="J60" s="31" t="str"/>
      <x:c r="K60" s="28" t="str">
        <x:f>IF(J60="","OPEN",IF(OR(H60="",I60=""),"FAIL",IF(H60=G60,"PASS","FAIL")))</x:f>
        <x:v>OPEN</x:v>
      </x:c>
    </x:row>
    <x:row r="61">
      <x:c r="B61" s="28" t="str">
        <x:v>DR-RFP-C1-07</x:v>
      </x:c>
      <x:c r="C61" s="28" t="str">
        <x:v>RFP-C1</x:v>
      </x:c>
      <x:c r="D61" s="28" t="str">
        <x:v>PTC-C</x:v>
      </x:c>
      <x:c r="E61" s="28" t="n">
        <x:v>7</x:v>
      </x:c>
      <x:c r="F61" s="28" t="str">
        <x:v>one evidence original lost</x:v>
      </x:c>
      <x:c r="G61" s="28" t="str">
        <x:v>second local original</x:v>
      </x:c>
      <x:c r="H61" s="31" t="str"/>
      <x:c r="I61" s="31" t="str"/>
      <x:c r="J61" s="31" t="str"/>
      <x:c r="K61" s="28" t="str">
        <x:f>IF(J61="","OPEN",IF(OR(H61="",I61=""),"FAIL",IF(H61=G61,"PASS","FAIL")))</x:f>
        <x:v>OPEN</x:v>
      </x:c>
    </x:row>
    <x:row r="62">
      <x:c r="B62" s="28" t="str">
        <x:v>DR-RFP-C1-08</x:v>
      </x:c>
      <x:c r="C62" s="28" t="str">
        <x:v>RFP-C1</x:v>
      </x:c>
      <x:c r="D62" s="28" t="str">
        <x:v>PTC-C</x:v>
      </x:c>
      <x:c r="E62" s="28" t="n">
        <x:v>8</x:v>
      </x:c>
      <x:c r="F62" s="28" t="str">
        <x:v>casualty route demanded</x:v>
      </x:c>
      <x:c r="G62" s="28" t="str">
        <x:v>separate casualty custody</x:v>
      </x:c>
      <x:c r="H62" s="31" t="str"/>
      <x:c r="I62" s="31" t="str"/>
      <x:c r="J62" s="31" t="str"/>
      <x:c r="K62" s="28" t="str">
        <x:f>IF(J62="","OPEN",IF(OR(H62="",I62=""),"FAIL",IF(H62=G62,"PASS","FAIL")))</x:f>
        <x:v>OPEN</x:v>
      </x:c>
    </x:row>
    <x:row r="63">
      <x:c r="B63" s="28" t="str">
        <x:v>DR-RFP-C1-09</x:v>
      </x:c>
      <x:c r="C63" s="28" t="str">
        <x:v>RFP-C1</x:v>
      </x:c>
      <x:c r="D63" s="28" t="str">
        <x:v>PTC-C</x:v>
      </x:c>
      <x:c r="E63" s="28" t="n">
        <x:v>9</x:v>
      </x:c>
      <x:c r="F63" s="28" t="str">
        <x:v>rescue corridor obstructed</x:v>
      </x:c>
      <x:c r="G63" s="28" t="str">
        <x:v>unlike extraction path</x:v>
      </x:c>
      <x:c r="H63" s="31" t="str"/>
      <x:c r="I63" s="31" t="str"/>
      <x:c r="J63" s="31" t="str"/>
      <x:c r="K63" s="28" t="str">
        <x:f>IF(J63="","OPEN",IF(OR(H63="",I63=""),"FAIL",IF(H63=G63,"PASS","FAIL")))</x:f>
        <x:v>OPEN</x:v>
      </x:c>
    </x:row>
    <x:row r="64">
      <x:c r="B64" s="28" t="str">
        <x:v>DR-RFP-C1-10</x:v>
      </x:c>
      <x:c r="C64" s="28" t="str">
        <x:v>RFP-C1</x:v>
      </x:c>
      <x:c r="D64" s="28" t="str">
        <x:v>PTC-C</x:v>
      </x:c>
      <x:c r="E64" s="28" t="n">
        <x:v>10</x:v>
      </x:c>
      <x:c r="F64" s="28" t="str">
        <x:v>key operator absent</x:v>
      </x:c>
      <x:c r="G64" s="28" t="str">
        <x:v>qualified relief assignment</x:v>
      </x:c>
      <x:c r="H64" s="31" t="str"/>
      <x:c r="I64" s="31" t="str"/>
      <x:c r="J64" s="31" t="str"/>
      <x:c r="K64" s="28" t="str">
        <x:f>IF(J64="","OPEN",IF(OR(H64="",I64=""),"FAIL",IF(H64=G64,"PASS","FAIL")))</x:f>
        <x:v>OPEN</x:v>
      </x:c>
    </x:row>
    <x:row r="65">
      <x:c r="B65" s="28" t="str">
        <x:v>DR-RFP-C1-11</x:v>
      </x:c>
      <x:c r="C65" s="28" t="str">
        <x:v>RFP-C1</x:v>
      </x:c>
      <x:c r="D65" s="28" t="str">
        <x:v>PTC-C</x:v>
      </x:c>
      <x:c r="E65" s="28" t="n">
        <x:v>11</x:v>
      </x:c>
      <x:c r="F65" s="28" t="str">
        <x:v>environmental witness lost</x:v>
      </x:c>
      <x:c r="G65" s="28" t="str">
        <x:v>unlike local witness</x:v>
      </x:c>
      <x:c r="H65" s="31" t="str"/>
      <x:c r="I65" s="31" t="str"/>
      <x:c r="J65" s="31" t="str"/>
      <x:c r="K65" s="28" t="str">
        <x:f>IF(J65="","OPEN",IF(OR(H65="",I65=""),"FAIL",IF(H65=G65,"PASS","FAIL")))</x:f>
        <x:v>OPEN</x:v>
      </x:c>
    </x:row>
    <x:row r="66">
      <x:c r="B66" s="28" t="str">
        <x:v>DR-RFP-C1-12</x:v>
      </x:c>
      <x:c r="C66" s="28" t="str">
        <x:v>RFP-C1</x:v>
      </x:c>
      <x:c r="D66" s="28" t="str">
        <x:v>PTC-C</x:v>
      </x:c>
      <x:c r="E66" s="28" t="n">
        <x:v>12</x:v>
      </x:c>
      <x:c r="F66" s="28" t="str">
        <x:v>reference standard unavailable</x:v>
      </x:c>
      <x:c r="G66" s="28" t="str">
        <x:v>held transfer reserve</x:v>
      </x:c>
      <x:c r="H66" s="31" t="str"/>
      <x:c r="I66" s="31" t="str"/>
      <x:c r="J66" s="31" t="str"/>
      <x:c r="K66" s="28" t="str">
        <x:f>IF(J66="","OPEN",IF(OR(H66="",I66=""),"FAIL",IF(H66=G66,"PASS","FAIL")))</x:f>
        <x:v>OPEN</x:v>
      </x:c>
    </x:row>
    <x:row r="67">
      <x:c r="B67" s="28" t="str">
        <x:v>DR-RFP-C2-01</x:v>
      </x:c>
      <x:c r="C67" s="28" t="str">
        <x:v>RFP-C2</x:v>
      </x:c>
      <x:c r="D67" s="28" t="str">
        <x:v>PTC-C</x:v>
      </x:c>
      <x:c r="E67" s="28" t="n">
        <x:v>1</x:v>
      </x:c>
      <x:c r="F67" s="28" t="str">
        <x:v>normal power loss</x:v>
      </x:c>
      <x:c r="G67" s="28" t="str">
        <x:v>independent safety energy</x:v>
      </x:c>
      <x:c r="H67" s="31" t="str"/>
      <x:c r="I67" s="31" t="str"/>
      <x:c r="J67" s="31" t="str"/>
      <x:c r="K67" s="28" t="str">
        <x:f>IF(J67="","OPEN",IF(OR(H67="",I67=""),"FAIL",IF(H67=G67,"PASS","FAIL")))</x:f>
        <x:v>OPEN</x:v>
      </x:c>
    </x:row>
    <x:row r="68">
      <x:c r="B68" s="28" t="str">
        <x:v>DR-RFP-C2-02</x:v>
      </x:c>
      <x:c r="C68" s="28" t="str">
        <x:v>RFP-C2</x:v>
      </x:c>
      <x:c r="D68" s="28" t="str">
        <x:v>PTC-C</x:v>
      </x:c>
      <x:c r="E68" s="28" t="n">
        <x:v>2</x:v>
      </x:c>
      <x:c r="F68" s="28" t="str">
        <x:v>campus network loss</x:v>
      </x:c>
      <x:c r="G68" s="28" t="str">
        <x:v>local control and evidence</x:v>
      </x:c>
      <x:c r="H68" s="31" t="str"/>
      <x:c r="I68" s="31" t="str"/>
      <x:c r="J68" s="31" t="str"/>
      <x:c r="K68" s="28" t="str">
        <x:f>IF(J68="","OPEN",IF(OR(H68="",I68=""),"FAIL",IF(H68=G68,"PASS","FAIL")))</x:f>
        <x:v>OPEN</x:v>
      </x:c>
    </x:row>
    <x:row r="69">
      <x:c r="B69" s="28" t="str">
        <x:v>DR-RFP-C2-03</x:v>
      </x:c>
      <x:c r="C69" s="28" t="str">
        <x:v>RFP-C2</x:v>
      </x:c>
      <x:c r="D69" s="28" t="str">
        <x:v>PTC-C</x:v>
      </x:c>
      <x:c r="E69" s="28" t="n">
        <x:v>3</x:v>
      </x:c>
      <x:c r="F69" s="28" t="str">
        <x:v>primary-time loss</x:v>
      </x:c>
      <x:c r="G69" s="28" t="str">
        <x:v>unlike local time</x:v>
      </x:c>
      <x:c r="H69" s="31" t="str"/>
      <x:c r="I69" s="31" t="str"/>
      <x:c r="J69" s="31" t="str"/>
      <x:c r="K69" s="28" t="str">
        <x:f>IF(J69="","OPEN",IF(OR(H69="",I69=""),"FAIL",IF(H69=G69,"PASS","FAIL")))</x:f>
        <x:v>OPEN</x:v>
      </x:c>
    </x:row>
    <x:row r="70">
      <x:c r="B70" s="28" t="str">
        <x:v>DR-RFP-C2-04</x:v>
      </x:c>
      <x:c r="C70" s="28" t="str">
        <x:v>RFP-C2</x:v>
      </x:c>
      <x:c r="D70" s="28" t="str">
        <x:v>PTC-C</x:v>
      </x:c>
      <x:c r="E70" s="28" t="n">
        <x:v>4</x:v>
      </x:c>
      <x:c r="F70" s="28" t="str">
        <x:v>normal water loss</x:v>
      </x:c>
      <x:c r="G70" s="28" t="str">
        <x:v>isolation and casualty-water path</x:v>
      </x:c>
      <x:c r="H70" s="31" t="str"/>
      <x:c r="I70" s="31" t="str"/>
      <x:c r="J70" s="31" t="str"/>
      <x:c r="K70" s="28" t="str">
        <x:f>IF(J70="","OPEN",IF(OR(H70="",I70=""),"FAIL",IF(H70=G70,"PASS","FAIL")))</x:f>
        <x:v>OPEN</x:v>
      </x:c>
    </x:row>
    <x:row r="71">
      <x:c r="B71" s="28" t="str">
        <x:v>DR-RFP-C2-05</x:v>
      </x:c>
      <x:c r="C71" s="28" t="str">
        <x:v>RFP-C2</x:v>
      </x:c>
      <x:c r="D71" s="28" t="str">
        <x:v>PTC-C</x:v>
      </x:c>
      <x:c r="E71" s="28" t="n">
        <x:v>5</x:v>
      </x:c>
      <x:c r="F71" s="28" t="str">
        <x:v>normal receiver unavailable</x:v>
      </x:c>
      <x:c r="G71" s="28" t="str">
        <x:v>casualty-source receiver</x:v>
      </x:c>
      <x:c r="H71" s="31" t="str"/>
      <x:c r="I71" s="31" t="str"/>
      <x:c r="J71" s="31" t="str"/>
      <x:c r="K71" s="28" t="str">
        <x:f>IF(J71="","OPEN",IF(OR(H71="",I71=""),"FAIL",IF(H71=G71,"PASS","FAIL")))</x:f>
        <x:v>OPEN</x:v>
      </x:c>
    </x:row>
    <x:row r="72">
      <x:c r="B72" s="28" t="str">
        <x:v>DR-RFP-C2-06</x:v>
      </x:c>
      <x:c r="C72" s="28" t="str">
        <x:v>RFP-C2</x:v>
      </x:c>
      <x:c r="D72" s="28" t="str">
        <x:v>PTC-C</x:v>
      </x:c>
      <x:c r="E72" s="28" t="n">
        <x:v>6</x:v>
      </x:c>
      <x:c r="F72" s="28" t="str">
        <x:v>primary safeing path unavailable</x:v>
      </x:c>
      <x:c r="G72" s="28" t="str">
        <x:v>diverse or passive path</x:v>
      </x:c>
      <x:c r="H72" s="31" t="str"/>
      <x:c r="I72" s="31" t="str"/>
      <x:c r="J72" s="31" t="str"/>
      <x:c r="K72" s="28" t="str">
        <x:f>IF(J72="","OPEN",IF(OR(H72="",I72=""),"FAIL",IF(H72=G72,"PASS","FAIL")))</x:f>
        <x:v>OPEN</x:v>
      </x:c>
    </x:row>
    <x:row r="73">
      <x:c r="B73" s="28" t="str">
        <x:v>DR-RFP-C2-07</x:v>
      </x:c>
      <x:c r="C73" s="28" t="str">
        <x:v>RFP-C2</x:v>
      </x:c>
      <x:c r="D73" s="28" t="str">
        <x:v>PTC-C</x:v>
      </x:c>
      <x:c r="E73" s="28" t="n">
        <x:v>7</x:v>
      </x:c>
      <x:c r="F73" s="28" t="str">
        <x:v>one evidence original lost</x:v>
      </x:c>
      <x:c r="G73" s="28" t="str">
        <x:v>second local original</x:v>
      </x:c>
      <x:c r="H73" s="31" t="str"/>
      <x:c r="I73" s="31" t="str"/>
      <x:c r="J73" s="31" t="str"/>
      <x:c r="K73" s="28" t="str">
        <x:f>IF(J73="","OPEN",IF(OR(H73="",I73=""),"FAIL",IF(H73=G73,"PASS","FAIL")))</x:f>
        <x:v>OPEN</x:v>
      </x:c>
    </x:row>
    <x:row r="74">
      <x:c r="B74" s="28" t="str">
        <x:v>DR-RFP-C2-08</x:v>
      </x:c>
      <x:c r="C74" s="28" t="str">
        <x:v>RFP-C2</x:v>
      </x:c>
      <x:c r="D74" s="28" t="str">
        <x:v>PTC-C</x:v>
      </x:c>
      <x:c r="E74" s="28" t="n">
        <x:v>8</x:v>
      </x:c>
      <x:c r="F74" s="28" t="str">
        <x:v>casualty route demanded</x:v>
      </x:c>
      <x:c r="G74" s="28" t="str">
        <x:v>separate casualty custody</x:v>
      </x:c>
      <x:c r="H74" s="31" t="str"/>
      <x:c r="I74" s="31" t="str"/>
      <x:c r="J74" s="31" t="str"/>
      <x:c r="K74" s="28" t="str">
        <x:f>IF(J74="","OPEN",IF(OR(H74="",I74=""),"FAIL",IF(H74=G74,"PASS","FAIL")))</x:f>
        <x:v>OPEN</x:v>
      </x:c>
    </x:row>
    <x:row r="75">
      <x:c r="B75" s="28" t="str">
        <x:v>DR-RFP-C2-09</x:v>
      </x:c>
      <x:c r="C75" s="28" t="str">
        <x:v>RFP-C2</x:v>
      </x:c>
      <x:c r="D75" s="28" t="str">
        <x:v>PTC-C</x:v>
      </x:c>
      <x:c r="E75" s="28" t="n">
        <x:v>9</x:v>
      </x:c>
      <x:c r="F75" s="28" t="str">
        <x:v>rescue corridor obstructed</x:v>
      </x:c>
      <x:c r="G75" s="28" t="str">
        <x:v>unlike extraction path</x:v>
      </x:c>
      <x:c r="H75" s="31" t="str"/>
      <x:c r="I75" s="31" t="str"/>
      <x:c r="J75" s="31" t="str"/>
      <x:c r="K75" s="28" t="str">
        <x:f>IF(J75="","OPEN",IF(OR(H75="",I75=""),"FAIL",IF(H75=G75,"PASS","FAIL")))</x:f>
        <x:v>OPEN</x:v>
      </x:c>
    </x:row>
    <x:row r="76">
      <x:c r="B76" s="28" t="str">
        <x:v>DR-RFP-C2-10</x:v>
      </x:c>
      <x:c r="C76" s="28" t="str">
        <x:v>RFP-C2</x:v>
      </x:c>
      <x:c r="D76" s="28" t="str">
        <x:v>PTC-C</x:v>
      </x:c>
      <x:c r="E76" s="28" t="n">
        <x:v>10</x:v>
      </x:c>
      <x:c r="F76" s="28" t="str">
        <x:v>key operator absent</x:v>
      </x:c>
      <x:c r="G76" s="28" t="str">
        <x:v>qualified relief assignment</x:v>
      </x:c>
      <x:c r="H76" s="31" t="str"/>
      <x:c r="I76" s="31" t="str"/>
      <x:c r="J76" s="31" t="str"/>
      <x:c r="K76" s="28" t="str">
        <x:f>IF(J76="","OPEN",IF(OR(H76="",I76=""),"FAIL",IF(H76=G76,"PASS","FAIL")))</x:f>
        <x:v>OPEN</x:v>
      </x:c>
    </x:row>
    <x:row r="77">
      <x:c r="B77" s="28" t="str">
        <x:v>DR-RFP-C2-11</x:v>
      </x:c>
      <x:c r="C77" s="28" t="str">
        <x:v>RFP-C2</x:v>
      </x:c>
      <x:c r="D77" s="28" t="str">
        <x:v>PTC-C</x:v>
      </x:c>
      <x:c r="E77" s="28" t="n">
        <x:v>11</x:v>
      </x:c>
      <x:c r="F77" s="28" t="str">
        <x:v>environmental witness lost</x:v>
      </x:c>
      <x:c r="G77" s="28" t="str">
        <x:v>unlike local witness</x:v>
      </x:c>
      <x:c r="H77" s="31" t="str"/>
      <x:c r="I77" s="31" t="str"/>
      <x:c r="J77" s="31" t="str"/>
      <x:c r="K77" s="28" t="str">
        <x:f>IF(J77="","OPEN",IF(OR(H77="",I77=""),"FAIL",IF(H77=G77,"PASS","FAIL")))</x:f>
        <x:v>OPEN</x:v>
      </x:c>
    </x:row>
    <x:row r="78">
      <x:c r="B78" s="28" t="str">
        <x:v>DR-RFP-C2-12</x:v>
      </x:c>
      <x:c r="C78" s="28" t="str">
        <x:v>RFP-C2</x:v>
      </x:c>
      <x:c r="D78" s="28" t="str">
        <x:v>PTC-C</x:v>
      </x:c>
      <x:c r="E78" s="28" t="n">
        <x:v>12</x:v>
      </x:c>
      <x:c r="F78" s="28" t="str">
        <x:v>reference standard unavailable</x:v>
      </x:c>
      <x:c r="G78" s="28" t="str">
        <x:v>held transfer reserve</x:v>
      </x:c>
      <x:c r="H78" s="31" t="str"/>
      <x:c r="I78" s="31" t="str"/>
      <x:c r="J78" s="31" t="str"/>
      <x:c r="K78" s="28" t="str">
        <x:f>IF(J78="","OPEN",IF(OR(H78="",I78=""),"FAIL",IF(H78=G78,"PASS","FAIL")))</x:f>
        <x:v>OPEN</x:v>
      </x:c>
    </x:row>
  </x:sheetData>
  <x:conditionalFormatting sqref="K7:K78">
    <x:cfRule type="containsText" dxfId="108" priority="1" operator="containsText" text="FAIL"/>
    <x:cfRule type="containsText" dxfId="109" priority="2" operator="containsText" text="BLOCKED"/>
    <x:cfRule type="containsText" dxfId="110" priority="3" operator="containsText" text="EXPIRED"/>
    <x:cfRule type="containsText" dxfId="111" priority="4" operator="containsText" text="OPEN"/>
    <x:cfRule type="containsText" dxfId="112" priority="5" operator="containsText" text="DORMANT"/>
    <x:cfRule type="containsText" dxfId="113" priority="6" operator="containsText" text="PASS"/>
  </x:conditionalFormatting>
  <x:pageMargins left="0.7" right="0.7" top="0.75" bottom="0.75" header="0.3" footer="0.3"/>
</x:worksheet>
</file>

<file path=xl/worksheets/sheet26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5" hidden="0" customWidth="1"/>
    <x:col min="3" max="3" width="14" hidden="0" customWidth="1"/>
    <x:col min="4" max="4" width="14" hidden="0" customWidth="1"/>
    <x:col min="5" max="5" width="34" hidden="0" customWidth="1"/>
    <x:col min="6" max="6" width="14" hidden="0" customWidth="1"/>
    <x:col min="7" max="7" width="25" hidden="0" customWidth="1"/>
    <x:col min="8" max="8" width="24" hidden="0" customWidth="1"/>
    <x:col min="9" max="9" width="22" hidden="0" customWidth="1"/>
    <x:col min="10" max="10" width="34" hidden="0" customWidth="1"/>
    <x:col min="11" max="11" width="21" hidden="0" customWidth="1"/>
    <x:col min="12" max="12" width="14" hidden="0" customWidth="1"/>
  </x:cols>
  <x:sheetData>
    <x:row r="2">
      <x:c r="B2" s="25" t="str">
        <x:v>Forty-eight rig-native rescue exercises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B3" s="27" t="str">
        <x:v>Two unlike paths must move a 150 kg casualty surrogate through four degraded conditions at every rig.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</x:row>
    <x:row r="6" ht="24" customHeight="1">
      <x:c r="B6" s="6" t="str">
        <x:v>Exercise</x:v>
      </x:c>
      <x:c r="C6" s="6" t="str">
        <x:v>Rig</x:v>
      </x:c>
      <x:c r="D6" s="6" t="str">
        <x:v>Campus</x:v>
      </x:c>
      <x:c r="E6" s="6" t="str">
        <x:v>Condition</x:v>
      </x:c>
      <x:c r="F6" s="6" t="str">
        <x:v>Path</x:v>
      </x:c>
      <x:c r="G6" s="6" t="str">
        <x:v>Required casualty kg</x:v>
      </x:c>
      <x:c r="H6" s="6" t="str">
        <x:v>Observed casualty kg</x:v>
      </x:c>
      <x:c r="I6" s="6" t="str">
        <x:v>Final safe state</x:v>
      </x:c>
      <x:c r="J6" s="6" t="str">
        <x:v>Evidence root</x:v>
      </x:c>
      <x:c r="K6" s="6" t="str">
        <x:v>Accepted UTC</x:v>
      </x:c>
      <x:c r="L6" s="6" t="str">
        <x:v>State</x:v>
      </x:c>
    </x:row>
    <x:row r="7">
      <x:c r="B7" s="28" t="str">
        <x:v>RX-RFP-A1-1-A</x:v>
      </x:c>
      <x:c r="C7" s="28" t="str">
        <x:v>RFP-A1</x:v>
      </x:c>
      <x:c r="D7" s="28" t="str">
        <x:v>PTC-A</x:v>
      </x:c>
      <x:c r="E7" s="28" t="str">
        <x:v>hot approach</x:v>
      </x:c>
      <x:c r="F7" s="28" t="str">
        <x:v>PATH-A</x:v>
      </x:c>
      <x:c r="G7" s="28" t="n">
        <x:v>150</x:v>
      </x:c>
      <x:c r="H7" s="31" t="str"/>
      <x:c r="I7" s="31" t="str"/>
      <x:c r="J7" s="31" t="str"/>
      <x:c r="K7" s="31" t="str"/>
      <x:c r="L7" s="28" t="str">
        <x:f>IF(K7="","OPEN",IF(AND(ISNUMBER(H7),H7&gt;=G7,I7="SAFE",J7&lt;&gt;""),"PASS","FAIL"))</x:f>
        <x:v>OPEN</x:v>
      </x:c>
    </x:row>
    <x:row r="8">
      <x:c r="B8" s="28" t="str">
        <x:v>RX-RFP-A1-1-B</x:v>
      </x:c>
      <x:c r="C8" s="28" t="str">
        <x:v>RFP-A1</x:v>
      </x:c>
      <x:c r="D8" s="28" t="str">
        <x:v>PTC-A</x:v>
      </x:c>
      <x:c r="E8" s="28" t="str">
        <x:v>hot approach</x:v>
      </x:c>
      <x:c r="F8" s="28" t="str">
        <x:v>PATH-B</x:v>
      </x:c>
      <x:c r="G8" s="28" t="n">
        <x:v>150</x:v>
      </x:c>
      <x:c r="H8" s="31" t="str"/>
      <x:c r="I8" s="31" t="str"/>
      <x:c r="J8" s="31" t="str"/>
      <x:c r="K8" s="31" t="str"/>
      <x:c r="L8" s="28" t="str">
        <x:f>IF(K8="","OPEN",IF(AND(ISNUMBER(H8),H8&gt;=G8,I8="SAFE",J8&lt;&gt;""),"PASS","FAIL"))</x:f>
        <x:v>OPEN</x:v>
      </x:c>
    </x:row>
    <x:row r="9">
      <x:c r="B9" s="28" t="str">
        <x:v>RX-RFP-A1-2-A</x:v>
      </x:c>
      <x:c r="C9" s="28" t="str">
        <x:v>RFP-A1</x:v>
      </x:c>
      <x:c r="D9" s="28" t="str">
        <x:v>PTC-A</x:v>
      </x:c>
      <x:c r="E9" s="28" t="str">
        <x:v>wet contaminated route</x:v>
      </x:c>
      <x:c r="F9" s="28" t="str">
        <x:v>PATH-A</x:v>
      </x:c>
      <x:c r="G9" s="28" t="n">
        <x:v>150</x:v>
      </x:c>
      <x:c r="H9" s="31" t="str"/>
      <x:c r="I9" s="31" t="str"/>
      <x:c r="J9" s="31" t="str"/>
      <x:c r="K9" s="31" t="str"/>
      <x:c r="L9" s="28" t="str">
        <x:f>IF(K9="","OPEN",IF(AND(ISNUMBER(H9),H9&gt;=G9,I9="SAFE",J9&lt;&gt;""),"PASS","FAIL"))</x:f>
        <x:v>OPEN</x:v>
      </x:c>
    </x:row>
    <x:row r="10">
      <x:c r="B10" s="28" t="str">
        <x:v>RX-RFP-A1-2-B</x:v>
      </x:c>
      <x:c r="C10" s="28" t="str">
        <x:v>RFP-A1</x:v>
      </x:c>
      <x:c r="D10" s="28" t="str">
        <x:v>PTC-A</x:v>
      </x:c>
      <x:c r="E10" s="28" t="str">
        <x:v>wet contaminated route</x:v>
      </x:c>
      <x:c r="F10" s="28" t="str">
        <x:v>PATH-B</x:v>
      </x:c>
      <x:c r="G10" s="28" t="n">
        <x:v>150</x:v>
      </x:c>
      <x:c r="H10" s="31" t="str"/>
      <x:c r="I10" s="31" t="str"/>
      <x:c r="J10" s="31" t="str"/>
      <x:c r="K10" s="31" t="str"/>
      <x:c r="L10" s="28" t="str">
        <x:f>IF(K10="","OPEN",IF(AND(ISNUMBER(H10),H10&gt;=G10,I10="SAFE",J10&lt;&gt;""),"PASS","FAIL"))</x:f>
        <x:v>OPEN</x:v>
      </x:c>
    </x:row>
    <x:row r="11">
      <x:c r="B11" s="28" t="str">
        <x:v>RX-RFP-A1-3-A</x:v>
      </x:c>
      <x:c r="C11" s="28" t="str">
        <x:v>RFP-A1</x:v>
      </x:c>
      <x:c r="D11" s="28" t="str">
        <x:v>PTC-A</x:v>
      </x:c>
      <x:c r="E11" s="28" t="str">
        <x:v>lost-network extraction</x:v>
      </x:c>
      <x:c r="F11" s="28" t="str">
        <x:v>PATH-A</x:v>
      </x:c>
      <x:c r="G11" s="28" t="n">
        <x:v>150</x:v>
      </x:c>
      <x:c r="H11" s="31" t="str"/>
      <x:c r="I11" s="31" t="str"/>
      <x:c r="J11" s="31" t="str"/>
      <x:c r="K11" s="31" t="str"/>
      <x:c r="L11" s="28" t="str">
        <x:f>IF(K11="","OPEN",IF(AND(ISNUMBER(H11),H11&gt;=G11,I11="SAFE",J11&lt;&gt;""),"PASS","FAIL"))</x:f>
        <x:v>OPEN</x:v>
      </x:c>
    </x:row>
    <x:row r="12">
      <x:c r="B12" s="28" t="str">
        <x:v>RX-RFP-A1-3-B</x:v>
      </x:c>
      <x:c r="C12" s="28" t="str">
        <x:v>RFP-A1</x:v>
      </x:c>
      <x:c r="D12" s="28" t="str">
        <x:v>PTC-A</x:v>
      </x:c>
      <x:c r="E12" s="28" t="str">
        <x:v>lost-network extraction</x:v>
      </x:c>
      <x:c r="F12" s="28" t="str">
        <x:v>PATH-B</x:v>
      </x:c>
      <x:c r="G12" s="28" t="n">
        <x:v>150</x:v>
      </x:c>
      <x:c r="H12" s="31" t="str"/>
      <x:c r="I12" s="31" t="str"/>
      <x:c r="J12" s="31" t="str"/>
      <x:c r="K12" s="31" t="str"/>
      <x:c r="L12" s="28" t="str">
        <x:f>IF(K12="","OPEN",IF(AND(ISNUMBER(H12),H12&gt;=G12,I12="SAFE",J12&lt;&gt;""),"PASS","FAIL"))</x:f>
        <x:v>OPEN</x:v>
      </x:c>
    </x:row>
    <x:row r="13">
      <x:c r="B13" s="28" t="str">
        <x:v>RX-RFP-A1-4-A</x:v>
      </x:c>
      <x:c r="C13" s="28" t="str">
        <x:v>RFP-A1</x:v>
      </x:c>
      <x:c r="D13" s="28" t="str">
        <x:v>PTC-A</x:v>
      </x:c>
      <x:c r="E13" s="28" t="str">
        <x:v>blocked primary corridor</x:v>
      </x:c>
      <x:c r="F13" s="28" t="str">
        <x:v>PATH-A</x:v>
      </x:c>
      <x:c r="G13" s="28" t="n">
        <x:v>150</x:v>
      </x:c>
      <x:c r="H13" s="31" t="str"/>
      <x:c r="I13" s="31" t="str"/>
      <x:c r="J13" s="31" t="str"/>
      <x:c r="K13" s="31" t="str"/>
      <x:c r="L13" s="28" t="str">
        <x:f>IF(K13="","OPEN",IF(AND(ISNUMBER(H13),H13&gt;=G13,I13="SAFE",J13&lt;&gt;""),"PASS","FAIL"))</x:f>
        <x:v>OPEN</x:v>
      </x:c>
    </x:row>
    <x:row r="14">
      <x:c r="B14" s="28" t="str">
        <x:v>RX-RFP-A1-4-B</x:v>
      </x:c>
      <x:c r="C14" s="28" t="str">
        <x:v>RFP-A1</x:v>
      </x:c>
      <x:c r="D14" s="28" t="str">
        <x:v>PTC-A</x:v>
      </x:c>
      <x:c r="E14" s="28" t="str">
        <x:v>blocked primary corridor</x:v>
      </x:c>
      <x:c r="F14" s="28" t="str">
        <x:v>PATH-B</x:v>
      </x:c>
      <x:c r="G14" s="28" t="n">
        <x:v>150</x:v>
      </x:c>
      <x:c r="H14" s="31" t="str"/>
      <x:c r="I14" s="31" t="str"/>
      <x:c r="J14" s="31" t="str"/>
      <x:c r="K14" s="31" t="str"/>
      <x:c r="L14" s="28" t="str">
        <x:f>IF(K14="","OPEN",IF(AND(ISNUMBER(H14),H14&gt;=G14,I14="SAFE",J14&lt;&gt;""),"PASS","FAIL"))</x:f>
        <x:v>OPEN</x:v>
      </x:c>
    </x:row>
    <x:row r="15">
      <x:c r="B15" s="28" t="str">
        <x:v>RX-RFP-A2-1-A</x:v>
      </x:c>
      <x:c r="C15" s="28" t="str">
        <x:v>RFP-A2</x:v>
      </x:c>
      <x:c r="D15" s="28" t="str">
        <x:v>PTC-A</x:v>
      </x:c>
      <x:c r="E15" s="28" t="str">
        <x:v>hot approach</x:v>
      </x:c>
      <x:c r="F15" s="28" t="str">
        <x:v>PATH-A</x:v>
      </x:c>
      <x:c r="G15" s="28" t="n">
        <x:v>150</x:v>
      </x:c>
      <x:c r="H15" s="31" t="str"/>
      <x:c r="I15" s="31" t="str"/>
      <x:c r="J15" s="31" t="str"/>
      <x:c r="K15" s="31" t="str"/>
      <x:c r="L15" s="28" t="str">
        <x:f>IF(K15="","OPEN",IF(AND(ISNUMBER(H15),H15&gt;=G15,I15="SAFE",J15&lt;&gt;""),"PASS","FAIL"))</x:f>
        <x:v>OPEN</x:v>
      </x:c>
    </x:row>
    <x:row r="16">
      <x:c r="B16" s="28" t="str">
        <x:v>RX-RFP-A2-1-B</x:v>
      </x:c>
      <x:c r="C16" s="28" t="str">
        <x:v>RFP-A2</x:v>
      </x:c>
      <x:c r="D16" s="28" t="str">
        <x:v>PTC-A</x:v>
      </x:c>
      <x:c r="E16" s="28" t="str">
        <x:v>hot approach</x:v>
      </x:c>
      <x:c r="F16" s="28" t="str">
        <x:v>PATH-B</x:v>
      </x:c>
      <x:c r="G16" s="28" t="n">
        <x:v>150</x:v>
      </x:c>
      <x:c r="H16" s="31" t="str"/>
      <x:c r="I16" s="31" t="str"/>
      <x:c r="J16" s="31" t="str"/>
      <x:c r="K16" s="31" t="str"/>
      <x:c r="L16" s="28" t="str">
        <x:f>IF(K16="","OPEN",IF(AND(ISNUMBER(H16),H16&gt;=G16,I16="SAFE",J16&lt;&gt;""),"PASS","FAIL"))</x:f>
        <x:v>OPEN</x:v>
      </x:c>
    </x:row>
    <x:row r="17">
      <x:c r="B17" s="28" t="str">
        <x:v>RX-RFP-A2-2-A</x:v>
      </x:c>
      <x:c r="C17" s="28" t="str">
        <x:v>RFP-A2</x:v>
      </x:c>
      <x:c r="D17" s="28" t="str">
        <x:v>PTC-A</x:v>
      </x:c>
      <x:c r="E17" s="28" t="str">
        <x:v>wet contaminated route</x:v>
      </x:c>
      <x:c r="F17" s="28" t="str">
        <x:v>PATH-A</x:v>
      </x:c>
      <x:c r="G17" s="28" t="n">
        <x:v>150</x:v>
      </x:c>
      <x:c r="H17" s="31" t="str"/>
      <x:c r="I17" s="31" t="str"/>
      <x:c r="J17" s="31" t="str"/>
      <x:c r="K17" s="31" t="str"/>
      <x:c r="L17" s="28" t="str">
        <x:f>IF(K17="","OPEN",IF(AND(ISNUMBER(H17),H17&gt;=G17,I17="SAFE",J17&lt;&gt;""),"PASS","FAIL"))</x:f>
        <x:v>OPEN</x:v>
      </x:c>
    </x:row>
    <x:row r="18">
      <x:c r="B18" s="28" t="str">
        <x:v>RX-RFP-A2-2-B</x:v>
      </x:c>
      <x:c r="C18" s="28" t="str">
        <x:v>RFP-A2</x:v>
      </x:c>
      <x:c r="D18" s="28" t="str">
        <x:v>PTC-A</x:v>
      </x:c>
      <x:c r="E18" s="28" t="str">
        <x:v>wet contaminated route</x:v>
      </x:c>
      <x:c r="F18" s="28" t="str">
        <x:v>PATH-B</x:v>
      </x:c>
      <x:c r="G18" s="28" t="n">
        <x:v>150</x:v>
      </x:c>
      <x:c r="H18" s="31" t="str"/>
      <x:c r="I18" s="31" t="str"/>
      <x:c r="J18" s="31" t="str"/>
      <x:c r="K18" s="31" t="str"/>
      <x:c r="L18" s="28" t="str">
        <x:f>IF(K18="","OPEN",IF(AND(ISNUMBER(H18),H18&gt;=G18,I18="SAFE",J18&lt;&gt;""),"PASS","FAIL"))</x:f>
        <x:v>OPEN</x:v>
      </x:c>
    </x:row>
    <x:row r="19">
      <x:c r="B19" s="28" t="str">
        <x:v>RX-RFP-A2-3-A</x:v>
      </x:c>
      <x:c r="C19" s="28" t="str">
        <x:v>RFP-A2</x:v>
      </x:c>
      <x:c r="D19" s="28" t="str">
        <x:v>PTC-A</x:v>
      </x:c>
      <x:c r="E19" s="28" t="str">
        <x:v>lost-network extraction</x:v>
      </x:c>
      <x:c r="F19" s="28" t="str">
        <x:v>PATH-A</x:v>
      </x:c>
      <x:c r="G19" s="28" t="n">
        <x:v>150</x:v>
      </x:c>
      <x:c r="H19" s="31" t="str"/>
      <x:c r="I19" s="31" t="str"/>
      <x:c r="J19" s="31" t="str"/>
      <x:c r="K19" s="31" t="str"/>
      <x:c r="L19" s="28" t="str">
        <x:f>IF(K19="","OPEN",IF(AND(ISNUMBER(H19),H19&gt;=G19,I19="SAFE",J19&lt;&gt;""),"PASS","FAIL"))</x:f>
        <x:v>OPEN</x:v>
      </x:c>
    </x:row>
    <x:row r="20">
      <x:c r="B20" s="28" t="str">
        <x:v>RX-RFP-A2-3-B</x:v>
      </x:c>
      <x:c r="C20" s="28" t="str">
        <x:v>RFP-A2</x:v>
      </x:c>
      <x:c r="D20" s="28" t="str">
        <x:v>PTC-A</x:v>
      </x:c>
      <x:c r="E20" s="28" t="str">
        <x:v>lost-network extraction</x:v>
      </x:c>
      <x:c r="F20" s="28" t="str">
        <x:v>PATH-B</x:v>
      </x:c>
      <x:c r="G20" s="28" t="n">
        <x:v>150</x:v>
      </x:c>
      <x:c r="H20" s="31" t="str"/>
      <x:c r="I20" s="31" t="str"/>
      <x:c r="J20" s="31" t="str"/>
      <x:c r="K20" s="31" t="str"/>
      <x:c r="L20" s="28" t="str">
        <x:f>IF(K20="","OPEN",IF(AND(ISNUMBER(H20),H20&gt;=G20,I20="SAFE",J20&lt;&gt;""),"PASS","FAIL"))</x:f>
        <x:v>OPEN</x:v>
      </x:c>
    </x:row>
    <x:row r="21">
      <x:c r="B21" s="28" t="str">
        <x:v>RX-RFP-A2-4-A</x:v>
      </x:c>
      <x:c r="C21" s="28" t="str">
        <x:v>RFP-A2</x:v>
      </x:c>
      <x:c r="D21" s="28" t="str">
        <x:v>PTC-A</x:v>
      </x:c>
      <x:c r="E21" s="28" t="str">
        <x:v>blocked primary corridor</x:v>
      </x:c>
      <x:c r="F21" s="28" t="str">
        <x:v>PATH-A</x:v>
      </x:c>
      <x:c r="G21" s="28" t="n">
        <x:v>150</x:v>
      </x:c>
      <x:c r="H21" s="31" t="str"/>
      <x:c r="I21" s="31" t="str"/>
      <x:c r="J21" s="31" t="str"/>
      <x:c r="K21" s="31" t="str"/>
      <x:c r="L21" s="28" t="str">
        <x:f>IF(K21="","OPEN",IF(AND(ISNUMBER(H21),H21&gt;=G21,I21="SAFE",J21&lt;&gt;""),"PASS","FAIL"))</x:f>
        <x:v>OPEN</x:v>
      </x:c>
    </x:row>
    <x:row r="22">
      <x:c r="B22" s="28" t="str">
        <x:v>RX-RFP-A2-4-B</x:v>
      </x:c>
      <x:c r="C22" s="28" t="str">
        <x:v>RFP-A2</x:v>
      </x:c>
      <x:c r="D22" s="28" t="str">
        <x:v>PTC-A</x:v>
      </x:c>
      <x:c r="E22" s="28" t="str">
        <x:v>blocked primary corridor</x:v>
      </x:c>
      <x:c r="F22" s="28" t="str">
        <x:v>PATH-B</x:v>
      </x:c>
      <x:c r="G22" s="28" t="n">
        <x:v>150</x:v>
      </x:c>
      <x:c r="H22" s="31" t="str"/>
      <x:c r="I22" s="31" t="str"/>
      <x:c r="J22" s="31" t="str"/>
      <x:c r="K22" s="31" t="str"/>
      <x:c r="L22" s="28" t="str">
        <x:f>IF(K22="","OPEN",IF(AND(ISNUMBER(H22),H22&gt;=G22,I22="SAFE",J22&lt;&gt;""),"PASS","FAIL"))</x:f>
        <x:v>OPEN</x:v>
      </x:c>
    </x:row>
    <x:row r="23">
      <x:c r="B23" s="28" t="str">
        <x:v>RX-RFP-B1-1-A</x:v>
      </x:c>
      <x:c r="C23" s="28" t="str">
        <x:v>RFP-B1</x:v>
      </x:c>
      <x:c r="D23" s="28" t="str">
        <x:v>PTC-B</x:v>
      </x:c>
      <x:c r="E23" s="28" t="str">
        <x:v>hot approach</x:v>
      </x:c>
      <x:c r="F23" s="28" t="str">
        <x:v>PATH-A</x:v>
      </x:c>
      <x:c r="G23" s="28" t="n">
        <x:v>150</x:v>
      </x:c>
      <x:c r="H23" s="31" t="str"/>
      <x:c r="I23" s="31" t="str"/>
      <x:c r="J23" s="31" t="str"/>
      <x:c r="K23" s="31" t="str"/>
      <x:c r="L23" s="28" t="str">
        <x:f>IF(K23="","OPEN",IF(AND(ISNUMBER(H23),H23&gt;=G23,I23="SAFE",J23&lt;&gt;""),"PASS","FAIL"))</x:f>
        <x:v>OPEN</x:v>
      </x:c>
    </x:row>
    <x:row r="24">
      <x:c r="B24" s="28" t="str">
        <x:v>RX-RFP-B1-1-B</x:v>
      </x:c>
      <x:c r="C24" s="28" t="str">
        <x:v>RFP-B1</x:v>
      </x:c>
      <x:c r="D24" s="28" t="str">
        <x:v>PTC-B</x:v>
      </x:c>
      <x:c r="E24" s="28" t="str">
        <x:v>hot approach</x:v>
      </x:c>
      <x:c r="F24" s="28" t="str">
        <x:v>PATH-B</x:v>
      </x:c>
      <x:c r="G24" s="28" t="n">
        <x:v>150</x:v>
      </x:c>
      <x:c r="H24" s="31" t="str"/>
      <x:c r="I24" s="31" t="str"/>
      <x:c r="J24" s="31" t="str"/>
      <x:c r="K24" s="31" t="str"/>
      <x:c r="L24" s="28" t="str">
        <x:f>IF(K24="","OPEN",IF(AND(ISNUMBER(H24),H24&gt;=G24,I24="SAFE",J24&lt;&gt;""),"PASS","FAIL"))</x:f>
        <x:v>OPEN</x:v>
      </x:c>
    </x:row>
    <x:row r="25">
      <x:c r="B25" s="28" t="str">
        <x:v>RX-RFP-B1-2-A</x:v>
      </x:c>
      <x:c r="C25" s="28" t="str">
        <x:v>RFP-B1</x:v>
      </x:c>
      <x:c r="D25" s="28" t="str">
        <x:v>PTC-B</x:v>
      </x:c>
      <x:c r="E25" s="28" t="str">
        <x:v>wet contaminated route</x:v>
      </x:c>
      <x:c r="F25" s="28" t="str">
        <x:v>PATH-A</x:v>
      </x:c>
      <x:c r="G25" s="28" t="n">
        <x:v>150</x:v>
      </x:c>
      <x:c r="H25" s="31" t="str"/>
      <x:c r="I25" s="31" t="str"/>
      <x:c r="J25" s="31" t="str"/>
      <x:c r="K25" s="31" t="str"/>
      <x:c r="L25" s="28" t="str">
        <x:f>IF(K25="","OPEN",IF(AND(ISNUMBER(H25),H25&gt;=G25,I25="SAFE",J25&lt;&gt;""),"PASS","FAIL"))</x:f>
        <x:v>OPEN</x:v>
      </x:c>
    </x:row>
    <x:row r="26">
      <x:c r="B26" s="28" t="str">
        <x:v>RX-RFP-B1-2-B</x:v>
      </x:c>
      <x:c r="C26" s="28" t="str">
        <x:v>RFP-B1</x:v>
      </x:c>
      <x:c r="D26" s="28" t="str">
        <x:v>PTC-B</x:v>
      </x:c>
      <x:c r="E26" s="28" t="str">
        <x:v>wet contaminated route</x:v>
      </x:c>
      <x:c r="F26" s="28" t="str">
        <x:v>PATH-B</x:v>
      </x:c>
      <x:c r="G26" s="28" t="n">
        <x:v>150</x:v>
      </x:c>
      <x:c r="H26" s="31" t="str"/>
      <x:c r="I26" s="31" t="str"/>
      <x:c r="J26" s="31" t="str"/>
      <x:c r="K26" s="31" t="str"/>
      <x:c r="L26" s="28" t="str">
        <x:f>IF(K26="","OPEN",IF(AND(ISNUMBER(H26),H26&gt;=G26,I26="SAFE",J26&lt;&gt;""),"PASS","FAIL"))</x:f>
        <x:v>OPEN</x:v>
      </x:c>
    </x:row>
    <x:row r="27">
      <x:c r="B27" s="28" t="str">
        <x:v>RX-RFP-B1-3-A</x:v>
      </x:c>
      <x:c r="C27" s="28" t="str">
        <x:v>RFP-B1</x:v>
      </x:c>
      <x:c r="D27" s="28" t="str">
        <x:v>PTC-B</x:v>
      </x:c>
      <x:c r="E27" s="28" t="str">
        <x:v>lost-network extraction</x:v>
      </x:c>
      <x:c r="F27" s="28" t="str">
        <x:v>PATH-A</x:v>
      </x:c>
      <x:c r="G27" s="28" t="n">
        <x:v>150</x:v>
      </x:c>
      <x:c r="H27" s="31" t="str"/>
      <x:c r="I27" s="31" t="str"/>
      <x:c r="J27" s="31" t="str"/>
      <x:c r="K27" s="31" t="str"/>
      <x:c r="L27" s="28" t="str">
        <x:f>IF(K27="","OPEN",IF(AND(ISNUMBER(H27),H27&gt;=G27,I27="SAFE",J27&lt;&gt;""),"PASS","FAIL"))</x:f>
        <x:v>OPEN</x:v>
      </x:c>
    </x:row>
    <x:row r="28">
      <x:c r="B28" s="28" t="str">
        <x:v>RX-RFP-B1-3-B</x:v>
      </x:c>
      <x:c r="C28" s="28" t="str">
        <x:v>RFP-B1</x:v>
      </x:c>
      <x:c r="D28" s="28" t="str">
        <x:v>PTC-B</x:v>
      </x:c>
      <x:c r="E28" s="28" t="str">
        <x:v>lost-network extraction</x:v>
      </x:c>
      <x:c r="F28" s="28" t="str">
        <x:v>PATH-B</x:v>
      </x:c>
      <x:c r="G28" s="28" t="n">
        <x:v>150</x:v>
      </x:c>
      <x:c r="H28" s="31" t="str"/>
      <x:c r="I28" s="31" t="str"/>
      <x:c r="J28" s="31" t="str"/>
      <x:c r="K28" s="31" t="str"/>
      <x:c r="L28" s="28" t="str">
        <x:f>IF(K28="","OPEN",IF(AND(ISNUMBER(H28),H28&gt;=G28,I28="SAFE",J28&lt;&gt;""),"PASS","FAIL"))</x:f>
        <x:v>OPEN</x:v>
      </x:c>
    </x:row>
    <x:row r="29">
      <x:c r="B29" s="28" t="str">
        <x:v>RX-RFP-B1-4-A</x:v>
      </x:c>
      <x:c r="C29" s="28" t="str">
        <x:v>RFP-B1</x:v>
      </x:c>
      <x:c r="D29" s="28" t="str">
        <x:v>PTC-B</x:v>
      </x:c>
      <x:c r="E29" s="28" t="str">
        <x:v>blocked primary corridor</x:v>
      </x:c>
      <x:c r="F29" s="28" t="str">
        <x:v>PATH-A</x:v>
      </x:c>
      <x:c r="G29" s="28" t="n">
        <x:v>150</x:v>
      </x:c>
      <x:c r="H29" s="31" t="str"/>
      <x:c r="I29" s="31" t="str"/>
      <x:c r="J29" s="31" t="str"/>
      <x:c r="K29" s="31" t="str"/>
      <x:c r="L29" s="28" t="str">
        <x:f>IF(K29="","OPEN",IF(AND(ISNUMBER(H29),H29&gt;=G29,I29="SAFE",J29&lt;&gt;""),"PASS","FAIL"))</x:f>
        <x:v>OPEN</x:v>
      </x:c>
    </x:row>
    <x:row r="30">
      <x:c r="B30" s="28" t="str">
        <x:v>RX-RFP-B1-4-B</x:v>
      </x:c>
      <x:c r="C30" s="28" t="str">
        <x:v>RFP-B1</x:v>
      </x:c>
      <x:c r="D30" s="28" t="str">
        <x:v>PTC-B</x:v>
      </x:c>
      <x:c r="E30" s="28" t="str">
        <x:v>blocked primary corridor</x:v>
      </x:c>
      <x:c r="F30" s="28" t="str">
        <x:v>PATH-B</x:v>
      </x:c>
      <x:c r="G30" s="28" t="n">
        <x:v>150</x:v>
      </x:c>
      <x:c r="H30" s="31" t="str"/>
      <x:c r="I30" s="31" t="str"/>
      <x:c r="J30" s="31" t="str"/>
      <x:c r="K30" s="31" t="str"/>
      <x:c r="L30" s="28" t="str">
        <x:f>IF(K30="","OPEN",IF(AND(ISNUMBER(H30),H30&gt;=G30,I30="SAFE",J30&lt;&gt;""),"PASS","FAIL"))</x:f>
        <x:v>OPEN</x:v>
      </x:c>
    </x:row>
    <x:row r="31">
      <x:c r="B31" s="28" t="str">
        <x:v>RX-RFP-B2-1-A</x:v>
      </x:c>
      <x:c r="C31" s="28" t="str">
        <x:v>RFP-B2</x:v>
      </x:c>
      <x:c r="D31" s="28" t="str">
        <x:v>PTC-B</x:v>
      </x:c>
      <x:c r="E31" s="28" t="str">
        <x:v>hot approach</x:v>
      </x:c>
      <x:c r="F31" s="28" t="str">
        <x:v>PATH-A</x:v>
      </x:c>
      <x:c r="G31" s="28" t="n">
        <x:v>150</x:v>
      </x:c>
      <x:c r="H31" s="31" t="str"/>
      <x:c r="I31" s="31" t="str"/>
      <x:c r="J31" s="31" t="str"/>
      <x:c r="K31" s="31" t="str"/>
      <x:c r="L31" s="28" t="str">
        <x:f>IF(K31="","OPEN",IF(AND(ISNUMBER(H31),H31&gt;=G31,I31="SAFE",J31&lt;&gt;""),"PASS","FAIL"))</x:f>
        <x:v>OPEN</x:v>
      </x:c>
    </x:row>
    <x:row r="32">
      <x:c r="B32" s="28" t="str">
        <x:v>RX-RFP-B2-1-B</x:v>
      </x:c>
      <x:c r="C32" s="28" t="str">
        <x:v>RFP-B2</x:v>
      </x:c>
      <x:c r="D32" s="28" t="str">
        <x:v>PTC-B</x:v>
      </x:c>
      <x:c r="E32" s="28" t="str">
        <x:v>hot approach</x:v>
      </x:c>
      <x:c r="F32" s="28" t="str">
        <x:v>PATH-B</x:v>
      </x:c>
      <x:c r="G32" s="28" t="n">
        <x:v>150</x:v>
      </x:c>
      <x:c r="H32" s="31" t="str"/>
      <x:c r="I32" s="31" t="str"/>
      <x:c r="J32" s="31" t="str"/>
      <x:c r="K32" s="31" t="str"/>
      <x:c r="L32" s="28" t="str">
        <x:f>IF(K32="","OPEN",IF(AND(ISNUMBER(H32),H32&gt;=G32,I32="SAFE",J32&lt;&gt;""),"PASS","FAIL"))</x:f>
        <x:v>OPEN</x:v>
      </x:c>
    </x:row>
    <x:row r="33">
      <x:c r="B33" s="28" t="str">
        <x:v>RX-RFP-B2-2-A</x:v>
      </x:c>
      <x:c r="C33" s="28" t="str">
        <x:v>RFP-B2</x:v>
      </x:c>
      <x:c r="D33" s="28" t="str">
        <x:v>PTC-B</x:v>
      </x:c>
      <x:c r="E33" s="28" t="str">
        <x:v>wet contaminated route</x:v>
      </x:c>
      <x:c r="F33" s="28" t="str">
        <x:v>PATH-A</x:v>
      </x:c>
      <x:c r="G33" s="28" t="n">
        <x:v>150</x:v>
      </x:c>
      <x:c r="H33" s="31" t="str"/>
      <x:c r="I33" s="31" t="str"/>
      <x:c r="J33" s="31" t="str"/>
      <x:c r="K33" s="31" t="str"/>
      <x:c r="L33" s="28" t="str">
        <x:f>IF(K33="","OPEN",IF(AND(ISNUMBER(H33),H33&gt;=G33,I33="SAFE",J33&lt;&gt;""),"PASS","FAIL"))</x:f>
        <x:v>OPEN</x:v>
      </x:c>
    </x:row>
    <x:row r="34">
      <x:c r="B34" s="28" t="str">
        <x:v>RX-RFP-B2-2-B</x:v>
      </x:c>
      <x:c r="C34" s="28" t="str">
        <x:v>RFP-B2</x:v>
      </x:c>
      <x:c r="D34" s="28" t="str">
        <x:v>PTC-B</x:v>
      </x:c>
      <x:c r="E34" s="28" t="str">
        <x:v>wet contaminated route</x:v>
      </x:c>
      <x:c r="F34" s="28" t="str">
        <x:v>PATH-B</x:v>
      </x:c>
      <x:c r="G34" s="28" t="n">
        <x:v>150</x:v>
      </x:c>
      <x:c r="H34" s="31" t="str"/>
      <x:c r="I34" s="31" t="str"/>
      <x:c r="J34" s="31" t="str"/>
      <x:c r="K34" s="31" t="str"/>
      <x:c r="L34" s="28" t="str">
        <x:f>IF(K34="","OPEN",IF(AND(ISNUMBER(H34),H34&gt;=G34,I34="SAFE",J34&lt;&gt;""),"PASS","FAIL"))</x:f>
        <x:v>OPEN</x:v>
      </x:c>
    </x:row>
    <x:row r="35">
      <x:c r="B35" s="28" t="str">
        <x:v>RX-RFP-B2-3-A</x:v>
      </x:c>
      <x:c r="C35" s="28" t="str">
        <x:v>RFP-B2</x:v>
      </x:c>
      <x:c r="D35" s="28" t="str">
        <x:v>PTC-B</x:v>
      </x:c>
      <x:c r="E35" s="28" t="str">
        <x:v>lost-network extraction</x:v>
      </x:c>
      <x:c r="F35" s="28" t="str">
        <x:v>PATH-A</x:v>
      </x:c>
      <x:c r="G35" s="28" t="n">
        <x:v>150</x:v>
      </x:c>
      <x:c r="H35" s="31" t="str"/>
      <x:c r="I35" s="31" t="str"/>
      <x:c r="J35" s="31" t="str"/>
      <x:c r="K35" s="31" t="str"/>
      <x:c r="L35" s="28" t="str">
        <x:f>IF(K35="","OPEN",IF(AND(ISNUMBER(H35),H35&gt;=G35,I35="SAFE",J35&lt;&gt;""),"PASS","FAIL"))</x:f>
        <x:v>OPEN</x:v>
      </x:c>
    </x:row>
    <x:row r="36">
      <x:c r="B36" s="28" t="str">
        <x:v>RX-RFP-B2-3-B</x:v>
      </x:c>
      <x:c r="C36" s="28" t="str">
        <x:v>RFP-B2</x:v>
      </x:c>
      <x:c r="D36" s="28" t="str">
        <x:v>PTC-B</x:v>
      </x:c>
      <x:c r="E36" s="28" t="str">
        <x:v>lost-network extraction</x:v>
      </x:c>
      <x:c r="F36" s="28" t="str">
        <x:v>PATH-B</x:v>
      </x:c>
      <x:c r="G36" s="28" t="n">
        <x:v>150</x:v>
      </x:c>
      <x:c r="H36" s="31" t="str"/>
      <x:c r="I36" s="31" t="str"/>
      <x:c r="J36" s="31" t="str"/>
      <x:c r="K36" s="31" t="str"/>
      <x:c r="L36" s="28" t="str">
        <x:f>IF(K36="","OPEN",IF(AND(ISNUMBER(H36),H36&gt;=G36,I36="SAFE",J36&lt;&gt;""),"PASS","FAIL"))</x:f>
        <x:v>OPEN</x:v>
      </x:c>
    </x:row>
    <x:row r="37">
      <x:c r="B37" s="28" t="str">
        <x:v>RX-RFP-B2-4-A</x:v>
      </x:c>
      <x:c r="C37" s="28" t="str">
        <x:v>RFP-B2</x:v>
      </x:c>
      <x:c r="D37" s="28" t="str">
        <x:v>PTC-B</x:v>
      </x:c>
      <x:c r="E37" s="28" t="str">
        <x:v>blocked primary corridor</x:v>
      </x:c>
      <x:c r="F37" s="28" t="str">
        <x:v>PATH-A</x:v>
      </x:c>
      <x:c r="G37" s="28" t="n">
        <x:v>150</x:v>
      </x:c>
      <x:c r="H37" s="31" t="str"/>
      <x:c r="I37" s="31" t="str"/>
      <x:c r="J37" s="31" t="str"/>
      <x:c r="K37" s="31" t="str"/>
      <x:c r="L37" s="28" t="str">
        <x:f>IF(K37="","OPEN",IF(AND(ISNUMBER(H37),H37&gt;=G37,I37="SAFE",J37&lt;&gt;""),"PASS","FAIL"))</x:f>
        <x:v>OPEN</x:v>
      </x:c>
    </x:row>
    <x:row r="38">
      <x:c r="B38" s="28" t="str">
        <x:v>RX-RFP-B2-4-B</x:v>
      </x:c>
      <x:c r="C38" s="28" t="str">
        <x:v>RFP-B2</x:v>
      </x:c>
      <x:c r="D38" s="28" t="str">
        <x:v>PTC-B</x:v>
      </x:c>
      <x:c r="E38" s="28" t="str">
        <x:v>blocked primary corridor</x:v>
      </x:c>
      <x:c r="F38" s="28" t="str">
        <x:v>PATH-B</x:v>
      </x:c>
      <x:c r="G38" s="28" t="n">
        <x:v>150</x:v>
      </x:c>
      <x:c r="H38" s="31" t="str"/>
      <x:c r="I38" s="31" t="str"/>
      <x:c r="J38" s="31" t="str"/>
      <x:c r="K38" s="31" t="str"/>
      <x:c r="L38" s="28" t="str">
        <x:f>IF(K38="","OPEN",IF(AND(ISNUMBER(H38),H38&gt;=G38,I38="SAFE",J38&lt;&gt;""),"PASS","FAIL"))</x:f>
        <x:v>OPEN</x:v>
      </x:c>
    </x:row>
    <x:row r="39">
      <x:c r="B39" s="28" t="str">
        <x:v>RX-RFP-C1-1-A</x:v>
      </x:c>
      <x:c r="C39" s="28" t="str">
        <x:v>RFP-C1</x:v>
      </x:c>
      <x:c r="D39" s="28" t="str">
        <x:v>PTC-C</x:v>
      </x:c>
      <x:c r="E39" s="28" t="str">
        <x:v>hot approach</x:v>
      </x:c>
      <x:c r="F39" s="28" t="str">
        <x:v>PATH-A</x:v>
      </x:c>
      <x:c r="G39" s="28" t="n">
        <x:v>150</x:v>
      </x:c>
      <x:c r="H39" s="31" t="str"/>
      <x:c r="I39" s="31" t="str"/>
      <x:c r="J39" s="31" t="str"/>
      <x:c r="K39" s="31" t="str"/>
      <x:c r="L39" s="28" t="str">
        <x:f>IF(K39="","OPEN",IF(AND(ISNUMBER(H39),H39&gt;=G39,I39="SAFE",J39&lt;&gt;""),"PASS","FAIL"))</x:f>
        <x:v>OPEN</x:v>
      </x:c>
    </x:row>
    <x:row r="40">
      <x:c r="B40" s="28" t="str">
        <x:v>RX-RFP-C1-1-B</x:v>
      </x:c>
      <x:c r="C40" s="28" t="str">
        <x:v>RFP-C1</x:v>
      </x:c>
      <x:c r="D40" s="28" t="str">
        <x:v>PTC-C</x:v>
      </x:c>
      <x:c r="E40" s="28" t="str">
        <x:v>hot approach</x:v>
      </x:c>
      <x:c r="F40" s="28" t="str">
        <x:v>PATH-B</x:v>
      </x:c>
      <x:c r="G40" s="28" t="n">
        <x:v>150</x:v>
      </x:c>
      <x:c r="H40" s="31" t="str"/>
      <x:c r="I40" s="31" t="str"/>
      <x:c r="J40" s="31" t="str"/>
      <x:c r="K40" s="31" t="str"/>
      <x:c r="L40" s="28" t="str">
        <x:f>IF(K40="","OPEN",IF(AND(ISNUMBER(H40),H40&gt;=G40,I40="SAFE",J40&lt;&gt;""),"PASS","FAIL"))</x:f>
        <x:v>OPEN</x:v>
      </x:c>
    </x:row>
    <x:row r="41">
      <x:c r="B41" s="28" t="str">
        <x:v>RX-RFP-C1-2-A</x:v>
      </x:c>
      <x:c r="C41" s="28" t="str">
        <x:v>RFP-C1</x:v>
      </x:c>
      <x:c r="D41" s="28" t="str">
        <x:v>PTC-C</x:v>
      </x:c>
      <x:c r="E41" s="28" t="str">
        <x:v>wet contaminated route</x:v>
      </x:c>
      <x:c r="F41" s="28" t="str">
        <x:v>PATH-A</x:v>
      </x:c>
      <x:c r="G41" s="28" t="n">
        <x:v>150</x:v>
      </x:c>
      <x:c r="H41" s="31" t="str"/>
      <x:c r="I41" s="31" t="str"/>
      <x:c r="J41" s="31" t="str"/>
      <x:c r="K41" s="31" t="str"/>
      <x:c r="L41" s="28" t="str">
        <x:f>IF(K41="","OPEN",IF(AND(ISNUMBER(H41),H41&gt;=G41,I41="SAFE",J41&lt;&gt;""),"PASS","FAIL"))</x:f>
        <x:v>OPEN</x:v>
      </x:c>
    </x:row>
    <x:row r="42">
      <x:c r="B42" s="28" t="str">
        <x:v>RX-RFP-C1-2-B</x:v>
      </x:c>
      <x:c r="C42" s="28" t="str">
        <x:v>RFP-C1</x:v>
      </x:c>
      <x:c r="D42" s="28" t="str">
        <x:v>PTC-C</x:v>
      </x:c>
      <x:c r="E42" s="28" t="str">
        <x:v>wet contaminated route</x:v>
      </x:c>
      <x:c r="F42" s="28" t="str">
        <x:v>PATH-B</x:v>
      </x:c>
      <x:c r="G42" s="28" t="n">
        <x:v>150</x:v>
      </x:c>
      <x:c r="H42" s="31" t="str"/>
      <x:c r="I42" s="31" t="str"/>
      <x:c r="J42" s="31" t="str"/>
      <x:c r="K42" s="31" t="str"/>
      <x:c r="L42" s="28" t="str">
        <x:f>IF(K42="","OPEN",IF(AND(ISNUMBER(H42),H42&gt;=G42,I42="SAFE",J42&lt;&gt;""),"PASS","FAIL"))</x:f>
        <x:v>OPEN</x:v>
      </x:c>
    </x:row>
    <x:row r="43">
      <x:c r="B43" s="28" t="str">
        <x:v>RX-RFP-C1-3-A</x:v>
      </x:c>
      <x:c r="C43" s="28" t="str">
        <x:v>RFP-C1</x:v>
      </x:c>
      <x:c r="D43" s="28" t="str">
        <x:v>PTC-C</x:v>
      </x:c>
      <x:c r="E43" s="28" t="str">
        <x:v>lost-network extraction</x:v>
      </x:c>
      <x:c r="F43" s="28" t="str">
        <x:v>PATH-A</x:v>
      </x:c>
      <x:c r="G43" s="28" t="n">
        <x:v>150</x:v>
      </x:c>
      <x:c r="H43" s="31" t="str"/>
      <x:c r="I43" s="31" t="str"/>
      <x:c r="J43" s="31" t="str"/>
      <x:c r="K43" s="31" t="str"/>
      <x:c r="L43" s="28" t="str">
        <x:f>IF(K43="","OPEN",IF(AND(ISNUMBER(H43),H43&gt;=G43,I43="SAFE",J43&lt;&gt;""),"PASS","FAIL"))</x:f>
        <x:v>OPEN</x:v>
      </x:c>
    </x:row>
    <x:row r="44">
      <x:c r="B44" s="28" t="str">
        <x:v>RX-RFP-C1-3-B</x:v>
      </x:c>
      <x:c r="C44" s="28" t="str">
        <x:v>RFP-C1</x:v>
      </x:c>
      <x:c r="D44" s="28" t="str">
        <x:v>PTC-C</x:v>
      </x:c>
      <x:c r="E44" s="28" t="str">
        <x:v>lost-network extraction</x:v>
      </x:c>
      <x:c r="F44" s="28" t="str">
        <x:v>PATH-B</x:v>
      </x:c>
      <x:c r="G44" s="28" t="n">
        <x:v>150</x:v>
      </x:c>
      <x:c r="H44" s="31" t="str"/>
      <x:c r="I44" s="31" t="str"/>
      <x:c r="J44" s="31" t="str"/>
      <x:c r="K44" s="31" t="str"/>
      <x:c r="L44" s="28" t="str">
        <x:f>IF(K44="","OPEN",IF(AND(ISNUMBER(H44),H44&gt;=G44,I44="SAFE",J44&lt;&gt;""),"PASS","FAIL"))</x:f>
        <x:v>OPEN</x:v>
      </x:c>
    </x:row>
    <x:row r="45">
      <x:c r="B45" s="28" t="str">
        <x:v>RX-RFP-C1-4-A</x:v>
      </x:c>
      <x:c r="C45" s="28" t="str">
        <x:v>RFP-C1</x:v>
      </x:c>
      <x:c r="D45" s="28" t="str">
        <x:v>PTC-C</x:v>
      </x:c>
      <x:c r="E45" s="28" t="str">
        <x:v>blocked primary corridor</x:v>
      </x:c>
      <x:c r="F45" s="28" t="str">
        <x:v>PATH-A</x:v>
      </x:c>
      <x:c r="G45" s="28" t="n">
        <x:v>150</x:v>
      </x:c>
      <x:c r="H45" s="31" t="str"/>
      <x:c r="I45" s="31" t="str"/>
      <x:c r="J45" s="31" t="str"/>
      <x:c r="K45" s="31" t="str"/>
      <x:c r="L45" s="28" t="str">
        <x:f>IF(K45="","OPEN",IF(AND(ISNUMBER(H45),H45&gt;=G45,I45="SAFE",J45&lt;&gt;""),"PASS","FAIL"))</x:f>
        <x:v>OPEN</x:v>
      </x:c>
    </x:row>
    <x:row r="46">
      <x:c r="B46" s="28" t="str">
        <x:v>RX-RFP-C1-4-B</x:v>
      </x:c>
      <x:c r="C46" s="28" t="str">
        <x:v>RFP-C1</x:v>
      </x:c>
      <x:c r="D46" s="28" t="str">
        <x:v>PTC-C</x:v>
      </x:c>
      <x:c r="E46" s="28" t="str">
        <x:v>blocked primary corridor</x:v>
      </x:c>
      <x:c r="F46" s="28" t="str">
        <x:v>PATH-B</x:v>
      </x:c>
      <x:c r="G46" s="28" t="n">
        <x:v>150</x:v>
      </x:c>
      <x:c r="H46" s="31" t="str"/>
      <x:c r="I46" s="31" t="str"/>
      <x:c r="J46" s="31" t="str"/>
      <x:c r="K46" s="31" t="str"/>
      <x:c r="L46" s="28" t="str">
        <x:f>IF(K46="","OPEN",IF(AND(ISNUMBER(H46),H46&gt;=G46,I46="SAFE",J46&lt;&gt;""),"PASS","FAIL"))</x:f>
        <x:v>OPEN</x:v>
      </x:c>
    </x:row>
    <x:row r="47">
      <x:c r="B47" s="28" t="str">
        <x:v>RX-RFP-C2-1-A</x:v>
      </x:c>
      <x:c r="C47" s="28" t="str">
        <x:v>RFP-C2</x:v>
      </x:c>
      <x:c r="D47" s="28" t="str">
        <x:v>PTC-C</x:v>
      </x:c>
      <x:c r="E47" s="28" t="str">
        <x:v>hot approach</x:v>
      </x:c>
      <x:c r="F47" s="28" t="str">
        <x:v>PATH-A</x:v>
      </x:c>
      <x:c r="G47" s="28" t="n">
        <x:v>150</x:v>
      </x:c>
      <x:c r="H47" s="31" t="str"/>
      <x:c r="I47" s="31" t="str"/>
      <x:c r="J47" s="31" t="str"/>
      <x:c r="K47" s="31" t="str"/>
      <x:c r="L47" s="28" t="str">
        <x:f>IF(K47="","OPEN",IF(AND(ISNUMBER(H47),H47&gt;=G47,I47="SAFE",J47&lt;&gt;""),"PASS","FAIL"))</x:f>
        <x:v>OPEN</x:v>
      </x:c>
    </x:row>
    <x:row r="48">
      <x:c r="B48" s="28" t="str">
        <x:v>RX-RFP-C2-1-B</x:v>
      </x:c>
      <x:c r="C48" s="28" t="str">
        <x:v>RFP-C2</x:v>
      </x:c>
      <x:c r="D48" s="28" t="str">
        <x:v>PTC-C</x:v>
      </x:c>
      <x:c r="E48" s="28" t="str">
        <x:v>hot approach</x:v>
      </x:c>
      <x:c r="F48" s="28" t="str">
        <x:v>PATH-B</x:v>
      </x:c>
      <x:c r="G48" s="28" t="n">
        <x:v>150</x:v>
      </x:c>
      <x:c r="H48" s="31" t="str"/>
      <x:c r="I48" s="31" t="str"/>
      <x:c r="J48" s="31" t="str"/>
      <x:c r="K48" s="31" t="str"/>
      <x:c r="L48" s="28" t="str">
        <x:f>IF(K48="","OPEN",IF(AND(ISNUMBER(H48),H48&gt;=G48,I48="SAFE",J48&lt;&gt;""),"PASS","FAIL"))</x:f>
        <x:v>OPEN</x:v>
      </x:c>
    </x:row>
    <x:row r="49">
      <x:c r="B49" s="28" t="str">
        <x:v>RX-RFP-C2-2-A</x:v>
      </x:c>
      <x:c r="C49" s="28" t="str">
        <x:v>RFP-C2</x:v>
      </x:c>
      <x:c r="D49" s="28" t="str">
        <x:v>PTC-C</x:v>
      </x:c>
      <x:c r="E49" s="28" t="str">
        <x:v>wet contaminated route</x:v>
      </x:c>
      <x:c r="F49" s="28" t="str">
        <x:v>PATH-A</x:v>
      </x:c>
      <x:c r="G49" s="28" t="n">
        <x:v>150</x:v>
      </x:c>
      <x:c r="H49" s="31" t="str"/>
      <x:c r="I49" s="31" t="str"/>
      <x:c r="J49" s="31" t="str"/>
      <x:c r="K49" s="31" t="str"/>
      <x:c r="L49" s="28" t="str">
        <x:f>IF(K49="","OPEN",IF(AND(ISNUMBER(H49),H49&gt;=G49,I49="SAFE",J49&lt;&gt;""),"PASS","FAIL"))</x:f>
        <x:v>OPEN</x:v>
      </x:c>
    </x:row>
    <x:row r="50">
      <x:c r="B50" s="28" t="str">
        <x:v>RX-RFP-C2-2-B</x:v>
      </x:c>
      <x:c r="C50" s="28" t="str">
        <x:v>RFP-C2</x:v>
      </x:c>
      <x:c r="D50" s="28" t="str">
        <x:v>PTC-C</x:v>
      </x:c>
      <x:c r="E50" s="28" t="str">
        <x:v>wet contaminated route</x:v>
      </x:c>
      <x:c r="F50" s="28" t="str">
        <x:v>PATH-B</x:v>
      </x:c>
      <x:c r="G50" s="28" t="n">
        <x:v>150</x:v>
      </x:c>
      <x:c r="H50" s="31" t="str"/>
      <x:c r="I50" s="31" t="str"/>
      <x:c r="J50" s="31" t="str"/>
      <x:c r="K50" s="31" t="str"/>
      <x:c r="L50" s="28" t="str">
        <x:f>IF(K50="","OPEN",IF(AND(ISNUMBER(H50),H50&gt;=G50,I50="SAFE",J50&lt;&gt;""),"PASS","FAIL"))</x:f>
        <x:v>OPEN</x:v>
      </x:c>
    </x:row>
    <x:row r="51">
      <x:c r="B51" s="28" t="str">
        <x:v>RX-RFP-C2-3-A</x:v>
      </x:c>
      <x:c r="C51" s="28" t="str">
        <x:v>RFP-C2</x:v>
      </x:c>
      <x:c r="D51" s="28" t="str">
        <x:v>PTC-C</x:v>
      </x:c>
      <x:c r="E51" s="28" t="str">
        <x:v>lost-network extraction</x:v>
      </x:c>
      <x:c r="F51" s="28" t="str">
        <x:v>PATH-A</x:v>
      </x:c>
      <x:c r="G51" s="28" t="n">
        <x:v>150</x:v>
      </x:c>
      <x:c r="H51" s="31" t="str"/>
      <x:c r="I51" s="31" t="str"/>
      <x:c r="J51" s="31" t="str"/>
      <x:c r="K51" s="31" t="str"/>
      <x:c r="L51" s="28" t="str">
        <x:f>IF(K51="","OPEN",IF(AND(ISNUMBER(H51),H51&gt;=G51,I51="SAFE",J51&lt;&gt;""),"PASS","FAIL"))</x:f>
        <x:v>OPEN</x:v>
      </x:c>
    </x:row>
    <x:row r="52">
      <x:c r="B52" s="28" t="str">
        <x:v>RX-RFP-C2-3-B</x:v>
      </x:c>
      <x:c r="C52" s="28" t="str">
        <x:v>RFP-C2</x:v>
      </x:c>
      <x:c r="D52" s="28" t="str">
        <x:v>PTC-C</x:v>
      </x:c>
      <x:c r="E52" s="28" t="str">
        <x:v>lost-network extraction</x:v>
      </x:c>
      <x:c r="F52" s="28" t="str">
        <x:v>PATH-B</x:v>
      </x:c>
      <x:c r="G52" s="28" t="n">
        <x:v>150</x:v>
      </x:c>
      <x:c r="H52" s="31" t="str"/>
      <x:c r="I52" s="31" t="str"/>
      <x:c r="J52" s="31" t="str"/>
      <x:c r="K52" s="31" t="str"/>
      <x:c r="L52" s="28" t="str">
        <x:f>IF(K52="","OPEN",IF(AND(ISNUMBER(H52),H52&gt;=G52,I52="SAFE",J52&lt;&gt;""),"PASS","FAIL"))</x:f>
        <x:v>OPEN</x:v>
      </x:c>
    </x:row>
    <x:row r="53">
      <x:c r="B53" s="28" t="str">
        <x:v>RX-RFP-C2-4-A</x:v>
      </x:c>
      <x:c r="C53" s="28" t="str">
        <x:v>RFP-C2</x:v>
      </x:c>
      <x:c r="D53" s="28" t="str">
        <x:v>PTC-C</x:v>
      </x:c>
      <x:c r="E53" s="28" t="str">
        <x:v>blocked primary corridor</x:v>
      </x:c>
      <x:c r="F53" s="28" t="str">
        <x:v>PATH-A</x:v>
      </x:c>
      <x:c r="G53" s="28" t="n">
        <x:v>150</x:v>
      </x:c>
      <x:c r="H53" s="31" t="str"/>
      <x:c r="I53" s="31" t="str"/>
      <x:c r="J53" s="31" t="str"/>
      <x:c r="K53" s="31" t="str"/>
      <x:c r="L53" s="28" t="str">
        <x:f>IF(K53="","OPEN",IF(AND(ISNUMBER(H53),H53&gt;=G53,I53="SAFE",J53&lt;&gt;""),"PASS","FAIL"))</x:f>
        <x:v>OPEN</x:v>
      </x:c>
    </x:row>
    <x:row r="54">
      <x:c r="B54" s="28" t="str">
        <x:v>RX-RFP-C2-4-B</x:v>
      </x:c>
      <x:c r="C54" s="28" t="str">
        <x:v>RFP-C2</x:v>
      </x:c>
      <x:c r="D54" s="28" t="str">
        <x:v>PTC-C</x:v>
      </x:c>
      <x:c r="E54" s="28" t="str">
        <x:v>blocked primary corridor</x:v>
      </x:c>
      <x:c r="F54" s="28" t="str">
        <x:v>PATH-B</x:v>
      </x:c>
      <x:c r="G54" s="28" t="n">
        <x:v>150</x:v>
      </x:c>
      <x:c r="H54" s="31" t="str"/>
      <x:c r="I54" s="31" t="str"/>
      <x:c r="J54" s="31" t="str"/>
      <x:c r="K54" s="31" t="str"/>
      <x:c r="L54" s="28" t="str">
        <x:f>IF(K54="","OPEN",IF(AND(ISNUMBER(H54),H54&gt;=G54,I54="SAFE",J54&lt;&gt;""),"PASS","FAIL"))</x:f>
        <x:v>OPEN</x:v>
      </x:c>
    </x:row>
  </x:sheetData>
  <x:conditionalFormatting sqref="L7:L54">
    <x:cfRule type="containsText" dxfId="114" priority="1" operator="containsText" text="FAIL"/>
    <x:cfRule type="containsText" dxfId="115" priority="2" operator="containsText" text="BLOCKED"/>
    <x:cfRule type="containsText" dxfId="116" priority="3" operator="containsText" text="EXPIRED"/>
    <x:cfRule type="containsText" dxfId="117" priority="4" operator="containsText" text="OPEN"/>
    <x:cfRule type="containsText" dxfId="118" priority="5" operator="containsText" text="DORMANT"/>
    <x:cfRule type="containsText" dxfId="119" priority="6" operator="containsText" text="PASS"/>
  </x:conditionalFormatting>
  <x:pageMargins left="0.7" right="0.7" top="0.75" bottom="0.75" header="0.3" footer="0.3"/>
</x:worksheet>
</file>

<file path=xl/worksheets/sheet27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4" hidden="0" customWidth="1"/>
    <x:col min="3" max="3" width="14" hidden="0" customWidth="1"/>
    <x:col min="4" max="4" width="14" hidden="0" customWidth="1"/>
    <x:col min="5" max="5" width="14" hidden="0" customWidth="1"/>
    <x:col min="6" max="6" width="37" hidden="0" customWidth="1"/>
    <x:col min="7" max="7" width="23" hidden="0" customWidth="1"/>
    <x:col min="8" max="8" width="34" hidden="0" customWidth="1"/>
    <x:col min="9" max="9" width="21" hidden="0" customWidth="1"/>
    <x:col min="10" max="10" width="14" hidden="0" customWidth="1"/>
  </x:cols>
  <x:sheetData>
    <x:row r="2">
      <x:c r="B2" s="25" t="str">
        <x:v>Seventy-two local evidence handshakes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27" t="str">
        <x:v>Each rig proves local originals, causal order, disconnected storage and later federation before source work.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6" t="str">
        <x:v>Handshake</x:v>
      </x:c>
      <x:c r="C6" s="6" t="str">
        <x:v>Rig</x:v>
      </x:c>
      <x:c r="D6" s="6" t="str">
        <x:v>Campus</x:v>
      </x:c>
      <x:c r="E6" s="6" t="str">
        <x:v>Function</x:v>
      </x:c>
      <x:c r="F6" s="6" t="str">
        <x:v>Requirement</x:v>
      </x:c>
      <x:c r="G6" s="6" t="str">
        <x:v>Observed state</x:v>
      </x:c>
      <x:c r="H6" s="6" t="str">
        <x:v>Evidence root</x:v>
      </x:c>
      <x:c r="I6" s="6" t="str">
        <x:v>Accepted UTC</x:v>
      </x:c>
      <x:c r="J6" s="6" t="str">
        <x:v>State</x:v>
      </x:c>
    </x:row>
    <x:row r="7">
      <x:c r="B7" s="28" t="str">
        <x:v>EH-RFP-A1-01</x:v>
      </x:c>
      <x:c r="C7" s="28" t="str">
        <x:v>RFP-A1</x:v>
      </x:c>
      <x:c r="D7" s="28" t="str">
        <x:v>PTC-A</x:v>
      </x:c>
      <x:c r="E7" s="28" t="n">
        <x:v>1</x:v>
      </x:c>
      <x:c r="F7" s="28" t="str">
        <x:v>native original A</x:v>
      </x:c>
      <x:c r="G7" s="31" t="str"/>
      <x:c r="H7" s="31" t="str"/>
      <x:c r="I7" s="31" t="str"/>
      <x:c r="J7" s="28" t="str">
        <x:f>IF(I7="","OPEN",IF(AND(G7="PASS",H7&lt;&gt;""),"PASS","FAIL"))</x:f>
        <x:v>OPEN</x:v>
      </x:c>
    </x:row>
    <x:row r="8">
      <x:c r="B8" s="28" t="str">
        <x:v>EH-RFP-A1-02</x:v>
      </x:c>
      <x:c r="C8" s="28" t="str">
        <x:v>RFP-A1</x:v>
      </x:c>
      <x:c r="D8" s="28" t="str">
        <x:v>PTC-A</x:v>
      </x:c>
      <x:c r="E8" s="28" t="n">
        <x:v>2</x:v>
      </x:c>
      <x:c r="F8" s="28" t="str">
        <x:v>native original B</x:v>
      </x:c>
      <x:c r="G8" s="31" t="str"/>
      <x:c r="H8" s="31" t="str"/>
      <x:c r="I8" s="31" t="str"/>
      <x:c r="J8" s="28" t="str">
        <x:f>IF(I8="","OPEN",IF(AND(G8="PASS",H8&lt;&gt;""),"PASS","FAIL"))</x:f>
        <x:v>OPEN</x:v>
      </x:c>
    </x:row>
    <x:row r="9">
      <x:c r="B9" s="28" t="str">
        <x:v>EH-RFP-A1-03</x:v>
      </x:c>
      <x:c r="C9" s="28" t="str">
        <x:v>RFP-A1</x:v>
      </x:c>
      <x:c r="D9" s="28" t="str">
        <x:v>PTC-A</x:v>
      </x:c>
      <x:c r="E9" s="28" t="n">
        <x:v>3</x:v>
      </x:c>
      <x:c r="F9" s="28" t="str">
        <x:v>local seal</x:v>
      </x:c>
      <x:c r="G9" s="31" t="str"/>
      <x:c r="H9" s="31" t="str"/>
      <x:c r="I9" s="31" t="str"/>
      <x:c r="J9" s="28" t="str">
        <x:f>IF(I9="","OPEN",IF(AND(G9="PASS",H9&lt;&gt;""),"PASS","FAIL"))</x:f>
        <x:v>OPEN</x:v>
      </x:c>
    </x:row>
    <x:row r="10">
      <x:c r="B10" s="28" t="str">
        <x:v>EH-RFP-A1-04</x:v>
      </x:c>
      <x:c r="C10" s="28" t="str">
        <x:v>RFP-A1</x:v>
      </x:c>
      <x:c r="D10" s="28" t="str">
        <x:v>PTC-A</x:v>
      </x:c>
      <x:c r="E10" s="28" t="n">
        <x:v>4</x:v>
      </x:c>
      <x:c r="F10" s="28" t="str">
        <x:v>remote receipt A</x:v>
      </x:c>
      <x:c r="G10" s="31" t="str"/>
      <x:c r="H10" s="31" t="str"/>
      <x:c r="I10" s="31" t="str"/>
      <x:c r="J10" s="28" t="str">
        <x:f>IF(I10="","OPEN",IF(AND(G10="PASS",H10&lt;&gt;""),"PASS","FAIL"))</x:f>
        <x:v>OPEN</x:v>
      </x:c>
    </x:row>
    <x:row r="11">
      <x:c r="B11" s="28" t="str">
        <x:v>EH-RFP-A1-05</x:v>
      </x:c>
      <x:c r="C11" s="28" t="str">
        <x:v>RFP-A1</x:v>
      </x:c>
      <x:c r="D11" s="28" t="str">
        <x:v>PTC-A</x:v>
      </x:c>
      <x:c r="E11" s="28" t="n">
        <x:v>5</x:v>
      </x:c>
      <x:c r="F11" s="28" t="str">
        <x:v>remote receipt B</x:v>
      </x:c>
      <x:c r="G11" s="31" t="str"/>
      <x:c r="H11" s="31" t="str"/>
      <x:c r="I11" s="31" t="str"/>
      <x:c r="J11" s="28" t="str">
        <x:f>IF(I11="","OPEN",IF(AND(G11="PASS",H11&lt;&gt;""),"PASS","FAIL"))</x:f>
        <x:v>OPEN</x:v>
      </x:c>
    </x:row>
    <x:row r="12">
      <x:c r="B12" s="28" t="str">
        <x:v>EH-RFP-A1-06</x:v>
      </x:c>
      <x:c r="C12" s="28" t="str">
        <x:v>RFP-A1</x:v>
      </x:c>
      <x:c r="D12" s="28" t="str">
        <x:v>PTC-A</x:v>
      </x:c>
      <x:c r="E12" s="28" t="n">
        <x:v>6</x:v>
      </x:c>
      <x:c r="F12" s="28" t="str">
        <x:v>primary causal time</x:v>
      </x:c>
      <x:c r="G12" s="31" t="str"/>
      <x:c r="H12" s="31" t="str"/>
      <x:c r="I12" s="31" t="str"/>
      <x:c r="J12" s="28" t="str">
        <x:f>IF(I12="","OPEN",IF(AND(G12="PASS",H12&lt;&gt;""),"PASS","FAIL"))</x:f>
        <x:v>OPEN</x:v>
      </x:c>
    </x:row>
    <x:row r="13">
      <x:c r="B13" s="28" t="str">
        <x:v>EH-RFP-A1-07</x:v>
      </x:c>
      <x:c r="C13" s="28" t="str">
        <x:v>RFP-A1</x:v>
      </x:c>
      <x:c r="D13" s="28" t="str">
        <x:v>PTC-A</x:v>
      </x:c>
      <x:c r="E13" s="28" t="n">
        <x:v>7</x:v>
      </x:c>
      <x:c r="F13" s="28" t="str">
        <x:v>unlike local time</x:v>
      </x:c>
      <x:c r="G13" s="31" t="str"/>
      <x:c r="H13" s="31" t="str"/>
      <x:c r="I13" s="31" t="str"/>
      <x:c r="J13" s="28" t="str">
        <x:f>IF(I13="","OPEN",IF(AND(G13="PASS",H13&lt;&gt;""),"PASS","FAIL"))</x:f>
        <x:v>OPEN</x:v>
      </x:c>
    </x:row>
    <x:row r="14">
      <x:c r="B14" s="28" t="str">
        <x:v>EH-RFP-A1-08</x:v>
      </x:c>
      <x:c r="C14" s="28" t="str">
        <x:v>RFP-A1</x:v>
      </x:c>
      <x:c r="D14" s="28" t="str">
        <x:v>PTC-A</x:v>
      </x:c>
      <x:c r="E14" s="28" t="n">
        <x:v>8</x:v>
      </x:c>
      <x:c r="F14" s="28" t="str">
        <x:v>configuration snapshot</x:v>
      </x:c>
      <x:c r="G14" s="31" t="str"/>
      <x:c r="H14" s="31" t="str"/>
      <x:c r="I14" s="31" t="str"/>
      <x:c r="J14" s="28" t="str">
        <x:f>IF(I14="","OPEN",IF(AND(G14="PASS",H14&lt;&gt;""),"PASS","FAIL"))</x:f>
        <x:v>OPEN</x:v>
      </x:c>
    </x:row>
    <x:row r="15">
      <x:c r="B15" s="28" t="str">
        <x:v>EH-RFP-A1-09</x:v>
      </x:c>
      <x:c r="C15" s="28" t="str">
        <x:v>RFP-A1</x:v>
      </x:c>
      <x:c r="D15" s="28" t="str">
        <x:v>PTC-A</x:v>
      </x:c>
      <x:c r="E15" s="28" t="n">
        <x:v>9</x:v>
      </x:c>
      <x:c r="F15" s="28" t="str">
        <x:v>channel-health packet</x:v>
      </x:c>
      <x:c r="G15" s="31" t="str"/>
      <x:c r="H15" s="31" t="str"/>
      <x:c r="I15" s="31" t="str"/>
      <x:c r="J15" s="28" t="str">
        <x:f>IF(I15="","OPEN",IF(AND(G15="PASS",H15&lt;&gt;""),"PASS","FAIL"))</x:f>
        <x:v>OPEN</x:v>
      </x:c>
    </x:row>
    <x:row r="16">
      <x:c r="B16" s="28" t="str">
        <x:v>EH-RFP-A1-10</x:v>
      </x:c>
      <x:c r="C16" s="28" t="str">
        <x:v>RFP-A1</x:v>
      </x:c>
      <x:c r="D16" s="28" t="str">
        <x:v>PTC-A</x:v>
      </x:c>
      <x:c r="E16" s="28" t="n">
        <x:v>10</x:v>
      </x:c>
      <x:c r="F16" s="28" t="str">
        <x:v>lost-network store</x:v>
      </x:c>
      <x:c r="G16" s="31" t="str"/>
      <x:c r="H16" s="31" t="str"/>
      <x:c r="I16" s="31" t="str"/>
      <x:c r="J16" s="28" t="str">
        <x:f>IF(I16="","OPEN",IF(AND(G16="PASS",H16&lt;&gt;""),"PASS","FAIL"))</x:f>
        <x:v>OPEN</x:v>
      </x:c>
    </x:row>
    <x:row r="17">
      <x:c r="B17" s="28" t="str">
        <x:v>EH-RFP-A1-11</x:v>
      </x:c>
      <x:c r="C17" s="28" t="str">
        <x:v>RFP-A1</x:v>
      </x:c>
      <x:c r="D17" s="28" t="str">
        <x:v>PTC-A</x:v>
      </x:c>
      <x:c r="E17" s="28" t="n">
        <x:v>11</x:v>
      </x:c>
      <x:c r="F17" s="28" t="str">
        <x:v>reconnection reconciliation</x:v>
      </x:c>
      <x:c r="G17" s="31" t="str"/>
      <x:c r="H17" s="31" t="str"/>
      <x:c r="I17" s="31" t="str"/>
      <x:c r="J17" s="28" t="str">
        <x:f>IF(I17="","OPEN",IF(AND(G17="PASS",H17&lt;&gt;""),"PASS","FAIL"))</x:f>
        <x:v>OPEN</x:v>
      </x:c>
    </x:row>
    <x:row r="18">
      <x:c r="B18" s="28" t="str">
        <x:v>EH-RFP-A1-12</x:v>
      </x:c>
      <x:c r="C18" s="28" t="str">
        <x:v>RFP-A1</x:v>
      </x:c>
      <x:c r="D18" s="28" t="str">
        <x:v>PTC-A</x:v>
      </x:c>
      <x:c r="E18" s="28" t="n">
        <x:v>12</x:v>
      </x:c>
      <x:c r="F18" s="28" t="str">
        <x:v>replay package</x:v>
      </x:c>
      <x:c r="G18" s="31" t="str"/>
      <x:c r="H18" s="31" t="str"/>
      <x:c r="I18" s="31" t="str"/>
      <x:c r="J18" s="28" t="str">
        <x:f>IF(I18="","OPEN",IF(AND(G18="PASS",H18&lt;&gt;""),"PASS","FAIL"))</x:f>
        <x:v>OPEN</x:v>
      </x:c>
    </x:row>
    <x:row r="19">
      <x:c r="B19" s="28" t="str">
        <x:v>EH-RFP-A2-01</x:v>
      </x:c>
      <x:c r="C19" s="28" t="str">
        <x:v>RFP-A2</x:v>
      </x:c>
      <x:c r="D19" s="28" t="str">
        <x:v>PTC-A</x:v>
      </x:c>
      <x:c r="E19" s="28" t="n">
        <x:v>1</x:v>
      </x:c>
      <x:c r="F19" s="28" t="str">
        <x:v>native original A</x:v>
      </x:c>
      <x:c r="G19" s="31" t="str"/>
      <x:c r="H19" s="31" t="str"/>
      <x:c r="I19" s="31" t="str"/>
      <x:c r="J19" s="28" t="str">
        <x:f>IF(I19="","OPEN",IF(AND(G19="PASS",H19&lt;&gt;""),"PASS","FAIL"))</x:f>
        <x:v>OPEN</x:v>
      </x:c>
    </x:row>
    <x:row r="20">
      <x:c r="B20" s="28" t="str">
        <x:v>EH-RFP-A2-02</x:v>
      </x:c>
      <x:c r="C20" s="28" t="str">
        <x:v>RFP-A2</x:v>
      </x:c>
      <x:c r="D20" s="28" t="str">
        <x:v>PTC-A</x:v>
      </x:c>
      <x:c r="E20" s="28" t="n">
        <x:v>2</x:v>
      </x:c>
      <x:c r="F20" s="28" t="str">
        <x:v>native original B</x:v>
      </x:c>
      <x:c r="G20" s="31" t="str"/>
      <x:c r="H20" s="31" t="str"/>
      <x:c r="I20" s="31" t="str"/>
      <x:c r="J20" s="28" t="str">
        <x:f>IF(I20="","OPEN",IF(AND(G20="PASS",H20&lt;&gt;""),"PASS","FAIL"))</x:f>
        <x:v>OPEN</x:v>
      </x:c>
    </x:row>
    <x:row r="21">
      <x:c r="B21" s="28" t="str">
        <x:v>EH-RFP-A2-03</x:v>
      </x:c>
      <x:c r="C21" s="28" t="str">
        <x:v>RFP-A2</x:v>
      </x:c>
      <x:c r="D21" s="28" t="str">
        <x:v>PTC-A</x:v>
      </x:c>
      <x:c r="E21" s="28" t="n">
        <x:v>3</x:v>
      </x:c>
      <x:c r="F21" s="28" t="str">
        <x:v>local seal</x:v>
      </x:c>
      <x:c r="G21" s="31" t="str"/>
      <x:c r="H21" s="31" t="str"/>
      <x:c r="I21" s="31" t="str"/>
      <x:c r="J21" s="28" t="str">
        <x:f>IF(I21="","OPEN",IF(AND(G21="PASS",H21&lt;&gt;""),"PASS","FAIL"))</x:f>
        <x:v>OPEN</x:v>
      </x:c>
    </x:row>
    <x:row r="22">
      <x:c r="B22" s="28" t="str">
        <x:v>EH-RFP-A2-04</x:v>
      </x:c>
      <x:c r="C22" s="28" t="str">
        <x:v>RFP-A2</x:v>
      </x:c>
      <x:c r="D22" s="28" t="str">
        <x:v>PTC-A</x:v>
      </x:c>
      <x:c r="E22" s="28" t="n">
        <x:v>4</x:v>
      </x:c>
      <x:c r="F22" s="28" t="str">
        <x:v>remote receipt A</x:v>
      </x:c>
      <x:c r="G22" s="31" t="str"/>
      <x:c r="H22" s="31" t="str"/>
      <x:c r="I22" s="31" t="str"/>
      <x:c r="J22" s="28" t="str">
        <x:f>IF(I22="","OPEN",IF(AND(G22="PASS",H22&lt;&gt;""),"PASS","FAIL"))</x:f>
        <x:v>OPEN</x:v>
      </x:c>
    </x:row>
    <x:row r="23">
      <x:c r="B23" s="28" t="str">
        <x:v>EH-RFP-A2-05</x:v>
      </x:c>
      <x:c r="C23" s="28" t="str">
        <x:v>RFP-A2</x:v>
      </x:c>
      <x:c r="D23" s="28" t="str">
        <x:v>PTC-A</x:v>
      </x:c>
      <x:c r="E23" s="28" t="n">
        <x:v>5</x:v>
      </x:c>
      <x:c r="F23" s="28" t="str">
        <x:v>remote receipt B</x:v>
      </x:c>
      <x:c r="G23" s="31" t="str"/>
      <x:c r="H23" s="31" t="str"/>
      <x:c r="I23" s="31" t="str"/>
      <x:c r="J23" s="28" t="str">
        <x:f>IF(I23="","OPEN",IF(AND(G23="PASS",H23&lt;&gt;""),"PASS","FAIL"))</x:f>
        <x:v>OPEN</x:v>
      </x:c>
    </x:row>
    <x:row r="24">
      <x:c r="B24" s="28" t="str">
        <x:v>EH-RFP-A2-06</x:v>
      </x:c>
      <x:c r="C24" s="28" t="str">
        <x:v>RFP-A2</x:v>
      </x:c>
      <x:c r="D24" s="28" t="str">
        <x:v>PTC-A</x:v>
      </x:c>
      <x:c r="E24" s="28" t="n">
        <x:v>6</x:v>
      </x:c>
      <x:c r="F24" s="28" t="str">
        <x:v>primary causal time</x:v>
      </x:c>
      <x:c r="G24" s="31" t="str"/>
      <x:c r="H24" s="31" t="str"/>
      <x:c r="I24" s="31" t="str"/>
      <x:c r="J24" s="28" t="str">
        <x:f>IF(I24="","OPEN",IF(AND(G24="PASS",H24&lt;&gt;""),"PASS","FAIL"))</x:f>
        <x:v>OPEN</x:v>
      </x:c>
    </x:row>
    <x:row r="25">
      <x:c r="B25" s="28" t="str">
        <x:v>EH-RFP-A2-07</x:v>
      </x:c>
      <x:c r="C25" s="28" t="str">
        <x:v>RFP-A2</x:v>
      </x:c>
      <x:c r="D25" s="28" t="str">
        <x:v>PTC-A</x:v>
      </x:c>
      <x:c r="E25" s="28" t="n">
        <x:v>7</x:v>
      </x:c>
      <x:c r="F25" s="28" t="str">
        <x:v>unlike local time</x:v>
      </x:c>
      <x:c r="G25" s="31" t="str"/>
      <x:c r="H25" s="31" t="str"/>
      <x:c r="I25" s="31" t="str"/>
      <x:c r="J25" s="28" t="str">
        <x:f>IF(I25="","OPEN",IF(AND(G25="PASS",H25&lt;&gt;""),"PASS","FAIL"))</x:f>
        <x:v>OPEN</x:v>
      </x:c>
    </x:row>
    <x:row r="26">
      <x:c r="B26" s="28" t="str">
        <x:v>EH-RFP-A2-08</x:v>
      </x:c>
      <x:c r="C26" s="28" t="str">
        <x:v>RFP-A2</x:v>
      </x:c>
      <x:c r="D26" s="28" t="str">
        <x:v>PTC-A</x:v>
      </x:c>
      <x:c r="E26" s="28" t="n">
        <x:v>8</x:v>
      </x:c>
      <x:c r="F26" s="28" t="str">
        <x:v>configuration snapshot</x:v>
      </x:c>
      <x:c r="G26" s="31" t="str"/>
      <x:c r="H26" s="31" t="str"/>
      <x:c r="I26" s="31" t="str"/>
      <x:c r="J26" s="28" t="str">
        <x:f>IF(I26="","OPEN",IF(AND(G26="PASS",H26&lt;&gt;""),"PASS","FAIL"))</x:f>
        <x:v>OPEN</x:v>
      </x:c>
    </x:row>
    <x:row r="27">
      <x:c r="B27" s="28" t="str">
        <x:v>EH-RFP-A2-09</x:v>
      </x:c>
      <x:c r="C27" s="28" t="str">
        <x:v>RFP-A2</x:v>
      </x:c>
      <x:c r="D27" s="28" t="str">
        <x:v>PTC-A</x:v>
      </x:c>
      <x:c r="E27" s="28" t="n">
        <x:v>9</x:v>
      </x:c>
      <x:c r="F27" s="28" t="str">
        <x:v>channel-health packet</x:v>
      </x:c>
      <x:c r="G27" s="31" t="str"/>
      <x:c r="H27" s="31" t="str"/>
      <x:c r="I27" s="31" t="str"/>
      <x:c r="J27" s="28" t="str">
        <x:f>IF(I27="","OPEN",IF(AND(G27="PASS",H27&lt;&gt;""),"PASS","FAIL"))</x:f>
        <x:v>OPEN</x:v>
      </x:c>
    </x:row>
    <x:row r="28">
      <x:c r="B28" s="28" t="str">
        <x:v>EH-RFP-A2-10</x:v>
      </x:c>
      <x:c r="C28" s="28" t="str">
        <x:v>RFP-A2</x:v>
      </x:c>
      <x:c r="D28" s="28" t="str">
        <x:v>PTC-A</x:v>
      </x:c>
      <x:c r="E28" s="28" t="n">
        <x:v>10</x:v>
      </x:c>
      <x:c r="F28" s="28" t="str">
        <x:v>lost-network store</x:v>
      </x:c>
      <x:c r="G28" s="31" t="str"/>
      <x:c r="H28" s="31" t="str"/>
      <x:c r="I28" s="31" t="str"/>
      <x:c r="J28" s="28" t="str">
        <x:f>IF(I28="","OPEN",IF(AND(G28="PASS",H28&lt;&gt;""),"PASS","FAIL"))</x:f>
        <x:v>OPEN</x:v>
      </x:c>
    </x:row>
    <x:row r="29">
      <x:c r="B29" s="28" t="str">
        <x:v>EH-RFP-A2-11</x:v>
      </x:c>
      <x:c r="C29" s="28" t="str">
        <x:v>RFP-A2</x:v>
      </x:c>
      <x:c r="D29" s="28" t="str">
        <x:v>PTC-A</x:v>
      </x:c>
      <x:c r="E29" s="28" t="n">
        <x:v>11</x:v>
      </x:c>
      <x:c r="F29" s="28" t="str">
        <x:v>reconnection reconciliation</x:v>
      </x:c>
      <x:c r="G29" s="31" t="str"/>
      <x:c r="H29" s="31" t="str"/>
      <x:c r="I29" s="31" t="str"/>
      <x:c r="J29" s="28" t="str">
        <x:f>IF(I29="","OPEN",IF(AND(G29="PASS",H29&lt;&gt;""),"PASS","FAIL"))</x:f>
        <x:v>OPEN</x:v>
      </x:c>
    </x:row>
    <x:row r="30">
      <x:c r="B30" s="28" t="str">
        <x:v>EH-RFP-A2-12</x:v>
      </x:c>
      <x:c r="C30" s="28" t="str">
        <x:v>RFP-A2</x:v>
      </x:c>
      <x:c r="D30" s="28" t="str">
        <x:v>PTC-A</x:v>
      </x:c>
      <x:c r="E30" s="28" t="n">
        <x:v>12</x:v>
      </x:c>
      <x:c r="F30" s="28" t="str">
        <x:v>replay package</x:v>
      </x:c>
      <x:c r="G30" s="31" t="str"/>
      <x:c r="H30" s="31" t="str"/>
      <x:c r="I30" s="31" t="str"/>
      <x:c r="J30" s="28" t="str">
        <x:f>IF(I30="","OPEN",IF(AND(G30="PASS",H30&lt;&gt;""),"PASS","FAIL"))</x:f>
        <x:v>OPEN</x:v>
      </x:c>
    </x:row>
    <x:row r="31">
      <x:c r="B31" s="28" t="str">
        <x:v>EH-RFP-B1-01</x:v>
      </x:c>
      <x:c r="C31" s="28" t="str">
        <x:v>RFP-B1</x:v>
      </x:c>
      <x:c r="D31" s="28" t="str">
        <x:v>PTC-B</x:v>
      </x:c>
      <x:c r="E31" s="28" t="n">
        <x:v>1</x:v>
      </x:c>
      <x:c r="F31" s="28" t="str">
        <x:v>native original A</x:v>
      </x:c>
      <x:c r="G31" s="31" t="str"/>
      <x:c r="H31" s="31" t="str"/>
      <x:c r="I31" s="31" t="str"/>
      <x:c r="J31" s="28" t="str">
        <x:f>IF(I31="","OPEN",IF(AND(G31="PASS",H31&lt;&gt;""),"PASS","FAIL"))</x:f>
        <x:v>OPEN</x:v>
      </x:c>
    </x:row>
    <x:row r="32">
      <x:c r="B32" s="28" t="str">
        <x:v>EH-RFP-B1-02</x:v>
      </x:c>
      <x:c r="C32" s="28" t="str">
        <x:v>RFP-B1</x:v>
      </x:c>
      <x:c r="D32" s="28" t="str">
        <x:v>PTC-B</x:v>
      </x:c>
      <x:c r="E32" s="28" t="n">
        <x:v>2</x:v>
      </x:c>
      <x:c r="F32" s="28" t="str">
        <x:v>native original B</x:v>
      </x:c>
      <x:c r="G32" s="31" t="str"/>
      <x:c r="H32" s="31" t="str"/>
      <x:c r="I32" s="31" t="str"/>
      <x:c r="J32" s="28" t="str">
        <x:f>IF(I32="","OPEN",IF(AND(G32="PASS",H32&lt;&gt;""),"PASS","FAIL"))</x:f>
        <x:v>OPEN</x:v>
      </x:c>
    </x:row>
    <x:row r="33">
      <x:c r="B33" s="28" t="str">
        <x:v>EH-RFP-B1-03</x:v>
      </x:c>
      <x:c r="C33" s="28" t="str">
        <x:v>RFP-B1</x:v>
      </x:c>
      <x:c r="D33" s="28" t="str">
        <x:v>PTC-B</x:v>
      </x:c>
      <x:c r="E33" s="28" t="n">
        <x:v>3</x:v>
      </x:c>
      <x:c r="F33" s="28" t="str">
        <x:v>local seal</x:v>
      </x:c>
      <x:c r="G33" s="31" t="str"/>
      <x:c r="H33" s="31" t="str"/>
      <x:c r="I33" s="31" t="str"/>
      <x:c r="J33" s="28" t="str">
        <x:f>IF(I33="","OPEN",IF(AND(G33="PASS",H33&lt;&gt;""),"PASS","FAIL"))</x:f>
        <x:v>OPEN</x:v>
      </x:c>
    </x:row>
    <x:row r="34">
      <x:c r="B34" s="28" t="str">
        <x:v>EH-RFP-B1-04</x:v>
      </x:c>
      <x:c r="C34" s="28" t="str">
        <x:v>RFP-B1</x:v>
      </x:c>
      <x:c r="D34" s="28" t="str">
        <x:v>PTC-B</x:v>
      </x:c>
      <x:c r="E34" s="28" t="n">
        <x:v>4</x:v>
      </x:c>
      <x:c r="F34" s="28" t="str">
        <x:v>remote receipt A</x:v>
      </x:c>
      <x:c r="G34" s="31" t="str"/>
      <x:c r="H34" s="31" t="str"/>
      <x:c r="I34" s="31" t="str"/>
      <x:c r="J34" s="28" t="str">
        <x:f>IF(I34="","OPEN",IF(AND(G34="PASS",H34&lt;&gt;""),"PASS","FAIL"))</x:f>
        <x:v>OPEN</x:v>
      </x:c>
    </x:row>
    <x:row r="35">
      <x:c r="B35" s="28" t="str">
        <x:v>EH-RFP-B1-05</x:v>
      </x:c>
      <x:c r="C35" s="28" t="str">
        <x:v>RFP-B1</x:v>
      </x:c>
      <x:c r="D35" s="28" t="str">
        <x:v>PTC-B</x:v>
      </x:c>
      <x:c r="E35" s="28" t="n">
        <x:v>5</x:v>
      </x:c>
      <x:c r="F35" s="28" t="str">
        <x:v>remote receipt B</x:v>
      </x:c>
      <x:c r="G35" s="31" t="str"/>
      <x:c r="H35" s="31" t="str"/>
      <x:c r="I35" s="31" t="str"/>
      <x:c r="J35" s="28" t="str">
        <x:f>IF(I35="","OPEN",IF(AND(G35="PASS",H35&lt;&gt;""),"PASS","FAIL"))</x:f>
        <x:v>OPEN</x:v>
      </x:c>
    </x:row>
    <x:row r="36">
      <x:c r="B36" s="28" t="str">
        <x:v>EH-RFP-B1-06</x:v>
      </x:c>
      <x:c r="C36" s="28" t="str">
        <x:v>RFP-B1</x:v>
      </x:c>
      <x:c r="D36" s="28" t="str">
        <x:v>PTC-B</x:v>
      </x:c>
      <x:c r="E36" s="28" t="n">
        <x:v>6</x:v>
      </x:c>
      <x:c r="F36" s="28" t="str">
        <x:v>primary causal time</x:v>
      </x:c>
      <x:c r="G36" s="31" t="str"/>
      <x:c r="H36" s="31" t="str"/>
      <x:c r="I36" s="31" t="str"/>
      <x:c r="J36" s="28" t="str">
        <x:f>IF(I36="","OPEN",IF(AND(G36="PASS",H36&lt;&gt;""),"PASS","FAIL"))</x:f>
        <x:v>OPEN</x:v>
      </x:c>
    </x:row>
    <x:row r="37">
      <x:c r="B37" s="28" t="str">
        <x:v>EH-RFP-B1-07</x:v>
      </x:c>
      <x:c r="C37" s="28" t="str">
        <x:v>RFP-B1</x:v>
      </x:c>
      <x:c r="D37" s="28" t="str">
        <x:v>PTC-B</x:v>
      </x:c>
      <x:c r="E37" s="28" t="n">
        <x:v>7</x:v>
      </x:c>
      <x:c r="F37" s="28" t="str">
        <x:v>unlike local time</x:v>
      </x:c>
      <x:c r="G37" s="31" t="str"/>
      <x:c r="H37" s="31" t="str"/>
      <x:c r="I37" s="31" t="str"/>
      <x:c r="J37" s="28" t="str">
        <x:f>IF(I37="","OPEN",IF(AND(G37="PASS",H37&lt;&gt;""),"PASS","FAIL"))</x:f>
        <x:v>OPEN</x:v>
      </x:c>
    </x:row>
    <x:row r="38">
      <x:c r="B38" s="28" t="str">
        <x:v>EH-RFP-B1-08</x:v>
      </x:c>
      <x:c r="C38" s="28" t="str">
        <x:v>RFP-B1</x:v>
      </x:c>
      <x:c r="D38" s="28" t="str">
        <x:v>PTC-B</x:v>
      </x:c>
      <x:c r="E38" s="28" t="n">
        <x:v>8</x:v>
      </x:c>
      <x:c r="F38" s="28" t="str">
        <x:v>configuration snapshot</x:v>
      </x:c>
      <x:c r="G38" s="31" t="str"/>
      <x:c r="H38" s="31" t="str"/>
      <x:c r="I38" s="31" t="str"/>
      <x:c r="J38" s="28" t="str">
        <x:f>IF(I38="","OPEN",IF(AND(G38="PASS",H38&lt;&gt;""),"PASS","FAIL"))</x:f>
        <x:v>OPEN</x:v>
      </x:c>
    </x:row>
    <x:row r="39">
      <x:c r="B39" s="28" t="str">
        <x:v>EH-RFP-B1-09</x:v>
      </x:c>
      <x:c r="C39" s="28" t="str">
        <x:v>RFP-B1</x:v>
      </x:c>
      <x:c r="D39" s="28" t="str">
        <x:v>PTC-B</x:v>
      </x:c>
      <x:c r="E39" s="28" t="n">
        <x:v>9</x:v>
      </x:c>
      <x:c r="F39" s="28" t="str">
        <x:v>channel-health packet</x:v>
      </x:c>
      <x:c r="G39" s="31" t="str"/>
      <x:c r="H39" s="31" t="str"/>
      <x:c r="I39" s="31" t="str"/>
      <x:c r="J39" s="28" t="str">
        <x:f>IF(I39="","OPEN",IF(AND(G39="PASS",H39&lt;&gt;""),"PASS","FAIL"))</x:f>
        <x:v>OPEN</x:v>
      </x:c>
    </x:row>
    <x:row r="40">
      <x:c r="B40" s="28" t="str">
        <x:v>EH-RFP-B1-10</x:v>
      </x:c>
      <x:c r="C40" s="28" t="str">
        <x:v>RFP-B1</x:v>
      </x:c>
      <x:c r="D40" s="28" t="str">
        <x:v>PTC-B</x:v>
      </x:c>
      <x:c r="E40" s="28" t="n">
        <x:v>10</x:v>
      </x:c>
      <x:c r="F40" s="28" t="str">
        <x:v>lost-network store</x:v>
      </x:c>
      <x:c r="G40" s="31" t="str"/>
      <x:c r="H40" s="31" t="str"/>
      <x:c r="I40" s="31" t="str"/>
      <x:c r="J40" s="28" t="str">
        <x:f>IF(I40="","OPEN",IF(AND(G40="PASS",H40&lt;&gt;""),"PASS","FAIL"))</x:f>
        <x:v>OPEN</x:v>
      </x:c>
    </x:row>
    <x:row r="41">
      <x:c r="B41" s="28" t="str">
        <x:v>EH-RFP-B1-11</x:v>
      </x:c>
      <x:c r="C41" s="28" t="str">
        <x:v>RFP-B1</x:v>
      </x:c>
      <x:c r="D41" s="28" t="str">
        <x:v>PTC-B</x:v>
      </x:c>
      <x:c r="E41" s="28" t="n">
        <x:v>11</x:v>
      </x:c>
      <x:c r="F41" s="28" t="str">
        <x:v>reconnection reconciliation</x:v>
      </x:c>
      <x:c r="G41" s="31" t="str"/>
      <x:c r="H41" s="31" t="str"/>
      <x:c r="I41" s="31" t="str"/>
      <x:c r="J41" s="28" t="str">
        <x:f>IF(I41="","OPEN",IF(AND(G41="PASS",H41&lt;&gt;""),"PASS","FAIL"))</x:f>
        <x:v>OPEN</x:v>
      </x:c>
    </x:row>
    <x:row r="42">
      <x:c r="B42" s="28" t="str">
        <x:v>EH-RFP-B1-12</x:v>
      </x:c>
      <x:c r="C42" s="28" t="str">
        <x:v>RFP-B1</x:v>
      </x:c>
      <x:c r="D42" s="28" t="str">
        <x:v>PTC-B</x:v>
      </x:c>
      <x:c r="E42" s="28" t="n">
        <x:v>12</x:v>
      </x:c>
      <x:c r="F42" s="28" t="str">
        <x:v>replay package</x:v>
      </x:c>
      <x:c r="G42" s="31" t="str"/>
      <x:c r="H42" s="31" t="str"/>
      <x:c r="I42" s="31" t="str"/>
      <x:c r="J42" s="28" t="str">
        <x:f>IF(I42="","OPEN",IF(AND(G42="PASS",H42&lt;&gt;""),"PASS","FAIL"))</x:f>
        <x:v>OPEN</x:v>
      </x:c>
    </x:row>
    <x:row r="43">
      <x:c r="B43" s="28" t="str">
        <x:v>EH-RFP-B2-01</x:v>
      </x:c>
      <x:c r="C43" s="28" t="str">
        <x:v>RFP-B2</x:v>
      </x:c>
      <x:c r="D43" s="28" t="str">
        <x:v>PTC-B</x:v>
      </x:c>
      <x:c r="E43" s="28" t="n">
        <x:v>1</x:v>
      </x:c>
      <x:c r="F43" s="28" t="str">
        <x:v>native original A</x:v>
      </x:c>
      <x:c r="G43" s="31" t="str"/>
      <x:c r="H43" s="31" t="str"/>
      <x:c r="I43" s="31" t="str"/>
      <x:c r="J43" s="28" t="str">
        <x:f>IF(I43="","OPEN",IF(AND(G43="PASS",H43&lt;&gt;""),"PASS","FAIL"))</x:f>
        <x:v>OPEN</x:v>
      </x:c>
    </x:row>
    <x:row r="44">
      <x:c r="B44" s="28" t="str">
        <x:v>EH-RFP-B2-02</x:v>
      </x:c>
      <x:c r="C44" s="28" t="str">
        <x:v>RFP-B2</x:v>
      </x:c>
      <x:c r="D44" s="28" t="str">
        <x:v>PTC-B</x:v>
      </x:c>
      <x:c r="E44" s="28" t="n">
        <x:v>2</x:v>
      </x:c>
      <x:c r="F44" s="28" t="str">
        <x:v>native original B</x:v>
      </x:c>
      <x:c r="G44" s="31" t="str"/>
      <x:c r="H44" s="31" t="str"/>
      <x:c r="I44" s="31" t="str"/>
      <x:c r="J44" s="28" t="str">
        <x:f>IF(I44="","OPEN",IF(AND(G44="PASS",H44&lt;&gt;""),"PASS","FAIL"))</x:f>
        <x:v>OPEN</x:v>
      </x:c>
    </x:row>
    <x:row r="45">
      <x:c r="B45" s="28" t="str">
        <x:v>EH-RFP-B2-03</x:v>
      </x:c>
      <x:c r="C45" s="28" t="str">
        <x:v>RFP-B2</x:v>
      </x:c>
      <x:c r="D45" s="28" t="str">
        <x:v>PTC-B</x:v>
      </x:c>
      <x:c r="E45" s="28" t="n">
        <x:v>3</x:v>
      </x:c>
      <x:c r="F45" s="28" t="str">
        <x:v>local seal</x:v>
      </x:c>
      <x:c r="G45" s="31" t="str"/>
      <x:c r="H45" s="31" t="str"/>
      <x:c r="I45" s="31" t="str"/>
      <x:c r="J45" s="28" t="str">
        <x:f>IF(I45="","OPEN",IF(AND(G45="PASS",H45&lt;&gt;""),"PASS","FAIL"))</x:f>
        <x:v>OPEN</x:v>
      </x:c>
    </x:row>
    <x:row r="46">
      <x:c r="B46" s="28" t="str">
        <x:v>EH-RFP-B2-04</x:v>
      </x:c>
      <x:c r="C46" s="28" t="str">
        <x:v>RFP-B2</x:v>
      </x:c>
      <x:c r="D46" s="28" t="str">
        <x:v>PTC-B</x:v>
      </x:c>
      <x:c r="E46" s="28" t="n">
        <x:v>4</x:v>
      </x:c>
      <x:c r="F46" s="28" t="str">
        <x:v>remote receipt A</x:v>
      </x:c>
      <x:c r="G46" s="31" t="str"/>
      <x:c r="H46" s="31" t="str"/>
      <x:c r="I46" s="31" t="str"/>
      <x:c r="J46" s="28" t="str">
        <x:f>IF(I46="","OPEN",IF(AND(G46="PASS",H46&lt;&gt;""),"PASS","FAIL"))</x:f>
        <x:v>OPEN</x:v>
      </x:c>
    </x:row>
    <x:row r="47">
      <x:c r="B47" s="28" t="str">
        <x:v>EH-RFP-B2-05</x:v>
      </x:c>
      <x:c r="C47" s="28" t="str">
        <x:v>RFP-B2</x:v>
      </x:c>
      <x:c r="D47" s="28" t="str">
        <x:v>PTC-B</x:v>
      </x:c>
      <x:c r="E47" s="28" t="n">
        <x:v>5</x:v>
      </x:c>
      <x:c r="F47" s="28" t="str">
        <x:v>remote receipt B</x:v>
      </x:c>
      <x:c r="G47" s="31" t="str"/>
      <x:c r="H47" s="31" t="str"/>
      <x:c r="I47" s="31" t="str"/>
      <x:c r="J47" s="28" t="str">
        <x:f>IF(I47="","OPEN",IF(AND(G47="PASS",H47&lt;&gt;""),"PASS","FAIL"))</x:f>
        <x:v>OPEN</x:v>
      </x:c>
    </x:row>
    <x:row r="48">
      <x:c r="B48" s="28" t="str">
        <x:v>EH-RFP-B2-06</x:v>
      </x:c>
      <x:c r="C48" s="28" t="str">
        <x:v>RFP-B2</x:v>
      </x:c>
      <x:c r="D48" s="28" t="str">
        <x:v>PTC-B</x:v>
      </x:c>
      <x:c r="E48" s="28" t="n">
        <x:v>6</x:v>
      </x:c>
      <x:c r="F48" s="28" t="str">
        <x:v>primary causal time</x:v>
      </x:c>
      <x:c r="G48" s="31" t="str"/>
      <x:c r="H48" s="31" t="str"/>
      <x:c r="I48" s="31" t="str"/>
      <x:c r="J48" s="28" t="str">
        <x:f>IF(I48="","OPEN",IF(AND(G48="PASS",H48&lt;&gt;""),"PASS","FAIL"))</x:f>
        <x:v>OPEN</x:v>
      </x:c>
    </x:row>
    <x:row r="49">
      <x:c r="B49" s="28" t="str">
        <x:v>EH-RFP-B2-07</x:v>
      </x:c>
      <x:c r="C49" s="28" t="str">
        <x:v>RFP-B2</x:v>
      </x:c>
      <x:c r="D49" s="28" t="str">
        <x:v>PTC-B</x:v>
      </x:c>
      <x:c r="E49" s="28" t="n">
        <x:v>7</x:v>
      </x:c>
      <x:c r="F49" s="28" t="str">
        <x:v>unlike local time</x:v>
      </x:c>
      <x:c r="G49" s="31" t="str"/>
      <x:c r="H49" s="31" t="str"/>
      <x:c r="I49" s="31" t="str"/>
      <x:c r="J49" s="28" t="str">
        <x:f>IF(I49="","OPEN",IF(AND(G49="PASS",H49&lt;&gt;""),"PASS","FAIL"))</x:f>
        <x:v>OPEN</x:v>
      </x:c>
    </x:row>
    <x:row r="50">
      <x:c r="B50" s="28" t="str">
        <x:v>EH-RFP-B2-08</x:v>
      </x:c>
      <x:c r="C50" s="28" t="str">
        <x:v>RFP-B2</x:v>
      </x:c>
      <x:c r="D50" s="28" t="str">
        <x:v>PTC-B</x:v>
      </x:c>
      <x:c r="E50" s="28" t="n">
        <x:v>8</x:v>
      </x:c>
      <x:c r="F50" s="28" t="str">
        <x:v>configuration snapshot</x:v>
      </x:c>
      <x:c r="G50" s="31" t="str"/>
      <x:c r="H50" s="31" t="str"/>
      <x:c r="I50" s="31" t="str"/>
      <x:c r="J50" s="28" t="str">
        <x:f>IF(I50="","OPEN",IF(AND(G50="PASS",H50&lt;&gt;""),"PASS","FAIL"))</x:f>
        <x:v>OPEN</x:v>
      </x:c>
    </x:row>
    <x:row r="51">
      <x:c r="B51" s="28" t="str">
        <x:v>EH-RFP-B2-09</x:v>
      </x:c>
      <x:c r="C51" s="28" t="str">
        <x:v>RFP-B2</x:v>
      </x:c>
      <x:c r="D51" s="28" t="str">
        <x:v>PTC-B</x:v>
      </x:c>
      <x:c r="E51" s="28" t="n">
        <x:v>9</x:v>
      </x:c>
      <x:c r="F51" s="28" t="str">
        <x:v>channel-health packet</x:v>
      </x:c>
      <x:c r="G51" s="31" t="str"/>
      <x:c r="H51" s="31" t="str"/>
      <x:c r="I51" s="31" t="str"/>
      <x:c r="J51" s="28" t="str">
        <x:f>IF(I51="","OPEN",IF(AND(G51="PASS",H51&lt;&gt;""),"PASS","FAIL"))</x:f>
        <x:v>OPEN</x:v>
      </x:c>
    </x:row>
    <x:row r="52">
      <x:c r="B52" s="28" t="str">
        <x:v>EH-RFP-B2-10</x:v>
      </x:c>
      <x:c r="C52" s="28" t="str">
        <x:v>RFP-B2</x:v>
      </x:c>
      <x:c r="D52" s="28" t="str">
        <x:v>PTC-B</x:v>
      </x:c>
      <x:c r="E52" s="28" t="n">
        <x:v>10</x:v>
      </x:c>
      <x:c r="F52" s="28" t="str">
        <x:v>lost-network store</x:v>
      </x:c>
      <x:c r="G52" s="31" t="str"/>
      <x:c r="H52" s="31" t="str"/>
      <x:c r="I52" s="31" t="str"/>
      <x:c r="J52" s="28" t="str">
        <x:f>IF(I52="","OPEN",IF(AND(G52="PASS",H52&lt;&gt;""),"PASS","FAIL"))</x:f>
        <x:v>OPEN</x:v>
      </x:c>
    </x:row>
    <x:row r="53">
      <x:c r="B53" s="28" t="str">
        <x:v>EH-RFP-B2-11</x:v>
      </x:c>
      <x:c r="C53" s="28" t="str">
        <x:v>RFP-B2</x:v>
      </x:c>
      <x:c r="D53" s="28" t="str">
        <x:v>PTC-B</x:v>
      </x:c>
      <x:c r="E53" s="28" t="n">
        <x:v>11</x:v>
      </x:c>
      <x:c r="F53" s="28" t="str">
        <x:v>reconnection reconciliation</x:v>
      </x:c>
      <x:c r="G53" s="31" t="str"/>
      <x:c r="H53" s="31" t="str"/>
      <x:c r="I53" s="31" t="str"/>
      <x:c r="J53" s="28" t="str">
        <x:f>IF(I53="","OPEN",IF(AND(G53="PASS",H53&lt;&gt;""),"PASS","FAIL"))</x:f>
        <x:v>OPEN</x:v>
      </x:c>
    </x:row>
    <x:row r="54">
      <x:c r="B54" s="28" t="str">
        <x:v>EH-RFP-B2-12</x:v>
      </x:c>
      <x:c r="C54" s="28" t="str">
        <x:v>RFP-B2</x:v>
      </x:c>
      <x:c r="D54" s="28" t="str">
        <x:v>PTC-B</x:v>
      </x:c>
      <x:c r="E54" s="28" t="n">
        <x:v>12</x:v>
      </x:c>
      <x:c r="F54" s="28" t="str">
        <x:v>replay package</x:v>
      </x:c>
      <x:c r="G54" s="31" t="str"/>
      <x:c r="H54" s="31" t="str"/>
      <x:c r="I54" s="31" t="str"/>
      <x:c r="J54" s="28" t="str">
        <x:f>IF(I54="","OPEN",IF(AND(G54="PASS",H54&lt;&gt;""),"PASS","FAIL"))</x:f>
        <x:v>OPEN</x:v>
      </x:c>
    </x:row>
    <x:row r="55">
      <x:c r="B55" s="28" t="str">
        <x:v>EH-RFP-C1-01</x:v>
      </x:c>
      <x:c r="C55" s="28" t="str">
        <x:v>RFP-C1</x:v>
      </x:c>
      <x:c r="D55" s="28" t="str">
        <x:v>PTC-C</x:v>
      </x:c>
      <x:c r="E55" s="28" t="n">
        <x:v>1</x:v>
      </x:c>
      <x:c r="F55" s="28" t="str">
        <x:v>native original A</x:v>
      </x:c>
      <x:c r="G55" s="31" t="str"/>
      <x:c r="H55" s="31" t="str"/>
      <x:c r="I55" s="31" t="str"/>
      <x:c r="J55" s="28" t="str">
        <x:f>IF(I55="","OPEN",IF(AND(G55="PASS",H55&lt;&gt;""),"PASS","FAIL"))</x:f>
        <x:v>OPEN</x:v>
      </x:c>
    </x:row>
    <x:row r="56">
      <x:c r="B56" s="28" t="str">
        <x:v>EH-RFP-C1-02</x:v>
      </x:c>
      <x:c r="C56" s="28" t="str">
        <x:v>RFP-C1</x:v>
      </x:c>
      <x:c r="D56" s="28" t="str">
        <x:v>PTC-C</x:v>
      </x:c>
      <x:c r="E56" s="28" t="n">
        <x:v>2</x:v>
      </x:c>
      <x:c r="F56" s="28" t="str">
        <x:v>native original B</x:v>
      </x:c>
      <x:c r="G56" s="31" t="str"/>
      <x:c r="H56" s="31" t="str"/>
      <x:c r="I56" s="31" t="str"/>
      <x:c r="J56" s="28" t="str">
        <x:f>IF(I56="","OPEN",IF(AND(G56="PASS",H56&lt;&gt;""),"PASS","FAIL"))</x:f>
        <x:v>OPEN</x:v>
      </x:c>
    </x:row>
    <x:row r="57">
      <x:c r="B57" s="28" t="str">
        <x:v>EH-RFP-C1-03</x:v>
      </x:c>
      <x:c r="C57" s="28" t="str">
        <x:v>RFP-C1</x:v>
      </x:c>
      <x:c r="D57" s="28" t="str">
        <x:v>PTC-C</x:v>
      </x:c>
      <x:c r="E57" s="28" t="n">
        <x:v>3</x:v>
      </x:c>
      <x:c r="F57" s="28" t="str">
        <x:v>local seal</x:v>
      </x:c>
      <x:c r="G57" s="31" t="str"/>
      <x:c r="H57" s="31" t="str"/>
      <x:c r="I57" s="31" t="str"/>
      <x:c r="J57" s="28" t="str">
        <x:f>IF(I57="","OPEN",IF(AND(G57="PASS",H57&lt;&gt;""),"PASS","FAIL"))</x:f>
        <x:v>OPEN</x:v>
      </x:c>
    </x:row>
    <x:row r="58">
      <x:c r="B58" s="28" t="str">
        <x:v>EH-RFP-C1-04</x:v>
      </x:c>
      <x:c r="C58" s="28" t="str">
        <x:v>RFP-C1</x:v>
      </x:c>
      <x:c r="D58" s="28" t="str">
        <x:v>PTC-C</x:v>
      </x:c>
      <x:c r="E58" s="28" t="n">
        <x:v>4</x:v>
      </x:c>
      <x:c r="F58" s="28" t="str">
        <x:v>remote receipt A</x:v>
      </x:c>
      <x:c r="G58" s="31" t="str"/>
      <x:c r="H58" s="31" t="str"/>
      <x:c r="I58" s="31" t="str"/>
      <x:c r="J58" s="28" t="str">
        <x:f>IF(I58="","OPEN",IF(AND(G58="PASS",H58&lt;&gt;""),"PASS","FAIL"))</x:f>
        <x:v>OPEN</x:v>
      </x:c>
    </x:row>
    <x:row r="59">
      <x:c r="B59" s="28" t="str">
        <x:v>EH-RFP-C1-05</x:v>
      </x:c>
      <x:c r="C59" s="28" t="str">
        <x:v>RFP-C1</x:v>
      </x:c>
      <x:c r="D59" s="28" t="str">
        <x:v>PTC-C</x:v>
      </x:c>
      <x:c r="E59" s="28" t="n">
        <x:v>5</x:v>
      </x:c>
      <x:c r="F59" s="28" t="str">
        <x:v>remote receipt B</x:v>
      </x:c>
      <x:c r="G59" s="31" t="str"/>
      <x:c r="H59" s="31" t="str"/>
      <x:c r="I59" s="31" t="str"/>
      <x:c r="J59" s="28" t="str">
        <x:f>IF(I59="","OPEN",IF(AND(G59="PASS",H59&lt;&gt;""),"PASS","FAIL"))</x:f>
        <x:v>OPEN</x:v>
      </x:c>
    </x:row>
    <x:row r="60">
      <x:c r="B60" s="28" t="str">
        <x:v>EH-RFP-C1-06</x:v>
      </x:c>
      <x:c r="C60" s="28" t="str">
        <x:v>RFP-C1</x:v>
      </x:c>
      <x:c r="D60" s="28" t="str">
        <x:v>PTC-C</x:v>
      </x:c>
      <x:c r="E60" s="28" t="n">
        <x:v>6</x:v>
      </x:c>
      <x:c r="F60" s="28" t="str">
        <x:v>primary causal time</x:v>
      </x:c>
      <x:c r="G60" s="31" t="str"/>
      <x:c r="H60" s="31" t="str"/>
      <x:c r="I60" s="31" t="str"/>
      <x:c r="J60" s="28" t="str">
        <x:f>IF(I60="","OPEN",IF(AND(G60="PASS",H60&lt;&gt;""),"PASS","FAIL"))</x:f>
        <x:v>OPEN</x:v>
      </x:c>
    </x:row>
    <x:row r="61">
      <x:c r="B61" s="28" t="str">
        <x:v>EH-RFP-C1-07</x:v>
      </x:c>
      <x:c r="C61" s="28" t="str">
        <x:v>RFP-C1</x:v>
      </x:c>
      <x:c r="D61" s="28" t="str">
        <x:v>PTC-C</x:v>
      </x:c>
      <x:c r="E61" s="28" t="n">
        <x:v>7</x:v>
      </x:c>
      <x:c r="F61" s="28" t="str">
        <x:v>unlike local time</x:v>
      </x:c>
      <x:c r="G61" s="31" t="str"/>
      <x:c r="H61" s="31" t="str"/>
      <x:c r="I61" s="31" t="str"/>
      <x:c r="J61" s="28" t="str">
        <x:f>IF(I61="","OPEN",IF(AND(G61="PASS",H61&lt;&gt;""),"PASS","FAIL"))</x:f>
        <x:v>OPEN</x:v>
      </x:c>
    </x:row>
    <x:row r="62">
      <x:c r="B62" s="28" t="str">
        <x:v>EH-RFP-C1-08</x:v>
      </x:c>
      <x:c r="C62" s="28" t="str">
        <x:v>RFP-C1</x:v>
      </x:c>
      <x:c r="D62" s="28" t="str">
        <x:v>PTC-C</x:v>
      </x:c>
      <x:c r="E62" s="28" t="n">
        <x:v>8</x:v>
      </x:c>
      <x:c r="F62" s="28" t="str">
        <x:v>configuration snapshot</x:v>
      </x:c>
      <x:c r="G62" s="31" t="str"/>
      <x:c r="H62" s="31" t="str"/>
      <x:c r="I62" s="31" t="str"/>
      <x:c r="J62" s="28" t="str">
        <x:f>IF(I62="","OPEN",IF(AND(G62="PASS",H62&lt;&gt;""),"PASS","FAIL"))</x:f>
        <x:v>OPEN</x:v>
      </x:c>
    </x:row>
    <x:row r="63">
      <x:c r="B63" s="28" t="str">
        <x:v>EH-RFP-C1-09</x:v>
      </x:c>
      <x:c r="C63" s="28" t="str">
        <x:v>RFP-C1</x:v>
      </x:c>
      <x:c r="D63" s="28" t="str">
        <x:v>PTC-C</x:v>
      </x:c>
      <x:c r="E63" s="28" t="n">
        <x:v>9</x:v>
      </x:c>
      <x:c r="F63" s="28" t="str">
        <x:v>channel-health packet</x:v>
      </x:c>
      <x:c r="G63" s="31" t="str"/>
      <x:c r="H63" s="31" t="str"/>
      <x:c r="I63" s="31" t="str"/>
      <x:c r="J63" s="28" t="str">
        <x:f>IF(I63="","OPEN",IF(AND(G63="PASS",H63&lt;&gt;""),"PASS","FAIL"))</x:f>
        <x:v>OPEN</x:v>
      </x:c>
    </x:row>
    <x:row r="64">
      <x:c r="B64" s="28" t="str">
        <x:v>EH-RFP-C1-10</x:v>
      </x:c>
      <x:c r="C64" s="28" t="str">
        <x:v>RFP-C1</x:v>
      </x:c>
      <x:c r="D64" s="28" t="str">
        <x:v>PTC-C</x:v>
      </x:c>
      <x:c r="E64" s="28" t="n">
        <x:v>10</x:v>
      </x:c>
      <x:c r="F64" s="28" t="str">
        <x:v>lost-network store</x:v>
      </x:c>
      <x:c r="G64" s="31" t="str"/>
      <x:c r="H64" s="31" t="str"/>
      <x:c r="I64" s="31" t="str"/>
      <x:c r="J64" s="28" t="str">
        <x:f>IF(I64="","OPEN",IF(AND(G64="PASS",H64&lt;&gt;""),"PASS","FAIL"))</x:f>
        <x:v>OPEN</x:v>
      </x:c>
    </x:row>
    <x:row r="65">
      <x:c r="B65" s="28" t="str">
        <x:v>EH-RFP-C1-11</x:v>
      </x:c>
      <x:c r="C65" s="28" t="str">
        <x:v>RFP-C1</x:v>
      </x:c>
      <x:c r="D65" s="28" t="str">
        <x:v>PTC-C</x:v>
      </x:c>
      <x:c r="E65" s="28" t="n">
        <x:v>11</x:v>
      </x:c>
      <x:c r="F65" s="28" t="str">
        <x:v>reconnection reconciliation</x:v>
      </x:c>
      <x:c r="G65" s="31" t="str"/>
      <x:c r="H65" s="31" t="str"/>
      <x:c r="I65" s="31" t="str"/>
      <x:c r="J65" s="28" t="str">
        <x:f>IF(I65="","OPEN",IF(AND(G65="PASS",H65&lt;&gt;""),"PASS","FAIL"))</x:f>
        <x:v>OPEN</x:v>
      </x:c>
    </x:row>
    <x:row r="66">
      <x:c r="B66" s="28" t="str">
        <x:v>EH-RFP-C1-12</x:v>
      </x:c>
      <x:c r="C66" s="28" t="str">
        <x:v>RFP-C1</x:v>
      </x:c>
      <x:c r="D66" s="28" t="str">
        <x:v>PTC-C</x:v>
      </x:c>
      <x:c r="E66" s="28" t="n">
        <x:v>12</x:v>
      </x:c>
      <x:c r="F66" s="28" t="str">
        <x:v>replay package</x:v>
      </x:c>
      <x:c r="G66" s="31" t="str"/>
      <x:c r="H66" s="31" t="str"/>
      <x:c r="I66" s="31" t="str"/>
      <x:c r="J66" s="28" t="str">
        <x:f>IF(I66="","OPEN",IF(AND(G66="PASS",H66&lt;&gt;""),"PASS","FAIL"))</x:f>
        <x:v>OPEN</x:v>
      </x:c>
    </x:row>
    <x:row r="67">
      <x:c r="B67" s="28" t="str">
        <x:v>EH-RFP-C2-01</x:v>
      </x:c>
      <x:c r="C67" s="28" t="str">
        <x:v>RFP-C2</x:v>
      </x:c>
      <x:c r="D67" s="28" t="str">
        <x:v>PTC-C</x:v>
      </x:c>
      <x:c r="E67" s="28" t="n">
        <x:v>1</x:v>
      </x:c>
      <x:c r="F67" s="28" t="str">
        <x:v>native original A</x:v>
      </x:c>
      <x:c r="G67" s="31" t="str"/>
      <x:c r="H67" s="31" t="str"/>
      <x:c r="I67" s="31" t="str"/>
      <x:c r="J67" s="28" t="str">
        <x:f>IF(I67="","OPEN",IF(AND(G67="PASS",H67&lt;&gt;""),"PASS","FAIL"))</x:f>
        <x:v>OPEN</x:v>
      </x:c>
    </x:row>
    <x:row r="68">
      <x:c r="B68" s="28" t="str">
        <x:v>EH-RFP-C2-02</x:v>
      </x:c>
      <x:c r="C68" s="28" t="str">
        <x:v>RFP-C2</x:v>
      </x:c>
      <x:c r="D68" s="28" t="str">
        <x:v>PTC-C</x:v>
      </x:c>
      <x:c r="E68" s="28" t="n">
        <x:v>2</x:v>
      </x:c>
      <x:c r="F68" s="28" t="str">
        <x:v>native original B</x:v>
      </x:c>
      <x:c r="G68" s="31" t="str"/>
      <x:c r="H68" s="31" t="str"/>
      <x:c r="I68" s="31" t="str"/>
      <x:c r="J68" s="28" t="str">
        <x:f>IF(I68="","OPEN",IF(AND(G68="PASS",H68&lt;&gt;""),"PASS","FAIL"))</x:f>
        <x:v>OPEN</x:v>
      </x:c>
    </x:row>
    <x:row r="69">
      <x:c r="B69" s="28" t="str">
        <x:v>EH-RFP-C2-03</x:v>
      </x:c>
      <x:c r="C69" s="28" t="str">
        <x:v>RFP-C2</x:v>
      </x:c>
      <x:c r="D69" s="28" t="str">
        <x:v>PTC-C</x:v>
      </x:c>
      <x:c r="E69" s="28" t="n">
        <x:v>3</x:v>
      </x:c>
      <x:c r="F69" s="28" t="str">
        <x:v>local seal</x:v>
      </x:c>
      <x:c r="G69" s="31" t="str"/>
      <x:c r="H69" s="31" t="str"/>
      <x:c r="I69" s="31" t="str"/>
      <x:c r="J69" s="28" t="str">
        <x:f>IF(I69="","OPEN",IF(AND(G69="PASS",H69&lt;&gt;""),"PASS","FAIL"))</x:f>
        <x:v>OPEN</x:v>
      </x:c>
    </x:row>
    <x:row r="70">
      <x:c r="B70" s="28" t="str">
        <x:v>EH-RFP-C2-04</x:v>
      </x:c>
      <x:c r="C70" s="28" t="str">
        <x:v>RFP-C2</x:v>
      </x:c>
      <x:c r="D70" s="28" t="str">
        <x:v>PTC-C</x:v>
      </x:c>
      <x:c r="E70" s="28" t="n">
        <x:v>4</x:v>
      </x:c>
      <x:c r="F70" s="28" t="str">
        <x:v>remote receipt A</x:v>
      </x:c>
      <x:c r="G70" s="31" t="str"/>
      <x:c r="H70" s="31" t="str"/>
      <x:c r="I70" s="31" t="str"/>
      <x:c r="J70" s="28" t="str">
        <x:f>IF(I70="","OPEN",IF(AND(G70="PASS",H70&lt;&gt;""),"PASS","FAIL"))</x:f>
        <x:v>OPEN</x:v>
      </x:c>
    </x:row>
    <x:row r="71">
      <x:c r="B71" s="28" t="str">
        <x:v>EH-RFP-C2-05</x:v>
      </x:c>
      <x:c r="C71" s="28" t="str">
        <x:v>RFP-C2</x:v>
      </x:c>
      <x:c r="D71" s="28" t="str">
        <x:v>PTC-C</x:v>
      </x:c>
      <x:c r="E71" s="28" t="n">
        <x:v>5</x:v>
      </x:c>
      <x:c r="F71" s="28" t="str">
        <x:v>remote receipt B</x:v>
      </x:c>
      <x:c r="G71" s="31" t="str"/>
      <x:c r="H71" s="31" t="str"/>
      <x:c r="I71" s="31" t="str"/>
      <x:c r="J71" s="28" t="str">
        <x:f>IF(I71="","OPEN",IF(AND(G71="PASS",H71&lt;&gt;""),"PASS","FAIL"))</x:f>
        <x:v>OPEN</x:v>
      </x:c>
    </x:row>
    <x:row r="72">
      <x:c r="B72" s="28" t="str">
        <x:v>EH-RFP-C2-06</x:v>
      </x:c>
      <x:c r="C72" s="28" t="str">
        <x:v>RFP-C2</x:v>
      </x:c>
      <x:c r="D72" s="28" t="str">
        <x:v>PTC-C</x:v>
      </x:c>
      <x:c r="E72" s="28" t="n">
        <x:v>6</x:v>
      </x:c>
      <x:c r="F72" s="28" t="str">
        <x:v>primary causal time</x:v>
      </x:c>
      <x:c r="G72" s="31" t="str"/>
      <x:c r="H72" s="31" t="str"/>
      <x:c r="I72" s="31" t="str"/>
      <x:c r="J72" s="28" t="str">
        <x:f>IF(I72="","OPEN",IF(AND(G72="PASS",H72&lt;&gt;""),"PASS","FAIL"))</x:f>
        <x:v>OPEN</x:v>
      </x:c>
    </x:row>
    <x:row r="73">
      <x:c r="B73" s="28" t="str">
        <x:v>EH-RFP-C2-07</x:v>
      </x:c>
      <x:c r="C73" s="28" t="str">
        <x:v>RFP-C2</x:v>
      </x:c>
      <x:c r="D73" s="28" t="str">
        <x:v>PTC-C</x:v>
      </x:c>
      <x:c r="E73" s="28" t="n">
        <x:v>7</x:v>
      </x:c>
      <x:c r="F73" s="28" t="str">
        <x:v>unlike local time</x:v>
      </x:c>
      <x:c r="G73" s="31" t="str"/>
      <x:c r="H73" s="31" t="str"/>
      <x:c r="I73" s="31" t="str"/>
      <x:c r="J73" s="28" t="str">
        <x:f>IF(I73="","OPEN",IF(AND(G73="PASS",H73&lt;&gt;""),"PASS","FAIL"))</x:f>
        <x:v>OPEN</x:v>
      </x:c>
    </x:row>
    <x:row r="74">
      <x:c r="B74" s="28" t="str">
        <x:v>EH-RFP-C2-08</x:v>
      </x:c>
      <x:c r="C74" s="28" t="str">
        <x:v>RFP-C2</x:v>
      </x:c>
      <x:c r="D74" s="28" t="str">
        <x:v>PTC-C</x:v>
      </x:c>
      <x:c r="E74" s="28" t="n">
        <x:v>8</x:v>
      </x:c>
      <x:c r="F74" s="28" t="str">
        <x:v>configuration snapshot</x:v>
      </x:c>
      <x:c r="G74" s="31" t="str"/>
      <x:c r="H74" s="31" t="str"/>
      <x:c r="I74" s="31" t="str"/>
      <x:c r="J74" s="28" t="str">
        <x:f>IF(I74="","OPEN",IF(AND(G74="PASS",H74&lt;&gt;""),"PASS","FAIL"))</x:f>
        <x:v>OPEN</x:v>
      </x:c>
    </x:row>
    <x:row r="75">
      <x:c r="B75" s="28" t="str">
        <x:v>EH-RFP-C2-09</x:v>
      </x:c>
      <x:c r="C75" s="28" t="str">
        <x:v>RFP-C2</x:v>
      </x:c>
      <x:c r="D75" s="28" t="str">
        <x:v>PTC-C</x:v>
      </x:c>
      <x:c r="E75" s="28" t="n">
        <x:v>9</x:v>
      </x:c>
      <x:c r="F75" s="28" t="str">
        <x:v>channel-health packet</x:v>
      </x:c>
      <x:c r="G75" s="31" t="str"/>
      <x:c r="H75" s="31" t="str"/>
      <x:c r="I75" s="31" t="str"/>
      <x:c r="J75" s="28" t="str">
        <x:f>IF(I75="","OPEN",IF(AND(G75="PASS",H75&lt;&gt;""),"PASS","FAIL"))</x:f>
        <x:v>OPEN</x:v>
      </x:c>
    </x:row>
    <x:row r="76">
      <x:c r="B76" s="28" t="str">
        <x:v>EH-RFP-C2-10</x:v>
      </x:c>
      <x:c r="C76" s="28" t="str">
        <x:v>RFP-C2</x:v>
      </x:c>
      <x:c r="D76" s="28" t="str">
        <x:v>PTC-C</x:v>
      </x:c>
      <x:c r="E76" s="28" t="n">
        <x:v>10</x:v>
      </x:c>
      <x:c r="F76" s="28" t="str">
        <x:v>lost-network store</x:v>
      </x:c>
      <x:c r="G76" s="31" t="str"/>
      <x:c r="H76" s="31" t="str"/>
      <x:c r="I76" s="31" t="str"/>
      <x:c r="J76" s="28" t="str">
        <x:f>IF(I76="","OPEN",IF(AND(G76="PASS",H76&lt;&gt;""),"PASS","FAIL"))</x:f>
        <x:v>OPEN</x:v>
      </x:c>
    </x:row>
    <x:row r="77">
      <x:c r="B77" s="28" t="str">
        <x:v>EH-RFP-C2-11</x:v>
      </x:c>
      <x:c r="C77" s="28" t="str">
        <x:v>RFP-C2</x:v>
      </x:c>
      <x:c r="D77" s="28" t="str">
        <x:v>PTC-C</x:v>
      </x:c>
      <x:c r="E77" s="28" t="n">
        <x:v>11</x:v>
      </x:c>
      <x:c r="F77" s="28" t="str">
        <x:v>reconnection reconciliation</x:v>
      </x:c>
      <x:c r="G77" s="31" t="str"/>
      <x:c r="H77" s="31" t="str"/>
      <x:c r="I77" s="31" t="str"/>
      <x:c r="J77" s="28" t="str">
        <x:f>IF(I77="","OPEN",IF(AND(G77="PASS",H77&lt;&gt;""),"PASS","FAIL"))</x:f>
        <x:v>OPEN</x:v>
      </x:c>
    </x:row>
    <x:row r="78">
      <x:c r="B78" s="28" t="str">
        <x:v>EH-RFP-C2-12</x:v>
      </x:c>
      <x:c r="C78" s="28" t="str">
        <x:v>RFP-C2</x:v>
      </x:c>
      <x:c r="D78" s="28" t="str">
        <x:v>PTC-C</x:v>
      </x:c>
      <x:c r="E78" s="28" t="n">
        <x:v>12</x:v>
      </x:c>
      <x:c r="F78" s="28" t="str">
        <x:v>replay package</x:v>
      </x:c>
      <x:c r="G78" s="31" t="str"/>
      <x:c r="H78" s="31" t="str"/>
      <x:c r="I78" s="31" t="str"/>
      <x:c r="J78" s="28" t="str">
        <x:f>IF(I78="","OPEN",IF(AND(G78="PASS",H78&lt;&gt;""),"PASS","FAIL"))</x:f>
        <x:v>OPEN</x:v>
      </x:c>
    </x:row>
  </x:sheetData>
  <x:conditionalFormatting sqref="J7:J78">
    <x:cfRule type="containsText" dxfId="120" priority="1" operator="containsText" text="FAIL"/>
    <x:cfRule type="containsText" dxfId="121" priority="2" operator="containsText" text="BLOCKED"/>
    <x:cfRule type="containsText" dxfId="122" priority="3" operator="containsText" text="EXPIRED"/>
    <x:cfRule type="containsText" dxfId="123" priority="4" operator="containsText" text="OPEN"/>
    <x:cfRule type="containsText" dxfId="124" priority="5" operator="containsText" text="DORMANT"/>
    <x:cfRule type="containsText" dxfId="125" priority="6" operator="containsText" text="PASS"/>
  </x:conditionalFormatting>
  <x:pageMargins left="0.7" right="0.7" top="0.75" bottom="0.75" header="0.3" footer="0.3"/>
</x:worksheet>
</file>

<file path=xl/worksheets/sheet28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7" hidden="0" customWidth="1"/>
    <x:col min="3" max="3" width="14" hidden="0" customWidth="1"/>
    <x:col min="4" max="4" width="17" hidden="0" customWidth="1"/>
    <x:col min="5" max="5" width="17" hidden="0" customWidth="1"/>
    <x:col min="6" max="6" width="12" hidden="0" customWidth="1"/>
    <x:col min="7" max="7" width="30" hidden="0" customWidth="1"/>
    <x:col min="8" max="8" width="22" hidden="0" customWidth="1"/>
    <x:col min="9" max="9" width="22" hidden="0" customWidth="1"/>
    <x:col min="10" max="10" width="17" hidden="0" customWidth="1"/>
    <x:col min="11" max="11" width="21" hidden="0" customWidth="1"/>
    <x:col min="12" max="12" width="14" hidden="0" customWidth="1"/>
  </x:cols>
  <x:sheetData>
    <x:row r="2">
      <x:c r="B2" s="25" t="str">
        <x:v>One hundred twenty non-origin readiness replays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B3" s="27" t="str">
        <x:v>A remote campus executes the registered reconstruction and issues its own result. Copying the origin conclusion is not replay.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</x:row>
    <x:row r="6" ht="24" customHeight="1">
      <x:c r="B6" s="6" t="str">
        <x:v>Replay</x:v>
      </x:c>
      <x:c r="C6" s="6" t="str">
        <x:v>Rig</x:v>
      </x:c>
      <x:c r="D6" s="6" t="str">
        <x:v>Origin campus</x:v>
      </x:c>
      <x:c r="E6" s="6" t="str">
        <x:v>Replay campus</x:v>
      </x:c>
      <x:c r="F6" s="6" t="str">
        <x:v>Class</x:v>
      </x:c>
      <x:c r="G6" s="6" t="str">
        <x:v>Packet class</x:v>
      </x:c>
      <x:c r="H6" s="6" t="str">
        <x:v>Origin result</x:v>
      </x:c>
      <x:c r="I6" s="6" t="str">
        <x:v>Replay result</x:v>
      </x:c>
      <x:c r="J6" s="6" t="str">
        <x:v>Agreement</x:v>
      </x:c>
      <x:c r="K6" s="6" t="str">
        <x:v>Accepted UTC</x:v>
      </x:c>
      <x:c r="L6" s="6" t="str">
        <x:v>State</x:v>
      </x:c>
    </x:row>
    <x:row r="7">
      <x:c r="B7" s="28" t="str">
        <x:v>RP-RFP-A1-01-B</x:v>
      </x:c>
      <x:c r="C7" s="28" t="str">
        <x:v>RFP-A1</x:v>
      </x:c>
      <x:c r="D7" s="28" t="str">
        <x:v>PTC-A</x:v>
      </x:c>
      <x:c r="E7" s="28" t="str">
        <x:v>PTC-B</x:v>
      </x:c>
      <x:c r="F7" s="28" t="n">
        <x:v>1</x:v>
      </x:c>
      <x:c r="G7" s="28" t="str">
        <x:v>configuration</x:v>
      </x:c>
      <x:c r="H7" s="31" t="str"/>
      <x:c r="I7" s="31" t="str"/>
      <x:c r="J7" s="36" t="str">
        <x:f>IF(OR(H7="",I7=""),"",IF(H7=I7,1,0))</x:f>
      </x:c>
      <x:c r="K7" s="31" t="str"/>
      <x:c r="L7" s="28" t="str">
        <x:f>IF(K7="","OPEN",IF(J7=1,"PASS","FAIL"))</x:f>
        <x:v>OPEN</x:v>
      </x:c>
    </x:row>
    <x:row r="8">
      <x:c r="B8" s="28" t="str">
        <x:v>RP-RFP-A1-01-C</x:v>
      </x:c>
      <x:c r="C8" s="28" t="str">
        <x:v>RFP-A1</x:v>
      </x:c>
      <x:c r="D8" s="28" t="str">
        <x:v>PTC-A</x:v>
      </x:c>
      <x:c r="E8" s="28" t="str">
        <x:v>PTC-C</x:v>
      </x:c>
      <x:c r="F8" s="28" t="n">
        <x:v>1</x:v>
      </x:c>
      <x:c r="G8" s="28" t="str">
        <x:v>configuration</x:v>
      </x:c>
      <x:c r="H8" s="31" t="str"/>
      <x:c r="I8" s="31" t="str"/>
      <x:c r="J8" s="36" t="str">
        <x:f>IF(OR(H8="",I8=""),"",IF(H8=I8,1,0))</x:f>
      </x:c>
      <x:c r="K8" s="31" t="str"/>
      <x:c r="L8" s="28" t="str">
        <x:f>IF(K8="","OPEN",IF(J8=1,"PASS","FAIL"))</x:f>
        <x:v>OPEN</x:v>
      </x:c>
    </x:row>
    <x:row r="9">
      <x:c r="B9" s="28" t="str">
        <x:v>RP-RFP-A1-02-B</x:v>
      </x:c>
      <x:c r="C9" s="28" t="str">
        <x:v>RFP-A1</x:v>
      </x:c>
      <x:c r="D9" s="28" t="str">
        <x:v>PTC-A</x:v>
      </x:c>
      <x:c r="E9" s="28" t="str">
        <x:v>PTC-B</x:v>
      </x:c>
      <x:c r="F9" s="28" t="n">
        <x:v>2</x:v>
      </x:c>
      <x:c r="G9" s="28" t="str">
        <x:v>path actuation</x:v>
      </x:c>
      <x:c r="H9" s="31" t="str"/>
      <x:c r="I9" s="31" t="str"/>
      <x:c r="J9" s="36" t="str">
        <x:f>IF(OR(H9="",I9=""),"",IF(H9=I9,1,0))</x:f>
      </x:c>
      <x:c r="K9" s="31" t="str"/>
      <x:c r="L9" s="28" t="str">
        <x:f>IF(K9="","OPEN",IF(J9=1,"PASS","FAIL"))</x:f>
        <x:v>OPEN</x:v>
      </x:c>
    </x:row>
    <x:row r="10">
      <x:c r="B10" s="28" t="str">
        <x:v>RP-RFP-A1-02-C</x:v>
      </x:c>
      <x:c r="C10" s="28" t="str">
        <x:v>RFP-A1</x:v>
      </x:c>
      <x:c r="D10" s="28" t="str">
        <x:v>PTC-A</x:v>
      </x:c>
      <x:c r="E10" s="28" t="str">
        <x:v>PTC-C</x:v>
      </x:c>
      <x:c r="F10" s="28" t="n">
        <x:v>2</x:v>
      </x:c>
      <x:c r="G10" s="28" t="str">
        <x:v>path actuation</x:v>
      </x:c>
      <x:c r="H10" s="31" t="str"/>
      <x:c r="I10" s="31" t="str"/>
      <x:c r="J10" s="36" t="str">
        <x:f>IF(OR(H10="",I10=""),"",IF(H10=I10,1,0))</x:f>
      </x:c>
      <x:c r="K10" s="31" t="str"/>
      <x:c r="L10" s="28" t="str">
        <x:f>IF(K10="","OPEN",IF(J10=1,"PASS","FAIL"))</x:f>
        <x:v>OPEN</x:v>
      </x:c>
    </x:row>
    <x:row r="11">
      <x:c r="B11" s="28" t="str">
        <x:v>RP-RFP-A1-03-B</x:v>
      </x:c>
      <x:c r="C11" s="28" t="str">
        <x:v>RFP-A1</x:v>
      </x:c>
      <x:c r="D11" s="28" t="str">
        <x:v>PTC-A</x:v>
      </x:c>
      <x:c r="E11" s="28" t="str">
        <x:v>PTC-B</x:v>
      </x:c>
      <x:c r="F11" s="28" t="n">
        <x:v>3</x:v>
      </x:c>
      <x:c r="G11" s="28" t="str">
        <x:v>route mass</x:v>
      </x:c>
      <x:c r="H11" s="31" t="str"/>
      <x:c r="I11" s="31" t="str"/>
      <x:c r="J11" s="36" t="str">
        <x:f>IF(OR(H11="",I11=""),"",IF(H11=I11,1,0))</x:f>
      </x:c>
      <x:c r="K11" s="31" t="str"/>
      <x:c r="L11" s="28" t="str">
        <x:f>IF(K11="","OPEN",IF(J11=1,"PASS","FAIL"))</x:f>
        <x:v>OPEN</x:v>
      </x:c>
    </x:row>
    <x:row r="12">
      <x:c r="B12" s="28" t="str">
        <x:v>RP-RFP-A1-03-C</x:v>
      </x:c>
      <x:c r="C12" s="28" t="str">
        <x:v>RFP-A1</x:v>
      </x:c>
      <x:c r="D12" s="28" t="str">
        <x:v>PTC-A</x:v>
      </x:c>
      <x:c r="E12" s="28" t="str">
        <x:v>PTC-C</x:v>
      </x:c>
      <x:c r="F12" s="28" t="n">
        <x:v>3</x:v>
      </x:c>
      <x:c r="G12" s="28" t="str">
        <x:v>route mass</x:v>
      </x:c>
      <x:c r="H12" s="31" t="str"/>
      <x:c r="I12" s="31" t="str"/>
      <x:c r="J12" s="36" t="str">
        <x:f>IF(OR(H12="",I12=""),"",IF(H12=I12,1,0))</x:f>
      </x:c>
      <x:c r="K12" s="31" t="str"/>
      <x:c r="L12" s="28" t="str">
        <x:f>IF(K12="","OPEN",IF(J12=1,"PASS","FAIL"))</x:f>
        <x:v>OPEN</x:v>
      </x:c>
    </x:row>
    <x:row r="13">
      <x:c r="B13" s="28" t="str">
        <x:v>RP-RFP-A1-04-B</x:v>
      </x:c>
      <x:c r="C13" s="28" t="str">
        <x:v>RFP-A1</x:v>
      </x:c>
      <x:c r="D13" s="28" t="str">
        <x:v>PTC-A</x:v>
      </x:c>
      <x:c r="E13" s="28" t="str">
        <x:v>PTC-B</x:v>
      </x:c>
      <x:c r="F13" s="28" t="n">
        <x:v>4</x:v>
      </x:c>
      <x:c r="G13" s="28" t="str">
        <x:v>containment</x:v>
      </x:c>
      <x:c r="H13" s="31" t="str"/>
      <x:c r="I13" s="31" t="str"/>
      <x:c r="J13" s="36" t="str">
        <x:f>IF(OR(H13="",I13=""),"",IF(H13=I13,1,0))</x:f>
      </x:c>
      <x:c r="K13" s="31" t="str"/>
      <x:c r="L13" s="28" t="str">
        <x:f>IF(K13="","OPEN",IF(J13=1,"PASS","FAIL"))</x:f>
        <x:v>OPEN</x:v>
      </x:c>
    </x:row>
    <x:row r="14">
      <x:c r="B14" s="28" t="str">
        <x:v>RP-RFP-A1-04-C</x:v>
      </x:c>
      <x:c r="C14" s="28" t="str">
        <x:v>RFP-A1</x:v>
      </x:c>
      <x:c r="D14" s="28" t="str">
        <x:v>PTC-A</x:v>
      </x:c>
      <x:c r="E14" s="28" t="str">
        <x:v>PTC-C</x:v>
      </x:c>
      <x:c r="F14" s="28" t="n">
        <x:v>4</x:v>
      </x:c>
      <x:c r="G14" s="28" t="str">
        <x:v>containment</x:v>
      </x:c>
      <x:c r="H14" s="31" t="str"/>
      <x:c r="I14" s="31" t="str"/>
      <x:c r="J14" s="36" t="str">
        <x:f>IF(OR(H14="",I14=""),"",IF(H14=I14,1,0))</x:f>
      </x:c>
      <x:c r="K14" s="31" t="str"/>
      <x:c r="L14" s="28" t="str">
        <x:f>IF(K14="","OPEN",IF(J14=1,"PASS","FAIL"))</x:f>
        <x:v>OPEN</x:v>
      </x:c>
    </x:row>
    <x:row r="15">
      <x:c r="B15" s="28" t="str">
        <x:v>RP-RFP-A1-05-B</x:v>
      </x:c>
      <x:c r="C15" s="28" t="str">
        <x:v>RFP-A1</x:v>
      </x:c>
      <x:c r="D15" s="28" t="str">
        <x:v>PTC-A</x:v>
      </x:c>
      <x:c r="E15" s="28" t="str">
        <x:v>PTC-B</x:v>
      </x:c>
      <x:c r="F15" s="28" t="n">
        <x:v>5</x:v>
      </x:c>
      <x:c r="G15" s="28" t="str">
        <x:v>calibration</x:v>
      </x:c>
      <x:c r="H15" s="31" t="str"/>
      <x:c r="I15" s="31" t="str"/>
      <x:c r="J15" s="36" t="str">
        <x:f>IF(OR(H15="",I15=""),"",IF(H15=I15,1,0))</x:f>
      </x:c>
      <x:c r="K15" s="31" t="str"/>
      <x:c r="L15" s="28" t="str">
        <x:f>IF(K15="","OPEN",IF(J15=1,"PASS","FAIL"))</x:f>
        <x:v>OPEN</x:v>
      </x:c>
    </x:row>
    <x:row r="16">
      <x:c r="B16" s="28" t="str">
        <x:v>RP-RFP-A1-05-C</x:v>
      </x:c>
      <x:c r="C16" s="28" t="str">
        <x:v>RFP-A1</x:v>
      </x:c>
      <x:c r="D16" s="28" t="str">
        <x:v>PTC-A</x:v>
      </x:c>
      <x:c r="E16" s="28" t="str">
        <x:v>PTC-C</x:v>
      </x:c>
      <x:c r="F16" s="28" t="n">
        <x:v>5</x:v>
      </x:c>
      <x:c r="G16" s="28" t="str">
        <x:v>calibration</x:v>
      </x:c>
      <x:c r="H16" s="31" t="str"/>
      <x:c r="I16" s="31" t="str"/>
      <x:c r="J16" s="36" t="str">
        <x:f>IF(OR(H16="",I16=""),"",IF(H16=I16,1,0))</x:f>
      </x:c>
      <x:c r="K16" s="31" t="str"/>
      <x:c r="L16" s="28" t="str">
        <x:f>IF(K16="","OPEN",IF(J16=1,"PASS","FAIL"))</x:f>
        <x:v>OPEN</x:v>
      </x:c>
    </x:row>
    <x:row r="17">
      <x:c r="B17" s="28" t="str">
        <x:v>RP-RFP-A1-06-B</x:v>
      </x:c>
      <x:c r="C17" s="28" t="str">
        <x:v>RFP-A1</x:v>
      </x:c>
      <x:c r="D17" s="28" t="str">
        <x:v>PTC-A</x:v>
      </x:c>
      <x:c r="E17" s="28" t="str">
        <x:v>PTC-B</x:v>
      </x:c>
      <x:c r="F17" s="28" t="n">
        <x:v>6</x:v>
      </x:c>
      <x:c r="G17" s="28" t="str">
        <x:v>ancestry</x:v>
      </x:c>
      <x:c r="H17" s="31" t="str"/>
      <x:c r="I17" s="31" t="str"/>
      <x:c r="J17" s="36" t="str">
        <x:f>IF(OR(H17="",I17=""),"",IF(H17=I17,1,0))</x:f>
      </x:c>
      <x:c r="K17" s="31" t="str"/>
      <x:c r="L17" s="28" t="str">
        <x:f>IF(K17="","OPEN",IF(J17=1,"PASS","FAIL"))</x:f>
        <x:v>OPEN</x:v>
      </x:c>
    </x:row>
    <x:row r="18">
      <x:c r="B18" s="28" t="str">
        <x:v>RP-RFP-A1-06-C</x:v>
      </x:c>
      <x:c r="C18" s="28" t="str">
        <x:v>RFP-A1</x:v>
      </x:c>
      <x:c r="D18" s="28" t="str">
        <x:v>PTC-A</x:v>
      </x:c>
      <x:c r="E18" s="28" t="str">
        <x:v>PTC-C</x:v>
      </x:c>
      <x:c r="F18" s="28" t="n">
        <x:v>6</x:v>
      </x:c>
      <x:c r="G18" s="28" t="str">
        <x:v>ancestry</x:v>
      </x:c>
      <x:c r="H18" s="31" t="str"/>
      <x:c r="I18" s="31" t="str"/>
      <x:c r="J18" s="36" t="str">
        <x:f>IF(OR(H18="",I18=""),"",IF(H18=I18,1,0))</x:f>
      </x:c>
      <x:c r="K18" s="31" t="str"/>
      <x:c r="L18" s="28" t="str">
        <x:f>IF(K18="","OPEN",IF(J18=1,"PASS","FAIL"))</x:f>
        <x:v>OPEN</x:v>
      </x:c>
    </x:row>
    <x:row r="19">
      <x:c r="B19" s="28" t="str">
        <x:v>RP-RFP-A1-07-B</x:v>
      </x:c>
      <x:c r="C19" s="28" t="str">
        <x:v>RFP-A1</x:v>
      </x:c>
      <x:c r="D19" s="28" t="str">
        <x:v>PTC-A</x:v>
      </x:c>
      <x:c r="E19" s="28" t="str">
        <x:v>PTC-B</x:v>
      </x:c>
      <x:c r="F19" s="28" t="n">
        <x:v>7</x:v>
      </x:c>
      <x:c r="G19" s="28" t="str">
        <x:v>denial state</x:v>
      </x:c>
      <x:c r="H19" s="31" t="str"/>
      <x:c r="I19" s="31" t="str"/>
      <x:c r="J19" s="36" t="str">
        <x:f>IF(OR(H19="",I19=""),"",IF(H19=I19,1,0))</x:f>
      </x:c>
      <x:c r="K19" s="31" t="str"/>
      <x:c r="L19" s="28" t="str">
        <x:f>IF(K19="","OPEN",IF(J19=1,"PASS","FAIL"))</x:f>
        <x:v>OPEN</x:v>
      </x:c>
    </x:row>
    <x:row r="20">
      <x:c r="B20" s="28" t="str">
        <x:v>RP-RFP-A1-07-C</x:v>
      </x:c>
      <x:c r="C20" s="28" t="str">
        <x:v>RFP-A1</x:v>
      </x:c>
      <x:c r="D20" s="28" t="str">
        <x:v>PTC-A</x:v>
      </x:c>
      <x:c r="E20" s="28" t="str">
        <x:v>PTC-C</x:v>
      </x:c>
      <x:c r="F20" s="28" t="n">
        <x:v>7</x:v>
      </x:c>
      <x:c r="G20" s="28" t="str">
        <x:v>denial state</x:v>
      </x:c>
      <x:c r="H20" s="31" t="str"/>
      <x:c r="I20" s="31" t="str"/>
      <x:c r="J20" s="36" t="str">
        <x:f>IF(OR(H20="",I20=""),"",IF(H20=I20,1,0))</x:f>
      </x:c>
      <x:c r="K20" s="31" t="str"/>
      <x:c r="L20" s="28" t="str">
        <x:f>IF(K20="","OPEN",IF(J20=1,"PASS","FAIL"))</x:f>
        <x:v>OPEN</x:v>
      </x:c>
    </x:row>
    <x:row r="21">
      <x:c r="B21" s="28" t="str">
        <x:v>RP-RFP-A1-08-B</x:v>
      </x:c>
      <x:c r="C21" s="28" t="str">
        <x:v>RFP-A1</x:v>
      </x:c>
      <x:c r="D21" s="28" t="str">
        <x:v>PTC-A</x:v>
      </x:c>
      <x:c r="E21" s="28" t="str">
        <x:v>PTC-B</x:v>
      </x:c>
      <x:c r="F21" s="28" t="n">
        <x:v>8</x:v>
      </x:c>
      <x:c r="G21" s="28" t="str">
        <x:v>samples</x:v>
      </x:c>
      <x:c r="H21" s="31" t="str"/>
      <x:c r="I21" s="31" t="str"/>
      <x:c r="J21" s="36" t="str">
        <x:f>IF(OR(H21="",I21=""),"",IF(H21=I21,1,0))</x:f>
      </x:c>
      <x:c r="K21" s="31" t="str"/>
      <x:c r="L21" s="28" t="str">
        <x:f>IF(K21="","OPEN",IF(J21=1,"PASS","FAIL"))</x:f>
        <x:v>OPEN</x:v>
      </x:c>
    </x:row>
    <x:row r="22">
      <x:c r="B22" s="28" t="str">
        <x:v>RP-RFP-A1-08-C</x:v>
      </x:c>
      <x:c r="C22" s="28" t="str">
        <x:v>RFP-A1</x:v>
      </x:c>
      <x:c r="D22" s="28" t="str">
        <x:v>PTC-A</x:v>
      </x:c>
      <x:c r="E22" s="28" t="str">
        <x:v>PTC-C</x:v>
      </x:c>
      <x:c r="F22" s="28" t="n">
        <x:v>8</x:v>
      </x:c>
      <x:c r="G22" s="28" t="str">
        <x:v>samples</x:v>
      </x:c>
      <x:c r="H22" s="31" t="str"/>
      <x:c r="I22" s="31" t="str"/>
      <x:c r="J22" s="36" t="str">
        <x:f>IF(OR(H22="",I22=""),"",IF(H22=I22,1,0))</x:f>
      </x:c>
      <x:c r="K22" s="31" t="str"/>
      <x:c r="L22" s="28" t="str">
        <x:f>IF(K22="","OPEN",IF(J22=1,"PASS","FAIL"))</x:f>
        <x:v>OPEN</x:v>
      </x:c>
    </x:row>
    <x:row r="23">
      <x:c r="B23" s="28" t="str">
        <x:v>RP-RFP-A1-09-B</x:v>
      </x:c>
      <x:c r="C23" s="28" t="str">
        <x:v>RFP-A1</x:v>
      </x:c>
      <x:c r="D23" s="28" t="str">
        <x:v>PTC-A</x:v>
      </x:c>
      <x:c r="E23" s="28" t="str">
        <x:v>PTC-B</x:v>
      </x:c>
      <x:c r="F23" s="28" t="n">
        <x:v>9</x:v>
      </x:c>
      <x:c r="G23" s="28" t="str">
        <x:v>native time</x:v>
      </x:c>
      <x:c r="H23" s="31" t="str"/>
      <x:c r="I23" s="31" t="str"/>
      <x:c r="J23" s="36" t="str">
        <x:f>IF(OR(H23="",I23=""),"",IF(H23=I23,1,0))</x:f>
      </x:c>
      <x:c r="K23" s="31" t="str"/>
      <x:c r="L23" s="28" t="str">
        <x:f>IF(K23="","OPEN",IF(J23=1,"PASS","FAIL"))</x:f>
        <x:v>OPEN</x:v>
      </x:c>
    </x:row>
    <x:row r="24">
      <x:c r="B24" s="28" t="str">
        <x:v>RP-RFP-A1-09-C</x:v>
      </x:c>
      <x:c r="C24" s="28" t="str">
        <x:v>RFP-A1</x:v>
      </x:c>
      <x:c r="D24" s="28" t="str">
        <x:v>PTC-A</x:v>
      </x:c>
      <x:c r="E24" s="28" t="str">
        <x:v>PTC-C</x:v>
      </x:c>
      <x:c r="F24" s="28" t="n">
        <x:v>9</x:v>
      </x:c>
      <x:c r="G24" s="28" t="str">
        <x:v>native time</x:v>
      </x:c>
      <x:c r="H24" s="31" t="str"/>
      <x:c r="I24" s="31" t="str"/>
      <x:c r="J24" s="36" t="str">
        <x:f>IF(OR(H24="",I24=""),"",IF(H24=I24,1,0))</x:f>
      </x:c>
      <x:c r="K24" s="31" t="str"/>
      <x:c r="L24" s="28" t="str">
        <x:f>IF(K24="","OPEN",IF(J24=1,"PASS","FAIL"))</x:f>
        <x:v>OPEN</x:v>
      </x:c>
    </x:row>
    <x:row r="25">
      <x:c r="B25" s="28" t="str">
        <x:v>RP-RFP-A1-10-B</x:v>
      </x:c>
      <x:c r="C25" s="28" t="str">
        <x:v>RFP-A1</x:v>
      </x:c>
      <x:c r="D25" s="28" t="str">
        <x:v>PTC-A</x:v>
      </x:c>
      <x:c r="E25" s="28" t="str">
        <x:v>PTC-B</x:v>
      </x:c>
      <x:c r="F25" s="28" t="n">
        <x:v>10</x:v>
      </x:c>
      <x:c r="G25" s="28" t="str">
        <x:v>integrated conclusion</x:v>
      </x:c>
      <x:c r="H25" s="31" t="str"/>
      <x:c r="I25" s="31" t="str"/>
      <x:c r="J25" s="36" t="str">
        <x:f>IF(OR(H25="",I25=""),"",IF(H25=I25,1,0))</x:f>
      </x:c>
      <x:c r="K25" s="31" t="str"/>
      <x:c r="L25" s="28" t="str">
        <x:f>IF(K25="","OPEN",IF(J25=1,"PASS","FAIL"))</x:f>
        <x:v>OPEN</x:v>
      </x:c>
    </x:row>
    <x:row r="26">
      <x:c r="B26" s="28" t="str">
        <x:v>RP-RFP-A1-10-C</x:v>
      </x:c>
      <x:c r="C26" s="28" t="str">
        <x:v>RFP-A1</x:v>
      </x:c>
      <x:c r="D26" s="28" t="str">
        <x:v>PTC-A</x:v>
      </x:c>
      <x:c r="E26" s="28" t="str">
        <x:v>PTC-C</x:v>
      </x:c>
      <x:c r="F26" s="28" t="n">
        <x:v>10</x:v>
      </x:c>
      <x:c r="G26" s="28" t="str">
        <x:v>integrated conclusion</x:v>
      </x:c>
      <x:c r="H26" s="31" t="str"/>
      <x:c r="I26" s="31" t="str"/>
      <x:c r="J26" s="36" t="str">
        <x:f>IF(OR(H26="",I26=""),"",IF(H26=I26,1,0))</x:f>
      </x:c>
      <x:c r="K26" s="31" t="str"/>
      <x:c r="L26" s="28" t="str">
        <x:f>IF(K26="","OPEN",IF(J26=1,"PASS","FAIL"))</x:f>
        <x:v>OPEN</x:v>
      </x:c>
    </x:row>
    <x:row r="27">
      <x:c r="B27" s="28" t="str">
        <x:v>RP-RFP-A2-01-B</x:v>
      </x:c>
      <x:c r="C27" s="28" t="str">
        <x:v>RFP-A2</x:v>
      </x:c>
      <x:c r="D27" s="28" t="str">
        <x:v>PTC-A</x:v>
      </x:c>
      <x:c r="E27" s="28" t="str">
        <x:v>PTC-B</x:v>
      </x:c>
      <x:c r="F27" s="28" t="n">
        <x:v>1</x:v>
      </x:c>
      <x:c r="G27" s="28" t="str">
        <x:v>configuration</x:v>
      </x:c>
      <x:c r="H27" s="31" t="str"/>
      <x:c r="I27" s="31" t="str"/>
      <x:c r="J27" s="36" t="str">
        <x:f>IF(OR(H27="",I27=""),"",IF(H27=I27,1,0))</x:f>
      </x:c>
      <x:c r="K27" s="31" t="str"/>
      <x:c r="L27" s="28" t="str">
        <x:f>IF(K27="","OPEN",IF(J27=1,"PASS","FAIL"))</x:f>
        <x:v>OPEN</x:v>
      </x:c>
    </x:row>
    <x:row r="28">
      <x:c r="B28" s="28" t="str">
        <x:v>RP-RFP-A2-01-C</x:v>
      </x:c>
      <x:c r="C28" s="28" t="str">
        <x:v>RFP-A2</x:v>
      </x:c>
      <x:c r="D28" s="28" t="str">
        <x:v>PTC-A</x:v>
      </x:c>
      <x:c r="E28" s="28" t="str">
        <x:v>PTC-C</x:v>
      </x:c>
      <x:c r="F28" s="28" t="n">
        <x:v>1</x:v>
      </x:c>
      <x:c r="G28" s="28" t="str">
        <x:v>configuration</x:v>
      </x:c>
      <x:c r="H28" s="31" t="str"/>
      <x:c r="I28" s="31" t="str"/>
      <x:c r="J28" s="36" t="str">
        <x:f>IF(OR(H28="",I28=""),"",IF(H28=I28,1,0))</x:f>
      </x:c>
      <x:c r="K28" s="31" t="str"/>
      <x:c r="L28" s="28" t="str">
        <x:f>IF(K28="","OPEN",IF(J28=1,"PASS","FAIL"))</x:f>
        <x:v>OPEN</x:v>
      </x:c>
    </x:row>
    <x:row r="29">
      <x:c r="B29" s="28" t="str">
        <x:v>RP-RFP-A2-02-B</x:v>
      </x:c>
      <x:c r="C29" s="28" t="str">
        <x:v>RFP-A2</x:v>
      </x:c>
      <x:c r="D29" s="28" t="str">
        <x:v>PTC-A</x:v>
      </x:c>
      <x:c r="E29" s="28" t="str">
        <x:v>PTC-B</x:v>
      </x:c>
      <x:c r="F29" s="28" t="n">
        <x:v>2</x:v>
      </x:c>
      <x:c r="G29" s="28" t="str">
        <x:v>path actuation</x:v>
      </x:c>
      <x:c r="H29" s="31" t="str"/>
      <x:c r="I29" s="31" t="str"/>
      <x:c r="J29" s="36" t="str">
        <x:f>IF(OR(H29="",I29=""),"",IF(H29=I29,1,0))</x:f>
      </x:c>
      <x:c r="K29" s="31" t="str"/>
      <x:c r="L29" s="28" t="str">
        <x:f>IF(K29="","OPEN",IF(J29=1,"PASS","FAIL"))</x:f>
        <x:v>OPEN</x:v>
      </x:c>
    </x:row>
    <x:row r="30">
      <x:c r="B30" s="28" t="str">
        <x:v>RP-RFP-A2-02-C</x:v>
      </x:c>
      <x:c r="C30" s="28" t="str">
        <x:v>RFP-A2</x:v>
      </x:c>
      <x:c r="D30" s="28" t="str">
        <x:v>PTC-A</x:v>
      </x:c>
      <x:c r="E30" s="28" t="str">
        <x:v>PTC-C</x:v>
      </x:c>
      <x:c r="F30" s="28" t="n">
        <x:v>2</x:v>
      </x:c>
      <x:c r="G30" s="28" t="str">
        <x:v>path actuation</x:v>
      </x:c>
      <x:c r="H30" s="31" t="str"/>
      <x:c r="I30" s="31" t="str"/>
      <x:c r="J30" s="36" t="str">
        <x:f>IF(OR(H30="",I30=""),"",IF(H30=I30,1,0))</x:f>
      </x:c>
      <x:c r="K30" s="31" t="str"/>
      <x:c r="L30" s="28" t="str">
        <x:f>IF(K30="","OPEN",IF(J30=1,"PASS","FAIL"))</x:f>
        <x:v>OPEN</x:v>
      </x:c>
    </x:row>
    <x:row r="31">
      <x:c r="B31" s="28" t="str">
        <x:v>RP-RFP-A2-03-B</x:v>
      </x:c>
      <x:c r="C31" s="28" t="str">
        <x:v>RFP-A2</x:v>
      </x:c>
      <x:c r="D31" s="28" t="str">
        <x:v>PTC-A</x:v>
      </x:c>
      <x:c r="E31" s="28" t="str">
        <x:v>PTC-B</x:v>
      </x:c>
      <x:c r="F31" s="28" t="n">
        <x:v>3</x:v>
      </x:c>
      <x:c r="G31" s="28" t="str">
        <x:v>route mass</x:v>
      </x:c>
      <x:c r="H31" s="31" t="str"/>
      <x:c r="I31" s="31" t="str"/>
      <x:c r="J31" s="36" t="str">
        <x:f>IF(OR(H31="",I31=""),"",IF(H31=I31,1,0))</x:f>
      </x:c>
      <x:c r="K31" s="31" t="str"/>
      <x:c r="L31" s="28" t="str">
        <x:f>IF(K31="","OPEN",IF(J31=1,"PASS","FAIL"))</x:f>
        <x:v>OPEN</x:v>
      </x:c>
    </x:row>
    <x:row r="32">
      <x:c r="B32" s="28" t="str">
        <x:v>RP-RFP-A2-03-C</x:v>
      </x:c>
      <x:c r="C32" s="28" t="str">
        <x:v>RFP-A2</x:v>
      </x:c>
      <x:c r="D32" s="28" t="str">
        <x:v>PTC-A</x:v>
      </x:c>
      <x:c r="E32" s="28" t="str">
        <x:v>PTC-C</x:v>
      </x:c>
      <x:c r="F32" s="28" t="n">
        <x:v>3</x:v>
      </x:c>
      <x:c r="G32" s="28" t="str">
        <x:v>route mass</x:v>
      </x:c>
      <x:c r="H32" s="31" t="str"/>
      <x:c r="I32" s="31" t="str"/>
      <x:c r="J32" s="36" t="str">
        <x:f>IF(OR(H32="",I32=""),"",IF(H32=I32,1,0))</x:f>
      </x:c>
      <x:c r="K32" s="31" t="str"/>
      <x:c r="L32" s="28" t="str">
        <x:f>IF(K32="","OPEN",IF(J32=1,"PASS","FAIL"))</x:f>
        <x:v>OPEN</x:v>
      </x:c>
    </x:row>
    <x:row r="33">
      <x:c r="B33" s="28" t="str">
        <x:v>RP-RFP-A2-04-B</x:v>
      </x:c>
      <x:c r="C33" s="28" t="str">
        <x:v>RFP-A2</x:v>
      </x:c>
      <x:c r="D33" s="28" t="str">
        <x:v>PTC-A</x:v>
      </x:c>
      <x:c r="E33" s="28" t="str">
        <x:v>PTC-B</x:v>
      </x:c>
      <x:c r="F33" s="28" t="n">
        <x:v>4</x:v>
      </x:c>
      <x:c r="G33" s="28" t="str">
        <x:v>containment</x:v>
      </x:c>
      <x:c r="H33" s="31" t="str"/>
      <x:c r="I33" s="31" t="str"/>
      <x:c r="J33" s="36" t="str">
        <x:f>IF(OR(H33="",I33=""),"",IF(H33=I33,1,0))</x:f>
      </x:c>
      <x:c r="K33" s="31" t="str"/>
      <x:c r="L33" s="28" t="str">
        <x:f>IF(K33="","OPEN",IF(J33=1,"PASS","FAIL"))</x:f>
        <x:v>OPEN</x:v>
      </x:c>
    </x:row>
    <x:row r="34">
      <x:c r="B34" s="28" t="str">
        <x:v>RP-RFP-A2-04-C</x:v>
      </x:c>
      <x:c r="C34" s="28" t="str">
        <x:v>RFP-A2</x:v>
      </x:c>
      <x:c r="D34" s="28" t="str">
        <x:v>PTC-A</x:v>
      </x:c>
      <x:c r="E34" s="28" t="str">
        <x:v>PTC-C</x:v>
      </x:c>
      <x:c r="F34" s="28" t="n">
        <x:v>4</x:v>
      </x:c>
      <x:c r="G34" s="28" t="str">
        <x:v>containment</x:v>
      </x:c>
      <x:c r="H34" s="31" t="str"/>
      <x:c r="I34" s="31" t="str"/>
      <x:c r="J34" s="36" t="str">
        <x:f>IF(OR(H34="",I34=""),"",IF(H34=I34,1,0))</x:f>
      </x:c>
      <x:c r="K34" s="31" t="str"/>
      <x:c r="L34" s="28" t="str">
        <x:f>IF(K34="","OPEN",IF(J34=1,"PASS","FAIL"))</x:f>
        <x:v>OPEN</x:v>
      </x:c>
    </x:row>
    <x:row r="35">
      <x:c r="B35" s="28" t="str">
        <x:v>RP-RFP-A2-05-B</x:v>
      </x:c>
      <x:c r="C35" s="28" t="str">
        <x:v>RFP-A2</x:v>
      </x:c>
      <x:c r="D35" s="28" t="str">
        <x:v>PTC-A</x:v>
      </x:c>
      <x:c r="E35" s="28" t="str">
        <x:v>PTC-B</x:v>
      </x:c>
      <x:c r="F35" s="28" t="n">
        <x:v>5</x:v>
      </x:c>
      <x:c r="G35" s="28" t="str">
        <x:v>calibration</x:v>
      </x:c>
      <x:c r="H35" s="31" t="str"/>
      <x:c r="I35" s="31" t="str"/>
      <x:c r="J35" s="36" t="str">
        <x:f>IF(OR(H35="",I35=""),"",IF(H35=I35,1,0))</x:f>
      </x:c>
      <x:c r="K35" s="31" t="str"/>
      <x:c r="L35" s="28" t="str">
        <x:f>IF(K35="","OPEN",IF(J35=1,"PASS","FAIL"))</x:f>
        <x:v>OPEN</x:v>
      </x:c>
    </x:row>
    <x:row r="36">
      <x:c r="B36" s="28" t="str">
        <x:v>RP-RFP-A2-05-C</x:v>
      </x:c>
      <x:c r="C36" s="28" t="str">
        <x:v>RFP-A2</x:v>
      </x:c>
      <x:c r="D36" s="28" t="str">
        <x:v>PTC-A</x:v>
      </x:c>
      <x:c r="E36" s="28" t="str">
        <x:v>PTC-C</x:v>
      </x:c>
      <x:c r="F36" s="28" t="n">
        <x:v>5</x:v>
      </x:c>
      <x:c r="G36" s="28" t="str">
        <x:v>calibration</x:v>
      </x:c>
      <x:c r="H36" s="31" t="str"/>
      <x:c r="I36" s="31" t="str"/>
      <x:c r="J36" s="36" t="str">
        <x:f>IF(OR(H36="",I36=""),"",IF(H36=I36,1,0))</x:f>
      </x:c>
      <x:c r="K36" s="31" t="str"/>
      <x:c r="L36" s="28" t="str">
        <x:f>IF(K36="","OPEN",IF(J36=1,"PASS","FAIL"))</x:f>
        <x:v>OPEN</x:v>
      </x:c>
    </x:row>
    <x:row r="37">
      <x:c r="B37" s="28" t="str">
        <x:v>RP-RFP-A2-06-B</x:v>
      </x:c>
      <x:c r="C37" s="28" t="str">
        <x:v>RFP-A2</x:v>
      </x:c>
      <x:c r="D37" s="28" t="str">
        <x:v>PTC-A</x:v>
      </x:c>
      <x:c r="E37" s="28" t="str">
        <x:v>PTC-B</x:v>
      </x:c>
      <x:c r="F37" s="28" t="n">
        <x:v>6</x:v>
      </x:c>
      <x:c r="G37" s="28" t="str">
        <x:v>ancestry</x:v>
      </x:c>
      <x:c r="H37" s="31" t="str"/>
      <x:c r="I37" s="31" t="str"/>
      <x:c r="J37" s="36" t="str">
        <x:f>IF(OR(H37="",I37=""),"",IF(H37=I37,1,0))</x:f>
      </x:c>
      <x:c r="K37" s="31" t="str"/>
      <x:c r="L37" s="28" t="str">
        <x:f>IF(K37="","OPEN",IF(J37=1,"PASS","FAIL"))</x:f>
        <x:v>OPEN</x:v>
      </x:c>
    </x:row>
    <x:row r="38">
      <x:c r="B38" s="28" t="str">
        <x:v>RP-RFP-A2-06-C</x:v>
      </x:c>
      <x:c r="C38" s="28" t="str">
        <x:v>RFP-A2</x:v>
      </x:c>
      <x:c r="D38" s="28" t="str">
        <x:v>PTC-A</x:v>
      </x:c>
      <x:c r="E38" s="28" t="str">
        <x:v>PTC-C</x:v>
      </x:c>
      <x:c r="F38" s="28" t="n">
        <x:v>6</x:v>
      </x:c>
      <x:c r="G38" s="28" t="str">
        <x:v>ancestry</x:v>
      </x:c>
      <x:c r="H38" s="31" t="str"/>
      <x:c r="I38" s="31" t="str"/>
      <x:c r="J38" s="36" t="str">
        <x:f>IF(OR(H38="",I38=""),"",IF(H38=I38,1,0))</x:f>
      </x:c>
      <x:c r="K38" s="31" t="str"/>
      <x:c r="L38" s="28" t="str">
        <x:f>IF(K38="","OPEN",IF(J38=1,"PASS","FAIL"))</x:f>
        <x:v>OPEN</x:v>
      </x:c>
    </x:row>
    <x:row r="39">
      <x:c r="B39" s="28" t="str">
        <x:v>RP-RFP-A2-07-B</x:v>
      </x:c>
      <x:c r="C39" s="28" t="str">
        <x:v>RFP-A2</x:v>
      </x:c>
      <x:c r="D39" s="28" t="str">
        <x:v>PTC-A</x:v>
      </x:c>
      <x:c r="E39" s="28" t="str">
        <x:v>PTC-B</x:v>
      </x:c>
      <x:c r="F39" s="28" t="n">
        <x:v>7</x:v>
      </x:c>
      <x:c r="G39" s="28" t="str">
        <x:v>denial state</x:v>
      </x:c>
      <x:c r="H39" s="31" t="str"/>
      <x:c r="I39" s="31" t="str"/>
      <x:c r="J39" s="36" t="str">
        <x:f>IF(OR(H39="",I39=""),"",IF(H39=I39,1,0))</x:f>
      </x:c>
      <x:c r="K39" s="31" t="str"/>
      <x:c r="L39" s="28" t="str">
        <x:f>IF(K39="","OPEN",IF(J39=1,"PASS","FAIL"))</x:f>
        <x:v>OPEN</x:v>
      </x:c>
    </x:row>
    <x:row r="40">
      <x:c r="B40" s="28" t="str">
        <x:v>RP-RFP-A2-07-C</x:v>
      </x:c>
      <x:c r="C40" s="28" t="str">
        <x:v>RFP-A2</x:v>
      </x:c>
      <x:c r="D40" s="28" t="str">
        <x:v>PTC-A</x:v>
      </x:c>
      <x:c r="E40" s="28" t="str">
        <x:v>PTC-C</x:v>
      </x:c>
      <x:c r="F40" s="28" t="n">
        <x:v>7</x:v>
      </x:c>
      <x:c r="G40" s="28" t="str">
        <x:v>denial state</x:v>
      </x:c>
      <x:c r="H40" s="31" t="str"/>
      <x:c r="I40" s="31" t="str"/>
      <x:c r="J40" s="36" t="str">
        <x:f>IF(OR(H40="",I40=""),"",IF(H40=I40,1,0))</x:f>
      </x:c>
      <x:c r="K40" s="31" t="str"/>
      <x:c r="L40" s="28" t="str">
        <x:f>IF(K40="","OPEN",IF(J40=1,"PASS","FAIL"))</x:f>
        <x:v>OPEN</x:v>
      </x:c>
    </x:row>
    <x:row r="41">
      <x:c r="B41" s="28" t="str">
        <x:v>RP-RFP-A2-08-B</x:v>
      </x:c>
      <x:c r="C41" s="28" t="str">
        <x:v>RFP-A2</x:v>
      </x:c>
      <x:c r="D41" s="28" t="str">
        <x:v>PTC-A</x:v>
      </x:c>
      <x:c r="E41" s="28" t="str">
        <x:v>PTC-B</x:v>
      </x:c>
      <x:c r="F41" s="28" t="n">
        <x:v>8</x:v>
      </x:c>
      <x:c r="G41" s="28" t="str">
        <x:v>samples</x:v>
      </x:c>
      <x:c r="H41" s="31" t="str"/>
      <x:c r="I41" s="31" t="str"/>
      <x:c r="J41" s="36" t="str">
        <x:f>IF(OR(H41="",I41=""),"",IF(H41=I41,1,0))</x:f>
      </x:c>
      <x:c r="K41" s="31" t="str"/>
      <x:c r="L41" s="28" t="str">
        <x:f>IF(K41="","OPEN",IF(J41=1,"PASS","FAIL"))</x:f>
        <x:v>OPEN</x:v>
      </x:c>
    </x:row>
    <x:row r="42">
      <x:c r="B42" s="28" t="str">
        <x:v>RP-RFP-A2-08-C</x:v>
      </x:c>
      <x:c r="C42" s="28" t="str">
        <x:v>RFP-A2</x:v>
      </x:c>
      <x:c r="D42" s="28" t="str">
        <x:v>PTC-A</x:v>
      </x:c>
      <x:c r="E42" s="28" t="str">
        <x:v>PTC-C</x:v>
      </x:c>
      <x:c r="F42" s="28" t="n">
        <x:v>8</x:v>
      </x:c>
      <x:c r="G42" s="28" t="str">
        <x:v>samples</x:v>
      </x:c>
      <x:c r="H42" s="31" t="str"/>
      <x:c r="I42" s="31" t="str"/>
      <x:c r="J42" s="36" t="str">
        <x:f>IF(OR(H42="",I42=""),"",IF(H42=I42,1,0))</x:f>
      </x:c>
      <x:c r="K42" s="31" t="str"/>
      <x:c r="L42" s="28" t="str">
        <x:f>IF(K42="","OPEN",IF(J42=1,"PASS","FAIL"))</x:f>
        <x:v>OPEN</x:v>
      </x:c>
    </x:row>
    <x:row r="43">
      <x:c r="B43" s="28" t="str">
        <x:v>RP-RFP-A2-09-B</x:v>
      </x:c>
      <x:c r="C43" s="28" t="str">
        <x:v>RFP-A2</x:v>
      </x:c>
      <x:c r="D43" s="28" t="str">
        <x:v>PTC-A</x:v>
      </x:c>
      <x:c r="E43" s="28" t="str">
        <x:v>PTC-B</x:v>
      </x:c>
      <x:c r="F43" s="28" t="n">
        <x:v>9</x:v>
      </x:c>
      <x:c r="G43" s="28" t="str">
        <x:v>native time</x:v>
      </x:c>
      <x:c r="H43" s="31" t="str"/>
      <x:c r="I43" s="31" t="str"/>
      <x:c r="J43" s="36" t="str">
        <x:f>IF(OR(H43="",I43=""),"",IF(H43=I43,1,0))</x:f>
      </x:c>
      <x:c r="K43" s="31" t="str"/>
      <x:c r="L43" s="28" t="str">
        <x:f>IF(K43="","OPEN",IF(J43=1,"PASS","FAIL"))</x:f>
        <x:v>OPEN</x:v>
      </x:c>
    </x:row>
    <x:row r="44">
      <x:c r="B44" s="28" t="str">
        <x:v>RP-RFP-A2-09-C</x:v>
      </x:c>
      <x:c r="C44" s="28" t="str">
        <x:v>RFP-A2</x:v>
      </x:c>
      <x:c r="D44" s="28" t="str">
        <x:v>PTC-A</x:v>
      </x:c>
      <x:c r="E44" s="28" t="str">
        <x:v>PTC-C</x:v>
      </x:c>
      <x:c r="F44" s="28" t="n">
        <x:v>9</x:v>
      </x:c>
      <x:c r="G44" s="28" t="str">
        <x:v>native time</x:v>
      </x:c>
      <x:c r="H44" s="31" t="str"/>
      <x:c r="I44" s="31" t="str"/>
      <x:c r="J44" s="36" t="str">
        <x:f>IF(OR(H44="",I44=""),"",IF(H44=I44,1,0))</x:f>
      </x:c>
      <x:c r="K44" s="31" t="str"/>
      <x:c r="L44" s="28" t="str">
        <x:f>IF(K44="","OPEN",IF(J44=1,"PASS","FAIL"))</x:f>
        <x:v>OPEN</x:v>
      </x:c>
    </x:row>
    <x:row r="45">
      <x:c r="B45" s="28" t="str">
        <x:v>RP-RFP-A2-10-B</x:v>
      </x:c>
      <x:c r="C45" s="28" t="str">
        <x:v>RFP-A2</x:v>
      </x:c>
      <x:c r="D45" s="28" t="str">
        <x:v>PTC-A</x:v>
      </x:c>
      <x:c r="E45" s="28" t="str">
        <x:v>PTC-B</x:v>
      </x:c>
      <x:c r="F45" s="28" t="n">
        <x:v>10</x:v>
      </x:c>
      <x:c r="G45" s="28" t="str">
        <x:v>integrated conclusion</x:v>
      </x:c>
      <x:c r="H45" s="31" t="str"/>
      <x:c r="I45" s="31" t="str"/>
      <x:c r="J45" s="36" t="str">
        <x:f>IF(OR(H45="",I45=""),"",IF(H45=I45,1,0))</x:f>
      </x:c>
      <x:c r="K45" s="31" t="str"/>
      <x:c r="L45" s="28" t="str">
        <x:f>IF(K45="","OPEN",IF(J45=1,"PASS","FAIL"))</x:f>
        <x:v>OPEN</x:v>
      </x:c>
    </x:row>
    <x:row r="46">
      <x:c r="B46" s="28" t="str">
        <x:v>RP-RFP-A2-10-C</x:v>
      </x:c>
      <x:c r="C46" s="28" t="str">
        <x:v>RFP-A2</x:v>
      </x:c>
      <x:c r="D46" s="28" t="str">
        <x:v>PTC-A</x:v>
      </x:c>
      <x:c r="E46" s="28" t="str">
        <x:v>PTC-C</x:v>
      </x:c>
      <x:c r="F46" s="28" t="n">
        <x:v>10</x:v>
      </x:c>
      <x:c r="G46" s="28" t="str">
        <x:v>integrated conclusion</x:v>
      </x:c>
      <x:c r="H46" s="31" t="str"/>
      <x:c r="I46" s="31" t="str"/>
      <x:c r="J46" s="36" t="str">
        <x:f>IF(OR(H46="",I46=""),"",IF(H46=I46,1,0))</x:f>
      </x:c>
      <x:c r="K46" s="31" t="str"/>
      <x:c r="L46" s="28" t="str">
        <x:f>IF(K46="","OPEN",IF(J46=1,"PASS","FAIL"))</x:f>
        <x:v>OPEN</x:v>
      </x:c>
    </x:row>
    <x:row r="47">
      <x:c r="B47" s="28" t="str">
        <x:v>RP-RFP-B1-01-A</x:v>
      </x:c>
      <x:c r="C47" s="28" t="str">
        <x:v>RFP-B1</x:v>
      </x:c>
      <x:c r="D47" s="28" t="str">
        <x:v>PTC-B</x:v>
      </x:c>
      <x:c r="E47" s="28" t="str">
        <x:v>PTC-A</x:v>
      </x:c>
      <x:c r="F47" s="28" t="n">
        <x:v>1</x:v>
      </x:c>
      <x:c r="G47" s="28" t="str">
        <x:v>configuration</x:v>
      </x:c>
      <x:c r="H47" s="31" t="str"/>
      <x:c r="I47" s="31" t="str"/>
      <x:c r="J47" s="36" t="str">
        <x:f>IF(OR(H47="",I47=""),"",IF(H47=I47,1,0))</x:f>
      </x:c>
      <x:c r="K47" s="31" t="str"/>
      <x:c r="L47" s="28" t="str">
        <x:f>IF(K47="","OPEN",IF(J47=1,"PASS","FAIL"))</x:f>
        <x:v>OPEN</x:v>
      </x:c>
    </x:row>
    <x:row r="48">
      <x:c r="B48" s="28" t="str">
        <x:v>RP-RFP-B1-01-C</x:v>
      </x:c>
      <x:c r="C48" s="28" t="str">
        <x:v>RFP-B1</x:v>
      </x:c>
      <x:c r="D48" s="28" t="str">
        <x:v>PTC-B</x:v>
      </x:c>
      <x:c r="E48" s="28" t="str">
        <x:v>PTC-C</x:v>
      </x:c>
      <x:c r="F48" s="28" t="n">
        <x:v>1</x:v>
      </x:c>
      <x:c r="G48" s="28" t="str">
        <x:v>configuration</x:v>
      </x:c>
      <x:c r="H48" s="31" t="str"/>
      <x:c r="I48" s="31" t="str"/>
      <x:c r="J48" s="36" t="str">
        <x:f>IF(OR(H48="",I48=""),"",IF(H48=I48,1,0))</x:f>
      </x:c>
      <x:c r="K48" s="31" t="str"/>
      <x:c r="L48" s="28" t="str">
        <x:f>IF(K48="","OPEN",IF(J48=1,"PASS","FAIL"))</x:f>
        <x:v>OPEN</x:v>
      </x:c>
    </x:row>
    <x:row r="49">
      <x:c r="B49" s="28" t="str">
        <x:v>RP-RFP-B1-02-A</x:v>
      </x:c>
      <x:c r="C49" s="28" t="str">
        <x:v>RFP-B1</x:v>
      </x:c>
      <x:c r="D49" s="28" t="str">
        <x:v>PTC-B</x:v>
      </x:c>
      <x:c r="E49" s="28" t="str">
        <x:v>PTC-A</x:v>
      </x:c>
      <x:c r="F49" s="28" t="n">
        <x:v>2</x:v>
      </x:c>
      <x:c r="G49" s="28" t="str">
        <x:v>path actuation</x:v>
      </x:c>
      <x:c r="H49" s="31" t="str"/>
      <x:c r="I49" s="31" t="str"/>
      <x:c r="J49" s="36" t="str">
        <x:f>IF(OR(H49="",I49=""),"",IF(H49=I49,1,0))</x:f>
      </x:c>
      <x:c r="K49" s="31" t="str"/>
      <x:c r="L49" s="28" t="str">
        <x:f>IF(K49="","OPEN",IF(J49=1,"PASS","FAIL"))</x:f>
        <x:v>OPEN</x:v>
      </x:c>
    </x:row>
    <x:row r="50">
      <x:c r="B50" s="28" t="str">
        <x:v>RP-RFP-B1-02-C</x:v>
      </x:c>
      <x:c r="C50" s="28" t="str">
        <x:v>RFP-B1</x:v>
      </x:c>
      <x:c r="D50" s="28" t="str">
        <x:v>PTC-B</x:v>
      </x:c>
      <x:c r="E50" s="28" t="str">
        <x:v>PTC-C</x:v>
      </x:c>
      <x:c r="F50" s="28" t="n">
        <x:v>2</x:v>
      </x:c>
      <x:c r="G50" s="28" t="str">
        <x:v>path actuation</x:v>
      </x:c>
      <x:c r="H50" s="31" t="str"/>
      <x:c r="I50" s="31" t="str"/>
      <x:c r="J50" s="36" t="str">
        <x:f>IF(OR(H50="",I50=""),"",IF(H50=I50,1,0))</x:f>
      </x:c>
      <x:c r="K50" s="31" t="str"/>
      <x:c r="L50" s="28" t="str">
        <x:f>IF(K50="","OPEN",IF(J50=1,"PASS","FAIL"))</x:f>
        <x:v>OPEN</x:v>
      </x:c>
    </x:row>
    <x:row r="51">
      <x:c r="B51" s="28" t="str">
        <x:v>RP-RFP-B1-03-A</x:v>
      </x:c>
      <x:c r="C51" s="28" t="str">
        <x:v>RFP-B1</x:v>
      </x:c>
      <x:c r="D51" s="28" t="str">
        <x:v>PTC-B</x:v>
      </x:c>
      <x:c r="E51" s="28" t="str">
        <x:v>PTC-A</x:v>
      </x:c>
      <x:c r="F51" s="28" t="n">
        <x:v>3</x:v>
      </x:c>
      <x:c r="G51" s="28" t="str">
        <x:v>route mass</x:v>
      </x:c>
      <x:c r="H51" s="31" t="str"/>
      <x:c r="I51" s="31" t="str"/>
      <x:c r="J51" s="36" t="str">
        <x:f>IF(OR(H51="",I51=""),"",IF(H51=I51,1,0))</x:f>
      </x:c>
      <x:c r="K51" s="31" t="str"/>
      <x:c r="L51" s="28" t="str">
        <x:f>IF(K51="","OPEN",IF(J51=1,"PASS","FAIL"))</x:f>
        <x:v>OPEN</x:v>
      </x:c>
    </x:row>
    <x:row r="52">
      <x:c r="B52" s="28" t="str">
        <x:v>RP-RFP-B1-03-C</x:v>
      </x:c>
      <x:c r="C52" s="28" t="str">
        <x:v>RFP-B1</x:v>
      </x:c>
      <x:c r="D52" s="28" t="str">
        <x:v>PTC-B</x:v>
      </x:c>
      <x:c r="E52" s="28" t="str">
        <x:v>PTC-C</x:v>
      </x:c>
      <x:c r="F52" s="28" t="n">
        <x:v>3</x:v>
      </x:c>
      <x:c r="G52" s="28" t="str">
        <x:v>route mass</x:v>
      </x:c>
      <x:c r="H52" s="31" t="str"/>
      <x:c r="I52" s="31" t="str"/>
      <x:c r="J52" s="36" t="str">
        <x:f>IF(OR(H52="",I52=""),"",IF(H52=I52,1,0))</x:f>
      </x:c>
      <x:c r="K52" s="31" t="str"/>
      <x:c r="L52" s="28" t="str">
        <x:f>IF(K52="","OPEN",IF(J52=1,"PASS","FAIL"))</x:f>
        <x:v>OPEN</x:v>
      </x:c>
    </x:row>
    <x:row r="53">
      <x:c r="B53" s="28" t="str">
        <x:v>RP-RFP-B1-04-A</x:v>
      </x:c>
      <x:c r="C53" s="28" t="str">
        <x:v>RFP-B1</x:v>
      </x:c>
      <x:c r="D53" s="28" t="str">
        <x:v>PTC-B</x:v>
      </x:c>
      <x:c r="E53" s="28" t="str">
        <x:v>PTC-A</x:v>
      </x:c>
      <x:c r="F53" s="28" t="n">
        <x:v>4</x:v>
      </x:c>
      <x:c r="G53" s="28" t="str">
        <x:v>containment</x:v>
      </x:c>
      <x:c r="H53" s="31" t="str"/>
      <x:c r="I53" s="31" t="str"/>
      <x:c r="J53" s="36" t="str">
        <x:f>IF(OR(H53="",I53=""),"",IF(H53=I53,1,0))</x:f>
      </x:c>
      <x:c r="K53" s="31" t="str"/>
      <x:c r="L53" s="28" t="str">
        <x:f>IF(K53="","OPEN",IF(J53=1,"PASS","FAIL"))</x:f>
        <x:v>OPEN</x:v>
      </x:c>
    </x:row>
    <x:row r="54">
      <x:c r="B54" s="28" t="str">
        <x:v>RP-RFP-B1-04-C</x:v>
      </x:c>
      <x:c r="C54" s="28" t="str">
        <x:v>RFP-B1</x:v>
      </x:c>
      <x:c r="D54" s="28" t="str">
        <x:v>PTC-B</x:v>
      </x:c>
      <x:c r="E54" s="28" t="str">
        <x:v>PTC-C</x:v>
      </x:c>
      <x:c r="F54" s="28" t="n">
        <x:v>4</x:v>
      </x:c>
      <x:c r="G54" s="28" t="str">
        <x:v>containment</x:v>
      </x:c>
      <x:c r="H54" s="31" t="str"/>
      <x:c r="I54" s="31" t="str"/>
      <x:c r="J54" s="36" t="str">
        <x:f>IF(OR(H54="",I54=""),"",IF(H54=I54,1,0))</x:f>
      </x:c>
      <x:c r="K54" s="31" t="str"/>
      <x:c r="L54" s="28" t="str">
        <x:f>IF(K54="","OPEN",IF(J54=1,"PASS","FAIL"))</x:f>
        <x:v>OPEN</x:v>
      </x:c>
    </x:row>
    <x:row r="55">
      <x:c r="B55" s="28" t="str">
        <x:v>RP-RFP-B1-05-A</x:v>
      </x:c>
      <x:c r="C55" s="28" t="str">
        <x:v>RFP-B1</x:v>
      </x:c>
      <x:c r="D55" s="28" t="str">
        <x:v>PTC-B</x:v>
      </x:c>
      <x:c r="E55" s="28" t="str">
        <x:v>PTC-A</x:v>
      </x:c>
      <x:c r="F55" s="28" t="n">
        <x:v>5</x:v>
      </x:c>
      <x:c r="G55" s="28" t="str">
        <x:v>calibration</x:v>
      </x:c>
      <x:c r="H55" s="31" t="str"/>
      <x:c r="I55" s="31" t="str"/>
      <x:c r="J55" s="36" t="str">
        <x:f>IF(OR(H55="",I55=""),"",IF(H55=I55,1,0))</x:f>
      </x:c>
      <x:c r="K55" s="31" t="str"/>
      <x:c r="L55" s="28" t="str">
        <x:f>IF(K55="","OPEN",IF(J55=1,"PASS","FAIL"))</x:f>
        <x:v>OPEN</x:v>
      </x:c>
    </x:row>
    <x:row r="56">
      <x:c r="B56" s="28" t="str">
        <x:v>RP-RFP-B1-05-C</x:v>
      </x:c>
      <x:c r="C56" s="28" t="str">
        <x:v>RFP-B1</x:v>
      </x:c>
      <x:c r="D56" s="28" t="str">
        <x:v>PTC-B</x:v>
      </x:c>
      <x:c r="E56" s="28" t="str">
        <x:v>PTC-C</x:v>
      </x:c>
      <x:c r="F56" s="28" t="n">
        <x:v>5</x:v>
      </x:c>
      <x:c r="G56" s="28" t="str">
        <x:v>calibration</x:v>
      </x:c>
      <x:c r="H56" s="31" t="str"/>
      <x:c r="I56" s="31" t="str"/>
      <x:c r="J56" s="36" t="str">
        <x:f>IF(OR(H56="",I56=""),"",IF(H56=I56,1,0))</x:f>
      </x:c>
      <x:c r="K56" s="31" t="str"/>
      <x:c r="L56" s="28" t="str">
        <x:f>IF(K56="","OPEN",IF(J56=1,"PASS","FAIL"))</x:f>
        <x:v>OPEN</x:v>
      </x:c>
    </x:row>
    <x:row r="57">
      <x:c r="B57" s="28" t="str">
        <x:v>RP-RFP-B1-06-A</x:v>
      </x:c>
      <x:c r="C57" s="28" t="str">
        <x:v>RFP-B1</x:v>
      </x:c>
      <x:c r="D57" s="28" t="str">
        <x:v>PTC-B</x:v>
      </x:c>
      <x:c r="E57" s="28" t="str">
        <x:v>PTC-A</x:v>
      </x:c>
      <x:c r="F57" s="28" t="n">
        <x:v>6</x:v>
      </x:c>
      <x:c r="G57" s="28" t="str">
        <x:v>ancestry</x:v>
      </x:c>
      <x:c r="H57" s="31" t="str"/>
      <x:c r="I57" s="31" t="str"/>
      <x:c r="J57" s="36" t="str">
        <x:f>IF(OR(H57="",I57=""),"",IF(H57=I57,1,0))</x:f>
      </x:c>
      <x:c r="K57" s="31" t="str"/>
      <x:c r="L57" s="28" t="str">
        <x:f>IF(K57="","OPEN",IF(J57=1,"PASS","FAIL"))</x:f>
        <x:v>OPEN</x:v>
      </x:c>
    </x:row>
    <x:row r="58">
      <x:c r="B58" s="28" t="str">
        <x:v>RP-RFP-B1-06-C</x:v>
      </x:c>
      <x:c r="C58" s="28" t="str">
        <x:v>RFP-B1</x:v>
      </x:c>
      <x:c r="D58" s="28" t="str">
        <x:v>PTC-B</x:v>
      </x:c>
      <x:c r="E58" s="28" t="str">
        <x:v>PTC-C</x:v>
      </x:c>
      <x:c r="F58" s="28" t="n">
        <x:v>6</x:v>
      </x:c>
      <x:c r="G58" s="28" t="str">
        <x:v>ancestry</x:v>
      </x:c>
      <x:c r="H58" s="31" t="str"/>
      <x:c r="I58" s="31" t="str"/>
      <x:c r="J58" s="36" t="str">
        <x:f>IF(OR(H58="",I58=""),"",IF(H58=I58,1,0))</x:f>
      </x:c>
      <x:c r="K58" s="31" t="str"/>
      <x:c r="L58" s="28" t="str">
        <x:f>IF(K58="","OPEN",IF(J58=1,"PASS","FAIL"))</x:f>
        <x:v>OPEN</x:v>
      </x:c>
    </x:row>
    <x:row r="59">
      <x:c r="B59" s="28" t="str">
        <x:v>RP-RFP-B1-07-A</x:v>
      </x:c>
      <x:c r="C59" s="28" t="str">
        <x:v>RFP-B1</x:v>
      </x:c>
      <x:c r="D59" s="28" t="str">
        <x:v>PTC-B</x:v>
      </x:c>
      <x:c r="E59" s="28" t="str">
        <x:v>PTC-A</x:v>
      </x:c>
      <x:c r="F59" s="28" t="n">
        <x:v>7</x:v>
      </x:c>
      <x:c r="G59" s="28" t="str">
        <x:v>denial state</x:v>
      </x:c>
      <x:c r="H59" s="31" t="str"/>
      <x:c r="I59" s="31" t="str"/>
      <x:c r="J59" s="36" t="str">
        <x:f>IF(OR(H59="",I59=""),"",IF(H59=I59,1,0))</x:f>
      </x:c>
      <x:c r="K59" s="31" t="str"/>
      <x:c r="L59" s="28" t="str">
        <x:f>IF(K59="","OPEN",IF(J59=1,"PASS","FAIL"))</x:f>
        <x:v>OPEN</x:v>
      </x:c>
    </x:row>
    <x:row r="60">
      <x:c r="B60" s="28" t="str">
        <x:v>RP-RFP-B1-07-C</x:v>
      </x:c>
      <x:c r="C60" s="28" t="str">
        <x:v>RFP-B1</x:v>
      </x:c>
      <x:c r="D60" s="28" t="str">
        <x:v>PTC-B</x:v>
      </x:c>
      <x:c r="E60" s="28" t="str">
        <x:v>PTC-C</x:v>
      </x:c>
      <x:c r="F60" s="28" t="n">
        <x:v>7</x:v>
      </x:c>
      <x:c r="G60" s="28" t="str">
        <x:v>denial state</x:v>
      </x:c>
      <x:c r="H60" s="31" t="str"/>
      <x:c r="I60" s="31" t="str"/>
      <x:c r="J60" s="36" t="str">
        <x:f>IF(OR(H60="",I60=""),"",IF(H60=I60,1,0))</x:f>
      </x:c>
      <x:c r="K60" s="31" t="str"/>
      <x:c r="L60" s="28" t="str">
        <x:f>IF(K60="","OPEN",IF(J60=1,"PASS","FAIL"))</x:f>
        <x:v>OPEN</x:v>
      </x:c>
    </x:row>
    <x:row r="61">
      <x:c r="B61" s="28" t="str">
        <x:v>RP-RFP-B1-08-A</x:v>
      </x:c>
      <x:c r="C61" s="28" t="str">
        <x:v>RFP-B1</x:v>
      </x:c>
      <x:c r="D61" s="28" t="str">
        <x:v>PTC-B</x:v>
      </x:c>
      <x:c r="E61" s="28" t="str">
        <x:v>PTC-A</x:v>
      </x:c>
      <x:c r="F61" s="28" t="n">
        <x:v>8</x:v>
      </x:c>
      <x:c r="G61" s="28" t="str">
        <x:v>samples</x:v>
      </x:c>
      <x:c r="H61" s="31" t="str"/>
      <x:c r="I61" s="31" t="str"/>
      <x:c r="J61" s="36" t="str">
        <x:f>IF(OR(H61="",I61=""),"",IF(H61=I61,1,0))</x:f>
      </x:c>
      <x:c r="K61" s="31" t="str"/>
      <x:c r="L61" s="28" t="str">
        <x:f>IF(K61="","OPEN",IF(J61=1,"PASS","FAIL"))</x:f>
        <x:v>OPEN</x:v>
      </x:c>
    </x:row>
    <x:row r="62">
      <x:c r="B62" s="28" t="str">
        <x:v>RP-RFP-B1-08-C</x:v>
      </x:c>
      <x:c r="C62" s="28" t="str">
        <x:v>RFP-B1</x:v>
      </x:c>
      <x:c r="D62" s="28" t="str">
        <x:v>PTC-B</x:v>
      </x:c>
      <x:c r="E62" s="28" t="str">
        <x:v>PTC-C</x:v>
      </x:c>
      <x:c r="F62" s="28" t="n">
        <x:v>8</x:v>
      </x:c>
      <x:c r="G62" s="28" t="str">
        <x:v>samples</x:v>
      </x:c>
      <x:c r="H62" s="31" t="str"/>
      <x:c r="I62" s="31" t="str"/>
      <x:c r="J62" s="36" t="str">
        <x:f>IF(OR(H62="",I62=""),"",IF(H62=I62,1,0))</x:f>
      </x:c>
      <x:c r="K62" s="31" t="str"/>
      <x:c r="L62" s="28" t="str">
        <x:f>IF(K62="","OPEN",IF(J62=1,"PASS","FAIL"))</x:f>
        <x:v>OPEN</x:v>
      </x:c>
    </x:row>
    <x:row r="63">
      <x:c r="B63" s="28" t="str">
        <x:v>RP-RFP-B1-09-A</x:v>
      </x:c>
      <x:c r="C63" s="28" t="str">
        <x:v>RFP-B1</x:v>
      </x:c>
      <x:c r="D63" s="28" t="str">
        <x:v>PTC-B</x:v>
      </x:c>
      <x:c r="E63" s="28" t="str">
        <x:v>PTC-A</x:v>
      </x:c>
      <x:c r="F63" s="28" t="n">
        <x:v>9</x:v>
      </x:c>
      <x:c r="G63" s="28" t="str">
        <x:v>native time</x:v>
      </x:c>
      <x:c r="H63" s="31" t="str"/>
      <x:c r="I63" s="31" t="str"/>
      <x:c r="J63" s="36" t="str">
        <x:f>IF(OR(H63="",I63=""),"",IF(H63=I63,1,0))</x:f>
      </x:c>
      <x:c r="K63" s="31" t="str"/>
      <x:c r="L63" s="28" t="str">
        <x:f>IF(K63="","OPEN",IF(J63=1,"PASS","FAIL"))</x:f>
        <x:v>OPEN</x:v>
      </x:c>
    </x:row>
    <x:row r="64">
      <x:c r="B64" s="28" t="str">
        <x:v>RP-RFP-B1-09-C</x:v>
      </x:c>
      <x:c r="C64" s="28" t="str">
        <x:v>RFP-B1</x:v>
      </x:c>
      <x:c r="D64" s="28" t="str">
        <x:v>PTC-B</x:v>
      </x:c>
      <x:c r="E64" s="28" t="str">
        <x:v>PTC-C</x:v>
      </x:c>
      <x:c r="F64" s="28" t="n">
        <x:v>9</x:v>
      </x:c>
      <x:c r="G64" s="28" t="str">
        <x:v>native time</x:v>
      </x:c>
      <x:c r="H64" s="31" t="str"/>
      <x:c r="I64" s="31" t="str"/>
      <x:c r="J64" s="36" t="str">
        <x:f>IF(OR(H64="",I64=""),"",IF(H64=I64,1,0))</x:f>
      </x:c>
      <x:c r="K64" s="31" t="str"/>
      <x:c r="L64" s="28" t="str">
        <x:f>IF(K64="","OPEN",IF(J64=1,"PASS","FAIL"))</x:f>
        <x:v>OPEN</x:v>
      </x:c>
    </x:row>
    <x:row r="65">
      <x:c r="B65" s="28" t="str">
        <x:v>RP-RFP-B1-10-A</x:v>
      </x:c>
      <x:c r="C65" s="28" t="str">
        <x:v>RFP-B1</x:v>
      </x:c>
      <x:c r="D65" s="28" t="str">
        <x:v>PTC-B</x:v>
      </x:c>
      <x:c r="E65" s="28" t="str">
        <x:v>PTC-A</x:v>
      </x:c>
      <x:c r="F65" s="28" t="n">
        <x:v>10</x:v>
      </x:c>
      <x:c r="G65" s="28" t="str">
        <x:v>integrated conclusion</x:v>
      </x:c>
      <x:c r="H65" s="31" t="str"/>
      <x:c r="I65" s="31" t="str"/>
      <x:c r="J65" s="36" t="str">
        <x:f>IF(OR(H65="",I65=""),"",IF(H65=I65,1,0))</x:f>
      </x:c>
      <x:c r="K65" s="31" t="str"/>
      <x:c r="L65" s="28" t="str">
        <x:f>IF(K65="","OPEN",IF(J65=1,"PASS","FAIL"))</x:f>
        <x:v>OPEN</x:v>
      </x:c>
    </x:row>
    <x:row r="66">
      <x:c r="B66" s="28" t="str">
        <x:v>RP-RFP-B1-10-C</x:v>
      </x:c>
      <x:c r="C66" s="28" t="str">
        <x:v>RFP-B1</x:v>
      </x:c>
      <x:c r="D66" s="28" t="str">
        <x:v>PTC-B</x:v>
      </x:c>
      <x:c r="E66" s="28" t="str">
        <x:v>PTC-C</x:v>
      </x:c>
      <x:c r="F66" s="28" t="n">
        <x:v>10</x:v>
      </x:c>
      <x:c r="G66" s="28" t="str">
        <x:v>integrated conclusion</x:v>
      </x:c>
      <x:c r="H66" s="31" t="str"/>
      <x:c r="I66" s="31" t="str"/>
      <x:c r="J66" s="36" t="str">
        <x:f>IF(OR(H66="",I66=""),"",IF(H66=I66,1,0))</x:f>
      </x:c>
      <x:c r="K66" s="31" t="str"/>
      <x:c r="L66" s="28" t="str">
        <x:f>IF(K66="","OPEN",IF(J66=1,"PASS","FAIL"))</x:f>
        <x:v>OPEN</x:v>
      </x:c>
    </x:row>
    <x:row r="67">
      <x:c r="B67" s="28" t="str">
        <x:v>RP-RFP-B2-01-A</x:v>
      </x:c>
      <x:c r="C67" s="28" t="str">
        <x:v>RFP-B2</x:v>
      </x:c>
      <x:c r="D67" s="28" t="str">
        <x:v>PTC-B</x:v>
      </x:c>
      <x:c r="E67" s="28" t="str">
        <x:v>PTC-A</x:v>
      </x:c>
      <x:c r="F67" s="28" t="n">
        <x:v>1</x:v>
      </x:c>
      <x:c r="G67" s="28" t="str">
        <x:v>configuration</x:v>
      </x:c>
      <x:c r="H67" s="31" t="str"/>
      <x:c r="I67" s="31" t="str"/>
      <x:c r="J67" s="36" t="str">
        <x:f>IF(OR(H67="",I67=""),"",IF(H67=I67,1,0))</x:f>
      </x:c>
      <x:c r="K67" s="31" t="str"/>
      <x:c r="L67" s="28" t="str">
        <x:f>IF(K67="","OPEN",IF(J67=1,"PASS","FAIL"))</x:f>
        <x:v>OPEN</x:v>
      </x:c>
    </x:row>
    <x:row r="68">
      <x:c r="B68" s="28" t="str">
        <x:v>RP-RFP-B2-01-C</x:v>
      </x:c>
      <x:c r="C68" s="28" t="str">
        <x:v>RFP-B2</x:v>
      </x:c>
      <x:c r="D68" s="28" t="str">
        <x:v>PTC-B</x:v>
      </x:c>
      <x:c r="E68" s="28" t="str">
        <x:v>PTC-C</x:v>
      </x:c>
      <x:c r="F68" s="28" t="n">
        <x:v>1</x:v>
      </x:c>
      <x:c r="G68" s="28" t="str">
        <x:v>configuration</x:v>
      </x:c>
      <x:c r="H68" s="31" t="str"/>
      <x:c r="I68" s="31" t="str"/>
      <x:c r="J68" s="36" t="str">
        <x:f>IF(OR(H68="",I68=""),"",IF(H68=I68,1,0))</x:f>
      </x:c>
      <x:c r="K68" s="31" t="str"/>
      <x:c r="L68" s="28" t="str">
        <x:f>IF(K68="","OPEN",IF(J68=1,"PASS","FAIL"))</x:f>
        <x:v>OPEN</x:v>
      </x:c>
    </x:row>
    <x:row r="69">
      <x:c r="B69" s="28" t="str">
        <x:v>RP-RFP-B2-02-A</x:v>
      </x:c>
      <x:c r="C69" s="28" t="str">
        <x:v>RFP-B2</x:v>
      </x:c>
      <x:c r="D69" s="28" t="str">
        <x:v>PTC-B</x:v>
      </x:c>
      <x:c r="E69" s="28" t="str">
        <x:v>PTC-A</x:v>
      </x:c>
      <x:c r="F69" s="28" t="n">
        <x:v>2</x:v>
      </x:c>
      <x:c r="G69" s="28" t="str">
        <x:v>path actuation</x:v>
      </x:c>
      <x:c r="H69" s="31" t="str"/>
      <x:c r="I69" s="31" t="str"/>
      <x:c r="J69" s="36" t="str">
        <x:f>IF(OR(H69="",I69=""),"",IF(H69=I69,1,0))</x:f>
      </x:c>
      <x:c r="K69" s="31" t="str"/>
      <x:c r="L69" s="28" t="str">
        <x:f>IF(K69="","OPEN",IF(J69=1,"PASS","FAIL"))</x:f>
        <x:v>OPEN</x:v>
      </x:c>
    </x:row>
    <x:row r="70">
      <x:c r="B70" s="28" t="str">
        <x:v>RP-RFP-B2-02-C</x:v>
      </x:c>
      <x:c r="C70" s="28" t="str">
        <x:v>RFP-B2</x:v>
      </x:c>
      <x:c r="D70" s="28" t="str">
        <x:v>PTC-B</x:v>
      </x:c>
      <x:c r="E70" s="28" t="str">
        <x:v>PTC-C</x:v>
      </x:c>
      <x:c r="F70" s="28" t="n">
        <x:v>2</x:v>
      </x:c>
      <x:c r="G70" s="28" t="str">
        <x:v>path actuation</x:v>
      </x:c>
      <x:c r="H70" s="31" t="str"/>
      <x:c r="I70" s="31" t="str"/>
      <x:c r="J70" s="36" t="str">
        <x:f>IF(OR(H70="",I70=""),"",IF(H70=I70,1,0))</x:f>
      </x:c>
      <x:c r="K70" s="31" t="str"/>
      <x:c r="L70" s="28" t="str">
        <x:f>IF(K70="","OPEN",IF(J70=1,"PASS","FAIL"))</x:f>
        <x:v>OPEN</x:v>
      </x:c>
    </x:row>
    <x:row r="71">
      <x:c r="B71" s="28" t="str">
        <x:v>RP-RFP-B2-03-A</x:v>
      </x:c>
      <x:c r="C71" s="28" t="str">
        <x:v>RFP-B2</x:v>
      </x:c>
      <x:c r="D71" s="28" t="str">
        <x:v>PTC-B</x:v>
      </x:c>
      <x:c r="E71" s="28" t="str">
        <x:v>PTC-A</x:v>
      </x:c>
      <x:c r="F71" s="28" t="n">
        <x:v>3</x:v>
      </x:c>
      <x:c r="G71" s="28" t="str">
        <x:v>route mass</x:v>
      </x:c>
      <x:c r="H71" s="31" t="str"/>
      <x:c r="I71" s="31" t="str"/>
      <x:c r="J71" s="36" t="str">
        <x:f>IF(OR(H71="",I71=""),"",IF(H71=I71,1,0))</x:f>
      </x:c>
      <x:c r="K71" s="31" t="str"/>
      <x:c r="L71" s="28" t="str">
        <x:f>IF(K71="","OPEN",IF(J71=1,"PASS","FAIL"))</x:f>
        <x:v>OPEN</x:v>
      </x:c>
    </x:row>
    <x:row r="72">
      <x:c r="B72" s="28" t="str">
        <x:v>RP-RFP-B2-03-C</x:v>
      </x:c>
      <x:c r="C72" s="28" t="str">
        <x:v>RFP-B2</x:v>
      </x:c>
      <x:c r="D72" s="28" t="str">
        <x:v>PTC-B</x:v>
      </x:c>
      <x:c r="E72" s="28" t="str">
        <x:v>PTC-C</x:v>
      </x:c>
      <x:c r="F72" s="28" t="n">
        <x:v>3</x:v>
      </x:c>
      <x:c r="G72" s="28" t="str">
        <x:v>route mass</x:v>
      </x:c>
      <x:c r="H72" s="31" t="str"/>
      <x:c r="I72" s="31" t="str"/>
      <x:c r="J72" s="36" t="str">
        <x:f>IF(OR(H72="",I72=""),"",IF(H72=I72,1,0))</x:f>
      </x:c>
      <x:c r="K72" s="31" t="str"/>
      <x:c r="L72" s="28" t="str">
        <x:f>IF(K72="","OPEN",IF(J72=1,"PASS","FAIL"))</x:f>
        <x:v>OPEN</x:v>
      </x:c>
    </x:row>
    <x:row r="73">
      <x:c r="B73" s="28" t="str">
        <x:v>RP-RFP-B2-04-A</x:v>
      </x:c>
      <x:c r="C73" s="28" t="str">
        <x:v>RFP-B2</x:v>
      </x:c>
      <x:c r="D73" s="28" t="str">
        <x:v>PTC-B</x:v>
      </x:c>
      <x:c r="E73" s="28" t="str">
        <x:v>PTC-A</x:v>
      </x:c>
      <x:c r="F73" s="28" t="n">
        <x:v>4</x:v>
      </x:c>
      <x:c r="G73" s="28" t="str">
        <x:v>containment</x:v>
      </x:c>
      <x:c r="H73" s="31" t="str"/>
      <x:c r="I73" s="31" t="str"/>
      <x:c r="J73" s="36" t="str">
        <x:f>IF(OR(H73="",I73=""),"",IF(H73=I73,1,0))</x:f>
      </x:c>
      <x:c r="K73" s="31" t="str"/>
      <x:c r="L73" s="28" t="str">
        <x:f>IF(K73="","OPEN",IF(J73=1,"PASS","FAIL"))</x:f>
        <x:v>OPEN</x:v>
      </x:c>
    </x:row>
    <x:row r="74">
      <x:c r="B74" s="28" t="str">
        <x:v>RP-RFP-B2-04-C</x:v>
      </x:c>
      <x:c r="C74" s="28" t="str">
        <x:v>RFP-B2</x:v>
      </x:c>
      <x:c r="D74" s="28" t="str">
        <x:v>PTC-B</x:v>
      </x:c>
      <x:c r="E74" s="28" t="str">
        <x:v>PTC-C</x:v>
      </x:c>
      <x:c r="F74" s="28" t="n">
        <x:v>4</x:v>
      </x:c>
      <x:c r="G74" s="28" t="str">
        <x:v>containment</x:v>
      </x:c>
      <x:c r="H74" s="31" t="str"/>
      <x:c r="I74" s="31" t="str"/>
      <x:c r="J74" s="36" t="str">
        <x:f>IF(OR(H74="",I74=""),"",IF(H74=I74,1,0))</x:f>
      </x:c>
      <x:c r="K74" s="31" t="str"/>
      <x:c r="L74" s="28" t="str">
        <x:f>IF(K74="","OPEN",IF(J74=1,"PASS","FAIL"))</x:f>
        <x:v>OPEN</x:v>
      </x:c>
    </x:row>
    <x:row r="75">
      <x:c r="B75" s="28" t="str">
        <x:v>RP-RFP-B2-05-A</x:v>
      </x:c>
      <x:c r="C75" s="28" t="str">
        <x:v>RFP-B2</x:v>
      </x:c>
      <x:c r="D75" s="28" t="str">
        <x:v>PTC-B</x:v>
      </x:c>
      <x:c r="E75" s="28" t="str">
        <x:v>PTC-A</x:v>
      </x:c>
      <x:c r="F75" s="28" t="n">
        <x:v>5</x:v>
      </x:c>
      <x:c r="G75" s="28" t="str">
        <x:v>calibration</x:v>
      </x:c>
      <x:c r="H75" s="31" t="str"/>
      <x:c r="I75" s="31" t="str"/>
      <x:c r="J75" s="36" t="str">
        <x:f>IF(OR(H75="",I75=""),"",IF(H75=I75,1,0))</x:f>
      </x:c>
      <x:c r="K75" s="31" t="str"/>
      <x:c r="L75" s="28" t="str">
        <x:f>IF(K75="","OPEN",IF(J75=1,"PASS","FAIL"))</x:f>
        <x:v>OPEN</x:v>
      </x:c>
    </x:row>
    <x:row r="76">
      <x:c r="B76" s="28" t="str">
        <x:v>RP-RFP-B2-05-C</x:v>
      </x:c>
      <x:c r="C76" s="28" t="str">
        <x:v>RFP-B2</x:v>
      </x:c>
      <x:c r="D76" s="28" t="str">
        <x:v>PTC-B</x:v>
      </x:c>
      <x:c r="E76" s="28" t="str">
        <x:v>PTC-C</x:v>
      </x:c>
      <x:c r="F76" s="28" t="n">
        <x:v>5</x:v>
      </x:c>
      <x:c r="G76" s="28" t="str">
        <x:v>calibration</x:v>
      </x:c>
      <x:c r="H76" s="31" t="str"/>
      <x:c r="I76" s="31" t="str"/>
      <x:c r="J76" s="36" t="str">
        <x:f>IF(OR(H76="",I76=""),"",IF(H76=I76,1,0))</x:f>
      </x:c>
      <x:c r="K76" s="31" t="str"/>
      <x:c r="L76" s="28" t="str">
        <x:f>IF(K76="","OPEN",IF(J76=1,"PASS","FAIL"))</x:f>
        <x:v>OPEN</x:v>
      </x:c>
    </x:row>
    <x:row r="77">
      <x:c r="B77" s="28" t="str">
        <x:v>RP-RFP-B2-06-A</x:v>
      </x:c>
      <x:c r="C77" s="28" t="str">
        <x:v>RFP-B2</x:v>
      </x:c>
      <x:c r="D77" s="28" t="str">
        <x:v>PTC-B</x:v>
      </x:c>
      <x:c r="E77" s="28" t="str">
        <x:v>PTC-A</x:v>
      </x:c>
      <x:c r="F77" s="28" t="n">
        <x:v>6</x:v>
      </x:c>
      <x:c r="G77" s="28" t="str">
        <x:v>ancestry</x:v>
      </x:c>
      <x:c r="H77" s="31" t="str"/>
      <x:c r="I77" s="31" t="str"/>
      <x:c r="J77" s="36" t="str">
        <x:f>IF(OR(H77="",I77=""),"",IF(H77=I77,1,0))</x:f>
      </x:c>
      <x:c r="K77" s="31" t="str"/>
      <x:c r="L77" s="28" t="str">
        <x:f>IF(K77="","OPEN",IF(J77=1,"PASS","FAIL"))</x:f>
        <x:v>OPEN</x:v>
      </x:c>
    </x:row>
    <x:row r="78">
      <x:c r="B78" s="28" t="str">
        <x:v>RP-RFP-B2-06-C</x:v>
      </x:c>
      <x:c r="C78" s="28" t="str">
        <x:v>RFP-B2</x:v>
      </x:c>
      <x:c r="D78" s="28" t="str">
        <x:v>PTC-B</x:v>
      </x:c>
      <x:c r="E78" s="28" t="str">
        <x:v>PTC-C</x:v>
      </x:c>
      <x:c r="F78" s="28" t="n">
        <x:v>6</x:v>
      </x:c>
      <x:c r="G78" s="28" t="str">
        <x:v>ancestry</x:v>
      </x:c>
      <x:c r="H78" s="31" t="str"/>
      <x:c r="I78" s="31" t="str"/>
      <x:c r="J78" s="36" t="str">
        <x:f>IF(OR(H78="",I78=""),"",IF(H78=I78,1,0))</x:f>
      </x:c>
      <x:c r="K78" s="31" t="str"/>
      <x:c r="L78" s="28" t="str">
        <x:f>IF(K78="","OPEN",IF(J78=1,"PASS","FAIL"))</x:f>
        <x:v>OPEN</x:v>
      </x:c>
    </x:row>
    <x:row r="79">
      <x:c r="B79" s="28" t="str">
        <x:v>RP-RFP-B2-07-A</x:v>
      </x:c>
      <x:c r="C79" s="28" t="str">
        <x:v>RFP-B2</x:v>
      </x:c>
      <x:c r="D79" s="28" t="str">
        <x:v>PTC-B</x:v>
      </x:c>
      <x:c r="E79" s="28" t="str">
        <x:v>PTC-A</x:v>
      </x:c>
      <x:c r="F79" s="28" t="n">
        <x:v>7</x:v>
      </x:c>
      <x:c r="G79" s="28" t="str">
        <x:v>denial state</x:v>
      </x:c>
      <x:c r="H79" s="31" t="str"/>
      <x:c r="I79" s="31" t="str"/>
      <x:c r="J79" s="36" t="str">
        <x:f>IF(OR(H79="",I79=""),"",IF(H79=I79,1,0))</x:f>
      </x:c>
      <x:c r="K79" s="31" t="str"/>
      <x:c r="L79" s="28" t="str">
        <x:f>IF(K79="","OPEN",IF(J79=1,"PASS","FAIL"))</x:f>
        <x:v>OPEN</x:v>
      </x:c>
    </x:row>
    <x:row r="80">
      <x:c r="B80" s="28" t="str">
        <x:v>RP-RFP-B2-07-C</x:v>
      </x:c>
      <x:c r="C80" s="28" t="str">
        <x:v>RFP-B2</x:v>
      </x:c>
      <x:c r="D80" s="28" t="str">
        <x:v>PTC-B</x:v>
      </x:c>
      <x:c r="E80" s="28" t="str">
        <x:v>PTC-C</x:v>
      </x:c>
      <x:c r="F80" s="28" t="n">
        <x:v>7</x:v>
      </x:c>
      <x:c r="G80" s="28" t="str">
        <x:v>denial state</x:v>
      </x:c>
      <x:c r="H80" s="31" t="str"/>
      <x:c r="I80" s="31" t="str"/>
      <x:c r="J80" s="36" t="str">
        <x:f>IF(OR(H80="",I80=""),"",IF(H80=I80,1,0))</x:f>
      </x:c>
      <x:c r="K80" s="31" t="str"/>
      <x:c r="L80" s="28" t="str">
        <x:f>IF(K80="","OPEN",IF(J80=1,"PASS","FAIL"))</x:f>
        <x:v>OPEN</x:v>
      </x:c>
    </x:row>
    <x:row r="81">
      <x:c r="B81" s="28" t="str">
        <x:v>RP-RFP-B2-08-A</x:v>
      </x:c>
      <x:c r="C81" s="28" t="str">
        <x:v>RFP-B2</x:v>
      </x:c>
      <x:c r="D81" s="28" t="str">
        <x:v>PTC-B</x:v>
      </x:c>
      <x:c r="E81" s="28" t="str">
        <x:v>PTC-A</x:v>
      </x:c>
      <x:c r="F81" s="28" t="n">
        <x:v>8</x:v>
      </x:c>
      <x:c r="G81" s="28" t="str">
        <x:v>samples</x:v>
      </x:c>
      <x:c r="H81" s="31" t="str"/>
      <x:c r="I81" s="31" t="str"/>
      <x:c r="J81" s="36" t="str">
        <x:f>IF(OR(H81="",I81=""),"",IF(H81=I81,1,0))</x:f>
      </x:c>
      <x:c r="K81" s="31" t="str"/>
      <x:c r="L81" s="28" t="str">
        <x:f>IF(K81="","OPEN",IF(J81=1,"PASS","FAIL"))</x:f>
        <x:v>OPEN</x:v>
      </x:c>
    </x:row>
    <x:row r="82">
      <x:c r="B82" s="28" t="str">
        <x:v>RP-RFP-B2-08-C</x:v>
      </x:c>
      <x:c r="C82" s="28" t="str">
        <x:v>RFP-B2</x:v>
      </x:c>
      <x:c r="D82" s="28" t="str">
        <x:v>PTC-B</x:v>
      </x:c>
      <x:c r="E82" s="28" t="str">
        <x:v>PTC-C</x:v>
      </x:c>
      <x:c r="F82" s="28" t="n">
        <x:v>8</x:v>
      </x:c>
      <x:c r="G82" s="28" t="str">
        <x:v>samples</x:v>
      </x:c>
      <x:c r="H82" s="31" t="str"/>
      <x:c r="I82" s="31" t="str"/>
      <x:c r="J82" s="36" t="str">
        <x:f>IF(OR(H82="",I82=""),"",IF(H82=I82,1,0))</x:f>
      </x:c>
      <x:c r="K82" s="31" t="str"/>
      <x:c r="L82" s="28" t="str">
        <x:f>IF(K82="","OPEN",IF(J82=1,"PASS","FAIL"))</x:f>
        <x:v>OPEN</x:v>
      </x:c>
    </x:row>
    <x:row r="83">
      <x:c r="B83" s="28" t="str">
        <x:v>RP-RFP-B2-09-A</x:v>
      </x:c>
      <x:c r="C83" s="28" t="str">
        <x:v>RFP-B2</x:v>
      </x:c>
      <x:c r="D83" s="28" t="str">
        <x:v>PTC-B</x:v>
      </x:c>
      <x:c r="E83" s="28" t="str">
        <x:v>PTC-A</x:v>
      </x:c>
      <x:c r="F83" s="28" t="n">
        <x:v>9</x:v>
      </x:c>
      <x:c r="G83" s="28" t="str">
        <x:v>native time</x:v>
      </x:c>
      <x:c r="H83" s="31" t="str"/>
      <x:c r="I83" s="31" t="str"/>
      <x:c r="J83" s="36" t="str">
        <x:f>IF(OR(H83="",I83=""),"",IF(H83=I83,1,0))</x:f>
      </x:c>
      <x:c r="K83" s="31" t="str"/>
      <x:c r="L83" s="28" t="str">
        <x:f>IF(K83="","OPEN",IF(J83=1,"PASS","FAIL"))</x:f>
        <x:v>OPEN</x:v>
      </x:c>
    </x:row>
    <x:row r="84">
      <x:c r="B84" s="28" t="str">
        <x:v>RP-RFP-B2-09-C</x:v>
      </x:c>
      <x:c r="C84" s="28" t="str">
        <x:v>RFP-B2</x:v>
      </x:c>
      <x:c r="D84" s="28" t="str">
        <x:v>PTC-B</x:v>
      </x:c>
      <x:c r="E84" s="28" t="str">
        <x:v>PTC-C</x:v>
      </x:c>
      <x:c r="F84" s="28" t="n">
        <x:v>9</x:v>
      </x:c>
      <x:c r="G84" s="28" t="str">
        <x:v>native time</x:v>
      </x:c>
      <x:c r="H84" s="31" t="str"/>
      <x:c r="I84" s="31" t="str"/>
      <x:c r="J84" s="36" t="str">
        <x:f>IF(OR(H84="",I84=""),"",IF(H84=I84,1,0))</x:f>
      </x:c>
      <x:c r="K84" s="31" t="str"/>
      <x:c r="L84" s="28" t="str">
        <x:f>IF(K84="","OPEN",IF(J84=1,"PASS","FAIL"))</x:f>
        <x:v>OPEN</x:v>
      </x:c>
    </x:row>
    <x:row r="85">
      <x:c r="B85" s="28" t="str">
        <x:v>RP-RFP-B2-10-A</x:v>
      </x:c>
      <x:c r="C85" s="28" t="str">
        <x:v>RFP-B2</x:v>
      </x:c>
      <x:c r="D85" s="28" t="str">
        <x:v>PTC-B</x:v>
      </x:c>
      <x:c r="E85" s="28" t="str">
        <x:v>PTC-A</x:v>
      </x:c>
      <x:c r="F85" s="28" t="n">
        <x:v>10</x:v>
      </x:c>
      <x:c r="G85" s="28" t="str">
        <x:v>integrated conclusion</x:v>
      </x:c>
      <x:c r="H85" s="31" t="str"/>
      <x:c r="I85" s="31" t="str"/>
      <x:c r="J85" s="36" t="str">
        <x:f>IF(OR(H85="",I85=""),"",IF(H85=I85,1,0))</x:f>
      </x:c>
      <x:c r="K85" s="31" t="str"/>
      <x:c r="L85" s="28" t="str">
        <x:f>IF(K85="","OPEN",IF(J85=1,"PASS","FAIL"))</x:f>
        <x:v>OPEN</x:v>
      </x:c>
    </x:row>
    <x:row r="86">
      <x:c r="B86" s="28" t="str">
        <x:v>RP-RFP-B2-10-C</x:v>
      </x:c>
      <x:c r="C86" s="28" t="str">
        <x:v>RFP-B2</x:v>
      </x:c>
      <x:c r="D86" s="28" t="str">
        <x:v>PTC-B</x:v>
      </x:c>
      <x:c r="E86" s="28" t="str">
        <x:v>PTC-C</x:v>
      </x:c>
      <x:c r="F86" s="28" t="n">
        <x:v>10</x:v>
      </x:c>
      <x:c r="G86" s="28" t="str">
        <x:v>integrated conclusion</x:v>
      </x:c>
      <x:c r="H86" s="31" t="str"/>
      <x:c r="I86" s="31" t="str"/>
      <x:c r="J86" s="36" t="str">
        <x:f>IF(OR(H86="",I86=""),"",IF(H86=I86,1,0))</x:f>
      </x:c>
      <x:c r="K86" s="31" t="str"/>
      <x:c r="L86" s="28" t="str">
        <x:f>IF(K86="","OPEN",IF(J86=1,"PASS","FAIL"))</x:f>
        <x:v>OPEN</x:v>
      </x:c>
    </x:row>
    <x:row r="87">
      <x:c r="B87" s="28" t="str">
        <x:v>RP-RFP-C1-01-A</x:v>
      </x:c>
      <x:c r="C87" s="28" t="str">
        <x:v>RFP-C1</x:v>
      </x:c>
      <x:c r="D87" s="28" t="str">
        <x:v>PTC-C</x:v>
      </x:c>
      <x:c r="E87" s="28" t="str">
        <x:v>PTC-A</x:v>
      </x:c>
      <x:c r="F87" s="28" t="n">
        <x:v>1</x:v>
      </x:c>
      <x:c r="G87" s="28" t="str">
        <x:v>configuration</x:v>
      </x:c>
      <x:c r="H87" s="31" t="str"/>
      <x:c r="I87" s="31" t="str"/>
      <x:c r="J87" s="36" t="str">
        <x:f>IF(OR(H87="",I87=""),"",IF(H87=I87,1,0))</x:f>
      </x:c>
      <x:c r="K87" s="31" t="str"/>
      <x:c r="L87" s="28" t="str">
        <x:f>IF(K87="","OPEN",IF(J87=1,"PASS","FAIL"))</x:f>
        <x:v>OPEN</x:v>
      </x:c>
    </x:row>
    <x:row r="88">
      <x:c r="B88" s="28" t="str">
        <x:v>RP-RFP-C1-01-B</x:v>
      </x:c>
      <x:c r="C88" s="28" t="str">
        <x:v>RFP-C1</x:v>
      </x:c>
      <x:c r="D88" s="28" t="str">
        <x:v>PTC-C</x:v>
      </x:c>
      <x:c r="E88" s="28" t="str">
        <x:v>PTC-B</x:v>
      </x:c>
      <x:c r="F88" s="28" t="n">
        <x:v>1</x:v>
      </x:c>
      <x:c r="G88" s="28" t="str">
        <x:v>configuration</x:v>
      </x:c>
      <x:c r="H88" s="31" t="str"/>
      <x:c r="I88" s="31" t="str"/>
      <x:c r="J88" s="36" t="str">
        <x:f>IF(OR(H88="",I88=""),"",IF(H88=I88,1,0))</x:f>
      </x:c>
      <x:c r="K88" s="31" t="str"/>
      <x:c r="L88" s="28" t="str">
        <x:f>IF(K88="","OPEN",IF(J88=1,"PASS","FAIL"))</x:f>
        <x:v>OPEN</x:v>
      </x:c>
    </x:row>
    <x:row r="89">
      <x:c r="B89" s="28" t="str">
        <x:v>RP-RFP-C1-02-A</x:v>
      </x:c>
      <x:c r="C89" s="28" t="str">
        <x:v>RFP-C1</x:v>
      </x:c>
      <x:c r="D89" s="28" t="str">
        <x:v>PTC-C</x:v>
      </x:c>
      <x:c r="E89" s="28" t="str">
        <x:v>PTC-A</x:v>
      </x:c>
      <x:c r="F89" s="28" t="n">
        <x:v>2</x:v>
      </x:c>
      <x:c r="G89" s="28" t="str">
        <x:v>path actuation</x:v>
      </x:c>
      <x:c r="H89" s="31" t="str"/>
      <x:c r="I89" s="31" t="str"/>
      <x:c r="J89" s="36" t="str">
        <x:f>IF(OR(H89="",I89=""),"",IF(H89=I89,1,0))</x:f>
      </x:c>
      <x:c r="K89" s="31" t="str"/>
      <x:c r="L89" s="28" t="str">
        <x:f>IF(K89="","OPEN",IF(J89=1,"PASS","FAIL"))</x:f>
        <x:v>OPEN</x:v>
      </x:c>
    </x:row>
    <x:row r="90">
      <x:c r="B90" s="28" t="str">
        <x:v>RP-RFP-C1-02-B</x:v>
      </x:c>
      <x:c r="C90" s="28" t="str">
        <x:v>RFP-C1</x:v>
      </x:c>
      <x:c r="D90" s="28" t="str">
        <x:v>PTC-C</x:v>
      </x:c>
      <x:c r="E90" s="28" t="str">
        <x:v>PTC-B</x:v>
      </x:c>
      <x:c r="F90" s="28" t="n">
        <x:v>2</x:v>
      </x:c>
      <x:c r="G90" s="28" t="str">
        <x:v>path actuation</x:v>
      </x:c>
      <x:c r="H90" s="31" t="str"/>
      <x:c r="I90" s="31" t="str"/>
      <x:c r="J90" s="36" t="str">
        <x:f>IF(OR(H90="",I90=""),"",IF(H90=I90,1,0))</x:f>
      </x:c>
      <x:c r="K90" s="31" t="str"/>
      <x:c r="L90" s="28" t="str">
        <x:f>IF(K90="","OPEN",IF(J90=1,"PASS","FAIL"))</x:f>
        <x:v>OPEN</x:v>
      </x:c>
    </x:row>
    <x:row r="91">
      <x:c r="B91" s="28" t="str">
        <x:v>RP-RFP-C1-03-A</x:v>
      </x:c>
      <x:c r="C91" s="28" t="str">
        <x:v>RFP-C1</x:v>
      </x:c>
      <x:c r="D91" s="28" t="str">
        <x:v>PTC-C</x:v>
      </x:c>
      <x:c r="E91" s="28" t="str">
        <x:v>PTC-A</x:v>
      </x:c>
      <x:c r="F91" s="28" t="n">
        <x:v>3</x:v>
      </x:c>
      <x:c r="G91" s="28" t="str">
        <x:v>route mass</x:v>
      </x:c>
      <x:c r="H91" s="31" t="str"/>
      <x:c r="I91" s="31" t="str"/>
      <x:c r="J91" s="36" t="str">
        <x:f>IF(OR(H91="",I91=""),"",IF(H91=I91,1,0))</x:f>
      </x:c>
      <x:c r="K91" s="31" t="str"/>
      <x:c r="L91" s="28" t="str">
        <x:f>IF(K91="","OPEN",IF(J91=1,"PASS","FAIL"))</x:f>
        <x:v>OPEN</x:v>
      </x:c>
    </x:row>
    <x:row r="92">
      <x:c r="B92" s="28" t="str">
        <x:v>RP-RFP-C1-03-B</x:v>
      </x:c>
      <x:c r="C92" s="28" t="str">
        <x:v>RFP-C1</x:v>
      </x:c>
      <x:c r="D92" s="28" t="str">
        <x:v>PTC-C</x:v>
      </x:c>
      <x:c r="E92" s="28" t="str">
        <x:v>PTC-B</x:v>
      </x:c>
      <x:c r="F92" s="28" t="n">
        <x:v>3</x:v>
      </x:c>
      <x:c r="G92" s="28" t="str">
        <x:v>route mass</x:v>
      </x:c>
      <x:c r="H92" s="31" t="str"/>
      <x:c r="I92" s="31" t="str"/>
      <x:c r="J92" s="36" t="str">
        <x:f>IF(OR(H92="",I92=""),"",IF(H92=I92,1,0))</x:f>
      </x:c>
      <x:c r="K92" s="31" t="str"/>
      <x:c r="L92" s="28" t="str">
        <x:f>IF(K92="","OPEN",IF(J92=1,"PASS","FAIL"))</x:f>
        <x:v>OPEN</x:v>
      </x:c>
    </x:row>
    <x:row r="93">
      <x:c r="B93" s="28" t="str">
        <x:v>RP-RFP-C1-04-A</x:v>
      </x:c>
      <x:c r="C93" s="28" t="str">
        <x:v>RFP-C1</x:v>
      </x:c>
      <x:c r="D93" s="28" t="str">
        <x:v>PTC-C</x:v>
      </x:c>
      <x:c r="E93" s="28" t="str">
        <x:v>PTC-A</x:v>
      </x:c>
      <x:c r="F93" s="28" t="n">
        <x:v>4</x:v>
      </x:c>
      <x:c r="G93" s="28" t="str">
        <x:v>containment</x:v>
      </x:c>
      <x:c r="H93" s="31" t="str"/>
      <x:c r="I93" s="31" t="str"/>
      <x:c r="J93" s="36" t="str">
        <x:f>IF(OR(H93="",I93=""),"",IF(H93=I93,1,0))</x:f>
      </x:c>
      <x:c r="K93" s="31" t="str"/>
      <x:c r="L93" s="28" t="str">
        <x:f>IF(K93="","OPEN",IF(J93=1,"PASS","FAIL"))</x:f>
        <x:v>OPEN</x:v>
      </x:c>
    </x:row>
    <x:row r="94">
      <x:c r="B94" s="28" t="str">
        <x:v>RP-RFP-C1-04-B</x:v>
      </x:c>
      <x:c r="C94" s="28" t="str">
        <x:v>RFP-C1</x:v>
      </x:c>
      <x:c r="D94" s="28" t="str">
        <x:v>PTC-C</x:v>
      </x:c>
      <x:c r="E94" s="28" t="str">
        <x:v>PTC-B</x:v>
      </x:c>
      <x:c r="F94" s="28" t="n">
        <x:v>4</x:v>
      </x:c>
      <x:c r="G94" s="28" t="str">
        <x:v>containment</x:v>
      </x:c>
      <x:c r="H94" s="31" t="str"/>
      <x:c r="I94" s="31" t="str"/>
      <x:c r="J94" s="36" t="str">
        <x:f>IF(OR(H94="",I94=""),"",IF(H94=I94,1,0))</x:f>
      </x:c>
      <x:c r="K94" s="31" t="str"/>
      <x:c r="L94" s="28" t="str">
        <x:f>IF(K94="","OPEN",IF(J94=1,"PASS","FAIL"))</x:f>
        <x:v>OPEN</x:v>
      </x:c>
    </x:row>
    <x:row r="95">
      <x:c r="B95" s="28" t="str">
        <x:v>RP-RFP-C1-05-A</x:v>
      </x:c>
      <x:c r="C95" s="28" t="str">
        <x:v>RFP-C1</x:v>
      </x:c>
      <x:c r="D95" s="28" t="str">
        <x:v>PTC-C</x:v>
      </x:c>
      <x:c r="E95" s="28" t="str">
        <x:v>PTC-A</x:v>
      </x:c>
      <x:c r="F95" s="28" t="n">
        <x:v>5</x:v>
      </x:c>
      <x:c r="G95" s="28" t="str">
        <x:v>calibration</x:v>
      </x:c>
      <x:c r="H95" s="31" t="str"/>
      <x:c r="I95" s="31" t="str"/>
      <x:c r="J95" s="36" t="str">
        <x:f>IF(OR(H95="",I95=""),"",IF(H95=I95,1,0))</x:f>
      </x:c>
      <x:c r="K95" s="31" t="str"/>
      <x:c r="L95" s="28" t="str">
        <x:f>IF(K95="","OPEN",IF(J95=1,"PASS","FAIL"))</x:f>
        <x:v>OPEN</x:v>
      </x:c>
    </x:row>
    <x:row r="96">
      <x:c r="B96" s="28" t="str">
        <x:v>RP-RFP-C1-05-B</x:v>
      </x:c>
      <x:c r="C96" s="28" t="str">
        <x:v>RFP-C1</x:v>
      </x:c>
      <x:c r="D96" s="28" t="str">
        <x:v>PTC-C</x:v>
      </x:c>
      <x:c r="E96" s="28" t="str">
        <x:v>PTC-B</x:v>
      </x:c>
      <x:c r="F96" s="28" t="n">
        <x:v>5</x:v>
      </x:c>
      <x:c r="G96" s="28" t="str">
        <x:v>calibration</x:v>
      </x:c>
      <x:c r="H96" s="31" t="str"/>
      <x:c r="I96" s="31" t="str"/>
      <x:c r="J96" s="36" t="str">
        <x:f>IF(OR(H96="",I96=""),"",IF(H96=I96,1,0))</x:f>
      </x:c>
      <x:c r="K96" s="31" t="str"/>
      <x:c r="L96" s="28" t="str">
        <x:f>IF(K96="","OPEN",IF(J96=1,"PASS","FAIL"))</x:f>
        <x:v>OPEN</x:v>
      </x:c>
    </x:row>
    <x:row r="97">
      <x:c r="B97" s="28" t="str">
        <x:v>RP-RFP-C1-06-A</x:v>
      </x:c>
      <x:c r="C97" s="28" t="str">
        <x:v>RFP-C1</x:v>
      </x:c>
      <x:c r="D97" s="28" t="str">
        <x:v>PTC-C</x:v>
      </x:c>
      <x:c r="E97" s="28" t="str">
        <x:v>PTC-A</x:v>
      </x:c>
      <x:c r="F97" s="28" t="n">
        <x:v>6</x:v>
      </x:c>
      <x:c r="G97" s="28" t="str">
        <x:v>ancestry</x:v>
      </x:c>
      <x:c r="H97" s="31" t="str"/>
      <x:c r="I97" s="31" t="str"/>
      <x:c r="J97" s="36" t="str">
        <x:f>IF(OR(H97="",I97=""),"",IF(H97=I97,1,0))</x:f>
      </x:c>
      <x:c r="K97" s="31" t="str"/>
      <x:c r="L97" s="28" t="str">
        <x:f>IF(K97="","OPEN",IF(J97=1,"PASS","FAIL"))</x:f>
        <x:v>OPEN</x:v>
      </x:c>
    </x:row>
    <x:row r="98">
      <x:c r="B98" s="28" t="str">
        <x:v>RP-RFP-C1-06-B</x:v>
      </x:c>
      <x:c r="C98" s="28" t="str">
        <x:v>RFP-C1</x:v>
      </x:c>
      <x:c r="D98" s="28" t="str">
        <x:v>PTC-C</x:v>
      </x:c>
      <x:c r="E98" s="28" t="str">
        <x:v>PTC-B</x:v>
      </x:c>
      <x:c r="F98" s="28" t="n">
        <x:v>6</x:v>
      </x:c>
      <x:c r="G98" s="28" t="str">
        <x:v>ancestry</x:v>
      </x:c>
      <x:c r="H98" s="31" t="str"/>
      <x:c r="I98" s="31" t="str"/>
      <x:c r="J98" s="36" t="str">
        <x:f>IF(OR(H98="",I98=""),"",IF(H98=I98,1,0))</x:f>
      </x:c>
      <x:c r="K98" s="31" t="str"/>
      <x:c r="L98" s="28" t="str">
        <x:f>IF(K98="","OPEN",IF(J98=1,"PASS","FAIL"))</x:f>
        <x:v>OPEN</x:v>
      </x:c>
    </x:row>
    <x:row r="99">
      <x:c r="B99" s="28" t="str">
        <x:v>RP-RFP-C1-07-A</x:v>
      </x:c>
      <x:c r="C99" s="28" t="str">
        <x:v>RFP-C1</x:v>
      </x:c>
      <x:c r="D99" s="28" t="str">
        <x:v>PTC-C</x:v>
      </x:c>
      <x:c r="E99" s="28" t="str">
        <x:v>PTC-A</x:v>
      </x:c>
      <x:c r="F99" s="28" t="n">
        <x:v>7</x:v>
      </x:c>
      <x:c r="G99" s="28" t="str">
        <x:v>denial state</x:v>
      </x:c>
      <x:c r="H99" s="31" t="str"/>
      <x:c r="I99" s="31" t="str"/>
      <x:c r="J99" s="36" t="str">
        <x:f>IF(OR(H99="",I99=""),"",IF(H99=I99,1,0))</x:f>
      </x:c>
      <x:c r="K99" s="31" t="str"/>
      <x:c r="L99" s="28" t="str">
        <x:f>IF(K99="","OPEN",IF(J99=1,"PASS","FAIL"))</x:f>
        <x:v>OPEN</x:v>
      </x:c>
    </x:row>
    <x:row r="100">
      <x:c r="B100" s="28" t="str">
        <x:v>RP-RFP-C1-07-B</x:v>
      </x:c>
      <x:c r="C100" s="28" t="str">
        <x:v>RFP-C1</x:v>
      </x:c>
      <x:c r="D100" s="28" t="str">
        <x:v>PTC-C</x:v>
      </x:c>
      <x:c r="E100" s="28" t="str">
        <x:v>PTC-B</x:v>
      </x:c>
      <x:c r="F100" s="28" t="n">
        <x:v>7</x:v>
      </x:c>
      <x:c r="G100" s="28" t="str">
        <x:v>denial state</x:v>
      </x:c>
      <x:c r="H100" s="31" t="str"/>
      <x:c r="I100" s="31" t="str"/>
      <x:c r="J100" s="36" t="str">
        <x:f>IF(OR(H100="",I100=""),"",IF(H100=I100,1,0))</x:f>
      </x:c>
      <x:c r="K100" s="31" t="str"/>
      <x:c r="L100" s="28" t="str">
        <x:f>IF(K100="","OPEN",IF(J100=1,"PASS","FAIL"))</x:f>
        <x:v>OPEN</x:v>
      </x:c>
    </x:row>
    <x:row r="101">
      <x:c r="B101" s="28" t="str">
        <x:v>RP-RFP-C1-08-A</x:v>
      </x:c>
      <x:c r="C101" s="28" t="str">
        <x:v>RFP-C1</x:v>
      </x:c>
      <x:c r="D101" s="28" t="str">
        <x:v>PTC-C</x:v>
      </x:c>
      <x:c r="E101" s="28" t="str">
        <x:v>PTC-A</x:v>
      </x:c>
      <x:c r="F101" s="28" t="n">
        <x:v>8</x:v>
      </x:c>
      <x:c r="G101" s="28" t="str">
        <x:v>samples</x:v>
      </x:c>
      <x:c r="H101" s="31" t="str"/>
      <x:c r="I101" s="31" t="str"/>
      <x:c r="J101" s="36" t="str">
        <x:f>IF(OR(H101="",I101=""),"",IF(H101=I101,1,0))</x:f>
      </x:c>
      <x:c r="K101" s="31" t="str"/>
      <x:c r="L101" s="28" t="str">
        <x:f>IF(K101="","OPEN",IF(J101=1,"PASS","FAIL"))</x:f>
        <x:v>OPEN</x:v>
      </x:c>
    </x:row>
    <x:row r="102">
      <x:c r="B102" s="28" t="str">
        <x:v>RP-RFP-C1-08-B</x:v>
      </x:c>
      <x:c r="C102" s="28" t="str">
        <x:v>RFP-C1</x:v>
      </x:c>
      <x:c r="D102" s="28" t="str">
        <x:v>PTC-C</x:v>
      </x:c>
      <x:c r="E102" s="28" t="str">
        <x:v>PTC-B</x:v>
      </x:c>
      <x:c r="F102" s="28" t="n">
        <x:v>8</x:v>
      </x:c>
      <x:c r="G102" s="28" t="str">
        <x:v>samples</x:v>
      </x:c>
      <x:c r="H102" s="31" t="str"/>
      <x:c r="I102" s="31" t="str"/>
      <x:c r="J102" s="36" t="str">
        <x:f>IF(OR(H102="",I102=""),"",IF(H102=I102,1,0))</x:f>
      </x:c>
      <x:c r="K102" s="31" t="str"/>
      <x:c r="L102" s="28" t="str">
        <x:f>IF(K102="","OPEN",IF(J102=1,"PASS","FAIL"))</x:f>
        <x:v>OPEN</x:v>
      </x:c>
    </x:row>
    <x:row r="103">
      <x:c r="B103" s="28" t="str">
        <x:v>RP-RFP-C1-09-A</x:v>
      </x:c>
      <x:c r="C103" s="28" t="str">
        <x:v>RFP-C1</x:v>
      </x:c>
      <x:c r="D103" s="28" t="str">
        <x:v>PTC-C</x:v>
      </x:c>
      <x:c r="E103" s="28" t="str">
        <x:v>PTC-A</x:v>
      </x:c>
      <x:c r="F103" s="28" t="n">
        <x:v>9</x:v>
      </x:c>
      <x:c r="G103" s="28" t="str">
        <x:v>native time</x:v>
      </x:c>
      <x:c r="H103" s="31" t="str"/>
      <x:c r="I103" s="31" t="str"/>
      <x:c r="J103" s="36" t="str">
        <x:f>IF(OR(H103="",I103=""),"",IF(H103=I103,1,0))</x:f>
      </x:c>
      <x:c r="K103" s="31" t="str"/>
      <x:c r="L103" s="28" t="str">
        <x:f>IF(K103="","OPEN",IF(J103=1,"PASS","FAIL"))</x:f>
        <x:v>OPEN</x:v>
      </x:c>
    </x:row>
    <x:row r="104">
      <x:c r="B104" s="28" t="str">
        <x:v>RP-RFP-C1-09-B</x:v>
      </x:c>
      <x:c r="C104" s="28" t="str">
        <x:v>RFP-C1</x:v>
      </x:c>
      <x:c r="D104" s="28" t="str">
        <x:v>PTC-C</x:v>
      </x:c>
      <x:c r="E104" s="28" t="str">
        <x:v>PTC-B</x:v>
      </x:c>
      <x:c r="F104" s="28" t="n">
        <x:v>9</x:v>
      </x:c>
      <x:c r="G104" s="28" t="str">
        <x:v>native time</x:v>
      </x:c>
      <x:c r="H104" s="31" t="str"/>
      <x:c r="I104" s="31" t="str"/>
      <x:c r="J104" s="36" t="str">
        <x:f>IF(OR(H104="",I104=""),"",IF(H104=I104,1,0))</x:f>
      </x:c>
      <x:c r="K104" s="31" t="str"/>
      <x:c r="L104" s="28" t="str">
        <x:f>IF(K104="","OPEN",IF(J104=1,"PASS","FAIL"))</x:f>
        <x:v>OPEN</x:v>
      </x:c>
    </x:row>
    <x:row r="105">
      <x:c r="B105" s="28" t="str">
        <x:v>RP-RFP-C1-10-A</x:v>
      </x:c>
      <x:c r="C105" s="28" t="str">
        <x:v>RFP-C1</x:v>
      </x:c>
      <x:c r="D105" s="28" t="str">
        <x:v>PTC-C</x:v>
      </x:c>
      <x:c r="E105" s="28" t="str">
        <x:v>PTC-A</x:v>
      </x:c>
      <x:c r="F105" s="28" t="n">
        <x:v>10</x:v>
      </x:c>
      <x:c r="G105" s="28" t="str">
        <x:v>integrated conclusion</x:v>
      </x:c>
      <x:c r="H105" s="31" t="str"/>
      <x:c r="I105" s="31" t="str"/>
      <x:c r="J105" s="36" t="str">
        <x:f>IF(OR(H105="",I105=""),"",IF(H105=I105,1,0))</x:f>
      </x:c>
      <x:c r="K105" s="31" t="str"/>
      <x:c r="L105" s="28" t="str">
        <x:f>IF(K105="","OPEN",IF(J105=1,"PASS","FAIL"))</x:f>
        <x:v>OPEN</x:v>
      </x:c>
    </x:row>
    <x:row r="106">
      <x:c r="B106" s="28" t="str">
        <x:v>RP-RFP-C1-10-B</x:v>
      </x:c>
      <x:c r="C106" s="28" t="str">
        <x:v>RFP-C1</x:v>
      </x:c>
      <x:c r="D106" s="28" t="str">
        <x:v>PTC-C</x:v>
      </x:c>
      <x:c r="E106" s="28" t="str">
        <x:v>PTC-B</x:v>
      </x:c>
      <x:c r="F106" s="28" t="n">
        <x:v>10</x:v>
      </x:c>
      <x:c r="G106" s="28" t="str">
        <x:v>integrated conclusion</x:v>
      </x:c>
      <x:c r="H106" s="31" t="str"/>
      <x:c r="I106" s="31" t="str"/>
      <x:c r="J106" s="36" t="str">
        <x:f>IF(OR(H106="",I106=""),"",IF(H106=I106,1,0))</x:f>
      </x:c>
      <x:c r="K106" s="31" t="str"/>
      <x:c r="L106" s="28" t="str">
        <x:f>IF(K106="","OPEN",IF(J106=1,"PASS","FAIL"))</x:f>
        <x:v>OPEN</x:v>
      </x:c>
    </x:row>
    <x:row r="107">
      <x:c r="B107" s="28" t="str">
        <x:v>RP-RFP-C2-01-A</x:v>
      </x:c>
      <x:c r="C107" s="28" t="str">
        <x:v>RFP-C2</x:v>
      </x:c>
      <x:c r="D107" s="28" t="str">
        <x:v>PTC-C</x:v>
      </x:c>
      <x:c r="E107" s="28" t="str">
        <x:v>PTC-A</x:v>
      </x:c>
      <x:c r="F107" s="28" t="n">
        <x:v>1</x:v>
      </x:c>
      <x:c r="G107" s="28" t="str">
        <x:v>configuration</x:v>
      </x:c>
      <x:c r="H107" s="31" t="str"/>
      <x:c r="I107" s="31" t="str"/>
      <x:c r="J107" s="36" t="str">
        <x:f>IF(OR(H107="",I107=""),"",IF(H107=I107,1,0))</x:f>
      </x:c>
      <x:c r="K107" s="31" t="str"/>
      <x:c r="L107" s="28" t="str">
        <x:f>IF(K107="","OPEN",IF(J107=1,"PASS","FAIL"))</x:f>
        <x:v>OPEN</x:v>
      </x:c>
    </x:row>
    <x:row r="108">
      <x:c r="B108" s="28" t="str">
        <x:v>RP-RFP-C2-01-B</x:v>
      </x:c>
      <x:c r="C108" s="28" t="str">
        <x:v>RFP-C2</x:v>
      </x:c>
      <x:c r="D108" s="28" t="str">
        <x:v>PTC-C</x:v>
      </x:c>
      <x:c r="E108" s="28" t="str">
        <x:v>PTC-B</x:v>
      </x:c>
      <x:c r="F108" s="28" t="n">
        <x:v>1</x:v>
      </x:c>
      <x:c r="G108" s="28" t="str">
        <x:v>configuration</x:v>
      </x:c>
      <x:c r="H108" s="31" t="str"/>
      <x:c r="I108" s="31" t="str"/>
      <x:c r="J108" s="36" t="str">
        <x:f>IF(OR(H108="",I108=""),"",IF(H108=I108,1,0))</x:f>
      </x:c>
      <x:c r="K108" s="31" t="str"/>
      <x:c r="L108" s="28" t="str">
        <x:f>IF(K108="","OPEN",IF(J108=1,"PASS","FAIL"))</x:f>
        <x:v>OPEN</x:v>
      </x:c>
    </x:row>
    <x:row r="109">
      <x:c r="B109" s="28" t="str">
        <x:v>RP-RFP-C2-02-A</x:v>
      </x:c>
      <x:c r="C109" s="28" t="str">
        <x:v>RFP-C2</x:v>
      </x:c>
      <x:c r="D109" s="28" t="str">
        <x:v>PTC-C</x:v>
      </x:c>
      <x:c r="E109" s="28" t="str">
        <x:v>PTC-A</x:v>
      </x:c>
      <x:c r="F109" s="28" t="n">
        <x:v>2</x:v>
      </x:c>
      <x:c r="G109" s="28" t="str">
        <x:v>path actuation</x:v>
      </x:c>
      <x:c r="H109" s="31" t="str"/>
      <x:c r="I109" s="31" t="str"/>
      <x:c r="J109" s="36" t="str">
        <x:f>IF(OR(H109="",I109=""),"",IF(H109=I109,1,0))</x:f>
      </x:c>
      <x:c r="K109" s="31" t="str"/>
      <x:c r="L109" s="28" t="str">
        <x:f>IF(K109="","OPEN",IF(J109=1,"PASS","FAIL"))</x:f>
        <x:v>OPEN</x:v>
      </x:c>
    </x:row>
    <x:row r="110">
      <x:c r="B110" s="28" t="str">
        <x:v>RP-RFP-C2-02-B</x:v>
      </x:c>
      <x:c r="C110" s="28" t="str">
        <x:v>RFP-C2</x:v>
      </x:c>
      <x:c r="D110" s="28" t="str">
        <x:v>PTC-C</x:v>
      </x:c>
      <x:c r="E110" s="28" t="str">
        <x:v>PTC-B</x:v>
      </x:c>
      <x:c r="F110" s="28" t="n">
        <x:v>2</x:v>
      </x:c>
      <x:c r="G110" s="28" t="str">
        <x:v>path actuation</x:v>
      </x:c>
      <x:c r="H110" s="31" t="str"/>
      <x:c r="I110" s="31" t="str"/>
      <x:c r="J110" s="36" t="str">
        <x:f>IF(OR(H110="",I110=""),"",IF(H110=I110,1,0))</x:f>
      </x:c>
      <x:c r="K110" s="31" t="str"/>
      <x:c r="L110" s="28" t="str">
        <x:f>IF(K110="","OPEN",IF(J110=1,"PASS","FAIL"))</x:f>
        <x:v>OPEN</x:v>
      </x:c>
    </x:row>
    <x:row r="111">
      <x:c r="B111" s="28" t="str">
        <x:v>RP-RFP-C2-03-A</x:v>
      </x:c>
      <x:c r="C111" s="28" t="str">
        <x:v>RFP-C2</x:v>
      </x:c>
      <x:c r="D111" s="28" t="str">
        <x:v>PTC-C</x:v>
      </x:c>
      <x:c r="E111" s="28" t="str">
        <x:v>PTC-A</x:v>
      </x:c>
      <x:c r="F111" s="28" t="n">
        <x:v>3</x:v>
      </x:c>
      <x:c r="G111" s="28" t="str">
        <x:v>route mass</x:v>
      </x:c>
      <x:c r="H111" s="31" t="str"/>
      <x:c r="I111" s="31" t="str"/>
      <x:c r="J111" s="36" t="str">
        <x:f>IF(OR(H111="",I111=""),"",IF(H111=I111,1,0))</x:f>
      </x:c>
      <x:c r="K111" s="31" t="str"/>
      <x:c r="L111" s="28" t="str">
        <x:f>IF(K111="","OPEN",IF(J111=1,"PASS","FAIL"))</x:f>
        <x:v>OPEN</x:v>
      </x:c>
    </x:row>
    <x:row r="112">
      <x:c r="B112" s="28" t="str">
        <x:v>RP-RFP-C2-03-B</x:v>
      </x:c>
      <x:c r="C112" s="28" t="str">
        <x:v>RFP-C2</x:v>
      </x:c>
      <x:c r="D112" s="28" t="str">
        <x:v>PTC-C</x:v>
      </x:c>
      <x:c r="E112" s="28" t="str">
        <x:v>PTC-B</x:v>
      </x:c>
      <x:c r="F112" s="28" t="n">
        <x:v>3</x:v>
      </x:c>
      <x:c r="G112" s="28" t="str">
        <x:v>route mass</x:v>
      </x:c>
      <x:c r="H112" s="31" t="str"/>
      <x:c r="I112" s="31" t="str"/>
      <x:c r="J112" s="36" t="str">
        <x:f>IF(OR(H112="",I112=""),"",IF(H112=I112,1,0))</x:f>
      </x:c>
      <x:c r="K112" s="31" t="str"/>
      <x:c r="L112" s="28" t="str">
        <x:f>IF(K112="","OPEN",IF(J112=1,"PASS","FAIL"))</x:f>
        <x:v>OPEN</x:v>
      </x:c>
    </x:row>
    <x:row r="113">
      <x:c r="B113" s="28" t="str">
        <x:v>RP-RFP-C2-04-A</x:v>
      </x:c>
      <x:c r="C113" s="28" t="str">
        <x:v>RFP-C2</x:v>
      </x:c>
      <x:c r="D113" s="28" t="str">
        <x:v>PTC-C</x:v>
      </x:c>
      <x:c r="E113" s="28" t="str">
        <x:v>PTC-A</x:v>
      </x:c>
      <x:c r="F113" s="28" t="n">
        <x:v>4</x:v>
      </x:c>
      <x:c r="G113" s="28" t="str">
        <x:v>containment</x:v>
      </x:c>
      <x:c r="H113" s="31" t="str"/>
      <x:c r="I113" s="31" t="str"/>
      <x:c r="J113" s="36" t="str">
        <x:f>IF(OR(H113="",I113=""),"",IF(H113=I113,1,0))</x:f>
      </x:c>
      <x:c r="K113" s="31" t="str"/>
      <x:c r="L113" s="28" t="str">
        <x:f>IF(K113="","OPEN",IF(J113=1,"PASS","FAIL"))</x:f>
        <x:v>OPEN</x:v>
      </x:c>
    </x:row>
    <x:row r="114">
      <x:c r="B114" s="28" t="str">
        <x:v>RP-RFP-C2-04-B</x:v>
      </x:c>
      <x:c r="C114" s="28" t="str">
        <x:v>RFP-C2</x:v>
      </x:c>
      <x:c r="D114" s="28" t="str">
        <x:v>PTC-C</x:v>
      </x:c>
      <x:c r="E114" s="28" t="str">
        <x:v>PTC-B</x:v>
      </x:c>
      <x:c r="F114" s="28" t="n">
        <x:v>4</x:v>
      </x:c>
      <x:c r="G114" s="28" t="str">
        <x:v>containment</x:v>
      </x:c>
      <x:c r="H114" s="31" t="str"/>
      <x:c r="I114" s="31" t="str"/>
      <x:c r="J114" s="36" t="str">
        <x:f>IF(OR(H114="",I114=""),"",IF(H114=I114,1,0))</x:f>
      </x:c>
      <x:c r="K114" s="31" t="str"/>
      <x:c r="L114" s="28" t="str">
        <x:f>IF(K114="","OPEN",IF(J114=1,"PASS","FAIL"))</x:f>
        <x:v>OPEN</x:v>
      </x:c>
    </x:row>
    <x:row r="115">
      <x:c r="B115" s="28" t="str">
        <x:v>RP-RFP-C2-05-A</x:v>
      </x:c>
      <x:c r="C115" s="28" t="str">
        <x:v>RFP-C2</x:v>
      </x:c>
      <x:c r="D115" s="28" t="str">
        <x:v>PTC-C</x:v>
      </x:c>
      <x:c r="E115" s="28" t="str">
        <x:v>PTC-A</x:v>
      </x:c>
      <x:c r="F115" s="28" t="n">
        <x:v>5</x:v>
      </x:c>
      <x:c r="G115" s="28" t="str">
        <x:v>calibration</x:v>
      </x:c>
      <x:c r="H115" s="31" t="str"/>
      <x:c r="I115" s="31" t="str"/>
      <x:c r="J115" s="36" t="str">
        <x:f>IF(OR(H115="",I115=""),"",IF(H115=I115,1,0))</x:f>
      </x:c>
      <x:c r="K115" s="31" t="str"/>
      <x:c r="L115" s="28" t="str">
        <x:f>IF(K115="","OPEN",IF(J115=1,"PASS","FAIL"))</x:f>
        <x:v>OPEN</x:v>
      </x:c>
    </x:row>
    <x:row r="116">
      <x:c r="B116" s="28" t="str">
        <x:v>RP-RFP-C2-05-B</x:v>
      </x:c>
      <x:c r="C116" s="28" t="str">
        <x:v>RFP-C2</x:v>
      </x:c>
      <x:c r="D116" s="28" t="str">
        <x:v>PTC-C</x:v>
      </x:c>
      <x:c r="E116" s="28" t="str">
        <x:v>PTC-B</x:v>
      </x:c>
      <x:c r="F116" s="28" t="n">
        <x:v>5</x:v>
      </x:c>
      <x:c r="G116" s="28" t="str">
        <x:v>calibration</x:v>
      </x:c>
      <x:c r="H116" s="31" t="str"/>
      <x:c r="I116" s="31" t="str"/>
      <x:c r="J116" s="36" t="str">
        <x:f>IF(OR(H116="",I116=""),"",IF(H116=I116,1,0))</x:f>
      </x:c>
      <x:c r="K116" s="31" t="str"/>
      <x:c r="L116" s="28" t="str">
        <x:f>IF(K116="","OPEN",IF(J116=1,"PASS","FAIL"))</x:f>
        <x:v>OPEN</x:v>
      </x:c>
    </x:row>
    <x:row r="117">
      <x:c r="B117" s="28" t="str">
        <x:v>RP-RFP-C2-06-A</x:v>
      </x:c>
      <x:c r="C117" s="28" t="str">
        <x:v>RFP-C2</x:v>
      </x:c>
      <x:c r="D117" s="28" t="str">
        <x:v>PTC-C</x:v>
      </x:c>
      <x:c r="E117" s="28" t="str">
        <x:v>PTC-A</x:v>
      </x:c>
      <x:c r="F117" s="28" t="n">
        <x:v>6</x:v>
      </x:c>
      <x:c r="G117" s="28" t="str">
        <x:v>ancestry</x:v>
      </x:c>
      <x:c r="H117" s="31" t="str"/>
      <x:c r="I117" s="31" t="str"/>
      <x:c r="J117" s="36" t="str">
        <x:f>IF(OR(H117="",I117=""),"",IF(H117=I117,1,0))</x:f>
      </x:c>
      <x:c r="K117" s="31" t="str"/>
      <x:c r="L117" s="28" t="str">
        <x:f>IF(K117="","OPEN",IF(J117=1,"PASS","FAIL"))</x:f>
        <x:v>OPEN</x:v>
      </x:c>
    </x:row>
    <x:row r="118">
      <x:c r="B118" s="28" t="str">
        <x:v>RP-RFP-C2-06-B</x:v>
      </x:c>
      <x:c r="C118" s="28" t="str">
        <x:v>RFP-C2</x:v>
      </x:c>
      <x:c r="D118" s="28" t="str">
        <x:v>PTC-C</x:v>
      </x:c>
      <x:c r="E118" s="28" t="str">
        <x:v>PTC-B</x:v>
      </x:c>
      <x:c r="F118" s="28" t="n">
        <x:v>6</x:v>
      </x:c>
      <x:c r="G118" s="28" t="str">
        <x:v>ancestry</x:v>
      </x:c>
      <x:c r="H118" s="31" t="str"/>
      <x:c r="I118" s="31" t="str"/>
      <x:c r="J118" s="36" t="str">
        <x:f>IF(OR(H118="",I118=""),"",IF(H118=I118,1,0))</x:f>
      </x:c>
      <x:c r="K118" s="31" t="str"/>
      <x:c r="L118" s="28" t="str">
        <x:f>IF(K118="","OPEN",IF(J118=1,"PASS","FAIL"))</x:f>
        <x:v>OPEN</x:v>
      </x:c>
    </x:row>
    <x:row r="119">
      <x:c r="B119" s="28" t="str">
        <x:v>RP-RFP-C2-07-A</x:v>
      </x:c>
      <x:c r="C119" s="28" t="str">
        <x:v>RFP-C2</x:v>
      </x:c>
      <x:c r="D119" s="28" t="str">
        <x:v>PTC-C</x:v>
      </x:c>
      <x:c r="E119" s="28" t="str">
        <x:v>PTC-A</x:v>
      </x:c>
      <x:c r="F119" s="28" t="n">
        <x:v>7</x:v>
      </x:c>
      <x:c r="G119" s="28" t="str">
        <x:v>denial state</x:v>
      </x:c>
      <x:c r="H119" s="31" t="str"/>
      <x:c r="I119" s="31" t="str"/>
      <x:c r="J119" s="36" t="str">
        <x:f>IF(OR(H119="",I119=""),"",IF(H119=I119,1,0))</x:f>
      </x:c>
      <x:c r="K119" s="31" t="str"/>
      <x:c r="L119" s="28" t="str">
        <x:f>IF(K119="","OPEN",IF(J119=1,"PASS","FAIL"))</x:f>
        <x:v>OPEN</x:v>
      </x:c>
    </x:row>
    <x:row r="120">
      <x:c r="B120" s="28" t="str">
        <x:v>RP-RFP-C2-07-B</x:v>
      </x:c>
      <x:c r="C120" s="28" t="str">
        <x:v>RFP-C2</x:v>
      </x:c>
      <x:c r="D120" s="28" t="str">
        <x:v>PTC-C</x:v>
      </x:c>
      <x:c r="E120" s="28" t="str">
        <x:v>PTC-B</x:v>
      </x:c>
      <x:c r="F120" s="28" t="n">
        <x:v>7</x:v>
      </x:c>
      <x:c r="G120" s="28" t="str">
        <x:v>denial state</x:v>
      </x:c>
      <x:c r="H120" s="31" t="str"/>
      <x:c r="I120" s="31" t="str"/>
      <x:c r="J120" s="36" t="str">
        <x:f>IF(OR(H120="",I120=""),"",IF(H120=I120,1,0))</x:f>
      </x:c>
      <x:c r="K120" s="31" t="str"/>
      <x:c r="L120" s="28" t="str">
        <x:f>IF(K120="","OPEN",IF(J120=1,"PASS","FAIL"))</x:f>
        <x:v>OPEN</x:v>
      </x:c>
    </x:row>
    <x:row r="121">
      <x:c r="B121" s="28" t="str">
        <x:v>RP-RFP-C2-08-A</x:v>
      </x:c>
      <x:c r="C121" s="28" t="str">
        <x:v>RFP-C2</x:v>
      </x:c>
      <x:c r="D121" s="28" t="str">
        <x:v>PTC-C</x:v>
      </x:c>
      <x:c r="E121" s="28" t="str">
        <x:v>PTC-A</x:v>
      </x:c>
      <x:c r="F121" s="28" t="n">
        <x:v>8</x:v>
      </x:c>
      <x:c r="G121" s="28" t="str">
        <x:v>samples</x:v>
      </x:c>
      <x:c r="H121" s="31" t="str"/>
      <x:c r="I121" s="31" t="str"/>
      <x:c r="J121" s="36" t="str">
        <x:f>IF(OR(H121="",I121=""),"",IF(H121=I121,1,0))</x:f>
      </x:c>
      <x:c r="K121" s="31" t="str"/>
      <x:c r="L121" s="28" t="str">
        <x:f>IF(K121="","OPEN",IF(J121=1,"PASS","FAIL"))</x:f>
        <x:v>OPEN</x:v>
      </x:c>
    </x:row>
    <x:row r="122">
      <x:c r="B122" s="28" t="str">
        <x:v>RP-RFP-C2-08-B</x:v>
      </x:c>
      <x:c r="C122" s="28" t="str">
        <x:v>RFP-C2</x:v>
      </x:c>
      <x:c r="D122" s="28" t="str">
        <x:v>PTC-C</x:v>
      </x:c>
      <x:c r="E122" s="28" t="str">
        <x:v>PTC-B</x:v>
      </x:c>
      <x:c r="F122" s="28" t="n">
        <x:v>8</x:v>
      </x:c>
      <x:c r="G122" s="28" t="str">
        <x:v>samples</x:v>
      </x:c>
      <x:c r="H122" s="31" t="str"/>
      <x:c r="I122" s="31" t="str"/>
      <x:c r="J122" s="36" t="str">
        <x:f>IF(OR(H122="",I122=""),"",IF(H122=I122,1,0))</x:f>
      </x:c>
      <x:c r="K122" s="31" t="str"/>
      <x:c r="L122" s="28" t="str">
        <x:f>IF(K122="","OPEN",IF(J122=1,"PASS","FAIL"))</x:f>
        <x:v>OPEN</x:v>
      </x:c>
    </x:row>
    <x:row r="123">
      <x:c r="B123" s="28" t="str">
        <x:v>RP-RFP-C2-09-A</x:v>
      </x:c>
      <x:c r="C123" s="28" t="str">
        <x:v>RFP-C2</x:v>
      </x:c>
      <x:c r="D123" s="28" t="str">
        <x:v>PTC-C</x:v>
      </x:c>
      <x:c r="E123" s="28" t="str">
        <x:v>PTC-A</x:v>
      </x:c>
      <x:c r="F123" s="28" t="n">
        <x:v>9</x:v>
      </x:c>
      <x:c r="G123" s="28" t="str">
        <x:v>native time</x:v>
      </x:c>
      <x:c r="H123" s="31" t="str"/>
      <x:c r="I123" s="31" t="str"/>
      <x:c r="J123" s="36" t="str">
        <x:f>IF(OR(H123="",I123=""),"",IF(H123=I123,1,0))</x:f>
      </x:c>
      <x:c r="K123" s="31" t="str"/>
      <x:c r="L123" s="28" t="str">
        <x:f>IF(K123="","OPEN",IF(J123=1,"PASS","FAIL"))</x:f>
        <x:v>OPEN</x:v>
      </x:c>
    </x:row>
    <x:row r="124">
      <x:c r="B124" s="28" t="str">
        <x:v>RP-RFP-C2-09-B</x:v>
      </x:c>
      <x:c r="C124" s="28" t="str">
        <x:v>RFP-C2</x:v>
      </x:c>
      <x:c r="D124" s="28" t="str">
        <x:v>PTC-C</x:v>
      </x:c>
      <x:c r="E124" s="28" t="str">
        <x:v>PTC-B</x:v>
      </x:c>
      <x:c r="F124" s="28" t="n">
        <x:v>9</x:v>
      </x:c>
      <x:c r="G124" s="28" t="str">
        <x:v>native time</x:v>
      </x:c>
      <x:c r="H124" s="31" t="str"/>
      <x:c r="I124" s="31" t="str"/>
      <x:c r="J124" s="36" t="str">
        <x:f>IF(OR(H124="",I124=""),"",IF(H124=I124,1,0))</x:f>
      </x:c>
      <x:c r="K124" s="31" t="str"/>
      <x:c r="L124" s="28" t="str">
        <x:f>IF(K124="","OPEN",IF(J124=1,"PASS","FAIL"))</x:f>
        <x:v>OPEN</x:v>
      </x:c>
    </x:row>
    <x:row r="125">
      <x:c r="B125" s="28" t="str">
        <x:v>RP-RFP-C2-10-A</x:v>
      </x:c>
      <x:c r="C125" s="28" t="str">
        <x:v>RFP-C2</x:v>
      </x:c>
      <x:c r="D125" s="28" t="str">
        <x:v>PTC-C</x:v>
      </x:c>
      <x:c r="E125" s="28" t="str">
        <x:v>PTC-A</x:v>
      </x:c>
      <x:c r="F125" s="28" t="n">
        <x:v>10</x:v>
      </x:c>
      <x:c r="G125" s="28" t="str">
        <x:v>integrated conclusion</x:v>
      </x:c>
      <x:c r="H125" s="31" t="str"/>
      <x:c r="I125" s="31" t="str"/>
      <x:c r="J125" s="36" t="str">
        <x:f>IF(OR(H125="",I125=""),"",IF(H125=I125,1,0))</x:f>
      </x:c>
      <x:c r="K125" s="31" t="str"/>
      <x:c r="L125" s="28" t="str">
        <x:f>IF(K125="","OPEN",IF(J125=1,"PASS","FAIL"))</x:f>
        <x:v>OPEN</x:v>
      </x:c>
    </x:row>
    <x:row r="126">
      <x:c r="B126" s="28" t="str">
        <x:v>RP-RFP-C2-10-B</x:v>
      </x:c>
      <x:c r="C126" s="28" t="str">
        <x:v>RFP-C2</x:v>
      </x:c>
      <x:c r="D126" s="28" t="str">
        <x:v>PTC-C</x:v>
      </x:c>
      <x:c r="E126" s="28" t="str">
        <x:v>PTC-B</x:v>
      </x:c>
      <x:c r="F126" s="28" t="n">
        <x:v>10</x:v>
      </x:c>
      <x:c r="G126" s="28" t="str">
        <x:v>integrated conclusion</x:v>
      </x:c>
      <x:c r="H126" s="31" t="str"/>
      <x:c r="I126" s="31" t="str"/>
      <x:c r="J126" s="36" t="str">
        <x:f>IF(OR(H126="",I126=""),"",IF(H126=I126,1,0))</x:f>
      </x:c>
      <x:c r="K126" s="31" t="str"/>
      <x:c r="L126" s="28" t="str">
        <x:f>IF(K126="","OPEN",IF(J126=1,"PASS","FAIL"))</x:f>
        <x:v>OPEN</x:v>
      </x:c>
    </x:row>
  </x:sheetData>
  <x:conditionalFormatting sqref="L7:L126">
    <x:cfRule type="containsText" dxfId="126" priority="1" operator="containsText" text="FAIL"/>
    <x:cfRule type="containsText" dxfId="127" priority="2" operator="containsText" text="BLOCKED"/>
    <x:cfRule type="containsText" dxfId="128" priority="3" operator="containsText" text="EXPIRED"/>
    <x:cfRule type="containsText" dxfId="129" priority="4" operator="containsText" text="OPEN"/>
    <x:cfRule type="containsText" dxfId="130" priority="5" operator="containsText" text="DORMANT"/>
    <x:cfRule type="containsText" dxfId="131" priority="6" operator="containsText" text="PASS"/>
  </x:conditionalFormatting>
  <x:pageMargins left="0.7" right="0.7" top="0.75" bottom="0.75" header="0.3" footer="0.3"/>
</x:worksheet>
</file>

<file path=xl/worksheets/sheet29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6" hidden="0" customWidth="1"/>
    <x:col min="3" max="3" width="16" hidden="0" customWidth="1"/>
    <x:col min="4" max="4" width="14" hidden="0" customWidth="1"/>
    <x:col min="5" max="5" width="20" hidden="0" customWidth="1"/>
    <x:col min="6" max="6" width="43" hidden="0" customWidth="1"/>
    <x:col min="7" max="7" width="29" hidden="0" customWidth="1"/>
    <x:col min="8" max="8" width="27" hidden="0" customWidth="1"/>
    <x:col min="9" max="9" width="34" hidden="0" customWidth="1"/>
    <x:col min="10" max="10" width="21" hidden="0" customWidth="1"/>
    <x:col min="11" max="11" width="14" hidden="0" customWidth="1"/>
  </x:cols>
  <x:sheetData>
    <x:row r="2">
      <x:c r="B2" s="25" t="str">
        <x:v>Seventy-two reserved exception records</x:v>
      </x:c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B3" s="27" t="str">
        <x:v>An exception remains in the readiness history. Closure requires disposition, evidence and any affected-domain regression.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</x:row>
    <x:row r="6" ht="24" customHeight="1">
      <x:c r="B6" s="6" t="str">
        <x:v>Exception</x:v>
      </x:c>
      <x:c r="C6" s="6" t="str">
        <x:v>Pair</x:v>
      </x:c>
      <x:c r="D6" s="6" t="str">
        <x:v>Rig</x:v>
      </x:c>
      <x:c r="E6" s="6" t="str">
        <x:v>Class</x:v>
      </x:c>
      <x:c r="F6" s="6" t="str">
        <x:v>Description</x:v>
      </x:c>
      <x:c r="G6" s="6" t="str">
        <x:v>Disposition</x:v>
      </x:c>
      <x:c r="H6" s="6" t="str">
        <x:v>Regression identity</x:v>
      </x:c>
      <x:c r="I6" s="6" t="str">
        <x:v>Evidence root</x:v>
      </x:c>
      <x:c r="J6" s="6" t="str">
        <x:v>Closed UTC</x:v>
      </x:c>
      <x:c r="K6" s="6" t="str">
        <x:v>State</x:v>
      </x:c>
    </x:row>
    <x:row r="7">
      <x:c r="B7" s="28" t="str">
        <x:v>EX-PAIR-A1-01</x:v>
      </x:c>
      <x:c r="C7" s="28" t="str">
        <x:v>PAIR-A1</x:v>
      </x:c>
      <x:c r="D7" s="28" t="str">
        <x:v>RFP-A1</x:v>
      </x:c>
      <x:c r="E7" s="28" t="str">
        <x:v>TRANSPORT</x:v>
      </x:c>
      <x:c r="F7" s="31" t="str"/>
      <x:c r="G7" s="31" t="str"/>
      <x:c r="H7" s="31" t="str"/>
      <x:c r="I7" s="31" t="str"/>
      <x:c r="J7" s="31" t="str"/>
      <x:c r="K7" s="28" t="str">
        <x:f>IF(F7="","DORMANT",IF(J7="","OPEN",IF(OR(G7="",H7="",I7=""),"FAIL","PASS")))</x:f>
        <x:v>DORMANT</x:v>
      </x:c>
    </x:row>
    <x:row r="8">
      <x:c r="B8" s="28" t="str">
        <x:v>EX-PAIR-A1-02</x:v>
      </x:c>
      <x:c r="C8" s="28" t="str">
        <x:v>PAIR-A1</x:v>
      </x:c>
      <x:c r="D8" s="28" t="str">
        <x:v>RFP-A1</x:v>
      </x:c>
      <x:c r="E8" s="28" t="str">
        <x:v>CONFIGURATION</x:v>
      </x:c>
      <x:c r="F8" s="31" t="str"/>
      <x:c r="G8" s="31" t="str"/>
      <x:c r="H8" s="31" t="str"/>
      <x:c r="I8" s="31" t="str"/>
      <x:c r="J8" s="31" t="str"/>
      <x:c r="K8" s="28" t="str">
        <x:f>IF(F8="","DORMANT",IF(J8="","OPEN",IF(OR(G8="",H8="",I8=""),"FAIL","PASS")))</x:f>
        <x:v>DORMANT</x:v>
      </x:c>
    </x:row>
    <x:row r="9">
      <x:c r="B9" s="28" t="str">
        <x:v>EX-PAIR-A1-03</x:v>
      </x:c>
      <x:c r="C9" s="28" t="str">
        <x:v>PAIR-A1</x:v>
      </x:c>
      <x:c r="D9" s="28" t="str">
        <x:v>RFP-A1</x:v>
      </x:c>
      <x:c r="E9" s="28" t="str">
        <x:v>INTERFACE</x:v>
      </x:c>
      <x:c r="F9" s="31" t="str"/>
      <x:c r="G9" s="31" t="str"/>
      <x:c r="H9" s="31" t="str"/>
      <x:c r="I9" s="31" t="str"/>
      <x:c r="J9" s="31" t="str"/>
      <x:c r="K9" s="28" t="str">
        <x:f>IF(F9="","DORMANT",IF(J9="","OPEN",IF(OR(G9="",H9="",I9=""),"FAIL","PASS")))</x:f>
        <x:v>DORMANT</x:v>
      </x:c>
    </x:row>
    <x:row r="10">
      <x:c r="B10" s="28" t="str">
        <x:v>EX-PAIR-A1-04</x:v>
      </x:c>
      <x:c r="C10" s="28" t="str">
        <x:v>PAIR-A1</x:v>
      </x:c>
      <x:c r="D10" s="28" t="str">
        <x:v>RFP-A1</x:v>
      </x:c>
      <x:c r="E10" s="28" t="str">
        <x:v>CALIBRATION</x:v>
      </x:c>
      <x:c r="F10" s="31" t="str"/>
      <x:c r="G10" s="31" t="str"/>
      <x:c r="H10" s="31" t="str"/>
      <x:c r="I10" s="31" t="str"/>
      <x:c r="J10" s="31" t="str"/>
      <x:c r="K10" s="28" t="str">
        <x:f>IF(F10="","DORMANT",IF(J10="","OPEN",IF(OR(G10="",H10="",I10=""),"FAIL","PASS")))</x:f>
        <x:v>DORMANT</x:v>
      </x:c>
    </x:row>
    <x:row r="11">
      <x:c r="B11" s="28" t="str">
        <x:v>EX-PAIR-A1-05</x:v>
      </x:c>
      <x:c r="C11" s="28" t="str">
        <x:v>PAIR-A1</x:v>
      </x:c>
      <x:c r="D11" s="28" t="str">
        <x:v>RFP-A1</x:v>
      </x:c>
      <x:c r="E11" s="28" t="str">
        <x:v>CREW</x:v>
      </x:c>
      <x:c r="F11" s="31" t="str"/>
      <x:c r="G11" s="31" t="str"/>
      <x:c r="H11" s="31" t="str"/>
      <x:c r="I11" s="31" t="str"/>
      <x:c r="J11" s="31" t="str"/>
      <x:c r="K11" s="28" t="str">
        <x:f>IF(F11="","DORMANT",IF(J11="","OPEN",IF(OR(G11="",H11="",I11=""),"FAIL","PASS")))</x:f>
        <x:v>DORMANT</x:v>
      </x:c>
    </x:row>
    <x:row r="12">
      <x:c r="B12" s="28" t="str">
        <x:v>EX-PAIR-A1-06</x:v>
      </x:c>
      <x:c r="C12" s="28" t="str">
        <x:v>PAIR-A1</x:v>
      </x:c>
      <x:c r="D12" s="28" t="str">
        <x:v>RFP-A1</x:v>
      </x:c>
      <x:c r="E12" s="28" t="str">
        <x:v>DRILL</x:v>
      </x:c>
      <x:c r="F12" s="31" t="str"/>
      <x:c r="G12" s="31" t="str"/>
      <x:c r="H12" s="31" t="str"/>
      <x:c r="I12" s="31" t="str"/>
      <x:c r="J12" s="31" t="str"/>
      <x:c r="K12" s="28" t="str">
        <x:f>IF(F12="","DORMANT",IF(J12="","OPEN",IF(OR(G12="",H12="",I12=""),"FAIL","PASS")))</x:f>
        <x:v>DORMANT</x:v>
      </x:c>
    </x:row>
    <x:row r="13">
      <x:c r="B13" s="28" t="str">
        <x:v>EX-PAIR-A1-07</x:v>
      </x:c>
      <x:c r="C13" s="28" t="str">
        <x:v>PAIR-A1</x:v>
      </x:c>
      <x:c r="D13" s="28" t="str">
        <x:v>RFP-A1</x:v>
      </x:c>
      <x:c r="E13" s="28" t="str">
        <x:v>RESCUE</x:v>
      </x:c>
      <x:c r="F13" s="31" t="str"/>
      <x:c r="G13" s="31" t="str"/>
      <x:c r="H13" s="31" t="str"/>
      <x:c r="I13" s="31" t="str"/>
      <x:c r="J13" s="31" t="str"/>
      <x:c r="K13" s="28" t="str">
        <x:f>IF(F13="","DORMANT",IF(J13="","OPEN",IF(OR(G13="",H13="",I13=""),"FAIL","PASS")))</x:f>
        <x:v>DORMANT</x:v>
      </x:c>
    </x:row>
    <x:row r="14">
      <x:c r="B14" s="28" t="str">
        <x:v>EX-PAIR-A1-08</x:v>
      </x:c>
      <x:c r="C14" s="28" t="str">
        <x:v>PAIR-A1</x:v>
      </x:c>
      <x:c r="D14" s="28" t="str">
        <x:v>RFP-A1</x:v>
      </x:c>
      <x:c r="E14" s="28" t="str">
        <x:v>EVIDENCE</x:v>
      </x:c>
      <x:c r="F14" s="31" t="str"/>
      <x:c r="G14" s="31" t="str"/>
      <x:c r="H14" s="31" t="str"/>
      <x:c r="I14" s="31" t="str"/>
      <x:c r="J14" s="31" t="str"/>
      <x:c r="K14" s="28" t="str">
        <x:f>IF(F14="","DORMANT",IF(J14="","OPEN",IF(OR(G14="",H14="",I14=""),"FAIL","PASS")))</x:f>
        <x:v>DORMANT</x:v>
      </x:c>
    </x:row>
    <x:row r="15">
      <x:c r="B15" s="28" t="str">
        <x:v>EX-PAIR-A1-09</x:v>
      </x:c>
      <x:c r="C15" s="28" t="str">
        <x:v>PAIR-A1</x:v>
      </x:c>
      <x:c r="D15" s="28" t="str">
        <x:v>RFP-A1</x:v>
      </x:c>
      <x:c r="E15" s="28" t="str">
        <x:v>MEDIA</x:v>
      </x:c>
      <x:c r="F15" s="31" t="str"/>
      <x:c r="G15" s="31" t="str"/>
      <x:c r="H15" s="31" t="str"/>
      <x:c r="I15" s="31" t="str"/>
      <x:c r="J15" s="31" t="str"/>
      <x:c r="K15" s="28" t="str">
        <x:f>IF(F15="","DORMANT",IF(J15="","OPEN",IF(OR(G15="",H15="",I15=""),"FAIL","PASS")))</x:f>
        <x:v>DORMANT</x:v>
      </x:c>
    </x:row>
    <x:row r="16">
      <x:c r="B16" s="28" t="str">
        <x:v>EX-PAIR-A1-10</x:v>
      </x:c>
      <x:c r="C16" s="28" t="str">
        <x:v>PAIR-A1</x:v>
      </x:c>
      <x:c r="D16" s="28" t="str">
        <x:v>RFP-A1</x:v>
      </x:c>
      <x:c r="E16" s="28" t="str">
        <x:v>CONTAINMENT</x:v>
      </x:c>
      <x:c r="F16" s="31" t="str"/>
      <x:c r="G16" s="31" t="str"/>
      <x:c r="H16" s="31" t="str"/>
      <x:c r="I16" s="31" t="str"/>
      <x:c r="J16" s="31" t="str"/>
      <x:c r="K16" s="28" t="str">
        <x:f>IF(F16="","DORMANT",IF(J16="","OPEN",IF(OR(G16="",H16="",I16=""),"FAIL","PASS")))</x:f>
        <x:v>DORMANT</x:v>
      </x:c>
    </x:row>
    <x:row r="17">
      <x:c r="B17" s="28" t="str">
        <x:v>EX-PAIR-A1-11</x:v>
      </x:c>
      <x:c r="C17" s="28" t="str">
        <x:v>PAIR-A1</x:v>
      </x:c>
      <x:c r="D17" s="28" t="str">
        <x:v>RFP-A1</x:v>
      </x:c>
      <x:c r="E17" s="28" t="str">
        <x:v>ASSISTANCE</x:v>
      </x:c>
      <x:c r="F17" s="31" t="str"/>
      <x:c r="G17" s="31" t="str"/>
      <x:c r="H17" s="31" t="str"/>
      <x:c r="I17" s="31" t="str"/>
      <x:c r="J17" s="31" t="str"/>
      <x:c r="K17" s="28" t="str">
        <x:f>IF(F17="","DORMANT",IF(J17="","OPEN",IF(OR(G17="",H17="",I17=""),"FAIL","PASS")))</x:f>
        <x:v>DORMANT</x:v>
      </x:c>
    </x:row>
    <x:row r="18">
      <x:c r="B18" s="28" t="str">
        <x:v>EX-PAIR-A1-12</x:v>
      </x:c>
      <x:c r="C18" s="28" t="str">
        <x:v>PAIR-A1</x:v>
      </x:c>
      <x:c r="D18" s="28" t="str">
        <x:v>RFP-A1</x:v>
      </x:c>
      <x:c r="E18" s="28" t="str">
        <x:v>OTHER</x:v>
      </x:c>
      <x:c r="F18" s="31" t="str"/>
      <x:c r="G18" s="31" t="str"/>
      <x:c r="H18" s="31" t="str"/>
      <x:c r="I18" s="31" t="str"/>
      <x:c r="J18" s="31" t="str"/>
      <x:c r="K18" s="28" t="str">
        <x:f>IF(F18="","DORMANT",IF(J18="","OPEN",IF(OR(G18="",H18="",I18=""),"FAIL","PASS")))</x:f>
        <x:v>DORMANT</x:v>
      </x:c>
    </x:row>
    <x:row r="19">
      <x:c r="B19" s="28" t="str">
        <x:v>EX-PAIR-A2-01</x:v>
      </x:c>
      <x:c r="C19" s="28" t="str">
        <x:v>PAIR-A2</x:v>
      </x:c>
      <x:c r="D19" s="28" t="str">
        <x:v>RFP-A2</x:v>
      </x:c>
      <x:c r="E19" s="28" t="str">
        <x:v>TRANSPORT</x:v>
      </x:c>
      <x:c r="F19" s="31" t="str"/>
      <x:c r="G19" s="31" t="str"/>
      <x:c r="H19" s="31" t="str"/>
      <x:c r="I19" s="31" t="str"/>
      <x:c r="J19" s="31" t="str"/>
      <x:c r="K19" s="28" t="str">
        <x:f>IF(F19="","DORMANT",IF(J19="","OPEN",IF(OR(G19="",H19="",I19=""),"FAIL","PASS")))</x:f>
        <x:v>DORMANT</x:v>
      </x:c>
    </x:row>
    <x:row r="20">
      <x:c r="B20" s="28" t="str">
        <x:v>EX-PAIR-A2-02</x:v>
      </x:c>
      <x:c r="C20" s="28" t="str">
        <x:v>PAIR-A2</x:v>
      </x:c>
      <x:c r="D20" s="28" t="str">
        <x:v>RFP-A2</x:v>
      </x:c>
      <x:c r="E20" s="28" t="str">
        <x:v>CONFIGURATION</x:v>
      </x:c>
      <x:c r="F20" s="31" t="str"/>
      <x:c r="G20" s="31" t="str"/>
      <x:c r="H20" s="31" t="str"/>
      <x:c r="I20" s="31" t="str"/>
      <x:c r="J20" s="31" t="str"/>
      <x:c r="K20" s="28" t="str">
        <x:f>IF(F20="","DORMANT",IF(J20="","OPEN",IF(OR(G20="",H20="",I20=""),"FAIL","PASS")))</x:f>
        <x:v>DORMANT</x:v>
      </x:c>
    </x:row>
    <x:row r="21">
      <x:c r="B21" s="28" t="str">
        <x:v>EX-PAIR-A2-03</x:v>
      </x:c>
      <x:c r="C21" s="28" t="str">
        <x:v>PAIR-A2</x:v>
      </x:c>
      <x:c r="D21" s="28" t="str">
        <x:v>RFP-A2</x:v>
      </x:c>
      <x:c r="E21" s="28" t="str">
        <x:v>INTERFACE</x:v>
      </x:c>
      <x:c r="F21" s="31" t="str"/>
      <x:c r="G21" s="31" t="str"/>
      <x:c r="H21" s="31" t="str"/>
      <x:c r="I21" s="31" t="str"/>
      <x:c r="J21" s="31" t="str"/>
      <x:c r="K21" s="28" t="str">
        <x:f>IF(F21="","DORMANT",IF(J21="","OPEN",IF(OR(G21="",H21="",I21=""),"FAIL","PASS")))</x:f>
        <x:v>DORMANT</x:v>
      </x:c>
    </x:row>
    <x:row r="22">
      <x:c r="B22" s="28" t="str">
        <x:v>EX-PAIR-A2-04</x:v>
      </x:c>
      <x:c r="C22" s="28" t="str">
        <x:v>PAIR-A2</x:v>
      </x:c>
      <x:c r="D22" s="28" t="str">
        <x:v>RFP-A2</x:v>
      </x:c>
      <x:c r="E22" s="28" t="str">
        <x:v>CALIBRATION</x:v>
      </x:c>
      <x:c r="F22" s="31" t="str"/>
      <x:c r="G22" s="31" t="str"/>
      <x:c r="H22" s="31" t="str"/>
      <x:c r="I22" s="31" t="str"/>
      <x:c r="J22" s="31" t="str"/>
      <x:c r="K22" s="28" t="str">
        <x:f>IF(F22="","DORMANT",IF(J22="","OPEN",IF(OR(G22="",H22="",I22=""),"FAIL","PASS")))</x:f>
        <x:v>DORMANT</x:v>
      </x:c>
    </x:row>
    <x:row r="23">
      <x:c r="B23" s="28" t="str">
        <x:v>EX-PAIR-A2-05</x:v>
      </x:c>
      <x:c r="C23" s="28" t="str">
        <x:v>PAIR-A2</x:v>
      </x:c>
      <x:c r="D23" s="28" t="str">
        <x:v>RFP-A2</x:v>
      </x:c>
      <x:c r="E23" s="28" t="str">
        <x:v>CREW</x:v>
      </x:c>
      <x:c r="F23" s="31" t="str"/>
      <x:c r="G23" s="31" t="str"/>
      <x:c r="H23" s="31" t="str"/>
      <x:c r="I23" s="31" t="str"/>
      <x:c r="J23" s="31" t="str"/>
      <x:c r="K23" s="28" t="str">
        <x:f>IF(F23="","DORMANT",IF(J23="","OPEN",IF(OR(G23="",H23="",I23=""),"FAIL","PASS")))</x:f>
        <x:v>DORMANT</x:v>
      </x:c>
    </x:row>
    <x:row r="24">
      <x:c r="B24" s="28" t="str">
        <x:v>EX-PAIR-A2-06</x:v>
      </x:c>
      <x:c r="C24" s="28" t="str">
        <x:v>PAIR-A2</x:v>
      </x:c>
      <x:c r="D24" s="28" t="str">
        <x:v>RFP-A2</x:v>
      </x:c>
      <x:c r="E24" s="28" t="str">
        <x:v>DRILL</x:v>
      </x:c>
      <x:c r="F24" s="31" t="str"/>
      <x:c r="G24" s="31" t="str"/>
      <x:c r="H24" s="31" t="str"/>
      <x:c r="I24" s="31" t="str"/>
      <x:c r="J24" s="31" t="str"/>
      <x:c r="K24" s="28" t="str">
        <x:f>IF(F24="","DORMANT",IF(J24="","OPEN",IF(OR(G24="",H24="",I24=""),"FAIL","PASS")))</x:f>
        <x:v>DORMANT</x:v>
      </x:c>
    </x:row>
    <x:row r="25">
      <x:c r="B25" s="28" t="str">
        <x:v>EX-PAIR-A2-07</x:v>
      </x:c>
      <x:c r="C25" s="28" t="str">
        <x:v>PAIR-A2</x:v>
      </x:c>
      <x:c r="D25" s="28" t="str">
        <x:v>RFP-A2</x:v>
      </x:c>
      <x:c r="E25" s="28" t="str">
        <x:v>RESCUE</x:v>
      </x:c>
      <x:c r="F25" s="31" t="str"/>
      <x:c r="G25" s="31" t="str"/>
      <x:c r="H25" s="31" t="str"/>
      <x:c r="I25" s="31" t="str"/>
      <x:c r="J25" s="31" t="str"/>
      <x:c r="K25" s="28" t="str">
        <x:f>IF(F25="","DORMANT",IF(J25="","OPEN",IF(OR(G25="",H25="",I25=""),"FAIL","PASS")))</x:f>
        <x:v>DORMANT</x:v>
      </x:c>
    </x:row>
    <x:row r="26">
      <x:c r="B26" s="28" t="str">
        <x:v>EX-PAIR-A2-08</x:v>
      </x:c>
      <x:c r="C26" s="28" t="str">
        <x:v>PAIR-A2</x:v>
      </x:c>
      <x:c r="D26" s="28" t="str">
        <x:v>RFP-A2</x:v>
      </x:c>
      <x:c r="E26" s="28" t="str">
        <x:v>EVIDENCE</x:v>
      </x:c>
      <x:c r="F26" s="31" t="str"/>
      <x:c r="G26" s="31" t="str"/>
      <x:c r="H26" s="31" t="str"/>
      <x:c r="I26" s="31" t="str"/>
      <x:c r="J26" s="31" t="str"/>
      <x:c r="K26" s="28" t="str">
        <x:f>IF(F26="","DORMANT",IF(J26="","OPEN",IF(OR(G26="",H26="",I26=""),"FAIL","PASS")))</x:f>
        <x:v>DORMANT</x:v>
      </x:c>
    </x:row>
    <x:row r="27">
      <x:c r="B27" s="28" t="str">
        <x:v>EX-PAIR-A2-09</x:v>
      </x:c>
      <x:c r="C27" s="28" t="str">
        <x:v>PAIR-A2</x:v>
      </x:c>
      <x:c r="D27" s="28" t="str">
        <x:v>RFP-A2</x:v>
      </x:c>
      <x:c r="E27" s="28" t="str">
        <x:v>MEDIA</x:v>
      </x:c>
      <x:c r="F27" s="31" t="str"/>
      <x:c r="G27" s="31" t="str"/>
      <x:c r="H27" s="31" t="str"/>
      <x:c r="I27" s="31" t="str"/>
      <x:c r="J27" s="31" t="str"/>
      <x:c r="K27" s="28" t="str">
        <x:f>IF(F27="","DORMANT",IF(J27="","OPEN",IF(OR(G27="",H27="",I27=""),"FAIL","PASS")))</x:f>
        <x:v>DORMANT</x:v>
      </x:c>
    </x:row>
    <x:row r="28">
      <x:c r="B28" s="28" t="str">
        <x:v>EX-PAIR-A2-10</x:v>
      </x:c>
      <x:c r="C28" s="28" t="str">
        <x:v>PAIR-A2</x:v>
      </x:c>
      <x:c r="D28" s="28" t="str">
        <x:v>RFP-A2</x:v>
      </x:c>
      <x:c r="E28" s="28" t="str">
        <x:v>CONTAINMENT</x:v>
      </x:c>
      <x:c r="F28" s="31" t="str"/>
      <x:c r="G28" s="31" t="str"/>
      <x:c r="H28" s="31" t="str"/>
      <x:c r="I28" s="31" t="str"/>
      <x:c r="J28" s="31" t="str"/>
      <x:c r="K28" s="28" t="str">
        <x:f>IF(F28="","DORMANT",IF(J28="","OPEN",IF(OR(G28="",H28="",I28=""),"FAIL","PASS")))</x:f>
        <x:v>DORMANT</x:v>
      </x:c>
    </x:row>
    <x:row r="29">
      <x:c r="B29" s="28" t="str">
        <x:v>EX-PAIR-A2-11</x:v>
      </x:c>
      <x:c r="C29" s="28" t="str">
        <x:v>PAIR-A2</x:v>
      </x:c>
      <x:c r="D29" s="28" t="str">
        <x:v>RFP-A2</x:v>
      </x:c>
      <x:c r="E29" s="28" t="str">
        <x:v>ASSISTANCE</x:v>
      </x:c>
      <x:c r="F29" s="31" t="str"/>
      <x:c r="G29" s="31" t="str"/>
      <x:c r="H29" s="31" t="str"/>
      <x:c r="I29" s="31" t="str"/>
      <x:c r="J29" s="31" t="str"/>
      <x:c r="K29" s="28" t="str">
        <x:f>IF(F29="","DORMANT",IF(J29="","OPEN",IF(OR(G29="",H29="",I29=""),"FAIL","PASS")))</x:f>
        <x:v>DORMANT</x:v>
      </x:c>
    </x:row>
    <x:row r="30">
      <x:c r="B30" s="28" t="str">
        <x:v>EX-PAIR-A2-12</x:v>
      </x:c>
      <x:c r="C30" s="28" t="str">
        <x:v>PAIR-A2</x:v>
      </x:c>
      <x:c r="D30" s="28" t="str">
        <x:v>RFP-A2</x:v>
      </x:c>
      <x:c r="E30" s="28" t="str">
        <x:v>OTHER</x:v>
      </x:c>
      <x:c r="F30" s="31" t="str"/>
      <x:c r="G30" s="31" t="str"/>
      <x:c r="H30" s="31" t="str"/>
      <x:c r="I30" s="31" t="str"/>
      <x:c r="J30" s="31" t="str"/>
      <x:c r="K30" s="28" t="str">
        <x:f>IF(F30="","DORMANT",IF(J30="","OPEN",IF(OR(G30="",H30="",I30=""),"FAIL","PASS")))</x:f>
        <x:v>DORMANT</x:v>
      </x:c>
    </x:row>
    <x:row r="31">
      <x:c r="B31" s="28" t="str">
        <x:v>EX-PAIR-B1-01</x:v>
      </x:c>
      <x:c r="C31" s="28" t="str">
        <x:v>PAIR-B1</x:v>
      </x:c>
      <x:c r="D31" s="28" t="str">
        <x:v>RFP-B1</x:v>
      </x:c>
      <x:c r="E31" s="28" t="str">
        <x:v>TRANSPORT</x:v>
      </x:c>
      <x:c r="F31" s="31" t="str"/>
      <x:c r="G31" s="31" t="str"/>
      <x:c r="H31" s="31" t="str"/>
      <x:c r="I31" s="31" t="str"/>
      <x:c r="J31" s="31" t="str"/>
      <x:c r="K31" s="28" t="str">
        <x:f>IF(F31="","DORMANT",IF(J31="","OPEN",IF(OR(G31="",H31="",I31=""),"FAIL","PASS")))</x:f>
        <x:v>DORMANT</x:v>
      </x:c>
    </x:row>
    <x:row r="32">
      <x:c r="B32" s="28" t="str">
        <x:v>EX-PAIR-B1-02</x:v>
      </x:c>
      <x:c r="C32" s="28" t="str">
        <x:v>PAIR-B1</x:v>
      </x:c>
      <x:c r="D32" s="28" t="str">
        <x:v>RFP-B1</x:v>
      </x:c>
      <x:c r="E32" s="28" t="str">
        <x:v>CONFIGURATION</x:v>
      </x:c>
      <x:c r="F32" s="31" t="str"/>
      <x:c r="G32" s="31" t="str"/>
      <x:c r="H32" s="31" t="str"/>
      <x:c r="I32" s="31" t="str"/>
      <x:c r="J32" s="31" t="str"/>
      <x:c r="K32" s="28" t="str">
        <x:f>IF(F32="","DORMANT",IF(J32="","OPEN",IF(OR(G32="",H32="",I32=""),"FAIL","PASS")))</x:f>
        <x:v>DORMANT</x:v>
      </x:c>
    </x:row>
    <x:row r="33">
      <x:c r="B33" s="28" t="str">
        <x:v>EX-PAIR-B1-03</x:v>
      </x:c>
      <x:c r="C33" s="28" t="str">
        <x:v>PAIR-B1</x:v>
      </x:c>
      <x:c r="D33" s="28" t="str">
        <x:v>RFP-B1</x:v>
      </x:c>
      <x:c r="E33" s="28" t="str">
        <x:v>INTERFACE</x:v>
      </x:c>
      <x:c r="F33" s="31" t="str"/>
      <x:c r="G33" s="31" t="str"/>
      <x:c r="H33" s="31" t="str"/>
      <x:c r="I33" s="31" t="str"/>
      <x:c r="J33" s="31" t="str"/>
      <x:c r="K33" s="28" t="str">
        <x:f>IF(F33="","DORMANT",IF(J33="","OPEN",IF(OR(G33="",H33="",I33=""),"FAIL","PASS")))</x:f>
        <x:v>DORMANT</x:v>
      </x:c>
    </x:row>
    <x:row r="34">
      <x:c r="B34" s="28" t="str">
        <x:v>EX-PAIR-B1-04</x:v>
      </x:c>
      <x:c r="C34" s="28" t="str">
        <x:v>PAIR-B1</x:v>
      </x:c>
      <x:c r="D34" s="28" t="str">
        <x:v>RFP-B1</x:v>
      </x:c>
      <x:c r="E34" s="28" t="str">
        <x:v>CALIBRATION</x:v>
      </x:c>
      <x:c r="F34" s="31" t="str"/>
      <x:c r="G34" s="31" t="str"/>
      <x:c r="H34" s="31" t="str"/>
      <x:c r="I34" s="31" t="str"/>
      <x:c r="J34" s="31" t="str"/>
      <x:c r="K34" s="28" t="str">
        <x:f>IF(F34="","DORMANT",IF(J34="","OPEN",IF(OR(G34="",H34="",I34=""),"FAIL","PASS")))</x:f>
        <x:v>DORMANT</x:v>
      </x:c>
    </x:row>
    <x:row r="35">
      <x:c r="B35" s="28" t="str">
        <x:v>EX-PAIR-B1-05</x:v>
      </x:c>
      <x:c r="C35" s="28" t="str">
        <x:v>PAIR-B1</x:v>
      </x:c>
      <x:c r="D35" s="28" t="str">
        <x:v>RFP-B1</x:v>
      </x:c>
      <x:c r="E35" s="28" t="str">
        <x:v>CREW</x:v>
      </x:c>
      <x:c r="F35" s="31" t="str"/>
      <x:c r="G35" s="31" t="str"/>
      <x:c r="H35" s="31" t="str"/>
      <x:c r="I35" s="31" t="str"/>
      <x:c r="J35" s="31" t="str"/>
      <x:c r="K35" s="28" t="str">
        <x:f>IF(F35="","DORMANT",IF(J35="","OPEN",IF(OR(G35="",H35="",I35=""),"FAIL","PASS")))</x:f>
        <x:v>DORMANT</x:v>
      </x:c>
    </x:row>
    <x:row r="36">
      <x:c r="B36" s="28" t="str">
        <x:v>EX-PAIR-B1-06</x:v>
      </x:c>
      <x:c r="C36" s="28" t="str">
        <x:v>PAIR-B1</x:v>
      </x:c>
      <x:c r="D36" s="28" t="str">
        <x:v>RFP-B1</x:v>
      </x:c>
      <x:c r="E36" s="28" t="str">
        <x:v>DRILL</x:v>
      </x:c>
      <x:c r="F36" s="31" t="str"/>
      <x:c r="G36" s="31" t="str"/>
      <x:c r="H36" s="31" t="str"/>
      <x:c r="I36" s="31" t="str"/>
      <x:c r="J36" s="31" t="str"/>
      <x:c r="K36" s="28" t="str">
        <x:f>IF(F36="","DORMANT",IF(J36="","OPEN",IF(OR(G36="",H36="",I36=""),"FAIL","PASS")))</x:f>
        <x:v>DORMANT</x:v>
      </x:c>
    </x:row>
    <x:row r="37">
      <x:c r="B37" s="28" t="str">
        <x:v>EX-PAIR-B1-07</x:v>
      </x:c>
      <x:c r="C37" s="28" t="str">
        <x:v>PAIR-B1</x:v>
      </x:c>
      <x:c r="D37" s="28" t="str">
        <x:v>RFP-B1</x:v>
      </x:c>
      <x:c r="E37" s="28" t="str">
        <x:v>RESCUE</x:v>
      </x:c>
      <x:c r="F37" s="31" t="str"/>
      <x:c r="G37" s="31" t="str"/>
      <x:c r="H37" s="31" t="str"/>
      <x:c r="I37" s="31" t="str"/>
      <x:c r="J37" s="31" t="str"/>
      <x:c r="K37" s="28" t="str">
        <x:f>IF(F37="","DORMANT",IF(J37="","OPEN",IF(OR(G37="",H37="",I37=""),"FAIL","PASS")))</x:f>
        <x:v>DORMANT</x:v>
      </x:c>
    </x:row>
    <x:row r="38">
      <x:c r="B38" s="28" t="str">
        <x:v>EX-PAIR-B1-08</x:v>
      </x:c>
      <x:c r="C38" s="28" t="str">
        <x:v>PAIR-B1</x:v>
      </x:c>
      <x:c r="D38" s="28" t="str">
        <x:v>RFP-B1</x:v>
      </x:c>
      <x:c r="E38" s="28" t="str">
        <x:v>EVIDENCE</x:v>
      </x:c>
      <x:c r="F38" s="31" t="str"/>
      <x:c r="G38" s="31" t="str"/>
      <x:c r="H38" s="31" t="str"/>
      <x:c r="I38" s="31" t="str"/>
      <x:c r="J38" s="31" t="str"/>
      <x:c r="K38" s="28" t="str">
        <x:f>IF(F38="","DORMANT",IF(J38="","OPEN",IF(OR(G38="",H38="",I38=""),"FAIL","PASS")))</x:f>
        <x:v>DORMANT</x:v>
      </x:c>
    </x:row>
    <x:row r="39">
      <x:c r="B39" s="28" t="str">
        <x:v>EX-PAIR-B1-09</x:v>
      </x:c>
      <x:c r="C39" s="28" t="str">
        <x:v>PAIR-B1</x:v>
      </x:c>
      <x:c r="D39" s="28" t="str">
        <x:v>RFP-B1</x:v>
      </x:c>
      <x:c r="E39" s="28" t="str">
        <x:v>MEDIA</x:v>
      </x:c>
      <x:c r="F39" s="31" t="str"/>
      <x:c r="G39" s="31" t="str"/>
      <x:c r="H39" s="31" t="str"/>
      <x:c r="I39" s="31" t="str"/>
      <x:c r="J39" s="31" t="str"/>
      <x:c r="K39" s="28" t="str">
        <x:f>IF(F39="","DORMANT",IF(J39="","OPEN",IF(OR(G39="",H39="",I39=""),"FAIL","PASS")))</x:f>
        <x:v>DORMANT</x:v>
      </x:c>
    </x:row>
    <x:row r="40">
      <x:c r="B40" s="28" t="str">
        <x:v>EX-PAIR-B1-10</x:v>
      </x:c>
      <x:c r="C40" s="28" t="str">
        <x:v>PAIR-B1</x:v>
      </x:c>
      <x:c r="D40" s="28" t="str">
        <x:v>RFP-B1</x:v>
      </x:c>
      <x:c r="E40" s="28" t="str">
        <x:v>CONTAINMENT</x:v>
      </x:c>
      <x:c r="F40" s="31" t="str"/>
      <x:c r="G40" s="31" t="str"/>
      <x:c r="H40" s="31" t="str"/>
      <x:c r="I40" s="31" t="str"/>
      <x:c r="J40" s="31" t="str"/>
      <x:c r="K40" s="28" t="str">
        <x:f>IF(F40="","DORMANT",IF(J40="","OPEN",IF(OR(G40="",H40="",I40=""),"FAIL","PASS")))</x:f>
        <x:v>DORMANT</x:v>
      </x:c>
    </x:row>
    <x:row r="41">
      <x:c r="B41" s="28" t="str">
        <x:v>EX-PAIR-B1-11</x:v>
      </x:c>
      <x:c r="C41" s="28" t="str">
        <x:v>PAIR-B1</x:v>
      </x:c>
      <x:c r="D41" s="28" t="str">
        <x:v>RFP-B1</x:v>
      </x:c>
      <x:c r="E41" s="28" t="str">
        <x:v>ASSISTANCE</x:v>
      </x:c>
      <x:c r="F41" s="31" t="str"/>
      <x:c r="G41" s="31" t="str"/>
      <x:c r="H41" s="31" t="str"/>
      <x:c r="I41" s="31" t="str"/>
      <x:c r="J41" s="31" t="str"/>
      <x:c r="K41" s="28" t="str">
        <x:f>IF(F41="","DORMANT",IF(J41="","OPEN",IF(OR(G41="",H41="",I41=""),"FAIL","PASS")))</x:f>
        <x:v>DORMANT</x:v>
      </x:c>
    </x:row>
    <x:row r="42">
      <x:c r="B42" s="28" t="str">
        <x:v>EX-PAIR-B1-12</x:v>
      </x:c>
      <x:c r="C42" s="28" t="str">
        <x:v>PAIR-B1</x:v>
      </x:c>
      <x:c r="D42" s="28" t="str">
        <x:v>RFP-B1</x:v>
      </x:c>
      <x:c r="E42" s="28" t="str">
        <x:v>OTHER</x:v>
      </x:c>
      <x:c r="F42" s="31" t="str"/>
      <x:c r="G42" s="31" t="str"/>
      <x:c r="H42" s="31" t="str"/>
      <x:c r="I42" s="31" t="str"/>
      <x:c r="J42" s="31" t="str"/>
      <x:c r="K42" s="28" t="str">
        <x:f>IF(F42="","DORMANT",IF(J42="","OPEN",IF(OR(G42="",H42="",I42=""),"FAIL","PASS")))</x:f>
        <x:v>DORMANT</x:v>
      </x:c>
    </x:row>
    <x:row r="43">
      <x:c r="B43" s="28" t="str">
        <x:v>EX-PAIR-B2-01</x:v>
      </x:c>
      <x:c r="C43" s="28" t="str">
        <x:v>PAIR-B2</x:v>
      </x:c>
      <x:c r="D43" s="28" t="str">
        <x:v>RFP-B2</x:v>
      </x:c>
      <x:c r="E43" s="28" t="str">
        <x:v>TRANSPORT</x:v>
      </x:c>
      <x:c r="F43" s="31" t="str"/>
      <x:c r="G43" s="31" t="str"/>
      <x:c r="H43" s="31" t="str"/>
      <x:c r="I43" s="31" t="str"/>
      <x:c r="J43" s="31" t="str"/>
      <x:c r="K43" s="28" t="str">
        <x:f>IF(F43="","DORMANT",IF(J43="","OPEN",IF(OR(G43="",H43="",I43=""),"FAIL","PASS")))</x:f>
        <x:v>DORMANT</x:v>
      </x:c>
    </x:row>
    <x:row r="44">
      <x:c r="B44" s="28" t="str">
        <x:v>EX-PAIR-B2-02</x:v>
      </x:c>
      <x:c r="C44" s="28" t="str">
        <x:v>PAIR-B2</x:v>
      </x:c>
      <x:c r="D44" s="28" t="str">
        <x:v>RFP-B2</x:v>
      </x:c>
      <x:c r="E44" s="28" t="str">
        <x:v>CONFIGURATION</x:v>
      </x:c>
      <x:c r="F44" s="31" t="str"/>
      <x:c r="G44" s="31" t="str"/>
      <x:c r="H44" s="31" t="str"/>
      <x:c r="I44" s="31" t="str"/>
      <x:c r="J44" s="31" t="str"/>
      <x:c r="K44" s="28" t="str">
        <x:f>IF(F44="","DORMANT",IF(J44="","OPEN",IF(OR(G44="",H44="",I44=""),"FAIL","PASS")))</x:f>
        <x:v>DORMANT</x:v>
      </x:c>
    </x:row>
    <x:row r="45">
      <x:c r="B45" s="28" t="str">
        <x:v>EX-PAIR-B2-03</x:v>
      </x:c>
      <x:c r="C45" s="28" t="str">
        <x:v>PAIR-B2</x:v>
      </x:c>
      <x:c r="D45" s="28" t="str">
        <x:v>RFP-B2</x:v>
      </x:c>
      <x:c r="E45" s="28" t="str">
        <x:v>INTERFACE</x:v>
      </x:c>
      <x:c r="F45" s="31" t="str"/>
      <x:c r="G45" s="31" t="str"/>
      <x:c r="H45" s="31" t="str"/>
      <x:c r="I45" s="31" t="str"/>
      <x:c r="J45" s="31" t="str"/>
      <x:c r="K45" s="28" t="str">
        <x:f>IF(F45="","DORMANT",IF(J45="","OPEN",IF(OR(G45="",H45="",I45=""),"FAIL","PASS")))</x:f>
        <x:v>DORMANT</x:v>
      </x:c>
    </x:row>
    <x:row r="46">
      <x:c r="B46" s="28" t="str">
        <x:v>EX-PAIR-B2-04</x:v>
      </x:c>
      <x:c r="C46" s="28" t="str">
        <x:v>PAIR-B2</x:v>
      </x:c>
      <x:c r="D46" s="28" t="str">
        <x:v>RFP-B2</x:v>
      </x:c>
      <x:c r="E46" s="28" t="str">
        <x:v>CALIBRATION</x:v>
      </x:c>
      <x:c r="F46" s="31" t="str"/>
      <x:c r="G46" s="31" t="str"/>
      <x:c r="H46" s="31" t="str"/>
      <x:c r="I46" s="31" t="str"/>
      <x:c r="J46" s="31" t="str"/>
      <x:c r="K46" s="28" t="str">
        <x:f>IF(F46="","DORMANT",IF(J46="","OPEN",IF(OR(G46="",H46="",I46=""),"FAIL","PASS")))</x:f>
        <x:v>DORMANT</x:v>
      </x:c>
    </x:row>
    <x:row r="47">
      <x:c r="B47" s="28" t="str">
        <x:v>EX-PAIR-B2-05</x:v>
      </x:c>
      <x:c r="C47" s="28" t="str">
        <x:v>PAIR-B2</x:v>
      </x:c>
      <x:c r="D47" s="28" t="str">
        <x:v>RFP-B2</x:v>
      </x:c>
      <x:c r="E47" s="28" t="str">
        <x:v>CREW</x:v>
      </x:c>
      <x:c r="F47" s="31" t="str"/>
      <x:c r="G47" s="31" t="str"/>
      <x:c r="H47" s="31" t="str"/>
      <x:c r="I47" s="31" t="str"/>
      <x:c r="J47" s="31" t="str"/>
      <x:c r="K47" s="28" t="str">
        <x:f>IF(F47="","DORMANT",IF(J47="","OPEN",IF(OR(G47="",H47="",I47=""),"FAIL","PASS")))</x:f>
        <x:v>DORMANT</x:v>
      </x:c>
    </x:row>
    <x:row r="48">
      <x:c r="B48" s="28" t="str">
        <x:v>EX-PAIR-B2-06</x:v>
      </x:c>
      <x:c r="C48" s="28" t="str">
        <x:v>PAIR-B2</x:v>
      </x:c>
      <x:c r="D48" s="28" t="str">
        <x:v>RFP-B2</x:v>
      </x:c>
      <x:c r="E48" s="28" t="str">
        <x:v>DRILL</x:v>
      </x:c>
      <x:c r="F48" s="31" t="str"/>
      <x:c r="G48" s="31" t="str"/>
      <x:c r="H48" s="31" t="str"/>
      <x:c r="I48" s="31" t="str"/>
      <x:c r="J48" s="31" t="str"/>
      <x:c r="K48" s="28" t="str">
        <x:f>IF(F48="","DORMANT",IF(J48="","OPEN",IF(OR(G48="",H48="",I48=""),"FAIL","PASS")))</x:f>
        <x:v>DORMANT</x:v>
      </x:c>
    </x:row>
    <x:row r="49">
      <x:c r="B49" s="28" t="str">
        <x:v>EX-PAIR-B2-07</x:v>
      </x:c>
      <x:c r="C49" s="28" t="str">
        <x:v>PAIR-B2</x:v>
      </x:c>
      <x:c r="D49" s="28" t="str">
        <x:v>RFP-B2</x:v>
      </x:c>
      <x:c r="E49" s="28" t="str">
        <x:v>RESCUE</x:v>
      </x:c>
      <x:c r="F49" s="31" t="str"/>
      <x:c r="G49" s="31" t="str"/>
      <x:c r="H49" s="31" t="str"/>
      <x:c r="I49" s="31" t="str"/>
      <x:c r="J49" s="31" t="str"/>
      <x:c r="K49" s="28" t="str">
        <x:f>IF(F49="","DORMANT",IF(J49="","OPEN",IF(OR(G49="",H49="",I49=""),"FAIL","PASS")))</x:f>
        <x:v>DORMANT</x:v>
      </x:c>
    </x:row>
    <x:row r="50">
      <x:c r="B50" s="28" t="str">
        <x:v>EX-PAIR-B2-08</x:v>
      </x:c>
      <x:c r="C50" s="28" t="str">
        <x:v>PAIR-B2</x:v>
      </x:c>
      <x:c r="D50" s="28" t="str">
        <x:v>RFP-B2</x:v>
      </x:c>
      <x:c r="E50" s="28" t="str">
        <x:v>EVIDENCE</x:v>
      </x:c>
      <x:c r="F50" s="31" t="str"/>
      <x:c r="G50" s="31" t="str"/>
      <x:c r="H50" s="31" t="str"/>
      <x:c r="I50" s="31" t="str"/>
      <x:c r="J50" s="31" t="str"/>
      <x:c r="K50" s="28" t="str">
        <x:f>IF(F50="","DORMANT",IF(J50="","OPEN",IF(OR(G50="",H50="",I50=""),"FAIL","PASS")))</x:f>
        <x:v>DORMANT</x:v>
      </x:c>
    </x:row>
    <x:row r="51">
      <x:c r="B51" s="28" t="str">
        <x:v>EX-PAIR-B2-09</x:v>
      </x:c>
      <x:c r="C51" s="28" t="str">
        <x:v>PAIR-B2</x:v>
      </x:c>
      <x:c r="D51" s="28" t="str">
        <x:v>RFP-B2</x:v>
      </x:c>
      <x:c r="E51" s="28" t="str">
        <x:v>MEDIA</x:v>
      </x:c>
      <x:c r="F51" s="31" t="str"/>
      <x:c r="G51" s="31" t="str"/>
      <x:c r="H51" s="31" t="str"/>
      <x:c r="I51" s="31" t="str"/>
      <x:c r="J51" s="31" t="str"/>
      <x:c r="K51" s="28" t="str">
        <x:f>IF(F51="","DORMANT",IF(J51="","OPEN",IF(OR(G51="",H51="",I51=""),"FAIL","PASS")))</x:f>
        <x:v>DORMANT</x:v>
      </x:c>
    </x:row>
    <x:row r="52">
      <x:c r="B52" s="28" t="str">
        <x:v>EX-PAIR-B2-10</x:v>
      </x:c>
      <x:c r="C52" s="28" t="str">
        <x:v>PAIR-B2</x:v>
      </x:c>
      <x:c r="D52" s="28" t="str">
        <x:v>RFP-B2</x:v>
      </x:c>
      <x:c r="E52" s="28" t="str">
        <x:v>CONTAINMENT</x:v>
      </x:c>
      <x:c r="F52" s="31" t="str"/>
      <x:c r="G52" s="31" t="str"/>
      <x:c r="H52" s="31" t="str"/>
      <x:c r="I52" s="31" t="str"/>
      <x:c r="J52" s="31" t="str"/>
      <x:c r="K52" s="28" t="str">
        <x:f>IF(F52="","DORMANT",IF(J52="","OPEN",IF(OR(G52="",H52="",I52=""),"FAIL","PASS")))</x:f>
        <x:v>DORMANT</x:v>
      </x:c>
    </x:row>
    <x:row r="53">
      <x:c r="B53" s="28" t="str">
        <x:v>EX-PAIR-B2-11</x:v>
      </x:c>
      <x:c r="C53" s="28" t="str">
        <x:v>PAIR-B2</x:v>
      </x:c>
      <x:c r="D53" s="28" t="str">
        <x:v>RFP-B2</x:v>
      </x:c>
      <x:c r="E53" s="28" t="str">
        <x:v>ASSISTANCE</x:v>
      </x:c>
      <x:c r="F53" s="31" t="str"/>
      <x:c r="G53" s="31" t="str"/>
      <x:c r="H53" s="31" t="str"/>
      <x:c r="I53" s="31" t="str"/>
      <x:c r="J53" s="31" t="str"/>
      <x:c r="K53" s="28" t="str">
        <x:f>IF(F53="","DORMANT",IF(J53="","OPEN",IF(OR(G53="",H53="",I53=""),"FAIL","PASS")))</x:f>
        <x:v>DORMANT</x:v>
      </x:c>
    </x:row>
    <x:row r="54">
      <x:c r="B54" s="28" t="str">
        <x:v>EX-PAIR-B2-12</x:v>
      </x:c>
      <x:c r="C54" s="28" t="str">
        <x:v>PAIR-B2</x:v>
      </x:c>
      <x:c r="D54" s="28" t="str">
        <x:v>RFP-B2</x:v>
      </x:c>
      <x:c r="E54" s="28" t="str">
        <x:v>OTHER</x:v>
      </x:c>
      <x:c r="F54" s="31" t="str"/>
      <x:c r="G54" s="31" t="str"/>
      <x:c r="H54" s="31" t="str"/>
      <x:c r="I54" s="31" t="str"/>
      <x:c r="J54" s="31" t="str"/>
      <x:c r="K54" s="28" t="str">
        <x:f>IF(F54="","DORMANT",IF(J54="","OPEN",IF(OR(G54="",H54="",I54=""),"FAIL","PASS")))</x:f>
        <x:v>DORMANT</x:v>
      </x:c>
    </x:row>
    <x:row r="55">
      <x:c r="B55" s="28" t="str">
        <x:v>EX-PAIR-C1-01</x:v>
      </x:c>
      <x:c r="C55" s="28" t="str">
        <x:v>PAIR-C1</x:v>
      </x:c>
      <x:c r="D55" s="28" t="str">
        <x:v>RFP-C1</x:v>
      </x:c>
      <x:c r="E55" s="28" t="str">
        <x:v>TRANSPORT</x:v>
      </x:c>
      <x:c r="F55" s="31" t="str"/>
      <x:c r="G55" s="31" t="str"/>
      <x:c r="H55" s="31" t="str"/>
      <x:c r="I55" s="31" t="str"/>
      <x:c r="J55" s="31" t="str"/>
      <x:c r="K55" s="28" t="str">
        <x:f>IF(F55="","DORMANT",IF(J55="","OPEN",IF(OR(G55="",H55="",I55=""),"FAIL","PASS")))</x:f>
        <x:v>DORMANT</x:v>
      </x:c>
    </x:row>
    <x:row r="56">
      <x:c r="B56" s="28" t="str">
        <x:v>EX-PAIR-C1-02</x:v>
      </x:c>
      <x:c r="C56" s="28" t="str">
        <x:v>PAIR-C1</x:v>
      </x:c>
      <x:c r="D56" s="28" t="str">
        <x:v>RFP-C1</x:v>
      </x:c>
      <x:c r="E56" s="28" t="str">
        <x:v>CONFIGURATION</x:v>
      </x:c>
      <x:c r="F56" s="31" t="str"/>
      <x:c r="G56" s="31" t="str"/>
      <x:c r="H56" s="31" t="str"/>
      <x:c r="I56" s="31" t="str"/>
      <x:c r="J56" s="31" t="str"/>
      <x:c r="K56" s="28" t="str">
        <x:f>IF(F56="","DORMANT",IF(J56="","OPEN",IF(OR(G56="",H56="",I56=""),"FAIL","PASS")))</x:f>
        <x:v>DORMANT</x:v>
      </x:c>
    </x:row>
    <x:row r="57">
      <x:c r="B57" s="28" t="str">
        <x:v>EX-PAIR-C1-03</x:v>
      </x:c>
      <x:c r="C57" s="28" t="str">
        <x:v>PAIR-C1</x:v>
      </x:c>
      <x:c r="D57" s="28" t="str">
        <x:v>RFP-C1</x:v>
      </x:c>
      <x:c r="E57" s="28" t="str">
        <x:v>INTERFACE</x:v>
      </x:c>
      <x:c r="F57" s="31" t="str"/>
      <x:c r="G57" s="31" t="str"/>
      <x:c r="H57" s="31" t="str"/>
      <x:c r="I57" s="31" t="str"/>
      <x:c r="J57" s="31" t="str"/>
      <x:c r="K57" s="28" t="str">
        <x:f>IF(F57="","DORMANT",IF(J57="","OPEN",IF(OR(G57="",H57="",I57=""),"FAIL","PASS")))</x:f>
        <x:v>DORMANT</x:v>
      </x:c>
    </x:row>
    <x:row r="58">
      <x:c r="B58" s="28" t="str">
        <x:v>EX-PAIR-C1-04</x:v>
      </x:c>
      <x:c r="C58" s="28" t="str">
        <x:v>PAIR-C1</x:v>
      </x:c>
      <x:c r="D58" s="28" t="str">
        <x:v>RFP-C1</x:v>
      </x:c>
      <x:c r="E58" s="28" t="str">
        <x:v>CALIBRATION</x:v>
      </x:c>
      <x:c r="F58" s="31" t="str"/>
      <x:c r="G58" s="31" t="str"/>
      <x:c r="H58" s="31" t="str"/>
      <x:c r="I58" s="31" t="str"/>
      <x:c r="J58" s="31" t="str"/>
      <x:c r="K58" s="28" t="str">
        <x:f>IF(F58="","DORMANT",IF(J58="","OPEN",IF(OR(G58="",H58="",I58=""),"FAIL","PASS")))</x:f>
        <x:v>DORMANT</x:v>
      </x:c>
    </x:row>
    <x:row r="59">
      <x:c r="B59" s="28" t="str">
        <x:v>EX-PAIR-C1-05</x:v>
      </x:c>
      <x:c r="C59" s="28" t="str">
        <x:v>PAIR-C1</x:v>
      </x:c>
      <x:c r="D59" s="28" t="str">
        <x:v>RFP-C1</x:v>
      </x:c>
      <x:c r="E59" s="28" t="str">
        <x:v>CREW</x:v>
      </x:c>
      <x:c r="F59" s="31" t="str"/>
      <x:c r="G59" s="31" t="str"/>
      <x:c r="H59" s="31" t="str"/>
      <x:c r="I59" s="31" t="str"/>
      <x:c r="J59" s="31" t="str"/>
      <x:c r="K59" s="28" t="str">
        <x:f>IF(F59="","DORMANT",IF(J59="","OPEN",IF(OR(G59="",H59="",I59=""),"FAIL","PASS")))</x:f>
        <x:v>DORMANT</x:v>
      </x:c>
    </x:row>
    <x:row r="60">
      <x:c r="B60" s="28" t="str">
        <x:v>EX-PAIR-C1-06</x:v>
      </x:c>
      <x:c r="C60" s="28" t="str">
        <x:v>PAIR-C1</x:v>
      </x:c>
      <x:c r="D60" s="28" t="str">
        <x:v>RFP-C1</x:v>
      </x:c>
      <x:c r="E60" s="28" t="str">
        <x:v>DRILL</x:v>
      </x:c>
      <x:c r="F60" s="31" t="str"/>
      <x:c r="G60" s="31" t="str"/>
      <x:c r="H60" s="31" t="str"/>
      <x:c r="I60" s="31" t="str"/>
      <x:c r="J60" s="31" t="str"/>
      <x:c r="K60" s="28" t="str">
        <x:f>IF(F60="","DORMANT",IF(J60="","OPEN",IF(OR(G60="",H60="",I60=""),"FAIL","PASS")))</x:f>
        <x:v>DORMANT</x:v>
      </x:c>
    </x:row>
    <x:row r="61">
      <x:c r="B61" s="28" t="str">
        <x:v>EX-PAIR-C1-07</x:v>
      </x:c>
      <x:c r="C61" s="28" t="str">
        <x:v>PAIR-C1</x:v>
      </x:c>
      <x:c r="D61" s="28" t="str">
        <x:v>RFP-C1</x:v>
      </x:c>
      <x:c r="E61" s="28" t="str">
        <x:v>RESCUE</x:v>
      </x:c>
      <x:c r="F61" s="31" t="str"/>
      <x:c r="G61" s="31" t="str"/>
      <x:c r="H61" s="31" t="str"/>
      <x:c r="I61" s="31" t="str"/>
      <x:c r="J61" s="31" t="str"/>
      <x:c r="K61" s="28" t="str">
        <x:f>IF(F61="","DORMANT",IF(J61="","OPEN",IF(OR(G61="",H61="",I61=""),"FAIL","PASS")))</x:f>
        <x:v>DORMANT</x:v>
      </x:c>
    </x:row>
    <x:row r="62">
      <x:c r="B62" s="28" t="str">
        <x:v>EX-PAIR-C1-08</x:v>
      </x:c>
      <x:c r="C62" s="28" t="str">
        <x:v>PAIR-C1</x:v>
      </x:c>
      <x:c r="D62" s="28" t="str">
        <x:v>RFP-C1</x:v>
      </x:c>
      <x:c r="E62" s="28" t="str">
        <x:v>EVIDENCE</x:v>
      </x:c>
      <x:c r="F62" s="31" t="str"/>
      <x:c r="G62" s="31" t="str"/>
      <x:c r="H62" s="31" t="str"/>
      <x:c r="I62" s="31" t="str"/>
      <x:c r="J62" s="31" t="str"/>
      <x:c r="K62" s="28" t="str">
        <x:f>IF(F62="","DORMANT",IF(J62="","OPEN",IF(OR(G62="",H62="",I62=""),"FAIL","PASS")))</x:f>
        <x:v>DORMANT</x:v>
      </x:c>
    </x:row>
    <x:row r="63">
      <x:c r="B63" s="28" t="str">
        <x:v>EX-PAIR-C1-09</x:v>
      </x:c>
      <x:c r="C63" s="28" t="str">
        <x:v>PAIR-C1</x:v>
      </x:c>
      <x:c r="D63" s="28" t="str">
        <x:v>RFP-C1</x:v>
      </x:c>
      <x:c r="E63" s="28" t="str">
        <x:v>MEDIA</x:v>
      </x:c>
      <x:c r="F63" s="31" t="str"/>
      <x:c r="G63" s="31" t="str"/>
      <x:c r="H63" s="31" t="str"/>
      <x:c r="I63" s="31" t="str"/>
      <x:c r="J63" s="31" t="str"/>
      <x:c r="K63" s="28" t="str">
        <x:f>IF(F63="","DORMANT",IF(J63="","OPEN",IF(OR(G63="",H63="",I63=""),"FAIL","PASS")))</x:f>
        <x:v>DORMANT</x:v>
      </x:c>
    </x:row>
    <x:row r="64">
      <x:c r="B64" s="28" t="str">
        <x:v>EX-PAIR-C1-10</x:v>
      </x:c>
      <x:c r="C64" s="28" t="str">
        <x:v>PAIR-C1</x:v>
      </x:c>
      <x:c r="D64" s="28" t="str">
        <x:v>RFP-C1</x:v>
      </x:c>
      <x:c r="E64" s="28" t="str">
        <x:v>CONTAINMENT</x:v>
      </x:c>
      <x:c r="F64" s="31" t="str"/>
      <x:c r="G64" s="31" t="str"/>
      <x:c r="H64" s="31" t="str"/>
      <x:c r="I64" s="31" t="str"/>
      <x:c r="J64" s="31" t="str"/>
      <x:c r="K64" s="28" t="str">
        <x:f>IF(F64="","DORMANT",IF(J64="","OPEN",IF(OR(G64="",H64="",I64=""),"FAIL","PASS")))</x:f>
        <x:v>DORMANT</x:v>
      </x:c>
    </x:row>
    <x:row r="65">
      <x:c r="B65" s="28" t="str">
        <x:v>EX-PAIR-C1-11</x:v>
      </x:c>
      <x:c r="C65" s="28" t="str">
        <x:v>PAIR-C1</x:v>
      </x:c>
      <x:c r="D65" s="28" t="str">
        <x:v>RFP-C1</x:v>
      </x:c>
      <x:c r="E65" s="28" t="str">
        <x:v>ASSISTANCE</x:v>
      </x:c>
      <x:c r="F65" s="31" t="str"/>
      <x:c r="G65" s="31" t="str"/>
      <x:c r="H65" s="31" t="str"/>
      <x:c r="I65" s="31" t="str"/>
      <x:c r="J65" s="31" t="str"/>
      <x:c r="K65" s="28" t="str">
        <x:f>IF(F65="","DORMANT",IF(J65="","OPEN",IF(OR(G65="",H65="",I65=""),"FAIL","PASS")))</x:f>
        <x:v>DORMANT</x:v>
      </x:c>
    </x:row>
    <x:row r="66">
      <x:c r="B66" s="28" t="str">
        <x:v>EX-PAIR-C1-12</x:v>
      </x:c>
      <x:c r="C66" s="28" t="str">
        <x:v>PAIR-C1</x:v>
      </x:c>
      <x:c r="D66" s="28" t="str">
        <x:v>RFP-C1</x:v>
      </x:c>
      <x:c r="E66" s="28" t="str">
        <x:v>OTHER</x:v>
      </x:c>
      <x:c r="F66" s="31" t="str"/>
      <x:c r="G66" s="31" t="str"/>
      <x:c r="H66" s="31" t="str"/>
      <x:c r="I66" s="31" t="str"/>
      <x:c r="J66" s="31" t="str"/>
      <x:c r="K66" s="28" t="str">
        <x:f>IF(F66="","DORMANT",IF(J66="","OPEN",IF(OR(G66="",H66="",I66=""),"FAIL","PASS")))</x:f>
        <x:v>DORMANT</x:v>
      </x:c>
    </x:row>
    <x:row r="67">
      <x:c r="B67" s="28" t="str">
        <x:v>EX-PAIR-C2-01</x:v>
      </x:c>
      <x:c r="C67" s="28" t="str">
        <x:v>PAIR-C2</x:v>
      </x:c>
      <x:c r="D67" s="28" t="str">
        <x:v>RFP-C2</x:v>
      </x:c>
      <x:c r="E67" s="28" t="str">
        <x:v>TRANSPORT</x:v>
      </x:c>
      <x:c r="F67" s="31" t="str"/>
      <x:c r="G67" s="31" t="str"/>
      <x:c r="H67" s="31" t="str"/>
      <x:c r="I67" s="31" t="str"/>
      <x:c r="J67" s="31" t="str"/>
      <x:c r="K67" s="28" t="str">
        <x:f>IF(F67="","DORMANT",IF(J67="","OPEN",IF(OR(G67="",H67="",I67=""),"FAIL","PASS")))</x:f>
        <x:v>DORMANT</x:v>
      </x:c>
    </x:row>
    <x:row r="68">
      <x:c r="B68" s="28" t="str">
        <x:v>EX-PAIR-C2-02</x:v>
      </x:c>
      <x:c r="C68" s="28" t="str">
        <x:v>PAIR-C2</x:v>
      </x:c>
      <x:c r="D68" s="28" t="str">
        <x:v>RFP-C2</x:v>
      </x:c>
      <x:c r="E68" s="28" t="str">
        <x:v>CONFIGURATION</x:v>
      </x:c>
      <x:c r="F68" s="31" t="str"/>
      <x:c r="G68" s="31" t="str"/>
      <x:c r="H68" s="31" t="str"/>
      <x:c r="I68" s="31" t="str"/>
      <x:c r="J68" s="31" t="str"/>
      <x:c r="K68" s="28" t="str">
        <x:f>IF(F68="","DORMANT",IF(J68="","OPEN",IF(OR(G68="",H68="",I68=""),"FAIL","PASS")))</x:f>
        <x:v>DORMANT</x:v>
      </x:c>
    </x:row>
    <x:row r="69">
      <x:c r="B69" s="28" t="str">
        <x:v>EX-PAIR-C2-03</x:v>
      </x:c>
      <x:c r="C69" s="28" t="str">
        <x:v>PAIR-C2</x:v>
      </x:c>
      <x:c r="D69" s="28" t="str">
        <x:v>RFP-C2</x:v>
      </x:c>
      <x:c r="E69" s="28" t="str">
        <x:v>INTERFACE</x:v>
      </x:c>
      <x:c r="F69" s="31" t="str"/>
      <x:c r="G69" s="31" t="str"/>
      <x:c r="H69" s="31" t="str"/>
      <x:c r="I69" s="31" t="str"/>
      <x:c r="J69" s="31" t="str"/>
      <x:c r="K69" s="28" t="str">
        <x:f>IF(F69="","DORMANT",IF(J69="","OPEN",IF(OR(G69="",H69="",I69=""),"FAIL","PASS")))</x:f>
        <x:v>DORMANT</x:v>
      </x:c>
    </x:row>
    <x:row r="70">
      <x:c r="B70" s="28" t="str">
        <x:v>EX-PAIR-C2-04</x:v>
      </x:c>
      <x:c r="C70" s="28" t="str">
        <x:v>PAIR-C2</x:v>
      </x:c>
      <x:c r="D70" s="28" t="str">
        <x:v>RFP-C2</x:v>
      </x:c>
      <x:c r="E70" s="28" t="str">
        <x:v>CALIBRATION</x:v>
      </x:c>
      <x:c r="F70" s="31" t="str"/>
      <x:c r="G70" s="31" t="str"/>
      <x:c r="H70" s="31" t="str"/>
      <x:c r="I70" s="31" t="str"/>
      <x:c r="J70" s="31" t="str"/>
      <x:c r="K70" s="28" t="str">
        <x:f>IF(F70="","DORMANT",IF(J70="","OPEN",IF(OR(G70="",H70="",I70=""),"FAIL","PASS")))</x:f>
        <x:v>DORMANT</x:v>
      </x:c>
    </x:row>
    <x:row r="71">
      <x:c r="B71" s="28" t="str">
        <x:v>EX-PAIR-C2-05</x:v>
      </x:c>
      <x:c r="C71" s="28" t="str">
        <x:v>PAIR-C2</x:v>
      </x:c>
      <x:c r="D71" s="28" t="str">
        <x:v>RFP-C2</x:v>
      </x:c>
      <x:c r="E71" s="28" t="str">
        <x:v>CREW</x:v>
      </x:c>
      <x:c r="F71" s="31" t="str"/>
      <x:c r="G71" s="31" t="str"/>
      <x:c r="H71" s="31" t="str"/>
      <x:c r="I71" s="31" t="str"/>
      <x:c r="J71" s="31" t="str"/>
      <x:c r="K71" s="28" t="str">
        <x:f>IF(F71="","DORMANT",IF(J71="","OPEN",IF(OR(G71="",H71="",I71=""),"FAIL","PASS")))</x:f>
        <x:v>DORMANT</x:v>
      </x:c>
    </x:row>
    <x:row r="72">
      <x:c r="B72" s="28" t="str">
        <x:v>EX-PAIR-C2-06</x:v>
      </x:c>
      <x:c r="C72" s="28" t="str">
        <x:v>PAIR-C2</x:v>
      </x:c>
      <x:c r="D72" s="28" t="str">
        <x:v>RFP-C2</x:v>
      </x:c>
      <x:c r="E72" s="28" t="str">
        <x:v>DRILL</x:v>
      </x:c>
      <x:c r="F72" s="31" t="str"/>
      <x:c r="G72" s="31" t="str"/>
      <x:c r="H72" s="31" t="str"/>
      <x:c r="I72" s="31" t="str"/>
      <x:c r="J72" s="31" t="str"/>
      <x:c r="K72" s="28" t="str">
        <x:f>IF(F72="","DORMANT",IF(J72="","OPEN",IF(OR(G72="",H72="",I72=""),"FAIL","PASS")))</x:f>
        <x:v>DORMANT</x:v>
      </x:c>
    </x:row>
    <x:row r="73">
      <x:c r="B73" s="28" t="str">
        <x:v>EX-PAIR-C2-07</x:v>
      </x:c>
      <x:c r="C73" s="28" t="str">
        <x:v>PAIR-C2</x:v>
      </x:c>
      <x:c r="D73" s="28" t="str">
        <x:v>RFP-C2</x:v>
      </x:c>
      <x:c r="E73" s="28" t="str">
        <x:v>RESCUE</x:v>
      </x:c>
      <x:c r="F73" s="31" t="str"/>
      <x:c r="G73" s="31" t="str"/>
      <x:c r="H73" s="31" t="str"/>
      <x:c r="I73" s="31" t="str"/>
      <x:c r="J73" s="31" t="str"/>
      <x:c r="K73" s="28" t="str">
        <x:f>IF(F73="","DORMANT",IF(J73="","OPEN",IF(OR(G73="",H73="",I73=""),"FAIL","PASS")))</x:f>
        <x:v>DORMANT</x:v>
      </x:c>
    </x:row>
    <x:row r="74">
      <x:c r="B74" s="28" t="str">
        <x:v>EX-PAIR-C2-08</x:v>
      </x:c>
      <x:c r="C74" s="28" t="str">
        <x:v>PAIR-C2</x:v>
      </x:c>
      <x:c r="D74" s="28" t="str">
        <x:v>RFP-C2</x:v>
      </x:c>
      <x:c r="E74" s="28" t="str">
        <x:v>EVIDENCE</x:v>
      </x:c>
      <x:c r="F74" s="31" t="str"/>
      <x:c r="G74" s="31" t="str"/>
      <x:c r="H74" s="31" t="str"/>
      <x:c r="I74" s="31" t="str"/>
      <x:c r="J74" s="31" t="str"/>
      <x:c r="K74" s="28" t="str">
        <x:f>IF(F74="","DORMANT",IF(J74="","OPEN",IF(OR(G74="",H74="",I74=""),"FAIL","PASS")))</x:f>
        <x:v>DORMANT</x:v>
      </x:c>
    </x:row>
    <x:row r="75">
      <x:c r="B75" s="28" t="str">
        <x:v>EX-PAIR-C2-09</x:v>
      </x:c>
      <x:c r="C75" s="28" t="str">
        <x:v>PAIR-C2</x:v>
      </x:c>
      <x:c r="D75" s="28" t="str">
        <x:v>RFP-C2</x:v>
      </x:c>
      <x:c r="E75" s="28" t="str">
        <x:v>MEDIA</x:v>
      </x:c>
      <x:c r="F75" s="31" t="str"/>
      <x:c r="G75" s="31" t="str"/>
      <x:c r="H75" s="31" t="str"/>
      <x:c r="I75" s="31" t="str"/>
      <x:c r="J75" s="31" t="str"/>
      <x:c r="K75" s="28" t="str">
        <x:f>IF(F75="","DORMANT",IF(J75="","OPEN",IF(OR(G75="",H75="",I75=""),"FAIL","PASS")))</x:f>
        <x:v>DORMANT</x:v>
      </x:c>
    </x:row>
    <x:row r="76">
      <x:c r="B76" s="28" t="str">
        <x:v>EX-PAIR-C2-10</x:v>
      </x:c>
      <x:c r="C76" s="28" t="str">
        <x:v>PAIR-C2</x:v>
      </x:c>
      <x:c r="D76" s="28" t="str">
        <x:v>RFP-C2</x:v>
      </x:c>
      <x:c r="E76" s="28" t="str">
        <x:v>CONTAINMENT</x:v>
      </x:c>
      <x:c r="F76" s="31" t="str"/>
      <x:c r="G76" s="31" t="str"/>
      <x:c r="H76" s="31" t="str"/>
      <x:c r="I76" s="31" t="str"/>
      <x:c r="J76" s="31" t="str"/>
      <x:c r="K76" s="28" t="str">
        <x:f>IF(F76="","DORMANT",IF(J76="","OPEN",IF(OR(G76="",H76="",I76=""),"FAIL","PASS")))</x:f>
        <x:v>DORMANT</x:v>
      </x:c>
    </x:row>
    <x:row r="77">
      <x:c r="B77" s="28" t="str">
        <x:v>EX-PAIR-C2-11</x:v>
      </x:c>
      <x:c r="C77" s="28" t="str">
        <x:v>PAIR-C2</x:v>
      </x:c>
      <x:c r="D77" s="28" t="str">
        <x:v>RFP-C2</x:v>
      </x:c>
      <x:c r="E77" s="28" t="str">
        <x:v>ASSISTANCE</x:v>
      </x:c>
      <x:c r="F77" s="31" t="str"/>
      <x:c r="G77" s="31" t="str"/>
      <x:c r="H77" s="31" t="str"/>
      <x:c r="I77" s="31" t="str"/>
      <x:c r="J77" s="31" t="str"/>
      <x:c r="K77" s="28" t="str">
        <x:f>IF(F77="","DORMANT",IF(J77="","OPEN",IF(OR(G77="",H77="",I77=""),"FAIL","PASS")))</x:f>
        <x:v>DORMANT</x:v>
      </x:c>
    </x:row>
    <x:row r="78">
      <x:c r="B78" s="28" t="str">
        <x:v>EX-PAIR-C2-12</x:v>
      </x:c>
      <x:c r="C78" s="28" t="str">
        <x:v>PAIR-C2</x:v>
      </x:c>
      <x:c r="D78" s="28" t="str">
        <x:v>RFP-C2</x:v>
      </x:c>
      <x:c r="E78" s="28" t="str">
        <x:v>OTHER</x:v>
      </x:c>
      <x:c r="F78" s="31" t="str"/>
      <x:c r="G78" s="31" t="str"/>
      <x:c r="H78" s="31" t="str"/>
      <x:c r="I78" s="31" t="str"/>
      <x:c r="J78" s="31" t="str"/>
      <x:c r="K78" s="28" t="str">
        <x:f>IF(F78="","DORMANT",IF(J78="","OPEN",IF(OR(G78="",H78="",I78=""),"FAIL","PASS")))</x:f>
        <x:v>DORMANT</x:v>
      </x:c>
    </x:row>
  </x:sheetData>
  <x:conditionalFormatting sqref="K7:K78">
    <x:cfRule type="containsText" dxfId="132" priority="1" operator="containsText" text="FAIL"/>
    <x:cfRule type="containsText" dxfId="133" priority="2" operator="containsText" text="BLOCKED"/>
    <x:cfRule type="containsText" dxfId="134" priority="3" operator="containsText" text="EXPIRED"/>
    <x:cfRule type="containsText" dxfId="135" priority="4" operator="containsText" text="OPEN"/>
    <x:cfRule type="containsText" dxfId="136" priority="5" operator="containsText" text="DORMANT"/>
    <x:cfRule type="containsText" dxfId="137" priority="6" operator="containsText" text="PASS"/>
  </x:conditionalFormatting>
  <x:pageMargins left="0.7" right="0.7" top="0.75" bottom="0.75" header="0.3" footer="0.3"/>
</x:worksheet>
</file>

<file path=xl/worksheets/sheet30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4" hidden="0" customWidth="1"/>
    <x:col min="3" max="3" width="31" hidden="0" customWidth="1"/>
    <x:col min="4" max="4" width="25" hidden="0" customWidth="1"/>
    <x:col min="5" max="5" width="24" hidden="0" customWidth="1"/>
    <x:col min="6" max="6" width="17" hidden="0" customWidth="1"/>
    <x:col min="7" max="7" width="41" hidden="0" customWidth="1"/>
    <x:col min="8" max="8" width="34" hidden="0" customWidth="1"/>
    <x:col min="9" max="9" width="21" hidden="0" customWidth="1"/>
    <x:col min="10" max="10" width="14" hidden="0" customWidth="1"/>
  </x:cols>
  <x:sheetData>
    <x:row r="2">
      <x:c r="B2" s="25" t="str">
        <x:v>Fourteen readiness-change classes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27" t="str">
        <x:v>A material change invalidates the named readiness credentials and repeats every affected integration record.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6" t="str">
        <x:v>Class</x:v>
      </x:c>
      <x:c r="C6" s="6" t="str">
        <x:v>Object</x:v>
      </x:c>
      <x:c r="D6" s="6" t="str">
        <x:v>Change identity</x:v>
      </x:c>
      <x:c r="E6" s="6" t="str">
        <x:v>Affected object</x:v>
      </x:c>
      <x:c r="F6" s="6" t="str">
        <x:v>Critical flag</x:v>
      </x:c>
      <x:c r="G6" s="6" t="str">
        <x:v>Regression scope</x:v>
      </x:c>
      <x:c r="H6" s="6" t="str">
        <x:v>Evidence root</x:v>
      </x:c>
      <x:c r="I6" s="6" t="str">
        <x:v>Closed UTC</x:v>
      </x:c>
      <x:c r="J6" s="6" t="str">
        <x:v>State</x:v>
      </x:c>
    </x:row>
    <x:row r="7">
      <x:c r="B7" s="28" t="str">
        <x:v>CC-01</x:v>
      </x:c>
      <x:c r="C7" s="28" t="str">
        <x:v>article configuration</x:v>
      </x:c>
      <x:c r="D7" s="31" t="str"/>
      <x:c r="E7" s="31" t="str"/>
      <x:c r="F7" s="31" t="str"/>
      <x:c r="G7" s="31" t="str"/>
      <x:c r="H7" s="31" t="str"/>
      <x:c r="I7" s="31" t="str"/>
      <x:c r="J7" s="28" t="str">
        <x:f>IF(D7="","DORMANT",IF(I7="","OPEN",IF(OR(E7="",F7="",G7="",H7=""),"FAIL","PASS")))</x:f>
        <x:v>DORMANT</x:v>
      </x:c>
    </x:row>
    <x:row r="8">
      <x:c r="B8" s="28" t="str">
        <x:v>CC-02</x:v>
      </x:c>
      <x:c r="C8" s="28" t="str">
        <x:v>rig public interface</x:v>
      </x:c>
      <x:c r="D8" s="31" t="str"/>
      <x:c r="E8" s="31" t="str"/>
      <x:c r="F8" s="31" t="str"/>
      <x:c r="G8" s="31" t="str"/>
      <x:c r="H8" s="31" t="str"/>
      <x:c r="I8" s="31" t="str"/>
      <x:c r="J8" s="28" t="str">
        <x:f>IF(D8="","DORMANT",IF(I8="","OPEN",IF(OR(E8="",F8="",G8="",H8=""),"FAIL","PASS")))</x:f>
        <x:v>DORMANT</x:v>
      </x:c>
    </x:row>
    <x:row r="9">
      <x:c r="B9" s="28" t="str">
        <x:v>CC-03</x:v>
      </x:c>
      <x:c r="C9" s="28" t="str">
        <x:v>transport cradle</x:v>
      </x:c>
      <x:c r="D9" s="31" t="str"/>
      <x:c r="E9" s="31" t="str"/>
      <x:c r="F9" s="31" t="str"/>
      <x:c r="G9" s="31" t="str"/>
      <x:c r="H9" s="31" t="str"/>
      <x:c r="I9" s="31" t="str"/>
      <x:c r="J9" s="28" t="str">
        <x:f>IF(D9="","DORMANT",IF(I9="","OPEN",IF(OR(E9="",F9="",G9="",H9=""),"FAIL","PASS")))</x:f>
        <x:v>DORMANT</x:v>
      </x:c>
    </x:row>
    <x:row r="10">
      <x:c r="B10" s="28" t="str">
        <x:v>CC-04</x:v>
      </x:c>
      <x:c r="C10" s="28" t="str">
        <x:v>material or wetted state</x:v>
      </x:c>
      <x:c r="D10" s="31" t="str"/>
      <x:c r="E10" s="31" t="str"/>
      <x:c r="F10" s="31" t="str"/>
      <x:c r="G10" s="31" t="str"/>
      <x:c r="H10" s="31" t="str"/>
      <x:c r="I10" s="31" t="str"/>
      <x:c r="J10" s="28" t="str">
        <x:f>IF(D10="","DORMANT",IF(I10="","OPEN",IF(OR(E10="",F10="",G10="",H10=""),"FAIL","PASS")))</x:f>
        <x:v>DORMANT</x:v>
      </x:c>
    </x:row>
    <x:row r="11">
      <x:c r="B11" s="28" t="str">
        <x:v>CC-05</x:v>
      </x:c>
      <x:c r="C11" s="28" t="str">
        <x:v>joint or final element</x:v>
      </x:c>
      <x:c r="D11" s="31" t="str"/>
      <x:c r="E11" s="31" t="str"/>
      <x:c r="F11" s="31" t="str"/>
      <x:c r="G11" s="31" t="str"/>
      <x:c r="H11" s="31" t="str"/>
      <x:c r="I11" s="31" t="str"/>
      <x:c r="J11" s="28" t="str">
        <x:f>IF(D11="","DORMANT",IF(I11="","OPEN",IF(OR(E11="",F11="",G11="",H11=""),"FAIL","PASS")))</x:f>
        <x:v>DORMANT</x:v>
      </x:c>
    </x:row>
    <x:row r="12">
      <x:c r="B12" s="28" t="str">
        <x:v>CC-06</x:v>
      </x:c>
      <x:c r="C12" s="28" t="str">
        <x:v>channel or mount</x:v>
      </x:c>
      <x:c r="D12" s="31" t="str"/>
      <x:c r="E12" s="31" t="str"/>
      <x:c r="F12" s="31" t="str"/>
      <x:c r="G12" s="31" t="str"/>
      <x:c r="H12" s="31" t="str"/>
      <x:c r="I12" s="31" t="str"/>
      <x:c r="J12" s="28" t="str">
        <x:f>IF(D12="","DORMANT",IF(I12="","OPEN",IF(OR(E12="",F12="",G12="",H12=""),"FAIL","PASS")))</x:f>
        <x:v>DORMANT</x:v>
      </x:c>
    </x:row>
    <x:row r="13">
      <x:c r="B13" s="28" t="str">
        <x:v>CC-07</x:v>
      </x:c>
      <x:c r="C13" s="28" t="str">
        <x:v>calibration standard</x:v>
      </x:c>
      <x:c r="D13" s="31" t="str"/>
      <x:c r="E13" s="31" t="str"/>
      <x:c r="F13" s="31" t="str"/>
      <x:c r="G13" s="31" t="str"/>
      <x:c r="H13" s="31" t="str"/>
      <x:c r="I13" s="31" t="str"/>
      <x:c r="J13" s="28" t="str">
        <x:f>IF(D13="","DORMANT",IF(I13="","OPEN",IF(OR(E13="",F13="",G13="",H13=""),"FAIL","PASS")))</x:f>
        <x:v>DORMANT</x:v>
      </x:c>
    </x:row>
    <x:row r="14">
      <x:c r="B14" s="28" t="str">
        <x:v>CC-08</x:v>
      </x:c>
      <x:c r="C14" s="28" t="str">
        <x:v>software or firmware</x:v>
      </x:c>
      <x:c r="D14" s="31" t="str"/>
      <x:c r="E14" s="31" t="str"/>
      <x:c r="F14" s="31" t="str"/>
      <x:c r="G14" s="31" t="str"/>
      <x:c r="H14" s="31" t="str"/>
      <x:c r="I14" s="31" t="str"/>
      <x:c r="J14" s="28" t="str">
        <x:f>IF(D14="","DORMANT",IF(I14="","OPEN",IF(OR(E14="",F14="",G14="",H14=""),"FAIL","PASS")))</x:f>
        <x:v>DORMANT</x:v>
      </x:c>
    </x:row>
    <x:row r="15">
      <x:c r="B15" s="28" t="str">
        <x:v>CC-09</x:v>
      </x:c>
      <x:c r="C15" s="28" t="str">
        <x:v>causal-time root</x:v>
      </x:c>
      <x:c r="D15" s="31" t="str"/>
      <x:c r="E15" s="31" t="str"/>
      <x:c r="F15" s="31" t="str"/>
      <x:c r="G15" s="31" t="str"/>
      <x:c r="H15" s="31" t="str"/>
      <x:c r="I15" s="31" t="str"/>
      <x:c r="J15" s="28" t="str">
        <x:f>IF(D15="","DORMANT",IF(I15="","OPEN",IF(OR(E15="",F15="",G15="",H15=""),"FAIL","PASS")))</x:f>
        <x:v>DORMANT</x:v>
      </x:c>
    </x:row>
    <x:row r="16">
      <x:c r="B16" s="28" t="str">
        <x:v>CC-10</x:v>
      </x:c>
      <x:c r="C16" s="28" t="str">
        <x:v>evidence schema</x:v>
      </x:c>
      <x:c r="D16" s="31" t="str"/>
      <x:c r="E16" s="31" t="str"/>
      <x:c r="F16" s="31" t="str"/>
      <x:c r="G16" s="31" t="str"/>
      <x:c r="H16" s="31" t="str"/>
      <x:c r="I16" s="31" t="str"/>
      <x:c r="J16" s="28" t="str">
        <x:f>IF(D16="","DORMANT",IF(I16="","OPEN",IF(OR(E16="",F16="",G16="",H16=""),"FAIL","PASS")))</x:f>
        <x:v>DORMANT</x:v>
      </x:c>
    </x:row>
    <x:row r="17">
      <x:c r="B17" s="28" t="str">
        <x:v>CC-11</x:v>
      </x:c>
      <x:c r="C17" s="28" t="str">
        <x:v>crew composition</x:v>
      </x:c>
      <x:c r="D17" s="31" t="str"/>
      <x:c r="E17" s="31" t="str"/>
      <x:c r="F17" s="31" t="str"/>
      <x:c r="G17" s="31" t="str"/>
      <x:c r="H17" s="31" t="str"/>
      <x:c r="I17" s="31" t="str"/>
      <x:c r="J17" s="28" t="str">
        <x:f>IF(D17="","DORMANT",IF(I17="","OPEN",IF(OR(E17="",F17="",G17="",H17=""),"FAIL","PASS")))</x:f>
        <x:v>DORMANT</x:v>
      </x:c>
    </x:row>
    <x:row r="18">
      <x:c r="B18" s="28" t="str">
        <x:v>CC-12</x:v>
      </x:c>
      <x:c r="C18" s="28" t="str">
        <x:v>rescue path</x:v>
      </x:c>
      <x:c r="D18" s="31" t="str"/>
      <x:c r="E18" s="31" t="str"/>
      <x:c r="F18" s="31" t="str"/>
      <x:c r="G18" s="31" t="str"/>
      <x:c r="H18" s="31" t="str"/>
      <x:c r="I18" s="31" t="str"/>
      <x:c r="J18" s="28" t="str">
        <x:f>IF(D18="","DORMANT",IF(I18="","OPEN",IF(OR(E18="",F18="",G18="",H18=""),"FAIL","PASS")))</x:f>
        <x:v>DORMANT</x:v>
      </x:c>
    </x:row>
    <x:row r="19">
      <x:c r="B19" s="28" t="str">
        <x:v>CC-13</x:v>
      </x:c>
      <x:c r="C19" s="28" t="str">
        <x:v>media or containment</x:v>
      </x:c>
      <x:c r="D19" s="31" t="str"/>
      <x:c r="E19" s="31" t="str"/>
      <x:c r="F19" s="31" t="str"/>
      <x:c r="G19" s="31" t="str"/>
      <x:c r="H19" s="31" t="str"/>
      <x:c r="I19" s="31" t="str"/>
      <x:c r="J19" s="28" t="str">
        <x:f>IF(D19="","DORMANT",IF(I19="","OPEN",IF(OR(E19="",F19="",G19="",H19=""),"FAIL","PASS")))</x:f>
        <x:v>DORMANT</x:v>
      </x:c>
    </x:row>
    <x:row r="20">
      <x:c r="B20" s="28" t="str">
        <x:v>CC-14</x:v>
      </x:c>
      <x:c r="C20" s="28" t="str">
        <x:v>home assignment or rotation</x:v>
      </x:c>
      <x:c r="D20" s="31" t="str"/>
      <x:c r="E20" s="31" t="str"/>
      <x:c r="F20" s="31" t="str"/>
      <x:c r="G20" s="31" t="str"/>
      <x:c r="H20" s="31" t="str"/>
      <x:c r="I20" s="31" t="str"/>
      <x:c r="J20" s="28" t="str">
        <x:f>IF(D20="","DORMANT",IF(I20="","OPEN",IF(OR(E20="",F20="",G20="",H20=""),"FAIL","PASS")))</x:f>
        <x:v>DORMANT</x:v>
      </x:c>
    </x:row>
  </x:sheetData>
  <x:conditionalFormatting sqref="J7:J20">
    <x:cfRule type="containsText" dxfId="138" priority="1" operator="containsText" text="FAIL"/>
    <x:cfRule type="containsText" dxfId="139" priority="2" operator="containsText" text="BLOCKED"/>
    <x:cfRule type="containsText" dxfId="140" priority="3" operator="containsText" text="EXPIRED"/>
    <x:cfRule type="containsText" dxfId="141" priority="4" operator="containsText" text="OPEN"/>
    <x:cfRule type="containsText" dxfId="142" priority="5" operator="containsText" text="DORMANT"/>
    <x:cfRule type="containsText" dxfId="143" priority="6" operator="containsText" text="PASS"/>
  </x:conditionalFormatting>
  <x:pageMargins left="0.7" right="0.7" top="0.75" bottom="0.75" header="0.3" footer="0.3"/>
</x:worksheet>
</file>

<file path=xl/worksheets/sheet31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27" hidden="0" customWidth="1"/>
    <x:col min="3" max="3" width="16" hidden="0" customWidth="1"/>
    <x:col min="4" max="4" width="14" hidden="0" customWidth="1"/>
    <x:col min="5" max="5" width="12" hidden="0" customWidth="1"/>
    <x:col min="6" max="6" width="38" hidden="0" customWidth="1"/>
    <x:col min="7" max="7" width="21" hidden="0" customWidth="1"/>
    <x:col min="8" max="8" width="21" hidden="0" customWidth="1"/>
    <x:col min="9" max="9" width="21" hidden="0" customWidth="1"/>
    <x:col min="10" max="10" width="14" hidden="0" customWidth="1"/>
  </x:cols>
  <x:sheetData>
    <x:row r="2">
      <x:c r="B2" s="25" t="str">
        <x:v>Seventy-two time-bounded readiness credentials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27" t="str">
        <x:v>All twelve credentials for a pair must cover one registered campaign start date. Expiry returns the pair to an unavailable state.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6" t="str">
        <x:v>Credential</x:v>
      </x:c>
      <x:c r="C6" s="6" t="str">
        <x:v>Pair</x:v>
      </x:c>
      <x:c r="D6" s="6" t="str">
        <x:v>Rig</x:v>
      </x:c>
      <x:c r="E6" s="6" t="str">
        <x:v>Class</x:v>
      </x:c>
      <x:c r="F6" s="6" t="str">
        <x:v>Requirement</x:v>
      </x:c>
      <x:c r="G6" s="6" t="str">
        <x:v>Valid from</x:v>
      </x:c>
      <x:c r="H6" s="6" t="str">
        <x:v>Valid through</x:v>
      </x:c>
      <x:c r="I6" s="6" t="str">
        <x:v>Accepted UTC</x:v>
      </x:c>
      <x:c r="J6" s="6" t="str">
        <x:v>State</x:v>
      </x:c>
    </x:row>
    <x:row r="7">
      <x:c r="B7" s="28" t="str">
        <x:v>XP-PAIR-A1-01</x:v>
      </x:c>
      <x:c r="C7" s="28" t="str">
        <x:v>PAIR-A1</x:v>
      </x:c>
      <x:c r="D7" s="28" t="str">
        <x:v>RFP-A1</x:v>
      </x:c>
      <x:c r="E7" s="28" t="n">
        <x:v>1</x:v>
      </x:c>
      <x:c r="F7" s="28" t="str">
        <x:v>article baseline</x:v>
      </x:c>
      <x:c r="G7" s="32" t="str"/>
      <x:c r="H7" s="32" t="str"/>
      <x:c r="I7" s="31" t="str"/>
      <x:c r="J7" s="28" t="str">
        <x:f>IF(I7="","OPEN",IF(OR(G7="",H7="",'Controls'!$D$69=""),"FAIL",IF(AND('Controls'!$D$69&gt;=G7,'Controls'!$D$69&lt;=H7),"PASS","EXPIRED")))</x:f>
        <x:v>OPEN</x:v>
      </x:c>
    </x:row>
    <x:row r="8">
      <x:c r="B8" s="28" t="str">
        <x:v>XP-PAIR-A1-02</x:v>
      </x:c>
      <x:c r="C8" s="28" t="str">
        <x:v>PAIR-A1</x:v>
      </x:c>
      <x:c r="D8" s="28" t="str">
        <x:v>RFP-A1</x:v>
      </x:c>
      <x:c r="E8" s="28" t="n">
        <x:v>2</x:v>
      </x:c>
      <x:c r="F8" s="28" t="str">
        <x:v>rig baseline</x:v>
      </x:c>
      <x:c r="G8" s="32" t="str"/>
      <x:c r="H8" s="32" t="str"/>
      <x:c r="I8" s="31" t="str"/>
      <x:c r="J8" s="28" t="str">
        <x:f>IF(I8="","OPEN",IF(OR(G8="",H8="",'Controls'!$D$69=""),"FAIL",IF(AND('Controls'!$D$69&gt;=G8,'Controls'!$D$69&lt;=H8),"PASS","EXPIRED")))</x:f>
        <x:v>OPEN</x:v>
      </x:c>
    </x:row>
    <x:row r="9">
      <x:c r="B9" s="28" t="str">
        <x:v>XP-PAIR-A1-03</x:v>
      </x:c>
      <x:c r="C9" s="28" t="str">
        <x:v>PAIR-A1</x:v>
      </x:c>
      <x:c r="D9" s="28" t="str">
        <x:v>RFP-A1</x:v>
      </x:c>
      <x:c r="E9" s="28" t="n">
        <x:v>3</x:v>
      </x:c>
      <x:c r="F9" s="28" t="str">
        <x:v>home docking</x:v>
      </x:c>
      <x:c r="G9" s="32" t="str"/>
      <x:c r="H9" s="32" t="str"/>
      <x:c r="I9" s="31" t="str"/>
      <x:c r="J9" s="28" t="str">
        <x:f>IF(I9="","OPEN",IF(OR(G9="",H9="",'Controls'!$D$69=""),"FAIL",IF(AND('Controls'!$D$69&gt;=G9,'Controls'!$D$69&lt;=H9),"PASS","EXPIRED")))</x:f>
        <x:v>OPEN</x:v>
      </x:c>
    </x:row>
    <x:row r="10">
      <x:c r="B10" s="28" t="str">
        <x:v>XP-PAIR-A1-04</x:v>
      </x:c>
      <x:c r="C10" s="28" t="str">
        <x:v>PAIR-A1</x:v>
      </x:c>
      <x:c r="D10" s="28" t="str">
        <x:v>RFP-A1</x:v>
      </x:c>
      <x:c r="E10" s="28" t="n">
        <x:v>4</x:v>
      </x:c>
      <x:c r="F10" s="28" t="str">
        <x:v>interface circuit</x:v>
      </x:c>
      <x:c r="G10" s="32" t="str"/>
      <x:c r="H10" s="32" t="str"/>
      <x:c r="I10" s="31" t="str"/>
      <x:c r="J10" s="28" t="str">
        <x:f>IF(I10="","OPEN",IF(OR(G10="",H10="",'Controls'!$D$69=""),"FAIL",IF(AND('Controls'!$D$69&gt;=G10,'Controls'!$D$69&lt;=H10),"PASS","EXPIRED")))</x:f>
        <x:v>OPEN</x:v>
      </x:c>
    </x:row>
    <x:row r="11">
      <x:c r="B11" s="28" t="str">
        <x:v>XP-PAIR-A1-05</x:v>
      </x:c>
      <x:c r="C11" s="28" t="str">
        <x:v>PAIR-A1</x:v>
      </x:c>
      <x:c r="D11" s="28" t="str">
        <x:v>RFP-A1</x:v>
      </x:c>
      <x:c r="E11" s="28" t="n">
        <x:v>5</x:v>
      </x:c>
      <x:c r="F11" s="28" t="str">
        <x:v>calibration circuit</x:v>
      </x:c>
      <x:c r="G11" s="32" t="str"/>
      <x:c r="H11" s="32" t="str"/>
      <x:c r="I11" s="31" t="str"/>
      <x:c r="J11" s="28" t="str">
        <x:f>IF(I11="","OPEN",IF(OR(G11="",H11="",'Controls'!$D$69=""),"FAIL",IF(AND('Controls'!$D$69&gt;=G11,'Controls'!$D$69&lt;=H11),"PASS","EXPIRED")))</x:f>
        <x:v>OPEN</x:v>
      </x:c>
    </x:row>
    <x:row r="12">
      <x:c r="B12" s="28" t="str">
        <x:v>XP-PAIR-A1-06</x:v>
      </x:c>
      <x:c r="C12" s="28" t="str">
        <x:v>PAIR-A1</x:v>
      </x:c>
      <x:c r="D12" s="28" t="str">
        <x:v>RFP-A1</x:v>
      </x:c>
      <x:c r="E12" s="28" t="n">
        <x:v>6</x:v>
      </x:c>
      <x:c r="F12" s="28" t="str">
        <x:v>crew roster</x:v>
      </x:c>
      <x:c r="G12" s="32" t="str"/>
      <x:c r="H12" s="32" t="str"/>
      <x:c r="I12" s="31" t="str"/>
      <x:c r="J12" s="28" t="str">
        <x:f>IF(I12="","OPEN",IF(OR(G12="",H12="",'Controls'!$D$69=""),"FAIL",IF(AND('Controls'!$D$69&gt;=G12,'Controls'!$D$69&lt;=H12),"PASS","EXPIRED")))</x:f>
        <x:v>OPEN</x:v>
      </x:c>
    </x:row>
    <x:row r="13">
      <x:c r="B13" s="28" t="str">
        <x:v>XP-PAIR-A1-07</x:v>
      </x:c>
      <x:c r="C13" s="28" t="str">
        <x:v>PAIR-A1</x:v>
      </x:c>
      <x:c r="D13" s="28" t="str">
        <x:v>RFP-A1</x:v>
      </x:c>
      <x:c r="E13" s="28" t="n">
        <x:v>7</x:v>
      </x:c>
      <x:c r="F13" s="28" t="str">
        <x:v>degraded-service drills</x:v>
      </x:c>
      <x:c r="G13" s="32" t="str"/>
      <x:c r="H13" s="32" t="str"/>
      <x:c r="I13" s="31" t="str"/>
      <x:c r="J13" s="28" t="str">
        <x:f>IF(I13="","OPEN",IF(OR(G13="",H13="",'Controls'!$D$69=""),"FAIL",IF(AND('Controls'!$D$69&gt;=G13,'Controls'!$D$69&lt;=H13),"PASS","EXPIRED")))</x:f>
        <x:v>OPEN</x:v>
      </x:c>
    </x:row>
    <x:row r="14">
      <x:c r="B14" s="28" t="str">
        <x:v>XP-PAIR-A1-08</x:v>
      </x:c>
      <x:c r="C14" s="28" t="str">
        <x:v>PAIR-A1</x:v>
      </x:c>
      <x:c r="D14" s="28" t="str">
        <x:v>RFP-A1</x:v>
      </x:c>
      <x:c r="E14" s="28" t="n">
        <x:v>8</x:v>
      </x:c>
      <x:c r="F14" s="28" t="str">
        <x:v>rescue exercises</x:v>
      </x:c>
      <x:c r="G14" s="32" t="str"/>
      <x:c r="H14" s="32" t="str"/>
      <x:c r="I14" s="31" t="str"/>
      <x:c r="J14" s="28" t="str">
        <x:f>IF(I14="","OPEN",IF(OR(G14="",H14="",'Controls'!$D$69=""),"FAIL",IF(AND('Controls'!$D$69&gt;=G14,'Controls'!$D$69&lt;=H14),"PASS","EXPIRED")))</x:f>
        <x:v>OPEN</x:v>
      </x:c>
    </x:row>
    <x:row r="15">
      <x:c r="B15" s="28" t="str">
        <x:v>XP-PAIR-A1-09</x:v>
      </x:c>
      <x:c r="C15" s="28" t="str">
        <x:v>PAIR-A1</x:v>
      </x:c>
      <x:c r="D15" s="28" t="str">
        <x:v>RFP-A1</x:v>
      </x:c>
      <x:c r="E15" s="28" t="n">
        <x:v>9</x:v>
      </x:c>
      <x:c r="F15" s="28" t="str">
        <x:v>evidence handshakes</x:v>
      </x:c>
      <x:c r="G15" s="32" t="str"/>
      <x:c r="H15" s="32" t="str"/>
      <x:c r="I15" s="31" t="str"/>
      <x:c r="J15" s="28" t="str">
        <x:f>IF(I15="","OPEN",IF(OR(G15="",H15="",'Controls'!$D$69=""),"FAIL",IF(AND('Controls'!$D$69&gt;=G15,'Controls'!$D$69&lt;=H15),"PASS","EXPIRED")))</x:f>
        <x:v>OPEN</x:v>
      </x:c>
    </x:row>
    <x:row r="16">
      <x:c r="B16" s="28" t="str">
        <x:v>XP-PAIR-A1-10</x:v>
      </x:c>
      <x:c r="C16" s="28" t="str">
        <x:v>PAIR-A1</x:v>
      </x:c>
      <x:c r="D16" s="28" t="str">
        <x:v>RFP-A1</x:v>
      </x:c>
      <x:c r="E16" s="28" t="n">
        <x:v>10</x:v>
      </x:c>
      <x:c r="F16" s="28" t="str">
        <x:v>remote replay</x:v>
      </x:c>
      <x:c r="G16" s="32" t="str"/>
      <x:c r="H16" s="32" t="str"/>
      <x:c r="I16" s="31" t="str"/>
      <x:c r="J16" s="28" t="str">
        <x:f>IF(I16="","OPEN",IF(OR(G16="",H16="",'Controls'!$D$69=""),"FAIL",IF(AND('Controls'!$D$69&gt;=G16,'Controls'!$D$69&lt;=H16),"PASS","EXPIRED")))</x:f>
        <x:v>OPEN</x:v>
      </x:c>
    </x:row>
    <x:row r="17">
      <x:c r="B17" s="28" t="str">
        <x:v>XP-PAIR-A1-11</x:v>
      </x:c>
      <x:c r="C17" s="28" t="str">
        <x:v>PAIR-A1</x:v>
      </x:c>
      <x:c r="D17" s="28" t="str">
        <x:v>RFP-A1</x:v>
      </x:c>
      <x:c r="E17" s="28" t="n">
        <x:v>11</x:v>
      </x:c>
      <x:c r="F17" s="28" t="str">
        <x:v>media custody</x:v>
      </x:c>
      <x:c r="G17" s="32" t="str"/>
      <x:c r="H17" s="32" t="str"/>
      <x:c r="I17" s="31" t="str"/>
      <x:c r="J17" s="28" t="str">
        <x:f>IF(I17="","OPEN",IF(OR(G17="",H17="",'Controls'!$D$69=""),"FAIL",IF(AND('Controls'!$D$69&gt;=G17,'Controls'!$D$69&lt;=H17),"PASS","EXPIRED")))</x:f>
        <x:v>OPEN</x:v>
      </x:c>
    </x:row>
    <x:row r="18">
      <x:c r="B18" s="28" t="str">
        <x:v>XP-PAIR-A1-12</x:v>
      </x:c>
      <x:c r="C18" s="28" t="str">
        <x:v>PAIR-A1</x:v>
      </x:c>
      <x:c r="D18" s="28" t="str">
        <x:v>RFP-A1</x:v>
      </x:c>
      <x:c r="E18" s="28" t="n">
        <x:v>12</x:v>
      </x:c>
      <x:c r="F18" s="28" t="str">
        <x:v>public safety release</x:v>
      </x:c>
      <x:c r="G18" s="32" t="str"/>
      <x:c r="H18" s="32" t="str"/>
      <x:c r="I18" s="31" t="str"/>
      <x:c r="J18" s="28" t="str">
        <x:f>IF(I18="","OPEN",IF(OR(G18="",H18="",'Controls'!$D$69=""),"FAIL",IF(AND('Controls'!$D$69&gt;=G18,'Controls'!$D$69&lt;=H18),"PASS","EXPIRED")))</x:f>
        <x:v>OPEN</x:v>
      </x:c>
    </x:row>
    <x:row r="19">
      <x:c r="B19" s="28" t="str">
        <x:v>XP-PAIR-A2-01</x:v>
      </x:c>
      <x:c r="C19" s="28" t="str">
        <x:v>PAIR-A2</x:v>
      </x:c>
      <x:c r="D19" s="28" t="str">
        <x:v>RFP-A2</x:v>
      </x:c>
      <x:c r="E19" s="28" t="n">
        <x:v>1</x:v>
      </x:c>
      <x:c r="F19" s="28" t="str">
        <x:v>article baseline</x:v>
      </x:c>
      <x:c r="G19" s="32" t="str"/>
      <x:c r="H19" s="32" t="str"/>
      <x:c r="I19" s="31" t="str"/>
      <x:c r="J19" s="28" t="str">
        <x:f>IF(I19="","OPEN",IF(OR(G19="",H19="",'Controls'!$D$69=""),"FAIL",IF(AND('Controls'!$D$69&gt;=G19,'Controls'!$D$69&lt;=H19),"PASS","EXPIRED")))</x:f>
        <x:v>OPEN</x:v>
      </x:c>
    </x:row>
    <x:row r="20">
      <x:c r="B20" s="28" t="str">
        <x:v>XP-PAIR-A2-02</x:v>
      </x:c>
      <x:c r="C20" s="28" t="str">
        <x:v>PAIR-A2</x:v>
      </x:c>
      <x:c r="D20" s="28" t="str">
        <x:v>RFP-A2</x:v>
      </x:c>
      <x:c r="E20" s="28" t="n">
        <x:v>2</x:v>
      </x:c>
      <x:c r="F20" s="28" t="str">
        <x:v>rig baseline</x:v>
      </x:c>
      <x:c r="G20" s="32" t="str"/>
      <x:c r="H20" s="32" t="str"/>
      <x:c r="I20" s="31" t="str"/>
      <x:c r="J20" s="28" t="str">
        <x:f>IF(I20="","OPEN",IF(OR(G20="",H20="",'Controls'!$D$69=""),"FAIL",IF(AND('Controls'!$D$69&gt;=G20,'Controls'!$D$69&lt;=H20),"PASS","EXPIRED")))</x:f>
        <x:v>OPEN</x:v>
      </x:c>
    </x:row>
    <x:row r="21">
      <x:c r="B21" s="28" t="str">
        <x:v>XP-PAIR-A2-03</x:v>
      </x:c>
      <x:c r="C21" s="28" t="str">
        <x:v>PAIR-A2</x:v>
      </x:c>
      <x:c r="D21" s="28" t="str">
        <x:v>RFP-A2</x:v>
      </x:c>
      <x:c r="E21" s="28" t="n">
        <x:v>3</x:v>
      </x:c>
      <x:c r="F21" s="28" t="str">
        <x:v>home docking</x:v>
      </x:c>
      <x:c r="G21" s="32" t="str"/>
      <x:c r="H21" s="32" t="str"/>
      <x:c r="I21" s="31" t="str"/>
      <x:c r="J21" s="28" t="str">
        <x:f>IF(I21="","OPEN",IF(OR(G21="",H21="",'Controls'!$D$69=""),"FAIL",IF(AND('Controls'!$D$69&gt;=G21,'Controls'!$D$69&lt;=H21),"PASS","EXPIRED")))</x:f>
        <x:v>OPEN</x:v>
      </x:c>
    </x:row>
    <x:row r="22">
      <x:c r="B22" s="28" t="str">
        <x:v>XP-PAIR-A2-04</x:v>
      </x:c>
      <x:c r="C22" s="28" t="str">
        <x:v>PAIR-A2</x:v>
      </x:c>
      <x:c r="D22" s="28" t="str">
        <x:v>RFP-A2</x:v>
      </x:c>
      <x:c r="E22" s="28" t="n">
        <x:v>4</x:v>
      </x:c>
      <x:c r="F22" s="28" t="str">
        <x:v>interface circuit</x:v>
      </x:c>
      <x:c r="G22" s="32" t="str"/>
      <x:c r="H22" s="32" t="str"/>
      <x:c r="I22" s="31" t="str"/>
      <x:c r="J22" s="28" t="str">
        <x:f>IF(I22="","OPEN",IF(OR(G22="",H22="",'Controls'!$D$69=""),"FAIL",IF(AND('Controls'!$D$69&gt;=G22,'Controls'!$D$69&lt;=H22),"PASS","EXPIRED")))</x:f>
        <x:v>OPEN</x:v>
      </x:c>
    </x:row>
    <x:row r="23">
      <x:c r="B23" s="28" t="str">
        <x:v>XP-PAIR-A2-05</x:v>
      </x:c>
      <x:c r="C23" s="28" t="str">
        <x:v>PAIR-A2</x:v>
      </x:c>
      <x:c r="D23" s="28" t="str">
        <x:v>RFP-A2</x:v>
      </x:c>
      <x:c r="E23" s="28" t="n">
        <x:v>5</x:v>
      </x:c>
      <x:c r="F23" s="28" t="str">
        <x:v>calibration circuit</x:v>
      </x:c>
      <x:c r="G23" s="32" t="str"/>
      <x:c r="H23" s="32" t="str"/>
      <x:c r="I23" s="31" t="str"/>
      <x:c r="J23" s="28" t="str">
        <x:f>IF(I23="","OPEN",IF(OR(G23="",H23="",'Controls'!$D$69=""),"FAIL",IF(AND('Controls'!$D$69&gt;=G23,'Controls'!$D$69&lt;=H23),"PASS","EXPIRED")))</x:f>
        <x:v>OPEN</x:v>
      </x:c>
    </x:row>
    <x:row r="24">
      <x:c r="B24" s="28" t="str">
        <x:v>XP-PAIR-A2-06</x:v>
      </x:c>
      <x:c r="C24" s="28" t="str">
        <x:v>PAIR-A2</x:v>
      </x:c>
      <x:c r="D24" s="28" t="str">
        <x:v>RFP-A2</x:v>
      </x:c>
      <x:c r="E24" s="28" t="n">
        <x:v>6</x:v>
      </x:c>
      <x:c r="F24" s="28" t="str">
        <x:v>crew roster</x:v>
      </x:c>
      <x:c r="G24" s="32" t="str"/>
      <x:c r="H24" s="32" t="str"/>
      <x:c r="I24" s="31" t="str"/>
      <x:c r="J24" s="28" t="str">
        <x:f>IF(I24="","OPEN",IF(OR(G24="",H24="",'Controls'!$D$69=""),"FAIL",IF(AND('Controls'!$D$69&gt;=G24,'Controls'!$D$69&lt;=H24),"PASS","EXPIRED")))</x:f>
        <x:v>OPEN</x:v>
      </x:c>
    </x:row>
    <x:row r="25">
      <x:c r="B25" s="28" t="str">
        <x:v>XP-PAIR-A2-07</x:v>
      </x:c>
      <x:c r="C25" s="28" t="str">
        <x:v>PAIR-A2</x:v>
      </x:c>
      <x:c r="D25" s="28" t="str">
        <x:v>RFP-A2</x:v>
      </x:c>
      <x:c r="E25" s="28" t="n">
        <x:v>7</x:v>
      </x:c>
      <x:c r="F25" s="28" t="str">
        <x:v>degraded-service drills</x:v>
      </x:c>
      <x:c r="G25" s="32" t="str"/>
      <x:c r="H25" s="32" t="str"/>
      <x:c r="I25" s="31" t="str"/>
      <x:c r="J25" s="28" t="str">
        <x:f>IF(I25="","OPEN",IF(OR(G25="",H25="",'Controls'!$D$69=""),"FAIL",IF(AND('Controls'!$D$69&gt;=G25,'Controls'!$D$69&lt;=H25),"PASS","EXPIRED")))</x:f>
        <x:v>OPEN</x:v>
      </x:c>
    </x:row>
    <x:row r="26">
      <x:c r="B26" s="28" t="str">
        <x:v>XP-PAIR-A2-08</x:v>
      </x:c>
      <x:c r="C26" s="28" t="str">
        <x:v>PAIR-A2</x:v>
      </x:c>
      <x:c r="D26" s="28" t="str">
        <x:v>RFP-A2</x:v>
      </x:c>
      <x:c r="E26" s="28" t="n">
        <x:v>8</x:v>
      </x:c>
      <x:c r="F26" s="28" t="str">
        <x:v>rescue exercises</x:v>
      </x:c>
      <x:c r="G26" s="32" t="str"/>
      <x:c r="H26" s="32" t="str"/>
      <x:c r="I26" s="31" t="str"/>
      <x:c r="J26" s="28" t="str">
        <x:f>IF(I26="","OPEN",IF(OR(G26="",H26="",'Controls'!$D$69=""),"FAIL",IF(AND('Controls'!$D$69&gt;=G26,'Controls'!$D$69&lt;=H26),"PASS","EXPIRED")))</x:f>
        <x:v>OPEN</x:v>
      </x:c>
    </x:row>
    <x:row r="27">
      <x:c r="B27" s="28" t="str">
        <x:v>XP-PAIR-A2-09</x:v>
      </x:c>
      <x:c r="C27" s="28" t="str">
        <x:v>PAIR-A2</x:v>
      </x:c>
      <x:c r="D27" s="28" t="str">
        <x:v>RFP-A2</x:v>
      </x:c>
      <x:c r="E27" s="28" t="n">
        <x:v>9</x:v>
      </x:c>
      <x:c r="F27" s="28" t="str">
        <x:v>evidence handshakes</x:v>
      </x:c>
      <x:c r="G27" s="32" t="str"/>
      <x:c r="H27" s="32" t="str"/>
      <x:c r="I27" s="31" t="str"/>
      <x:c r="J27" s="28" t="str">
        <x:f>IF(I27="","OPEN",IF(OR(G27="",H27="",'Controls'!$D$69=""),"FAIL",IF(AND('Controls'!$D$69&gt;=G27,'Controls'!$D$69&lt;=H27),"PASS","EXPIRED")))</x:f>
        <x:v>OPEN</x:v>
      </x:c>
    </x:row>
    <x:row r="28">
      <x:c r="B28" s="28" t="str">
        <x:v>XP-PAIR-A2-10</x:v>
      </x:c>
      <x:c r="C28" s="28" t="str">
        <x:v>PAIR-A2</x:v>
      </x:c>
      <x:c r="D28" s="28" t="str">
        <x:v>RFP-A2</x:v>
      </x:c>
      <x:c r="E28" s="28" t="n">
        <x:v>10</x:v>
      </x:c>
      <x:c r="F28" s="28" t="str">
        <x:v>remote replay</x:v>
      </x:c>
      <x:c r="G28" s="32" t="str"/>
      <x:c r="H28" s="32" t="str"/>
      <x:c r="I28" s="31" t="str"/>
      <x:c r="J28" s="28" t="str">
        <x:f>IF(I28="","OPEN",IF(OR(G28="",H28="",'Controls'!$D$69=""),"FAIL",IF(AND('Controls'!$D$69&gt;=G28,'Controls'!$D$69&lt;=H28),"PASS","EXPIRED")))</x:f>
        <x:v>OPEN</x:v>
      </x:c>
    </x:row>
    <x:row r="29">
      <x:c r="B29" s="28" t="str">
        <x:v>XP-PAIR-A2-11</x:v>
      </x:c>
      <x:c r="C29" s="28" t="str">
        <x:v>PAIR-A2</x:v>
      </x:c>
      <x:c r="D29" s="28" t="str">
        <x:v>RFP-A2</x:v>
      </x:c>
      <x:c r="E29" s="28" t="n">
        <x:v>11</x:v>
      </x:c>
      <x:c r="F29" s="28" t="str">
        <x:v>media custody</x:v>
      </x:c>
      <x:c r="G29" s="32" t="str"/>
      <x:c r="H29" s="32" t="str"/>
      <x:c r="I29" s="31" t="str"/>
      <x:c r="J29" s="28" t="str">
        <x:f>IF(I29="","OPEN",IF(OR(G29="",H29="",'Controls'!$D$69=""),"FAIL",IF(AND('Controls'!$D$69&gt;=G29,'Controls'!$D$69&lt;=H29),"PASS","EXPIRED")))</x:f>
        <x:v>OPEN</x:v>
      </x:c>
    </x:row>
    <x:row r="30">
      <x:c r="B30" s="28" t="str">
        <x:v>XP-PAIR-A2-12</x:v>
      </x:c>
      <x:c r="C30" s="28" t="str">
        <x:v>PAIR-A2</x:v>
      </x:c>
      <x:c r="D30" s="28" t="str">
        <x:v>RFP-A2</x:v>
      </x:c>
      <x:c r="E30" s="28" t="n">
        <x:v>12</x:v>
      </x:c>
      <x:c r="F30" s="28" t="str">
        <x:v>public safety release</x:v>
      </x:c>
      <x:c r="G30" s="32" t="str"/>
      <x:c r="H30" s="32" t="str"/>
      <x:c r="I30" s="31" t="str"/>
      <x:c r="J30" s="28" t="str">
        <x:f>IF(I30="","OPEN",IF(OR(G30="",H30="",'Controls'!$D$69=""),"FAIL",IF(AND('Controls'!$D$69&gt;=G30,'Controls'!$D$69&lt;=H30),"PASS","EXPIRED")))</x:f>
        <x:v>OPEN</x:v>
      </x:c>
    </x:row>
    <x:row r="31">
      <x:c r="B31" s="28" t="str">
        <x:v>XP-PAIR-B1-01</x:v>
      </x:c>
      <x:c r="C31" s="28" t="str">
        <x:v>PAIR-B1</x:v>
      </x:c>
      <x:c r="D31" s="28" t="str">
        <x:v>RFP-B1</x:v>
      </x:c>
      <x:c r="E31" s="28" t="n">
        <x:v>1</x:v>
      </x:c>
      <x:c r="F31" s="28" t="str">
        <x:v>article baseline</x:v>
      </x:c>
      <x:c r="G31" s="32" t="str"/>
      <x:c r="H31" s="32" t="str"/>
      <x:c r="I31" s="31" t="str"/>
      <x:c r="J31" s="28" t="str">
        <x:f>IF(I31="","OPEN",IF(OR(G31="",H31="",'Controls'!$D$69=""),"FAIL",IF(AND('Controls'!$D$69&gt;=G31,'Controls'!$D$69&lt;=H31),"PASS","EXPIRED")))</x:f>
        <x:v>OPEN</x:v>
      </x:c>
    </x:row>
    <x:row r="32">
      <x:c r="B32" s="28" t="str">
        <x:v>XP-PAIR-B1-02</x:v>
      </x:c>
      <x:c r="C32" s="28" t="str">
        <x:v>PAIR-B1</x:v>
      </x:c>
      <x:c r="D32" s="28" t="str">
        <x:v>RFP-B1</x:v>
      </x:c>
      <x:c r="E32" s="28" t="n">
        <x:v>2</x:v>
      </x:c>
      <x:c r="F32" s="28" t="str">
        <x:v>rig baseline</x:v>
      </x:c>
      <x:c r="G32" s="32" t="str"/>
      <x:c r="H32" s="32" t="str"/>
      <x:c r="I32" s="31" t="str"/>
      <x:c r="J32" s="28" t="str">
        <x:f>IF(I32="","OPEN",IF(OR(G32="",H32="",'Controls'!$D$69=""),"FAIL",IF(AND('Controls'!$D$69&gt;=G32,'Controls'!$D$69&lt;=H32),"PASS","EXPIRED")))</x:f>
        <x:v>OPEN</x:v>
      </x:c>
    </x:row>
    <x:row r="33">
      <x:c r="B33" s="28" t="str">
        <x:v>XP-PAIR-B1-03</x:v>
      </x:c>
      <x:c r="C33" s="28" t="str">
        <x:v>PAIR-B1</x:v>
      </x:c>
      <x:c r="D33" s="28" t="str">
        <x:v>RFP-B1</x:v>
      </x:c>
      <x:c r="E33" s="28" t="n">
        <x:v>3</x:v>
      </x:c>
      <x:c r="F33" s="28" t="str">
        <x:v>home docking</x:v>
      </x:c>
      <x:c r="G33" s="32" t="str"/>
      <x:c r="H33" s="32" t="str"/>
      <x:c r="I33" s="31" t="str"/>
      <x:c r="J33" s="28" t="str">
        <x:f>IF(I33="","OPEN",IF(OR(G33="",H33="",'Controls'!$D$69=""),"FAIL",IF(AND('Controls'!$D$69&gt;=G33,'Controls'!$D$69&lt;=H33),"PASS","EXPIRED")))</x:f>
        <x:v>OPEN</x:v>
      </x:c>
    </x:row>
    <x:row r="34">
      <x:c r="B34" s="28" t="str">
        <x:v>XP-PAIR-B1-04</x:v>
      </x:c>
      <x:c r="C34" s="28" t="str">
        <x:v>PAIR-B1</x:v>
      </x:c>
      <x:c r="D34" s="28" t="str">
        <x:v>RFP-B1</x:v>
      </x:c>
      <x:c r="E34" s="28" t="n">
        <x:v>4</x:v>
      </x:c>
      <x:c r="F34" s="28" t="str">
        <x:v>interface circuit</x:v>
      </x:c>
      <x:c r="G34" s="32" t="str"/>
      <x:c r="H34" s="32" t="str"/>
      <x:c r="I34" s="31" t="str"/>
      <x:c r="J34" s="28" t="str">
        <x:f>IF(I34="","OPEN",IF(OR(G34="",H34="",'Controls'!$D$69=""),"FAIL",IF(AND('Controls'!$D$69&gt;=G34,'Controls'!$D$69&lt;=H34),"PASS","EXPIRED")))</x:f>
        <x:v>OPEN</x:v>
      </x:c>
    </x:row>
    <x:row r="35">
      <x:c r="B35" s="28" t="str">
        <x:v>XP-PAIR-B1-05</x:v>
      </x:c>
      <x:c r="C35" s="28" t="str">
        <x:v>PAIR-B1</x:v>
      </x:c>
      <x:c r="D35" s="28" t="str">
        <x:v>RFP-B1</x:v>
      </x:c>
      <x:c r="E35" s="28" t="n">
        <x:v>5</x:v>
      </x:c>
      <x:c r="F35" s="28" t="str">
        <x:v>calibration circuit</x:v>
      </x:c>
      <x:c r="G35" s="32" t="str"/>
      <x:c r="H35" s="32" t="str"/>
      <x:c r="I35" s="31" t="str"/>
      <x:c r="J35" s="28" t="str">
        <x:f>IF(I35="","OPEN",IF(OR(G35="",H35="",'Controls'!$D$69=""),"FAIL",IF(AND('Controls'!$D$69&gt;=G35,'Controls'!$D$69&lt;=H35),"PASS","EXPIRED")))</x:f>
        <x:v>OPEN</x:v>
      </x:c>
    </x:row>
    <x:row r="36">
      <x:c r="B36" s="28" t="str">
        <x:v>XP-PAIR-B1-06</x:v>
      </x:c>
      <x:c r="C36" s="28" t="str">
        <x:v>PAIR-B1</x:v>
      </x:c>
      <x:c r="D36" s="28" t="str">
        <x:v>RFP-B1</x:v>
      </x:c>
      <x:c r="E36" s="28" t="n">
        <x:v>6</x:v>
      </x:c>
      <x:c r="F36" s="28" t="str">
        <x:v>crew roster</x:v>
      </x:c>
      <x:c r="G36" s="32" t="str"/>
      <x:c r="H36" s="32" t="str"/>
      <x:c r="I36" s="31" t="str"/>
      <x:c r="J36" s="28" t="str">
        <x:f>IF(I36="","OPEN",IF(OR(G36="",H36="",'Controls'!$D$69=""),"FAIL",IF(AND('Controls'!$D$69&gt;=G36,'Controls'!$D$69&lt;=H36),"PASS","EXPIRED")))</x:f>
        <x:v>OPEN</x:v>
      </x:c>
    </x:row>
    <x:row r="37">
      <x:c r="B37" s="28" t="str">
        <x:v>XP-PAIR-B1-07</x:v>
      </x:c>
      <x:c r="C37" s="28" t="str">
        <x:v>PAIR-B1</x:v>
      </x:c>
      <x:c r="D37" s="28" t="str">
        <x:v>RFP-B1</x:v>
      </x:c>
      <x:c r="E37" s="28" t="n">
        <x:v>7</x:v>
      </x:c>
      <x:c r="F37" s="28" t="str">
        <x:v>degraded-service drills</x:v>
      </x:c>
      <x:c r="G37" s="32" t="str"/>
      <x:c r="H37" s="32" t="str"/>
      <x:c r="I37" s="31" t="str"/>
      <x:c r="J37" s="28" t="str">
        <x:f>IF(I37="","OPEN",IF(OR(G37="",H37="",'Controls'!$D$69=""),"FAIL",IF(AND('Controls'!$D$69&gt;=G37,'Controls'!$D$69&lt;=H37),"PASS","EXPIRED")))</x:f>
        <x:v>OPEN</x:v>
      </x:c>
    </x:row>
    <x:row r="38">
      <x:c r="B38" s="28" t="str">
        <x:v>XP-PAIR-B1-08</x:v>
      </x:c>
      <x:c r="C38" s="28" t="str">
        <x:v>PAIR-B1</x:v>
      </x:c>
      <x:c r="D38" s="28" t="str">
        <x:v>RFP-B1</x:v>
      </x:c>
      <x:c r="E38" s="28" t="n">
        <x:v>8</x:v>
      </x:c>
      <x:c r="F38" s="28" t="str">
        <x:v>rescue exercises</x:v>
      </x:c>
      <x:c r="G38" s="32" t="str"/>
      <x:c r="H38" s="32" t="str"/>
      <x:c r="I38" s="31" t="str"/>
      <x:c r="J38" s="28" t="str">
        <x:f>IF(I38="","OPEN",IF(OR(G38="",H38="",'Controls'!$D$69=""),"FAIL",IF(AND('Controls'!$D$69&gt;=G38,'Controls'!$D$69&lt;=H38),"PASS","EXPIRED")))</x:f>
        <x:v>OPEN</x:v>
      </x:c>
    </x:row>
    <x:row r="39">
      <x:c r="B39" s="28" t="str">
        <x:v>XP-PAIR-B1-09</x:v>
      </x:c>
      <x:c r="C39" s="28" t="str">
        <x:v>PAIR-B1</x:v>
      </x:c>
      <x:c r="D39" s="28" t="str">
        <x:v>RFP-B1</x:v>
      </x:c>
      <x:c r="E39" s="28" t="n">
        <x:v>9</x:v>
      </x:c>
      <x:c r="F39" s="28" t="str">
        <x:v>evidence handshakes</x:v>
      </x:c>
      <x:c r="G39" s="32" t="str"/>
      <x:c r="H39" s="32" t="str"/>
      <x:c r="I39" s="31" t="str"/>
      <x:c r="J39" s="28" t="str">
        <x:f>IF(I39="","OPEN",IF(OR(G39="",H39="",'Controls'!$D$69=""),"FAIL",IF(AND('Controls'!$D$69&gt;=G39,'Controls'!$D$69&lt;=H39),"PASS","EXPIRED")))</x:f>
        <x:v>OPEN</x:v>
      </x:c>
    </x:row>
    <x:row r="40">
      <x:c r="B40" s="28" t="str">
        <x:v>XP-PAIR-B1-10</x:v>
      </x:c>
      <x:c r="C40" s="28" t="str">
        <x:v>PAIR-B1</x:v>
      </x:c>
      <x:c r="D40" s="28" t="str">
        <x:v>RFP-B1</x:v>
      </x:c>
      <x:c r="E40" s="28" t="n">
        <x:v>10</x:v>
      </x:c>
      <x:c r="F40" s="28" t="str">
        <x:v>remote replay</x:v>
      </x:c>
      <x:c r="G40" s="32" t="str"/>
      <x:c r="H40" s="32" t="str"/>
      <x:c r="I40" s="31" t="str"/>
      <x:c r="J40" s="28" t="str">
        <x:f>IF(I40="","OPEN",IF(OR(G40="",H40="",'Controls'!$D$69=""),"FAIL",IF(AND('Controls'!$D$69&gt;=G40,'Controls'!$D$69&lt;=H40),"PASS","EXPIRED")))</x:f>
        <x:v>OPEN</x:v>
      </x:c>
    </x:row>
    <x:row r="41">
      <x:c r="B41" s="28" t="str">
        <x:v>XP-PAIR-B1-11</x:v>
      </x:c>
      <x:c r="C41" s="28" t="str">
        <x:v>PAIR-B1</x:v>
      </x:c>
      <x:c r="D41" s="28" t="str">
        <x:v>RFP-B1</x:v>
      </x:c>
      <x:c r="E41" s="28" t="n">
        <x:v>11</x:v>
      </x:c>
      <x:c r="F41" s="28" t="str">
        <x:v>media custody</x:v>
      </x:c>
      <x:c r="G41" s="32" t="str"/>
      <x:c r="H41" s="32" t="str"/>
      <x:c r="I41" s="31" t="str"/>
      <x:c r="J41" s="28" t="str">
        <x:f>IF(I41="","OPEN",IF(OR(G41="",H41="",'Controls'!$D$69=""),"FAIL",IF(AND('Controls'!$D$69&gt;=G41,'Controls'!$D$69&lt;=H41),"PASS","EXPIRED")))</x:f>
        <x:v>OPEN</x:v>
      </x:c>
    </x:row>
    <x:row r="42">
      <x:c r="B42" s="28" t="str">
        <x:v>XP-PAIR-B1-12</x:v>
      </x:c>
      <x:c r="C42" s="28" t="str">
        <x:v>PAIR-B1</x:v>
      </x:c>
      <x:c r="D42" s="28" t="str">
        <x:v>RFP-B1</x:v>
      </x:c>
      <x:c r="E42" s="28" t="n">
        <x:v>12</x:v>
      </x:c>
      <x:c r="F42" s="28" t="str">
        <x:v>public safety release</x:v>
      </x:c>
      <x:c r="G42" s="32" t="str"/>
      <x:c r="H42" s="32" t="str"/>
      <x:c r="I42" s="31" t="str"/>
      <x:c r="J42" s="28" t="str">
        <x:f>IF(I42="","OPEN",IF(OR(G42="",H42="",'Controls'!$D$69=""),"FAIL",IF(AND('Controls'!$D$69&gt;=G42,'Controls'!$D$69&lt;=H42),"PASS","EXPIRED")))</x:f>
        <x:v>OPEN</x:v>
      </x:c>
    </x:row>
    <x:row r="43">
      <x:c r="B43" s="28" t="str">
        <x:v>XP-PAIR-B2-01</x:v>
      </x:c>
      <x:c r="C43" s="28" t="str">
        <x:v>PAIR-B2</x:v>
      </x:c>
      <x:c r="D43" s="28" t="str">
        <x:v>RFP-B2</x:v>
      </x:c>
      <x:c r="E43" s="28" t="n">
        <x:v>1</x:v>
      </x:c>
      <x:c r="F43" s="28" t="str">
        <x:v>article baseline</x:v>
      </x:c>
      <x:c r="G43" s="32" t="str"/>
      <x:c r="H43" s="32" t="str"/>
      <x:c r="I43" s="31" t="str"/>
      <x:c r="J43" s="28" t="str">
        <x:f>IF(I43="","OPEN",IF(OR(G43="",H43="",'Controls'!$D$69=""),"FAIL",IF(AND('Controls'!$D$69&gt;=G43,'Controls'!$D$69&lt;=H43),"PASS","EXPIRED")))</x:f>
        <x:v>OPEN</x:v>
      </x:c>
    </x:row>
    <x:row r="44">
      <x:c r="B44" s="28" t="str">
        <x:v>XP-PAIR-B2-02</x:v>
      </x:c>
      <x:c r="C44" s="28" t="str">
        <x:v>PAIR-B2</x:v>
      </x:c>
      <x:c r="D44" s="28" t="str">
        <x:v>RFP-B2</x:v>
      </x:c>
      <x:c r="E44" s="28" t="n">
        <x:v>2</x:v>
      </x:c>
      <x:c r="F44" s="28" t="str">
        <x:v>rig baseline</x:v>
      </x:c>
      <x:c r="G44" s="32" t="str"/>
      <x:c r="H44" s="32" t="str"/>
      <x:c r="I44" s="31" t="str"/>
      <x:c r="J44" s="28" t="str">
        <x:f>IF(I44="","OPEN",IF(OR(G44="",H44="",'Controls'!$D$69=""),"FAIL",IF(AND('Controls'!$D$69&gt;=G44,'Controls'!$D$69&lt;=H44),"PASS","EXPIRED")))</x:f>
        <x:v>OPEN</x:v>
      </x:c>
    </x:row>
    <x:row r="45">
      <x:c r="B45" s="28" t="str">
        <x:v>XP-PAIR-B2-03</x:v>
      </x:c>
      <x:c r="C45" s="28" t="str">
        <x:v>PAIR-B2</x:v>
      </x:c>
      <x:c r="D45" s="28" t="str">
        <x:v>RFP-B2</x:v>
      </x:c>
      <x:c r="E45" s="28" t="n">
        <x:v>3</x:v>
      </x:c>
      <x:c r="F45" s="28" t="str">
        <x:v>home docking</x:v>
      </x:c>
      <x:c r="G45" s="32" t="str"/>
      <x:c r="H45" s="32" t="str"/>
      <x:c r="I45" s="31" t="str"/>
      <x:c r="J45" s="28" t="str">
        <x:f>IF(I45="","OPEN",IF(OR(G45="",H45="",'Controls'!$D$69=""),"FAIL",IF(AND('Controls'!$D$69&gt;=G45,'Controls'!$D$69&lt;=H45),"PASS","EXPIRED")))</x:f>
        <x:v>OPEN</x:v>
      </x:c>
    </x:row>
    <x:row r="46">
      <x:c r="B46" s="28" t="str">
        <x:v>XP-PAIR-B2-04</x:v>
      </x:c>
      <x:c r="C46" s="28" t="str">
        <x:v>PAIR-B2</x:v>
      </x:c>
      <x:c r="D46" s="28" t="str">
        <x:v>RFP-B2</x:v>
      </x:c>
      <x:c r="E46" s="28" t="n">
        <x:v>4</x:v>
      </x:c>
      <x:c r="F46" s="28" t="str">
        <x:v>interface circuit</x:v>
      </x:c>
      <x:c r="G46" s="32" t="str"/>
      <x:c r="H46" s="32" t="str"/>
      <x:c r="I46" s="31" t="str"/>
      <x:c r="J46" s="28" t="str">
        <x:f>IF(I46="","OPEN",IF(OR(G46="",H46="",'Controls'!$D$69=""),"FAIL",IF(AND('Controls'!$D$69&gt;=G46,'Controls'!$D$69&lt;=H46),"PASS","EXPIRED")))</x:f>
        <x:v>OPEN</x:v>
      </x:c>
    </x:row>
    <x:row r="47">
      <x:c r="B47" s="28" t="str">
        <x:v>XP-PAIR-B2-05</x:v>
      </x:c>
      <x:c r="C47" s="28" t="str">
        <x:v>PAIR-B2</x:v>
      </x:c>
      <x:c r="D47" s="28" t="str">
        <x:v>RFP-B2</x:v>
      </x:c>
      <x:c r="E47" s="28" t="n">
        <x:v>5</x:v>
      </x:c>
      <x:c r="F47" s="28" t="str">
        <x:v>calibration circuit</x:v>
      </x:c>
      <x:c r="G47" s="32" t="str"/>
      <x:c r="H47" s="32" t="str"/>
      <x:c r="I47" s="31" t="str"/>
      <x:c r="J47" s="28" t="str">
        <x:f>IF(I47="","OPEN",IF(OR(G47="",H47="",'Controls'!$D$69=""),"FAIL",IF(AND('Controls'!$D$69&gt;=G47,'Controls'!$D$69&lt;=H47),"PASS","EXPIRED")))</x:f>
        <x:v>OPEN</x:v>
      </x:c>
    </x:row>
    <x:row r="48">
      <x:c r="B48" s="28" t="str">
        <x:v>XP-PAIR-B2-06</x:v>
      </x:c>
      <x:c r="C48" s="28" t="str">
        <x:v>PAIR-B2</x:v>
      </x:c>
      <x:c r="D48" s="28" t="str">
        <x:v>RFP-B2</x:v>
      </x:c>
      <x:c r="E48" s="28" t="n">
        <x:v>6</x:v>
      </x:c>
      <x:c r="F48" s="28" t="str">
        <x:v>crew roster</x:v>
      </x:c>
      <x:c r="G48" s="32" t="str"/>
      <x:c r="H48" s="32" t="str"/>
      <x:c r="I48" s="31" t="str"/>
      <x:c r="J48" s="28" t="str">
        <x:f>IF(I48="","OPEN",IF(OR(G48="",H48="",'Controls'!$D$69=""),"FAIL",IF(AND('Controls'!$D$69&gt;=G48,'Controls'!$D$69&lt;=H48),"PASS","EXPIRED")))</x:f>
        <x:v>OPEN</x:v>
      </x:c>
    </x:row>
    <x:row r="49">
      <x:c r="B49" s="28" t="str">
        <x:v>XP-PAIR-B2-07</x:v>
      </x:c>
      <x:c r="C49" s="28" t="str">
        <x:v>PAIR-B2</x:v>
      </x:c>
      <x:c r="D49" s="28" t="str">
        <x:v>RFP-B2</x:v>
      </x:c>
      <x:c r="E49" s="28" t="n">
        <x:v>7</x:v>
      </x:c>
      <x:c r="F49" s="28" t="str">
        <x:v>degraded-service drills</x:v>
      </x:c>
      <x:c r="G49" s="32" t="str"/>
      <x:c r="H49" s="32" t="str"/>
      <x:c r="I49" s="31" t="str"/>
      <x:c r="J49" s="28" t="str">
        <x:f>IF(I49="","OPEN",IF(OR(G49="",H49="",'Controls'!$D$69=""),"FAIL",IF(AND('Controls'!$D$69&gt;=G49,'Controls'!$D$69&lt;=H49),"PASS","EXPIRED")))</x:f>
        <x:v>OPEN</x:v>
      </x:c>
    </x:row>
    <x:row r="50">
      <x:c r="B50" s="28" t="str">
        <x:v>XP-PAIR-B2-08</x:v>
      </x:c>
      <x:c r="C50" s="28" t="str">
        <x:v>PAIR-B2</x:v>
      </x:c>
      <x:c r="D50" s="28" t="str">
        <x:v>RFP-B2</x:v>
      </x:c>
      <x:c r="E50" s="28" t="n">
        <x:v>8</x:v>
      </x:c>
      <x:c r="F50" s="28" t="str">
        <x:v>rescue exercises</x:v>
      </x:c>
      <x:c r="G50" s="32" t="str"/>
      <x:c r="H50" s="32" t="str"/>
      <x:c r="I50" s="31" t="str"/>
      <x:c r="J50" s="28" t="str">
        <x:f>IF(I50="","OPEN",IF(OR(G50="",H50="",'Controls'!$D$69=""),"FAIL",IF(AND('Controls'!$D$69&gt;=G50,'Controls'!$D$69&lt;=H50),"PASS","EXPIRED")))</x:f>
        <x:v>OPEN</x:v>
      </x:c>
    </x:row>
    <x:row r="51">
      <x:c r="B51" s="28" t="str">
        <x:v>XP-PAIR-B2-09</x:v>
      </x:c>
      <x:c r="C51" s="28" t="str">
        <x:v>PAIR-B2</x:v>
      </x:c>
      <x:c r="D51" s="28" t="str">
        <x:v>RFP-B2</x:v>
      </x:c>
      <x:c r="E51" s="28" t="n">
        <x:v>9</x:v>
      </x:c>
      <x:c r="F51" s="28" t="str">
        <x:v>evidence handshakes</x:v>
      </x:c>
      <x:c r="G51" s="32" t="str"/>
      <x:c r="H51" s="32" t="str"/>
      <x:c r="I51" s="31" t="str"/>
      <x:c r="J51" s="28" t="str">
        <x:f>IF(I51="","OPEN",IF(OR(G51="",H51="",'Controls'!$D$69=""),"FAIL",IF(AND('Controls'!$D$69&gt;=G51,'Controls'!$D$69&lt;=H51),"PASS","EXPIRED")))</x:f>
        <x:v>OPEN</x:v>
      </x:c>
    </x:row>
    <x:row r="52">
      <x:c r="B52" s="28" t="str">
        <x:v>XP-PAIR-B2-10</x:v>
      </x:c>
      <x:c r="C52" s="28" t="str">
        <x:v>PAIR-B2</x:v>
      </x:c>
      <x:c r="D52" s="28" t="str">
        <x:v>RFP-B2</x:v>
      </x:c>
      <x:c r="E52" s="28" t="n">
        <x:v>10</x:v>
      </x:c>
      <x:c r="F52" s="28" t="str">
        <x:v>remote replay</x:v>
      </x:c>
      <x:c r="G52" s="32" t="str"/>
      <x:c r="H52" s="32" t="str"/>
      <x:c r="I52" s="31" t="str"/>
      <x:c r="J52" s="28" t="str">
        <x:f>IF(I52="","OPEN",IF(OR(G52="",H52="",'Controls'!$D$69=""),"FAIL",IF(AND('Controls'!$D$69&gt;=G52,'Controls'!$D$69&lt;=H52),"PASS","EXPIRED")))</x:f>
        <x:v>OPEN</x:v>
      </x:c>
    </x:row>
    <x:row r="53">
      <x:c r="B53" s="28" t="str">
        <x:v>XP-PAIR-B2-11</x:v>
      </x:c>
      <x:c r="C53" s="28" t="str">
        <x:v>PAIR-B2</x:v>
      </x:c>
      <x:c r="D53" s="28" t="str">
        <x:v>RFP-B2</x:v>
      </x:c>
      <x:c r="E53" s="28" t="n">
        <x:v>11</x:v>
      </x:c>
      <x:c r="F53" s="28" t="str">
        <x:v>media custody</x:v>
      </x:c>
      <x:c r="G53" s="32" t="str"/>
      <x:c r="H53" s="32" t="str"/>
      <x:c r="I53" s="31" t="str"/>
      <x:c r="J53" s="28" t="str">
        <x:f>IF(I53="","OPEN",IF(OR(G53="",H53="",'Controls'!$D$69=""),"FAIL",IF(AND('Controls'!$D$69&gt;=G53,'Controls'!$D$69&lt;=H53),"PASS","EXPIRED")))</x:f>
        <x:v>OPEN</x:v>
      </x:c>
    </x:row>
    <x:row r="54">
      <x:c r="B54" s="28" t="str">
        <x:v>XP-PAIR-B2-12</x:v>
      </x:c>
      <x:c r="C54" s="28" t="str">
        <x:v>PAIR-B2</x:v>
      </x:c>
      <x:c r="D54" s="28" t="str">
        <x:v>RFP-B2</x:v>
      </x:c>
      <x:c r="E54" s="28" t="n">
        <x:v>12</x:v>
      </x:c>
      <x:c r="F54" s="28" t="str">
        <x:v>public safety release</x:v>
      </x:c>
      <x:c r="G54" s="32" t="str"/>
      <x:c r="H54" s="32" t="str"/>
      <x:c r="I54" s="31" t="str"/>
      <x:c r="J54" s="28" t="str">
        <x:f>IF(I54="","OPEN",IF(OR(G54="",H54="",'Controls'!$D$69=""),"FAIL",IF(AND('Controls'!$D$69&gt;=G54,'Controls'!$D$69&lt;=H54),"PASS","EXPIRED")))</x:f>
        <x:v>OPEN</x:v>
      </x:c>
    </x:row>
    <x:row r="55">
      <x:c r="B55" s="28" t="str">
        <x:v>XP-PAIR-C1-01</x:v>
      </x:c>
      <x:c r="C55" s="28" t="str">
        <x:v>PAIR-C1</x:v>
      </x:c>
      <x:c r="D55" s="28" t="str">
        <x:v>RFP-C1</x:v>
      </x:c>
      <x:c r="E55" s="28" t="n">
        <x:v>1</x:v>
      </x:c>
      <x:c r="F55" s="28" t="str">
        <x:v>article baseline</x:v>
      </x:c>
      <x:c r="G55" s="32" t="str"/>
      <x:c r="H55" s="32" t="str"/>
      <x:c r="I55" s="31" t="str"/>
      <x:c r="J55" s="28" t="str">
        <x:f>IF(I55="","OPEN",IF(OR(G55="",H55="",'Controls'!$D$69=""),"FAIL",IF(AND('Controls'!$D$69&gt;=G55,'Controls'!$D$69&lt;=H55),"PASS","EXPIRED")))</x:f>
        <x:v>OPEN</x:v>
      </x:c>
    </x:row>
    <x:row r="56">
      <x:c r="B56" s="28" t="str">
        <x:v>XP-PAIR-C1-02</x:v>
      </x:c>
      <x:c r="C56" s="28" t="str">
        <x:v>PAIR-C1</x:v>
      </x:c>
      <x:c r="D56" s="28" t="str">
        <x:v>RFP-C1</x:v>
      </x:c>
      <x:c r="E56" s="28" t="n">
        <x:v>2</x:v>
      </x:c>
      <x:c r="F56" s="28" t="str">
        <x:v>rig baseline</x:v>
      </x:c>
      <x:c r="G56" s="32" t="str"/>
      <x:c r="H56" s="32" t="str"/>
      <x:c r="I56" s="31" t="str"/>
      <x:c r="J56" s="28" t="str">
        <x:f>IF(I56="","OPEN",IF(OR(G56="",H56="",'Controls'!$D$69=""),"FAIL",IF(AND('Controls'!$D$69&gt;=G56,'Controls'!$D$69&lt;=H56),"PASS","EXPIRED")))</x:f>
        <x:v>OPEN</x:v>
      </x:c>
    </x:row>
    <x:row r="57">
      <x:c r="B57" s="28" t="str">
        <x:v>XP-PAIR-C1-03</x:v>
      </x:c>
      <x:c r="C57" s="28" t="str">
        <x:v>PAIR-C1</x:v>
      </x:c>
      <x:c r="D57" s="28" t="str">
        <x:v>RFP-C1</x:v>
      </x:c>
      <x:c r="E57" s="28" t="n">
        <x:v>3</x:v>
      </x:c>
      <x:c r="F57" s="28" t="str">
        <x:v>home docking</x:v>
      </x:c>
      <x:c r="G57" s="32" t="str"/>
      <x:c r="H57" s="32" t="str"/>
      <x:c r="I57" s="31" t="str"/>
      <x:c r="J57" s="28" t="str">
        <x:f>IF(I57="","OPEN",IF(OR(G57="",H57="",'Controls'!$D$69=""),"FAIL",IF(AND('Controls'!$D$69&gt;=G57,'Controls'!$D$69&lt;=H57),"PASS","EXPIRED")))</x:f>
        <x:v>OPEN</x:v>
      </x:c>
    </x:row>
    <x:row r="58">
      <x:c r="B58" s="28" t="str">
        <x:v>XP-PAIR-C1-04</x:v>
      </x:c>
      <x:c r="C58" s="28" t="str">
        <x:v>PAIR-C1</x:v>
      </x:c>
      <x:c r="D58" s="28" t="str">
        <x:v>RFP-C1</x:v>
      </x:c>
      <x:c r="E58" s="28" t="n">
        <x:v>4</x:v>
      </x:c>
      <x:c r="F58" s="28" t="str">
        <x:v>interface circuit</x:v>
      </x:c>
      <x:c r="G58" s="32" t="str"/>
      <x:c r="H58" s="32" t="str"/>
      <x:c r="I58" s="31" t="str"/>
      <x:c r="J58" s="28" t="str">
        <x:f>IF(I58="","OPEN",IF(OR(G58="",H58="",'Controls'!$D$69=""),"FAIL",IF(AND('Controls'!$D$69&gt;=G58,'Controls'!$D$69&lt;=H58),"PASS","EXPIRED")))</x:f>
        <x:v>OPEN</x:v>
      </x:c>
    </x:row>
    <x:row r="59">
      <x:c r="B59" s="28" t="str">
        <x:v>XP-PAIR-C1-05</x:v>
      </x:c>
      <x:c r="C59" s="28" t="str">
        <x:v>PAIR-C1</x:v>
      </x:c>
      <x:c r="D59" s="28" t="str">
        <x:v>RFP-C1</x:v>
      </x:c>
      <x:c r="E59" s="28" t="n">
        <x:v>5</x:v>
      </x:c>
      <x:c r="F59" s="28" t="str">
        <x:v>calibration circuit</x:v>
      </x:c>
      <x:c r="G59" s="32" t="str"/>
      <x:c r="H59" s="32" t="str"/>
      <x:c r="I59" s="31" t="str"/>
      <x:c r="J59" s="28" t="str">
        <x:f>IF(I59="","OPEN",IF(OR(G59="",H59="",'Controls'!$D$69=""),"FAIL",IF(AND('Controls'!$D$69&gt;=G59,'Controls'!$D$69&lt;=H59),"PASS","EXPIRED")))</x:f>
        <x:v>OPEN</x:v>
      </x:c>
    </x:row>
    <x:row r="60">
      <x:c r="B60" s="28" t="str">
        <x:v>XP-PAIR-C1-06</x:v>
      </x:c>
      <x:c r="C60" s="28" t="str">
        <x:v>PAIR-C1</x:v>
      </x:c>
      <x:c r="D60" s="28" t="str">
        <x:v>RFP-C1</x:v>
      </x:c>
      <x:c r="E60" s="28" t="n">
        <x:v>6</x:v>
      </x:c>
      <x:c r="F60" s="28" t="str">
        <x:v>crew roster</x:v>
      </x:c>
      <x:c r="G60" s="32" t="str"/>
      <x:c r="H60" s="32" t="str"/>
      <x:c r="I60" s="31" t="str"/>
      <x:c r="J60" s="28" t="str">
        <x:f>IF(I60="","OPEN",IF(OR(G60="",H60="",'Controls'!$D$69=""),"FAIL",IF(AND('Controls'!$D$69&gt;=G60,'Controls'!$D$69&lt;=H60),"PASS","EXPIRED")))</x:f>
        <x:v>OPEN</x:v>
      </x:c>
    </x:row>
    <x:row r="61">
      <x:c r="B61" s="28" t="str">
        <x:v>XP-PAIR-C1-07</x:v>
      </x:c>
      <x:c r="C61" s="28" t="str">
        <x:v>PAIR-C1</x:v>
      </x:c>
      <x:c r="D61" s="28" t="str">
        <x:v>RFP-C1</x:v>
      </x:c>
      <x:c r="E61" s="28" t="n">
        <x:v>7</x:v>
      </x:c>
      <x:c r="F61" s="28" t="str">
        <x:v>degraded-service drills</x:v>
      </x:c>
      <x:c r="G61" s="32" t="str"/>
      <x:c r="H61" s="32" t="str"/>
      <x:c r="I61" s="31" t="str"/>
      <x:c r="J61" s="28" t="str">
        <x:f>IF(I61="","OPEN",IF(OR(G61="",H61="",'Controls'!$D$69=""),"FAIL",IF(AND('Controls'!$D$69&gt;=G61,'Controls'!$D$69&lt;=H61),"PASS","EXPIRED")))</x:f>
        <x:v>OPEN</x:v>
      </x:c>
    </x:row>
    <x:row r="62">
      <x:c r="B62" s="28" t="str">
        <x:v>XP-PAIR-C1-08</x:v>
      </x:c>
      <x:c r="C62" s="28" t="str">
        <x:v>PAIR-C1</x:v>
      </x:c>
      <x:c r="D62" s="28" t="str">
        <x:v>RFP-C1</x:v>
      </x:c>
      <x:c r="E62" s="28" t="n">
        <x:v>8</x:v>
      </x:c>
      <x:c r="F62" s="28" t="str">
        <x:v>rescue exercises</x:v>
      </x:c>
      <x:c r="G62" s="32" t="str"/>
      <x:c r="H62" s="32" t="str"/>
      <x:c r="I62" s="31" t="str"/>
      <x:c r="J62" s="28" t="str">
        <x:f>IF(I62="","OPEN",IF(OR(G62="",H62="",'Controls'!$D$69=""),"FAIL",IF(AND('Controls'!$D$69&gt;=G62,'Controls'!$D$69&lt;=H62),"PASS","EXPIRED")))</x:f>
        <x:v>OPEN</x:v>
      </x:c>
    </x:row>
    <x:row r="63">
      <x:c r="B63" s="28" t="str">
        <x:v>XP-PAIR-C1-09</x:v>
      </x:c>
      <x:c r="C63" s="28" t="str">
        <x:v>PAIR-C1</x:v>
      </x:c>
      <x:c r="D63" s="28" t="str">
        <x:v>RFP-C1</x:v>
      </x:c>
      <x:c r="E63" s="28" t="n">
        <x:v>9</x:v>
      </x:c>
      <x:c r="F63" s="28" t="str">
        <x:v>evidence handshakes</x:v>
      </x:c>
      <x:c r="G63" s="32" t="str"/>
      <x:c r="H63" s="32" t="str"/>
      <x:c r="I63" s="31" t="str"/>
      <x:c r="J63" s="28" t="str">
        <x:f>IF(I63="","OPEN",IF(OR(G63="",H63="",'Controls'!$D$69=""),"FAIL",IF(AND('Controls'!$D$69&gt;=G63,'Controls'!$D$69&lt;=H63),"PASS","EXPIRED")))</x:f>
        <x:v>OPEN</x:v>
      </x:c>
    </x:row>
    <x:row r="64">
      <x:c r="B64" s="28" t="str">
        <x:v>XP-PAIR-C1-10</x:v>
      </x:c>
      <x:c r="C64" s="28" t="str">
        <x:v>PAIR-C1</x:v>
      </x:c>
      <x:c r="D64" s="28" t="str">
        <x:v>RFP-C1</x:v>
      </x:c>
      <x:c r="E64" s="28" t="n">
        <x:v>10</x:v>
      </x:c>
      <x:c r="F64" s="28" t="str">
        <x:v>remote replay</x:v>
      </x:c>
      <x:c r="G64" s="32" t="str"/>
      <x:c r="H64" s="32" t="str"/>
      <x:c r="I64" s="31" t="str"/>
      <x:c r="J64" s="28" t="str">
        <x:f>IF(I64="","OPEN",IF(OR(G64="",H64="",'Controls'!$D$69=""),"FAIL",IF(AND('Controls'!$D$69&gt;=G64,'Controls'!$D$69&lt;=H64),"PASS","EXPIRED")))</x:f>
        <x:v>OPEN</x:v>
      </x:c>
    </x:row>
    <x:row r="65">
      <x:c r="B65" s="28" t="str">
        <x:v>XP-PAIR-C1-11</x:v>
      </x:c>
      <x:c r="C65" s="28" t="str">
        <x:v>PAIR-C1</x:v>
      </x:c>
      <x:c r="D65" s="28" t="str">
        <x:v>RFP-C1</x:v>
      </x:c>
      <x:c r="E65" s="28" t="n">
        <x:v>11</x:v>
      </x:c>
      <x:c r="F65" s="28" t="str">
        <x:v>media custody</x:v>
      </x:c>
      <x:c r="G65" s="32" t="str"/>
      <x:c r="H65" s="32" t="str"/>
      <x:c r="I65" s="31" t="str"/>
      <x:c r="J65" s="28" t="str">
        <x:f>IF(I65="","OPEN",IF(OR(G65="",H65="",'Controls'!$D$69=""),"FAIL",IF(AND('Controls'!$D$69&gt;=G65,'Controls'!$D$69&lt;=H65),"PASS","EXPIRED")))</x:f>
        <x:v>OPEN</x:v>
      </x:c>
    </x:row>
    <x:row r="66">
      <x:c r="B66" s="28" t="str">
        <x:v>XP-PAIR-C1-12</x:v>
      </x:c>
      <x:c r="C66" s="28" t="str">
        <x:v>PAIR-C1</x:v>
      </x:c>
      <x:c r="D66" s="28" t="str">
        <x:v>RFP-C1</x:v>
      </x:c>
      <x:c r="E66" s="28" t="n">
        <x:v>12</x:v>
      </x:c>
      <x:c r="F66" s="28" t="str">
        <x:v>public safety release</x:v>
      </x:c>
      <x:c r="G66" s="32" t="str"/>
      <x:c r="H66" s="32" t="str"/>
      <x:c r="I66" s="31" t="str"/>
      <x:c r="J66" s="28" t="str">
        <x:f>IF(I66="","OPEN",IF(OR(G66="",H66="",'Controls'!$D$69=""),"FAIL",IF(AND('Controls'!$D$69&gt;=G66,'Controls'!$D$69&lt;=H66),"PASS","EXPIRED")))</x:f>
        <x:v>OPEN</x:v>
      </x:c>
    </x:row>
    <x:row r="67">
      <x:c r="B67" s="28" t="str">
        <x:v>XP-PAIR-C2-01</x:v>
      </x:c>
      <x:c r="C67" s="28" t="str">
        <x:v>PAIR-C2</x:v>
      </x:c>
      <x:c r="D67" s="28" t="str">
        <x:v>RFP-C2</x:v>
      </x:c>
      <x:c r="E67" s="28" t="n">
        <x:v>1</x:v>
      </x:c>
      <x:c r="F67" s="28" t="str">
        <x:v>article baseline</x:v>
      </x:c>
      <x:c r="G67" s="32" t="str"/>
      <x:c r="H67" s="32" t="str"/>
      <x:c r="I67" s="31" t="str"/>
      <x:c r="J67" s="28" t="str">
        <x:f>IF(I67="","OPEN",IF(OR(G67="",H67="",'Controls'!$D$69=""),"FAIL",IF(AND('Controls'!$D$69&gt;=G67,'Controls'!$D$69&lt;=H67),"PASS","EXPIRED")))</x:f>
        <x:v>OPEN</x:v>
      </x:c>
    </x:row>
    <x:row r="68">
      <x:c r="B68" s="28" t="str">
        <x:v>XP-PAIR-C2-02</x:v>
      </x:c>
      <x:c r="C68" s="28" t="str">
        <x:v>PAIR-C2</x:v>
      </x:c>
      <x:c r="D68" s="28" t="str">
        <x:v>RFP-C2</x:v>
      </x:c>
      <x:c r="E68" s="28" t="n">
        <x:v>2</x:v>
      </x:c>
      <x:c r="F68" s="28" t="str">
        <x:v>rig baseline</x:v>
      </x:c>
      <x:c r="G68" s="32" t="str"/>
      <x:c r="H68" s="32" t="str"/>
      <x:c r="I68" s="31" t="str"/>
      <x:c r="J68" s="28" t="str">
        <x:f>IF(I68="","OPEN",IF(OR(G68="",H68="",'Controls'!$D$69=""),"FAIL",IF(AND('Controls'!$D$69&gt;=G68,'Controls'!$D$69&lt;=H68),"PASS","EXPIRED")))</x:f>
        <x:v>OPEN</x:v>
      </x:c>
    </x:row>
    <x:row r="69">
      <x:c r="B69" s="28" t="str">
        <x:v>XP-PAIR-C2-03</x:v>
      </x:c>
      <x:c r="C69" s="28" t="str">
        <x:v>PAIR-C2</x:v>
      </x:c>
      <x:c r="D69" s="28" t="str">
        <x:v>RFP-C2</x:v>
      </x:c>
      <x:c r="E69" s="28" t="n">
        <x:v>3</x:v>
      </x:c>
      <x:c r="F69" s="28" t="str">
        <x:v>home docking</x:v>
      </x:c>
      <x:c r="G69" s="32" t="str"/>
      <x:c r="H69" s="32" t="str"/>
      <x:c r="I69" s="31" t="str"/>
      <x:c r="J69" s="28" t="str">
        <x:f>IF(I69="","OPEN",IF(OR(G69="",H69="",'Controls'!$D$69=""),"FAIL",IF(AND('Controls'!$D$69&gt;=G69,'Controls'!$D$69&lt;=H69),"PASS","EXPIRED")))</x:f>
        <x:v>OPEN</x:v>
      </x:c>
    </x:row>
    <x:row r="70">
      <x:c r="B70" s="28" t="str">
        <x:v>XP-PAIR-C2-04</x:v>
      </x:c>
      <x:c r="C70" s="28" t="str">
        <x:v>PAIR-C2</x:v>
      </x:c>
      <x:c r="D70" s="28" t="str">
        <x:v>RFP-C2</x:v>
      </x:c>
      <x:c r="E70" s="28" t="n">
        <x:v>4</x:v>
      </x:c>
      <x:c r="F70" s="28" t="str">
        <x:v>interface circuit</x:v>
      </x:c>
      <x:c r="G70" s="32" t="str"/>
      <x:c r="H70" s="32" t="str"/>
      <x:c r="I70" s="31" t="str"/>
      <x:c r="J70" s="28" t="str">
        <x:f>IF(I70="","OPEN",IF(OR(G70="",H70="",'Controls'!$D$69=""),"FAIL",IF(AND('Controls'!$D$69&gt;=G70,'Controls'!$D$69&lt;=H70),"PASS","EXPIRED")))</x:f>
        <x:v>OPEN</x:v>
      </x:c>
    </x:row>
    <x:row r="71">
      <x:c r="B71" s="28" t="str">
        <x:v>XP-PAIR-C2-05</x:v>
      </x:c>
      <x:c r="C71" s="28" t="str">
        <x:v>PAIR-C2</x:v>
      </x:c>
      <x:c r="D71" s="28" t="str">
        <x:v>RFP-C2</x:v>
      </x:c>
      <x:c r="E71" s="28" t="n">
        <x:v>5</x:v>
      </x:c>
      <x:c r="F71" s="28" t="str">
        <x:v>calibration circuit</x:v>
      </x:c>
      <x:c r="G71" s="32" t="str"/>
      <x:c r="H71" s="32" t="str"/>
      <x:c r="I71" s="31" t="str"/>
      <x:c r="J71" s="28" t="str">
        <x:f>IF(I71="","OPEN",IF(OR(G71="",H71="",'Controls'!$D$69=""),"FAIL",IF(AND('Controls'!$D$69&gt;=G71,'Controls'!$D$69&lt;=H71),"PASS","EXPIRED")))</x:f>
        <x:v>OPEN</x:v>
      </x:c>
    </x:row>
    <x:row r="72">
      <x:c r="B72" s="28" t="str">
        <x:v>XP-PAIR-C2-06</x:v>
      </x:c>
      <x:c r="C72" s="28" t="str">
        <x:v>PAIR-C2</x:v>
      </x:c>
      <x:c r="D72" s="28" t="str">
        <x:v>RFP-C2</x:v>
      </x:c>
      <x:c r="E72" s="28" t="n">
        <x:v>6</x:v>
      </x:c>
      <x:c r="F72" s="28" t="str">
        <x:v>crew roster</x:v>
      </x:c>
      <x:c r="G72" s="32" t="str"/>
      <x:c r="H72" s="32" t="str"/>
      <x:c r="I72" s="31" t="str"/>
      <x:c r="J72" s="28" t="str">
        <x:f>IF(I72="","OPEN",IF(OR(G72="",H72="",'Controls'!$D$69=""),"FAIL",IF(AND('Controls'!$D$69&gt;=G72,'Controls'!$D$69&lt;=H72),"PASS","EXPIRED")))</x:f>
        <x:v>OPEN</x:v>
      </x:c>
    </x:row>
    <x:row r="73">
      <x:c r="B73" s="28" t="str">
        <x:v>XP-PAIR-C2-07</x:v>
      </x:c>
      <x:c r="C73" s="28" t="str">
        <x:v>PAIR-C2</x:v>
      </x:c>
      <x:c r="D73" s="28" t="str">
        <x:v>RFP-C2</x:v>
      </x:c>
      <x:c r="E73" s="28" t="n">
        <x:v>7</x:v>
      </x:c>
      <x:c r="F73" s="28" t="str">
        <x:v>degraded-service drills</x:v>
      </x:c>
      <x:c r="G73" s="32" t="str"/>
      <x:c r="H73" s="32" t="str"/>
      <x:c r="I73" s="31" t="str"/>
      <x:c r="J73" s="28" t="str">
        <x:f>IF(I73="","OPEN",IF(OR(G73="",H73="",'Controls'!$D$69=""),"FAIL",IF(AND('Controls'!$D$69&gt;=G73,'Controls'!$D$69&lt;=H73),"PASS","EXPIRED")))</x:f>
        <x:v>OPEN</x:v>
      </x:c>
    </x:row>
    <x:row r="74">
      <x:c r="B74" s="28" t="str">
        <x:v>XP-PAIR-C2-08</x:v>
      </x:c>
      <x:c r="C74" s="28" t="str">
        <x:v>PAIR-C2</x:v>
      </x:c>
      <x:c r="D74" s="28" t="str">
        <x:v>RFP-C2</x:v>
      </x:c>
      <x:c r="E74" s="28" t="n">
        <x:v>8</x:v>
      </x:c>
      <x:c r="F74" s="28" t="str">
        <x:v>rescue exercises</x:v>
      </x:c>
      <x:c r="G74" s="32" t="str"/>
      <x:c r="H74" s="32" t="str"/>
      <x:c r="I74" s="31" t="str"/>
      <x:c r="J74" s="28" t="str">
        <x:f>IF(I74="","OPEN",IF(OR(G74="",H74="",'Controls'!$D$69=""),"FAIL",IF(AND('Controls'!$D$69&gt;=G74,'Controls'!$D$69&lt;=H74),"PASS","EXPIRED")))</x:f>
        <x:v>OPEN</x:v>
      </x:c>
    </x:row>
    <x:row r="75">
      <x:c r="B75" s="28" t="str">
        <x:v>XP-PAIR-C2-09</x:v>
      </x:c>
      <x:c r="C75" s="28" t="str">
        <x:v>PAIR-C2</x:v>
      </x:c>
      <x:c r="D75" s="28" t="str">
        <x:v>RFP-C2</x:v>
      </x:c>
      <x:c r="E75" s="28" t="n">
        <x:v>9</x:v>
      </x:c>
      <x:c r="F75" s="28" t="str">
        <x:v>evidence handshakes</x:v>
      </x:c>
      <x:c r="G75" s="32" t="str"/>
      <x:c r="H75" s="32" t="str"/>
      <x:c r="I75" s="31" t="str"/>
      <x:c r="J75" s="28" t="str">
        <x:f>IF(I75="","OPEN",IF(OR(G75="",H75="",'Controls'!$D$69=""),"FAIL",IF(AND('Controls'!$D$69&gt;=G75,'Controls'!$D$69&lt;=H75),"PASS","EXPIRED")))</x:f>
        <x:v>OPEN</x:v>
      </x:c>
    </x:row>
    <x:row r="76">
      <x:c r="B76" s="28" t="str">
        <x:v>XP-PAIR-C2-10</x:v>
      </x:c>
      <x:c r="C76" s="28" t="str">
        <x:v>PAIR-C2</x:v>
      </x:c>
      <x:c r="D76" s="28" t="str">
        <x:v>RFP-C2</x:v>
      </x:c>
      <x:c r="E76" s="28" t="n">
        <x:v>10</x:v>
      </x:c>
      <x:c r="F76" s="28" t="str">
        <x:v>remote replay</x:v>
      </x:c>
      <x:c r="G76" s="32" t="str"/>
      <x:c r="H76" s="32" t="str"/>
      <x:c r="I76" s="31" t="str"/>
      <x:c r="J76" s="28" t="str">
        <x:f>IF(I76="","OPEN",IF(OR(G76="",H76="",'Controls'!$D$69=""),"FAIL",IF(AND('Controls'!$D$69&gt;=G76,'Controls'!$D$69&lt;=H76),"PASS","EXPIRED")))</x:f>
        <x:v>OPEN</x:v>
      </x:c>
    </x:row>
    <x:row r="77">
      <x:c r="B77" s="28" t="str">
        <x:v>XP-PAIR-C2-11</x:v>
      </x:c>
      <x:c r="C77" s="28" t="str">
        <x:v>PAIR-C2</x:v>
      </x:c>
      <x:c r="D77" s="28" t="str">
        <x:v>RFP-C2</x:v>
      </x:c>
      <x:c r="E77" s="28" t="n">
        <x:v>11</x:v>
      </x:c>
      <x:c r="F77" s="28" t="str">
        <x:v>media custody</x:v>
      </x:c>
      <x:c r="G77" s="32" t="str"/>
      <x:c r="H77" s="32" t="str"/>
      <x:c r="I77" s="31" t="str"/>
      <x:c r="J77" s="28" t="str">
        <x:f>IF(I77="","OPEN",IF(OR(G77="",H77="",'Controls'!$D$69=""),"FAIL",IF(AND('Controls'!$D$69&gt;=G77,'Controls'!$D$69&lt;=H77),"PASS","EXPIRED")))</x:f>
        <x:v>OPEN</x:v>
      </x:c>
    </x:row>
    <x:row r="78">
      <x:c r="B78" s="28" t="str">
        <x:v>XP-PAIR-C2-12</x:v>
      </x:c>
      <x:c r="C78" s="28" t="str">
        <x:v>PAIR-C2</x:v>
      </x:c>
      <x:c r="D78" s="28" t="str">
        <x:v>RFP-C2</x:v>
      </x:c>
      <x:c r="E78" s="28" t="n">
        <x:v>12</x:v>
      </x:c>
      <x:c r="F78" s="28" t="str">
        <x:v>public safety release</x:v>
      </x:c>
      <x:c r="G78" s="32" t="str"/>
      <x:c r="H78" s="32" t="str"/>
      <x:c r="I78" s="31" t="str"/>
      <x:c r="J78" s="28" t="str">
        <x:f>IF(I78="","OPEN",IF(OR(G78="",H78="",'Controls'!$D$69=""),"FAIL",IF(AND('Controls'!$D$69&gt;=G78,'Controls'!$D$69&lt;=H78),"PASS","EXPIRED")))</x:f>
        <x:v>OPEN</x:v>
      </x:c>
    </x:row>
  </x:sheetData>
  <x:conditionalFormatting sqref="J7:J78">
    <x:cfRule type="containsText" dxfId="144" priority="1" operator="containsText" text="FAIL"/>
    <x:cfRule type="containsText" dxfId="145" priority="2" operator="containsText" text="BLOCKED"/>
    <x:cfRule type="containsText" dxfId="146" priority="3" operator="containsText" text="EXPIRED"/>
    <x:cfRule type="containsText" dxfId="147" priority="4" operator="containsText" text="OPEN"/>
    <x:cfRule type="containsText" dxfId="148" priority="5" operator="containsText" text="DORMANT"/>
    <x:cfRule type="containsText" dxfId="149" priority="6" operator="containsText" text="PASS"/>
  </x:conditionalFormatting>
  <x:pageMargins left="0.7" right="0.7" top="0.75" bottom="0.75" header="0.3" footer="0.3"/>
</x:worksheet>
</file>

<file path=xl/worksheets/sheet32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7" hidden="0" customWidth="1"/>
    <x:col min="3" max="3" width="14" hidden="0" customWidth="1"/>
    <x:col min="4" max="4" width="13" hidden="0" customWidth="1"/>
    <x:col min="5" max="5" width="14" hidden="0" customWidth="1"/>
    <x:col min="6" max="6" width="22" hidden="0" customWidth="1"/>
    <x:col min="7" max="7" width="20" hidden="0" customWidth="1"/>
    <x:col min="8" max="8" width="22" hidden="0" customWidth="1"/>
    <x:col min="9" max="9" width="20" hidden="0" customWidth="1"/>
    <x:col min="10" max="10" width="18" hidden="0" customWidth="1"/>
    <x:col min="11" max="11" width="21" hidden="0" customWidth="1"/>
    <x:col min="12" max="12" width="14" hidden="0" customWidth="1"/>
  </x:cols>
  <x:sheetData>
    <x:row r="2">
      <x:c r="B2" s="25" t="str">
        <x:v>Six operational-article readiness decisions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B3" s="27" t="str">
        <x:v>An article requires current domains, accepted custody, six dockings and an independent board decision.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</x:row>
    <x:row r="6" ht="24" customHeight="1">
      <x:c r="B6" s="6" t="str">
        <x:v>Article</x:v>
      </x:c>
      <x:c r="C6" s="6" t="str">
        <x:v>Builder</x:v>
      </x:c>
      <x:c r="D6" s="6" t="str">
        <x:v>Lineage</x:v>
      </x:c>
      <x:c r="E6" s="6" t="str">
        <x:v>Home rig</x:v>
      </x:c>
      <x:c r="F6" s="6" t="str">
        <x:v>Required domains</x:v>
      </x:c>
      <x:c r="G6" s="6" t="str">
        <x:v>Passing domains</x:v>
      </x:c>
      <x:c r="H6" s="6" t="str">
        <x:v>Required dockings</x:v>
      </x:c>
      <x:c r="I6" s="6" t="str">
        <x:v>Passing dockings</x:v>
      </x:c>
      <x:c r="J6" s="6" t="str">
        <x:v>Custody state</x:v>
      </x:c>
      <x:c r="K6" s="6" t="str">
        <x:v>Board accepted UTC</x:v>
      </x:c>
      <x:c r="L6" s="6" t="str">
        <x:v>State</x:v>
      </x:c>
    </x:row>
    <x:row r="7">
      <x:c r="B7" s="28" t="str">
        <x:v>PEA-A-X1</x:v>
      </x:c>
      <x:c r="C7" s="28" t="str">
        <x:v>BLD-A</x:v>
      </x:c>
      <x:c r="D7" s="28" t="str">
        <x:v>BL-X</x:v>
      </x:c>
      <x:c r="E7" s="28" t="str">
        <x:v>RFP-A1</x:v>
      </x:c>
      <x:c r="F7" s="28" t="n">
        <x:v>18</x:v>
      </x:c>
      <x:c r="G7" s="28" t="n">
        <x:f>COUNTIFS('Article Domains'!C7:C114,B7,'Article Domains'!J7:J114,"PASS")</x:f>
        <x:v>0</x:v>
      </x:c>
      <x:c r="H7" s="28" t="n">
        <x:v>6</x:v>
      </x:c>
      <x:c r="I7" s="28" t="n">
        <x:f>COUNTIFS(Docking!D7:D42,B7,Docking!M7:M42,"PASS")</x:f>
        <x:v>0</x:v>
      </x:c>
      <x:c r="J7" s="28" t="str">
        <x:f>IF(AND(COUNTIFS('Bank Intake'!B7:B24,B7,'Bank Intake'!L7:L24,"PASS")=1,COUNTIFS('Transport Custody'!C7:C24,B7,'Transport Custody'!O7:O24,"PASS")=1),"PASS","OPEN")</x:f>
        <x:v>OPEN</x:v>
      </x:c>
      <x:c r="K7" s="31" t="str"/>
      <x:c r="L7" s="28" t="str">
        <x:f>IF(K7="","OPEN",IF(AND(G7=F7,I7=H7,J7="PASS"),"PASS","FAIL"))</x:f>
        <x:v>OPEN</x:v>
      </x:c>
    </x:row>
    <x:row r="8">
      <x:c r="B8" s="28" t="str">
        <x:v>PEA-A-Y1</x:v>
      </x:c>
      <x:c r="C8" s="28" t="str">
        <x:v>BLD-A</x:v>
      </x:c>
      <x:c r="D8" s="28" t="str">
        <x:v>BL-Y</x:v>
      </x:c>
      <x:c r="E8" s="28" t="str">
        <x:v>RFP-A2</x:v>
      </x:c>
      <x:c r="F8" s="28" t="n">
        <x:v>18</x:v>
      </x:c>
      <x:c r="G8" s="28" t="n">
        <x:f>COUNTIFS('Article Domains'!C7:C114,B8,'Article Domains'!J7:J114,"PASS")</x:f>
        <x:v>0</x:v>
      </x:c>
      <x:c r="H8" s="28" t="n">
        <x:v>6</x:v>
      </x:c>
      <x:c r="I8" s="28" t="n">
        <x:f>COUNTIFS(Docking!D7:D42,B8,Docking!M7:M42,"PASS")</x:f>
        <x:v>0</x:v>
      </x:c>
      <x:c r="J8" s="28" t="str">
        <x:f>IF(AND(COUNTIFS('Bank Intake'!B7:B24,B8,'Bank Intake'!L7:L24,"PASS")=1,COUNTIFS('Transport Custody'!C7:C24,B8,'Transport Custody'!O7:O24,"PASS")=1),"PASS","OPEN")</x:f>
        <x:v>OPEN</x:v>
      </x:c>
      <x:c r="K8" s="31" t="str"/>
      <x:c r="L8" s="28" t="str">
        <x:f>IF(K8="","OPEN",IF(AND(G8=F8,I8=H8,J8="PASS"),"PASS","FAIL"))</x:f>
        <x:v>OPEN</x:v>
      </x:c>
    </x:row>
    <x:row r="9">
      <x:c r="B9" s="28" t="str">
        <x:v>PEA-B-X1</x:v>
      </x:c>
      <x:c r="C9" s="28" t="str">
        <x:v>BLD-B</x:v>
      </x:c>
      <x:c r="D9" s="28" t="str">
        <x:v>BL-X</x:v>
      </x:c>
      <x:c r="E9" s="28" t="str">
        <x:v>RFP-B1</x:v>
      </x:c>
      <x:c r="F9" s="28" t="n">
        <x:v>18</x:v>
      </x:c>
      <x:c r="G9" s="28" t="n">
        <x:f>COUNTIFS('Article Domains'!C7:C114,B9,'Article Domains'!J7:J114,"PASS")</x:f>
        <x:v>0</x:v>
      </x:c>
      <x:c r="H9" s="28" t="n">
        <x:v>6</x:v>
      </x:c>
      <x:c r="I9" s="28" t="n">
        <x:f>COUNTIFS(Docking!D7:D42,B9,Docking!M7:M42,"PASS")</x:f>
        <x:v>0</x:v>
      </x:c>
      <x:c r="J9" s="28" t="str">
        <x:f>IF(AND(COUNTIFS('Bank Intake'!B7:B24,B9,'Bank Intake'!L7:L24,"PASS")=1,COUNTIFS('Transport Custody'!C7:C24,B9,'Transport Custody'!O7:O24,"PASS")=1),"PASS","OPEN")</x:f>
        <x:v>OPEN</x:v>
      </x:c>
      <x:c r="K9" s="31" t="str"/>
      <x:c r="L9" s="28" t="str">
        <x:f>IF(K9="","OPEN",IF(AND(G9=F9,I9=H9,J9="PASS"),"PASS","FAIL"))</x:f>
        <x:v>OPEN</x:v>
      </x:c>
    </x:row>
    <x:row r="10">
      <x:c r="B10" s="28" t="str">
        <x:v>PEA-B-Y1</x:v>
      </x:c>
      <x:c r="C10" s="28" t="str">
        <x:v>BLD-B</x:v>
      </x:c>
      <x:c r="D10" s="28" t="str">
        <x:v>BL-Y</x:v>
      </x:c>
      <x:c r="E10" s="28" t="str">
        <x:v>RFP-B2</x:v>
      </x:c>
      <x:c r="F10" s="28" t="n">
        <x:v>18</x:v>
      </x:c>
      <x:c r="G10" s="28" t="n">
        <x:f>COUNTIFS('Article Domains'!C7:C114,B10,'Article Domains'!J7:J114,"PASS")</x:f>
        <x:v>0</x:v>
      </x:c>
      <x:c r="H10" s="28" t="n">
        <x:v>6</x:v>
      </x:c>
      <x:c r="I10" s="28" t="n">
        <x:f>COUNTIFS(Docking!D7:D42,B10,Docking!M7:M42,"PASS")</x:f>
        <x:v>0</x:v>
      </x:c>
      <x:c r="J10" s="28" t="str">
        <x:f>IF(AND(COUNTIFS('Bank Intake'!B7:B24,B10,'Bank Intake'!L7:L24,"PASS")=1,COUNTIFS('Transport Custody'!C7:C24,B10,'Transport Custody'!O7:O24,"PASS")=1),"PASS","OPEN")</x:f>
        <x:v>OPEN</x:v>
      </x:c>
      <x:c r="K10" s="31" t="str"/>
      <x:c r="L10" s="28" t="str">
        <x:f>IF(K10="","OPEN",IF(AND(G10=F10,I10=H10,J10="PASS"),"PASS","FAIL"))</x:f>
        <x:v>OPEN</x:v>
      </x:c>
    </x:row>
    <x:row r="11">
      <x:c r="B11" s="28" t="str">
        <x:v>PEA-C-X1</x:v>
      </x:c>
      <x:c r="C11" s="28" t="str">
        <x:v>BLD-C</x:v>
      </x:c>
      <x:c r="D11" s="28" t="str">
        <x:v>BL-X</x:v>
      </x:c>
      <x:c r="E11" s="28" t="str">
        <x:v>RFP-C1</x:v>
      </x:c>
      <x:c r="F11" s="28" t="n">
        <x:v>18</x:v>
      </x:c>
      <x:c r="G11" s="28" t="n">
        <x:f>COUNTIFS('Article Domains'!C7:C114,B11,'Article Domains'!J7:J114,"PASS")</x:f>
        <x:v>0</x:v>
      </x:c>
      <x:c r="H11" s="28" t="n">
        <x:v>6</x:v>
      </x:c>
      <x:c r="I11" s="28" t="n">
        <x:f>COUNTIFS(Docking!D7:D42,B11,Docking!M7:M42,"PASS")</x:f>
        <x:v>0</x:v>
      </x:c>
      <x:c r="J11" s="28" t="str">
        <x:f>IF(AND(COUNTIFS('Bank Intake'!B7:B24,B11,'Bank Intake'!L7:L24,"PASS")=1,COUNTIFS('Transport Custody'!C7:C24,B11,'Transport Custody'!O7:O24,"PASS")=1),"PASS","OPEN")</x:f>
        <x:v>OPEN</x:v>
      </x:c>
      <x:c r="K11" s="31" t="str"/>
      <x:c r="L11" s="28" t="str">
        <x:f>IF(K11="","OPEN",IF(AND(G11=F11,I11=H11,J11="PASS"),"PASS","FAIL"))</x:f>
        <x:v>OPEN</x:v>
      </x:c>
    </x:row>
    <x:row r="12">
      <x:c r="B12" s="28" t="str">
        <x:v>PEA-C-Y1</x:v>
      </x:c>
      <x:c r="C12" s="28" t="str">
        <x:v>BLD-C</x:v>
      </x:c>
      <x:c r="D12" s="28" t="str">
        <x:v>BL-Y</x:v>
      </x:c>
      <x:c r="E12" s="28" t="str">
        <x:v>RFP-C2</x:v>
      </x:c>
      <x:c r="F12" s="28" t="n">
        <x:v>18</x:v>
      </x:c>
      <x:c r="G12" s="28" t="n">
        <x:f>COUNTIFS('Article Domains'!C7:C114,B12,'Article Domains'!J7:J114,"PASS")</x:f>
        <x:v>0</x:v>
      </x:c>
      <x:c r="H12" s="28" t="n">
        <x:v>6</x:v>
      </x:c>
      <x:c r="I12" s="28" t="n">
        <x:f>COUNTIFS(Docking!D7:D42,B12,Docking!M7:M42,"PASS")</x:f>
        <x:v>0</x:v>
      </x:c>
      <x:c r="J12" s="28" t="str">
        <x:f>IF(AND(COUNTIFS('Bank Intake'!B7:B24,B12,'Bank Intake'!L7:L24,"PASS")=1,COUNTIFS('Transport Custody'!C7:C24,B12,'Transport Custody'!O7:O24,"PASS")=1),"PASS","OPEN")</x:f>
        <x:v>OPEN</x:v>
      </x:c>
      <x:c r="K12" s="31" t="str"/>
      <x:c r="L12" s="28" t="str">
        <x:f>IF(K12="","OPEN",IF(AND(G12=F12,I12=H12,J12="PASS"),"PASS","FAIL"))</x:f>
        <x:v>OPEN</x:v>
      </x:c>
    </x:row>
  </x:sheetData>
  <x:conditionalFormatting sqref="L7:L12">
    <x:cfRule type="containsText" dxfId="150" priority="1" operator="containsText" text="FAIL"/>
    <x:cfRule type="containsText" dxfId="151" priority="2" operator="containsText" text="BLOCKED"/>
    <x:cfRule type="containsText" dxfId="152" priority="3" operator="containsText" text="EXPIRED"/>
    <x:cfRule type="containsText" dxfId="153" priority="4" operator="containsText" text="OPEN"/>
    <x:cfRule type="containsText" dxfId="154" priority="5" operator="containsText" text="DORMANT"/>
    <x:cfRule type="containsText" dxfId="155" priority="6" operator="containsText" text="PASS"/>
  </x:conditionalFormatting>
  <x:pageMargins left="0.7" right="0.7" top="0.75" bottom="0.75" header="0.3" footer="0.3"/>
</x:worksheet>
</file>

<file path=xl/worksheets/sheet3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4" hidden="0" customWidth="1"/>
    <x:col min="3" max="3" width="14" hidden="0" customWidth="1"/>
    <x:col min="4" max="4" width="19" hidden="0" customWidth="1"/>
    <x:col min="5" max="5" width="18" hidden="0" customWidth="1"/>
    <x:col min="6" max="6" width="20" hidden="0" customWidth="1"/>
    <x:col min="7" max="7" width="18" hidden="0" customWidth="1"/>
    <x:col min="8" max="8" width="21" hidden="0" customWidth="1"/>
    <x:col min="9" max="9" width="19" hidden="0" customWidth="1"/>
    <x:col min="10" max="10" width="18" hidden="0" customWidth="1"/>
    <x:col min="11" max="11" width="17" hidden="0" customWidth="1"/>
    <x:col min="12" max="12" width="18" hidden="0" customWidth="1"/>
    <x:col min="13" max="13" width="17" hidden="0" customWidth="1"/>
    <x:col min="14" max="14" width="22" hidden="0" customWidth="1"/>
    <x:col min="15" max="15" width="20" hidden="0" customWidth="1"/>
    <x:col min="16" max="16" width="19" hidden="0" customWidth="1"/>
    <x:col min="17" max="17" width="18" hidden="0" customWidth="1"/>
    <x:col min="18" max="18" width="21" hidden="0" customWidth="1"/>
    <x:col min="19" max="19" width="14" hidden="0" customWidth="1"/>
  </x:cols>
  <x:sheetData>
    <x:row r="2">
      <x:c r="B2" s="25" t="str">
        <x:v>Six complete rig-readiness decisions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  <x:c r="P2" s="26"/>
      <x:c r="Q2" s="26"/>
      <x:c r="R2" s="26"/>
      <x:c r="S2" s="26"/>
    </x:row>
    <x:row r="3">
      <x:c r="B3" s="27" t="str">
        <x:v>Each rig accepts every operational article, all three calibration references, degraded-service work, rescue and evidence federation.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  <x:c r="P3" s="26"/>
      <x:c r="Q3" s="26"/>
      <x:c r="R3" s="26"/>
      <x:c r="S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  <x:c r="P4" s="26"/>
      <x:c r="Q4" s="26"/>
      <x:c r="R4" s="26"/>
      <x:c r="S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  <x:c r="P5" s="26"/>
      <x:c r="Q5" s="26"/>
      <x:c r="R5" s="26"/>
      <x:c r="S5" s="26"/>
    </x:row>
    <x:row r="6" ht="24" customHeight="1">
      <x:c r="B6" s="6" t="str">
        <x:v>Rig</x:v>
      </x:c>
      <x:c r="C6" s="6" t="str">
        <x:v>Campus</x:v>
      </x:c>
      <x:c r="D6" s="6" t="str">
        <x:v>Domains required</x:v>
      </x:c>
      <x:c r="E6" s="6" t="str">
        <x:v>Domains passing</x:v>
      </x:c>
      <x:c r="F6" s="6" t="str">
        <x:v>Interfaces required</x:v>
      </x:c>
      <x:c r="G6" s="6" t="str">
        <x:v>Interfaces passing</x:v>
      </x:c>
      <x:c r="H6" s="6" t="str">
        <x:v>Calibration required</x:v>
      </x:c>
      <x:c r="I6" s="6" t="str">
        <x:v>Calibration passing</x:v>
      </x:c>
      <x:c r="J6" s="6" t="str">
        <x:v>Drills required</x:v>
      </x:c>
      <x:c r="K6" s="6" t="str">
        <x:v>Drills passing</x:v>
      </x:c>
      <x:c r="L6" s="6" t="str">
        <x:v>Rescue required</x:v>
      </x:c>
      <x:c r="M6" s="6" t="str">
        <x:v>Rescue passing</x:v>
      </x:c>
      <x:c r="N6" s="6" t="str">
        <x:v>Handshakes required</x:v>
      </x:c>
      <x:c r="O6" s="6" t="str">
        <x:v>Handshakes passing</x:v>
      </x:c>
      <x:c r="P6" s="6" t="str">
        <x:v>Replays required</x:v>
      </x:c>
      <x:c r="Q6" s="6" t="str">
        <x:v>Replays passing</x:v>
      </x:c>
      <x:c r="R6" s="6" t="str">
        <x:v>Board accepted UTC</x:v>
      </x:c>
      <x:c r="S6" s="6" t="str">
        <x:v>State</x:v>
      </x:c>
    </x:row>
    <x:row r="7">
      <x:c r="B7" s="28" t="str">
        <x:v>RFP-A1</x:v>
      </x:c>
      <x:c r="C7" s="28" t="str">
        <x:v>PTC-A</x:v>
      </x:c>
      <x:c r="D7" s="28" t="n">
        <x:v>24</x:v>
      </x:c>
      <x:c r="E7" s="28" t="n">
        <x:f>COUNTIFS('Rig Domains'!C7:C150,B7,'Rig Domains'!I7:I150,"PASS")</x:f>
        <x:v>0</x:v>
      </x:c>
      <x:c r="F7" s="28" t="n">
        <x:v>72</x:v>
      </x:c>
      <x:c r="G7" s="28" t="n">
        <x:f>COUNTIFS('Interface Tests'!E7:E438,B7,'Interface Tests'!L7:L438,"PASS")</x:f>
        <x:v>0</x:v>
      </x:c>
      <x:c r="H7" s="28" t="n">
        <x:v>72</x:v>
      </x:c>
      <x:c r="I7" s="28" t="n">
        <x:f>COUNTIFS('Calibration Records'!E7:E438,B7,'Calibration Records'!N7:N438,"PASS")</x:f>
        <x:v>0</x:v>
      </x:c>
      <x:c r="J7" s="28" t="n">
        <x:v>12</x:v>
      </x:c>
      <x:c r="K7" s="28" t="n">
        <x:f>COUNTIFS(Drills!C7:C78,B7,Drills!K7:K78,"PASS")</x:f>
        <x:v>0</x:v>
      </x:c>
      <x:c r="L7" s="28" t="n">
        <x:v>8</x:v>
      </x:c>
      <x:c r="M7" s="28" t="n">
        <x:f>COUNTIFS('Rescue Exercises'!C7:C54,B7,'Rescue Exercises'!L7:L54,"PASS")</x:f>
        <x:v>0</x:v>
      </x:c>
      <x:c r="N7" s="28" t="n">
        <x:v>12</x:v>
      </x:c>
      <x:c r="O7" s="28" t="n">
        <x:f>COUNTIFS('Evidence Handshakes'!C7:C78,B7,'Evidence Handshakes'!J7:J78,"PASS")</x:f>
        <x:v>0</x:v>
      </x:c>
      <x:c r="P7" s="28" t="n">
        <x:v>20</x:v>
      </x:c>
      <x:c r="Q7" s="28" t="n">
        <x:f>COUNTIFS('Replay Records'!C7:C126,B7,'Replay Records'!L7:L126,"PASS")</x:f>
        <x:v>0</x:v>
      </x:c>
      <x:c r="R7" s="31" t="str"/>
      <x:c r="S7" s="28" t="str">
        <x:f>IF(R7="","OPEN",IF(AND(E7=D7,G7=F7,I7=H7,K7=J7,M7=L7,O7=N7,Q7=P7),"PASS","FAIL"))</x:f>
        <x:v>OPEN</x:v>
      </x:c>
    </x:row>
    <x:row r="8">
      <x:c r="B8" s="28" t="str">
        <x:v>RFP-A2</x:v>
      </x:c>
      <x:c r="C8" s="28" t="str">
        <x:v>PTC-A</x:v>
      </x:c>
      <x:c r="D8" s="28" t="n">
        <x:v>24</x:v>
      </x:c>
      <x:c r="E8" s="28" t="n">
        <x:f>COUNTIFS('Rig Domains'!C7:C150,B8,'Rig Domains'!I7:I150,"PASS")</x:f>
        <x:v>0</x:v>
      </x:c>
      <x:c r="F8" s="28" t="n">
        <x:v>72</x:v>
      </x:c>
      <x:c r="G8" s="28" t="n">
        <x:f>COUNTIFS('Interface Tests'!E7:E438,B8,'Interface Tests'!L7:L438,"PASS")</x:f>
        <x:v>0</x:v>
      </x:c>
      <x:c r="H8" s="28" t="n">
        <x:v>72</x:v>
      </x:c>
      <x:c r="I8" s="28" t="n">
        <x:f>COUNTIFS('Calibration Records'!E7:E438,B8,'Calibration Records'!N7:N438,"PASS")</x:f>
        <x:v>0</x:v>
      </x:c>
      <x:c r="J8" s="28" t="n">
        <x:v>12</x:v>
      </x:c>
      <x:c r="K8" s="28" t="n">
        <x:f>COUNTIFS(Drills!C7:C78,B8,Drills!K7:K78,"PASS")</x:f>
        <x:v>0</x:v>
      </x:c>
      <x:c r="L8" s="28" t="n">
        <x:v>8</x:v>
      </x:c>
      <x:c r="M8" s="28" t="n">
        <x:f>COUNTIFS('Rescue Exercises'!C7:C54,B8,'Rescue Exercises'!L7:L54,"PASS")</x:f>
        <x:v>0</x:v>
      </x:c>
      <x:c r="N8" s="28" t="n">
        <x:v>12</x:v>
      </x:c>
      <x:c r="O8" s="28" t="n">
        <x:f>COUNTIFS('Evidence Handshakes'!C7:C78,B8,'Evidence Handshakes'!J7:J78,"PASS")</x:f>
        <x:v>0</x:v>
      </x:c>
      <x:c r="P8" s="28" t="n">
        <x:v>20</x:v>
      </x:c>
      <x:c r="Q8" s="28" t="n">
        <x:f>COUNTIFS('Replay Records'!C7:C126,B8,'Replay Records'!L7:L126,"PASS")</x:f>
        <x:v>0</x:v>
      </x:c>
      <x:c r="R8" s="31" t="str"/>
      <x:c r="S8" s="28" t="str">
        <x:f>IF(R8="","OPEN",IF(AND(E8=D8,G8=F8,I8=H8,K8=J8,M8=L8,O8=N8,Q8=P8),"PASS","FAIL"))</x:f>
        <x:v>OPEN</x:v>
      </x:c>
    </x:row>
    <x:row r="9">
      <x:c r="B9" s="28" t="str">
        <x:v>RFP-B1</x:v>
      </x:c>
      <x:c r="C9" s="28" t="str">
        <x:v>PTC-B</x:v>
      </x:c>
      <x:c r="D9" s="28" t="n">
        <x:v>24</x:v>
      </x:c>
      <x:c r="E9" s="28" t="n">
        <x:f>COUNTIFS('Rig Domains'!C7:C150,B9,'Rig Domains'!I7:I150,"PASS")</x:f>
        <x:v>0</x:v>
      </x:c>
      <x:c r="F9" s="28" t="n">
        <x:v>72</x:v>
      </x:c>
      <x:c r="G9" s="28" t="n">
        <x:f>COUNTIFS('Interface Tests'!E7:E438,B9,'Interface Tests'!L7:L438,"PASS")</x:f>
        <x:v>0</x:v>
      </x:c>
      <x:c r="H9" s="28" t="n">
        <x:v>72</x:v>
      </x:c>
      <x:c r="I9" s="28" t="n">
        <x:f>COUNTIFS('Calibration Records'!E7:E438,B9,'Calibration Records'!N7:N438,"PASS")</x:f>
        <x:v>0</x:v>
      </x:c>
      <x:c r="J9" s="28" t="n">
        <x:v>12</x:v>
      </x:c>
      <x:c r="K9" s="28" t="n">
        <x:f>COUNTIFS(Drills!C7:C78,B9,Drills!K7:K78,"PASS")</x:f>
        <x:v>0</x:v>
      </x:c>
      <x:c r="L9" s="28" t="n">
        <x:v>8</x:v>
      </x:c>
      <x:c r="M9" s="28" t="n">
        <x:f>COUNTIFS('Rescue Exercises'!C7:C54,B9,'Rescue Exercises'!L7:L54,"PASS")</x:f>
        <x:v>0</x:v>
      </x:c>
      <x:c r="N9" s="28" t="n">
        <x:v>12</x:v>
      </x:c>
      <x:c r="O9" s="28" t="n">
        <x:f>COUNTIFS('Evidence Handshakes'!C7:C78,B9,'Evidence Handshakes'!J7:J78,"PASS")</x:f>
        <x:v>0</x:v>
      </x:c>
      <x:c r="P9" s="28" t="n">
        <x:v>20</x:v>
      </x:c>
      <x:c r="Q9" s="28" t="n">
        <x:f>COUNTIFS('Replay Records'!C7:C126,B9,'Replay Records'!L7:L126,"PASS")</x:f>
        <x:v>0</x:v>
      </x:c>
      <x:c r="R9" s="31" t="str"/>
      <x:c r="S9" s="28" t="str">
        <x:f>IF(R9="","OPEN",IF(AND(E9=D9,G9=F9,I9=H9,K9=J9,M9=L9,O9=N9,Q9=P9),"PASS","FAIL"))</x:f>
        <x:v>OPEN</x:v>
      </x:c>
    </x:row>
    <x:row r="10">
      <x:c r="B10" s="28" t="str">
        <x:v>RFP-B2</x:v>
      </x:c>
      <x:c r="C10" s="28" t="str">
        <x:v>PTC-B</x:v>
      </x:c>
      <x:c r="D10" s="28" t="n">
        <x:v>24</x:v>
      </x:c>
      <x:c r="E10" s="28" t="n">
        <x:f>COUNTIFS('Rig Domains'!C7:C150,B10,'Rig Domains'!I7:I150,"PASS")</x:f>
        <x:v>0</x:v>
      </x:c>
      <x:c r="F10" s="28" t="n">
        <x:v>72</x:v>
      </x:c>
      <x:c r="G10" s="28" t="n">
        <x:f>COUNTIFS('Interface Tests'!E7:E438,B10,'Interface Tests'!L7:L438,"PASS")</x:f>
        <x:v>0</x:v>
      </x:c>
      <x:c r="H10" s="28" t="n">
        <x:v>72</x:v>
      </x:c>
      <x:c r="I10" s="28" t="n">
        <x:f>COUNTIFS('Calibration Records'!E7:E438,B10,'Calibration Records'!N7:N438,"PASS")</x:f>
        <x:v>0</x:v>
      </x:c>
      <x:c r="J10" s="28" t="n">
        <x:v>12</x:v>
      </x:c>
      <x:c r="K10" s="28" t="n">
        <x:f>COUNTIFS(Drills!C7:C78,B10,Drills!K7:K78,"PASS")</x:f>
        <x:v>0</x:v>
      </x:c>
      <x:c r="L10" s="28" t="n">
        <x:v>8</x:v>
      </x:c>
      <x:c r="M10" s="28" t="n">
        <x:f>COUNTIFS('Rescue Exercises'!C7:C54,B10,'Rescue Exercises'!L7:L54,"PASS")</x:f>
        <x:v>0</x:v>
      </x:c>
      <x:c r="N10" s="28" t="n">
        <x:v>12</x:v>
      </x:c>
      <x:c r="O10" s="28" t="n">
        <x:f>COUNTIFS('Evidence Handshakes'!C7:C78,B10,'Evidence Handshakes'!J7:J78,"PASS")</x:f>
        <x:v>0</x:v>
      </x:c>
      <x:c r="P10" s="28" t="n">
        <x:v>20</x:v>
      </x:c>
      <x:c r="Q10" s="28" t="n">
        <x:f>COUNTIFS('Replay Records'!C7:C126,B10,'Replay Records'!L7:L126,"PASS")</x:f>
        <x:v>0</x:v>
      </x:c>
      <x:c r="R10" s="31" t="str"/>
      <x:c r="S10" s="28" t="str">
        <x:f>IF(R10="","OPEN",IF(AND(E10=D10,G10=F10,I10=H10,K10=J10,M10=L10,O10=N10,Q10=P10),"PASS","FAIL"))</x:f>
        <x:v>OPEN</x:v>
      </x:c>
    </x:row>
    <x:row r="11">
      <x:c r="B11" s="28" t="str">
        <x:v>RFP-C1</x:v>
      </x:c>
      <x:c r="C11" s="28" t="str">
        <x:v>PTC-C</x:v>
      </x:c>
      <x:c r="D11" s="28" t="n">
        <x:v>24</x:v>
      </x:c>
      <x:c r="E11" s="28" t="n">
        <x:f>COUNTIFS('Rig Domains'!C7:C150,B11,'Rig Domains'!I7:I150,"PASS")</x:f>
        <x:v>0</x:v>
      </x:c>
      <x:c r="F11" s="28" t="n">
        <x:v>72</x:v>
      </x:c>
      <x:c r="G11" s="28" t="n">
        <x:f>COUNTIFS('Interface Tests'!E7:E438,B11,'Interface Tests'!L7:L438,"PASS")</x:f>
        <x:v>0</x:v>
      </x:c>
      <x:c r="H11" s="28" t="n">
        <x:v>72</x:v>
      </x:c>
      <x:c r="I11" s="28" t="n">
        <x:f>COUNTIFS('Calibration Records'!E7:E438,B11,'Calibration Records'!N7:N438,"PASS")</x:f>
        <x:v>0</x:v>
      </x:c>
      <x:c r="J11" s="28" t="n">
        <x:v>12</x:v>
      </x:c>
      <x:c r="K11" s="28" t="n">
        <x:f>COUNTIFS(Drills!C7:C78,B11,Drills!K7:K78,"PASS")</x:f>
        <x:v>0</x:v>
      </x:c>
      <x:c r="L11" s="28" t="n">
        <x:v>8</x:v>
      </x:c>
      <x:c r="M11" s="28" t="n">
        <x:f>COUNTIFS('Rescue Exercises'!C7:C54,B11,'Rescue Exercises'!L7:L54,"PASS")</x:f>
        <x:v>0</x:v>
      </x:c>
      <x:c r="N11" s="28" t="n">
        <x:v>12</x:v>
      </x:c>
      <x:c r="O11" s="28" t="n">
        <x:f>COUNTIFS('Evidence Handshakes'!C7:C78,B11,'Evidence Handshakes'!J7:J78,"PASS")</x:f>
        <x:v>0</x:v>
      </x:c>
      <x:c r="P11" s="28" t="n">
        <x:v>20</x:v>
      </x:c>
      <x:c r="Q11" s="28" t="n">
        <x:f>COUNTIFS('Replay Records'!C7:C126,B11,'Replay Records'!L7:L126,"PASS")</x:f>
        <x:v>0</x:v>
      </x:c>
      <x:c r="R11" s="31" t="str"/>
      <x:c r="S11" s="28" t="str">
        <x:f>IF(R11="","OPEN",IF(AND(E11=D11,G11=F11,I11=H11,K11=J11,M11=L11,O11=N11,Q11=P11),"PASS","FAIL"))</x:f>
        <x:v>OPEN</x:v>
      </x:c>
    </x:row>
    <x:row r="12">
      <x:c r="B12" s="28" t="str">
        <x:v>RFP-C2</x:v>
      </x:c>
      <x:c r="C12" s="28" t="str">
        <x:v>PTC-C</x:v>
      </x:c>
      <x:c r="D12" s="28" t="n">
        <x:v>24</x:v>
      </x:c>
      <x:c r="E12" s="28" t="n">
        <x:f>COUNTIFS('Rig Domains'!C7:C150,B12,'Rig Domains'!I7:I150,"PASS")</x:f>
        <x:v>0</x:v>
      </x:c>
      <x:c r="F12" s="28" t="n">
        <x:v>72</x:v>
      </x:c>
      <x:c r="G12" s="28" t="n">
        <x:f>COUNTIFS('Interface Tests'!E7:E438,B12,'Interface Tests'!L7:L438,"PASS")</x:f>
        <x:v>0</x:v>
      </x:c>
      <x:c r="H12" s="28" t="n">
        <x:v>72</x:v>
      </x:c>
      <x:c r="I12" s="28" t="n">
        <x:f>COUNTIFS('Calibration Records'!E7:E438,B12,'Calibration Records'!N7:N438,"PASS")</x:f>
        <x:v>0</x:v>
      </x:c>
      <x:c r="J12" s="28" t="n">
        <x:v>12</x:v>
      </x:c>
      <x:c r="K12" s="28" t="n">
        <x:f>COUNTIFS(Drills!C7:C78,B12,Drills!K7:K78,"PASS")</x:f>
        <x:v>0</x:v>
      </x:c>
      <x:c r="L12" s="28" t="n">
        <x:v>8</x:v>
      </x:c>
      <x:c r="M12" s="28" t="n">
        <x:f>COUNTIFS('Rescue Exercises'!C7:C54,B12,'Rescue Exercises'!L7:L54,"PASS")</x:f>
        <x:v>0</x:v>
      </x:c>
      <x:c r="N12" s="28" t="n">
        <x:v>12</x:v>
      </x:c>
      <x:c r="O12" s="28" t="n">
        <x:f>COUNTIFS('Evidence Handshakes'!C7:C78,B12,'Evidence Handshakes'!J7:J78,"PASS")</x:f>
        <x:v>0</x:v>
      </x:c>
      <x:c r="P12" s="28" t="n">
        <x:v>20</x:v>
      </x:c>
      <x:c r="Q12" s="28" t="n">
        <x:f>COUNTIFS('Replay Records'!C7:C126,B12,'Replay Records'!L7:L126,"PASS")</x:f>
        <x:v>0</x:v>
      </x:c>
      <x:c r="R12" s="31" t="str"/>
      <x:c r="S12" s="28" t="str">
        <x:f>IF(R12="","OPEN",IF(AND(E12=D12,G12=F12,I12=H12,K12=J12,M12=L12,O12=N12,Q12=P12),"PASS","FAIL"))</x:f>
        <x:v>OPEN</x:v>
      </x:c>
    </x:row>
  </x:sheetData>
  <x:conditionalFormatting sqref="S7:S12">
    <x:cfRule type="containsText" dxfId="156" priority="1" operator="containsText" text="FAIL"/>
    <x:cfRule type="containsText" dxfId="157" priority="2" operator="containsText" text="BLOCKED"/>
    <x:cfRule type="containsText" dxfId="158" priority="3" operator="containsText" text="EXPIRED"/>
    <x:cfRule type="containsText" dxfId="159" priority="4" operator="containsText" text="OPEN"/>
    <x:cfRule type="containsText" dxfId="160" priority="5" operator="containsText" text="DORMANT"/>
    <x:cfRule type="containsText" dxfId="161" priority="6" operator="containsText" text="PASS"/>
  </x:conditionalFormatting>
  <x:pageMargins left="0.7" right="0.7" top="0.75" bottom="0.75" header="0.3" footer="0.3"/>
</x:worksheet>
</file>

<file path=xl/worksheets/sheet34.xml><?xml version="1.0" encoding="utf-8"?>
<x:worksheet xmlns:x="http://schemas.openxmlformats.org/spreadsheetml/2006/main">
  <x:sheetViews>
    <x:sheetView showGridLines="0" workbookViewId="0">
      <x:pane xSplit="4" ySplit="6" topLeftCell="E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4" hidden="0" customWidth="1"/>
    <x:col min="5" max="5" width="24" hidden="0" customWidth="1"/>
    <x:col min="6" max="6" width="22" hidden="0" customWidth="1"/>
    <x:col min="7" max="7" width="17" hidden="0" customWidth="1"/>
    <x:col min="8" max="8" width="17" hidden="0" customWidth="1"/>
    <x:col min="9" max="9" width="20" hidden="0" customWidth="1"/>
    <x:col min="10" max="10" width="18" hidden="0" customWidth="1"/>
    <x:col min="11" max="11" width="22" hidden="0" customWidth="1"/>
    <x:col min="12" max="12" width="20" hidden="0" customWidth="1"/>
    <x:col min="13" max="13" width="21" hidden="0" customWidth="1"/>
    <x:col min="14" max="14" width="14" hidden="0" customWidth="1"/>
  </x:cols>
  <x:sheetData>
    <x:row r="2">
      <x:c r="B2" s="25" t="str">
        <x:v>Six article-rig pair decisions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</x:row>
    <x:row r="3">
      <x:c r="B3" s="27" t="str">
        <x:v>A pair releases only when article, rig, twin, home assignment, pair domains and all current credentials converge.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</x:row>
    <x:row r="6" ht="24" customHeight="1">
      <x:c r="B6" s="6" t="str">
        <x:v>Pair</x:v>
      </x:c>
      <x:c r="C6" s="6" t="str">
        <x:v>Rig</x:v>
      </x:c>
      <x:c r="D6" s="6" t="str">
        <x:v>Campus</x:v>
      </x:c>
      <x:c r="E6" s="6" t="str">
        <x:v>Operational article</x:v>
      </x:c>
      <x:c r="F6" s="6" t="str">
        <x:v>Twin</x:v>
      </x:c>
      <x:c r="G6" s="6" t="str">
        <x:v>Article state</x:v>
      </x:c>
      <x:c r="H6" s="6" t="str">
        <x:v>Rig state</x:v>
      </x:c>
      <x:c r="I6" s="6" t="str">
        <x:v>Domains required</x:v>
      </x:c>
      <x:c r="J6" s="6" t="str">
        <x:v>Domains passing</x:v>
      </x:c>
      <x:c r="K6" s="6" t="str">
        <x:v>Credentials required</x:v>
      </x:c>
      <x:c r="L6" s="6" t="str">
        <x:v>Credentials passing</x:v>
      </x:c>
      <x:c r="M6" s="6" t="str">
        <x:v>Board accepted UTC</x:v>
      </x:c>
      <x:c r="N6" s="6" t="str">
        <x:v>State</x:v>
      </x:c>
    </x:row>
    <x:row r="7">
      <x:c r="B7" s="28" t="str">
        <x:v>PAIR-A1</x:v>
      </x:c>
      <x:c r="C7" s="28" t="str">
        <x:v>RFP-A1</x:v>
      </x:c>
      <x:c r="D7" s="28" t="str">
        <x:v>PTC-A</x:v>
      </x:c>
      <x:c r="E7" s="28" t="str">
        <x:v>PEA-A-X1</x:v>
      </x:c>
      <x:c r="F7" s="28" t="str">
        <x:v>PEA-A-X2</x:v>
      </x:c>
      <x:c r="G7" s="28" t="str">
        <x:f>INDEX('Article Readiness'!L7:L12,MATCH(E7,'Article Readiness'!B7:B12,0))</x:f>
        <x:v>OPEN</x:v>
      </x:c>
      <x:c r="H7" s="28" t="str">
        <x:f>INDEX('Rig Readiness'!S7:S12,MATCH(C7,'Rig Readiness'!B7:B12,0))</x:f>
        <x:v>OPEN</x:v>
      </x:c>
      <x:c r="I7" s="28" t="n">
        <x:v>18</x:v>
      </x:c>
      <x:c r="J7" s="28" t="n">
        <x:f>COUNTIFS('Pair Domains'!C7:C114,B7,'Pair Domains'!J7:J114,"PASS")</x:f>
        <x:v>0</x:v>
      </x:c>
      <x:c r="K7" s="28" t="n">
        <x:v>12</x:v>
      </x:c>
      <x:c r="L7" s="28" t="n">
        <x:f>COUNTIFS('Expiry Ledger'!C7:C78,B7,'Expiry Ledger'!J7:J78,"PASS")</x:f>
        <x:v>0</x:v>
      </x:c>
      <x:c r="M7" s="31" t="str"/>
      <x:c r="N7" s="28" t="str">
        <x:f>IF(M7="","OPEN",IF(AND(G7="PASS",H7="PASS",COUNTIFS('Bank Intake'!B7:B24,F7,'Bank Intake'!L7:L24,"PASS")=1,COUNTIFS('Home Assignment'!B7:B12,B7,'Home Assignment'!M7:M12,"PASS")=1,J7=I7,L7=K7),"PASS","FAIL"))</x:f>
        <x:v>OPEN</x:v>
      </x:c>
    </x:row>
    <x:row r="8">
      <x:c r="B8" s="28" t="str">
        <x:v>PAIR-A2</x:v>
      </x:c>
      <x:c r="C8" s="28" t="str">
        <x:v>RFP-A2</x:v>
      </x:c>
      <x:c r="D8" s="28" t="str">
        <x:v>PTC-A</x:v>
      </x:c>
      <x:c r="E8" s="28" t="str">
        <x:v>PEA-A-Y1</x:v>
      </x:c>
      <x:c r="F8" s="28" t="str">
        <x:v>PEA-A-Y2</x:v>
      </x:c>
      <x:c r="G8" s="28" t="str">
        <x:f>INDEX('Article Readiness'!L7:L12,MATCH(E8,'Article Readiness'!B7:B12,0))</x:f>
        <x:v>OPEN</x:v>
      </x:c>
      <x:c r="H8" s="28" t="str">
        <x:f>INDEX('Rig Readiness'!S7:S12,MATCH(C8,'Rig Readiness'!B7:B12,0))</x:f>
        <x:v>OPEN</x:v>
      </x:c>
      <x:c r="I8" s="28" t="n">
        <x:v>18</x:v>
      </x:c>
      <x:c r="J8" s="28" t="n">
        <x:f>COUNTIFS('Pair Domains'!C7:C114,B8,'Pair Domains'!J7:J114,"PASS")</x:f>
        <x:v>0</x:v>
      </x:c>
      <x:c r="K8" s="28" t="n">
        <x:v>12</x:v>
      </x:c>
      <x:c r="L8" s="28" t="n">
        <x:f>COUNTIFS('Expiry Ledger'!C7:C78,B8,'Expiry Ledger'!J7:J78,"PASS")</x:f>
        <x:v>0</x:v>
      </x:c>
      <x:c r="M8" s="31" t="str"/>
      <x:c r="N8" s="28" t="str">
        <x:f>IF(M8="","OPEN",IF(AND(G8="PASS",H8="PASS",COUNTIFS('Bank Intake'!B7:B24,F8,'Bank Intake'!L7:L24,"PASS")=1,COUNTIFS('Home Assignment'!B7:B12,B8,'Home Assignment'!M7:M12,"PASS")=1,J8=I8,L8=K8),"PASS","FAIL"))</x:f>
        <x:v>OPEN</x:v>
      </x:c>
    </x:row>
    <x:row r="9">
      <x:c r="B9" s="28" t="str">
        <x:v>PAIR-B1</x:v>
      </x:c>
      <x:c r="C9" s="28" t="str">
        <x:v>RFP-B1</x:v>
      </x:c>
      <x:c r="D9" s="28" t="str">
        <x:v>PTC-B</x:v>
      </x:c>
      <x:c r="E9" s="28" t="str">
        <x:v>PEA-B-X1</x:v>
      </x:c>
      <x:c r="F9" s="28" t="str">
        <x:v>PEA-B-X2</x:v>
      </x:c>
      <x:c r="G9" s="28" t="str">
        <x:f>INDEX('Article Readiness'!L7:L12,MATCH(E9,'Article Readiness'!B7:B12,0))</x:f>
        <x:v>OPEN</x:v>
      </x:c>
      <x:c r="H9" s="28" t="str">
        <x:f>INDEX('Rig Readiness'!S7:S12,MATCH(C9,'Rig Readiness'!B7:B12,0))</x:f>
        <x:v>OPEN</x:v>
      </x:c>
      <x:c r="I9" s="28" t="n">
        <x:v>18</x:v>
      </x:c>
      <x:c r="J9" s="28" t="n">
        <x:f>COUNTIFS('Pair Domains'!C7:C114,B9,'Pair Domains'!J7:J114,"PASS")</x:f>
        <x:v>0</x:v>
      </x:c>
      <x:c r="K9" s="28" t="n">
        <x:v>12</x:v>
      </x:c>
      <x:c r="L9" s="28" t="n">
        <x:f>COUNTIFS('Expiry Ledger'!C7:C78,B9,'Expiry Ledger'!J7:J78,"PASS")</x:f>
        <x:v>0</x:v>
      </x:c>
      <x:c r="M9" s="31" t="str"/>
      <x:c r="N9" s="28" t="str">
        <x:f>IF(M9="","OPEN",IF(AND(G9="PASS",H9="PASS",COUNTIFS('Bank Intake'!B7:B24,F9,'Bank Intake'!L7:L24,"PASS")=1,COUNTIFS('Home Assignment'!B7:B12,B9,'Home Assignment'!M7:M12,"PASS")=1,J9=I9,L9=K9),"PASS","FAIL"))</x:f>
        <x:v>OPEN</x:v>
      </x:c>
    </x:row>
    <x:row r="10">
      <x:c r="B10" s="28" t="str">
        <x:v>PAIR-B2</x:v>
      </x:c>
      <x:c r="C10" s="28" t="str">
        <x:v>RFP-B2</x:v>
      </x:c>
      <x:c r="D10" s="28" t="str">
        <x:v>PTC-B</x:v>
      </x:c>
      <x:c r="E10" s="28" t="str">
        <x:v>PEA-B-Y1</x:v>
      </x:c>
      <x:c r="F10" s="28" t="str">
        <x:v>PEA-B-Y2</x:v>
      </x:c>
      <x:c r="G10" s="28" t="str">
        <x:f>INDEX('Article Readiness'!L7:L12,MATCH(E10,'Article Readiness'!B7:B12,0))</x:f>
        <x:v>OPEN</x:v>
      </x:c>
      <x:c r="H10" s="28" t="str">
        <x:f>INDEX('Rig Readiness'!S7:S12,MATCH(C10,'Rig Readiness'!B7:B12,0))</x:f>
        <x:v>OPEN</x:v>
      </x:c>
      <x:c r="I10" s="28" t="n">
        <x:v>18</x:v>
      </x:c>
      <x:c r="J10" s="28" t="n">
        <x:f>COUNTIFS('Pair Domains'!C7:C114,B10,'Pair Domains'!J7:J114,"PASS")</x:f>
        <x:v>0</x:v>
      </x:c>
      <x:c r="K10" s="28" t="n">
        <x:v>12</x:v>
      </x:c>
      <x:c r="L10" s="28" t="n">
        <x:f>COUNTIFS('Expiry Ledger'!C7:C78,B10,'Expiry Ledger'!J7:J78,"PASS")</x:f>
        <x:v>0</x:v>
      </x:c>
      <x:c r="M10" s="31" t="str"/>
      <x:c r="N10" s="28" t="str">
        <x:f>IF(M10="","OPEN",IF(AND(G10="PASS",H10="PASS",COUNTIFS('Bank Intake'!B7:B24,F10,'Bank Intake'!L7:L24,"PASS")=1,COUNTIFS('Home Assignment'!B7:B12,B10,'Home Assignment'!M7:M12,"PASS")=1,J10=I10,L10=K10),"PASS","FAIL"))</x:f>
        <x:v>OPEN</x:v>
      </x:c>
    </x:row>
    <x:row r="11">
      <x:c r="B11" s="28" t="str">
        <x:v>PAIR-C1</x:v>
      </x:c>
      <x:c r="C11" s="28" t="str">
        <x:v>RFP-C1</x:v>
      </x:c>
      <x:c r="D11" s="28" t="str">
        <x:v>PTC-C</x:v>
      </x:c>
      <x:c r="E11" s="28" t="str">
        <x:v>PEA-C-X1</x:v>
      </x:c>
      <x:c r="F11" s="28" t="str">
        <x:v>PEA-C-X2</x:v>
      </x:c>
      <x:c r="G11" s="28" t="str">
        <x:f>INDEX('Article Readiness'!L7:L12,MATCH(E11,'Article Readiness'!B7:B12,0))</x:f>
        <x:v>OPEN</x:v>
      </x:c>
      <x:c r="H11" s="28" t="str">
        <x:f>INDEX('Rig Readiness'!S7:S12,MATCH(C11,'Rig Readiness'!B7:B12,0))</x:f>
        <x:v>OPEN</x:v>
      </x:c>
      <x:c r="I11" s="28" t="n">
        <x:v>18</x:v>
      </x:c>
      <x:c r="J11" s="28" t="n">
        <x:f>COUNTIFS('Pair Domains'!C7:C114,B11,'Pair Domains'!J7:J114,"PASS")</x:f>
        <x:v>0</x:v>
      </x:c>
      <x:c r="K11" s="28" t="n">
        <x:v>12</x:v>
      </x:c>
      <x:c r="L11" s="28" t="n">
        <x:f>COUNTIFS('Expiry Ledger'!C7:C78,B11,'Expiry Ledger'!J7:J78,"PASS")</x:f>
        <x:v>0</x:v>
      </x:c>
      <x:c r="M11" s="31" t="str"/>
      <x:c r="N11" s="28" t="str">
        <x:f>IF(M11="","OPEN",IF(AND(G11="PASS",H11="PASS",COUNTIFS('Bank Intake'!B7:B24,F11,'Bank Intake'!L7:L24,"PASS")=1,COUNTIFS('Home Assignment'!B7:B12,B11,'Home Assignment'!M7:M12,"PASS")=1,J11=I11,L11=K11),"PASS","FAIL"))</x:f>
        <x:v>OPEN</x:v>
      </x:c>
    </x:row>
    <x:row r="12">
      <x:c r="B12" s="28" t="str">
        <x:v>PAIR-C2</x:v>
      </x:c>
      <x:c r="C12" s="28" t="str">
        <x:v>RFP-C2</x:v>
      </x:c>
      <x:c r="D12" s="28" t="str">
        <x:v>PTC-C</x:v>
      </x:c>
      <x:c r="E12" s="28" t="str">
        <x:v>PEA-C-Y1</x:v>
      </x:c>
      <x:c r="F12" s="28" t="str">
        <x:v>PEA-C-Y2</x:v>
      </x:c>
      <x:c r="G12" s="28" t="str">
        <x:f>INDEX('Article Readiness'!L7:L12,MATCH(E12,'Article Readiness'!B7:B12,0))</x:f>
        <x:v>OPEN</x:v>
      </x:c>
      <x:c r="H12" s="28" t="str">
        <x:f>INDEX('Rig Readiness'!S7:S12,MATCH(C12,'Rig Readiness'!B7:B12,0))</x:f>
        <x:v>OPEN</x:v>
      </x:c>
      <x:c r="I12" s="28" t="n">
        <x:v>18</x:v>
      </x:c>
      <x:c r="J12" s="28" t="n">
        <x:f>COUNTIFS('Pair Domains'!C7:C114,B12,'Pair Domains'!J7:J114,"PASS")</x:f>
        <x:v>0</x:v>
      </x:c>
      <x:c r="K12" s="28" t="n">
        <x:v>12</x:v>
      </x:c>
      <x:c r="L12" s="28" t="n">
        <x:f>COUNTIFS('Expiry Ledger'!C7:C78,B12,'Expiry Ledger'!J7:J78,"PASS")</x:f>
        <x:v>0</x:v>
      </x:c>
      <x:c r="M12" s="31" t="str"/>
      <x:c r="N12" s="28" t="str">
        <x:f>IF(M12="","OPEN",IF(AND(G12="PASS",H12="PASS",COUNTIFS('Bank Intake'!B7:B24,F12,'Bank Intake'!L7:L24,"PASS")=1,COUNTIFS('Home Assignment'!B7:B12,B12,'Home Assignment'!M7:M12,"PASS")=1,J12=I12,L12=K12),"PASS","FAIL"))</x:f>
        <x:v>OPEN</x:v>
      </x:c>
    </x:row>
  </x:sheetData>
  <x:conditionalFormatting sqref="N7:N12">
    <x:cfRule type="containsText" dxfId="162" priority="1" operator="containsText" text="FAIL"/>
    <x:cfRule type="containsText" dxfId="163" priority="2" operator="containsText" text="BLOCKED"/>
    <x:cfRule type="containsText" dxfId="164" priority="3" operator="containsText" text="EXPIRED"/>
    <x:cfRule type="containsText" dxfId="165" priority="4" operator="containsText" text="OPEN"/>
    <x:cfRule type="containsText" dxfId="166" priority="5" operator="containsText" text="DORMANT"/>
    <x:cfRule type="containsText" dxfId="167" priority="6" operator="containsText" text="PASS"/>
  </x:conditionalFormatting>
  <x:pageMargins left="0.7" right="0.7" top="0.75" bottom="0.75" header="0.3" footer="0.3"/>
</x:worksheet>
</file>

<file path=xl/worksheets/sheet3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18" hidden="0" customWidth="1"/>
    <x:col min="4" max="4" width="17" hidden="0" customWidth="1"/>
    <x:col min="5" max="5" width="25" hidden="0" customWidth="1"/>
    <x:col min="6" max="6" width="23" hidden="0" customWidth="1"/>
    <x:col min="7" max="7" width="20" hidden="0" customWidth="1"/>
    <x:col min="8" max="8" width="18" hidden="0" customWidth="1"/>
    <x:col min="9" max="9" width="27" hidden="0" customWidth="1"/>
    <x:col min="10" max="10" width="25" hidden="0" customWidth="1"/>
    <x:col min="11" max="11" width="21" hidden="0" customWidth="1"/>
    <x:col min="12" max="12" width="14" hidden="0" customWidth="1"/>
  </x:cols>
  <x:sheetData>
    <x:row r="2">
      <x:c r="B2" s="25" t="str">
        <x:v>Three campus-readiness decisions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</x:row>
    <x:row r="3">
      <x:c r="B3" s="27" t="str">
        <x:v>Each campus requires two unlike ready pairs, both special articles, sixteen campus domains and sixty-eight local duty assignments.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</x:row>
    <x:row r="6" ht="24" customHeight="1">
      <x:c r="B6" s="6" t="str">
        <x:v>Campus</x:v>
      </x:c>
      <x:c r="C6" s="6" t="str">
        <x:v>Pairs required</x:v>
      </x:c>
      <x:c r="D6" s="6" t="str">
        <x:v>Pairs passing</x:v>
      </x:c>
      <x:c r="E6" s="6" t="str">
        <x:v>Special articles required</x:v>
      </x:c>
      <x:c r="F6" s="6" t="str">
        <x:v>Special articles passing</x:v>
      </x:c>
      <x:c r="G6" s="6" t="str">
        <x:v>Domains required</x:v>
      </x:c>
      <x:c r="H6" s="6" t="str">
        <x:v>Domains passing</x:v>
      </x:c>
      <x:c r="I6" s="6" t="str">
        <x:v>Duty assignments required</x:v>
      </x:c>
      <x:c r="J6" s="6" t="str">
        <x:v>Duty assignments passing</x:v>
      </x:c>
      <x:c r="K6" s="6" t="str">
        <x:v>Board accepted UTC</x:v>
      </x:c>
      <x:c r="L6" s="6" t="str">
        <x:v>State</x:v>
      </x:c>
    </x:row>
    <x:row r="7">
      <x:c r="B7" s="28" t="str">
        <x:v>PTC-A</x:v>
      </x:c>
      <x:c r="C7" s="28" t="n">
        <x:v>2</x:v>
      </x:c>
      <x:c r="D7" s="28" t="n">
        <x:f>COUNTIFS('Pair Readiness'!D7:D12,B7,'Pair Readiness'!N7:N12,"PASS")</x:f>
        <x:v>0</x:v>
      </x:c>
      <x:c r="E7" s="28" t="n">
        <x:v>2</x:v>
      </x:c>
      <x:c r="F7" s="28" t="n">
        <x:f>COUNTIFS('Special Articles'!E7:E12,B7,'Special Articles'!J7:J12,"PASS")</x:f>
        <x:v>0</x:v>
      </x:c>
      <x:c r="G7" s="28" t="n">
        <x:v>16</x:v>
      </x:c>
      <x:c r="H7" s="28" t="n">
        <x:f>COUNTIFS('Campus Domains'!C7:C54,B7,'Campus Domains'!H7:H54,"PASS")</x:f>
        <x:v>0</x:v>
      </x:c>
      <x:c r="I7" s="28" t="n">
        <x:v>68</x:v>
      </x:c>
      <x:c r="J7" s="28" t="n">
        <x:f>COUNTIFS('Duty Assignments'!D7:D246,B7,'Duty Assignments'!J7:J246,"PASS")</x:f>
        <x:v>0</x:v>
      </x:c>
      <x:c r="K7" s="31" t="str"/>
      <x:c r="L7" s="28" t="str">
        <x:f>IF(K7="","OPEN",IF(AND(D7=C7,F7=E7,H7=G7,J7=I7),"PASS","FAIL"))</x:f>
        <x:v>OPEN</x:v>
      </x:c>
    </x:row>
    <x:row r="8">
      <x:c r="B8" s="28" t="str">
        <x:v>PTC-B</x:v>
      </x:c>
      <x:c r="C8" s="28" t="n">
        <x:v>2</x:v>
      </x:c>
      <x:c r="D8" s="28" t="n">
        <x:f>COUNTIFS('Pair Readiness'!D7:D12,B8,'Pair Readiness'!N7:N12,"PASS")</x:f>
        <x:v>0</x:v>
      </x:c>
      <x:c r="E8" s="28" t="n">
        <x:v>2</x:v>
      </x:c>
      <x:c r="F8" s="28" t="n">
        <x:f>COUNTIFS('Special Articles'!E7:E12,B8,'Special Articles'!J7:J12,"PASS")</x:f>
        <x:v>0</x:v>
      </x:c>
      <x:c r="G8" s="28" t="n">
        <x:v>16</x:v>
      </x:c>
      <x:c r="H8" s="28" t="n">
        <x:f>COUNTIFS('Campus Domains'!C7:C54,B8,'Campus Domains'!H7:H54,"PASS")</x:f>
        <x:v>0</x:v>
      </x:c>
      <x:c r="I8" s="28" t="n">
        <x:v>68</x:v>
      </x:c>
      <x:c r="J8" s="28" t="n">
        <x:f>COUNTIFS('Duty Assignments'!D7:D246,B8,'Duty Assignments'!J7:J246,"PASS")</x:f>
        <x:v>0</x:v>
      </x:c>
      <x:c r="K8" s="31" t="str"/>
      <x:c r="L8" s="28" t="str">
        <x:f>IF(K8="","OPEN",IF(AND(D8=C8,F8=E8,H8=G8,J8=I8),"PASS","FAIL"))</x:f>
        <x:v>OPEN</x:v>
      </x:c>
    </x:row>
    <x:row r="9">
      <x:c r="B9" s="28" t="str">
        <x:v>PTC-C</x:v>
      </x:c>
      <x:c r="C9" s="28" t="n">
        <x:v>2</x:v>
      </x:c>
      <x:c r="D9" s="28" t="n">
        <x:f>COUNTIFS('Pair Readiness'!D7:D12,B9,'Pair Readiness'!N7:N12,"PASS")</x:f>
        <x:v>0</x:v>
      </x:c>
      <x:c r="E9" s="28" t="n">
        <x:v>2</x:v>
      </x:c>
      <x:c r="F9" s="28" t="n">
        <x:f>COUNTIFS('Special Articles'!E7:E12,B9,'Special Articles'!J7:J12,"PASS")</x:f>
        <x:v>0</x:v>
      </x:c>
      <x:c r="G9" s="28" t="n">
        <x:v>16</x:v>
      </x:c>
      <x:c r="H9" s="28" t="n">
        <x:f>COUNTIFS('Campus Domains'!C7:C54,B9,'Campus Domains'!H7:H54,"PASS")</x:f>
        <x:v>0</x:v>
      </x:c>
      <x:c r="I9" s="28" t="n">
        <x:v>68</x:v>
      </x:c>
      <x:c r="J9" s="28" t="n">
        <x:f>COUNTIFS('Duty Assignments'!D7:D246,B9,'Duty Assignments'!J7:J246,"PASS")</x:f>
        <x:v>0</x:v>
      </x:c>
      <x:c r="K9" s="31" t="str"/>
      <x:c r="L9" s="28" t="str">
        <x:f>IF(K9="","OPEN",IF(AND(D9=C9,F9=E9,H9=G9,J9=I9),"PASS","FAIL"))</x:f>
        <x:v>OPEN</x:v>
      </x:c>
    </x:row>
  </x:sheetData>
  <x:conditionalFormatting sqref="L7:L9">
    <x:cfRule type="containsText" dxfId="168" priority="1" operator="containsText" text="FAIL"/>
    <x:cfRule type="containsText" dxfId="169" priority="2" operator="containsText" text="BLOCKED"/>
    <x:cfRule type="containsText" dxfId="170" priority="3" operator="containsText" text="EXPIRED"/>
    <x:cfRule type="containsText" dxfId="171" priority="4" operator="containsText" text="OPEN"/>
    <x:cfRule type="containsText" dxfId="172" priority="5" operator="containsText" text="DORMANT"/>
    <x:cfRule type="containsText" dxfId="173" priority="6" operator="containsText" text="PASS"/>
  </x:conditionalFormatting>
  <x:pageMargins left="0.7" right="0.7" top="0.75" bottom="0.75" header="0.3" footer="0.3"/>
</x:worksheet>
</file>

<file path=xl/worksheets/sheet3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39" hidden="0" customWidth="1"/>
    <x:col min="4" max="4" width="17" hidden="0" customWidth="1"/>
    <x:col min="5" max="5" width="19" hidden="0" customWidth="1"/>
    <x:col min="6" max="6" width="21" hidden="0" customWidth="1"/>
    <x:col min="7" max="7" width="14" hidden="0" customWidth="1"/>
  </x:cols>
  <x:sheetData>
    <x:row r="2">
      <x:c r="B2" s="25" t="str">
        <x:v>Twenty-four national readiness gates</x:v>
      </x:c>
      <x:c r="C2" s="26"/>
      <x:c r="D2" s="26"/>
      <x:c r="E2" s="26"/>
      <x:c r="F2" s="26"/>
      <x:c r="G2" s="26"/>
    </x:row>
    <x:row r="3">
      <x:c r="B3" s="27" t="str">
        <x:v>The gates compile native records. They do not create evidence and cannot authorize QE-01 or source entry.</x:v>
      </x:c>
      <x:c r="C3" s="26"/>
      <x:c r="D3" s="26"/>
      <x:c r="E3" s="26"/>
      <x:c r="F3" s="26"/>
      <x:c r="G3" s="26"/>
    </x:row>
    <x:row r="4">
      <x:c r="B4" s="26"/>
      <x:c r="C4" s="26"/>
      <x:c r="D4" s="26"/>
      <x:c r="E4" s="26"/>
      <x:c r="F4" s="26"/>
      <x:c r="G4" s="26"/>
    </x:row>
    <x:row r="5">
      <x:c r="B5" s="26"/>
      <x:c r="C5" s="26"/>
      <x:c r="D5" s="26"/>
      <x:c r="E5" s="26"/>
      <x:c r="F5" s="26"/>
      <x:c r="G5" s="26"/>
    </x:row>
    <x:row r="6" ht="24" customHeight="1">
      <x:c r="B6" s="6" t="str">
        <x:v>Gate</x:v>
      </x:c>
      <x:c r="C6" s="6" t="str">
        <x:v>Subject</x:v>
      </x:c>
      <x:c r="D6" s="6" t="str">
        <x:v>Required</x:v>
      </x:c>
      <x:c r="E6" s="6" t="str">
        <x:v>Observed</x:v>
      </x:c>
      <x:c r="F6" s="6" t="str">
        <x:v>Board accepted UTC</x:v>
      </x:c>
      <x:c r="G6" s="6" t="str">
        <x:v>State</x:v>
      </x:c>
    </x:row>
    <x:row r="7">
      <x:c r="B7" s="28" t="str">
        <x:v>CG-01</x:v>
      </x:c>
      <x:c r="C7" s="28" t="str">
        <x:v>bank intake</x:v>
      </x:c>
      <x:c r="D7" s="28" t="n">
        <x:v>18</x:v>
      </x:c>
      <x:c r="E7" s="28" t="n">
        <x:f>COUNTIFS('Bank Intake'!L7:L24,"PASS")</x:f>
        <x:v>0</x:v>
      </x:c>
      <x:c r="F7" s="31" t="str"/>
      <x:c r="G7" s="28" t="str">
        <x:f>IF(F7="","OPEN",IF(E7=D7,"PASS","FAIL"))</x:f>
        <x:v>OPEN</x:v>
      </x:c>
    </x:row>
    <x:row r="8">
      <x:c r="B8" s="28" t="str">
        <x:v>CG-02</x:v>
      </x:c>
      <x:c r="C8" s="28" t="str">
        <x:v>transport and arrival custody</x:v>
      </x:c>
      <x:c r="D8" s="28" t="n">
        <x:v>18</x:v>
      </x:c>
      <x:c r="E8" s="28" t="n">
        <x:f>COUNTIFS('Transport Custody'!O7:O24,"PASS")</x:f>
        <x:v>0</x:v>
      </x:c>
      <x:c r="F8" s="31" t="str"/>
      <x:c r="G8" s="28" t="str">
        <x:f>IF(F8="","OPEN",IF(E8=D8,"PASS","FAIL"))</x:f>
        <x:v>OPEN</x:v>
      </x:c>
    </x:row>
    <x:row r="9">
      <x:c r="B9" s="28" t="str">
        <x:v>CG-03</x:v>
      </x:c>
      <x:c r="C9" s="28" t="str">
        <x:v>home assignments</x:v>
      </x:c>
      <x:c r="D9" s="28" t="n">
        <x:v>6</x:v>
      </x:c>
      <x:c r="E9" s="28" t="n">
        <x:f>COUNTIFS('Home Assignment'!M7:M12,"PASS")</x:f>
        <x:v>0</x:v>
      </x:c>
      <x:c r="F9" s="31" t="str"/>
      <x:c r="G9" s="28" t="str">
        <x:f>IF(F9="","OPEN",IF(E9=D9,"PASS","FAIL"))</x:f>
        <x:v>OPEN</x:v>
      </x:c>
    </x:row>
    <x:row r="10">
      <x:c r="B10" s="28" t="str">
        <x:v>CG-04</x:v>
      </x:c>
      <x:c r="C10" s="28" t="str">
        <x:v>rotation dockings</x:v>
      </x:c>
      <x:c r="D10" s="28" t="n">
        <x:v>36</x:v>
      </x:c>
      <x:c r="E10" s="28" t="n">
        <x:f>COUNTIFS(Docking!M7:M42,"PASS")</x:f>
        <x:v>0</x:v>
      </x:c>
      <x:c r="F10" s="31" t="str"/>
      <x:c r="G10" s="28" t="str">
        <x:f>IF(F10="","OPEN",IF(E10=D10,"PASS","FAIL"))</x:f>
        <x:v>OPEN</x:v>
      </x:c>
    </x:row>
    <x:row r="11">
      <x:c r="B11" s="28" t="str">
        <x:v>CG-05</x:v>
      </x:c>
      <x:c r="C11" s="28" t="str">
        <x:v>interface demonstrations</x:v>
      </x:c>
      <x:c r="D11" s="28" t="n">
        <x:v>432</x:v>
      </x:c>
      <x:c r="E11" s="28" t="n">
        <x:f>COUNTIFS('Interface Tests'!L7:L438,"PASS")</x:f>
        <x:v>0</x:v>
      </x:c>
      <x:c r="F11" s="31" t="str"/>
      <x:c r="G11" s="28" t="str">
        <x:f>IF(F11="","OPEN",IF(E11=D11,"PASS","FAIL"))</x:f>
        <x:v>OPEN</x:v>
      </x:c>
    </x:row>
    <x:row r="12">
      <x:c r="B12" s="28" t="str">
        <x:v>CG-06</x:v>
      </x:c>
      <x:c r="C12" s="28" t="str">
        <x:v>calibration sessions</x:v>
      </x:c>
      <x:c r="D12" s="28" t="n">
        <x:v>18</x:v>
      </x:c>
      <x:c r="E12" s="28" t="n">
        <x:f>COUNTIFS('Calibration Circuit'!K7:K24,"PASS")</x:f>
        <x:v>0</x:v>
      </x:c>
      <x:c r="F12" s="31" t="str"/>
      <x:c r="G12" s="28" t="str">
        <x:f>IF(F12="","OPEN",IF(E12=D12,"PASS","FAIL"))</x:f>
        <x:v>OPEN</x:v>
      </x:c>
    </x:row>
    <x:row r="13">
      <x:c r="B13" s="28" t="str">
        <x:v>CG-07</x:v>
      </x:c>
      <x:c r="C13" s="28" t="str">
        <x:v>calibration observations</x:v>
      </x:c>
      <x:c r="D13" s="28" t="n">
        <x:v>432</x:v>
      </x:c>
      <x:c r="E13" s="28" t="n">
        <x:f>COUNTIFS('Calibration Records'!N7:N438,"PASS")</x:f>
        <x:v>0</x:v>
      </x:c>
      <x:c r="F13" s="31" t="str"/>
      <x:c r="G13" s="28" t="str">
        <x:f>IF(F13="","OPEN",IF(E13=D13,"PASS","FAIL"))</x:f>
        <x:v>OPEN</x:v>
      </x:c>
    </x:row>
    <x:row r="14">
      <x:c r="B14" s="28" t="str">
        <x:v>CG-08</x:v>
      </x:c>
      <x:c r="C14" s="28" t="str">
        <x:v>special-article assignments</x:v>
      </x:c>
      <x:c r="D14" s="28" t="n">
        <x:v>6</x:v>
      </x:c>
      <x:c r="E14" s="28" t="n">
        <x:f>COUNTIFS('Special Articles'!J7:J12,"PASS")</x:f>
        <x:v>0</x:v>
      </x:c>
      <x:c r="F14" s="31" t="str"/>
      <x:c r="G14" s="28" t="str">
        <x:f>IF(F14="","OPEN",IF(E14=D14,"PASS","FAIL"))</x:f>
        <x:v>OPEN</x:v>
      </x:c>
    </x:row>
    <x:row r="15">
      <x:c r="B15" s="28" t="str">
        <x:v>CG-09</x:v>
      </x:c>
      <x:c r="C15" s="28" t="str">
        <x:v>article-domain records</x:v>
      </x:c>
      <x:c r="D15" s="28" t="n">
        <x:v>108</x:v>
      </x:c>
      <x:c r="E15" s="28" t="n">
        <x:f>COUNTIFS('Article Domains'!J7:J114,"PASS")</x:f>
        <x:v>0</x:v>
      </x:c>
      <x:c r="F15" s="31" t="str"/>
      <x:c r="G15" s="28" t="str">
        <x:f>IF(F15="","OPEN",IF(E15=D15,"PASS","FAIL"))</x:f>
        <x:v>OPEN</x:v>
      </x:c>
    </x:row>
    <x:row r="16">
      <x:c r="B16" s="28" t="str">
        <x:v>CG-10</x:v>
      </x:c>
      <x:c r="C16" s="28" t="str">
        <x:v>rig-domain records</x:v>
      </x:c>
      <x:c r="D16" s="28" t="n">
        <x:v>144</x:v>
      </x:c>
      <x:c r="E16" s="28" t="n">
        <x:f>COUNTIFS('Rig Domains'!I7:I150,"PASS")</x:f>
        <x:v>0</x:v>
      </x:c>
      <x:c r="F16" s="31" t="str"/>
      <x:c r="G16" s="28" t="str">
        <x:f>IF(F16="","OPEN",IF(E16=D16,"PASS","FAIL"))</x:f>
        <x:v>OPEN</x:v>
      </x:c>
    </x:row>
    <x:row r="17">
      <x:c r="B17" s="28" t="str">
        <x:v>CG-11</x:v>
      </x:c>
      <x:c r="C17" s="28" t="str">
        <x:v>pair-domain records</x:v>
      </x:c>
      <x:c r="D17" s="28" t="n">
        <x:v>108</x:v>
      </x:c>
      <x:c r="E17" s="28" t="n">
        <x:f>COUNTIFS('Pair Domains'!J7:J114,"PASS")</x:f>
        <x:v>0</x:v>
      </x:c>
      <x:c r="F17" s="31" t="str"/>
      <x:c r="G17" s="28" t="str">
        <x:f>IF(F17="","OPEN",IF(E17=D17,"PASS","FAIL"))</x:f>
        <x:v>OPEN</x:v>
      </x:c>
    </x:row>
    <x:row r="18">
      <x:c r="B18" s="28" t="str">
        <x:v>CG-12</x:v>
      </x:c>
      <x:c r="C18" s="28" t="str">
        <x:v>campus-domain records</x:v>
      </x:c>
      <x:c r="D18" s="28" t="n">
        <x:v>48</x:v>
      </x:c>
      <x:c r="E18" s="28" t="n">
        <x:f>COUNTIFS('Campus Domains'!H7:H54,"PASS")</x:f>
        <x:v>0</x:v>
      </x:c>
      <x:c r="F18" s="31" t="str"/>
      <x:c r="G18" s="28" t="str">
        <x:f>IF(F18="","OPEN",IF(E18=D18,"PASS","FAIL"))</x:f>
        <x:v>OPEN</x:v>
      </x:c>
    </x:row>
    <x:row r="19">
      <x:c r="B19" s="28" t="str">
        <x:v>CG-13</x:v>
      </x:c>
      <x:c r="C19" s="28" t="str">
        <x:v>integration-media lots</x:v>
      </x:c>
      <x:c r="D19" s="28" t="n">
        <x:v>12</x:v>
      </x:c>
      <x:c r="E19" s="28" t="n">
        <x:f>COUNTIFS('Media Lots'!K7:K18,"PASS")</x:f>
        <x:v>0</x:v>
      </x:c>
      <x:c r="F19" s="31" t="str"/>
      <x:c r="G19" s="28" t="str">
        <x:f>IF(F19="","OPEN",IF(E19=D19,"PASS","FAIL"))</x:f>
        <x:v>OPEN</x:v>
      </x:c>
    </x:row>
    <x:row r="20">
      <x:c r="B20" s="28" t="str">
        <x:v>CG-14</x:v>
      </x:c>
      <x:c r="C20" s="28" t="str">
        <x:v>circulating standards</x:v>
      </x:c>
      <x:c r="D20" s="28" t="n">
        <x:v>24</x:v>
      </x:c>
      <x:c r="E20" s="28" t="n">
        <x:f>COUNTIFS(Standards!I7:I30,"PASS")</x:f>
        <x:v>0</x:v>
      </x:c>
      <x:c r="F20" s="31" t="str"/>
      <x:c r="G20" s="28" t="str">
        <x:f>IF(F20="","OPEN",IF(E20=D20,"PASS","FAIL"))</x:f>
        <x:v>OPEN</x:v>
      </x:c>
    </x:row>
    <x:row r="21">
      <x:c r="B21" s="28" t="str">
        <x:v>CG-15</x:v>
      </x:c>
      <x:c r="C21" s="28" t="str">
        <x:v>duty assignments</x:v>
      </x:c>
      <x:c r="D21" s="28" t="n">
        <x:v>240</x:v>
      </x:c>
      <x:c r="E21" s="28" t="n">
        <x:f>COUNTIFS('Duty Assignments'!J7:J246,"PASS")</x:f>
        <x:v>0</x:v>
      </x:c>
      <x:c r="F21" s="31" t="str"/>
      <x:c r="G21" s="28" t="str">
        <x:f>IF(F21="","OPEN",IF(E21=D21,"PASS","FAIL"))</x:f>
        <x:v>OPEN</x:v>
      </x:c>
    </x:row>
    <x:row r="22">
      <x:c r="B22" s="28" t="str">
        <x:v>CG-16</x:v>
      </x:c>
      <x:c r="C22" s="28" t="str">
        <x:v>crew qualifications</x:v>
      </x:c>
      <x:c r="D22" s="28" t="n">
        <x:v>960</x:v>
      </x:c>
      <x:c r="E22" s="28" t="n">
        <x:f>COUNTIFS('Crew Qualifications'!J7:J966,"PASS")</x:f>
        <x:v>0</x:v>
      </x:c>
      <x:c r="F22" s="31" t="str"/>
      <x:c r="G22" s="28" t="str">
        <x:f>IF(F22="","OPEN",IF(E22=D22,"PASS","FAIL"))</x:f>
        <x:v>OPEN</x:v>
      </x:c>
    </x:row>
    <x:row r="23">
      <x:c r="B23" s="28" t="str">
        <x:v>CG-17</x:v>
      </x:c>
      <x:c r="C23" s="28" t="str">
        <x:v>readiness drills</x:v>
      </x:c>
      <x:c r="D23" s="28" t="n">
        <x:v>72</x:v>
      </x:c>
      <x:c r="E23" s="28" t="n">
        <x:f>COUNTIFS(Drills!K7:K78,"PASS")</x:f>
        <x:v>0</x:v>
      </x:c>
      <x:c r="F23" s="31" t="str"/>
      <x:c r="G23" s="28" t="str">
        <x:f>IF(F23="","OPEN",IF(E23=D23,"PASS","FAIL"))</x:f>
        <x:v>OPEN</x:v>
      </x:c>
    </x:row>
    <x:row r="24">
      <x:c r="B24" s="28" t="str">
        <x:v>CG-18</x:v>
      </x:c>
      <x:c r="C24" s="28" t="str">
        <x:v>rescue exercises</x:v>
      </x:c>
      <x:c r="D24" s="28" t="n">
        <x:v>48</x:v>
      </x:c>
      <x:c r="E24" s="28" t="n">
        <x:f>COUNTIFS('Rescue Exercises'!L7:L54,"PASS")</x:f>
        <x:v>0</x:v>
      </x:c>
      <x:c r="F24" s="31" t="str"/>
      <x:c r="G24" s="28" t="str">
        <x:f>IF(F24="","OPEN",IF(E24=D24,"PASS","FAIL"))</x:f>
        <x:v>OPEN</x:v>
      </x:c>
    </x:row>
    <x:row r="25">
      <x:c r="B25" s="28" t="str">
        <x:v>CG-19</x:v>
      </x:c>
      <x:c r="C25" s="28" t="str">
        <x:v>evidence handshakes</x:v>
      </x:c>
      <x:c r="D25" s="28" t="n">
        <x:v>72</x:v>
      </x:c>
      <x:c r="E25" s="28" t="n">
        <x:f>COUNTIFS('Evidence Handshakes'!J7:J78,"PASS")</x:f>
        <x:v>0</x:v>
      </x:c>
      <x:c r="F25" s="31" t="str"/>
      <x:c r="G25" s="28" t="str">
        <x:f>IF(F25="","OPEN",IF(E25=D25,"PASS","FAIL"))</x:f>
        <x:v>OPEN</x:v>
      </x:c>
    </x:row>
    <x:row r="26">
      <x:c r="B26" s="28" t="str">
        <x:v>CG-20</x:v>
      </x:c>
      <x:c r="C26" s="28" t="str">
        <x:v>remote readiness replays</x:v>
      </x:c>
      <x:c r="D26" s="28" t="n">
        <x:v>120</x:v>
      </x:c>
      <x:c r="E26" s="28" t="n">
        <x:f>COUNTIFS('Replay Records'!L7:L126,"PASS")</x:f>
        <x:v>0</x:v>
      </x:c>
      <x:c r="F26" s="31" t="str"/>
      <x:c r="G26" s="28" t="str">
        <x:f>IF(F26="","OPEN",IF(E26=D26,"PASS","FAIL"))</x:f>
        <x:v>OPEN</x:v>
      </x:c>
    </x:row>
    <x:row r="27">
      <x:c r="B27" s="28" t="str">
        <x:v>CG-21</x:v>
      </x:c>
      <x:c r="C27" s="28" t="str">
        <x:v>article-readiness decisions</x:v>
      </x:c>
      <x:c r="D27" s="28" t="n">
        <x:v>6</x:v>
      </x:c>
      <x:c r="E27" s="28" t="n">
        <x:f>COUNTIFS('Article Readiness'!L7:L12,"PASS")</x:f>
        <x:v>0</x:v>
      </x:c>
      <x:c r="F27" s="31" t="str"/>
      <x:c r="G27" s="28" t="str">
        <x:f>IF(F27="","OPEN",IF(E27=D27,"PASS","FAIL"))</x:f>
        <x:v>OPEN</x:v>
      </x:c>
    </x:row>
    <x:row r="28">
      <x:c r="B28" s="28" t="str">
        <x:v>CG-22</x:v>
      </x:c>
      <x:c r="C28" s="28" t="str">
        <x:v>rig-readiness decisions</x:v>
      </x:c>
      <x:c r="D28" s="28" t="n">
        <x:v>6</x:v>
      </x:c>
      <x:c r="E28" s="28" t="n">
        <x:f>COUNTIFS('Rig Readiness'!S7:S12,"PASS")</x:f>
        <x:v>0</x:v>
      </x:c>
      <x:c r="F28" s="31" t="str"/>
      <x:c r="G28" s="28" t="str">
        <x:f>IF(F28="","OPEN",IF(E28=D28,"PASS","FAIL"))</x:f>
        <x:v>OPEN</x:v>
      </x:c>
    </x:row>
    <x:row r="29">
      <x:c r="B29" s="28" t="str">
        <x:v>CG-23</x:v>
      </x:c>
      <x:c r="C29" s="28" t="str">
        <x:v>pair-readiness decisions</x:v>
      </x:c>
      <x:c r="D29" s="28" t="n">
        <x:v>6</x:v>
      </x:c>
      <x:c r="E29" s="28" t="n">
        <x:f>COUNTIFS('Pair Readiness'!N7:N12,"PASS")</x:f>
        <x:v>0</x:v>
      </x:c>
      <x:c r="F29" s="31" t="str"/>
      <x:c r="G29" s="28" t="str">
        <x:f>IF(F29="","OPEN",IF(E29=D29,"PASS","FAIL"))</x:f>
        <x:v>OPEN</x:v>
      </x:c>
    </x:row>
    <x:row r="30">
      <x:c r="B30" s="28" t="str">
        <x:v>CG-24</x:v>
      </x:c>
      <x:c r="C30" s="28" t="str">
        <x:v>campus-readiness decisions</x:v>
      </x:c>
      <x:c r="D30" s="28" t="n">
        <x:v>3</x:v>
      </x:c>
      <x:c r="E30" s="28" t="n">
        <x:f>COUNTIFS('Campus Readiness'!L7:L9,"PASS")</x:f>
        <x:v>0</x:v>
      </x:c>
      <x:c r="F30" s="31" t="str"/>
      <x:c r="G30" s="28" t="str">
        <x:f>IF(F30="","OPEN",IF(E30=D30,"PASS","FAIL"))</x:f>
        <x:v>OPEN</x:v>
      </x:c>
    </x:row>
  </x:sheetData>
  <x:conditionalFormatting sqref="G7:G30">
    <x:cfRule type="containsText" dxfId="174" priority="1" operator="containsText" text="FAIL"/>
    <x:cfRule type="containsText" dxfId="175" priority="2" operator="containsText" text="BLOCKED"/>
    <x:cfRule type="containsText" dxfId="176" priority="3" operator="containsText" text="EXPIRED"/>
    <x:cfRule type="containsText" dxfId="177" priority="4" operator="containsText" text="OPEN"/>
    <x:cfRule type="containsText" dxfId="178" priority="5" operator="containsText" text="DORMANT"/>
    <x:cfRule type="containsText" dxfId="179" priority="6" operator="containsText" text="PASS"/>
  </x:conditionalFormatting>
  <x:pageMargins left="0.7" right="0.7" top="0.75" bottom="0.75" header="0.3" footer="0.3"/>
</x:worksheet>
</file>

<file path=xl/worksheets/sheet3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1" hidden="0" customWidth="1"/>
    <x:col min="3" max="3" width="20" hidden="0" customWidth="1"/>
    <x:col min="4" max="4" width="19" hidden="0" customWidth="1"/>
    <x:col min="5" max="5" width="22" hidden="0" customWidth="1"/>
    <x:col min="6" max="6" width="21" hidden="0" customWidth="1"/>
    <x:col min="7" max="7" width="14" hidden="0" customWidth="1"/>
  </x:cols>
  <x:sheetData>
    <x:row r="2">
      <x:c r="B2" s="25" t="str">
        <x:v>One pre-source campaign-readiness decision</x:v>
      </x:c>
      <x:c r="C2" s="26"/>
      <x:c r="D2" s="26"/>
      <x:c r="E2" s="26"/>
      <x:c r="F2" s="26"/>
      <x:c r="G2" s="26"/>
    </x:row>
    <x:row r="3">
      <x:c r="B3" s="27" t="str">
        <x:v>Campaign readiness is simultaneous, configuration-specific and valid for fourteen days. It grants no event identity or source authority.</x:v>
      </x:c>
      <x:c r="C3" s="26"/>
      <x:c r="D3" s="26"/>
      <x:c r="E3" s="26"/>
      <x:c r="F3" s="26"/>
      <x:c r="G3" s="26"/>
    </x:row>
    <x:row r="4">
      <x:c r="B4" s="26"/>
      <x:c r="C4" s="26"/>
      <x:c r="D4" s="26"/>
      <x:c r="E4" s="26"/>
      <x:c r="F4" s="26"/>
      <x:c r="G4" s="26"/>
    </x:row>
    <x:row r="5">
      <x:c r="B5" s="26"/>
      <x:c r="C5" s="26"/>
      <x:c r="D5" s="26"/>
      <x:c r="E5" s="26"/>
      <x:c r="F5" s="26"/>
      <x:c r="G5" s="26"/>
    </x:row>
    <x:row r="6" ht="24" customHeight="1">
      <x:c r="B6" s="6" t="str">
        <x:v>Decision</x:v>
      </x:c>
      <x:c r="C6" s="6" t="str">
        <x:v>Required gates</x:v>
      </x:c>
      <x:c r="D6" s="6" t="str">
        <x:v>Passing gates</x:v>
      </x:c>
      <x:c r="E6" s="6" t="str">
        <x:v>Campaign start date</x:v>
      </x:c>
      <x:c r="F6" s="6" t="str">
        <x:v>Board accepted UTC</x:v>
      </x:c>
      <x:c r="G6" s="6" t="str">
        <x:v>State</x:v>
      </x:c>
    </x:row>
    <x:row r="7">
      <x:c r="B7" s="28" t="str">
        <x:v>RAX-READY</x:v>
      </x:c>
      <x:c r="C7" s="28" t="n">
        <x:v>24</x:v>
      </x:c>
      <x:c r="D7" s="28" t="n">
        <x:f>COUNTIFS('Campaign Gates'!G7:G30,"PASS")</x:f>
        <x:v>0</x:v>
      </x:c>
      <x:c r="E7" s="38" t="str">
        <x:f>'Controls'!$D$69</x:f>
      </x:c>
      <x:c r="F7" s="31" t="str"/>
      <x:c r="G7" s="28" t="str">
        <x:f>IF(F7="","OPEN",IF(AND(D7=C7,E7&lt;&gt;"",COUNTIFS(Exceptions!K7:K78,"OPEN")=0,COUNTIFS(Exceptions!K7:K78,"FAIL")=0),"PASS","FAIL"))</x:f>
        <x:v>OPEN</x:v>
      </x:c>
    </x:row>
  </x:sheetData>
  <x:conditionalFormatting sqref="G7:G7">
    <x:cfRule type="containsText" dxfId="180" priority="1" operator="containsText" text="FAIL"/>
    <x:cfRule type="containsText" dxfId="181" priority="2" operator="containsText" text="BLOCKED"/>
    <x:cfRule type="containsText" dxfId="182" priority="3" operator="containsText" text="EXPIRED"/>
    <x:cfRule type="containsText" dxfId="183" priority="4" operator="containsText" text="OPEN"/>
    <x:cfRule type="containsText" dxfId="184" priority="5" operator="containsText" text="DORMANT"/>
    <x:cfRule type="containsText" dxfId="185" priority="6" operator="containsText" text="PASS"/>
  </x:conditionalFormatting>
  <x:pageMargins left="0.7" right="0.7" top="0.75" bottom="0.75" header="0.3" footer="0.3"/>
</x:worksheet>
</file>

<file path=xl/worksheets/sheet3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9" hidden="0" customWidth="1"/>
    <x:col min="4" max="4" width="78" hidden="0" customWidth="1"/>
    <x:col min="5" max="5" width="18" hidden="0" customWidth="1"/>
  </x:cols>
  <x:sheetData>
    <x:row r="2">
      <x:c r="B2" s="25" t="str">
        <x:v>Sixteen mobilization release rules</x:v>
      </x:c>
      <x:c r="C2" s="26"/>
      <x:c r="D2" s="26"/>
      <x:c r="E2" s="26"/>
    </x:row>
    <x:row r="3">
      <x:c r="B3" s="27" t="str">
        <x:v>RAX-1 can establish pre-source readiness only. Every downstream physical authority remains separate.</x:v>
      </x:c>
      <x:c r="C3" s="26"/>
      <x:c r="D3" s="26"/>
      <x:c r="E3" s="26"/>
    </x:row>
    <x:row r="4">
      <x:c r="B4" s="26"/>
      <x:c r="C4" s="26"/>
      <x:c r="D4" s="26"/>
      <x:c r="E4" s="26"/>
    </x:row>
    <x:row r="5">
      <x:c r="B5" s="26"/>
      <x:c r="C5" s="26"/>
      <x:c r="D5" s="26"/>
      <x:c r="E5" s="26"/>
    </x:row>
    <x:row r="6" ht="24" customHeight="1">
      <x:c r="B6" s="6" t="str">
        <x:v>Rule</x:v>
      </x:c>
      <x:c r="C6" s="6" t="str">
        <x:v>Decision</x:v>
      </x:c>
      <x:c r="D6" s="6" t="str">
        <x:v>Predicate</x:v>
      </x:c>
      <x:c r="E6" s="6" t="str">
        <x:v>Baseline state</x:v>
      </x:c>
    </x:row>
    <x:row r="7" ht="39" customHeight="1">
      <x:c r="B7" s="28" t="str">
        <x:v>DR-01</x:v>
      </x:c>
      <x:c r="C7" s="28" t="str">
        <x:v>bank intake</x:v>
      </x:c>
      <x:c r="D7" s="29" t="str">
        <x:v>all eighteen locked positions pass public custody</x:v>
      </x:c>
      <x:c r="E7" s="28" t="str">
        <x:v>OPEN</x:v>
      </x:c>
    </x:row>
    <x:row r="8" ht="39" customHeight="1">
      <x:c r="B8" s="28" t="str">
        <x:v>DR-02</x:v>
      </x:c>
      <x:c r="C8" s="28" t="str">
        <x:v>transport acceptance</x:v>
      </x:c>
      <x:c r="D8" s="29" t="str">
        <x:v>departure root equals arrival root and envelope limits hold</x:v>
      </x:c>
      <x:c r="E8" s="28" t="str">
        <x:v>OPEN</x:v>
      </x:c>
    </x:row>
    <x:row r="9" ht="39" customHeight="1">
      <x:c r="B9" s="28" t="str">
        <x:v>DR-03</x:v>
      </x:c>
      <x:c r="C9" s="28" t="str">
        <x:v>rotation</x:v>
      </x:c>
      <x:c r="D9" s="29" t="str">
        <x:v>each operational article docks once at each rig and returns home last</x:v>
      </x:c>
      <x:c r="E9" s="28" t="str">
        <x:v>OPEN</x:v>
      </x:c>
    </x:row>
    <x:row r="10" ht="39" customHeight="1">
      <x:c r="B10" s="28" t="str">
        <x:v>DR-04</x:v>
      </x:c>
      <x:c r="C10" s="28" t="str">
        <x:v>interface acceptance</x:v>
      </x:c>
      <x:c r="D10" s="29" t="str">
        <x:v>all twelve interfaces pass for one article-rig docking</x:v>
      </x:c>
      <x:c r="E10" s="28" t="str">
        <x:v>OPEN</x:v>
      </x:c>
    </x:row>
    <x:row r="11" ht="39" customHeight="1">
      <x:c r="B11" s="28" t="str">
        <x:v>DR-05</x:v>
      </x:c>
      <x:c r="C11" s="28" t="str">
        <x:v>calibration circuit</x:v>
      </x:c>
      <x:c r="D11" s="29" t="str">
        <x:v>three physical references close all twenty-four families at every rig</x:v>
      </x:c>
      <x:c r="E11" s="28" t="str">
        <x:v>OPEN</x:v>
      </x:c>
    </x:row>
    <x:row r="12" ht="39" customHeight="1">
      <x:c r="B12" s="28" t="str">
        <x:v>DR-06</x:v>
      </x:c>
      <x:c r="C12" s="28" t="str">
        <x:v>crew availability</x:v>
      </x:c>
      <x:c r="D12" s="29" t="str">
        <x:v>named duty assignment and four current qualification modules</x:v>
      </x:c>
      <x:c r="E12" s="28" t="str">
        <x:v>OPEN</x:v>
      </x:c>
    </x:row>
    <x:row r="13" ht="39" customHeight="1">
      <x:c r="B13" s="28" t="str">
        <x:v>DR-07</x:v>
      </x:c>
      <x:c r="C13" s="28" t="str">
        <x:v>rig readiness</x:v>
      </x:c>
      <x:c r="D13" s="29" t="str">
        <x:v>domains, interfaces, calibration, drills, rescue, evidence and replays pass</x:v>
      </x:c>
      <x:c r="E13" s="28" t="str">
        <x:v>OPEN</x:v>
      </x:c>
    </x:row>
    <x:row r="14" ht="39" customHeight="1">
      <x:c r="B14" s="28" t="str">
        <x:v>DR-08</x:v>
      </x:c>
      <x:c r="C14" s="28" t="str">
        <x:v>pair readiness</x:v>
      </x:c>
      <x:c r="D14" s="29" t="str">
        <x:v>article, twin, rig, integration domains and current credentials pass</x:v>
      </x:c>
      <x:c r="E14" s="28" t="str">
        <x:v>OPEN</x:v>
      </x:c>
    </x:row>
    <x:row r="15" ht="39" customHeight="1">
      <x:c r="B15" s="28" t="str">
        <x:v>DR-09</x:v>
      </x:c>
      <x:c r="C15" s="28" t="str">
        <x:v>campus readiness</x:v>
      </x:c>
      <x:c r="D15" s="29" t="str">
        <x:v>two pairs, two special articles, sixteen domains and local duty roster pass</x:v>
      </x:c>
      <x:c r="E15" s="28" t="str">
        <x:v>OPEN</x:v>
      </x:c>
    </x:row>
    <x:row r="16" ht="39" customHeight="1">
      <x:c r="B16" s="28" t="str">
        <x:v>DR-10</x:v>
      </x:c>
      <x:c r="C16" s="28" t="str">
        <x:v>campaign readiness</x:v>
      </x:c>
      <x:c r="D16" s="29" t="str">
        <x:v>all twenty-four national gates pass on one campaign date</x:v>
      </x:c>
      <x:c r="E16" s="28" t="str">
        <x:v>OPEN</x:v>
      </x:c>
    </x:row>
    <x:row r="17" ht="39" customHeight="1">
      <x:c r="B17" s="28" t="str">
        <x:v>DR-11</x:v>
      </x:c>
      <x:c r="C17" s="28" t="str">
        <x:v>readiness expiry</x:v>
      </x:c>
      <x:c r="D17" s="29" t="str">
        <x:v>any expired required credential withdraws pair readiness</x:v>
      </x:c>
      <x:c r="E17" s="28" t="str">
        <x:v>OPEN</x:v>
      </x:c>
    </x:row>
    <x:row r="18" ht="39" customHeight="1">
      <x:c r="B18" s="28" t="str">
        <x:v>DR-12</x:v>
      </x:c>
      <x:c r="C18" s="28" t="str">
        <x:v>configuration change</x:v>
      </x:c>
      <x:c r="D18" s="29" t="str">
        <x:v>affected integration and freshness records repeat</x:v>
      </x:c>
      <x:c r="E18" s="28" t="str">
        <x:v>DORMANT</x:v>
      </x:c>
    </x:row>
    <x:row r="19" ht="39" customHeight="1">
      <x:c r="B19" s="28" t="str">
        <x:v>DR-13</x:v>
      </x:c>
      <x:c r="C19" s="28" t="str">
        <x:v>QE-01 issue</x:v>
      </x:c>
      <x:c r="D19" s="29" t="str">
        <x:v>requires a separate event dossier and issuer</x:v>
      </x:c>
      <x:c r="E19" s="28" t="str">
        <x:v>BLOCKED</x:v>
      </x:c>
    </x:row>
    <x:row r="20" ht="39" customHeight="1">
      <x:c r="B20" s="28" t="str">
        <x:v>DR-14</x:v>
      </x:c>
      <x:c r="C20" s="28" t="str">
        <x:v>source entry</x:v>
      </x:c>
      <x:c r="D20" s="29" t="str">
        <x:v>requires source-lot and event authority outside RAX-1</x:v>
      </x:c>
      <x:c r="E20" s="28" t="str">
        <x:v>BLOCKED</x:v>
      </x:c>
    </x:row>
    <x:row r="21" ht="39" customHeight="1">
      <x:c r="B21" s="28" t="str">
        <x:v>DR-15</x:v>
      </x:c>
      <x:c r="C21" s="28" t="str">
        <x:v>candidate or production</x:v>
      </x:c>
      <x:c r="D21" s="29" t="str">
        <x:v>requires later physical populations</x:v>
      </x:c>
      <x:c r="E21" s="28" t="str">
        <x:v>BLOCKED</x:v>
      </x:c>
    </x:row>
    <x:row r="22" ht="39" customHeight="1">
      <x:c r="B22" s="28" t="str">
        <x:v>DR-16</x:v>
      </x:c>
      <x:c r="C22" s="28" t="str">
        <x:v>exterior rendering</x:v>
      </x:c>
      <x:c r="D22" s="29" t="str">
        <x:v>operational form remains outside article-rig evidence</x:v>
      </x:c>
      <x:c r="E22" s="28" t="str">
        <x:v>BLOCKED</x:v>
      </x:c>
    </x:row>
  </x:sheetData>
  <x:pageMargins left="0.7" right="0.7" top="0.75" bottom="0.75" header="0.3" footer="0.3"/>
</x:worksheet>
</file>

<file path=xl/worksheets/sheet3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8" hidden="0" customWidth="1"/>
    <x:col min="4" max="4" width="82" hidden="0" customWidth="1"/>
    <x:col min="5" max="5" width="14" hidden="0" customWidth="1"/>
  </x:cols>
  <x:sheetData>
    <x:row r="2">
      <x:c r="B2" s="25" t="str">
        <x:v>Sixteen automatic mobilization stops</x:v>
      </x:c>
      <x:c r="C2" s="26"/>
      <x:c r="D2" s="26"/>
      <x:c r="E2" s="26"/>
    </x:row>
    <x:row r="3">
      <x:c r="B3" s="27" t="str">
        <x:v>A stop protects people, configuration and inference. Schedule status cannot override it.</x:v>
      </x:c>
      <x:c r="C3" s="26"/>
      <x:c r="D3" s="26"/>
      <x:c r="E3" s="26"/>
    </x:row>
    <x:row r="4">
      <x:c r="B4" s="26"/>
      <x:c r="C4" s="26"/>
      <x:c r="D4" s="26"/>
      <x:c r="E4" s="26"/>
    </x:row>
    <x:row r="5">
      <x:c r="B5" s="26"/>
      <x:c r="C5" s="26"/>
      <x:c r="D5" s="26"/>
      <x:c r="E5" s="26"/>
    </x:row>
    <x:row r="6" ht="24" customHeight="1">
      <x:c r="B6" s="6" t="str">
        <x:v>Rule</x:v>
      </x:c>
      <x:c r="C6" s="6" t="str">
        <x:v>Trigger</x:v>
      </x:c>
      <x:c r="D6" s="6" t="str">
        <x:v>Immediate action</x:v>
      </x:c>
      <x:c r="E6" s="6" t="str">
        <x:v>State</x:v>
      </x:c>
    </x:row>
    <x:row r="7" ht="38" customHeight="1">
      <x:c r="B7" s="28" t="str">
        <x:v>ST-01</x:v>
      </x:c>
      <x:c r="C7" s="28" t="str">
        <x:v>bank role or destination mismatch</x:v>
      </x:c>
      <x:c r="D7" s="29" t="str">
        <x:v>safe, isolate affected objects, preserve evidence and withdraw dependent readiness</x:v>
      </x:c>
      <x:c r="E7" s="28" t="str">
        <x:v>ACTIVE</x:v>
      </x:c>
    </x:row>
    <x:row r="8" ht="38" customHeight="1">
      <x:c r="B8" s="28" t="str">
        <x:v>ST-02</x:v>
      </x:c>
      <x:c r="C8" s="28" t="str">
        <x:v>departure and arrival configuration differ</x:v>
      </x:c>
      <x:c r="D8" s="29" t="str">
        <x:v>safe, isolate affected objects, preserve evidence and withdraw dependent readiness</x:v>
      </x:c>
      <x:c r="E8" s="28" t="str">
        <x:v>ACTIVE</x:v>
      </x:c>
    </x:row>
    <x:row r="9" ht="38" customHeight="1">
      <x:c r="B9" s="28" t="str">
        <x:v>ST-03</x:v>
      </x:c>
      <x:c r="C9" s="28" t="str">
        <x:v>transport shock or temperature excursion</x:v>
      </x:c>
      <x:c r="D9" s="29" t="str">
        <x:v>safe, isolate affected objects, preserve evidence and withdraw dependent readiness</x:v>
      </x:c>
      <x:c r="E9" s="28" t="str">
        <x:v>ACTIVE</x:v>
      </x:c>
    </x:row>
    <x:row r="10" ht="38" customHeight="1">
      <x:c r="B10" s="28" t="str">
        <x:v>ST-04</x:v>
      </x:c>
      <x:c r="C10" s="28" t="str">
        <x:v>unregistered article-rig interface</x:v>
      </x:c>
      <x:c r="D10" s="29" t="str">
        <x:v>safe, isolate affected objects, preserve evidence and withdraw dependent readiness</x:v>
      </x:c>
      <x:c r="E10" s="28" t="str">
        <x:v>ACTIVE</x:v>
      </x:c>
    </x:row>
    <x:row r="11" ht="38" customHeight="1">
      <x:c r="B11" s="28" t="str">
        <x:v>ST-05</x:v>
      </x:c>
      <x:c r="C11" s="28" t="str">
        <x:v>docking changes article or rig state</x:v>
      </x:c>
      <x:c r="D11" s="29" t="str">
        <x:v>safe, isolate affected objects, preserve evidence and withdraw dependent readiness</x:v>
      </x:c>
      <x:c r="E11" s="28" t="str">
        <x:v>ACTIVE</x:v>
      </x:c>
    </x:row>
    <x:row r="12" ht="38" customHeight="1">
      <x:c r="B12" s="28" t="str">
        <x:v>ST-06</x:v>
      </x:c>
      <x:c r="C12" s="28" t="str">
        <x:v>calibration circuit disagreement</x:v>
      </x:c>
      <x:c r="D12" s="29" t="str">
        <x:v>safe, isolate affected objects, preserve evidence and withdraw dependent readiness</x:v>
      </x:c>
      <x:c r="E12" s="28" t="str">
        <x:v>ACTIVE</x:v>
      </x:c>
    </x:row>
    <x:row r="13" ht="38" customHeight="1">
      <x:c r="B13" s="28" t="str">
        <x:v>ST-07</x:v>
      </x:c>
      <x:c r="C13" s="28" t="str">
        <x:v>source or water boundary not isolated</x:v>
      </x:c>
      <x:c r="D13" s="29" t="str">
        <x:v>safe, isolate affected objects, preserve evidence and withdraw dependent readiness</x:v>
      </x:c>
      <x:c r="E13" s="28" t="str">
        <x:v>ACTIVE</x:v>
      </x:c>
    </x:row>
    <x:row r="14" ht="38" customHeight="1">
      <x:c r="B14" s="28" t="str">
        <x:v>ST-08</x:v>
      </x:c>
      <x:c r="C14" s="28" t="str">
        <x:v>safeing survivor unavailable</x:v>
      </x:c>
      <x:c r="D14" s="29" t="str">
        <x:v>safe, isolate affected objects, preserve evidence and withdraw dependent readiness</x:v>
      </x:c>
      <x:c r="E14" s="28" t="str">
        <x:v>ACTIVE</x:v>
      </x:c>
    </x:row>
    <x:row r="15" ht="38" customHeight="1">
      <x:c r="B15" s="28" t="str">
        <x:v>ST-09</x:v>
      </x:c>
      <x:c r="C15" s="28" t="str">
        <x:v>crew assignment or credential missing</x:v>
      </x:c>
      <x:c r="D15" s="29" t="str">
        <x:v>safe, isolate affected objects, preserve evidence and withdraw dependent readiness</x:v>
      </x:c>
      <x:c r="E15" s="28" t="str">
        <x:v>ACTIVE</x:v>
      </x:c>
    </x:row>
    <x:row r="16" ht="38" customHeight="1">
      <x:c r="B16" s="28" t="str">
        <x:v>ST-10</x:v>
      </x:c>
      <x:c r="C16" s="28" t="str">
        <x:v>rescue path unavailable</x:v>
      </x:c>
      <x:c r="D16" s="29" t="str">
        <x:v>safe, isolate affected objects, preserve evidence and withdraw dependent readiness</x:v>
      </x:c>
      <x:c r="E16" s="28" t="str">
        <x:v>ACTIVE</x:v>
      </x:c>
    </x:row>
    <x:row r="17" ht="38" customHeight="1">
      <x:c r="B17" s="28" t="str">
        <x:v>ST-11</x:v>
      </x:c>
      <x:c r="C17" s="28" t="str">
        <x:v>native evidence original or causal order lost</x:v>
      </x:c>
      <x:c r="D17" s="29" t="str">
        <x:v>safe, isolate affected objects, preserve evidence and withdraw dependent readiness</x:v>
      </x:c>
      <x:c r="E17" s="28" t="str">
        <x:v>ACTIVE</x:v>
      </x:c>
    </x:row>
    <x:row r="18" ht="38" customHeight="1">
      <x:c r="B18" s="28" t="str">
        <x:v>ST-12</x:v>
      </x:c>
      <x:c r="C18" s="28" t="str">
        <x:v>remote replay cannot reconstruct</x:v>
      </x:c>
      <x:c r="D18" s="29" t="str">
        <x:v>safe, isolate affected objects, preserve evidence and withdraw dependent readiness</x:v>
      </x:c>
      <x:c r="E18" s="28" t="str">
        <x:v>ACTIVE</x:v>
      </x:c>
    </x:row>
    <x:row r="19" ht="38" customHeight="1">
      <x:c r="B19" s="28" t="str">
        <x:v>ST-13</x:v>
      </x:c>
      <x:c r="C19" s="28" t="str">
        <x:v>readiness credential expired</x:v>
      </x:c>
      <x:c r="D19" s="29" t="str">
        <x:v>safe, isolate affected objects, preserve evidence and withdraw dependent readiness</x:v>
      </x:c>
      <x:c r="E19" s="28" t="str">
        <x:v>ACTIVE</x:v>
      </x:c>
    </x:row>
    <x:row r="20" ht="38" customHeight="1">
      <x:c r="B20" s="28" t="str">
        <x:v>ST-14</x:v>
      </x:c>
      <x:c r="C20" s="28" t="str">
        <x:v>unclosed exception or critical change</x:v>
      </x:c>
      <x:c r="D20" s="29" t="str">
        <x:v>safe, isolate affected objects, preserve evidence and withdraw dependent readiness</x:v>
      </x:c>
      <x:c r="E20" s="28" t="str">
        <x:v>ACTIVE</x:v>
      </x:c>
    </x:row>
    <x:row r="21" ht="38" customHeight="1">
      <x:c r="B21" s="28" t="str">
        <x:v>ST-15</x:v>
      </x:c>
      <x:c r="C21" s="28" t="str">
        <x:v>campus common service unavailable</x:v>
      </x:c>
      <x:c r="D21" s="29" t="str">
        <x:v>safe, isolate affected objects, preserve evidence and withdraw dependent readiness</x:v>
      </x:c>
      <x:c r="E21" s="28" t="str">
        <x:v>ACTIVE</x:v>
      </x:c>
    </x:row>
    <x:row r="22" ht="38" customHeight="1">
      <x:c r="B22" s="28" t="str">
        <x:v>ST-16</x:v>
      </x:c>
      <x:c r="C22" s="28" t="str">
        <x:v>campaign board asked to issue source authority</x:v>
      </x:c>
      <x:c r="D22" s="29" t="str">
        <x:v>safe, isolate affected objects, preserve evidence and withdraw dependent readiness</x:v>
      </x:c>
      <x:c r="E22" s="28" t="str">
        <x:v>ACTIVE</x:v>
      </x:c>
    </x:row>
  </x:sheetData>
  <x:pageMargins left="0.7" right="0.7" top="0.75" bottom="0.75" header="0.3" footer="0.3"/>
</x:worksheet>
</file>

<file path=xl/worksheets/sheet4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4" hidden="0" customWidth="1"/>
    <x:col min="4" max="4" width="30" hidden="0" customWidth="1"/>
    <x:col min="5" max="5" width="78" hidden="0" customWidth="1"/>
    <x:col min="6" max="6" width="14" hidden="0" customWidth="1"/>
  </x:cols>
  <x:sheetData>
    <x:row r="2">
      <x:c r="B2" s="25" t="str">
        <x:v>Twelve mobilization quarantine classes</x:v>
      </x:c>
      <x:c r="C2" s="26"/>
      <x:c r="D2" s="26"/>
      <x:c r="E2" s="26"/>
      <x:c r="F2" s="26"/>
    </x:row>
    <x:row r="3">
      <x:c r="B3" s="27" t="str">
        <x:v>The owner of the affected evidence controls release. No schedule or budget authority can waive the record.</x:v>
      </x:c>
      <x:c r="C3" s="26"/>
      <x:c r="D3" s="26"/>
      <x:c r="E3" s="26"/>
      <x:c r="F3" s="26"/>
    </x:row>
    <x:row r="4">
      <x:c r="B4" s="26"/>
      <x:c r="C4" s="26"/>
      <x:c r="D4" s="26"/>
      <x:c r="E4" s="26"/>
      <x:c r="F4" s="26"/>
    </x:row>
    <x:row r="5">
      <x:c r="B5" s="26"/>
      <x:c r="C5" s="26"/>
      <x:c r="D5" s="26"/>
      <x:c r="E5" s="26"/>
      <x:c r="F5" s="26"/>
    </x:row>
    <x:row r="6" ht="24" customHeight="1">
      <x:c r="B6" s="6" t="str">
        <x:v>Class</x:v>
      </x:c>
      <x:c r="C6" s="6" t="str">
        <x:v>Condition</x:v>
      </x:c>
      <x:c r="D6" s="6" t="str">
        <x:v>Owner</x:v>
      </x:c>
      <x:c r="E6" s="6" t="str">
        <x:v>Release rule</x:v>
      </x:c>
      <x:c r="F6" s="6" t="str">
        <x:v>State</x:v>
      </x:c>
    </x:row>
    <x:row r="7" ht="38" customHeight="1">
      <x:c r="B7" s="28" t="str">
        <x:v>Q-01</x:v>
      </x:c>
      <x:c r="C7" s="28" t="str">
        <x:v>bank identity mismatch</x:v>
      </x:c>
      <x:c r="D7" s="28" t="str">
        <x:v>bank custody authority</x:v>
      </x:c>
      <x:c r="E7" s="29" t="str">
        <x:v>no dependent release until named disposition, regression and current evidence</x:v>
      </x:c>
      <x:c r="F7" s="28" t="str">
        <x:v>ACTIVE</x:v>
      </x:c>
    </x:row>
    <x:row r="8" ht="38" customHeight="1">
      <x:c r="B8" s="28" t="str">
        <x:v>Q-02</x:v>
      </x:c>
      <x:c r="C8" s="28" t="str">
        <x:v>transport envelope unknown</x:v>
      </x:c>
      <x:c r="D8" s="28" t="str">
        <x:v>transport authority</x:v>
      </x:c>
      <x:c r="E8" s="29" t="str">
        <x:v>no dependent release until named disposition, regression and current evidence</x:v>
      </x:c>
      <x:c r="F8" s="28" t="str">
        <x:v>ACTIVE</x:v>
      </x:c>
    </x:row>
    <x:row r="9" ht="38" customHeight="1">
      <x:c r="B9" s="28" t="str">
        <x:v>Q-03</x:v>
      </x:c>
      <x:c r="C9" s="28" t="str">
        <x:v>article configuration disagreement</x:v>
      </x:c>
      <x:c r="D9" s="28" t="str">
        <x:v>article authority</x:v>
      </x:c>
      <x:c r="E9" s="29" t="str">
        <x:v>no dependent release until named disposition, regression and current evidence</x:v>
      </x:c>
      <x:c r="F9" s="28" t="str">
        <x:v>ACTIVE</x:v>
      </x:c>
    </x:row>
    <x:row r="10" ht="38" customHeight="1">
      <x:c r="B10" s="28" t="str">
        <x:v>Q-04</x:v>
      </x:c>
      <x:c r="C10" s="28" t="str">
        <x:v>rig baseline disagreement</x:v>
      </x:c>
      <x:c r="D10" s="28" t="str">
        <x:v>rig authority</x:v>
      </x:c>
      <x:c r="E10" s="29" t="str">
        <x:v>no dependent release until named disposition, regression and current evidence</x:v>
      </x:c>
      <x:c r="F10" s="28" t="str">
        <x:v>ACTIVE</x:v>
      </x:c>
    </x:row>
    <x:row r="11" ht="38" customHeight="1">
      <x:c r="B11" s="28" t="str">
        <x:v>Q-05</x:v>
      </x:c>
      <x:c r="C11" s="28" t="str">
        <x:v>interface nonconformance</x:v>
      </x:c>
      <x:c r="D11" s="28" t="str">
        <x:v>configuration authority</x:v>
      </x:c>
      <x:c r="E11" s="29" t="str">
        <x:v>no dependent release until named disposition, regression and current evidence</x:v>
      </x:c>
      <x:c r="F11" s="28" t="str">
        <x:v>ACTIVE</x:v>
      </x:c>
    </x:row>
    <x:row r="12" ht="38" customHeight="1">
      <x:c r="B12" s="28" t="str">
        <x:v>Q-06</x:v>
      </x:c>
      <x:c r="C12" s="28" t="str">
        <x:v>calibration disagreement</x:v>
      </x:c>
      <x:c r="D12" s="28" t="str">
        <x:v>metrology authority</x:v>
      </x:c>
      <x:c r="E12" s="29" t="str">
        <x:v>no dependent release until named disposition, regression and current evidence</x:v>
      </x:c>
      <x:c r="F12" s="28" t="str">
        <x:v>ACTIVE</x:v>
      </x:c>
    </x:row>
    <x:row r="13" ht="38" customHeight="1">
      <x:c r="B13" s="28" t="str">
        <x:v>Q-07</x:v>
      </x:c>
      <x:c r="C13" s="28" t="str">
        <x:v>crew credential lapse</x:v>
      </x:c>
      <x:c r="D13" s="28" t="str">
        <x:v>crew authority</x:v>
      </x:c>
      <x:c r="E13" s="29" t="str">
        <x:v>no dependent release until named disposition, regression and current evidence</x:v>
      </x:c>
      <x:c r="F13" s="28" t="str">
        <x:v>ACTIVE</x:v>
      </x:c>
    </x:row>
    <x:row r="14" ht="38" customHeight="1">
      <x:c r="B14" s="28" t="str">
        <x:v>Q-08</x:v>
      </x:c>
      <x:c r="C14" s="28" t="str">
        <x:v>safeing drill failure</x:v>
      </x:c>
      <x:c r="D14" s="28" t="str">
        <x:v>safeing authority</x:v>
      </x:c>
      <x:c r="E14" s="29" t="str">
        <x:v>no dependent release until named disposition, regression and current evidence</x:v>
      </x:c>
      <x:c r="F14" s="28" t="str">
        <x:v>ACTIVE</x:v>
      </x:c>
    </x:row>
    <x:row r="15" ht="38" customHeight="1">
      <x:c r="B15" s="28" t="str">
        <x:v>Q-09</x:v>
      </x:c>
      <x:c r="C15" s="28" t="str">
        <x:v>rescue path failure</x:v>
      </x:c>
      <x:c r="D15" s="28" t="str">
        <x:v>rescue authority</x:v>
      </x:c>
      <x:c r="E15" s="29" t="str">
        <x:v>no dependent release until named disposition, regression and current evidence</x:v>
      </x:c>
      <x:c r="F15" s="28" t="str">
        <x:v>ACTIVE</x:v>
      </x:c>
    </x:row>
    <x:row r="16" ht="38" customHeight="1">
      <x:c r="B16" s="28" t="str">
        <x:v>Q-10</x:v>
      </x:c>
      <x:c r="C16" s="28" t="str">
        <x:v>evidence or replay loss</x:v>
      </x:c>
      <x:c r="D16" s="28" t="str">
        <x:v>evidence authority</x:v>
      </x:c>
      <x:c r="E16" s="29" t="str">
        <x:v>no dependent release until named disposition, regression and current evidence</x:v>
      </x:c>
      <x:c r="F16" s="28" t="str">
        <x:v>ACTIVE</x:v>
      </x:c>
    </x:row>
    <x:row r="17" ht="38" customHeight="1">
      <x:c r="B17" s="28" t="str">
        <x:v>Q-11</x:v>
      </x:c>
      <x:c r="C17" s="28" t="str">
        <x:v>media or environmental custody break</x:v>
      </x:c>
      <x:c r="D17" s="28" t="str">
        <x:v>campus board</x:v>
      </x:c>
      <x:c r="E17" s="29" t="str">
        <x:v>no dependent release until named disposition, regression and current evidence</x:v>
      </x:c>
      <x:c r="F17" s="28" t="str">
        <x:v>ACTIVE</x:v>
      </x:c>
    </x:row>
    <x:row r="18" ht="38" customHeight="1">
      <x:c r="B18" s="28" t="str">
        <x:v>Q-12</x:v>
      </x:c>
      <x:c r="C18" s="28" t="str">
        <x:v>readiness date or role-selection fault</x:v>
      </x:c>
      <x:c r="D18" s="28" t="str">
        <x:v>campaign board</x:v>
      </x:c>
      <x:c r="E18" s="29" t="str">
        <x:v>no dependent release until named disposition, regression and current evidence</x:v>
      </x:c>
      <x:c r="F18" s="28" t="str">
        <x:v>ACTIVE</x:v>
      </x:c>
    </x:row>
  </x:sheetData>
  <x:pageMargins left="0.7" right="0.7" top="0.75" bottom="0.75" header="0.3" footer="0.3"/>
</x:worksheet>
</file>

<file path=xl/worksheets/sheet4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6" hidden="0" customWidth="1"/>
    <x:col min="3" max="3" width="14" hidden="0" customWidth="1"/>
    <x:col min="4" max="4" width="16" hidden="0" customWidth="1"/>
    <x:col min="5" max="5" width="15" hidden="0" customWidth="1"/>
    <x:col min="6" max="6" width="65" hidden="0" customWidth="1"/>
    <x:col min="7" max="7" width="24" hidden="0" customWidth="1"/>
    <x:col min="8" max="8" width="36" hidden="0" customWidth="1"/>
    <x:col min="9" max="9" width="24" hidden="0" customWidth="1"/>
    <x:col min="10" max="10" width="21" hidden="0" customWidth="1"/>
    <x:col min="11" max="11" width="14" hidden="0" customWidth="1"/>
  </x:cols>
  <x:sheetData>
    <x:row r="2">
      <x:c r="B2" s="25" t="str">
        <x:v>Fifty-four-month integrated establishment schedule</x:v>
      </x:c>
      <x:c r="C2" s="26"/>
      <x:c r="D2" s="26"/>
      <x:c r="E2" s="26"/>
      <x:c r="F2" s="26"/>
      <x:c r="G2" s="26"/>
      <x:c r="H2" s="26"/>
      <x:c r="I2" s="26"/>
      <x:c r="J2" s="26"/>
      <x:c r="K2" s="26"/>
    </x:row>
    <x:row r="3">
      <x:c r="B3" s="27" t="str">
        <x:v>Revocable preparation may overlap. Physical qualification, bank use and readiness release remain gated by their named predecessors.</x:v>
      </x:c>
      <x:c r="C3" s="26"/>
      <x:c r="D3" s="26"/>
      <x:c r="E3" s="26"/>
      <x:c r="F3" s="26"/>
      <x:c r="G3" s="26"/>
      <x:c r="H3" s="26"/>
      <x:c r="I3" s="26"/>
      <x:c r="J3" s="26"/>
      <x:c r="K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</x:row>
    <x:row r="6" ht="24" customHeight="1">
      <x:c r="B6" s="6" t="str">
        <x:v>Package</x:v>
      </x:c>
      <x:c r="C6" s="6" t="str">
        <x:v>Stage</x:v>
      </x:c>
      <x:c r="D6" s="6" t="str">
        <x:v>Start month</x:v>
      </x:c>
      <x:c r="E6" s="6" t="str">
        <x:v>End month</x:v>
      </x:c>
      <x:c r="F6" s="6" t="str">
        <x:v>Work</x:v>
      </x:c>
      <x:c r="G6" s="6" t="str">
        <x:v>Authority class</x:v>
      </x:c>
      <x:c r="H6" s="6" t="str">
        <x:v>Predecessor</x:v>
      </x:c>
      <x:c r="I6" s="6" t="str">
        <x:v>Owner</x:v>
      </x:c>
      <x:c r="J6" s="6" t="str">
        <x:v>Accepted UTC</x:v>
      </x:c>
      <x:c r="K6" s="6" t="str">
        <x:v>State</x:v>
      </x:c>
    </x:row>
    <x:row r="7" ht="42" customHeight="1">
      <x:c r="B7" s="28" t="str">
        <x:v>SCH-01</x:v>
      </x:c>
      <x:c r="C7" s="28" t="str">
        <x:v>RAC-1</x:v>
      </x:c>
      <x:c r="D7" s="28" t="n">
        <x:v>1</x:v>
      </x:c>
      <x:c r="E7" s="28" t="n">
        <x:v>18</x:v>
      </x:c>
      <x:c r="F7" s="29" t="str">
        <x:v>construction constitution</x:v>
      </x:c>
      <x:c r="G7" s="28" t="str">
        <x:v>release-dependent</x:v>
      </x:c>
      <x:c r="H7" s="29" t="str">
        <x:v>none</x:v>
      </x:c>
      <x:c r="I7" s="31" t="str"/>
      <x:c r="J7" s="31" t="str"/>
      <x:c r="K7" s="28" t="str">
        <x:f>IF(J7="","OPEN",IF(I7="","FAIL","PASS"))</x:f>
        <x:v>OPEN</x:v>
      </x:c>
    </x:row>
    <x:row r="8" ht="42" customHeight="1">
      <x:c r="B8" s="28" t="str">
        <x:v>SCH-02</x:v>
      </x:c>
      <x:c r="C8" s="28" t="str">
        <x:v>RAB-1</x:v>
      </x:c>
      <x:c r="D8" s="28" t="n">
        <x:v>19</x:v>
      </x:c>
      <x:c r="E8" s="28" t="n">
        <x:v>36</x:v>
      </x:c>
      <x:c r="F8" s="29" t="str">
        <x:v>development and destructive qualification</x:v>
      </x:c>
      <x:c r="G8" s="28" t="str">
        <x:v>release-dependent</x:v>
      </x:c>
      <x:c r="H8" s="29" t="str">
        <x:v>RAC-1 construction release</x:v>
      </x:c>
      <x:c r="I8" s="31" t="str"/>
      <x:c r="J8" s="31" t="str"/>
      <x:c r="K8" s="28" t="str">
        <x:f>IF(J8="","OPEN",IF(I8="","FAIL","PASS"))</x:f>
        <x:v>OPEN</x:v>
      </x:c>
    </x:row>
    <x:row r="9" ht="42" customHeight="1">
      <x:c r="B9" s="28" t="str">
        <x:v>SCH-03</x:v>
      </x:c>
      <x:c r="C9" s="28" t="str">
        <x:v>RAQ-1</x:v>
      </x:c>
      <x:c r="D9" s="28" t="n">
        <x:v>25</x:v>
      </x:c>
      <x:c r="E9" s="28" t="n">
        <x:v>36</x:v>
      </x:c>
      <x:c r="F9" s="29" t="str">
        <x:v>reversible builder facilities, tools and standards</x:v>
      </x:c>
      <x:c r="G9" s="28" t="str">
        <x:v>revocable preparation</x:v>
      </x:c>
      <x:c r="H9" s="29" t="str">
        <x:v>registered RAB-1 interim interfaces</x:v>
      </x:c>
      <x:c r="I9" s="31" t="str"/>
      <x:c r="J9" s="31" t="str"/>
      <x:c r="K9" s="28" t="str">
        <x:f>IF(J9="","OPEN",IF(I9="","FAIL","PASS"))</x:f>
        <x:v>OPEN</x:v>
      </x:c>
    </x:row>
    <x:row r="10" ht="42" customHeight="1">
      <x:c r="B10" s="28" t="str">
        <x:v>SCH-04</x:v>
      </x:c>
      <x:c r="C10" s="28" t="str">
        <x:v>RAQ-1</x:v>
      </x:c>
      <x:c r="D10" s="28" t="n">
        <x:v>37</x:v>
      </x:c>
      <x:c r="E10" s="28" t="n">
        <x:v>48</x:v>
      </x:c>
      <x:c r="F10" s="29" t="str">
        <x:v>production-equivalent article lots and bank acceptance</x:v>
      </x:c>
      <x:c r="G10" s="28" t="str">
        <x:v>release-dependent</x:v>
      </x:c>
      <x:c r="H10" s="29" t="str">
        <x:v>RAB-1 lineage release</x:v>
      </x:c>
      <x:c r="I10" s="31" t="str"/>
      <x:c r="J10" s="31" t="str"/>
      <x:c r="K10" s="28" t="str">
        <x:f>IF(J10="","OPEN",IF(I10="","FAIL","PASS"))</x:f>
        <x:v>OPEN</x:v>
      </x:c>
    </x:row>
    <x:row r="11" ht="42" customHeight="1">
      <x:c r="B11" s="28" t="str">
        <x:v>SCH-05</x:v>
      </x:c>
      <x:c r="C11" s="28" t="str">
        <x:v>RAX-1</x:v>
      </x:c>
      <x:c r="D11" s="28" t="n">
        <x:v>37</x:v>
      </x:c>
      <x:c r="E11" s="28" t="n">
        <x:v>42</x:v>
      </x:c>
      <x:c r="F11" s="29" t="str">
        <x:v>rig interface kits, cradles and evidence federation</x:v>
      </x:c>
      <x:c r="G11" s="28" t="str">
        <x:v>revocable preparation</x:v>
      </x:c>
      <x:c r="H11" s="29" t="str">
        <x:v>RAC-1 public interfaces</x:v>
      </x:c>
      <x:c r="I11" s="31" t="str"/>
      <x:c r="J11" s="31" t="str"/>
      <x:c r="K11" s="28" t="str">
        <x:f>IF(J11="","OPEN",IF(I11="","FAIL","PASS"))</x:f>
        <x:v>OPEN</x:v>
      </x:c>
    </x:row>
    <x:row r="12" ht="42" customHeight="1">
      <x:c r="B12" s="28" t="str">
        <x:v>SCH-06</x:v>
      </x:c>
      <x:c r="C12" s="28" t="str">
        <x:v>RAX-1</x:v>
      </x:c>
      <x:c r="D12" s="28" t="n">
        <x:v>37</x:v>
      </x:c>
      <x:c r="E12" s="28" t="n">
        <x:v>48</x:v>
      </x:c>
      <x:c r="F12" s="29" t="str">
        <x:v>crew, standards, rescue and no-source drill preparation</x:v>
      </x:c>
      <x:c r="G12" s="28" t="str">
        <x:v>revocable preparation</x:v>
      </x:c>
      <x:c r="H12" s="29" t="str">
        <x:v>RAP-1 campaign constitution</x:v>
      </x:c>
      <x:c r="I12" s="31" t="str"/>
      <x:c r="J12" s="31" t="str"/>
      <x:c r="K12" s="28" t="str">
        <x:f>IF(J12="","OPEN",IF(I12="","FAIL","PASS"))</x:f>
        <x:v>OPEN</x:v>
      </x:c>
    </x:row>
    <x:row r="13" ht="42" customHeight="1">
      <x:c r="B13" s="28" t="str">
        <x:v>SCH-07</x:v>
      </x:c>
      <x:c r="C13" s="28" t="str">
        <x:v>RAX-1</x:v>
      </x:c>
      <x:c r="D13" s="28" t="n">
        <x:v>49</x:v>
      </x:c>
      <x:c r="E13" s="28" t="n">
        <x:v>54</x:v>
      </x:c>
      <x:c r="F13" s="29" t="str">
        <x:v>bank custody, six-rig rotations and calibration circuit</x:v>
      </x:c>
      <x:c r="G13" s="28" t="str">
        <x:v>release-dependent</x:v>
      </x:c>
      <x:c r="H13" s="29" t="str">
        <x:v>RAQ-1 bank acceptance</x:v>
      </x:c>
      <x:c r="I13" s="31" t="str"/>
      <x:c r="J13" s="31" t="str"/>
      <x:c r="K13" s="28" t="str">
        <x:f>IF(J13="","OPEN",IF(I13="","FAIL","PASS"))</x:f>
        <x:v>OPEN</x:v>
      </x:c>
    </x:row>
    <x:row r="14" ht="42" customHeight="1">
      <x:c r="B14" s="28" t="str">
        <x:v>SCH-08</x:v>
      </x:c>
      <x:c r="C14" s="28" t="str">
        <x:v>RAX-1</x:v>
      </x:c>
      <x:c r="D14" s="28" t="n">
        <x:v>49</x:v>
      </x:c>
      <x:c r="E14" s="28" t="n">
        <x:v>54</x:v>
      </x:c>
      <x:c r="F14" s="29" t="str">
        <x:v>pair, campus and national readiness boards</x:v>
      </x:c>
      <x:c r="G14" s="28" t="str">
        <x:v>release-dependent</x:v>
      </x:c>
      <x:c r="H14" s="29" t="str">
        <x:v>accepted integration records</x:v>
      </x:c>
      <x:c r="I14" s="31" t="str"/>
      <x:c r="J14" s="31" t="str"/>
      <x:c r="K14" s="28" t="str">
        <x:f>IF(J14="","OPEN",IF(I14="","FAIL","PASS"))</x:f>
        <x:v>OPEN</x:v>
      </x:c>
    </x:row>
  </x:sheetData>
  <x:conditionalFormatting sqref="K7:K14">
    <x:cfRule type="containsText" dxfId="186" priority="1" operator="containsText" text="FAIL"/>
    <x:cfRule type="containsText" dxfId="187" priority="2" operator="containsText" text="BLOCKED"/>
    <x:cfRule type="containsText" dxfId="188" priority="3" operator="containsText" text="EXPIRED"/>
    <x:cfRule type="containsText" dxfId="189" priority="4" operator="containsText" text="OPEN"/>
    <x:cfRule type="containsText" dxfId="190" priority="5" operator="containsText" text="DORMANT"/>
    <x:cfRule type="containsText" dxfId="191" priority="6" operator="containsText" text="PASS"/>
  </x:conditionalFormatting>
  <x:pageMargins left="0.7" right="0.7" top="0.75" bottom="0.75" header="0.3" footer="0.3"/>
</x:worksheet>
</file>

<file path=xl/worksheets/sheet4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7" hidden="0" customWidth="1"/>
    <x:col min="3" max="3" width="35" hidden="0" customWidth="1"/>
    <x:col min="4" max="4" width="31" hidden="0" customWidth="1"/>
    <x:col min="5" max="5" width="44" hidden="0" customWidth="1"/>
    <x:col min="6" max="6" width="43" hidden="0" customWidth="1"/>
    <x:col min="7" max="7" width="39" hidden="0" customWidth="1"/>
    <x:col min="8" max="8" width="24" hidden="0" customWidth="1"/>
    <x:col min="9" max="9" width="21" hidden="0" customWidth="1"/>
    <x:col min="10" max="10" width="14" hidden="0" customWidth="1"/>
  </x:cols>
  <x:sheetData>
    <x:row r="2">
      <x:c r="B2" s="25" t="str">
        <x:v>Sixteen governing release dependencies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27" t="str">
        <x:v>Preparation may begin early only where failure remains reversible. No successor may consume an unaccepted physical predecessor.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6" t="str">
        <x:v>Dependency</x:v>
      </x:c>
      <x:c r="C6" s="6" t="str">
        <x:v>Predecessor</x:v>
      </x:c>
      <x:c r="D6" s="6" t="str">
        <x:v>Successor</x:v>
      </x:c>
      <x:c r="E6" s="6" t="str">
        <x:v>Release condition</x:v>
      </x:c>
      <x:c r="F6" s="6" t="str">
        <x:v>Early work allowed</x:v>
      </x:c>
      <x:c r="G6" s="6" t="str">
        <x:v>Early work prohibited</x:v>
      </x:c>
      <x:c r="H6" s="6" t="str">
        <x:v>Owner</x:v>
      </x:c>
      <x:c r="I6" s="6" t="str">
        <x:v>Accepted UTC</x:v>
      </x:c>
      <x:c r="J6" s="6" t="str">
        <x:v>State</x:v>
      </x:c>
    </x:row>
    <x:row r="7" ht="48" customHeight="1">
      <x:c r="B7" s="28" t="str">
        <x:v>DP-01</x:v>
      </x:c>
      <x:c r="C7" s="29" t="str">
        <x:v>RAC-1 public interfaces</x:v>
      </x:c>
      <x:c r="D7" s="29" t="str">
        <x:v>RAB-1 physical qualification</x:v>
      </x:c>
      <x:c r="E7" s="29" t="str">
        <x:v>construction release</x:v>
      </x:c>
      <x:c r="F7" s="29" t="str">
        <x:v>facility planning only</x:v>
      </x:c>
      <x:c r="G7" s="29" t="str">
        <x:v>physical development article</x:v>
      </x:c>
      <x:c r="H7" s="31" t="str"/>
      <x:c r="I7" s="31" t="str"/>
      <x:c r="J7" s="28" t="str">
        <x:f>IF(I7="","OPEN",IF(H7="","FAIL","PASS"))</x:f>
        <x:v>OPEN</x:v>
      </x:c>
    </x:row>
    <x:row r="8" ht="48" customHeight="1">
      <x:c r="B8" s="28" t="str">
        <x:v>DP-02</x:v>
      </x:c>
      <x:c r="C8" s="29" t="str">
        <x:v>RAC-1 public interfaces</x:v>
      </x:c>
      <x:c r="D8" s="29" t="str">
        <x:v>RAQ-1 builder preparation</x:v>
      </x:c>
      <x:c r="E8" s="29" t="str">
        <x:v>registered provisional interface</x:v>
      </x:c>
      <x:c r="F8" s="29" t="str">
        <x:v>site, tool and workforce preparation</x:v>
      </x:c>
      <x:c r="G8" s="29" t="str">
        <x:v>production-equivalent fabrication</x:v>
      </x:c>
      <x:c r="H8" s="31" t="str"/>
      <x:c r="I8" s="31" t="str"/>
      <x:c r="J8" s="28" t="str">
        <x:f>IF(I8="","OPEN",IF(H8="","FAIL","PASS"))</x:f>
        <x:v>OPEN</x:v>
      </x:c>
    </x:row>
    <x:row r="9" ht="48" customHeight="1">
      <x:c r="B9" s="28" t="str">
        <x:v>DP-03</x:v>
      </x:c>
      <x:c r="C9" s="29" t="str">
        <x:v>RAB-1 lineage release</x:v>
      </x:c>
      <x:c r="D9" s="29" t="str">
        <x:v>RAQ-1 production lots</x:v>
      </x:c>
      <x:c r="E9" s="29" t="str">
        <x:v>accepted process and measurement package</x:v>
      </x:c>
      <x:c r="F9" s="29" t="str">
        <x:v>material reservation</x:v>
      </x:c>
      <x:c r="G9" s="29" t="str">
        <x:v>article fabrication</x:v>
      </x:c>
      <x:c r="H9" s="31" t="str"/>
      <x:c r="I9" s="31" t="str"/>
      <x:c r="J9" s="28" t="str">
        <x:f>IF(I9="","OPEN",IF(H9="","FAIL","PASS"))</x:f>
        <x:v>OPEN</x:v>
      </x:c>
    </x:row>
    <x:row r="10" ht="48" customHeight="1">
      <x:c r="B10" s="28" t="str">
        <x:v>DP-04</x:v>
      </x:c>
      <x:c r="C10" s="29" t="str">
        <x:v>RAP-1 campaign constitution</x:v>
      </x:c>
      <x:c r="D10" s="29" t="str">
        <x:v>RAX-1 crew preparation</x:v>
      </x:c>
      <x:c r="E10" s="29" t="str">
        <x:v>registered roles and hazards</x:v>
      </x:c>
      <x:c r="F10" s="29" t="str">
        <x:v>training and simulation</x:v>
      </x:c>
      <x:c r="G10" s="29" t="str">
        <x:v>campaign credit</x:v>
      </x:c>
      <x:c r="H10" s="31" t="str"/>
      <x:c r="I10" s="31" t="str"/>
      <x:c r="J10" s="28" t="str">
        <x:f>IF(I10="","OPEN",IF(H10="","FAIL","PASS"))</x:f>
        <x:v>OPEN</x:v>
      </x:c>
    </x:row>
    <x:row r="11" ht="48" customHeight="1">
      <x:c r="B11" s="28" t="str">
        <x:v>DP-05</x:v>
      </x:c>
      <x:c r="C11" s="29" t="str">
        <x:v>RAC-1 public interfaces</x:v>
      </x:c>
      <x:c r="D11" s="29" t="str">
        <x:v>RAX-1 rig kits</x:v>
      </x:c>
      <x:c r="E11" s="29" t="str">
        <x:v>released interface geometry</x:v>
      </x:c>
      <x:c r="F11" s="29" t="str">
        <x:v>reversible hardware preparation</x:v>
      </x:c>
      <x:c r="G11" s="29" t="str">
        <x:v>article acceptance</x:v>
      </x:c>
      <x:c r="H11" s="31" t="str"/>
      <x:c r="I11" s="31" t="str"/>
      <x:c r="J11" s="28" t="str">
        <x:f>IF(I11="","OPEN",IF(H11="","FAIL","PASS"))</x:f>
        <x:v>OPEN</x:v>
      </x:c>
    </x:row>
    <x:row r="12" ht="48" customHeight="1">
      <x:c r="B12" s="28" t="str">
        <x:v>DP-06</x:v>
      </x:c>
      <x:c r="C12" s="29" t="str">
        <x:v>RAQ-1 bank release</x:v>
      </x:c>
      <x:c r="D12" s="29" t="str">
        <x:v>RAX-1 bank custody</x:v>
      </x:c>
      <x:c r="E12" s="29" t="str">
        <x:v>eighteen locked positions accepted</x:v>
      </x:c>
      <x:c r="F12" s="29" t="str">
        <x:v>transport planning</x:v>
      </x:c>
      <x:c r="G12" s="29" t="str">
        <x:v>public article use</x:v>
      </x:c>
      <x:c r="H12" s="31" t="str"/>
      <x:c r="I12" s="31" t="str"/>
      <x:c r="J12" s="28" t="str">
        <x:f>IF(I12="","OPEN",IF(H12="","FAIL","PASS"))</x:f>
        <x:v>OPEN</x:v>
      </x:c>
    </x:row>
    <x:row r="13" ht="48" customHeight="1">
      <x:c r="B13" s="28" t="str">
        <x:v>DP-07</x:v>
      </x:c>
      <x:c r="C13" s="29" t="str">
        <x:v>bank custody</x:v>
      </x:c>
      <x:c r="D13" s="29" t="str">
        <x:v>six-rig rotation</x:v>
      </x:c>
      <x:c r="E13" s="29" t="str">
        <x:v>article root and transport envelope accepted</x:v>
      </x:c>
      <x:c r="F13" s="29" t="str">
        <x:v>rig schedule reservation</x:v>
      </x:c>
      <x:c r="G13" s="29" t="str">
        <x:v>physical docking</x:v>
      </x:c>
      <x:c r="H13" s="31" t="str"/>
      <x:c r="I13" s="31" t="str"/>
      <x:c r="J13" s="28" t="str">
        <x:f>IF(I13="","OPEN",IF(H13="","FAIL","PASS"))</x:f>
        <x:v>OPEN</x:v>
      </x:c>
    </x:row>
    <x:row r="14" ht="48" customHeight="1">
      <x:c r="B14" s="28" t="str">
        <x:v>DP-08</x:v>
      </x:c>
      <x:c r="C14" s="29" t="str">
        <x:v>rig baseline</x:v>
      </x:c>
      <x:c r="D14" s="29" t="str">
        <x:v>interface demonstration</x:v>
      </x:c>
      <x:c r="E14" s="29" t="str">
        <x:v>rig domains accepted</x:v>
      </x:c>
      <x:c r="F14" s="29" t="str">
        <x:v>dry fixture setup</x:v>
      </x:c>
      <x:c r="G14" s="29" t="str">
        <x:v>interface acceptance</x:v>
      </x:c>
      <x:c r="H14" s="31" t="str"/>
      <x:c r="I14" s="31" t="str"/>
      <x:c r="J14" s="28" t="str">
        <x:f>IF(I14="","OPEN",IF(H14="","FAIL","PASS"))</x:f>
        <x:v>OPEN</x:v>
      </x:c>
    </x:row>
    <x:row r="15" ht="48" customHeight="1">
      <x:c r="B15" s="28" t="str">
        <x:v>DP-09</x:v>
      </x:c>
      <x:c r="C15" s="29" t="str">
        <x:v>standards release</x:v>
      </x:c>
      <x:c r="D15" s="29" t="str">
        <x:v>calibration circuit</x:v>
      </x:c>
      <x:c r="E15" s="29" t="str">
        <x:v>reference serials and validity accepted</x:v>
      </x:c>
      <x:c r="F15" s="29" t="str">
        <x:v>route planning</x:v>
      </x:c>
      <x:c r="G15" s="29" t="str">
        <x:v>calibration observation</x:v>
      </x:c>
      <x:c r="H15" s="31" t="str"/>
      <x:c r="I15" s="31" t="str"/>
      <x:c r="J15" s="28" t="str">
        <x:f>IF(I15="","OPEN",IF(H15="","FAIL","PASS"))</x:f>
        <x:v>OPEN</x:v>
      </x:c>
    </x:row>
    <x:row r="16" ht="48" customHeight="1">
      <x:c r="B16" s="28" t="str">
        <x:v>DP-10</x:v>
      </x:c>
      <x:c r="C16" s="29" t="str">
        <x:v>crew qualifications</x:v>
      </x:c>
      <x:c r="D16" s="29" t="str">
        <x:v>readiness drills</x:v>
      </x:c>
      <x:c r="E16" s="29" t="str">
        <x:v>named duty assignments current</x:v>
      </x:c>
      <x:c r="F16" s="29" t="str">
        <x:v>simulator practice</x:v>
      </x:c>
      <x:c r="G16" s="29" t="str">
        <x:v>accepted drill</x:v>
      </x:c>
      <x:c r="H16" s="31" t="str"/>
      <x:c r="I16" s="31" t="str"/>
      <x:c r="J16" s="28" t="str">
        <x:f>IF(I16="","OPEN",IF(H16="","FAIL","PASS"))</x:f>
        <x:v>OPEN</x:v>
      </x:c>
    </x:row>
    <x:row r="17" ht="48" customHeight="1">
      <x:c r="B17" s="28" t="str">
        <x:v>DP-11</x:v>
      </x:c>
      <x:c r="C17" s="29" t="str">
        <x:v>rescue path release</x:v>
      </x:c>
      <x:c r="D17" s="29" t="str">
        <x:v>integrated rehearsal</x:v>
      </x:c>
      <x:c r="E17" s="29" t="str">
        <x:v>two paths available</x:v>
      </x:c>
      <x:c r="F17" s="29" t="str">
        <x:v>equipment staging</x:v>
      </x:c>
      <x:c r="G17" s="29" t="str">
        <x:v>casualty exercise</x:v>
      </x:c>
      <x:c r="H17" s="31" t="str"/>
      <x:c r="I17" s="31" t="str"/>
      <x:c r="J17" s="28" t="str">
        <x:f>IF(I17="","OPEN",IF(H17="","FAIL","PASS"))</x:f>
        <x:v>OPEN</x:v>
      </x:c>
    </x:row>
    <x:row r="18" ht="48" customHeight="1">
      <x:c r="B18" s="28" t="str">
        <x:v>DP-12</x:v>
      </x:c>
      <x:c r="C18" s="29" t="str">
        <x:v>evidence handshakes</x:v>
      </x:c>
      <x:c r="D18" s="29" t="str">
        <x:v>remote replay</x:v>
      </x:c>
      <x:c r="E18" s="29" t="str">
        <x:v>native packet and time roots accepted</x:v>
      </x:c>
      <x:c r="F18" s="29" t="str">
        <x:v>network provisioning</x:v>
      </x:c>
      <x:c r="G18" s="29" t="str">
        <x:v>replay credit</x:v>
      </x:c>
      <x:c r="H18" s="31" t="str"/>
      <x:c r="I18" s="31" t="str"/>
      <x:c r="J18" s="28" t="str">
        <x:f>IF(I18="","OPEN",IF(H18="","FAIL","PASS"))</x:f>
        <x:v>OPEN</x:v>
      </x:c>
    </x:row>
    <x:row r="19" ht="48" customHeight="1">
      <x:c r="B19" s="28" t="str">
        <x:v>DP-13</x:v>
      </x:c>
      <x:c r="C19" s="29" t="str">
        <x:v>article and rig release</x:v>
      </x:c>
      <x:c r="D19" s="29" t="str">
        <x:v>pair readiness</x:v>
      </x:c>
      <x:c r="E19" s="29" t="str">
        <x:v>both independent decisions accepted</x:v>
      </x:c>
      <x:c r="F19" s="29" t="str">
        <x:v>board preparation</x:v>
      </x:c>
      <x:c r="G19" s="29" t="str">
        <x:v>pair release</x:v>
      </x:c>
      <x:c r="H19" s="31" t="str"/>
      <x:c r="I19" s="31" t="str"/>
      <x:c r="J19" s="28" t="str">
        <x:f>IF(I19="","OPEN",IF(H19="","FAIL","PASS"))</x:f>
        <x:v>OPEN</x:v>
      </x:c>
    </x:row>
    <x:row r="20" ht="48" customHeight="1">
      <x:c r="B20" s="28" t="str">
        <x:v>DP-14</x:v>
      </x:c>
      <x:c r="C20" s="29" t="str">
        <x:v>two pair releases</x:v>
      </x:c>
      <x:c r="D20" s="29" t="str">
        <x:v>campus readiness</x:v>
      </x:c>
      <x:c r="E20" s="29" t="str">
        <x:v>both unlike lineages current</x:v>
      </x:c>
      <x:c r="F20" s="29" t="str">
        <x:v>campus packet preparation</x:v>
      </x:c>
      <x:c r="G20" s="29" t="str">
        <x:v>campus release</x:v>
      </x:c>
      <x:c r="H20" s="31" t="str"/>
      <x:c r="I20" s="31" t="str"/>
      <x:c r="J20" s="28" t="str">
        <x:f>IF(I20="","OPEN",IF(H20="","FAIL","PASS"))</x:f>
        <x:v>OPEN</x:v>
      </x:c>
    </x:row>
    <x:row r="21" ht="48" customHeight="1">
      <x:c r="B21" s="28" t="str">
        <x:v>DP-15</x:v>
      </x:c>
      <x:c r="C21" s="29" t="str">
        <x:v>three campus releases</x:v>
      </x:c>
      <x:c r="D21" s="29" t="str">
        <x:v>campaign readiness</x:v>
      </x:c>
      <x:c r="E21" s="29" t="str">
        <x:v>all campuses current on one date</x:v>
      </x:c>
      <x:c r="F21" s="29" t="str">
        <x:v>national board preparation</x:v>
      </x:c>
      <x:c r="G21" s="29" t="str">
        <x:v>pre-source authority</x:v>
      </x:c>
      <x:c r="H21" s="31" t="str"/>
      <x:c r="I21" s="31" t="str"/>
      <x:c r="J21" s="28" t="str">
        <x:f>IF(I21="","OPEN",IF(H21="","FAIL","PASS"))</x:f>
        <x:v>OPEN</x:v>
      </x:c>
    </x:row>
    <x:row r="22" ht="48" customHeight="1">
      <x:c r="B22" s="28" t="str">
        <x:v>DP-16</x:v>
      </x:c>
      <x:c r="C22" s="29" t="str">
        <x:v>campaign readiness</x:v>
      </x:c>
      <x:c r="D22" s="29" t="str">
        <x:v>QE-01 issue</x:v>
      </x:c>
      <x:c r="E22" s="29" t="str">
        <x:v>separate executable event dossier</x:v>
      </x:c>
      <x:c r="F22" s="29" t="str">
        <x:v>event planning</x:v>
      </x:c>
      <x:c r="G22" s="29" t="str">
        <x:v>source or event identity</x:v>
      </x:c>
      <x:c r="H22" s="31" t="str"/>
      <x:c r="I22" s="31" t="str"/>
      <x:c r="J22" s="28" t="str">
        <x:f>IF(I22="","OPEN",IF(H22="","FAIL","PASS"))</x:f>
        <x:v>OPEN</x:v>
      </x:c>
    </x:row>
  </x:sheetData>
  <x:conditionalFormatting sqref="J7:J22">
    <x:cfRule type="containsText" dxfId="192" priority="1" operator="containsText" text="FAIL"/>
    <x:cfRule type="containsText" dxfId="193" priority="2" operator="containsText" text="BLOCKED"/>
    <x:cfRule type="containsText" dxfId="194" priority="3" operator="containsText" text="EXPIRED"/>
    <x:cfRule type="containsText" dxfId="195" priority="4" operator="containsText" text="OPEN"/>
    <x:cfRule type="containsText" dxfId="196" priority="5" operator="containsText" text="DORMANT"/>
    <x:cfRule type="containsText" dxfId="197" priority="6" operator="containsText" text="PASS"/>
  </x:conditionalFormatting>
  <x:pageMargins left="0.7" right="0.7" top="0.75" bottom="0.75" header="0.3" footer="0.3"/>
</x:worksheet>
</file>

<file path=xl/worksheets/sheet43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39" hidden="0" customWidth="1"/>
    <x:col min="3" max="3" width="12" hidden="0" customWidth="1"/>
    <x:col min="4" max="4" width="23" hidden="0" customWidth="1"/>
    <x:col min="5" max="5" width="14" hidden="0" customWidth="1"/>
    <x:col min="6" max="6" width="21" hidden="0" customWidth="1"/>
    <x:col min="7" max="7" width="17" hidden="0" customWidth="1"/>
    <x:col min="8" max="8" width="24" hidden="0" customWidth="1"/>
    <x:col min="9" max="9" width="22" hidden="0" customWidth="1"/>
    <x:col min="10" max="10" width="17" hidden="0" customWidth="1"/>
  </x:cols>
  <x:sheetData>
    <x:row r="2">
      <x:c r="B2" s="25" t="str">
        <x:v>Twelve mobilization capacity screens</x:v>
      </x:c>
      <x:c r="C2" s="26"/>
      <x:c r="D2" s="26"/>
      <x:c r="E2" s="26"/>
      <x:c r="F2" s="26"/>
      <x:c r="G2" s="26"/>
      <x:c r="H2" s="26"/>
      <x:c r="I2" s="26"/>
      <x:c r="J2" s="26"/>
    </x:row>
    <x:row r="3">
      <x:c r="B3" s="27" t="str">
        <x:v>Demand uses work-centre days. Available days preserve a 35-percent maintenance, investigation and interruption allowance.</x:v>
      </x:c>
      <x:c r="C3" s="26"/>
      <x:c r="D3" s="26"/>
      <x:c r="E3" s="26"/>
      <x:c r="F3" s="26"/>
      <x:c r="G3" s="26"/>
      <x:c r="H3" s="26"/>
      <x:c r="I3" s="26"/>
      <x:c r="J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</x:row>
    <x:row r="6" ht="24" customHeight="1">
      <x:c r="B6" s="6" t="str">
        <x:v>Work centre</x:v>
      </x:c>
      <x:c r="C6" s="6" t="str">
        <x:v>Units</x:v>
      </x:c>
      <x:c r="D6" s="6" t="str">
        <x:v>Demand days per unit</x:v>
      </x:c>
      <x:c r="E6" s="6" t="str">
        <x:v>Months</x:v>
      </x:c>
      <x:c r="F6" s="6" t="str">
        <x:v>Workdays per year</x:v>
      </x:c>
      <x:c r="G6" s="6" t="str">
        <x:v>Ready fraction</x:v>
      </x:c>
      <x:c r="H6" s="6" t="str">
        <x:v>Available unit-days</x:v>
      </x:c>
      <x:c r="I6" s="6" t="str">
        <x:v>Demand unit-days</x:v>
      </x:c>
      <x:c r="J6" s="6" t="str">
        <x:v>Utilization</x:v>
      </x:c>
    </x:row>
    <x:row r="7">
      <x:c r="B7" s="28" t="str">
        <x:v>transport cradle sets</x:v>
      </x:c>
      <x:c r="C7" s="28" t="n">
        <x:v>6</x:v>
      </x:c>
      <x:c r="D7" s="28" t="n">
        <x:v>54</x:v>
      </x:c>
      <x:c r="E7" s="28" t="n">
        <x:v>18</x:v>
      </x:c>
      <x:c r="F7" s="28" t="n">
        <x:v>220</x:v>
      </x:c>
      <x:c r="G7" s="28" t="n">
        <x:v>0.65</x:v>
      </x:c>
      <x:c r="H7" s="28" t="n">
        <x:f>C7*E7/12*F7*G7</x:f>
        <x:v>1287</x:v>
      </x:c>
      <x:c r="I7" s="28" t="n">
        <x:f>C7*D7</x:f>
        <x:v>324</x:v>
      </x:c>
      <x:c r="J7" s="36" t="n">
        <x:f>I7/H7</x:f>
        <x:v>0.2517482517482518</x:v>
      </x:c>
    </x:row>
    <x:row r="8">
      <x:c r="B8" s="28" t="str">
        <x:v>docking integration teams</x:v>
      </x:c>
      <x:c r="C8" s="28" t="n">
        <x:v>6</x:v>
      </x:c>
      <x:c r="D8" s="28" t="n">
        <x:v>48</x:v>
      </x:c>
      <x:c r="E8" s="28" t="n">
        <x:v>18</x:v>
      </x:c>
      <x:c r="F8" s="28" t="n">
        <x:v>220</x:v>
      </x:c>
      <x:c r="G8" s="28" t="n">
        <x:v>0.65</x:v>
      </x:c>
      <x:c r="H8" s="28" t="n">
        <x:f>C8*E8/12*F8*G8</x:f>
        <x:v>1287</x:v>
      </x:c>
      <x:c r="I8" s="28" t="n">
        <x:f>C8*D8</x:f>
        <x:v>288</x:v>
      </x:c>
      <x:c r="J8" s="36" t="n">
        <x:f>I8/H8</x:f>
        <x:v>0.22377622377622378</x:v>
      </x:c>
    </x:row>
    <x:row r="9">
      <x:c r="B9" s="28" t="str">
        <x:v>interface-test lanes</x:v>
      </x:c>
      <x:c r="C9" s="28" t="n">
        <x:v>6</x:v>
      </x:c>
      <x:c r="D9" s="28" t="n">
        <x:v>72</x:v>
      </x:c>
      <x:c r="E9" s="28" t="n">
        <x:v>18</x:v>
      </x:c>
      <x:c r="F9" s="28" t="n">
        <x:v>220</x:v>
      </x:c>
      <x:c r="G9" s="28" t="n">
        <x:v>0.65</x:v>
      </x:c>
      <x:c r="H9" s="28" t="n">
        <x:f>C9*E9/12*F9*G9</x:f>
        <x:v>1287</x:v>
      </x:c>
      <x:c r="I9" s="28" t="n">
        <x:f>C9*D9</x:f>
        <x:v>432</x:v>
      </x:c>
      <x:c r="J9" s="36" t="n">
        <x:f>I9/H9</x:f>
        <x:v>0.3356643356643357</x:v>
      </x:c>
    </x:row>
    <x:row r="10">
      <x:c r="B10" s="28" t="str">
        <x:v>calibration circulation teams</x:v>
      </x:c>
      <x:c r="C10" s="28" t="n">
        <x:v>3</x:v>
      </x:c>
      <x:c r="D10" s="28" t="n">
        <x:v>60</x:v>
      </x:c>
      <x:c r="E10" s="28" t="n">
        <x:v>18</x:v>
      </x:c>
      <x:c r="F10" s="28" t="n">
        <x:v>220</x:v>
      </x:c>
      <x:c r="G10" s="28" t="n">
        <x:v>0.65</x:v>
      </x:c>
      <x:c r="H10" s="28" t="n">
        <x:f>C10*E10/12*F10*G10</x:f>
        <x:v>643.5</x:v>
      </x:c>
      <x:c r="I10" s="28" t="n">
        <x:f>C10*D10</x:f>
        <x:v>180</x:v>
      </x:c>
      <x:c r="J10" s="36" t="n">
        <x:f>I10/H10</x:f>
        <x:v>0.27972027972027974</x:v>
      </x:c>
    </x:row>
    <x:row r="11">
      <x:c r="B11" s="28" t="str">
        <x:v>public standards benches</x:v>
      </x:c>
      <x:c r="C11" s="28" t="n">
        <x:v>6</x:v>
      </x:c>
      <x:c r="D11" s="28" t="n">
        <x:v>36</x:v>
      </x:c>
      <x:c r="E11" s="28" t="n">
        <x:v>18</x:v>
      </x:c>
      <x:c r="F11" s="28" t="n">
        <x:v>220</x:v>
      </x:c>
      <x:c r="G11" s="28" t="n">
        <x:v>0.65</x:v>
      </x:c>
      <x:c r="H11" s="28" t="n">
        <x:f>C11*E11/12*F11*G11</x:f>
        <x:v>1287</x:v>
      </x:c>
      <x:c r="I11" s="28" t="n">
        <x:f>C11*D11</x:f>
        <x:v>216</x:v>
      </x:c>
      <x:c r="J11" s="36" t="n">
        <x:f>I11/H11</x:f>
        <x:v>0.16783216783216784</x:v>
      </x:c>
    </x:row>
    <x:row r="12">
      <x:c r="B12" s="28" t="str">
        <x:v>degraded-service drill windows</x:v>
      </x:c>
      <x:c r="C12" s="28" t="n">
        <x:v>6</x:v>
      </x:c>
      <x:c r="D12" s="28" t="n">
        <x:v>24</x:v>
      </x:c>
      <x:c r="E12" s="28" t="n">
        <x:v>18</x:v>
      </x:c>
      <x:c r="F12" s="28" t="n">
        <x:v>220</x:v>
      </x:c>
      <x:c r="G12" s="28" t="n">
        <x:v>0.65</x:v>
      </x:c>
      <x:c r="H12" s="28" t="n">
        <x:f>C12*E12/12*F12*G12</x:f>
        <x:v>1287</x:v>
      </x:c>
      <x:c r="I12" s="28" t="n">
        <x:f>C12*D12</x:f>
        <x:v>144</x:v>
      </x:c>
      <x:c r="J12" s="36" t="n">
        <x:f>I12/H12</x:f>
        <x:v>0.11188811188811189</x:v>
      </x:c>
    </x:row>
    <x:row r="13">
      <x:c r="B13" s="28" t="str">
        <x:v>rescue exercise lanes</x:v>
      </x:c>
      <x:c r="C13" s="28" t="n">
        <x:v>6</x:v>
      </x:c>
      <x:c r="D13" s="28" t="n">
        <x:v>20</x:v>
      </x:c>
      <x:c r="E13" s="28" t="n">
        <x:v>18</x:v>
      </x:c>
      <x:c r="F13" s="28" t="n">
        <x:v>220</x:v>
      </x:c>
      <x:c r="G13" s="28" t="n">
        <x:v>0.65</x:v>
      </x:c>
      <x:c r="H13" s="28" t="n">
        <x:f>C13*E13/12*F13*G13</x:f>
        <x:v>1287</x:v>
      </x:c>
      <x:c r="I13" s="28" t="n">
        <x:f>C13*D13</x:f>
        <x:v>120</x:v>
      </x:c>
      <x:c r="J13" s="36" t="n">
        <x:f>I13/H13</x:f>
        <x:v>0.09324009324009325</x:v>
      </x:c>
    </x:row>
    <x:row r="14">
      <x:c r="B14" s="28" t="str">
        <x:v>evidence replay nodes</x:v>
      </x:c>
      <x:c r="C14" s="28" t="n">
        <x:v>3</x:v>
      </x:c>
      <x:c r="D14" s="28" t="n">
        <x:v>50</x:v>
      </x:c>
      <x:c r="E14" s="28" t="n">
        <x:v>18</x:v>
      </x:c>
      <x:c r="F14" s="28" t="n">
        <x:v>220</x:v>
      </x:c>
      <x:c r="G14" s="28" t="n">
        <x:v>0.65</x:v>
      </x:c>
      <x:c r="H14" s="28" t="n">
        <x:f>C14*E14/12*F14*G14</x:f>
        <x:v>643.5</x:v>
      </x:c>
      <x:c r="I14" s="28" t="n">
        <x:f>C14*D14</x:f>
        <x:v>150</x:v>
      </x:c>
      <x:c r="J14" s="36" t="n">
        <x:f>I14/H14</x:f>
        <x:v>0.2331002331002331</x:v>
      </x:c>
    </x:row>
    <x:row r="15">
      <x:c r="B15" s="28" t="str">
        <x:v>crew training suites</x:v>
      </x:c>
      <x:c r="C15" s="28" t="n">
        <x:v>3</x:v>
      </x:c>
      <x:c r="D15" s="28" t="n">
        <x:v>80</x:v>
      </x:c>
      <x:c r="E15" s="28" t="n">
        <x:v>18</x:v>
      </x:c>
      <x:c r="F15" s="28" t="n">
        <x:v>220</x:v>
      </x:c>
      <x:c r="G15" s="28" t="n">
        <x:v>0.65</x:v>
      </x:c>
      <x:c r="H15" s="28" t="n">
        <x:f>C15*E15/12*F15*G15</x:f>
        <x:v>643.5</x:v>
      </x:c>
      <x:c r="I15" s="28" t="n">
        <x:f>C15*D15</x:f>
        <x:v>240</x:v>
      </x:c>
      <x:c r="J15" s="36" t="n">
        <x:f>I15/H15</x:f>
        <x:v>0.372960372960373</x:v>
      </x:c>
    </x:row>
    <x:row r="16">
      <x:c r="B16" s="28" t="str">
        <x:v>quarantine and repair cells</x:v>
      </x:c>
      <x:c r="C16" s="28" t="n">
        <x:v>3</x:v>
      </x:c>
      <x:c r="D16" s="28" t="n">
        <x:v>24</x:v>
      </x:c>
      <x:c r="E16" s="28" t="n">
        <x:v>18</x:v>
      </x:c>
      <x:c r="F16" s="28" t="n">
        <x:v>220</x:v>
      </x:c>
      <x:c r="G16" s="28" t="n">
        <x:v>0.65</x:v>
      </x:c>
      <x:c r="H16" s="28" t="n">
        <x:f>C16*E16/12*F16*G16</x:f>
        <x:v>643.5</x:v>
      </x:c>
      <x:c r="I16" s="28" t="n">
        <x:f>C16*D16</x:f>
        <x:v>72</x:v>
      </x:c>
      <x:c r="J16" s="36" t="n">
        <x:f>I16/H16</x:f>
        <x:v>0.11188811188811189</x:v>
      </x:c>
    </x:row>
    <x:row r="17">
      <x:c r="B17" s="28" t="str">
        <x:v>campus acceptance boards</x:v>
      </x:c>
      <x:c r="C17" s="28" t="n">
        <x:v>3</x:v>
      </x:c>
      <x:c r="D17" s="28" t="n">
        <x:v>16</x:v>
      </x:c>
      <x:c r="E17" s="28" t="n">
        <x:v>18</x:v>
      </x:c>
      <x:c r="F17" s="28" t="n">
        <x:v>220</x:v>
      </x:c>
      <x:c r="G17" s="28" t="n">
        <x:v>0.65</x:v>
      </x:c>
      <x:c r="H17" s="28" t="n">
        <x:f>C17*E17/12*F17*G17</x:f>
        <x:v>643.5</x:v>
      </x:c>
      <x:c r="I17" s="28" t="n">
        <x:f>C17*D17</x:f>
        <x:v>48</x:v>
      </x:c>
      <x:c r="J17" s="36" t="n">
        <x:f>I17/H17</x:f>
        <x:v>0.07459207459207459</x:v>
      </x:c>
    </x:row>
    <x:row r="18">
      <x:c r="B18" s="28" t="str">
        <x:v>national campaign board</x:v>
      </x:c>
      <x:c r="C18" s="28" t="n">
        <x:v>1</x:v>
      </x:c>
      <x:c r="D18" s="28" t="n">
        <x:v>12</x:v>
      </x:c>
      <x:c r="E18" s="28" t="n">
        <x:v>18</x:v>
      </x:c>
      <x:c r="F18" s="28" t="n">
        <x:v>220</x:v>
      </x:c>
      <x:c r="G18" s="28" t="n">
        <x:v>0.65</x:v>
      </x:c>
      <x:c r="H18" s="28" t="n">
        <x:f>C18*E18/12*F18*G18</x:f>
        <x:v>214.5</x:v>
      </x:c>
      <x:c r="I18" s="28" t="n">
        <x:f>C18*D18</x:f>
        <x:v>12</x:v>
      </x:c>
      <x:c r="J18" s="36" t="n">
        <x:f>I18/H18</x:f>
        <x:v>0.055944055944055944</x:v>
      </x:c>
    </x:row>
  </x:sheetData>
  <x:pageMargins left="0.7" right="0.7" top="0.75" bottom="0.75" header="0.3" footer="0.3"/>
</x:worksheet>
</file>

<file path=xl/worksheets/sheet44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60" hidden="0" customWidth="1"/>
    <x:col min="3" max="3" width="17" hidden="0" customWidth="1"/>
    <x:col min="4" max="4" width="17" hidden="0" customWidth="1"/>
  </x:cols>
  <x:sheetData>
    <x:row r="2">
      <x:c r="B2" s="25" t="str">
        <x:v>RAX-1 capital allocation</x:v>
      </x:c>
      <x:c r="C2" s="26"/>
      <x:c r="D2" s="26"/>
    </x:row>
    <x:row r="3">
      <x:c r="B3" s="27" t="str">
        <x:v>The USD 84M allocation draws from the RAE-1 remainder outside the fully allocated RAP-1 article program.</x:v>
      </x:c>
      <x:c r="C3" s="26"/>
      <x:c r="D3" s="26"/>
    </x:row>
    <x:row r="4">
      <x:c r="B4" s="26"/>
      <x:c r="C4" s="26"/>
      <x:c r="D4" s="26"/>
    </x:row>
    <x:row r="5">
      <x:c r="B5" s="26"/>
      <x:c r="C5" s="26"/>
      <x:c r="D5" s="26"/>
    </x:row>
    <x:row r="6" ht="24" customHeight="1">
      <x:c r="B6" s="6" t="str">
        <x:v>Capital use</x:v>
      </x:c>
      <x:c r="C6" s="6" t="str">
        <x:v>USD M</x:v>
      </x:c>
      <x:c r="D6" s="6" t="str">
        <x:v>Share</x:v>
      </x:c>
    </x:row>
    <x:row r="7">
      <x:c r="B7" s="28" t="str">
        <x:v>cross-rig docking and interface kits</x:v>
      </x:c>
      <x:c r="C7" s="33" t="n">
        <x:v>18</x:v>
      </x:c>
      <x:c r="D7" s="36" t="n">
        <x:f>C7/C17</x:f>
        <x:v>0.21428571428571427</x:v>
      </x:c>
    </x:row>
    <x:row r="8">
      <x:c r="B8" s="28" t="str">
        <x:v>article transport cradles and exposure logging</x:v>
      </x:c>
      <x:c r="C8" s="33" t="n">
        <x:v>8</x:v>
      </x:c>
      <x:c r="D8" s="36" t="n">
        <x:f>C8/C17</x:f>
        <x:v>0.09523809523809523</x:v>
      </x:c>
    </x:row>
    <x:row r="9">
      <x:c r="B9" s="28" t="str">
        <x:v>six rig integration modules</x:v>
      </x:c>
      <x:c r="C9" s="33" t="n">
        <x:v>18</x:v>
      </x:c>
      <x:c r="D9" s="36" t="n">
        <x:f>C9/C17</x:f>
        <x:v>0.21428571428571427</x:v>
      </x:c>
    </x:row>
    <x:row r="10">
      <x:c r="B10" s="28" t="str">
        <x:v>calibration circulation equipment</x:v>
      </x:c>
      <x:c r="C10" s="33" t="n">
        <x:v>8</x:v>
      </x:c>
      <x:c r="D10" s="36" t="n">
        <x:f>C10/C17</x:f>
        <x:v>0.09523809523809523</x:v>
      </x:c>
    </x:row>
    <x:row r="11">
      <x:c r="B11" s="28" t="str">
        <x:v>rescue and casualty readiness equipment</x:v>
      </x:c>
      <x:c r="C11" s="33" t="n">
        <x:v>7</x:v>
      </x:c>
      <x:c r="D11" s="36" t="n">
        <x:f>C11/C17</x:f>
        <x:v>0.08333333333333333</x:v>
      </x:c>
    </x:row>
    <x:row r="12">
      <x:c r="B12" s="28" t="str">
        <x:v>evidence federation and replay nodes</x:v>
      </x:c>
      <x:c r="C12" s="33" t="n">
        <x:v>9</x:v>
      </x:c>
      <x:c r="D12" s="36" t="n">
        <x:f>C12/C17</x:f>
        <x:v>0.10714285714285714</x:v>
      </x:c>
    </x:row>
    <x:row r="13">
      <x:c r="B13" s="28" t="str">
        <x:v>crew training and integration simulators</x:v>
      </x:c>
      <x:c r="C13" s="33" t="n">
        <x:v>6</x:v>
      </x:c>
      <x:c r="D13" s="36" t="n">
        <x:f>C13/C17</x:f>
        <x:v>0.07142857142857142</x:v>
      </x:c>
    </x:row>
    <x:row r="14">
      <x:c r="B14" s="28" t="str">
        <x:v>integration media and containment</x:v>
      </x:c>
      <x:c r="C14" s="33" t="n">
        <x:v>4</x:v>
      </x:c>
      <x:c r="D14" s="36" t="n">
        <x:f>C14/C17</x:f>
        <x:v>0.047619047619047616</x:v>
      </x:c>
    </x:row>
    <x:row r="15">
      <x:c r="B15" s="28" t="str">
        <x:v>quarantine and repair reserve</x:v>
      </x:c>
      <x:c r="C15" s="33" t="n">
        <x:v>3</x:v>
      </x:c>
      <x:c r="D15" s="36" t="n">
        <x:f>C15/C17</x:f>
        <x:v>0.03571428571428571</x:v>
      </x:c>
    </x:row>
    <x:row r="16">
      <x:c r="B16" s="28" t="str">
        <x:v>contingency</x:v>
      </x:c>
      <x:c r="C16" s="33" t="n">
        <x:v>3</x:v>
      </x:c>
      <x:c r="D16" s="36" t="n">
        <x:f>C16/C17</x:f>
        <x:v>0.03571428571428571</x:v>
      </x:c>
    </x:row>
    <x:row r="17">
      <x:c r="B17" s="30" t="str">
        <x:v>Total</x:v>
      </x:c>
      <x:c r="C17" s="39" t="n">
        <x:f>SUM(C7:C16)</x:f>
        <x:v>84</x:v>
      </x:c>
      <x:c r="D17" s="37" t="n">
        <x:v>1</x:v>
      </x:c>
    </x:row>
  </x:sheetData>
  <x:pageMargins left="0.7" right="0.7" top="0.75" bottom="0.75" header="0.3" footer="0.3"/>
</x:worksheet>
</file>

<file path=xl/worksheets/sheet4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59" hidden="0" customWidth="1"/>
    <x:col min="3" max="3" width="20" hidden="0" customWidth="1"/>
    <x:col min="4" max="4" width="17" hidden="0" customWidth="1"/>
  </x:cols>
  <x:sheetData>
    <x:row r="2">
      <x:c r="B2" s="25" t="str">
        <x:v>RAX-1 annual support</x:v>
      </x:c>
      <x:c r="C2" s="26"/>
      <x:c r="D2" s="26"/>
    </x:row>
    <x:row r="3">
      <x:c r="B3" s="27" t="str">
        <x:v>The USD 44M annual allocation uses part of the RAE-1 support remainder and leaves USD 12M/year unassigned.</x:v>
      </x:c>
      <x:c r="C3" s="26"/>
      <x:c r="D3" s="26"/>
    </x:row>
    <x:row r="4">
      <x:c r="B4" s="26"/>
      <x:c r="C4" s="26"/>
      <x:c r="D4" s="26"/>
    </x:row>
    <x:row r="5">
      <x:c r="B5" s="26"/>
      <x:c r="C5" s="26"/>
      <x:c r="D5" s="26"/>
    </x:row>
    <x:row r="6" ht="24" customHeight="1">
      <x:c r="B6" s="6" t="str">
        <x:v>Annual use</x:v>
      </x:c>
      <x:c r="C6" s="6" t="str">
        <x:v>USD M/year</x:v>
      </x:c>
      <x:c r="D6" s="6" t="str">
        <x:v>Share</x:v>
      </x:c>
    </x:row>
    <x:row r="7">
      <x:c r="B7" s="28" t="str">
        <x:v>workforce and qualification</x:v>
      </x:c>
      <x:c r="C7" s="33" t="n">
        <x:v>20</x:v>
      </x:c>
      <x:c r="D7" s="36" t="n">
        <x:f>C7/C16</x:f>
        <x:v>0.45454545454545453</x:v>
      </x:c>
    </x:row>
    <x:row r="8">
      <x:c r="B8" s="28" t="str">
        <x:v>rig integration and maintenance</x:v>
      </x:c>
      <x:c r="C8" s="33" t="n">
        <x:v>8</x:v>
      </x:c>
      <x:c r="D8" s="36" t="n">
        <x:f>C8/C16</x:f>
        <x:v>0.18181818181818182</x:v>
      </x:c>
    </x:row>
    <x:row r="9">
      <x:c r="B9" s="28" t="str">
        <x:v>metrology and calibration</x:v>
      </x:c>
      <x:c r="C9" s="33" t="n">
        <x:v>4</x:v>
      </x:c>
      <x:c r="D9" s="36" t="n">
        <x:f>C9/C16</x:f>
        <x:v>0.09090909090909091</x:v>
      </x:c>
    </x:row>
    <x:row r="10">
      <x:c r="B10" s="28" t="str">
        <x:v>transport and custody</x:v>
      </x:c>
      <x:c r="C10" s="33" t="n">
        <x:v>3</x:v>
      </x:c>
      <x:c r="D10" s="36" t="n">
        <x:f>C10/C16</x:f>
        <x:v>0.06818181818181818</x:v>
      </x:c>
    </x:row>
    <x:row r="11">
      <x:c r="B11" s="28" t="str">
        <x:v>integration media and containment</x:v>
      </x:c>
      <x:c r="C11" s="33" t="n">
        <x:v>2</x:v>
      </x:c>
      <x:c r="D11" s="36" t="n">
        <x:f>C11/C16</x:f>
        <x:v>0.045454545454545456</x:v>
      </x:c>
    </x:row>
    <x:row r="12">
      <x:c r="B12" s="28" t="str">
        <x:v>rescue and public safety</x:v>
      </x:c>
      <x:c r="C12" s="33" t="n">
        <x:v>3</x:v>
      </x:c>
      <x:c r="D12" s="36" t="n">
        <x:f>C12/C16</x:f>
        <x:v>0.06818181818181818</x:v>
      </x:c>
    </x:row>
    <x:row r="13">
      <x:c r="B13" s="28" t="str">
        <x:v>evidence and replay</x:v>
      </x:c>
      <x:c r="C13" s="33" t="n">
        <x:v>2</x:v>
      </x:c>
      <x:c r="D13" s="36" t="n">
        <x:f>C13/C16</x:f>
        <x:v>0.045454545454545456</x:v>
      </x:c>
    </x:row>
    <x:row r="14">
      <x:c r="B14" s="28" t="str">
        <x:v>independent boards</x:v>
      </x:c>
      <x:c r="C14" s="33" t="n">
        <x:v>1</x:v>
      </x:c>
      <x:c r="D14" s="36" t="n">
        <x:f>C14/C16</x:f>
        <x:v>0.022727272727272728</x:v>
      </x:c>
    </x:row>
    <x:row r="15">
      <x:c r="B15" s="28" t="str">
        <x:v>contingency</x:v>
      </x:c>
      <x:c r="C15" s="33" t="n">
        <x:v>1</x:v>
      </x:c>
      <x:c r="D15" s="36" t="n">
        <x:f>C15/C16</x:f>
        <x:v>0.022727272727272728</x:v>
      </x:c>
    </x:row>
    <x:row r="16">
      <x:c r="B16" s="30" t="str">
        <x:v>Total</x:v>
      </x:c>
      <x:c r="C16" s="39" t="n">
        <x:f>SUM(C7:C15)</x:f>
        <x:v>44</x:v>
      </x:c>
      <x:c r="D16" s="37" t="n">
        <x:v>1</x:v>
      </x:c>
    </x:row>
  </x:sheetData>
  <x:pageMargins left="0.7" right="0.7" top="0.75" bottom="0.75" header="0.3" footer="0.3"/>
</x:worksheet>
</file>

<file path=xl/worksheets/sheet4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2" max="2" width="13" hidden="0" customWidth="1"/>
    <x:col min="3" max="3" width="19" hidden="0" customWidth="1"/>
    <x:col min="4" max="4" width="25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7" hidden="0" customWidth="1"/>
    <x:col min="13" max="13" width="19" hidden="0" customWidth="1"/>
    <x:col min="14" max="14" width="25" hidden="0" customWidth="1"/>
    <x:col min="15" max="15" width="22" hidden="0" customWidth="1"/>
  </x:cols>
  <x:sheetData>
    <x:row r="2">
      <x:c r="B2" s="25" t="str">
        <x:v>Fifty-four-month stage cash profile</x:v>
      </x:c>
      <x:c r="C2" s="26"/>
      <x:c r="D2" s="26"/>
      <x:c r="E2" s="26"/>
      <x:c r="F2" s="26"/>
      <x:c r="G2" s="26"/>
      <x:c r="H2" s="26"/>
      <x:c r="I2" s="26"/>
      <x:c r="J2" s="26"/>
      <x:c r="K2" s="26"/>
      <x:c r="L2" s="26"/>
      <x:c r="M2" s="26"/>
      <x:c r="N2" s="26"/>
      <x:c r="O2" s="26"/>
    </x:row>
    <x:row r="3">
      <x:c r="B3" s="27" t="str">
        <x:v>Capital and stage support are spread evenly inside each active stage for planning. The profile exposes overlap and does not authorize early physical work.</x:v>
      </x:c>
      <x:c r="C3" s="26"/>
      <x:c r="D3" s="26"/>
      <x:c r="E3" s="26"/>
      <x:c r="F3" s="26"/>
      <x:c r="G3" s="26"/>
      <x:c r="H3" s="26"/>
      <x:c r="I3" s="26"/>
      <x:c r="J3" s="26"/>
      <x:c r="K3" s="26"/>
      <x:c r="L3" s="26"/>
      <x:c r="M3" s="26"/>
      <x:c r="N3" s="26"/>
      <x:c r="O3" s="26"/>
    </x:row>
    <x:row r="4">
      <x:c r="B4" s="26"/>
      <x:c r="C4" s="26"/>
      <x:c r="D4" s="26"/>
      <x:c r="E4" s="26"/>
      <x:c r="F4" s="26"/>
      <x:c r="G4" s="26"/>
      <x:c r="H4" s="26"/>
      <x:c r="I4" s="26"/>
      <x:c r="J4" s="26"/>
      <x:c r="K4" s="26"/>
      <x:c r="L4" s="26"/>
      <x:c r="M4" s="26"/>
      <x:c r="N4" s="26"/>
      <x:c r="O4" s="26"/>
    </x:row>
    <x:row r="5">
      <x:c r="B5" s="26"/>
      <x:c r="C5" s="26"/>
      <x:c r="D5" s="26"/>
      <x:c r="E5" s="26"/>
      <x:c r="F5" s="26"/>
      <x:c r="G5" s="26"/>
      <x:c r="H5" s="26"/>
      <x:c r="I5" s="26"/>
      <x:c r="J5" s="26"/>
      <x:c r="K5" s="26"/>
      <x:c r="L5" s="26"/>
      <x:c r="M5" s="26"/>
      <x:c r="N5" s="26"/>
      <x:c r="O5" s="26"/>
    </x:row>
    <x:row r="6" ht="24" customHeight="1">
      <x:c r="B6" s="6" t="str">
        <x:v>Quarter</x:v>
      </x:c>
      <x:c r="C6" s="6" t="str">
        <x:v>Program months</x:v>
      </x:c>
      <x:c r="D6" s="6" t="str">
        <x:v>Active stages</x:v>
      </x:c>
      <x:c r="E6" s="6" t="str">
        <x:v>RAC capital</x:v>
      </x:c>
      <x:c r="F6" s="6" t="str">
        <x:v>RAC support</x:v>
      </x:c>
      <x:c r="G6" s="6" t="str">
        <x:v>RAB capital</x:v>
      </x:c>
      <x:c r="H6" s="6" t="str">
        <x:v>RAB support</x:v>
      </x:c>
      <x:c r="I6" s="6" t="str">
        <x:v>RAQ capital</x:v>
      </x:c>
      <x:c r="J6" s="6" t="str">
        <x:v>RAQ support</x:v>
      </x:c>
      <x:c r="K6" s="6" t="str">
        <x:v>RAX capital</x:v>
      </x:c>
      <x:c r="L6" s="6" t="str">
        <x:v>RAX support</x:v>
      </x:c>
      <x:c r="M6" s="6" t="str">
        <x:v>Quarter spend</x:v>
      </x:c>
      <x:c r="N6" s="6" t="str">
        <x:v>Concurrent annual support</x:v>
      </x:c>
      <x:c r="O6" s="6" t="str">
        <x:v>RAE annual headroom</x:v>
      </x:c>
    </x:row>
    <x:row r="7">
      <x:c r="B7" s="28" t="str">
        <x:v>Q1</x:v>
      </x:c>
      <x:c r="C7" s="28" t="str">
        <x:v>1-3</x:v>
      </x:c>
      <x:c r="D7" s="28" t="str">
        <x:v>RAC-1</x:v>
      </x:c>
      <x:c r="E7" s="40" t="n">
        <x:v>10.666666666666666</x:v>
      </x:c>
      <x:c r="F7" s="40" t="n">
        <x:v>9.5</x:v>
      </x:c>
      <x:c r="G7" s="40" t="n">
        <x:v>0</x:v>
      </x:c>
      <x:c r="H7" s="40" t="n">
        <x:v>0</x:v>
      </x:c>
      <x:c r="I7" s="40" t="n">
        <x:v>0</x:v>
      </x:c>
      <x:c r="J7" s="40" t="n">
        <x:v>0</x:v>
      </x:c>
      <x:c r="K7" s="40" t="n">
        <x:v>0</x:v>
      </x:c>
      <x:c r="L7" s="40" t="n">
        <x:v>0</x:v>
      </x:c>
      <x:c r="M7" s="40" t="n">
        <x:f>SUM(E7:L7)</x:f>
        <x:v>20.166666666666664</x:v>
      </x:c>
      <x:c r="N7" s="40" t="n">
        <x:f>F7*4+H7*4+J7*4+L7*4</x:f>
        <x:v>38</x:v>
      </x:c>
      <x:c r="O7" s="40" t="n">
        <x:f>'Controls'!$D$58-N7</x:f>
        <x:v>130</x:v>
      </x:c>
    </x:row>
    <x:row r="8">
      <x:c r="B8" s="28" t="str">
        <x:v>Q2</x:v>
      </x:c>
      <x:c r="C8" s="28" t="str">
        <x:v>4-6</x:v>
      </x:c>
      <x:c r="D8" s="28" t="str">
        <x:v>RAC-1</x:v>
      </x:c>
      <x:c r="E8" s="40" t="n">
        <x:v>10.666666666666666</x:v>
      </x:c>
      <x:c r="F8" s="40" t="n">
        <x:v>9.5</x:v>
      </x:c>
      <x:c r="G8" s="40" t="n">
        <x:v>0</x:v>
      </x:c>
      <x:c r="H8" s="40" t="n">
        <x:v>0</x:v>
      </x:c>
      <x:c r="I8" s="40" t="n">
        <x:v>0</x:v>
      </x:c>
      <x:c r="J8" s="40" t="n">
        <x:v>0</x:v>
      </x:c>
      <x:c r="K8" s="40" t="n">
        <x:v>0</x:v>
      </x:c>
      <x:c r="L8" s="40" t="n">
        <x:v>0</x:v>
      </x:c>
      <x:c r="M8" s="40" t="n">
        <x:f>SUM(E8:L8)</x:f>
        <x:v>20.166666666666664</x:v>
      </x:c>
      <x:c r="N8" s="40" t="n">
        <x:f>F8*4+H8*4+J8*4+L8*4</x:f>
        <x:v>38</x:v>
      </x:c>
      <x:c r="O8" s="40" t="n">
        <x:f>'Controls'!$D$58-N8</x:f>
        <x:v>130</x:v>
      </x:c>
    </x:row>
    <x:row r="9">
      <x:c r="B9" s="28" t="str">
        <x:v>Q3</x:v>
      </x:c>
      <x:c r="C9" s="28" t="str">
        <x:v>7-9</x:v>
      </x:c>
      <x:c r="D9" s="28" t="str">
        <x:v>RAC-1</x:v>
      </x:c>
      <x:c r="E9" s="40" t="n">
        <x:v>10.666666666666666</x:v>
      </x:c>
      <x:c r="F9" s="40" t="n">
        <x:v>9.5</x:v>
      </x:c>
      <x:c r="G9" s="40" t="n">
        <x:v>0</x:v>
      </x:c>
      <x:c r="H9" s="40" t="n">
        <x:v>0</x:v>
      </x:c>
      <x:c r="I9" s="40" t="n">
        <x:v>0</x:v>
      </x:c>
      <x:c r="J9" s="40" t="n">
        <x:v>0</x:v>
      </x:c>
      <x:c r="K9" s="40" t="n">
        <x:v>0</x:v>
      </x:c>
      <x:c r="L9" s="40" t="n">
        <x:v>0</x:v>
      </x:c>
      <x:c r="M9" s="40" t="n">
        <x:f>SUM(E9:L9)</x:f>
        <x:v>20.166666666666664</x:v>
      </x:c>
      <x:c r="N9" s="40" t="n">
        <x:f>F9*4+H9*4+J9*4+L9*4</x:f>
        <x:v>38</x:v>
      </x:c>
      <x:c r="O9" s="40" t="n">
        <x:f>'Controls'!$D$58-N9</x:f>
        <x:v>130</x:v>
      </x:c>
    </x:row>
    <x:row r="10">
      <x:c r="B10" s="28" t="str">
        <x:v>Q4</x:v>
      </x:c>
      <x:c r="C10" s="28" t="str">
        <x:v>10-12</x:v>
      </x:c>
      <x:c r="D10" s="28" t="str">
        <x:v>RAC-1</x:v>
      </x:c>
      <x:c r="E10" s="40" t="n">
        <x:v>10.666666666666666</x:v>
      </x:c>
      <x:c r="F10" s="40" t="n">
        <x:v>9.5</x:v>
      </x:c>
      <x:c r="G10" s="40" t="n">
        <x:v>0</x:v>
      </x:c>
      <x:c r="H10" s="40" t="n">
        <x:v>0</x:v>
      </x:c>
      <x:c r="I10" s="40" t="n">
        <x:v>0</x:v>
      </x:c>
      <x:c r="J10" s="40" t="n">
        <x:v>0</x:v>
      </x:c>
      <x:c r="K10" s="40" t="n">
        <x:v>0</x:v>
      </x:c>
      <x:c r="L10" s="40" t="n">
        <x:v>0</x:v>
      </x:c>
      <x:c r="M10" s="40" t="n">
        <x:f>SUM(E10:L10)</x:f>
        <x:v>20.166666666666664</x:v>
      </x:c>
      <x:c r="N10" s="40" t="n">
        <x:f>F10*4+H10*4+J10*4+L10*4</x:f>
        <x:v>38</x:v>
      </x:c>
      <x:c r="O10" s="40" t="n">
        <x:f>'Controls'!$D$58-N10</x:f>
        <x:v>130</x:v>
      </x:c>
    </x:row>
    <x:row r="11">
      <x:c r="B11" s="28" t="str">
        <x:v>Q5</x:v>
      </x:c>
      <x:c r="C11" s="28" t="str">
        <x:v>13-15</x:v>
      </x:c>
      <x:c r="D11" s="28" t="str">
        <x:v>RAC-1</x:v>
      </x:c>
      <x:c r="E11" s="40" t="n">
        <x:v>10.666666666666666</x:v>
      </x:c>
      <x:c r="F11" s="40" t="n">
        <x:v>9.5</x:v>
      </x:c>
      <x:c r="G11" s="40" t="n">
        <x:v>0</x:v>
      </x:c>
      <x:c r="H11" s="40" t="n">
        <x:v>0</x:v>
      </x:c>
      <x:c r="I11" s="40" t="n">
        <x:v>0</x:v>
      </x:c>
      <x:c r="J11" s="40" t="n">
        <x:v>0</x:v>
      </x:c>
      <x:c r="K11" s="40" t="n">
        <x:v>0</x:v>
      </x:c>
      <x:c r="L11" s="40" t="n">
        <x:v>0</x:v>
      </x:c>
      <x:c r="M11" s="40" t="n">
        <x:f>SUM(E11:L11)</x:f>
        <x:v>20.166666666666664</x:v>
      </x:c>
      <x:c r="N11" s="40" t="n">
        <x:f>F11*4+H11*4+J11*4+L11*4</x:f>
        <x:v>38</x:v>
      </x:c>
      <x:c r="O11" s="40" t="n">
        <x:f>'Controls'!$D$58-N11</x:f>
        <x:v>130</x:v>
      </x:c>
    </x:row>
    <x:row r="12">
      <x:c r="B12" s="28" t="str">
        <x:v>Q6</x:v>
      </x:c>
      <x:c r="C12" s="28" t="str">
        <x:v>16-18</x:v>
      </x:c>
      <x:c r="D12" s="28" t="str">
        <x:v>RAC-1</x:v>
      </x:c>
      <x:c r="E12" s="40" t="n">
        <x:v>10.666666666666666</x:v>
      </x:c>
      <x:c r="F12" s="40" t="n">
        <x:v>9.5</x:v>
      </x:c>
      <x:c r="G12" s="40" t="n">
        <x:v>0</x:v>
      </x:c>
      <x:c r="H12" s="40" t="n">
        <x:v>0</x:v>
      </x:c>
      <x:c r="I12" s="40" t="n">
        <x:v>0</x:v>
      </x:c>
      <x:c r="J12" s="40" t="n">
        <x:v>0</x:v>
      </x:c>
      <x:c r="K12" s="40" t="n">
        <x:v>0</x:v>
      </x:c>
      <x:c r="L12" s="40" t="n">
        <x:v>0</x:v>
      </x:c>
      <x:c r="M12" s="40" t="n">
        <x:f>SUM(E12:L12)</x:f>
        <x:v>20.166666666666664</x:v>
      </x:c>
      <x:c r="N12" s="40" t="n">
        <x:f>F12*4+H12*4+J12*4+L12*4</x:f>
        <x:v>38</x:v>
      </x:c>
      <x:c r="O12" s="40" t="n">
        <x:f>'Controls'!$D$58-N12</x:f>
        <x:v>130</x:v>
      </x:c>
    </x:row>
    <x:row r="13">
      <x:c r="B13" s="28" t="str">
        <x:v>Q7</x:v>
      </x:c>
      <x:c r="C13" s="28" t="str">
        <x:v>19-21</x:v>
      </x:c>
      <x:c r="D13" s="28" t="str">
        <x:v>RAB-1</x:v>
      </x:c>
      <x:c r="E13" s="40" t="n">
        <x:v>0</x:v>
      </x:c>
      <x:c r="F13" s="40" t="n">
        <x:v>0</x:v>
      </x:c>
      <x:c r="G13" s="40" t="n">
        <x:v>19.666666666666668</x:v>
      </x:c>
      <x:c r="H13" s="40" t="n">
        <x:v>14.5</x:v>
      </x:c>
      <x:c r="I13" s="40" t="n">
        <x:v>0</x:v>
      </x:c>
      <x:c r="J13" s="40" t="n">
        <x:v>0</x:v>
      </x:c>
      <x:c r="K13" s="40" t="n">
        <x:v>0</x:v>
      </x:c>
      <x:c r="L13" s="40" t="n">
        <x:v>0</x:v>
      </x:c>
      <x:c r="M13" s="40" t="n">
        <x:f>SUM(E13:L13)</x:f>
        <x:v>34.16666666666667</x:v>
      </x:c>
      <x:c r="N13" s="40" t="n">
        <x:f>F13*4+H13*4+J13*4+L13*4</x:f>
        <x:v>58</x:v>
      </x:c>
      <x:c r="O13" s="40" t="n">
        <x:f>'Controls'!$D$58-N13</x:f>
        <x:v>110</x:v>
      </x:c>
    </x:row>
    <x:row r="14">
      <x:c r="B14" s="28" t="str">
        <x:v>Q8</x:v>
      </x:c>
      <x:c r="C14" s="28" t="str">
        <x:v>22-24</x:v>
      </x:c>
      <x:c r="D14" s="28" t="str">
        <x:v>RAB-1</x:v>
      </x:c>
      <x:c r="E14" s="40" t="n">
        <x:v>0</x:v>
      </x:c>
      <x:c r="F14" s="40" t="n">
        <x:v>0</x:v>
      </x:c>
      <x:c r="G14" s="40" t="n">
        <x:v>19.666666666666668</x:v>
      </x:c>
      <x:c r="H14" s="40" t="n">
        <x:v>14.5</x:v>
      </x:c>
      <x:c r="I14" s="40" t="n">
        <x:v>0</x:v>
      </x:c>
      <x:c r="J14" s="40" t="n">
        <x:v>0</x:v>
      </x:c>
      <x:c r="K14" s="40" t="n">
        <x:v>0</x:v>
      </x:c>
      <x:c r="L14" s="40" t="n">
        <x:v>0</x:v>
      </x:c>
      <x:c r="M14" s="40" t="n">
        <x:f>SUM(E14:L14)</x:f>
        <x:v>34.16666666666667</x:v>
      </x:c>
      <x:c r="N14" s="40" t="n">
        <x:f>F14*4+H14*4+J14*4+L14*4</x:f>
        <x:v>58</x:v>
      </x:c>
      <x:c r="O14" s="40" t="n">
        <x:f>'Controls'!$D$58-N14</x:f>
        <x:v>110</x:v>
      </x:c>
    </x:row>
    <x:row r="15">
      <x:c r="B15" s="28" t="str">
        <x:v>Q9</x:v>
      </x:c>
      <x:c r="C15" s="28" t="str">
        <x:v>25-27</x:v>
      </x:c>
      <x:c r="D15" s="28" t="str">
        <x:v>RAB-1 + RAQ-1</x:v>
      </x:c>
      <x:c r="E15" s="40" t="n">
        <x:v>0</x:v>
      </x:c>
      <x:c r="F15" s="40" t="n">
        <x:v>0</x:v>
      </x:c>
      <x:c r="G15" s="40" t="n">
        <x:v>19.666666666666668</x:v>
      </x:c>
      <x:c r="H15" s="40" t="n">
        <x:v>14.5</x:v>
      </x:c>
      <x:c r="I15" s="40" t="n">
        <x:v>8.25</x:v>
      </x:c>
      <x:c r="J15" s="40" t="n">
        <x:v>4</x:v>
      </x:c>
      <x:c r="K15" s="40" t="n">
        <x:v>0</x:v>
      </x:c>
      <x:c r="L15" s="40" t="n">
        <x:v>0</x:v>
      </x:c>
      <x:c r="M15" s="40" t="n">
        <x:f>SUM(E15:L15)</x:f>
        <x:v>46.41666666666667</x:v>
      </x:c>
      <x:c r="N15" s="40" t="n">
        <x:f>F15*4+H15*4+J15*4+L15*4</x:f>
        <x:v>74</x:v>
      </x:c>
      <x:c r="O15" s="40" t="n">
        <x:f>'Controls'!$D$58-N15</x:f>
        <x:v>94</x:v>
      </x:c>
    </x:row>
    <x:row r="16">
      <x:c r="B16" s="28" t="str">
        <x:v>Q10</x:v>
      </x:c>
      <x:c r="C16" s="28" t="str">
        <x:v>28-30</x:v>
      </x:c>
      <x:c r="D16" s="28" t="str">
        <x:v>RAB-1 + RAQ-1</x:v>
      </x:c>
      <x:c r="E16" s="40" t="n">
        <x:v>0</x:v>
      </x:c>
      <x:c r="F16" s="40" t="n">
        <x:v>0</x:v>
      </x:c>
      <x:c r="G16" s="40" t="n">
        <x:v>19.666666666666668</x:v>
      </x:c>
      <x:c r="H16" s="40" t="n">
        <x:v>14.5</x:v>
      </x:c>
      <x:c r="I16" s="40" t="n">
        <x:v>8.25</x:v>
      </x:c>
      <x:c r="J16" s="40" t="n">
        <x:v>4</x:v>
      </x:c>
      <x:c r="K16" s="40" t="n">
        <x:v>0</x:v>
      </x:c>
      <x:c r="L16" s="40" t="n">
        <x:v>0</x:v>
      </x:c>
      <x:c r="M16" s="40" t="n">
        <x:f>SUM(E16:L16)</x:f>
        <x:v>46.41666666666667</x:v>
      </x:c>
      <x:c r="N16" s="40" t="n">
        <x:f>F16*4+H16*4+J16*4+L16*4</x:f>
        <x:v>74</x:v>
      </x:c>
      <x:c r="O16" s="40" t="n">
        <x:f>'Controls'!$D$58-N16</x:f>
        <x:v>94</x:v>
      </x:c>
    </x:row>
    <x:row r="17">
      <x:c r="B17" s="28" t="str">
        <x:v>Q11</x:v>
      </x:c>
      <x:c r="C17" s="28" t="str">
        <x:v>31-33</x:v>
      </x:c>
      <x:c r="D17" s="28" t="str">
        <x:v>RAB-1 + RAQ-1</x:v>
      </x:c>
      <x:c r="E17" s="40" t="n">
        <x:v>0</x:v>
      </x:c>
      <x:c r="F17" s="40" t="n">
        <x:v>0</x:v>
      </x:c>
      <x:c r="G17" s="40" t="n">
        <x:v>19.666666666666668</x:v>
      </x:c>
      <x:c r="H17" s="40" t="n">
        <x:v>14.5</x:v>
      </x:c>
      <x:c r="I17" s="40" t="n">
        <x:v>8.25</x:v>
      </x:c>
      <x:c r="J17" s="40" t="n">
        <x:v>4</x:v>
      </x:c>
      <x:c r="K17" s="40" t="n">
        <x:v>0</x:v>
      </x:c>
      <x:c r="L17" s="40" t="n">
        <x:v>0</x:v>
      </x:c>
      <x:c r="M17" s="40" t="n">
        <x:f>SUM(E17:L17)</x:f>
        <x:v>46.41666666666667</x:v>
      </x:c>
      <x:c r="N17" s="40" t="n">
        <x:f>F17*4+H17*4+J17*4+L17*4</x:f>
        <x:v>74</x:v>
      </x:c>
      <x:c r="O17" s="40" t="n">
        <x:f>'Controls'!$D$58-N17</x:f>
        <x:v>94</x:v>
      </x:c>
    </x:row>
    <x:row r="18">
      <x:c r="B18" s="28" t="str">
        <x:v>Q12</x:v>
      </x:c>
      <x:c r="C18" s="28" t="str">
        <x:v>34-36</x:v>
      </x:c>
      <x:c r="D18" s="28" t="str">
        <x:v>RAB-1 + RAQ-1</x:v>
      </x:c>
      <x:c r="E18" s="40" t="n">
        <x:v>0</x:v>
      </x:c>
      <x:c r="F18" s="40" t="n">
        <x:v>0</x:v>
      </x:c>
      <x:c r="G18" s="40" t="n">
        <x:v>19.666666666666668</x:v>
      </x:c>
      <x:c r="H18" s="40" t="n">
        <x:v>14.5</x:v>
      </x:c>
      <x:c r="I18" s="40" t="n">
        <x:v>8.25</x:v>
      </x:c>
      <x:c r="J18" s="40" t="n">
        <x:v>4</x:v>
      </x:c>
      <x:c r="K18" s="40" t="n">
        <x:v>0</x:v>
      </x:c>
      <x:c r="L18" s="40" t="n">
        <x:v>0</x:v>
      </x:c>
      <x:c r="M18" s="40" t="n">
        <x:f>SUM(E18:L18)</x:f>
        <x:v>46.41666666666667</x:v>
      </x:c>
      <x:c r="N18" s="40" t="n">
        <x:f>F18*4+H18*4+J18*4+L18*4</x:f>
        <x:v>74</x:v>
      </x:c>
      <x:c r="O18" s="40" t="n">
        <x:f>'Controls'!$D$58-N18</x:f>
        <x:v>94</x:v>
      </x:c>
    </x:row>
    <x:row r="19">
      <x:c r="B19" s="28" t="str">
        <x:v>Q13</x:v>
      </x:c>
      <x:c r="C19" s="28" t="str">
        <x:v>37-39</x:v>
      </x:c>
      <x:c r="D19" s="28" t="str">
        <x:v>RAQ-1 + RAX-1</x:v>
      </x:c>
      <x:c r="E19" s="40" t="n">
        <x:v>0</x:v>
      </x:c>
      <x:c r="F19" s="40" t="n">
        <x:v>0</x:v>
      </x:c>
      <x:c r="G19" s="40" t="n">
        <x:v>0</x:v>
      </x:c>
      <x:c r="H19" s="40" t="n">
        <x:v>0</x:v>
      </x:c>
      <x:c r="I19" s="40" t="n">
        <x:v>8.25</x:v>
      </x:c>
      <x:c r="J19" s="40" t="n">
        <x:v>4</x:v>
      </x:c>
      <x:c r="K19" s="40" t="n">
        <x:f>Capital!$C$17/6</x:f>
        <x:v>14</x:v>
      </x:c>
      <x:c r="L19" s="40" t="n">
        <x:f>'Annual Support'!$C$16/4</x:f>
        <x:v>11</x:v>
      </x:c>
      <x:c r="M19" s="40" t="n">
        <x:f>SUM(E19:L19)</x:f>
        <x:v>37.25</x:v>
      </x:c>
      <x:c r="N19" s="40" t="n">
        <x:f>F19*4+H19*4+J19*4+L19*4</x:f>
        <x:v>60</x:v>
      </x:c>
      <x:c r="O19" s="40" t="n">
        <x:f>'Controls'!$D$58-N19</x:f>
        <x:v>108</x:v>
      </x:c>
    </x:row>
    <x:row r="20">
      <x:c r="B20" s="28" t="str">
        <x:v>Q14</x:v>
      </x:c>
      <x:c r="C20" s="28" t="str">
        <x:v>40-42</x:v>
      </x:c>
      <x:c r="D20" s="28" t="str">
        <x:v>RAQ-1 + RAX-1</x:v>
      </x:c>
      <x:c r="E20" s="40" t="n">
        <x:v>0</x:v>
      </x:c>
      <x:c r="F20" s="40" t="n">
        <x:v>0</x:v>
      </x:c>
      <x:c r="G20" s="40" t="n">
        <x:v>0</x:v>
      </x:c>
      <x:c r="H20" s="40" t="n">
        <x:v>0</x:v>
      </x:c>
      <x:c r="I20" s="40" t="n">
        <x:v>8.25</x:v>
      </x:c>
      <x:c r="J20" s="40" t="n">
        <x:v>4</x:v>
      </x:c>
      <x:c r="K20" s="40" t="n">
        <x:f>Capital!$C$17/6</x:f>
        <x:v>14</x:v>
      </x:c>
      <x:c r="L20" s="40" t="n">
        <x:f>'Annual Support'!$C$16/4</x:f>
        <x:v>11</x:v>
      </x:c>
      <x:c r="M20" s="40" t="n">
        <x:f>SUM(E20:L20)</x:f>
        <x:v>37.25</x:v>
      </x:c>
      <x:c r="N20" s="40" t="n">
        <x:f>F20*4+H20*4+J20*4+L20*4</x:f>
        <x:v>60</x:v>
      </x:c>
      <x:c r="O20" s="40" t="n">
        <x:f>'Controls'!$D$58-N20</x:f>
        <x:v>108</x:v>
      </x:c>
    </x:row>
    <x:row r="21">
      <x:c r="B21" s="28" t="str">
        <x:v>Q15</x:v>
      </x:c>
      <x:c r="C21" s="28" t="str">
        <x:v>43-45</x:v>
      </x:c>
      <x:c r="D21" s="28" t="str">
        <x:v>RAQ-1 + RAX-1</x:v>
      </x:c>
      <x:c r="E21" s="40" t="n">
        <x:v>0</x:v>
      </x:c>
      <x:c r="F21" s="40" t="n">
        <x:v>0</x:v>
      </x:c>
      <x:c r="G21" s="40" t="n">
        <x:v>0</x:v>
      </x:c>
      <x:c r="H21" s="40" t="n">
        <x:v>0</x:v>
      </x:c>
      <x:c r="I21" s="40" t="n">
        <x:v>8.25</x:v>
      </x:c>
      <x:c r="J21" s="40" t="n">
        <x:v>4</x:v>
      </x:c>
      <x:c r="K21" s="40" t="n">
        <x:f>Capital!$C$17/6</x:f>
        <x:v>14</x:v>
      </x:c>
      <x:c r="L21" s="40" t="n">
        <x:f>'Annual Support'!$C$16/4</x:f>
        <x:v>11</x:v>
      </x:c>
      <x:c r="M21" s="40" t="n">
        <x:f>SUM(E21:L21)</x:f>
        <x:v>37.25</x:v>
      </x:c>
      <x:c r="N21" s="40" t="n">
        <x:f>F21*4+H21*4+J21*4+L21*4</x:f>
        <x:v>60</x:v>
      </x:c>
      <x:c r="O21" s="40" t="n">
        <x:f>'Controls'!$D$58-N21</x:f>
        <x:v>108</x:v>
      </x:c>
    </x:row>
    <x:row r="22">
      <x:c r="B22" s="28" t="str">
        <x:v>Q16</x:v>
      </x:c>
      <x:c r="C22" s="28" t="str">
        <x:v>46-48</x:v>
      </x:c>
      <x:c r="D22" s="28" t="str">
        <x:v>RAQ-1 + RAX-1</x:v>
      </x:c>
      <x:c r="E22" s="40" t="n">
        <x:v>0</x:v>
      </x:c>
      <x:c r="F22" s="40" t="n">
        <x:v>0</x:v>
      </x:c>
      <x:c r="G22" s="40" t="n">
        <x:v>0</x:v>
      </x:c>
      <x:c r="H22" s="40" t="n">
        <x:v>0</x:v>
      </x:c>
      <x:c r="I22" s="40" t="n">
        <x:v>8.25</x:v>
      </x:c>
      <x:c r="J22" s="40" t="n">
        <x:v>4</x:v>
      </x:c>
      <x:c r="K22" s="40" t="n">
        <x:f>Capital!$C$17/6</x:f>
        <x:v>14</x:v>
      </x:c>
      <x:c r="L22" s="40" t="n">
        <x:f>'Annual Support'!$C$16/4</x:f>
        <x:v>11</x:v>
      </x:c>
      <x:c r="M22" s="40" t="n">
        <x:f>SUM(E22:L22)</x:f>
        <x:v>37.25</x:v>
      </x:c>
      <x:c r="N22" s="40" t="n">
        <x:f>F22*4+H22*4+J22*4+L22*4</x:f>
        <x:v>60</x:v>
      </x:c>
      <x:c r="O22" s="40" t="n">
        <x:f>'Controls'!$D$58-N22</x:f>
        <x:v>108</x:v>
      </x:c>
    </x:row>
    <x:row r="23">
      <x:c r="B23" s="28" t="str">
        <x:v>Q17</x:v>
      </x:c>
      <x:c r="C23" s="28" t="str">
        <x:v>49-51</x:v>
      </x:c>
      <x:c r="D23" s="28" t="str">
        <x:v>RAX-1</x:v>
      </x:c>
      <x:c r="E23" s="40" t="n">
        <x:v>0</x:v>
      </x:c>
      <x:c r="F23" s="40" t="n">
        <x:v>0</x:v>
      </x:c>
      <x:c r="G23" s="40" t="n">
        <x:v>0</x:v>
      </x:c>
      <x:c r="H23" s="40" t="n">
        <x:v>0</x:v>
      </x:c>
      <x:c r="I23" s="40" t="n">
        <x:v>0</x:v>
      </x:c>
      <x:c r="J23" s="40" t="n">
        <x:v>0</x:v>
      </x:c>
      <x:c r="K23" s="40" t="n">
        <x:f>Capital!$C$17/6</x:f>
        <x:v>14</x:v>
      </x:c>
      <x:c r="L23" s="40" t="n">
        <x:f>'Annual Support'!$C$16/4</x:f>
        <x:v>11</x:v>
      </x:c>
      <x:c r="M23" s="40" t="n">
        <x:f>SUM(E23:L23)</x:f>
        <x:v>25</x:v>
      </x:c>
      <x:c r="N23" s="40" t="n">
        <x:f>F23*4+H23*4+J23*4+L23*4</x:f>
        <x:v>44</x:v>
      </x:c>
      <x:c r="O23" s="40" t="n">
        <x:f>'Controls'!$D$58-N23</x:f>
        <x:v>124</x:v>
      </x:c>
    </x:row>
    <x:row r="24">
      <x:c r="B24" s="28" t="str">
        <x:v>Q18</x:v>
      </x:c>
      <x:c r="C24" s="28" t="str">
        <x:v>52-54</x:v>
      </x:c>
      <x:c r="D24" s="28" t="str">
        <x:v>RAX-1</x:v>
      </x:c>
      <x:c r="E24" s="40" t="n">
        <x:v>0</x:v>
      </x:c>
      <x:c r="F24" s="40" t="n">
        <x:v>0</x:v>
      </x:c>
      <x:c r="G24" s="40" t="n">
        <x:v>0</x:v>
      </x:c>
      <x:c r="H24" s="40" t="n">
        <x:v>0</x:v>
      </x:c>
      <x:c r="I24" s="40" t="n">
        <x:v>0</x:v>
      </x:c>
      <x:c r="J24" s="40" t="n">
        <x:v>0</x:v>
      </x:c>
      <x:c r="K24" s="40" t="n">
        <x:f>Capital!$C$17/6</x:f>
        <x:v>14</x:v>
      </x:c>
      <x:c r="L24" s="40" t="n">
        <x:f>'Annual Support'!$C$16/4</x:f>
        <x:v>11</x:v>
      </x:c>
      <x:c r="M24" s="40" t="n">
        <x:f>SUM(E24:L24)</x:f>
        <x:v>25</x:v>
      </x:c>
      <x:c r="N24" s="40" t="n">
        <x:f>F24*4+H24*4+J24*4+L24*4</x:f>
        <x:v>44</x:v>
      </x:c>
      <x:c r="O24" s="40" t="n">
        <x:f>'Controls'!$D$58-N24</x:f>
        <x:v>124</x:v>
      </x:c>
    </x:row>
    <x:row r="25">
      <x:c r="B25" s="30" t="str">
        <x:v>Total</x:v>
      </x:c>
      <x:c r="C25" s="30" t="str"/>
      <x:c r="D25" s="30" t="str"/>
      <x:c r="E25" s="39" t="n">
        <x:f>SUM(E7:E24)</x:f>
        <x:v>63.99999999999999</x:v>
      </x:c>
      <x:c r="F25" s="39" t="n">
        <x:f>SUM(F7:F24)</x:f>
        <x:v>57</x:v>
      </x:c>
      <x:c r="G25" s="39" t="n">
        <x:f>SUM(G7:G24)</x:f>
        <x:v>118.00000000000001</x:v>
      </x:c>
      <x:c r="H25" s="39" t="n">
        <x:f>SUM(H7:H24)</x:f>
        <x:v>87</x:v>
      </x:c>
      <x:c r="I25" s="39" t="n">
        <x:f>SUM(I7:I24)</x:f>
        <x:v>66</x:v>
      </x:c>
      <x:c r="J25" s="39" t="n">
        <x:f>SUM(J7:J24)</x:f>
        <x:v>32</x:v>
      </x:c>
      <x:c r="K25" s="39" t="n">
        <x:f>SUM(K7:K24)</x:f>
        <x:v>84</x:v>
      </x:c>
      <x:c r="L25" s="39" t="n">
        <x:f>SUM(L7:L24)</x:f>
        <x:v>66</x:v>
      </x:c>
      <x:c r="M25" s="39" t="n">
        <x:f>SUM(M7:M24)</x:f>
        <x:v>574</x:v>
      </x:c>
      <x:c r="N25" s="39" t="n">
        <x:f>MAX(N7:N24)</x:f>
        <x:v>74</x:v>
      </x:c>
      <x:c r="O25" s="39" t="n">
        <x:f>MIN(O7:O24)</x:f>
        <x:v>94</x:v>
      </x:c>
    </x:row>
  </x:sheetData>
  <x:pageMargins left="0.7" right="0.7" top="0.75" bottom="0.75" header="0.3" footer="0.3"/>
</x:worksheet>
</file>

<file path=xl/worksheets/sheet47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62" hidden="0" customWidth="1"/>
    <x:col min="3" max="3" width="22" hidden="0" customWidth="1"/>
    <x:col min="4" max="4" width="18" hidden="0" customWidth="1"/>
    <x:col min="5" max="5" width="70" hidden="0" customWidth="1"/>
  </x:cols>
  <x:sheetData>
    <x:row r="2">
      <x:c r="B2" s="25" t="str">
        <x:v>RAE-1 financial and calendar reconciliation</x:v>
      </x:c>
      <x:c r="C2" s="26"/>
      <x:c r="D2" s="26"/>
      <x:c r="E2" s="26"/>
    </x:row>
    <x:row r="3">
      <x:c r="B3" s="27" t="str">
        <x:v>RAP-1 is already fully allocated. RAX-1 uses part of the parent RAE-1 remainder while the release-aware schedule closes at month 54.</x:v>
      </x:c>
      <x:c r="C3" s="26"/>
      <x:c r="D3" s="26"/>
      <x:c r="E3" s="26"/>
    </x:row>
    <x:row r="4">
      <x:c r="B4" s="26"/>
      <x:c r="C4" s="26"/>
      <x:c r="D4" s="26"/>
      <x:c r="E4" s="26"/>
    </x:row>
    <x:row r="5">
      <x:c r="B5" s="26"/>
      <x:c r="C5" s="26"/>
      <x:c r="D5" s="26"/>
      <x:c r="E5" s="26"/>
    </x:row>
    <x:row r="6" ht="24" customHeight="1">
      <x:c r="B6" s="6" t="str">
        <x:v>Line</x:v>
      </x:c>
      <x:c r="C6" s="6" t="str">
        <x:v>Value</x:v>
      </x:c>
      <x:c r="D6" s="6" t="str">
        <x:v>Unit</x:v>
      </x:c>
      <x:c r="E6" s="6" t="str">
        <x:v>Interpretation</x:v>
      </x:c>
    </x:row>
    <x:row r="7" ht="35" customHeight="1">
      <x:c r="B7" s="28" t="str">
        <x:v>RAE-1 capital boundary</x:v>
      </x:c>
      <x:c r="C7" s="40" t="n">
        <x:v>360</x:v>
      </x:c>
      <x:c r="D7" s="28" t="str">
        <x:v>USD M</x:v>
      </x:c>
      <x:c r="E7" s="29" t="str"/>
    </x:row>
    <x:row r="8" ht="35" customHeight="1">
      <x:c r="B8" s="28" t="str">
        <x:v>RAP-1 capital allocation</x:v>
      </x:c>
      <x:c r="C8" s="40" t="n">
        <x:v>248</x:v>
      </x:c>
      <x:c r="D8" s="28" t="str">
        <x:v>USD M</x:v>
      </x:c>
      <x:c r="E8" s="29" t="str">
        <x:v>fully allocated across RAC-1, RAB-1 and RAQ-1</x:v>
      </x:c>
    </x:row>
    <x:row r="9" ht="35" customHeight="1">
      <x:c r="B9" s="28" t="str">
        <x:v>RAX-1 capital allocation</x:v>
      </x:c>
      <x:c r="C9" s="40" t="n">
        <x:f>Capital!C17</x:f>
        <x:v>84</x:v>
      </x:c>
      <x:c r="D9" s="28" t="str">
        <x:v>USD M</x:v>
      </x:c>
      <x:c r="E9" s="29" t="str">
        <x:v>drawn from the RAE-1 remainder</x:v>
      </x:c>
    </x:row>
    <x:row r="10" ht="35" customHeight="1">
      <x:c r="B10" s="28" t="str">
        <x:v>remaining capital</x:v>
      </x:c>
      <x:c r="C10" s="40" t="n">
        <x:f>C7-SUM(C8:C9)</x:f>
        <x:v>28</x:v>
      </x:c>
      <x:c r="D10" s="28" t="str">
        <x:v>USD M</x:v>
      </x:c>
      <x:c r="E10" s="29" t="str">
        <x:v>reserved for later event-specific readiness</x:v>
      </x:c>
    </x:row>
    <x:row r="11" ht="35" customHeight="1">
      <x:c r="B11" s="28" t="str">
        <x:v>RAE-1 annual boundary</x:v>
      </x:c>
      <x:c r="C11" s="40" t="n">
        <x:v>168</x:v>
      </x:c>
      <x:c r="D11" s="28" t="str">
        <x:v>USD M/year</x:v>
      </x:c>
      <x:c r="E11" s="29" t="str"/>
    </x:row>
    <x:row r="12" ht="35" customHeight="1">
      <x:c r="B12" s="28" t="str">
        <x:v>RAP-1 annual allocation</x:v>
      </x:c>
      <x:c r="C12" s="40" t="n">
        <x:v>112</x:v>
      </x:c>
      <x:c r="D12" s="28" t="str">
        <x:v>USD M/year</x:v>
      </x:c>
      <x:c r="E12" s="29" t="str">
        <x:v>fully allocated across RAC-1, RAB-1 and RAQ-1</x:v>
      </x:c>
    </x:row>
    <x:row r="13" ht="35" customHeight="1">
      <x:c r="B13" s="28" t="str">
        <x:v>RAX-1 annual allocation</x:v>
      </x:c>
      <x:c r="C13" s="40" t="n">
        <x:f>'Annual Support'!C16</x:f>
        <x:v>44</x:v>
      </x:c>
      <x:c r="D13" s="28" t="str">
        <x:v>USD M/year</x:v>
      </x:c>
      <x:c r="E13" s="29" t="str">
        <x:v>drawn from the RAE-1 remainder</x:v>
      </x:c>
    </x:row>
    <x:row r="14" ht="35" customHeight="1">
      <x:c r="B14" s="28" t="str">
        <x:v>remaining annual support</x:v>
      </x:c>
      <x:c r="C14" s="40" t="n">
        <x:f>C11-SUM(C12:C13)</x:f>
        <x:v>12</x:v>
      </x:c>
      <x:c r="D14" s="28" t="str">
        <x:v>USD M/year</x:v>
      </x:c>
      <x:c r="E14" s="29" t="str">
        <x:v>unassigned</x:v>
      </x:c>
    </x:row>
    <x:row r="15" ht="35" customHeight="1">
      <x:c r="B15" s="28" t="str">
        <x:v>RAE-1 technology boundary</x:v>
      </x:c>
      <x:c r="C15" s="40" t="n">
        <x:v>470</x:v>
      </x:c>
      <x:c r="D15" s="28" t="str">
        <x:v>USD M</x:v>
      </x:c>
      <x:c r="E15" s="29" t="str">
        <x:v>cross-classified</x:v>
      </x:c>
    </x:row>
    <x:row r="16" ht="35" customHeight="1">
      <x:c r="B16" s="28" t="str">
        <x:v>RAP-1 technology allocation</x:v>
      </x:c>
      <x:c r="C16" s="40" t="n">
        <x:v>310</x:v>
      </x:c>
      <x:c r="D16" s="28" t="str">
        <x:v>USD M</x:v>
      </x:c>
      <x:c r="E16" s="29" t="str">
        <x:v>cross-classified</x:v>
      </x:c>
    </x:row>
    <x:row r="17" ht="35" customHeight="1">
      <x:c r="B17" s="28" t="str">
        <x:v>RAX-1 technology allocation</x:v>
      </x:c>
      <x:c r="C17" s="40" t="n">
        <x:f>'Technology Programs'!D16</x:f>
        <x:v>100</x:v>
      </x:c>
      <x:c r="D17" s="28" t="str">
        <x:v>USD M</x:v>
      </x:c>
      <x:c r="E17" s="29" t="str">
        <x:v>cross-classified</x:v>
      </x:c>
    </x:row>
    <x:row r="18" ht="35" customHeight="1">
      <x:c r="B18" s="28" t="str">
        <x:v>remaining technology</x:v>
      </x:c>
      <x:c r="C18" s="40" t="n">
        <x:f>C15-SUM(C16:C17)</x:f>
        <x:v>60</x:v>
      </x:c>
      <x:c r="D18" s="28" t="str">
        <x:v>USD M</x:v>
      </x:c>
      <x:c r="E18" s="29" t="str">
        <x:v>reserved for later event-specific work</x:v>
      </x:c>
    </x:row>
    <x:row r="19" ht="35" customHeight="1">
      <x:c r="B19" s="28" t="str">
        <x:v>RAC + RAB + RAQ + RAX stage exposure</x:v>
      </x:c>
      <x:c r="C19" s="40" t="n">
        <x:f>121+205+98+Capital!C17+'Annual Support'!C16*18/12</x:f>
        <x:v>574</x:v>
      </x:c>
      <x:c r="D19" s="28" t="str">
        <x:v>USD M</x:v>
      </x:c>
      <x:c r="E19" s="29" t="str">
        <x:v>sum of stage-specific exposure</x:v>
      </x:c>
    </x:row>
    <x:row r="20" ht="35" customHeight="1">
      <x:c r="B20" s="28" t="str">
        <x:v>RAE-1 original 24-month gross exposure</x:v>
      </x:c>
      <x:c r="C20" s="40" t="n">
        <x:v>696</x:v>
      </x:c>
      <x:c r="D20" s="28" t="str">
        <x:v>USD M</x:v>
      </x:c>
      <x:c r="E20" s="29" t="str">
        <x:v>reference envelope, not a calendar claim</x:v>
      </x:c>
    </x:row>
    <x:row r="21" ht="35" customHeight="1">
      <x:c r="B21" s="28" t="str">
        <x:v>unassigned amount inside original gross exposure</x:v>
      </x:c>
      <x:c r="C21" s="40" t="n">
        <x:f>C20-C19</x:f>
        <x:v>122</x:v>
      </x:c>
      <x:c r="D21" s="28" t="str">
        <x:v>USD M</x:v>
      </x:c>
      <x:c r="E21" s="29" t="str">
        <x:v>not elapsed-time evidence</x:v>
      </x:c>
    </x:row>
    <x:row r="22" ht="35" customHeight="1">
      <x:c r="B22" s="28" t="str">
        <x:v>sequential stage duration</x:v>
      </x:c>
      <x:c r="C22" s="40" t="n">
        <x:v>78</x:v>
      </x:c>
      <x:c r="D22" s="28" t="str">
        <x:v>months</x:v>
      </x:c>
      <x:c r="E22" s="29" t="str">
        <x:v>no overlap</x:v>
      </x:c>
    </x:row>
    <x:row r="23" ht="35" customHeight="1">
      <x:c r="B23" s="28" t="str">
        <x:v>safely overlapped duration</x:v>
      </x:c>
      <x:c r="C23" s="40" t="n">
        <x:f>MAX('Rebased Schedule'!E7:E14)</x:f>
        <x:v>54</x:v>
      </x:c>
      <x:c r="D23" s="28" t="str">
        <x:v>months</x:v>
      </x:c>
      <x:c r="E23" s="29" t="str">
        <x:v>release-aware program rebase</x:v>
      </x:c>
    </x:row>
    <x:row r="24" ht="35" customHeight="1">
      <x:c r="B24" s="28" t="str">
        <x:v>overlap saved</x:v>
      </x:c>
      <x:c r="C24" s="40" t="n">
        <x:f>C22-C23</x:f>
        <x:v>24</x:v>
      </x:c>
      <x:c r="D24" s="28" t="str">
        <x:v>months</x:v>
      </x:c>
      <x:c r="E24" s="29" t="str">
        <x:v>revocable preparation only</x:v>
      </x:c>
    </x:row>
    <x:row r="25" ht="35" customHeight="1">
      <x:c r="B25" s="28" t="str">
        <x:v>original RAP-1 duration</x:v>
      </x:c>
      <x:c r="C25" s="40" t="n">
        <x:v>24</x:v>
      </x:c>
      <x:c r="D25" s="28" t="str">
        <x:v>months</x:v>
      </x:c>
      <x:c r="E25" s="29" t="str">
        <x:v>superseded establishment assumption</x:v>
      </x:c>
    </x:row>
    <x:row r="26" ht="35" customHeight="1">
      <x:c r="B26" s="28" t="str">
        <x:v>rebased schedule excess</x:v>
      </x:c>
      <x:c r="C26" s="40" t="n">
        <x:f>C23-C25</x:f>
        <x:v>30</x:v>
      </x:c>
      <x:c r="D26" s="28" t="str">
        <x:v>months</x:v>
      </x:c>
      <x:c r="E26" s="29" t="str">
        <x:v>additional elapsed time relative to RAP-1</x:v>
      </x:c>
    </x:row>
    <x:row r="27" ht="35" customHeight="1">
      <x:c r="B27" s="28" t="str">
        <x:v>peak concurrent annual support</x:v>
      </x:c>
      <x:c r="C27" s="40" t="n">
        <x:f>'Quarterly Cash Flow'!N25</x:f>
        <x:v>74</x:v>
      </x:c>
      <x:c r="D27" s="28" t="str">
        <x:v>USD M/year</x:v>
      </x:c>
      <x:c r="E27" s="29" t="str">
        <x:v>highest active stage support</x:v>
      </x:c>
    </x:row>
    <x:row r="28" ht="35" customHeight="1">
      <x:c r="B28" s="28" t="str">
        <x:v>minimum RAE annual headroom</x:v>
      </x:c>
      <x:c r="C28" s="40" t="n">
        <x:f>'Quarterly Cash Flow'!O25</x:f>
        <x:v>94</x:v>
      </x:c>
      <x:c r="D28" s="28" t="str">
        <x:v>USD M/year</x:v>
      </x:c>
      <x:c r="E28" s="29" t="str">
        <x:v>remaining concurrent support capacity</x:v>
      </x:c>
    </x:row>
  </x:sheetData>
  <x:pageMargins left="0.7" right="0.7" top="0.75" bottom="0.75" header="0.3" footer="0.3"/>
</x:worksheet>
</file>

<file path=xl/worksheets/sheet48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45" hidden="0" customWidth="1"/>
    <x:col min="4" max="4" width="17" hidden="0" customWidth="1"/>
    <x:col min="5" max="5" width="88" hidden="0" customWidth="1"/>
    <x:col min="6" max="6" width="14" hidden="0" customWidth="1"/>
  </x:cols>
  <x:sheetData>
    <x:row r="2">
      <x:c r="B2" s="25" t="str">
        <x:v>USD 100M RAX-1 technology allocation</x:v>
      </x:c>
      <x:c r="C2" s="26"/>
      <x:c r="D2" s="26"/>
      <x:c r="E2" s="26"/>
      <x:c r="F2" s="26"/>
    </x:row>
    <x:row r="3">
      <x:c r="B3" s="27" t="str">
        <x:v>The allocation uses part of the RAE-1 technology remainder and leaves USD 60M for later event-specific work.</x:v>
      </x:c>
      <x:c r="C3" s="26"/>
      <x:c r="D3" s="26"/>
      <x:c r="E3" s="26"/>
      <x:c r="F3" s="26"/>
    </x:row>
    <x:row r="4">
      <x:c r="B4" s="26"/>
      <x:c r="C4" s="26"/>
      <x:c r="D4" s="26"/>
      <x:c r="E4" s="26"/>
      <x:c r="F4" s="26"/>
    </x:row>
    <x:row r="5">
      <x:c r="B5" s="26"/>
      <x:c r="C5" s="26"/>
      <x:c r="D5" s="26"/>
      <x:c r="E5" s="26"/>
      <x:c r="F5" s="26"/>
    </x:row>
    <x:row r="6" ht="24" customHeight="1">
      <x:c r="B6" s="6" t="str">
        <x:v>Program</x:v>
      </x:c>
      <x:c r="C6" s="6" t="str">
        <x:v>Technology</x:v>
      </x:c>
      <x:c r="D6" s="6" t="str">
        <x:v>USD M</x:v>
      </x:c>
      <x:c r="E6" s="6" t="str">
        <x:v>Research objective</x:v>
      </x:c>
      <x:c r="F6" s="6" t="str">
        <x:v>State</x:v>
      </x:c>
    </x:row>
    <x:row r="7" ht="40" customHeight="1">
      <x:c r="B7" s="28" t="str">
        <x:v>TG-01</x:v>
      </x:c>
      <x:c r="C7" s="28" t="str">
        <x:v>universal rig-article interface</x:v>
      </x:c>
      <x:c r="D7" s="33" t="n">
        <x:v>18</x:v>
      </x:c>
      <x:c r="E7" s="29" t="str">
        <x:v>one governed datum, load, fluid, energy, time and evidence grammar across all six rigs</x:v>
      </x:c>
      <x:c r="F7" s="28" t="str">
        <x:v>OPEN</x:v>
      </x:c>
    </x:row>
    <x:row r="8" ht="40" customHeight="1">
      <x:c r="B8" s="28" t="str">
        <x:v>TG-02</x:v>
      </x:c>
      <x:c r="C8" s="28" t="str">
        <x:v>evidence-aware transport cradles</x:v>
      </x:c>
      <x:c r="D8" s="33" t="n">
        <x:v>12</x:v>
      </x:c>
      <x:c r="E8" s="29" t="str">
        <x:v>seal configuration while recording shock, temperature, custody and article state</x:v>
      </x:c>
      <x:c r="F8" s="28" t="str">
        <x:v>OPEN</x:v>
      </x:c>
    </x:row>
    <x:row r="9" ht="40" customHeight="1">
      <x:c r="B9" s="28" t="str">
        <x:v>TG-03</x:v>
      </x:c>
      <x:c r="C9" s="28" t="str">
        <x:v>federated causal-time transfer</x:v>
      </x:c>
      <x:c r="D9" s="33" t="n">
        <x:v>10</x:v>
      </x:c>
      <x:c r="E9" s="29" t="str">
        <x:v>carry bounded causal order between disconnected plants, rigs and evidence vaults</x:v>
      </x:c>
      <x:c r="F9" s="28" t="str">
        <x:v>OPEN</x:v>
      </x:c>
    </x:row>
    <x:row r="10" ht="40" customHeight="1">
      <x:c r="B10" s="28" t="str">
        <x:v>TG-04</x:v>
      </x:c>
      <x:c r="C10" s="28" t="str">
        <x:v>autonomous connect and disconnect</x:v>
      </x:c>
      <x:c r="D10" s="33" t="n">
        <x:v>12</x:v>
      </x:c>
      <x:c r="E10" s="29" t="str">
        <x:v>verify fit, cleanliness, routing and final state before an interface can open</x:v>
      </x:c>
      <x:c r="F10" s="28" t="str">
        <x:v>OPEN</x:v>
      </x:c>
    </x:row>
    <x:row r="11" ht="40" customHeight="1">
      <x:c r="B11" s="28" t="str">
        <x:v>TG-05</x:v>
      </x:c>
      <x:c r="C11" s="28" t="str">
        <x:v>physical custody twin</x:v>
      </x:c>
      <x:c r="D11" s="33" t="n">
        <x:v>10</x:v>
      </x:c>
      <x:c r="E11" s="29" t="str">
        <x:v>join article, rig, standard, crew and media identity without replacing native evidence</x:v>
      </x:c>
      <x:c r="F11" s="28" t="str">
        <x:v>OPEN</x:v>
      </x:c>
    </x:row>
    <x:row r="12" ht="40" customHeight="1">
      <x:c r="B12" s="28" t="str">
        <x:v>TG-06</x:v>
      </x:c>
      <x:c r="C12" s="28" t="str">
        <x:v>degraded-service integration simulator</x:v>
      </x:c>
      <x:c r="D12" s="33" t="n">
        <x:v>14</x:v>
      </x:c>
      <x:c r="E12" s="29" t="str">
        <x:v>rehearse coupled energy, network, time, receiver, crew and rescue loss</x:v>
      </x:c>
      <x:c r="F12" s="28" t="str">
        <x:v>OPEN</x:v>
      </x:c>
    </x:row>
    <x:row r="13" ht="40" customHeight="1">
      <x:c r="B13" s="28" t="str">
        <x:v>TG-07</x:v>
      </x:c>
      <x:c r="C13" s="28" t="str">
        <x:v>self-expiring readiness credentials</x:v>
      </x:c>
      <x:c r="D13" s="33" t="n">
        <x:v>10</x:v>
      </x:c>
      <x:c r="E13" s="29" t="str">
        <x:v>withdraw authority automatically when calibration, crew, configuration or safety state ages out</x:v>
      </x:c>
      <x:c r="F13" s="28" t="str">
        <x:v>OPEN</x:v>
      </x:c>
    </x:row>
    <x:row r="14" ht="40" customHeight="1">
      <x:c r="B14" s="28" t="str">
        <x:v>TG-08</x:v>
      </x:c>
      <x:c r="C14" s="28" t="str">
        <x:v>cross-campus evidence replay</x:v>
      </x:c>
      <x:c r="D14" s="33" t="n">
        <x:v>8</x:v>
      </x:c>
      <x:c r="E14" s="29" t="str">
        <x:v>reconstruct native results outside the origin software and staff chain</x:v>
      </x:c>
      <x:c r="F14" s="28" t="str">
        <x:v>OPEN</x:v>
      </x:c>
    </x:row>
    <x:row r="15" ht="40" customHeight="1">
      <x:c r="B15" s="28" t="str">
        <x:v>TG-09</x:v>
      </x:c>
      <x:c r="C15" s="28" t="str">
        <x:v>adaptive quarantine and repair cell</x:v>
      </x:c>
      <x:c r="D15" s="33" t="n">
        <x:v>6</x:v>
      </x:c>
      <x:c r="E15" s="29" t="str">
        <x:v>isolate one article or interface while preserving the unaffected campaign population</x:v>
      </x:c>
      <x:c r="F15" s="28" t="str">
        <x:v>OPEN</x:v>
      </x:c>
    </x:row>
    <x:row r="16">
      <x:c r="B16" s="30" t="str"/>
      <x:c r="C16" s="30" t="str">
        <x:v>Total</x:v>
      </x:c>
      <x:c r="D16" s="39" t="n">
        <x:f>SUM(D7:D15)</x:f>
        <x:v>100</x:v>
      </x:c>
      <x:c r="E16" s="30" t="str"/>
      <x:c r="F16" s="30" t="str"/>
    </x:row>
  </x:sheetData>
  <x:conditionalFormatting sqref="F7:F15">
    <x:cfRule type="containsText" dxfId="198" priority="1" operator="containsText" text="FAIL"/>
    <x:cfRule type="containsText" dxfId="199" priority="2" operator="containsText" text="BLOCKED"/>
    <x:cfRule type="containsText" dxfId="200" priority="3" operator="containsText" text="EXPIRED"/>
    <x:cfRule type="containsText" dxfId="201" priority="4" operator="containsText" text="OPEN"/>
    <x:cfRule type="containsText" dxfId="202" priority="5" operator="containsText" text="DORMANT"/>
    <x:cfRule type="containsText" dxfId="203" priority="6" operator="containsText" text="PASS"/>
  </x:conditionalFormatting>
  <x:pageMargins left="0.7" right="0.7" top="0.75" bottom="0.75" header="0.3" footer="0.3"/>
</x:worksheet>
</file>

<file path=xl/worksheets/sheet49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5" hidden="0" customWidth="1"/>
    <x:col min="3" max="3" width="18" hidden="0" customWidth="1"/>
    <x:col min="4" max="4" width="55" hidden="0" customWidth="1"/>
    <x:col min="5" max="5" width="22" hidden="0" customWidth="1"/>
    <x:col min="6" max="6" width="22" hidden="0" customWidth="1"/>
    <x:col min="7" max="7" width="14" hidden="0" customWidth="1"/>
  </x:cols>
  <x:sheetData>
    <x:row r="2">
      <x:c r="B2" s="25" t="str">
        <x:v>One hundred forty terminal assertions</x:v>
      </x:c>
      <x:c r="C2" s="26"/>
      <x:c r="D2" s="26"/>
      <x:c r="E2" s="26"/>
      <x:c r="F2" s="26"/>
      <x:c r="G2" s="26"/>
    </x:row>
    <x:row r="3">
      <x:c r="B3" s="27" t="str">
        <x:v>PASS establishes model coherence only. Audit results do not feed readiness or release decisions.</x:v>
      </x:c>
      <x:c r="C3" s="26"/>
      <x:c r="D3" s="26"/>
      <x:c r="E3" s="26"/>
      <x:c r="F3" s="26"/>
      <x:c r="G3" s="26"/>
    </x:row>
    <x:row r="4">
      <x:c r="B4" s="26"/>
      <x:c r="C4" s="26"/>
      <x:c r="D4" s="26"/>
      <x:c r="E4" s="26"/>
      <x:c r="F4" s="26"/>
      <x:c r="G4" s="26"/>
    </x:row>
    <x:row r="5">
      <x:c r="B5" s="26"/>
      <x:c r="C5" s="26"/>
      <x:c r="D5" s="26"/>
      <x:c r="E5" s="26"/>
      <x:c r="F5" s="26"/>
      <x:c r="G5" s="26"/>
    </x:row>
    <x:row r="6" ht="24" customHeight="1">
      <x:c r="B6" s="6" t="str">
        <x:v>Assertion</x:v>
      </x:c>
      <x:c r="C6" s="6" t="str">
        <x:v>Class</x:v>
      </x:c>
      <x:c r="D6" s="6" t="str">
        <x:v>Subject</x:v>
      </x:c>
      <x:c r="E6" s="6" t="str">
        <x:v>Actual</x:v>
      </x:c>
      <x:c r="F6" s="6" t="str">
        <x:v>Expected</x:v>
      </x:c>
      <x:c r="G6" s="6" t="str">
        <x:v>State</x:v>
      </x:c>
    </x:row>
    <x:row r="7">
      <x:c r="B7" s="28" t="str">
        <x:v>A001</x:v>
      </x:c>
      <x:c r="C7" s="28" t="str">
        <x:v>headline</x:v>
      </x:c>
      <x:c r="D7" s="28" t="str">
        <x:v>sheet count</x:v>
      </x:c>
      <x:c r="E7" s="28" t="n">
        <x:f>51</x:f>
        <x:v>51</x:v>
      </x:c>
      <x:c r="F7" s="28" t="n">
        <x:v>51</x:v>
      </x:c>
      <x:c r="G7" s="28" t="str">
        <x:f>IF(E7=F7,"PASS","FAIL")</x:f>
        <x:v>PASS</x:v>
      </x:c>
    </x:row>
    <x:row r="8">
      <x:c r="B8" s="28" t="str">
        <x:v>A002</x:v>
      </x:c>
      <x:c r="C8" s="28" t="str">
        <x:v>headline</x:v>
      </x:c>
      <x:c r="D8" s="28" t="str">
        <x:v>bank articles</x:v>
      </x:c>
      <x:c r="E8" s="28" t="n">
        <x:f>ROWS('Bank Intake'!B7:B24)</x:f>
        <x:v>18</x:v>
      </x:c>
      <x:c r="F8" s="28" t="n">
        <x:v>18</x:v>
      </x:c>
      <x:c r="G8" s="28" t="str">
        <x:f>IF(E8=F8,"PASS","FAIL")</x:f>
        <x:v>PASS</x:v>
      </x:c>
    </x:row>
    <x:row r="9">
      <x:c r="B9" s="28" t="str">
        <x:v>A003</x:v>
      </x:c>
      <x:c r="C9" s="28" t="str">
        <x:v>headline</x:v>
      </x:c>
      <x:c r="D9" s="28" t="str">
        <x:v>operational articles</x:v>
      </x:c>
      <x:c r="E9" s="28" t="n">
        <x:f>COUNTIFS('Bank Intake'!E7:E24,"OPERATIONAL")</x:f>
        <x:v>6</x:v>
      </x:c>
      <x:c r="F9" s="28" t="n">
        <x:v>6</x:v>
      </x:c>
      <x:c r="G9" s="28" t="str">
        <x:f>IF(E9=F9,"PASS","FAIL")</x:f>
        <x:v>PASS</x:v>
      </x:c>
    </x:row>
    <x:row r="10">
      <x:c r="B10" s="28" t="str">
        <x:v>A004</x:v>
      </x:c>
      <x:c r="C10" s="28" t="str">
        <x:v>headline</x:v>
      </x:c>
      <x:c r="D10" s="28" t="str">
        <x:v>functional twins</x:v>
      </x:c>
      <x:c r="E10" s="28" t="n">
        <x:f>COUNTIFS('Bank Intake'!E7:E24,"FUNCTIONAL TWIN")</x:f>
        <x:v>6</x:v>
      </x:c>
      <x:c r="F10" s="28" t="n">
        <x:v>6</x:v>
      </x:c>
      <x:c r="G10" s="28" t="str">
        <x:f>IF(E10=F10,"PASS","FAIL")</x:f>
        <x:v>PASS</x:v>
      </x:c>
    </x:row>
    <x:row r="11">
      <x:c r="B11" s="28" t="str">
        <x:v>A005</x:v>
      </x:c>
      <x:c r="C11" s="28" t="str">
        <x:v>headline</x:v>
      </x:c>
      <x:c r="D11" s="28" t="str">
        <x:v>calibration articles</x:v>
      </x:c>
      <x:c r="E11" s="28" t="n">
        <x:f>COUNTIFS('Bank Intake'!E7:E24,"CALIBRATION")</x:f>
        <x:v>3</x:v>
      </x:c>
      <x:c r="F11" s="28" t="n">
        <x:v>3</x:v>
      </x:c>
      <x:c r="G11" s="28" t="str">
        <x:f>IF(E11=F11,"PASS","FAIL")</x:f>
        <x:v>PASS</x:v>
      </x:c>
    </x:row>
    <x:row r="12">
      <x:c r="B12" s="28" t="str">
        <x:v>A006</x:v>
      </x:c>
      <x:c r="C12" s="28" t="str">
        <x:v>headline</x:v>
      </x:c>
      <x:c r="D12" s="28" t="str">
        <x:v>destructive articles</x:v>
      </x:c>
      <x:c r="E12" s="28" t="n">
        <x:f>COUNTIFS('Bank Intake'!E7:E24,"DESTRUCTIVE")</x:f>
        <x:v>3</x:v>
      </x:c>
      <x:c r="F12" s="28" t="n">
        <x:v>3</x:v>
      </x:c>
      <x:c r="G12" s="28" t="str">
        <x:f>IF(E12=F12,"PASS","FAIL")</x:f>
        <x:v>PASS</x:v>
      </x:c>
    </x:row>
    <x:row r="13">
      <x:c r="B13" s="28" t="str">
        <x:v>A007</x:v>
      </x:c>
      <x:c r="C13" s="28" t="str">
        <x:v>headline</x:v>
      </x:c>
      <x:c r="D13" s="28" t="str">
        <x:v>rigs</x:v>
      </x:c>
      <x:c r="E13" s="28" t="n">
        <x:f>ROWS('Rig Register'!B7:B12)</x:f>
        <x:v>6</x:v>
      </x:c>
      <x:c r="F13" s="28" t="n">
        <x:v>6</x:v>
      </x:c>
      <x:c r="G13" s="28" t="str">
        <x:f>IF(E13=F13,"PASS","FAIL")</x:f>
        <x:v>PASS</x:v>
      </x:c>
    </x:row>
    <x:row r="14">
      <x:c r="B14" s="28" t="str">
        <x:v>A008</x:v>
      </x:c>
      <x:c r="C14" s="28" t="str">
        <x:v>headline</x:v>
      </x:c>
      <x:c r="D14" s="28" t="str">
        <x:v>campuses</x:v>
      </x:c>
      <x:c r="E14" s="28" t="n">
        <x:f>ROWS('Campus Readiness'!B7:B9)</x:f>
        <x:v>3</x:v>
      </x:c>
      <x:c r="F14" s="28" t="n">
        <x:v>3</x:v>
      </x:c>
      <x:c r="G14" s="28" t="str">
        <x:f>IF(E14=F14,"PASS","FAIL")</x:f>
        <x:v>PASS</x:v>
      </x:c>
    </x:row>
    <x:row r="15">
      <x:c r="B15" s="28" t="str">
        <x:v>A009</x:v>
      </x:c>
      <x:c r="C15" s="28" t="str">
        <x:v>headline</x:v>
      </x:c>
      <x:c r="D15" s="28" t="str">
        <x:v>rotation records</x:v>
      </x:c>
      <x:c r="E15" s="28" t="n">
        <x:f>ROWS('Rotation Plan'!B7:B42)</x:f>
        <x:v>36</x:v>
      </x:c>
      <x:c r="F15" s="28" t="n">
        <x:v>36</x:v>
      </x:c>
      <x:c r="G15" s="28" t="str">
        <x:f>IF(E15=F15,"PASS","FAIL")</x:f>
        <x:v>PASS</x:v>
      </x:c>
    </x:row>
    <x:row r="16">
      <x:c r="B16" s="28" t="str">
        <x:v>A010</x:v>
      </x:c>
      <x:c r="C16" s="28" t="str">
        <x:v>headline</x:v>
      </x:c>
      <x:c r="D16" s="28" t="str">
        <x:v>dockings</x:v>
      </x:c>
      <x:c r="E16" s="28" t="n">
        <x:f>ROWS(Docking!B7:B42)</x:f>
        <x:v>36</x:v>
      </x:c>
      <x:c r="F16" s="28" t="n">
        <x:v>36</x:v>
      </x:c>
      <x:c r="G16" s="28" t="str">
        <x:f>IF(E16=F16,"PASS","FAIL")</x:f>
        <x:v>PASS</x:v>
      </x:c>
    </x:row>
    <x:row r="17">
      <x:c r="B17" s="28" t="str">
        <x:v>A011</x:v>
      </x:c>
      <x:c r="C17" s="28" t="str">
        <x:v>headline</x:v>
      </x:c>
      <x:c r="D17" s="28" t="str">
        <x:v>interface records</x:v>
      </x:c>
      <x:c r="E17" s="28" t="n">
        <x:f>ROWS('Interface Tests'!B7:B438)</x:f>
        <x:v>432</x:v>
      </x:c>
      <x:c r="F17" s="28" t="n">
        <x:v>432</x:v>
      </x:c>
      <x:c r="G17" s="28" t="str">
        <x:f>IF(E17=F17,"PASS","FAIL")</x:f>
        <x:v>PASS</x:v>
      </x:c>
    </x:row>
    <x:row r="18">
      <x:c r="B18" s="28" t="str">
        <x:v>A012</x:v>
      </x:c>
      <x:c r="C18" s="28" t="str">
        <x:v>headline</x:v>
      </x:c>
      <x:c r="D18" s="28" t="str">
        <x:v>calibration sessions</x:v>
      </x:c>
      <x:c r="E18" s="28" t="n">
        <x:f>ROWS('Calibration Circuit'!B7:B24)</x:f>
        <x:v>18</x:v>
      </x:c>
      <x:c r="F18" s="28" t="n">
        <x:v>18</x:v>
      </x:c>
      <x:c r="G18" s="28" t="str">
        <x:f>IF(E18=F18,"PASS","FAIL")</x:f>
        <x:v>PASS</x:v>
      </x:c>
    </x:row>
    <x:row r="19">
      <x:c r="B19" s="28" t="str">
        <x:v>A013</x:v>
      </x:c>
      <x:c r="C19" s="28" t="str">
        <x:v>headline</x:v>
      </x:c>
      <x:c r="D19" s="28" t="str">
        <x:v>calibration records</x:v>
      </x:c>
      <x:c r="E19" s="28" t="n">
        <x:f>ROWS('Calibration Records'!B7:B438)</x:f>
        <x:v>432</x:v>
      </x:c>
      <x:c r="F19" s="28" t="n">
        <x:v>432</x:v>
      </x:c>
      <x:c r="G19" s="28" t="str">
        <x:f>IF(E19=F19,"PASS","FAIL")</x:f>
        <x:v>PASS</x:v>
      </x:c>
    </x:row>
    <x:row r="20">
      <x:c r="B20" s="28" t="str">
        <x:v>A014</x:v>
      </x:c>
      <x:c r="C20" s="28" t="str">
        <x:v>headline</x:v>
      </x:c>
      <x:c r="D20" s="28" t="str">
        <x:v>article domains</x:v>
      </x:c>
      <x:c r="E20" s="28" t="n">
        <x:f>ROWS('Article Domains'!B7:B114)</x:f>
        <x:v>108</x:v>
      </x:c>
      <x:c r="F20" s="28" t="n">
        <x:v>108</x:v>
      </x:c>
      <x:c r="G20" s="28" t="str">
        <x:f>IF(E20=F20,"PASS","FAIL")</x:f>
        <x:v>PASS</x:v>
      </x:c>
    </x:row>
    <x:row r="21">
      <x:c r="B21" s="28" t="str">
        <x:v>A015</x:v>
      </x:c>
      <x:c r="C21" s="28" t="str">
        <x:v>headline</x:v>
      </x:c>
      <x:c r="D21" s="28" t="str">
        <x:v>rig domains</x:v>
      </x:c>
      <x:c r="E21" s="28" t="n">
        <x:f>ROWS('Rig Domains'!B7:B150)</x:f>
        <x:v>144</x:v>
      </x:c>
      <x:c r="F21" s="28" t="n">
        <x:v>144</x:v>
      </x:c>
      <x:c r="G21" s="28" t="str">
        <x:f>IF(E21=F21,"PASS","FAIL")</x:f>
        <x:v>PASS</x:v>
      </x:c>
    </x:row>
    <x:row r="22">
      <x:c r="B22" s="28" t="str">
        <x:v>A016</x:v>
      </x:c>
      <x:c r="C22" s="28" t="str">
        <x:v>headline</x:v>
      </x:c>
      <x:c r="D22" s="28" t="str">
        <x:v>pair domains</x:v>
      </x:c>
      <x:c r="E22" s="28" t="n">
        <x:f>ROWS('Pair Domains'!B7:B114)</x:f>
        <x:v>108</x:v>
      </x:c>
      <x:c r="F22" s="28" t="n">
        <x:v>108</x:v>
      </x:c>
      <x:c r="G22" s="28" t="str">
        <x:f>IF(E22=F22,"PASS","FAIL")</x:f>
        <x:v>PASS</x:v>
      </x:c>
    </x:row>
    <x:row r="23">
      <x:c r="B23" s="28" t="str">
        <x:v>A017</x:v>
      </x:c>
      <x:c r="C23" s="28" t="str">
        <x:v>headline</x:v>
      </x:c>
      <x:c r="D23" s="28" t="str">
        <x:v>campus domains</x:v>
      </x:c>
      <x:c r="E23" s="28" t="n">
        <x:f>ROWS('Campus Domains'!B7:B54)</x:f>
        <x:v>48</x:v>
      </x:c>
      <x:c r="F23" s="28" t="n">
        <x:v>48</x:v>
      </x:c>
      <x:c r="G23" s="28" t="str">
        <x:f>IF(E23=F23,"PASS","FAIL")</x:f>
        <x:v>PASS</x:v>
      </x:c>
    </x:row>
    <x:row r="24">
      <x:c r="B24" s="28" t="str">
        <x:v>A018</x:v>
      </x:c>
      <x:c r="C24" s="28" t="str">
        <x:v>headline</x:v>
      </x:c>
      <x:c r="D24" s="28" t="str">
        <x:v>media lots</x:v>
      </x:c>
      <x:c r="E24" s="28" t="n">
        <x:f>ROWS('Media Lots'!B7:B18)</x:f>
        <x:v>12</x:v>
      </x:c>
      <x:c r="F24" s="28" t="n">
        <x:v>12</x:v>
      </x:c>
      <x:c r="G24" s="28" t="str">
        <x:f>IF(E24=F24,"PASS","FAIL")</x:f>
        <x:v>PASS</x:v>
      </x:c>
    </x:row>
    <x:row r="25">
      <x:c r="B25" s="28" t="str">
        <x:v>A019</x:v>
      </x:c>
      <x:c r="C25" s="28" t="str">
        <x:v>headline</x:v>
      </x:c>
      <x:c r="D25" s="28" t="str">
        <x:v>standards</x:v>
      </x:c>
      <x:c r="E25" s="28" t="n">
        <x:f>ROWS(Standards!B7:B30)</x:f>
        <x:v>24</x:v>
      </x:c>
      <x:c r="F25" s="28" t="n">
        <x:v>24</x:v>
      </x:c>
      <x:c r="G25" s="28" t="str">
        <x:f>IF(E25=F25,"PASS","FAIL")</x:f>
        <x:v>PASS</x:v>
      </x:c>
    </x:row>
    <x:row r="26">
      <x:c r="B26" s="28" t="str">
        <x:v>A020</x:v>
      </x:c>
      <x:c r="C26" s="28" t="str">
        <x:v>headline</x:v>
      </x:c>
      <x:c r="D26" s="28" t="str">
        <x:v>duty assignments</x:v>
      </x:c>
      <x:c r="E26" s="28" t="n">
        <x:f>ROWS('Duty Assignments'!B7:B246)</x:f>
        <x:v>240</x:v>
      </x:c>
      <x:c r="F26" s="28" t="n">
        <x:v>240</x:v>
      </x:c>
      <x:c r="G26" s="28" t="str">
        <x:f>IF(E26=F26,"PASS","FAIL")</x:f>
        <x:v>PASS</x:v>
      </x:c>
    </x:row>
    <x:row r="27">
      <x:c r="B27" s="28" t="str">
        <x:v>A021</x:v>
      </x:c>
      <x:c r="C27" s="28" t="str">
        <x:v>headline</x:v>
      </x:c>
      <x:c r="D27" s="28" t="str">
        <x:v>crew qualifications</x:v>
      </x:c>
      <x:c r="E27" s="28" t="n">
        <x:f>ROWS('Crew Qualifications'!B7:B966)</x:f>
        <x:v>960</x:v>
      </x:c>
      <x:c r="F27" s="28" t="n">
        <x:v>960</x:v>
      </x:c>
      <x:c r="G27" s="28" t="str">
        <x:f>IF(E27=F27,"PASS","FAIL")</x:f>
        <x:v>PASS</x:v>
      </x:c>
    </x:row>
    <x:row r="28">
      <x:c r="B28" s="28" t="str">
        <x:v>A022</x:v>
      </x:c>
      <x:c r="C28" s="28" t="str">
        <x:v>headline</x:v>
      </x:c>
      <x:c r="D28" s="28" t="str">
        <x:v>drills</x:v>
      </x:c>
      <x:c r="E28" s="28" t="n">
        <x:f>ROWS(Drills!B7:B78)</x:f>
        <x:v>72</x:v>
      </x:c>
      <x:c r="F28" s="28" t="n">
        <x:v>72</x:v>
      </x:c>
      <x:c r="G28" s="28" t="str">
        <x:f>IF(E28=F28,"PASS","FAIL")</x:f>
        <x:v>PASS</x:v>
      </x:c>
    </x:row>
    <x:row r="29">
      <x:c r="B29" s="28" t="str">
        <x:v>A023</x:v>
      </x:c>
      <x:c r="C29" s="28" t="str">
        <x:v>headline</x:v>
      </x:c>
      <x:c r="D29" s="28" t="str">
        <x:v>rescue exercises</x:v>
      </x:c>
      <x:c r="E29" s="28" t="n">
        <x:f>ROWS('Rescue Exercises'!B7:B54)</x:f>
        <x:v>48</x:v>
      </x:c>
      <x:c r="F29" s="28" t="n">
        <x:v>48</x:v>
      </x:c>
      <x:c r="G29" s="28" t="str">
        <x:f>IF(E29=F29,"PASS","FAIL")</x:f>
        <x:v>PASS</x:v>
      </x:c>
    </x:row>
    <x:row r="30">
      <x:c r="B30" s="28" t="str">
        <x:v>A024</x:v>
      </x:c>
      <x:c r="C30" s="28" t="str">
        <x:v>headline</x:v>
      </x:c>
      <x:c r="D30" s="28" t="str">
        <x:v>evidence handshakes</x:v>
      </x:c>
      <x:c r="E30" s="28" t="n">
        <x:f>ROWS('Evidence Handshakes'!B7:B78)</x:f>
        <x:v>72</x:v>
      </x:c>
      <x:c r="F30" s="28" t="n">
        <x:v>72</x:v>
      </x:c>
      <x:c r="G30" s="28" t="str">
        <x:f>IF(E30=F30,"PASS","FAIL")</x:f>
        <x:v>PASS</x:v>
      </x:c>
    </x:row>
    <x:row r="31">
      <x:c r="B31" s="28" t="str">
        <x:v>A025</x:v>
      </x:c>
      <x:c r="C31" s="28" t="str">
        <x:v>headline</x:v>
      </x:c>
      <x:c r="D31" s="28" t="str">
        <x:v>remote replays</x:v>
      </x:c>
      <x:c r="E31" s="28" t="n">
        <x:f>ROWS('Replay Records'!B7:B126)</x:f>
        <x:v>120</x:v>
      </x:c>
      <x:c r="F31" s="28" t="n">
        <x:v>120</x:v>
      </x:c>
      <x:c r="G31" s="28" t="str">
        <x:f>IF(E31=F31,"PASS","FAIL")</x:f>
        <x:v>PASS</x:v>
      </x:c>
    </x:row>
    <x:row r="32">
      <x:c r="B32" s="28" t="str">
        <x:v>A026</x:v>
      </x:c>
      <x:c r="C32" s="28" t="str">
        <x:v>headline</x:v>
      </x:c>
      <x:c r="D32" s="28" t="str">
        <x:v>expiry records</x:v>
      </x:c>
      <x:c r="E32" s="28" t="n">
        <x:f>ROWS('Expiry Ledger'!B7:B78)</x:f>
        <x:v>72</x:v>
      </x:c>
      <x:c r="F32" s="28" t="n">
        <x:v>72</x:v>
      </x:c>
      <x:c r="G32" s="28" t="str">
        <x:f>IF(E32=F32,"PASS","FAIL")</x:f>
        <x:v>PASS</x:v>
      </x:c>
    </x:row>
    <x:row r="33">
      <x:c r="B33" s="28" t="str">
        <x:v>A027</x:v>
      </x:c>
      <x:c r="C33" s="28" t="str">
        <x:v>headline</x:v>
      </x:c>
      <x:c r="D33" s="28" t="str">
        <x:v>campaign gates</x:v>
      </x:c>
      <x:c r="E33" s="28" t="n">
        <x:f>ROWS('Campaign Gates'!B7:B30)</x:f>
        <x:v>24</x:v>
      </x:c>
      <x:c r="F33" s="28" t="n">
        <x:v>24</x:v>
      </x:c>
      <x:c r="G33" s="28" t="str">
        <x:f>IF(E33=F33,"PASS","FAIL")</x:f>
        <x:v>PASS</x:v>
      </x:c>
    </x:row>
    <x:row r="34">
      <x:c r="B34" s="28" t="str">
        <x:v>A028</x:v>
      </x:c>
      <x:c r="C34" s="28" t="str">
        <x:v>headline</x:v>
      </x:c>
      <x:c r="D34" s="28" t="str">
        <x:v>assigned positions</x:v>
      </x:c>
      <x:c r="E34" s="28" t="n">
        <x:f>'Crew Structure'!C16</x:f>
        <x:v>240</x:v>
      </x:c>
      <x:c r="F34" s="28" t="n">
        <x:v>240</x:v>
      </x:c>
      <x:c r="G34" s="28" t="str">
        <x:f>IF(E34=F34,"PASS","FAIL")</x:f>
        <x:v>PASS</x:v>
      </x:c>
    </x:row>
    <x:row r="35">
      <x:c r="B35" s="28" t="str">
        <x:v>A029</x:v>
      </x:c>
      <x:c r="C35" s="28" t="str">
        <x:v>finance</x:v>
      </x:c>
      <x:c r="D35" s="28" t="str">
        <x:v>RAX capital</x:v>
      </x:c>
      <x:c r="E35" s="28" t="n">
        <x:f>Capital!C17</x:f>
        <x:v>84</x:v>
      </x:c>
      <x:c r="F35" s="28" t="n">
        <x:v>84</x:v>
      </x:c>
      <x:c r="G35" s="28" t="str">
        <x:f>IF(E35=F35,"PASS","FAIL")</x:f>
        <x:v>PASS</x:v>
      </x:c>
    </x:row>
    <x:row r="36">
      <x:c r="B36" s="28" t="str">
        <x:v>A030</x:v>
      </x:c>
      <x:c r="C36" s="28" t="str">
        <x:v>finance</x:v>
      </x:c>
      <x:c r="D36" s="28" t="str">
        <x:v>RAX annual support</x:v>
      </x:c>
      <x:c r="E36" s="28" t="n">
        <x:f>'Annual Support'!C16</x:f>
        <x:v>44</x:v>
      </x:c>
      <x:c r="F36" s="28" t="n">
        <x:v>44</x:v>
      </x:c>
      <x:c r="G36" s="28" t="str">
        <x:f>IF(E36=F36,"PASS","FAIL")</x:f>
        <x:v>PASS</x:v>
      </x:c>
    </x:row>
    <x:row r="37">
      <x:c r="B37" s="28" t="str">
        <x:v>A031</x:v>
      </x:c>
      <x:c r="C37" s="28" t="str">
        <x:v>finance</x:v>
      </x:c>
      <x:c r="D37" s="28" t="str">
        <x:v>technology allocation</x:v>
      </x:c>
      <x:c r="E37" s="28" t="n">
        <x:f>'Technology Programs'!D16</x:f>
        <x:v>100</x:v>
      </x:c>
      <x:c r="F37" s="28" t="n">
        <x:v>100</x:v>
      </x:c>
      <x:c r="G37" s="28" t="str">
        <x:f>IF(E37=F37,"PASS","FAIL")</x:f>
        <x:v>PASS</x:v>
      </x:c>
    </x:row>
    <x:row r="38">
      <x:c r="B38" s="28" t="str">
        <x:v>A032</x:v>
      </x:c>
      <x:c r="C38" s="28" t="str">
        <x:v>finance</x:v>
      </x:c>
      <x:c r="D38" s="28" t="str">
        <x:v>capital remainder</x:v>
      </x:c>
      <x:c r="E38" s="28" t="n">
        <x:f>'Portfolio Boundary'!C10</x:f>
        <x:v>28</x:v>
      </x:c>
      <x:c r="F38" s="28" t="n">
        <x:v>28</x:v>
      </x:c>
      <x:c r="G38" s="28" t="str">
        <x:f>IF(E38=F38,"PASS","FAIL")</x:f>
        <x:v>PASS</x:v>
      </x:c>
    </x:row>
    <x:row r="39">
      <x:c r="B39" s="28" t="str">
        <x:v>A033</x:v>
      </x:c>
      <x:c r="C39" s="28" t="str">
        <x:v>finance</x:v>
      </x:c>
      <x:c r="D39" s="28" t="str">
        <x:v>annual remainder</x:v>
      </x:c>
      <x:c r="E39" s="28" t="n">
        <x:f>'Portfolio Boundary'!C14</x:f>
        <x:v>12</x:v>
      </x:c>
      <x:c r="F39" s="28" t="n">
        <x:v>12</x:v>
      </x:c>
      <x:c r="G39" s="28" t="str">
        <x:f>IF(E39=F39,"PASS","FAIL")</x:f>
        <x:v>PASS</x:v>
      </x:c>
    </x:row>
    <x:row r="40">
      <x:c r="B40" s="28" t="str">
        <x:v>A034</x:v>
      </x:c>
      <x:c r="C40" s="28" t="str">
        <x:v>finance</x:v>
      </x:c>
      <x:c r="D40" s="28" t="str">
        <x:v>technology remainder</x:v>
      </x:c>
      <x:c r="E40" s="28" t="n">
        <x:f>'Portfolio Boundary'!C18</x:f>
        <x:v>60</x:v>
      </x:c>
      <x:c r="F40" s="28" t="n">
        <x:v>60</x:v>
      </x:c>
      <x:c r="G40" s="28" t="str">
        <x:f>IF(E40=F40,"PASS","FAIL")</x:f>
        <x:v>PASS</x:v>
      </x:c>
    </x:row>
    <x:row r="41">
      <x:c r="B41" s="28" t="str">
        <x:v>A035</x:v>
      </x:c>
      <x:c r="C41" s="28" t="str">
        <x:v>finance</x:v>
      </x:c>
      <x:c r="D41" s="28" t="str">
        <x:v>stage exposure</x:v>
      </x:c>
      <x:c r="E41" s="28" t="n">
        <x:f>'Portfolio Boundary'!C19</x:f>
        <x:v>574</x:v>
      </x:c>
      <x:c r="F41" s="28" t="n">
        <x:v>574</x:v>
      </x:c>
      <x:c r="G41" s="28" t="str">
        <x:f>IF(E41=F41,"PASS","FAIL")</x:f>
        <x:v>PASS</x:v>
      </x:c>
    </x:row>
    <x:row r="42">
      <x:c r="B42" s="28" t="str">
        <x:v>A036</x:v>
      </x:c>
      <x:c r="C42" s="28" t="str">
        <x:v>finance</x:v>
      </x:c>
      <x:c r="D42" s="28" t="str">
        <x:v>original RAE exposure</x:v>
      </x:c>
      <x:c r="E42" s="28" t="n">
        <x:f>'Portfolio Boundary'!C20</x:f>
        <x:v>696</x:v>
      </x:c>
      <x:c r="F42" s="28" t="n">
        <x:v>696</x:v>
      </x:c>
      <x:c r="G42" s="28" t="str">
        <x:f>IF(E42=F42,"PASS","FAIL")</x:f>
        <x:v>PASS</x:v>
      </x:c>
    </x:row>
    <x:row r="43">
      <x:c r="B43" s="28" t="str">
        <x:v>A037</x:v>
      </x:c>
      <x:c r="C43" s="28" t="str">
        <x:v>finance</x:v>
      </x:c>
      <x:c r="D43" s="28" t="str">
        <x:v>unassigned reference exposure</x:v>
      </x:c>
      <x:c r="E43" s="28" t="n">
        <x:f>'Portfolio Boundary'!C21</x:f>
        <x:v>122</x:v>
      </x:c>
      <x:c r="F43" s="28" t="n">
        <x:v>122</x:v>
      </x:c>
      <x:c r="G43" s="28" t="str">
        <x:f>IF(E43=F43,"PASS","FAIL")</x:f>
        <x:v>PASS</x:v>
      </x:c>
    </x:row>
    <x:row r="44">
      <x:c r="B44" s="28" t="str">
        <x:v>A038</x:v>
      </x:c>
      <x:c r="C44" s="28" t="str">
        <x:v>schedule</x:v>
      </x:c>
      <x:c r="D44" s="28" t="str">
        <x:v>sequential duration</x:v>
      </x:c>
      <x:c r="E44" s="28" t="n">
        <x:f>'Portfolio Boundary'!C22</x:f>
        <x:v>78</x:v>
      </x:c>
      <x:c r="F44" s="28" t="n">
        <x:v>78</x:v>
      </x:c>
      <x:c r="G44" s="28" t="str">
        <x:f>IF(E44=F44,"PASS","FAIL")</x:f>
        <x:v>PASS</x:v>
      </x:c>
    </x:row>
    <x:row r="45">
      <x:c r="B45" s="28" t="str">
        <x:v>A039</x:v>
      </x:c>
      <x:c r="C45" s="28" t="str">
        <x:v>schedule</x:v>
      </x:c>
      <x:c r="D45" s="28" t="str">
        <x:v>rebased duration</x:v>
      </x:c>
      <x:c r="E45" s="28" t="n">
        <x:f>'Portfolio Boundary'!C23</x:f>
        <x:v>54</x:v>
      </x:c>
      <x:c r="F45" s="28" t="n">
        <x:v>54</x:v>
      </x:c>
      <x:c r="G45" s="28" t="str">
        <x:f>IF(E45=F45,"PASS","FAIL")</x:f>
        <x:v>PASS</x:v>
      </x:c>
    </x:row>
    <x:row r="46">
      <x:c r="B46" s="28" t="str">
        <x:v>A040</x:v>
      </x:c>
      <x:c r="C46" s="28" t="str">
        <x:v>schedule</x:v>
      </x:c>
      <x:c r="D46" s="28" t="str">
        <x:v>overlap saved</x:v>
      </x:c>
      <x:c r="E46" s="28" t="n">
        <x:f>'Portfolio Boundary'!C24</x:f>
        <x:v>24</x:v>
      </x:c>
      <x:c r="F46" s="28" t="n">
        <x:v>24</x:v>
      </x:c>
      <x:c r="G46" s="28" t="str">
        <x:f>IF(E46=F46,"PASS","FAIL")</x:f>
        <x:v>PASS</x:v>
      </x:c>
    </x:row>
    <x:row r="47">
      <x:c r="B47" s="28" t="str">
        <x:v>A041</x:v>
      </x:c>
      <x:c r="C47" s="28" t="str">
        <x:v>schedule</x:v>
      </x:c>
      <x:c r="D47" s="28" t="str">
        <x:v>schedule excess</x:v>
      </x:c>
      <x:c r="E47" s="28" t="n">
        <x:f>'Portfolio Boundary'!C26</x:f>
        <x:v>30</x:v>
      </x:c>
      <x:c r="F47" s="28" t="n">
        <x:v>30</x:v>
      </x:c>
      <x:c r="G47" s="28" t="str">
        <x:f>IF(E47=F47,"PASS","FAIL")</x:f>
        <x:v>PASS</x:v>
      </x:c>
    </x:row>
    <x:row r="48">
      <x:c r="B48" s="28" t="str">
        <x:v>A042</x:v>
      </x:c>
      <x:c r="C48" s="28" t="str">
        <x:v>finance</x:v>
      </x:c>
      <x:c r="D48" s="28" t="str">
        <x:v>peak concurrent annual support</x:v>
      </x:c>
      <x:c r="E48" s="28" t="n">
        <x:f>'Portfolio Boundary'!C27</x:f>
        <x:v>74</x:v>
      </x:c>
      <x:c r="F48" s="28" t="n">
        <x:v>74</x:v>
      </x:c>
      <x:c r="G48" s="28" t="str">
        <x:f>IF(E48=F48,"PASS","FAIL")</x:f>
        <x:v>PASS</x:v>
      </x:c>
    </x:row>
    <x:row r="49">
      <x:c r="B49" s="28" t="str">
        <x:v>A043</x:v>
      </x:c>
      <x:c r="C49" s="28" t="str">
        <x:v>finance</x:v>
      </x:c>
      <x:c r="D49" s="28" t="str">
        <x:v>minimum annual headroom</x:v>
      </x:c>
      <x:c r="E49" s="28" t="n">
        <x:f>'Portfolio Boundary'!C28</x:f>
        <x:v>94</x:v>
      </x:c>
      <x:c r="F49" s="28" t="n">
        <x:v>94</x:v>
      </x:c>
      <x:c r="G49" s="28" t="str">
        <x:f>IF(E49=F49,"PASS","FAIL")</x:f>
        <x:v>PASS</x:v>
      </x:c>
    </x:row>
    <x:row r="50">
      <x:c r="B50" s="28" t="str">
        <x:v>A044</x:v>
      </x:c>
      <x:c r="C50" s="28" t="str">
        <x:v>finance</x:v>
      </x:c>
      <x:c r="D50" s="28" t="str">
        <x:v>quarterly total exposure</x:v>
      </x:c>
      <x:c r="E50" s="28" t="n">
        <x:f>'Quarterly Cash Flow'!M25</x:f>
        <x:v>574</x:v>
      </x:c>
      <x:c r="F50" s="28" t="n">
        <x:v>574</x:v>
      </x:c>
      <x:c r="G50" s="28" t="str">
        <x:f>IF(E50=F50,"PASS","FAIL")</x:f>
        <x:v>PASS</x:v>
      </x:c>
    </x:row>
    <x:row r="51">
      <x:c r="B51" s="28" t="str">
        <x:v>A045</x:v>
      </x:c>
      <x:c r="C51" s="28" t="str">
        <x:v>finance</x:v>
      </x:c>
      <x:c r="D51" s="28" t="str">
        <x:v>RAC capital cash</x:v>
      </x:c>
      <x:c r="E51" s="28" t="n">
        <x:f>'Quarterly Cash Flow'!E25</x:f>
        <x:v>63.99999999999999</x:v>
      </x:c>
      <x:c r="F51" s="28" t="n">
        <x:v>64</x:v>
      </x:c>
      <x:c r="G51" s="28" t="str">
        <x:f>IF(E51=F51,"PASS","FAIL")</x:f>
        <x:v>PASS</x:v>
      </x:c>
    </x:row>
    <x:row r="52">
      <x:c r="B52" s="28" t="str">
        <x:v>A046</x:v>
      </x:c>
      <x:c r="C52" s="28" t="str">
        <x:v>finance</x:v>
      </x:c>
      <x:c r="D52" s="28" t="str">
        <x:v>RAC support cash</x:v>
      </x:c>
      <x:c r="E52" s="28" t="n">
        <x:f>'Quarterly Cash Flow'!F25</x:f>
        <x:v>57</x:v>
      </x:c>
      <x:c r="F52" s="28" t="n">
        <x:v>57</x:v>
      </x:c>
      <x:c r="G52" s="28" t="str">
        <x:f>IF(E52=F52,"PASS","FAIL")</x:f>
        <x:v>PASS</x:v>
      </x:c>
    </x:row>
    <x:row r="53">
      <x:c r="B53" s="28" t="str">
        <x:v>A047</x:v>
      </x:c>
      <x:c r="C53" s="28" t="str">
        <x:v>finance</x:v>
      </x:c>
      <x:c r="D53" s="28" t="str">
        <x:v>RAB capital cash</x:v>
      </x:c>
      <x:c r="E53" s="28" t="n">
        <x:f>'Quarterly Cash Flow'!G25</x:f>
        <x:v>118.00000000000001</x:v>
      </x:c>
      <x:c r="F53" s="28" t="n">
        <x:v>118</x:v>
      </x:c>
      <x:c r="G53" s="28" t="str">
        <x:f>IF(E53=F53,"PASS","FAIL")</x:f>
        <x:v>PASS</x:v>
      </x:c>
    </x:row>
    <x:row r="54">
      <x:c r="B54" s="28" t="str">
        <x:v>A048</x:v>
      </x:c>
      <x:c r="C54" s="28" t="str">
        <x:v>finance</x:v>
      </x:c>
      <x:c r="D54" s="28" t="str">
        <x:v>RAB support cash</x:v>
      </x:c>
      <x:c r="E54" s="28" t="n">
        <x:f>'Quarterly Cash Flow'!H25</x:f>
        <x:v>87</x:v>
      </x:c>
      <x:c r="F54" s="28" t="n">
        <x:v>87</x:v>
      </x:c>
      <x:c r="G54" s="28" t="str">
        <x:f>IF(E54=F54,"PASS","FAIL")</x:f>
        <x:v>PASS</x:v>
      </x:c>
    </x:row>
    <x:row r="55">
      <x:c r="B55" s="28" t="str">
        <x:v>A049</x:v>
      </x:c>
      <x:c r="C55" s="28" t="str">
        <x:v>finance</x:v>
      </x:c>
      <x:c r="D55" s="28" t="str">
        <x:v>RAQ capital cash</x:v>
      </x:c>
      <x:c r="E55" s="28" t="n">
        <x:f>'Quarterly Cash Flow'!I25</x:f>
        <x:v>66</x:v>
      </x:c>
      <x:c r="F55" s="28" t="n">
        <x:v>66</x:v>
      </x:c>
      <x:c r="G55" s="28" t="str">
        <x:f>IF(E55=F55,"PASS","FAIL")</x:f>
        <x:v>PASS</x:v>
      </x:c>
    </x:row>
    <x:row r="56">
      <x:c r="B56" s="28" t="str">
        <x:v>A050</x:v>
      </x:c>
      <x:c r="C56" s="28" t="str">
        <x:v>finance</x:v>
      </x:c>
      <x:c r="D56" s="28" t="str">
        <x:v>RAQ support cash</x:v>
      </x:c>
      <x:c r="E56" s="28" t="n">
        <x:f>'Quarterly Cash Flow'!J25</x:f>
        <x:v>32</x:v>
      </x:c>
      <x:c r="F56" s="28" t="n">
        <x:v>32</x:v>
      </x:c>
      <x:c r="G56" s="28" t="str">
        <x:f>IF(E56=F56,"PASS","FAIL")</x:f>
        <x:v>PASS</x:v>
      </x:c>
    </x:row>
    <x:row r="57">
      <x:c r="B57" s="28" t="str">
        <x:v>A051</x:v>
      </x:c>
      <x:c r="C57" s="28" t="str">
        <x:v>finance</x:v>
      </x:c>
      <x:c r="D57" s="28" t="str">
        <x:v>RAX capital cash</x:v>
      </x:c>
      <x:c r="E57" s="28" t="n">
        <x:f>'Quarterly Cash Flow'!K25</x:f>
        <x:v>84</x:v>
      </x:c>
      <x:c r="F57" s="28" t="n">
        <x:v>84</x:v>
      </x:c>
      <x:c r="G57" s="28" t="str">
        <x:f>IF(E57=F57,"PASS","FAIL")</x:f>
        <x:v>PASS</x:v>
      </x:c>
    </x:row>
    <x:row r="58">
      <x:c r="B58" s="28" t="str">
        <x:v>A052</x:v>
      </x:c>
      <x:c r="C58" s="28" t="str">
        <x:v>finance</x:v>
      </x:c>
      <x:c r="D58" s="28" t="str">
        <x:v>RAX support cash</x:v>
      </x:c>
      <x:c r="E58" s="28" t="n">
        <x:f>'Quarterly Cash Flow'!L25</x:f>
        <x:v>66</x:v>
      </x:c>
      <x:c r="F58" s="28" t="n">
        <x:v>66</x:v>
      </x:c>
      <x:c r="G58" s="28" t="str">
        <x:f>IF(E58=F58,"PASS","FAIL")</x:f>
        <x:v>PASS</x:v>
      </x:c>
    </x:row>
    <x:row r="59">
      <x:c r="B59" s="28" t="str">
        <x:v>A053</x:v>
      </x:c>
      <x:c r="C59" s="28" t="str">
        <x:v>baseline</x:v>
      </x:c>
      <x:c r="D59" s="28" t="str">
        <x:v>bank intake open</x:v>
      </x:c>
      <x:c r="E59" s="28" t="n">
        <x:f>COUNTIFS('Bank Intake'!L7:L24,"OPEN")</x:f>
        <x:v>18</x:v>
      </x:c>
      <x:c r="F59" s="28" t="n">
        <x:v>18</x:v>
      </x:c>
      <x:c r="G59" s="28" t="str">
        <x:f>IF(E59=F59,"PASS","FAIL")</x:f>
        <x:v>PASS</x:v>
      </x:c>
    </x:row>
    <x:row r="60">
      <x:c r="B60" s="28" t="str">
        <x:v>A054</x:v>
      </x:c>
      <x:c r="C60" s="28" t="str">
        <x:v>baseline</x:v>
      </x:c>
      <x:c r="D60" s="28" t="str">
        <x:v>transport open</x:v>
      </x:c>
      <x:c r="E60" s="28" t="n">
        <x:f>COUNTIFS('Transport Custody'!O7:O24,"OPEN")</x:f>
        <x:v>18</x:v>
      </x:c>
      <x:c r="F60" s="28" t="n">
        <x:v>18</x:v>
      </x:c>
      <x:c r="G60" s="28" t="str">
        <x:f>IF(E60=F60,"PASS","FAIL")</x:f>
        <x:v>PASS</x:v>
      </x:c>
    </x:row>
    <x:row r="61">
      <x:c r="B61" s="28" t="str">
        <x:v>A055</x:v>
      </x:c>
      <x:c r="C61" s="28" t="str">
        <x:v>baseline</x:v>
      </x:c>
      <x:c r="D61" s="28" t="str">
        <x:v>rotations open</x:v>
      </x:c>
      <x:c r="E61" s="28" t="n">
        <x:f>COUNTIFS('Rotation Plan'!O7:O42,"OPEN")</x:f>
        <x:v>36</x:v>
      </x:c>
      <x:c r="F61" s="28" t="n">
        <x:v>36</x:v>
      </x:c>
      <x:c r="G61" s="28" t="str">
        <x:f>IF(E61=F61,"PASS","FAIL")</x:f>
        <x:v>PASS</x:v>
      </x:c>
    </x:row>
    <x:row r="62">
      <x:c r="B62" s="28" t="str">
        <x:v>A056</x:v>
      </x:c>
      <x:c r="C62" s="28" t="str">
        <x:v>baseline</x:v>
      </x:c>
      <x:c r="D62" s="28" t="str">
        <x:v>dockings open</x:v>
      </x:c>
      <x:c r="E62" s="28" t="n">
        <x:f>COUNTIFS(Docking!M7:M42,"OPEN")</x:f>
        <x:v>36</x:v>
      </x:c>
      <x:c r="F62" s="28" t="n">
        <x:v>36</x:v>
      </x:c>
      <x:c r="G62" s="28" t="str">
        <x:f>IF(E62=F62,"PASS","FAIL")</x:f>
        <x:v>PASS</x:v>
      </x:c>
    </x:row>
    <x:row r="63">
      <x:c r="B63" s="28" t="str">
        <x:v>A057</x:v>
      </x:c>
      <x:c r="C63" s="28" t="str">
        <x:v>baseline</x:v>
      </x:c>
      <x:c r="D63" s="28" t="str">
        <x:v>interfaces open</x:v>
      </x:c>
      <x:c r="E63" s="28" t="n">
        <x:f>COUNTIFS('Interface Tests'!L7:L438,"OPEN")</x:f>
        <x:v>432</x:v>
      </x:c>
      <x:c r="F63" s="28" t="n">
        <x:v>432</x:v>
      </x:c>
      <x:c r="G63" s="28" t="str">
        <x:f>IF(E63=F63,"PASS","FAIL")</x:f>
        <x:v>PASS</x:v>
      </x:c>
    </x:row>
    <x:row r="64">
      <x:c r="B64" s="28" t="str">
        <x:v>A058</x:v>
      </x:c>
      <x:c r="C64" s="28" t="str">
        <x:v>baseline</x:v>
      </x:c>
      <x:c r="D64" s="28" t="str">
        <x:v>calibration records open</x:v>
      </x:c>
      <x:c r="E64" s="28" t="n">
        <x:f>COUNTIFS('Calibration Records'!N7:N438,"OPEN")</x:f>
        <x:v>432</x:v>
      </x:c>
      <x:c r="F64" s="28" t="n">
        <x:v>432</x:v>
      </x:c>
      <x:c r="G64" s="28" t="str">
        <x:f>IF(E64=F64,"PASS","FAIL")</x:f>
        <x:v>PASS</x:v>
      </x:c>
    </x:row>
    <x:row r="65">
      <x:c r="B65" s="28" t="str">
        <x:v>A059</x:v>
      </x:c>
      <x:c r="C65" s="28" t="str">
        <x:v>baseline</x:v>
      </x:c>
      <x:c r="D65" s="28" t="str">
        <x:v>duty assignments open</x:v>
      </x:c>
      <x:c r="E65" s="28" t="n">
        <x:f>COUNTIFS('Duty Assignments'!J7:J246,"OPEN")</x:f>
        <x:v>240</x:v>
      </x:c>
      <x:c r="F65" s="28" t="n">
        <x:v>240</x:v>
      </x:c>
      <x:c r="G65" s="28" t="str">
        <x:f>IF(E65=F65,"PASS","FAIL")</x:f>
        <x:v>PASS</x:v>
      </x:c>
    </x:row>
    <x:row r="66">
      <x:c r="B66" s="28" t="str">
        <x:v>A060</x:v>
      </x:c>
      <x:c r="C66" s="28" t="str">
        <x:v>baseline</x:v>
      </x:c>
      <x:c r="D66" s="28" t="str">
        <x:v>crew qualifications open</x:v>
      </x:c>
      <x:c r="E66" s="28" t="n">
        <x:f>COUNTIFS('Crew Qualifications'!J7:J966,"OPEN")</x:f>
        <x:v>960</x:v>
      </x:c>
      <x:c r="F66" s="28" t="n">
        <x:v>960</x:v>
      </x:c>
      <x:c r="G66" s="28" t="str">
        <x:f>IF(E66=F66,"PASS","FAIL")</x:f>
        <x:v>PASS</x:v>
      </x:c>
    </x:row>
    <x:row r="67">
      <x:c r="B67" s="28" t="str">
        <x:v>A061</x:v>
      </x:c>
      <x:c r="C67" s="28" t="str">
        <x:v>baseline</x:v>
      </x:c>
      <x:c r="D67" s="28" t="str">
        <x:v>drills open</x:v>
      </x:c>
      <x:c r="E67" s="28" t="n">
        <x:f>COUNTIFS(Drills!K7:K78,"OPEN")</x:f>
        <x:v>72</x:v>
      </x:c>
      <x:c r="F67" s="28" t="n">
        <x:v>72</x:v>
      </x:c>
      <x:c r="G67" s="28" t="str">
        <x:f>IF(E67=F67,"PASS","FAIL")</x:f>
        <x:v>PASS</x:v>
      </x:c>
    </x:row>
    <x:row r="68">
      <x:c r="B68" s="28" t="str">
        <x:v>A062</x:v>
      </x:c>
      <x:c r="C68" s="28" t="str">
        <x:v>baseline</x:v>
      </x:c>
      <x:c r="D68" s="28" t="str">
        <x:v>rescue open</x:v>
      </x:c>
      <x:c r="E68" s="28" t="n">
        <x:f>COUNTIFS('Rescue Exercises'!L7:L54,"OPEN")</x:f>
        <x:v>48</x:v>
      </x:c>
      <x:c r="F68" s="28" t="n">
        <x:v>48</x:v>
      </x:c>
      <x:c r="G68" s="28" t="str">
        <x:f>IF(E68=F68,"PASS","FAIL")</x:f>
        <x:v>PASS</x:v>
      </x:c>
    </x:row>
    <x:row r="69">
      <x:c r="B69" s="28" t="str">
        <x:v>A063</x:v>
      </x:c>
      <x:c r="C69" s="28" t="str">
        <x:v>baseline</x:v>
      </x:c>
      <x:c r="D69" s="28" t="str">
        <x:v>handshakes open</x:v>
      </x:c>
      <x:c r="E69" s="28" t="n">
        <x:f>COUNTIFS('Evidence Handshakes'!J7:J78,"OPEN")</x:f>
        <x:v>72</x:v>
      </x:c>
      <x:c r="F69" s="28" t="n">
        <x:v>72</x:v>
      </x:c>
      <x:c r="G69" s="28" t="str">
        <x:f>IF(E69=F69,"PASS","FAIL")</x:f>
        <x:v>PASS</x:v>
      </x:c>
    </x:row>
    <x:row r="70">
      <x:c r="B70" s="28" t="str">
        <x:v>A064</x:v>
      </x:c>
      <x:c r="C70" s="28" t="str">
        <x:v>baseline</x:v>
      </x:c>
      <x:c r="D70" s="28" t="str">
        <x:v>replays open</x:v>
      </x:c>
      <x:c r="E70" s="28" t="n">
        <x:f>COUNTIFS('Replay Records'!L7:L126,"OPEN")</x:f>
        <x:v>120</x:v>
      </x:c>
      <x:c r="F70" s="28" t="n">
        <x:v>120</x:v>
      </x:c>
      <x:c r="G70" s="28" t="str">
        <x:f>IF(E70=F70,"PASS","FAIL")</x:f>
        <x:v>PASS</x:v>
      </x:c>
    </x:row>
    <x:row r="71">
      <x:c r="B71" s="28" t="str">
        <x:v>A065</x:v>
      </x:c>
      <x:c r="C71" s="28" t="str">
        <x:v>baseline</x:v>
      </x:c>
      <x:c r="D71" s="28" t="str">
        <x:v>exceptions dormant</x:v>
      </x:c>
      <x:c r="E71" s="28" t="n">
        <x:f>COUNTIFS(Exceptions!K7:K78,"DORMANT")</x:f>
        <x:v>72</x:v>
      </x:c>
      <x:c r="F71" s="28" t="n">
        <x:v>72</x:v>
      </x:c>
      <x:c r="G71" s="28" t="str">
        <x:f>IF(E71=F71,"PASS","FAIL")</x:f>
        <x:v>PASS</x:v>
      </x:c>
    </x:row>
    <x:row r="72">
      <x:c r="B72" s="28" t="str">
        <x:v>A066</x:v>
      </x:c>
      <x:c r="C72" s="28" t="str">
        <x:v>baseline</x:v>
      </x:c>
      <x:c r="D72" s="28" t="str">
        <x:v>changes dormant</x:v>
      </x:c>
      <x:c r="E72" s="28" t="n">
        <x:f>COUNTIFS('Change Control'!J7:J20,"DORMANT")</x:f>
        <x:v>14</x:v>
      </x:c>
      <x:c r="F72" s="28" t="n">
        <x:v>14</x:v>
      </x:c>
      <x:c r="G72" s="28" t="str">
        <x:f>IF(E72=F72,"PASS","FAIL")</x:f>
        <x:v>PASS</x:v>
      </x:c>
    </x:row>
    <x:row r="73">
      <x:c r="B73" s="28" t="str">
        <x:v>A067</x:v>
      </x:c>
      <x:c r="C73" s="28" t="str">
        <x:v>baseline</x:v>
      </x:c>
      <x:c r="D73" s="28" t="str">
        <x:v>article readiness open</x:v>
      </x:c>
      <x:c r="E73" s="28" t="n">
        <x:f>COUNTIFS('Article Readiness'!L7:L12,"OPEN")</x:f>
        <x:v>6</x:v>
      </x:c>
      <x:c r="F73" s="28" t="n">
        <x:v>6</x:v>
      </x:c>
      <x:c r="G73" s="28" t="str">
        <x:f>IF(E73=F73,"PASS","FAIL")</x:f>
        <x:v>PASS</x:v>
      </x:c>
    </x:row>
    <x:row r="74">
      <x:c r="B74" s="28" t="str">
        <x:v>A068</x:v>
      </x:c>
      <x:c r="C74" s="28" t="str">
        <x:v>baseline</x:v>
      </x:c>
      <x:c r="D74" s="28" t="str">
        <x:v>rig readiness open</x:v>
      </x:c>
      <x:c r="E74" s="28" t="n">
        <x:f>COUNTIFS('Rig Readiness'!S7:S12,"OPEN")</x:f>
        <x:v>6</x:v>
      </x:c>
      <x:c r="F74" s="28" t="n">
        <x:v>6</x:v>
      </x:c>
      <x:c r="G74" s="28" t="str">
        <x:f>IF(E74=F74,"PASS","FAIL")</x:f>
        <x:v>PASS</x:v>
      </x:c>
    </x:row>
    <x:row r="75">
      <x:c r="B75" s="28" t="str">
        <x:v>A069</x:v>
      </x:c>
      <x:c r="C75" s="28" t="str">
        <x:v>baseline</x:v>
      </x:c>
      <x:c r="D75" s="28" t="str">
        <x:v>pair readiness open</x:v>
      </x:c>
      <x:c r="E75" s="28" t="n">
        <x:f>COUNTIFS('Pair Readiness'!N7:N12,"OPEN")</x:f>
        <x:v>6</x:v>
      </x:c>
      <x:c r="F75" s="28" t="n">
        <x:v>6</x:v>
      </x:c>
      <x:c r="G75" s="28" t="str">
        <x:f>IF(E75=F75,"PASS","FAIL")</x:f>
        <x:v>PASS</x:v>
      </x:c>
    </x:row>
    <x:row r="76">
      <x:c r="B76" s="28" t="str">
        <x:v>A070</x:v>
      </x:c>
      <x:c r="C76" s="28" t="str">
        <x:v>baseline</x:v>
      </x:c>
      <x:c r="D76" s="28" t="str">
        <x:v>campus readiness open</x:v>
      </x:c>
      <x:c r="E76" s="28" t="n">
        <x:f>COUNTIFS('Campus Readiness'!L7:L9,"OPEN")</x:f>
        <x:v>3</x:v>
      </x:c>
      <x:c r="F76" s="28" t="n">
        <x:v>3</x:v>
      </x:c>
      <x:c r="G76" s="28" t="str">
        <x:f>IF(E76=F76,"PASS","FAIL")</x:f>
        <x:v>PASS</x:v>
      </x:c>
    </x:row>
    <x:row r="77">
      <x:c r="B77" s="28" t="str">
        <x:v>A071</x:v>
      </x:c>
      <x:c r="C77" s="28" t="str">
        <x:v>baseline</x:v>
      </x:c>
      <x:c r="D77" s="28" t="str">
        <x:v>campaign release open</x:v>
      </x:c>
      <x:c r="E77" s="28" t="n">
        <x:f>COUNTIFS('Campaign Release'!G7,"OPEN")</x:f>
        <x:v>1</x:v>
      </x:c>
      <x:c r="F77" s="28" t="n">
        <x:v>1</x:v>
      </x:c>
      <x:c r="G77" s="28" t="str">
        <x:f>IF(E77=F77,"PASS","FAIL")</x:f>
        <x:v>PASS</x:v>
      </x:c>
    </x:row>
    <x:row r="78">
      <x:c r="B78" s="28" t="str">
        <x:v>A072</x:v>
      </x:c>
      <x:c r="C78" s="28" t="str">
        <x:v>rotation</x:v>
      </x:c>
      <x:c r="D78" s="28" t="str">
        <x:v>PEA-A-X1 rotation count</x:v>
      </x:c>
      <x:c r="E78" s="28" t="n">
        <x:f>COUNTIFS('Rotation Plan'!D7:D42,"PEA-A-X1")</x:f>
        <x:v>6</x:v>
      </x:c>
      <x:c r="F78" s="28" t="n">
        <x:v>6</x:v>
      </x:c>
      <x:c r="G78" s="28" t="str">
        <x:f>IF(E78=F78,"PASS","FAIL")</x:f>
        <x:v>PASS</x:v>
      </x:c>
    </x:row>
    <x:row r="79">
      <x:c r="B79" s="28" t="str">
        <x:v>A073</x:v>
      </x:c>
      <x:c r="C79" s="28" t="str">
        <x:v>rotation</x:v>
      </x:c>
      <x:c r="D79" s="28" t="str">
        <x:v>PEA-A-X1 home at round six</x:v>
      </x:c>
      <x:c r="E79" s="28" t="n">
        <x:f>COUNTIFS('Rotation Plan'!D7:D42,"PEA-A-X1",'Rotation Plan'!C7:C42,6,'Rotation Plan'!J7:J42,1)</x:f>
        <x:v>1</x:v>
      </x:c>
      <x:c r="F79" s="28" t="n">
        <x:v>1</x:v>
      </x:c>
      <x:c r="G79" s="28" t="str">
        <x:f>IF(E79=F79,"PASS","FAIL")</x:f>
        <x:v>PASS</x:v>
      </x:c>
    </x:row>
    <x:row r="80">
      <x:c r="B80" s="28" t="str">
        <x:v>A074</x:v>
      </x:c>
      <x:c r="C80" s="28" t="str">
        <x:v>rotation</x:v>
      </x:c>
      <x:c r="D80" s="28" t="str">
        <x:v>PEA-A-Y1 rotation count</x:v>
      </x:c>
      <x:c r="E80" s="28" t="n">
        <x:f>COUNTIFS('Rotation Plan'!D7:D42,"PEA-A-Y1")</x:f>
        <x:v>6</x:v>
      </x:c>
      <x:c r="F80" s="28" t="n">
        <x:v>6</x:v>
      </x:c>
      <x:c r="G80" s="28" t="str">
        <x:f>IF(E80=F80,"PASS","FAIL")</x:f>
        <x:v>PASS</x:v>
      </x:c>
    </x:row>
    <x:row r="81">
      <x:c r="B81" s="28" t="str">
        <x:v>A075</x:v>
      </x:c>
      <x:c r="C81" s="28" t="str">
        <x:v>rotation</x:v>
      </x:c>
      <x:c r="D81" s="28" t="str">
        <x:v>PEA-A-Y1 home at round six</x:v>
      </x:c>
      <x:c r="E81" s="28" t="n">
        <x:f>COUNTIFS('Rotation Plan'!D7:D42,"PEA-A-Y1",'Rotation Plan'!C7:C42,6,'Rotation Plan'!J7:J42,1)</x:f>
        <x:v>1</x:v>
      </x:c>
      <x:c r="F81" s="28" t="n">
        <x:v>1</x:v>
      </x:c>
      <x:c r="G81" s="28" t="str">
        <x:f>IF(E81=F81,"PASS","FAIL")</x:f>
        <x:v>PASS</x:v>
      </x:c>
    </x:row>
    <x:row r="82">
      <x:c r="B82" s="28" t="str">
        <x:v>A076</x:v>
      </x:c>
      <x:c r="C82" s="28" t="str">
        <x:v>rotation</x:v>
      </x:c>
      <x:c r="D82" s="28" t="str">
        <x:v>PEA-B-X1 rotation count</x:v>
      </x:c>
      <x:c r="E82" s="28" t="n">
        <x:f>COUNTIFS('Rotation Plan'!D7:D42,"PEA-B-X1")</x:f>
        <x:v>6</x:v>
      </x:c>
      <x:c r="F82" s="28" t="n">
        <x:v>6</x:v>
      </x:c>
      <x:c r="G82" s="28" t="str">
        <x:f>IF(E82=F82,"PASS","FAIL")</x:f>
        <x:v>PASS</x:v>
      </x:c>
    </x:row>
    <x:row r="83">
      <x:c r="B83" s="28" t="str">
        <x:v>A077</x:v>
      </x:c>
      <x:c r="C83" s="28" t="str">
        <x:v>rotation</x:v>
      </x:c>
      <x:c r="D83" s="28" t="str">
        <x:v>PEA-B-X1 home at round six</x:v>
      </x:c>
      <x:c r="E83" s="28" t="n">
        <x:f>COUNTIFS('Rotation Plan'!D7:D42,"PEA-B-X1",'Rotation Plan'!C7:C42,6,'Rotation Plan'!J7:J42,1)</x:f>
        <x:v>1</x:v>
      </x:c>
      <x:c r="F83" s="28" t="n">
        <x:v>1</x:v>
      </x:c>
      <x:c r="G83" s="28" t="str">
        <x:f>IF(E83=F83,"PASS","FAIL")</x:f>
        <x:v>PASS</x:v>
      </x:c>
    </x:row>
    <x:row r="84">
      <x:c r="B84" s="28" t="str">
        <x:v>A078</x:v>
      </x:c>
      <x:c r="C84" s="28" t="str">
        <x:v>rotation</x:v>
      </x:c>
      <x:c r="D84" s="28" t="str">
        <x:v>PEA-B-Y1 rotation count</x:v>
      </x:c>
      <x:c r="E84" s="28" t="n">
        <x:f>COUNTIFS('Rotation Plan'!D7:D42,"PEA-B-Y1")</x:f>
        <x:v>6</x:v>
      </x:c>
      <x:c r="F84" s="28" t="n">
        <x:v>6</x:v>
      </x:c>
      <x:c r="G84" s="28" t="str">
        <x:f>IF(E84=F84,"PASS","FAIL")</x:f>
        <x:v>PASS</x:v>
      </x:c>
    </x:row>
    <x:row r="85">
      <x:c r="B85" s="28" t="str">
        <x:v>A079</x:v>
      </x:c>
      <x:c r="C85" s="28" t="str">
        <x:v>rotation</x:v>
      </x:c>
      <x:c r="D85" s="28" t="str">
        <x:v>PEA-B-Y1 home at round six</x:v>
      </x:c>
      <x:c r="E85" s="28" t="n">
        <x:f>COUNTIFS('Rotation Plan'!D7:D42,"PEA-B-Y1",'Rotation Plan'!C7:C42,6,'Rotation Plan'!J7:J42,1)</x:f>
        <x:v>1</x:v>
      </x:c>
      <x:c r="F85" s="28" t="n">
        <x:v>1</x:v>
      </x:c>
      <x:c r="G85" s="28" t="str">
        <x:f>IF(E85=F85,"PASS","FAIL")</x:f>
        <x:v>PASS</x:v>
      </x:c>
    </x:row>
    <x:row r="86">
      <x:c r="B86" s="28" t="str">
        <x:v>A080</x:v>
      </x:c>
      <x:c r="C86" s="28" t="str">
        <x:v>rotation</x:v>
      </x:c>
      <x:c r="D86" s="28" t="str">
        <x:v>PEA-C-X1 rotation count</x:v>
      </x:c>
      <x:c r="E86" s="28" t="n">
        <x:f>COUNTIFS('Rotation Plan'!D7:D42,"PEA-C-X1")</x:f>
        <x:v>6</x:v>
      </x:c>
      <x:c r="F86" s="28" t="n">
        <x:v>6</x:v>
      </x:c>
      <x:c r="G86" s="28" t="str">
        <x:f>IF(E86=F86,"PASS","FAIL")</x:f>
        <x:v>PASS</x:v>
      </x:c>
    </x:row>
    <x:row r="87">
      <x:c r="B87" s="28" t="str">
        <x:v>A081</x:v>
      </x:c>
      <x:c r="C87" s="28" t="str">
        <x:v>rotation</x:v>
      </x:c>
      <x:c r="D87" s="28" t="str">
        <x:v>PEA-C-X1 home at round six</x:v>
      </x:c>
      <x:c r="E87" s="28" t="n">
        <x:f>COUNTIFS('Rotation Plan'!D7:D42,"PEA-C-X1",'Rotation Plan'!C7:C42,6,'Rotation Plan'!J7:J42,1)</x:f>
        <x:v>1</x:v>
      </x:c>
      <x:c r="F87" s="28" t="n">
        <x:v>1</x:v>
      </x:c>
      <x:c r="G87" s="28" t="str">
        <x:f>IF(E87=F87,"PASS","FAIL")</x:f>
        <x:v>PASS</x:v>
      </x:c>
    </x:row>
    <x:row r="88">
      <x:c r="B88" s="28" t="str">
        <x:v>A082</x:v>
      </x:c>
      <x:c r="C88" s="28" t="str">
        <x:v>rotation</x:v>
      </x:c>
      <x:c r="D88" s="28" t="str">
        <x:v>PEA-C-Y1 rotation count</x:v>
      </x:c>
      <x:c r="E88" s="28" t="n">
        <x:f>COUNTIFS('Rotation Plan'!D7:D42,"PEA-C-Y1")</x:f>
        <x:v>6</x:v>
      </x:c>
      <x:c r="F88" s="28" t="n">
        <x:v>6</x:v>
      </x:c>
      <x:c r="G88" s="28" t="str">
        <x:f>IF(E88=F88,"PASS","FAIL")</x:f>
        <x:v>PASS</x:v>
      </x:c>
    </x:row>
    <x:row r="89">
      <x:c r="B89" s="28" t="str">
        <x:v>A083</x:v>
      </x:c>
      <x:c r="C89" s="28" t="str">
        <x:v>rotation</x:v>
      </x:c>
      <x:c r="D89" s="28" t="str">
        <x:v>PEA-C-Y1 home at round six</x:v>
      </x:c>
      <x:c r="E89" s="28" t="n">
        <x:f>COUNTIFS('Rotation Plan'!D7:D42,"PEA-C-Y1",'Rotation Plan'!C7:C42,6,'Rotation Plan'!J7:J42,1)</x:f>
        <x:v>1</x:v>
      </x:c>
      <x:c r="F89" s="28" t="n">
        <x:v>1</x:v>
      </x:c>
      <x:c r="G89" s="28" t="str">
        <x:f>IF(E89=F89,"PASS","FAIL")</x:f>
        <x:v>PASS</x:v>
      </x:c>
    </x:row>
    <x:row r="90">
      <x:c r="B90" s="28" t="str">
        <x:v>A084</x:v>
      </x:c>
      <x:c r="C90" s="28" t="str">
        <x:v>rotation</x:v>
      </x:c>
      <x:c r="D90" s="28" t="str">
        <x:v>RFP-A1 rotation count</x:v>
      </x:c>
      <x:c r="E90" s="28" t="n">
        <x:f>COUNTIFS('Rotation Plan'!G7:G42,"RFP-A1")</x:f>
        <x:v>6</x:v>
      </x:c>
      <x:c r="F90" s="28" t="n">
        <x:v>6</x:v>
      </x:c>
      <x:c r="G90" s="28" t="str">
        <x:f>IF(E90=F90,"PASS","FAIL")</x:f>
        <x:v>PASS</x:v>
      </x:c>
    </x:row>
    <x:row r="91">
      <x:c r="B91" s="28" t="str">
        <x:v>A085</x:v>
      </x:c>
      <x:c r="C91" s="28" t="str">
        <x:v>rotation</x:v>
      </x:c>
      <x:c r="D91" s="28" t="str">
        <x:v>RFP-A2 rotation count</x:v>
      </x:c>
      <x:c r="E91" s="28" t="n">
        <x:f>COUNTIFS('Rotation Plan'!G7:G42,"RFP-A2")</x:f>
        <x:v>6</x:v>
      </x:c>
      <x:c r="F91" s="28" t="n">
        <x:v>6</x:v>
      </x:c>
      <x:c r="G91" s="28" t="str">
        <x:f>IF(E91=F91,"PASS","FAIL")</x:f>
        <x:v>PASS</x:v>
      </x:c>
    </x:row>
    <x:row r="92">
      <x:c r="B92" s="28" t="str">
        <x:v>A086</x:v>
      </x:c>
      <x:c r="C92" s="28" t="str">
        <x:v>rotation</x:v>
      </x:c>
      <x:c r="D92" s="28" t="str">
        <x:v>RFP-B1 rotation count</x:v>
      </x:c>
      <x:c r="E92" s="28" t="n">
        <x:f>COUNTIFS('Rotation Plan'!G7:G42,"RFP-B1")</x:f>
        <x:v>6</x:v>
      </x:c>
      <x:c r="F92" s="28" t="n">
        <x:v>6</x:v>
      </x:c>
      <x:c r="G92" s="28" t="str">
        <x:f>IF(E92=F92,"PASS","FAIL")</x:f>
        <x:v>PASS</x:v>
      </x:c>
    </x:row>
    <x:row r="93">
      <x:c r="B93" s="28" t="str">
        <x:v>A087</x:v>
      </x:c>
      <x:c r="C93" s="28" t="str">
        <x:v>rotation</x:v>
      </x:c>
      <x:c r="D93" s="28" t="str">
        <x:v>RFP-B2 rotation count</x:v>
      </x:c>
      <x:c r="E93" s="28" t="n">
        <x:f>COUNTIFS('Rotation Plan'!G7:G42,"RFP-B2")</x:f>
        <x:v>6</x:v>
      </x:c>
      <x:c r="F93" s="28" t="n">
        <x:v>6</x:v>
      </x:c>
      <x:c r="G93" s="28" t="str">
        <x:f>IF(E93=F93,"PASS","FAIL")</x:f>
        <x:v>PASS</x:v>
      </x:c>
    </x:row>
    <x:row r="94">
      <x:c r="B94" s="28" t="str">
        <x:v>A088</x:v>
      </x:c>
      <x:c r="C94" s="28" t="str">
        <x:v>rotation</x:v>
      </x:c>
      <x:c r="D94" s="28" t="str">
        <x:v>RFP-C1 rotation count</x:v>
      </x:c>
      <x:c r="E94" s="28" t="n">
        <x:f>COUNTIFS('Rotation Plan'!G7:G42,"RFP-C1")</x:f>
        <x:v>6</x:v>
      </x:c>
      <x:c r="F94" s="28" t="n">
        <x:v>6</x:v>
      </x:c>
      <x:c r="G94" s="28" t="str">
        <x:f>IF(E94=F94,"PASS","FAIL")</x:f>
        <x:v>PASS</x:v>
      </x:c>
    </x:row>
    <x:row r="95">
      <x:c r="B95" s="28" t="str">
        <x:v>A089</x:v>
      </x:c>
      <x:c r="C95" s="28" t="str">
        <x:v>rotation</x:v>
      </x:c>
      <x:c r="D95" s="28" t="str">
        <x:v>RFP-C2 rotation count</x:v>
      </x:c>
      <x:c r="E95" s="28" t="n">
        <x:f>COUNTIFS('Rotation Plan'!G7:G42,"RFP-C2")</x:f>
        <x:v>6</x:v>
      </x:c>
      <x:c r="F95" s="28" t="n">
        <x:v>6</x:v>
      </x:c>
      <x:c r="G95" s="28" t="str">
        <x:f>IF(E95=F95,"PASS","FAIL")</x:f>
        <x:v>PASS</x:v>
      </x:c>
    </x:row>
    <x:row r="96">
      <x:c r="B96" s="28" t="str">
        <x:v>A090</x:v>
      </x:c>
      <x:c r="C96" s="28" t="str">
        <x:v>rotation</x:v>
      </x:c>
      <x:c r="D96" s="28" t="str">
        <x:v>round 1 article count</x:v>
      </x:c>
      <x:c r="E96" s="28" t="n">
        <x:f>COUNTIFS('Rotation Plan'!C7:C42,1)</x:f>
        <x:v>6</x:v>
      </x:c>
      <x:c r="F96" s="28" t="n">
        <x:v>6</x:v>
      </x:c>
      <x:c r="G96" s="28" t="str">
        <x:f>IF(E96=F96,"PASS","FAIL")</x:f>
        <x:v>PASS</x:v>
      </x:c>
    </x:row>
    <x:row r="97">
      <x:c r="B97" s="28" t="str">
        <x:v>A091</x:v>
      </x:c>
      <x:c r="C97" s="28" t="str">
        <x:v>rotation</x:v>
      </x:c>
      <x:c r="D97" s="28" t="str">
        <x:v>round 2 article count</x:v>
      </x:c>
      <x:c r="E97" s="28" t="n">
        <x:f>COUNTIFS('Rotation Plan'!C7:C42,2)</x:f>
        <x:v>6</x:v>
      </x:c>
      <x:c r="F97" s="28" t="n">
        <x:v>6</x:v>
      </x:c>
      <x:c r="G97" s="28" t="str">
        <x:f>IF(E97=F97,"PASS","FAIL")</x:f>
        <x:v>PASS</x:v>
      </x:c>
    </x:row>
    <x:row r="98">
      <x:c r="B98" s="28" t="str">
        <x:v>A092</x:v>
      </x:c>
      <x:c r="C98" s="28" t="str">
        <x:v>rotation</x:v>
      </x:c>
      <x:c r="D98" s="28" t="str">
        <x:v>round 3 article count</x:v>
      </x:c>
      <x:c r="E98" s="28" t="n">
        <x:f>COUNTIFS('Rotation Plan'!C7:C42,3)</x:f>
        <x:v>6</x:v>
      </x:c>
      <x:c r="F98" s="28" t="n">
        <x:v>6</x:v>
      </x:c>
      <x:c r="G98" s="28" t="str">
        <x:f>IF(E98=F98,"PASS","FAIL")</x:f>
        <x:v>PASS</x:v>
      </x:c>
    </x:row>
    <x:row r="99">
      <x:c r="B99" s="28" t="str">
        <x:v>A093</x:v>
      </x:c>
      <x:c r="C99" s="28" t="str">
        <x:v>rotation</x:v>
      </x:c>
      <x:c r="D99" s="28" t="str">
        <x:v>round 4 article count</x:v>
      </x:c>
      <x:c r="E99" s="28" t="n">
        <x:f>COUNTIFS('Rotation Plan'!C7:C42,4)</x:f>
        <x:v>6</x:v>
      </x:c>
      <x:c r="F99" s="28" t="n">
        <x:v>6</x:v>
      </x:c>
      <x:c r="G99" s="28" t="str">
        <x:f>IF(E99=F99,"PASS","FAIL")</x:f>
        <x:v>PASS</x:v>
      </x:c>
    </x:row>
    <x:row r="100">
      <x:c r="B100" s="28" t="str">
        <x:v>A094</x:v>
      </x:c>
      <x:c r="C100" s="28" t="str">
        <x:v>rotation</x:v>
      </x:c>
      <x:c r="D100" s="28" t="str">
        <x:v>round 5 article count</x:v>
      </x:c>
      <x:c r="E100" s="28" t="n">
        <x:f>COUNTIFS('Rotation Plan'!C7:C42,5)</x:f>
        <x:v>6</x:v>
      </x:c>
      <x:c r="F100" s="28" t="n">
        <x:v>6</x:v>
      </x:c>
      <x:c r="G100" s="28" t="str">
        <x:f>IF(E100=F100,"PASS","FAIL")</x:f>
        <x:v>PASS</x:v>
      </x:c>
    </x:row>
    <x:row r="101">
      <x:c r="B101" s="28" t="str">
        <x:v>A095</x:v>
      </x:c>
      <x:c r="C101" s="28" t="str">
        <x:v>rotation</x:v>
      </x:c>
      <x:c r="D101" s="28" t="str">
        <x:v>round 6 article count</x:v>
      </x:c>
      <x:c r="E101" s="28" t="n">
        <x:f>COUNTIFS('Rotation Plan'!C7:C42,6)</x:f>
        <x:v>6</x:v>
      </x:c>
      <x:c r="F101" s="28" t="n">
        <x:v>6</x:v>
      </x:c>
      <x:c r="G101" s="28" t="str">
        <x:f>IF(E101=F101,"PASS","FAIL")</x:f>
        <x:v>PASS</x:v>
      </x:c>
    </x:row>
    <x:row r="102">
      <x:c r="B102" s="28" t="str">
        <x:v>A096</x:v>
      </x:c>
      <x:c r="C102" s="28" t="str">
        <x:v>rotation</x:v>
      </x:c>
      <x:c r="D102" s="28" t="str">
        <x:v>round 1 RFP-A1</x:v>
      </x:c>
      <x:c r="E102" s="28" t="n">
        <x:f>COUNTIFS('Rotation Plan'!C7:C42,1,'Rotation Plan'!G7:G42,"RFP-A1")</x:f>
        <x:v>1</x:v>
      </x:c>
      <x:c r="F102" s="28" t="n">
        <x:v>1</x:v>
      </x:c>
      <x:c r="G102" s="28" t="str">
        <x:f>IF(E102=F102,"PASS","FAIL")</x:f>
        <x:v>PASS</x:v>
      </x:c>
    </x:row>
    <x:row r="103">
      <x:c r="B103" s="28" t="str">
        <x:v>A097</x:v>
      </x:c>
      <x:c r="C103" s="28" t="str">
        <x:v>rotation</x:v>
      </x:c>
      <x:c r="D103" s="28" t="str">
        <x:v>round 1 RFP-A2</x:v>
      </x:c>
      <x:c r="E103" s="28" t="n">
        <x:f>COUNTIFS('Rotation Plan'!C7:C42,1,'Rotation Plan'!G7:G42,"RFP-A2")</x:f>
        <x:v>1</x:v>
      </x:c>
      <x:c r="F103" s="28" t="n">
        <x:v>1</x:v>
      </x:c>
      <x:c r="G103" s="28" t="str">
        <x:f>IF(E103=F103,"PASS","FAIL")</x:f>
        <x:v>PASS</x:v>
      </x:c>
    </x:row>
    <x:row r="104">
      <x:c r="B104" s="28" t="str">
        <x:v>A098</x:v>
      </x:c>
      <x:c r="C104" s="28" t="str">
        <x:v>rotation</x:v>
      </x:c>
      <x:c r="D104" s="28" t="str">
        <x:v>round 1 RFP-B1</x:v>
      </x:c>
      <x:c r="E104" s="28" t="n">
        <x:f>COUNTIFS('Rotation Plan'!C7:C42,1,'Rotation Plan'!G7:G42,"RFP-B1")</x:f>
        <x:v>1</x:v>
      </x:c>
      <x:c r="F104" s="28" t="n">
        <x:v>1</x:v>
      </x:c>
      <x:c r="G104" s="28" t="str">
        <x:f>IF(E104=F104,"PASS","FAIL")</x:f>
        <x:v>PASS</x:v>
      </x:c>
    </x:row>
    <x:row r="105">
      <x:c r="B105" s="28" t="str">
        <x:v>A099</x:v>
      </x:c>
      <x:c r="C105" s="28" t="str">
        <x:v>rotation</x:v>
      </x:c>
      <x:c r="D105" s="28" t="str">
        <x:v>round 1 RFP-B2</x:v>
      </x:c>
      <x:c r="E105" s="28" t="n">
        <x:f>COUNTIFS('Rotation Plan'!C7:C42,1,'Rotation Plan'!G7:G42,"RFP-B2")</x:f>
        <x:v>1</x:v>
      </x:c>
      <x:c r="F105" s="28" t="n">
        <x:v>1</x:v>
      </x:c>
      <x:c r="G105" s="28" t="str">
        <x:f>IF(E105=F105,"PASS","FAIL")</x:f>
        <x:v>PASS</x:v>
      </x:c>
    </x:row>
    <x:row r="106">
      <x:c r="B106" s="28" t="str">
        <x:v>A100</x:v>
      </x:c>
      <x:c r="C106" s="28" t="str">
        <x:v>rotation</x:v>
      </x:c>
      <x:c r="D106" s="28" t="str">
        <x:v>round 1 RFP-C1</x:v>
      </x:c>
      <x:c r="E106" s="28" t="n">
        <x:f>COUNTIFS('Rotation Plan'!C7:C42,1,'Rotation Plan'!G7:G42,"RFP-C1")</x:f>
        <x:v>1</x:v>
      </x:c>
      <x:c r="F106" s="28" t="n">
        <x:v>1</x:v>
      </x:c>
      <x:c r="G106" s="28" t="str">
        <x:f>IF(E106=F106,"PASS","FAIL")</x:f>
        <x:v>PASS</x:v>
      </x:c>
    </x:row>
    <x:row r="107">
      <x:c r="B107" s="28" t="str">
        <x:v>A101</x:v>
      </x:c>
      <x:c r="C107" s="28" t="str">
        <x:v>rotation</x:v>
      </x:c>
      <x:c r="D107" s="28" t="str">
        <x:v>round 1 RFP-C2</x:v>
      </x:c>
      <x:c r="E107" s="28" t="n">
        <x:f>COUNTIFS('Rotation Plan'!C7:C42,1,'Rotation Plan'!G7:G42,"RFP-C2")</x:f>
        <x:v>1</x:v>
      </x:c>
      <x:c r="F107" s="28" t="n">
        <x:v>1</x:v>
      </x:c>
      <x:c r="G107" s="28" t="str">
        <x:f>IF(E107=F107,"PASS","FAIL")</x:f>
        <x:v>PASS</x:v>
      </x:c>
    </x:row>
    <x:row r="108">
      <x:c r="B108" s="28" t="str">
        <x:v>A102</x:v>
      </x:c>
      <x:c r="C108" s="28" t="str">
        <x:v>rotation</x:v>
      </x:c>
      <x:c r="D108" s="28" t="str">
        <x:v>round 2 RFP-A1</x:v>
      </x:c>
      <x:c r="E108" s="28" t="n">
        <x:f>COUNTIFS('Rotation Plan'!C7:C42,2,'Rotation Plan'!G7:G42,"RFP-A1")</x:f>
        <x:v>1</x:v>
      </x:c>
      <x:c r="F108" s="28" t="n">
        <x:v>1</x:v>
      </x:c>
      <x:c r="G108" s="28" t="str">
        <x:f>IF(E108=F108,"PASS","FAIL")</x:f>
        <x:v>PASS</x:v>
      </x:c>
    </x:row>
    <x:row r="109">
      <x:c r="B109" s="28" t="str">
        <x:v>A103</x:v>
      </x:c>
      <x:c r="C109" s="28" t="str">
        <x:v>rotation</x:v>
      </x:c>
      <x:c r="D109" s="28" t="str">
        <x:v>round 2 RFP-A2</x:v>
      </x:c>
      <x:c r="E109" s="28" t="n">
        <x:f>COUNTIFS('Rotation Plan'!C7:C42,2,'Rotation Plan'!G7:G42,"RFP-A2")</x:f>
        <x:v>1</x:v>
      </x:c>
      <x:c r="F109" s="28" t="n">
        <x:v>1</x:v>
      </x:c>
      <x:c r="G109" s="28" t="str">
        <x:f>IF(E109=F109,"PASS","FAIL")</x:f>
        <x:v>PASS</x:v>
      </x:c>
    </x:row>
    <x:row r="110">
      <x:c r="B110" s="28" t="str">
        <x:v>A104</x:v>
      </x:c>
      <x:c r="C110" s="28" t="str">
        <x:v>rotation</x:v>
      </x:c>
      <x:c r="D110" s="28" t="str">
        <x:v>round 2 RFP-B1</x:v>
      </x:c>
      <x:c r="E110" s="28" t="n">
        <x:f>COUNTIFS('Rotation Plan'!C7:C42,2,'Rotation Plan'!G7:G42,"RFP-B1")</x:f>
        <x:v>1</x:v>
      </x:c>
      <x:c r="F110" s="28" t="n">
        <x:v>1</x:v>
      </x:c>
      <x:c r="G110" s="28" t="str">
        <x:f>IF(E110=F110,"PASS","FAIL")</x:f>
        <x:v>PASS</x:v>
      </x:c>
    </x:row>
    <x:row r="111">
      <x:c r="B111" s="28" t="str">
        <x:v>A105</x:v>
      </x:c>
      <x:c r="C111" s="28" t="str">
        <x:v>rotation</x:v>
      </x:c>
      <x:c r="D111" s="28" t="str">
        <x:v>round 2 RFP-B2</x:v>
      </x:c>
      <x:c r="E111" s="28" t="n">
        <x:f>COUNTIFS('Rotation Plan'!C7:C42,2,'Rotation Plan'!G7:G42,"RFP-B2")</x:f>
        <x:v>1</x:v>
      </x:c>
      <x:c r="F111" s="28" t="n">
        <x:v>1</x:v>
      </x:c>
      <x:c r="G111" s="28" t="str">
        <x:f>IF(E111=F111,"PASS","FAIL")</x:f>
        <x:v>PASS</x:v>
      </x:c>
    </x:row>
    <x:row r="112">
      <x:c r="B112" s="28" t="str">
        <x:v>A106</x:v>
      </x:c>
      <x:c r="C112" s="28" t="str">
        <x:v>rotation</x:v>
      </x:c>
      <x:c r="D112" s="28" t="str">
        <x:v>round 2 RFP-C1</x:v>
      </x:c>
      <x:c r="E112" s="28" t="n">
        <x:f>COUNTIFS('Rotation Plan'!C7:C42,2,'Rotation Plan'!G7:G42,"RFP-C1")</x:f>
        <x:v>1</x:v>
      </x:c>
      <x:c r="F112" s="28" t="n">
        <x:v>1</x:v>
      </x:c>
      <x:c r="G112" s="28" t="str">
        <x:f>IF(E112=F112,"PASS","FAIL")</x:f>
        <x:v>PASS</x:v>
      </x:c>
    </x:row>
    <x:row r="113">
      <x:c r="B113" s="28" t="str">
        <x:v>A107</x:v>
      </x:c>
      <x:c r="C113" s="28" t="str">
        <x:v>rotation</x:v>
      </x:c>
      <x:c r="D113" s="28" t="str">
        <x:v>round 2 RFP-C2</x:v>
      </x:c>
      <x:c r="E113" s="28" t="n">
        <x:f>COUNTIFS('Rotation Plan'!C7:C42,2,'Rotation Plan'!G7:G42,"RFP-C2")</x:f>
        <x:v>1</x:v>
      </x:c>
      <x:c r="F113" s="28" t="n">
        <x:v>1</x:v>
      </x:c>
      <x:c r="G113" s="28" t="str">
        <x:f>IF(E113=F113,"PASS","FAIL")</x:f>
        <x:v>PASS</x:v>
      </x:c>
    </x:row>
    <x:row r="114">
      <x:c r="B114" s="28" t="str">
        <x:v>A108</x:v>
      </x:c>
      <x:c r="C114" s="28" t="str">
        <x:v>rotation</x:v>
      </x:c>
      <x:c r="D114" s="28" t="str">
        <x:v>round 3 RFP-A1</x:v>
      </x:c>
      <x:c r="E114" s="28" t="n">
        <x:f>COUNTIFS('Rotation Plan'!C7:C42,3,'Rotation Plan'!G7:G42,"RFP-A1")</x:f>
        <x:v>1</x:v>
      </x:c>
      <x:c r="F114" s="28" t="n">
        <x:v>1</x:v>
      </x:c>
      <x:c r="G114" s="28" t="str">
        <x:f>IF(E114=F114,"PASS","FAIL")</x:f>
        <x:v>PASS</x:v>
      </x:c>
    </x:row>
    <x:row r="115">
      <x:c r="B115" s="28" t="str">
        <x:v>A109</x:v>
      </x:c>
      <x:c r="C115" s="28" t="str">
        <x:v>rotation</x:v>
      </x:c>
      <x:c r="D115" s="28" t="str">
        <x:v>round 3 RFP-A2</x:v>
      </x:c>
      <x:c r="E115" s="28" t="n">
        <x:f>COUNTIFS('Rotation Plan'!C7:C42,3,'Rotation Plan'!G7:G42,"RFP-A2")</x:f>
        <x:v>1</x:v>
      </x:c>
      <x:c r="F115" s="28" t="n">
        <x:v>1</x:v>
      </x:c>
      <x:c r="G115" s="28" t="str">
        <x:f>IF(E115=F115,"PASS","FAIL")</x:f>
        <x:v>PASS</x:v>
      </x:c>
    </x:row>
    <x:row r="116">
      <x:c r="B116" s="28" t="str">
        <x:v>A110</x:v>
      </x:c>
      <x:c r="C116" s="28" t="str">
        <x:v>rotation</x:v>
      </x:c>
      <x:c r="D116" s="28" t="str">
        <x:v>round 3 RFP-B1</x:v>
      </x:c>
      <x:c r="E116" s="28" t="n">
        <x:f>COUNTIFS('Rotation Plan'!C7:C42,3,'Rotation Plan'!G7:G42,"RFP-B1")</x:f>
        <x:v>1</x:v>
      </x:c>
      <x:c r="F116" s="28" t="n">
        <x:v>1</x:v>
      </x:c>
      <x:c r="G116" s="28" t="str">
        <x:f>IF(E116=F116,"PASS","FAIL")</x:f>
        <x:v>PASS</x:v>
      </x:c>
    </x:row>
    <x:row r="117">
      <x:c r="B117" s="28" t="str">
        <x:v>A111</x:v>
      </x:c>
      <x:c r="C117" s="28" t="str">
        <x:v>rotation</x:v>
      </x:c>
      <x:c r="D117" s="28" t="str">
        <x:v>round 3 RFP-B2</x:v>
      </x:c>
      <x:c r="E117" s="28" t="n">
        <x:f>COUNTIFS('Rotation Plan'!C7:C42,3,'Rotation Plan'!G7:G42,"RFP-B2")</x:f>
        <x:v>1</x:v>
      </x:c>
      <x:c r="F117" s="28" t="n">
        <x:v>1</x:v>
      </x:c>
      <x:c r="G117" s="28" t="str">
        <x:f>IF(E117=F117,"PASS","FAIL")</x:f>
        <x:v>PASS</x:v>
      </x:c>
    </x:row>
    <x:row r="118">
      <x:c r="B118" s="28" t="str">
        <x:v>A112</x:v>
      </x:c>
      <x:c r="C118" s="28" t="str">
        <x:v>rotation</x:v>
      </x:c>
      <x:c r="D118" s="28" t="str">
        <x:v>round 3 RFP-C1</x:v>
      </x:c>
      <x:c r="E118" s="28" t="n">
        <x:f>COUNTIFS('Rotation Plan'!C7:C42,3,'Rotation Plan'!G7:G42,"RFP-C1")</x:f>
        <x:v>1</x:v>
      </x:c>
      <x:c r="F118" s="28" t="n">
        <x:v>1</x:v>
      </x:c>
      <x:c r="G118" s="28" t="str">
        <x:f>IF(E118=F118,"PASS","FAIL")</x:f>
        <x:v>PASS</x:v>
      </x:c>
    </x:row>
    <x:row r="119">
      <x:c r="B119" s="28" t="str">
        <x:v>A113</x:v>
      </x:c>
      <x:c r="C119" s="28" t="str">
        <x:v>rotation</x:v>
      </x:c>
      <x:c r="D119" s="28" t="str">
        <x:v>round 3 RFP-C2</x:v>
      </x:c>
      <x:c r="E119" s="28" t="n">
        <x:f>COUNTIFS('Rotation Plan'!C7:C42,3,'Rotation Plan'!G7:G42,"RFP-C2")</x:f>
        <x:v>1</x:v>
      </x:c>
      <x:c r="F119" s="28" t="n">
        <x:v>1</x:v>
      </x:c>
      <x:c r="G119" s="28" t="str">
        <x:f>IF(E119=F119,"PASS","FAIL")</x:f>
        <x:v>PASS</x:v>
      </x:c>
    </x:row>
    <x:row r="120">
      <x:c r="B120" s="28" t="str">
        <x:v>A114</x:v>
      </x:c>
      <x:c r="C120" s="28" t="str">
        <x:v>rotation</x:v>
      </x:c>
      <x:c r="D120" s="28" t="str">
        <x:v>round 4 RFP-A1</x:v>
      </x:c>
      <x:c r="E120" s="28" t="n">
        <x:f>COUNTIFS('Rotation Plan'!C7:C42,4,'Rotation Plan'!G7:G42,"RFP-A1")</x:f>
        <x:v>1</x:v>
      </x:c>
      <x:c r="F120" s="28" t="n">
        <x:v>1</x:v>
      </x:c>
      <x:c r="G120" s="28" t="str">
        <x:f>IF(E120=F120,"PASS","FAIL")</x:f>
        <x:v>PASS</x:v>
      </x:c>
    </x:row>
    <x:row r="121">
      <x:c r="B121" s="28" t="str">
        <x:v>A115</x:v>
      </x:c>
      <x:c r="C121" s="28" t="str">
        <x:v>rotation</x:v>
      </x:c>
      <x:c r="D121" s="28" t="str">
        <x:v>round 4 RFP-A2</x:v>
      </x:c>
      <x:c r="E121" s="28" t="n">
        <x:f>COUNTIFS('Rotation Plan'!C7:C42,4,'Rotation Plan'!G7:G42,"RFP-A2")</x:f>
        <x:v>1</x:v>
      </x:c>
      <x:c r="F121" s="28" t="n">
        <x:v>1</x:v>
      </x:c>
      <x:c r="G121" s="28" t="str">
        <x:f>IF(E121=F121,"PASS","FAIL")</x:f>
        <x:v>PASS</x:v>
      </x:c>
    </x:row>
    <x:row r="122">
      <x:c r="B122" s="28" t="str">
        <x:v>A116</x:v>
      </x:c>
      <x:c r="C122" s="28" t="str">
        <x:v>rotation</x:v>
      </x:c>
      <x:c r="D122" s="28" t="str">
        <x:v>round 4 RFP-B1</x:v>
      </x:c>
      <x:c r="E122" s="28" t="n">
        <x:f>COUNTIFS('Rotation Plan'!C7:C42,4,'Rotation Plan'!G7:G42,"RFP-B1")</x:f>
        <x:v>1</x:v>
      </x:c>
      <x:c r="F122" s="28" t="n">
        <x:v>1</x:v>
      </x:c>
      <x:c r="G122" s="28" t="str">
        <x:f>IF(E122=F122,"PASS","FAIL")</x:f>
        <x:v>PASS</x:v>
      </x:c>
    </x:row>
    <x:row r="123">
      <x:c r="B123" s="28" t="str">
        <x:v>A117</x:v>
      </x:c>
      <x:c r="C123" s="28" t="str">
        <x:v>rotation</x:v>
      </x:c>
      <x:c r="D123" s="28" t="str">
        <x:v>round 4 RFP-B2</x:v>
      </x:c>
      <x:c r="E123" s="28" t="n">
        <x:f>COUNTIFS('Rotation Plan'!C7:C42,4,'Rotation Plan'!G7:G42,"RFP-B2")</x:f>
        <x:v>1</x:v>
      </x:c>
      <x:c r="F123" s="28" t="n">
        <x:v>1</x:v>
      </x:c>
      <x:c r="G123" s="28" t="str">
        <x:f>IF(E123=F123,"PASS","FAIL")</x:f>
        <x:v>PASS</x:v>
      </x:c>
    </x:row>
    <x:row r="124">
      <x:c r="B124" s="28" t="str">
        <x:v>A118</x:v>
      </x:c>
      <x:c r="C124" s="28" t="str">
        <x:v>rotation</x:v>
      </x:c>
      <x:c r="D124" s="28" t="str">
        <x:v>round 4 RFP-C1</x:v>
      </x:c>
      <x:c r="E124" s="28" t="n">
        <x:f>COUNTIFS('Rotation Plan'!C7:C42,4,'Rotation Plan'!G7:G42,"RFP-C1")</x:f>
        <x:v>1</x:v>
      </x:c>
      <x:c r="F124" s="28" t="n">
        <x:v>1</x:v>
      </x:c>
      <x:c r="G124" s="28" t="str">
        <x:f>IF(E124=F124,"PASS","FAIL")</x:f>
        <x:v>PASS</x:v>
      </x:c>
    </x:row>
    <x:row r="125">
      <x:c r="B125" s="28" t="str">
        <x:v>A119</x:v>
      </x:c>
      <x:c r="C125" s="28" t="str">
        <x:v>rotation</x:v>
      </x:c>
      <x:c r="D125" s="28" t="str">
        <x:v>round 4 RFP-C2</x:v>
      </x:c>
      <x:c r="E125" s="28" t="n">
        <x:f>COUNTIFS('Rotation Plan'!C7:C42,4,'Rotation Plan'!G7:G42,"RFP-C2")</x:f>
        <x:v>1</x:v>
      </x:c>
      <x:c r="F125" s="28" t="n">
        <x:v>1</x:v>
      </x:c>
      <x:c r="G125" s="28" t="str">
        <x:f>IF(E125=F125,"PASS","FAIL")</x:f>
        <x:v>PASS</x:v>
      </x:c>
    </x:row>
    <x:row r="126">
      <x:c r="B126" s="28" t="str">
        <x:v>A120</x:v>
      </x:c>
      <x:c r="C126" s="28" t="str">
        <x:v>rotation</x:v>
      </x:c>
      <x:c r="D126" s="28" t="str">
        <x:v>round 5 RFP-A1</x:v>
      </x:c>
      <x:c r="E126" s="28" t="n">
        <x:f>COUNTIFS('Rotation Plan'!C7:C42,5,'Rotation Plan'!G7:G42,"RFP-A1")</x:f>
        <x:v>1</x:v>
      </x:c>
      <x:c r="F126" s="28" t="n">
        <x:v>1</x:v>
      </x:c>
      <x:c r="G126" s="28" t="str">
        <x:f>IF(E126=F126,"PASS","FAIL")</x:f>
        <x:v>PASS</x:v>
      </x:c>
    </x:row>
    <x:row r="127">
      <x:c r="B127" s="28" t="str">
        <x:v>A121</x:v>
      </x:c>
      <x:c r="C127" s="28" t="str">
        <x:v>rotation</x:v>
      </x:c>
      <x:c r="D127" s="28" t="str">
        <x:v>round 5 RFP-A2</x:v>
      </x:c>
      <x:c r="E127" s="28" t="n">
        <x:f>COUNTIFS('Rotation Plan'!C7:C42,5,'Rotation Plan'!G7:G42,"RFP-A2")</x:f>
        <x:v>1</x:v>
      </x:c>
      <x:c r="F127" s="28" t="n">
        <x:v>1</x:v>
      </x:c>
      <x:c r="G127" s="28" t="str">
        <x:f>IF(E127=F127,"PASS","FAIL")</x:f>
        <x:v>PASS</x:v>
      </x:c>
    </x:row>
    <x:row r="128">
      <x:c r="B128" s="28" t="str">
        <x:v>A122</x:v>
      </x:c>
      <x:c r="C128" s="28" t="str">
        <x:v>rotation</x:v>
      </x:c>
      <x:c r="D128" s="28" t="str">
        <x:v>round 5 RFP-B1</x:v>
      </x:c>
      <x:c r="E128" s="28" t="n">
        <x:f>COUNTIFS('Rotation Plan'!C7:C42,5,'Rotation Plan'!G7:G42,"RFP-B1")</x:f>
        <x:v>1</x:v>
      </x:c>
      <x:c r="F128" s="28" t="n">
        <x:v>1</x:v>
      </x:c>
      <x:c r="G128" s="28" t="str">
        <x:f>IF(E128=F128,"PASS","FAIL")</x:f>
        <x:v>PASS</x:v>
      </x:c>
    </x:row>
    <x:row r="129">
      <x:c r="B129" s="28" t="str">
        <x:v>A123</x:v>
      </x:c>
      <x:c r="C129" s="28" t="str">
        <x:v>rotation</x:v>
      </x:c>
      <x:c r="D129" s="28" t="str">
        <x:v>round 5 RFP-B2</x:v>
      </x:c>
      <x:c r="E129" s="28" t="n">
        <x:f>COUNTIFS('Rotation Plan'!C7:C42,5,'Rotation Plan'!G7:G42,"RFP-B2")</x:f>
        <x:v>1</x:v>
      </x:c>
      <x:c r="F129" s="28" t="n">
        <x:v>1</x:v>
      </x:c>
      <x:c r="G129" s="28" t="str">
        <x:f>IF(E129=F129,"PASS","FAIL")</x:f>
        <x:v>PASS</x:v>
      </x:c>
    </x:row>
    <x:row r="130">
      <x:c r="B130" s="28" t="str">
        <x:v>A124</x:v>
      </x:c>
      <x:c r="C130" s="28" t="str">
        <x:v>rotation</x:v>
      </x:c>
      <x:c r="D130" s="28" t="str">
        <x:v>round 5 RFP-C1</x:v>
      </x:c>
      <x:c r="E130" s="28" t="n">
        <x:f>COUNTIFS('Rotation Plan'!C7:C42,5,'Rotation Plan'!G7:G42,"RFP-C1")</x:f>
        <x:v>1</x:v>
      </x:c>
      <x:c r="F130" s="28" t="n">
        <x:v>1</x:v>
      </x:c>
      <x:c r="G130" s="28" t="str">
        <x:f>IF(E130=F130,"PASS","FAIL")</x:f>
        <x:v>PASS</x:v>
      </x:c>
    </x:row>
    <x:row r="131">
      <x:c r="B131" s="28" t="str">
        <x:v>A125</x:v>
      </x:c>
      <x:c r="C131" s="28" t="str">
        <x:v>rotation</x:v>
      </x:c>
      <x:c r="D131" s="28" t="str">
        <x:v>round 5 RFP-C2</x:v>
      </x:c>
      <x:c r="E131" s="28" t="n">
        <x:f>COUNTIFS('Rotation Plan'!C7:C42,5,'Rotation Plan'!G7:G42,"RFP-C2")</x:f>
        <x:v>1</x:v>
      </x:c>
      <x:c r="F131" s="28" t="n">
        <x:v>1</x:v>
      </x:c>
      <x:c r="G131" s="28" t="str">
        <x:f>IF(E131=F131,"PASS","FAIL")</x:f>
        <x:v>PASS</x:v>
      </x:c>
    </x:row>
    <x:row r="132">
      <x:c r="B132" s="28" t="str">
        <x:v>A126</x:v>
      </x:c>
      <x:c r="C132" s="28" t="str">
        <x:v>rotation</x:v>
      </x:c>
      <x:c r="D132" s="28" t="str">
        <x:v>round 6 RFP-A1</x:v>
      </x:c>
      <x:c r="E132" s="28" t="n">
        <x:f>COUNTIFS('Rotation Plan'!C7:C42,6,'Rotation Plan'!G7:G42,"RFP-A1")</x:f>
        <x:v>1</x:v>
      </x:c>
      <x:c r="F132" s="28" t="n">
        <x:v>1</x:v>
      </x:c>
      <x:c r="G132" s="28" t="str">
        <x:f>IF(E132=F132,"PASS","FAIL")</x:f>
        <x:v>PASS</x:v>
      </x:c>
    </x:row>
    <x:row r="133">
      <x:c r="B133" s="28" t="str">
        <x:v>A127</x:v>
      </x:c>
      <x:c r="C133" s="28" t="str">
        <x:v>rotation</x:v>
      </x:c>
      <x:c r="D133" s="28" t="str">
        <x:v>round 6 RFP-A2</x:v>
      </x:c>
      <x:c r="E133" s="28" t="n">
        <x:f>COUNTIFS('Rotation Plan'!C7:C42,6,'Rotation Plan'!G7:G42,"RFP-A2")</x:f>
        <x:v>1</x:v>
      </x:c>
      <x:c r="F133" s="28" t="n">
        <x:v>1</x:v>
      </x:c>
      <x:c r="G133" s="28" t="str">
        <x:f>IF(E133=F133,"PASS","FAIL")</x:f>
        <x:v>PASS</x:v>
      </x:c>
    </x:row>
    <x:row r="134">
      <x:c r="B134" s="28" t="str">
        <x:v>A128</x:v>
      </x:c>
      <x:c r="C134" s="28" t="str">
        <x:v>rotation</x:v>
      </x:c>
      <x:c r="D134" s="28" t="str">
        <x:v>round 6 RFP-B1</x:v>
      </x:c>
      <x:c r="E134" s="28" t="n">
        <x:f>COUNTIFS('Rotation Plan'!C7:C42,6,'Rotation Plan'!G7:G42,"RFP-B1")</x:f>
        <x:v>1</x:v>
      </x:c>
      <x:c r="F134" s="28" t="n">
        <x:v>1</x:v>
      </x:c>
      <x:c r="G134" s="28" t="str">
        <x:f>IF(E134=F134,"PASS","FAIL")</x:f>
        <x:v>PASS</x:v>
      </x:c>
    </x:row>
    <x:row r="135">
      <x:c r="B135" s="28" t="str">
        <x:v>A129</x:v>
      </x:c>
      <x:c r="C135" s="28" t="str">
        <x:v>rotation</x:v>
      </x:c>
      <x:c r="D135" s="28" t="str">
        <x:v>round 6 RFP-B2</x:v>
      </x:c>
      <x:c r="E135" s="28" t="n">
        <x:f>COUNTIFS('Rotation Plan'!C7:C42,6,'Rotation Plan'!G7:G42,"RFP-B2")</x:f>
        <x:v>1</x:v>
      </x:c>
      <x:c r="F135" s="28" t="n">
        <x:v>1</x:v>
      </x:c>
      <x:c r="G135" s="28" t="str">
        <x:f>IF(E135=F135,"PASS","FAIL")</x:f>
        <x:v>PASS</x:v>
      </x:c>
    </x:row>
    <x:row r="136">
      <x:c r="B136" s="28" t="str">
        <x:v>A130</x:v>
      </x:c>
      <x:c r="C136" s="28" t="str">
        <x:v>rotation</x:v>
      </x:c>
      <x:c r="D136" s="28" t="str">
        <x:v>round 6 RFP-C1</x:v>
      </x:c>
      <x:c r="E136" s="28" t="n">
        <x:f>COUNTIFS('Rotation Plan'!C7:C42,6,'Rotation Plan'!G7:G42,"RFP-C1")</x:f>
        <x:v>1</x:v>
      </x:c>
      <x:c r="F136" s="28" t="n">
        <x:v>1</x:v>
      </x:c>
      <x:c r="G136" s="28" t="str">
        <x:f>IF(E136=F136,"PASS","FAIL")</x:f>
        <x:v>PASS</x:v>
      </x:c>
    </x:row>
    <x:row r="137">
      <x:c r="B137" s="28" t="str">
        <x:v>A131</x:v>
      </x:c>
      <x:c r="C137" s="28" t="str">
        <x:v>rotation</x:v>
      </x:c>
      <x:c r="D137" s="28" t="str">
        <x:v>round 6 RFP-C2</x:v>
      </x:c>
      <x:c r="E137" s="28" t="n">
        <x:f>COUNTIFS('Rotation Plan'!C7:C42,6,'Rotation Plan'!G7:G42,"RFP-C2")</x:f>
        <x:v>1</x:v>
      </x:c>
      <x:c r="F137" s="28" t="n">
        <x:v>1</x:v>
      </x:c>
      <x:c r="G137" s="28" t="str">
        <x:f>IF(E137=F137,"PASS","FAIL")</x:f>
        <x:v>PASS</x:v>
      </x:c>
    </x:row>
    <x:row r="138">
      <x:c r="B138" s="28" t="str">
        <x:v>A132</x:v>
      </x:c>
      <x:c r="C138" s="28" t="str">
        <x:v>calibration</x:v>
      </x:c>
      <x:c r="D138" s="28" t="str">
        <x:v>RFP-A1 calibration sessions</x:v>
      </x:c>
      <x:c r="E138" s="28" t="n">
        <x:f>COUNTIFS('Calibration Circuit'!E7:E24,"RFP-A1")</x:f>
        <x:v>3</x:v>
      </x:c>
      <x:c r="F138" s="28" t="n">
        <x:v>3</x:v>
      </x:c>
      <x:c r="G138" s="28" t="str">
        <x:f>IF(E138=F138,"PASS","FAIL")</x:f>
        <x:v>PASS</x:v>
      </x:c>
    </x:row>
    <x:row r="139">
      <x:c r="B139" s="28" t="str">
        <x:v>A133</x:v>
      </x:c>
      <x:c r="C139" s="28" t="str">
        <x:v>calibration</x:v>
      </x:c>
      <x:c r="D139" s="28" t="str">
        <x:v>RFP-A2 calibration sessions</x:v>
      </x:c>
      <x:c r="E139" s="28" t="n">
        <x:f>COUNTIFS('Calibration Circuit'!E7:E24,"RFP-A2")</x:f>
        <x:v>3</x:v>
      </x:c>
      <x:c r="F139" s="28" t="n">
        <x:v>3</x:v>
      </x:c>
      <x:c r="G139" s="28" t="str">
        <x:f>IF(E139=F139,"PASS","FAIL")</x:f>
        <x:v>PASS</x:v>
      </x:c>
    </x:row>
    <x:row r="140">
      <x:c r="B140" s="28" t="str">
        <x:v>A134</x:v>
      </x:c>
      <x:c r="C140" s="28" t="str">
        <x:v>calibration</x:v>
      </x:c>
      <x:c r="D140" s="28" t="str">
        <x:v>RFP-B1 calibration sessions</x:v>
      </x:c>
      <x:c r="E140" s="28" t="n">
        <x:f>COUNTIFS('Calibration Circuit'!E7:E24,"RFP-B1")</x:f>
        <x:v>3</x:v>
      </x:c>
      <x:c r="F140" s="28" t="n">
        <x:v>3</x:v>
      </x:c>
      <x:c r="G140" s="28" t="str">
        <x:f>IF(E140=F140,"PASS","FAIL")</x:f>
        <x:v>PASS</x:v>
      </x:c>
    </x:row>
    <x:row r="141">
      <x:c r="B141" s="28" t="str">
        <x:v>A135</x:v>
      </x:c>
      <x:c r="C141" s="28" t="str">
        <x:v>calibration</x:v>
      </x:c>
      <x:c r="D141" s="28" t="str">
        <x:v>RFP-B2 calibration sessions</x:v>
      </x:c>
      <x:c r="E141" s="28" t="n">
        <x:f>COUNTIFS('Calibration Circuit'!E7:E24,"RFP-B2")</x:f>
        <x:v>3</x:v>
      </x:c>
      <x:c r="F141" s="28" t="n">
        <x:v>3</x:v>
      </x:c>
      <x:c r="G141" s="28" t="str">
        <x:f>IF(E141=F141,"PASS","FAIL")</x:f>
        <x:v>PASS</x:v>
      </x:c>
    </x:row>
    <x:row r="142">
      <x:c r="B142" s="28" t="str">
        <x:v>A136</x:v>
      </x:c>
      <x:c r="C142" s="28" t="str">
        <x:v>calibration</x:v>
      </x:c>
      <x:c r="D142" s="28" t="str">
        <x:v>RFP-C1 calibration sessions</x:v>
      </x:c>
      <x:c r="E142" s="28" t="n">
        <x:f>COUNTIFS('Calibration Circuit'!E7:E24,"RFP-C1")</x:f>
        <x:v>3</x:v>
      </x:c>
      <x:c r="F142" s="28" t="n">
        <x:v>3</x:v>
      </x:c>
      <x:c r="G142" s="28" t="str">
        <x:f>IF(E142=F142,"PASS","FAIL")</x:f>
        <x:v>PASS</x:v>
      </x:c>
    </x:row>
    <x:row r="143">
      <x:c r="B143" s="28" t="str">
        <x:v>A137</x:v>
      </x:c>
      <x:c r="C143" s="28" t="str">
        <x:v>calibration</x:v>
      </x:c>
      <x:c r="D143" s="28" t="str">
        <x:v>RFP-C2 calibration sessions</x:v>
      </x:c>
      <x:c r="E143" s="28" t="n">
        <x:f>COUNTIFS('Calibration Circuit'!E7:E24,"RFP-C2")</x:f>
        <x:v>3</x:v>
      </x:c>
      <x:c r="F143" s="28" t="n">
        <x:v>3</x:v>
      </x:c>
      <x:c r="G143" s="28" t="str">
        <x:f>IF(E143=F143,"PASS","FAIL")</x:f>
        <x:v>PASS</x:v>
      </x:c>
    </x:row>
    <x:row r="144">
      <x:c r="B144" s="28" t="str">
        <x:v>A138</x:v>
      </x:c>
      <x:c r="C144" s="28" t="str">
        <x:v>calibration</x:v>
      </x:c>
      <x:c r="D144" s="28" t="str">
        <x:v>PEA-A-X3 calibration sessions</x:v>
      </x:c>
      <x:c r="E144" s="28" t="n">
        <x:f>COUNTIFS('Calibration Circuit'!C7:C24,"PEA-A-X3")</x:f>
        <x:v>6</x:v>
      </x:c>
      <x:c r="F144" s="28" t="n">
        <x:v>6</x:v>
      </x:c>
      <x:c r="G144" s="28" t="str">
        <x:f>IF(E144=F144,"PASS","FAIL")</x:f>
        <x:v>PASS</x:v>
      </x:c>
    </x:row>
    <x:row r="145">
      <x:c r="B145" s="28" t="str">
        <x:v>A139</x:v>
      </x:c>
      <x:c r="C145" s="28" t="str">
        <x:v>calibration</x:v>
      </x:c>
      <x:c r="D145" s="28" t="str">
        <x:v>PEA-B-X3 calibration sessions</x:v>
      </x:c>
      <x:c r="E145" s="28" t="n">
        <x:f>COUNTIFS('Calibration Circuit'!C7:C24,"PEA-B-X3")</x:f>
        <x:v>6</x:v>
      </x:c>
      <x:c r="F145" s="28" t="n">
        <x:v>6</x:v>
      </x:c>
      <x:c r="G145" s="28" t="str">
        <x:f>IF(E145=F145,"PASS","FAIL")</x:f>
        <x:v>PASS</x:v>
      </x:c>
    </x:row>
    <x:row r="146">
      <x:c r="B146" s="28" t="str">
        <x:v>A140</x:v>
      </x:c>
      <x:c r="C146" s="28" t="str">
        <x:v>calibration</x:v>
      </x:c>
      <x:c r="D146" s="28" t="str">
        <x:v>PEA-C-Y3 calibration sessions</x:v>
      </x:c>
      <x:c r="E146" s="28" t="n">
        <x:f>COUNTIFS('Calibration Circuit'!C7:C24,"PEA-C-Y3")</x:f>
        <x:v>6</x:v>
      </x:c>
      <x:c r="F146" s="28" t="n">
        <x:v>6</x:v>
      </x:c>
      <x:c r="G146" s="28" t="str">
        <x:f>IF(E146=F146,"PASS","FAIL")</x:f>
        <x:v>PASS</x:v>
      </x:c>
    </x:row>
  </x:sheetData>
  <x:conditionalFormatting sqref="G7:G146">
    <x:cfRule type="containsText" dxfId="204" priority="1" operator="containsText" text="FAIL"/>
    <x:cfRule type="containsText" dxfId="205" priority="2" operator="containsText" text="BLOCKED"/>
    <x:cfRule type="containsText" dxfId="206" priority="3" operator="containsText" text="EXPIRED"/>
    <x:cfRule type="containsText" dxfId="207" priority="4" operator="containsText" text="OPEN"/>
    <x:cfRule type="containsText" dxfId="208" priority="5" operator="containsText" text="DORMANT"/>
    <x:cfRule type="containsText" dxfId="209" priority="6" operator="containsText" text="PASS"/>
  </x:conditionalFormatting>
  <x:pageMargins left="0.7" right="0.7" top="0.75" bottom="0.75" header="0.3" footer="0.3"/>
</x:worksheet>
</file>

<file path=xl/worksheets/sheet5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14" hidden="0" customWidth="1"/>
    <x:col min="3" max="3" width="24" hidden="0" customWidth="1"/>
    <x:col min="4" max="4" width="95" hidden="0" customWidth="1"/>
    <x:col min="5" max="5" width="24" hidden="0" customWidth="1"/>
  </x:cols>
  <x:sheetData>
    <x:row r="2">
      <x:c r="B2" s="25" t="str">
        <x:v>Internal authority register</x:v>
      </x:c>
      <x:c r="C2" s="26"/>
      <x:c r="D2" s="26"/>
      <x:c r="E2" s="26"/>
    </x:row>
    <x:row r="3">
      <x:c r="B3" s="27" t="str">
        <x:v>Every inherited value names a repository authority. No external site is used in this pass.</x:v>
      </x:c>
      <x:c r="C3" s="26"/>
      <x:c r="D3" s="26"/>
      <x:c r="E3" s="26"/>
    </x:row>
    <x:row r="4">
      <x:c r="B4" s="26"/>
      <x:c r="C4" s="26"/>
      <x:c r="D4" s="26"/>
      <x:c r="E4" s="26"/>
    </x:row>
    <x:row r="5">
      <x:c r="B5" s="26"/>
      <x:c r="C5" s="26"/>
      <x:c r="D5" s="26"/>
      <x:c r="E5" s="26"/>
    </x:row>
    <x:row r="6" ht="24" customHeight="1">
      <x:c r="B6" s="6" t="str">
        <x:v>Source</x:v>
      </x:c>
      <x:c r="C6" s="6" t="str">
        <x:v>Authority</x:v>
      </x:c>
      <x:c r="D6" s="6" t="str">
        <x:v>Use</x:v>
      </x:c>
      <x:c r="E6" s="6" t="str">
        <x:v>Class</x:v>
      </x:c>
    </x:row>
    <x:row r="7" ht="40" customHeight="1">
      <x:c r="B7" s="28" t="str">
        <x:v>SRC-01</x:v>
      </x:c>
      <x:c r="C7" s="28" t="str">
        <x:v>RAE-1</x:v>
      </x:c>
      <x:c r="D7" s="29" t="str">
        <x:v>parent executable-entry institution and USD 360M / USD 168M-year boundary</x:v>
      </x:c>
      <x:c r="E7" s="28" t="str">
        <x:v>internal predecessor</x:v>
      </x:c>
    </x:row>
    <x:row r="8" ht="40" customHeight="1">
      <x:c r="B8" s="28" t="str">
        <x:v>SRC-02</x:v>
      </x:c>
      <x:c r="C8" s="28" t="str">
        <x:v>RAP-1</x:v>
      </x:c>
      <x:c r="D8" s="29" t="str">
        <x:v>eighteen-role bank, six rigs, article trials, 240 positions and USD 248M / USD 112M-year allocation</x:v>
      </x:c>
      <x:c r="E8" s="28" t="str">
        <x:v>direct parent</x:v>
      </x:c>
    </x:row>
    <x:row r="9" ht="40" customHeight="1">
      <x:c r="B9" s="28" t="str">
        <x:v>SRC-03</x:v>
      </x:c>
      <x:c r="C9" s="28" t="str">
        <x:v>RAC-1</x:v>
      </x:c>
      <x:c r="D9" s="29" t="str">
        <x:v>two construction lineages and eighteen-month design duration</x:v>
      </x:c>
      <x:c r="E9" s="28" t="str">
        <x:v>internal predecessor</x:v>
      </x:c>
    </x:row>
    <x:row r="10" ht="40" customHeight="1">
      <x:c r="B10" s="28" t="str">
        <x:v>SRC-04</x:v>
      </x:c>
      <x:c r="C10" s="28" t="str">
        <x:v>RAB-1</x:v>
      </x:c>
      <x:c r="D10" s="29" t="str">
        <x:v>development qualification, destructive evidence and eighteen-month duration</x:v>
      </x:c>
      <x:c r="E10" s="28" t="str">
        <x:v>internal predecessor</x:v>
      </x:c>
    </x:row>
    <x:row r="11" ht="40" customHeight="1">
      <x:c r="B11" s="28" t="str">
        <x:v>SRC-05</x:v>
      </x:c>
      <x:c r="C11" s="28" t="str">
        <x:v>RAQ-1</x:v>
      </x:c>
      <x:c r="D11" s="29" t="str">
        <x:v>three-builder bank, locked destinations, production-equivalent articles and twenty-four-month duration</x:v>
      </x:c>
      <x:c r="E11" s="28" t="str">
        <x:v>direct predecessor</x:v>
      </x:c>
    </x:row>
    <x:row r="12" ht="40" customHeight="1">
      <x:c r="B12" s="28" t="str">
        <x:v>SRC-06</x:v>
      </x:c>
      <x:c r="C12" s="28" t="str">
        <x:v>RFP-1</x:v>
      </x:c>
      <x:c r="D12" s="29" t="str">
        <x:v>six public rigs, three campuses, common interfaces, rescue and casualty systems</x:v>
      </x:c>
      <x:c r="E12" s="28" t="str">
        <x:v>rig authority</x:v>
      </x:c>
    </x:row>
    <x:row r="13" ht="40" customHeight="1">
      <x:c r="B13" s="28" t="str">
        <x:v>SRC-07</x:v>
      </x:c>
      <x:c r="C13" s="28" t="str">
        <x:v>RFE-1</x:v>
      </x:c>
      <x:c r="D13" s="29" t="str">
        <x:v>execution clock, safeing and source-escalation law</x:v>
      </x:c>
      <x:c r="E13" s="28" t="str">
        <x:v>internal predecessor</x:v>
      </x:c>
    </x:row>
    <x:row r="14" ht="40" customHeight="1">
      <x:c r="B14" s="28" t="str">
        <x:v>SRC-08</x:v>
      </x:c>
      <x:c r="C14" s="28" t="str">
        <x:v>RAE-1 dossiers</x:v>
      </x:c>
      <x:c r="D14" s="29" t="str">
        <x:v>event-specific baseline, neighbor state, rescue, holds, evidence and issuer requirements</x:v>
      </x:c>
      <x:c r="E14" s="28" t="str">
        <x:v>downstream boundary</x:v>
      </x:c>
    </x:row>
    <x:row r="15" ht="40" customHeight="1">
      <x:c r="B15" s="28" t="str">
        <x:v>SRC-09</x:v>
      </x:c>
      <x:c r="C15" s="28" t="str">
        <x:v>RAX-1</x:v>
      </x:c>
      <x:c r="D15" s="29" t="str">
        <x:v>rotation, calibration, readiness, schedule and financial derivations</x:v>
      </x:c>
      <x:c r="E15" s="28" t="str">
        <x:v>current derivation</x:v>
      </x:c>
    </x:row>
    <x:row r="16" ht="40" customHeight="1">
      <x:c r="B16" s="28" t="str">
        <x:v>SRC-10</x:v>
      </x:c>
      <x:c r="C16" s="28" t="str">
        <x:v>modeling rule</x:v>
      </x:c>
      <x:c r="D16" s="29" t="str">
        <x:v>no external-site research; all physical observations remain open</x:v>
      </x:c>
      <x:c r="E16" s="28" t="str">
        <x:v>source boundary</x:v>
      </x:c>
    </x:row>
  </x:sheetData>
  <x:pageMargins left="0.7" right="0.7" top="0.75" bottom="0.75" header="0.3" footer="0.3"/>
</x:worksheet>
</file>

<file path=xl/worksheets/sheet51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2" max="2" width="27" hidden="0" customWidth="1"/>
    <x:col min="3" max="3" width="116" hidden="0" customWidth="1"/>
  </x:cols>
  <x:sheetData>
    <x:row r="2">
      <x:c r="B2" s="25" t="str">
        <x:v>How to use RAX-1</x:v>
      </x:c>
      <x:c r="C2" s="26"/>
    </x:row>
    <x:row r="3">
      <x:c r="B3" s="27" t="str">
        <x:v>This workbook is an executable readiness constitution. It does not contain physical results.</x:v>
      </x:c>
      <x:c r="C3" s="26"/>
    </x:row>
    <x:row r="4">
      <x:c r="B4" s="26"/>
      <x:c r="C4" s="26"/>
    </x:row>
    <x:row r="5">
      <x:c r="B5" s="26"/>
      <x:c r="C5" s="26"/>
    </x:row>
    <x:row r="6" ht="24" customHeight="1">
      <x:c r="B6" s="6" t="str">
        <x:v>Topic</x:v>
      </x:c>
      <x:c r="C6" s="6" t="str">
        <x:v>Guidance</x:v>
      </x:c>
    </x:row>
    <x:row r="7" ht="45" customHeight="1">
      <x:c r="B7" s="28" t="str">
        <x:v>Purpose</x:v>
      </x:c>
      <x:c r="C7" s="29" t="str">
        <x:v>Define how the accepted eighteen-role article bank becomes a simultaneously current, pre-source-ready six-rig campaign.</x:v>
      </x:c>
    </x:row>
    <x:row r="8" ht="45" customHeight="1">
      <x:c r="B8" s="28" t="str">
        <x:v>Primary decision</x:v>
      </x:c>
      <x:c r="C8" s="29" t="str">
        <x:v>Release six article-rig pairs, three campuses and one national readiness state without issuing QE-01 or source authority.</x:v>
      </x:c>
    </x:row>
    <x:row r="9" ht="45" customHeight="1">
      <x:c r="B9" s="28" t="str">
        <x:v>Portability correction</x:v>
      </x:c>
      <x:c r="C9" s="29" t="str">
        <x:v>Every operational article docks to all six rigs before returning to its locked home position.</x:v>
      </x:c>
    </x:row>
    <x:row r="10" ht="45" customHeight="1">
      <x:c r="B10" s="28" t="str">
        <x:v>Physical inputs</x:v>
      </x:c>
      <x:c r="C10" s="29" t="str">
        <x:v>Amber fields capture article roots, transport state, interface observations, standards, qualifications, drills, rescue, evidence and acceptance.</x:v>
      </x:c>
    </x:row>
    <x:row r="11" ht="45" customHeight="1">
      <x:c r="B11" s="28" t="str">
        <x:v>Blank policy</x:v>
      </x:c>
      <x:c r="C11" s="29" t="str">
        <x:v>Blank physical evidence is unavailable, never zero and never a passing result.</x:v>
      </x:c>
    </x:row>
    <x:row r="12" ht="45" customHeight="1">
      <x:c r="B12" s="28" t="str">
        <x:v>Rotation</x:v>
      </x:c>
      <x:c r="C12" s="29" t="str">
        <x:v>Six rounds form a precommitted Latin circuit. Each round places one article at every rig and round six returns all articles home.</x:v>
      </x:c>
    </x:row>
    <x:row r="13" ht="45" customHeight="1">
      <x:c r="B13" s="28" t="str">
        <x:v>Readiness</x:v>
      </x:c>
      <x:c r="C13" s="29" t="str">
        <x:v>Article, rig, pair, campus and national decisions remain separate. All required credentials must cover one campaign date.</x:v>
      </x:c>
    </x:row>
    <x:row r="14" ht="45" customHeight="1">
      <x:c r="B14" s="28" t="str">
        <x:v>Finance</x:v>
      </x:c>
      <x:c r="C14" s="29" t="str">
        <x:v>RAX-1 draws USD 84M capital, USD 44M/year and USD 100M technology from the RAE-1 remainder outside RAP-1.</x:v>
      </x:c>
    </x:row>
    <x:row r="15" ht="45" customHeight="1">
      <x:c r="B15" s="28" t="str">
        <x:v>Calendar</x:v>
      </x:c>
      <x:c r="C15" s="29" t="str">
        <x:v>Release-aware overlap reduces the 78-month sequential chain to 54 months. The original 24-month assumption remains superseded.</x:v>
      </x:c>
    </x:row>
    <x:row r="16" ht="45" customHeight="1">
      <x:c r="B16" s="28" t="str">
        <x:v>Authority ceiling</x:v>
      </x:c>
      <x:c r="C16" s="29" t="str">
        <x:v>A passing workbook may support pre-source readiness only. QE-01, source, candidate, production and rendering remain blocked.</x:v>
      </x:c>
    </x:row>
    <x:row r="17" ht="45" customHeight="1">
      <x:c r="B17" s="28" t="str">
        <x:v>Refresh</x:v>
      </x:c>
      <x:c r="C17" s="29" t="str">
        <x:v>Update native records, enter one campaign start date, recalculate and review failed or expired predicates at the owning record.</x:v>
      </x:c>
    </x:row>
    <x:row r="18" ht="45" customHeight="1">
      <x:c r="B18" s="28" t="str">
        <x:v>Audit</x:v>
      </x:c>
      <x:c r="C18" s="29" t="str">
        <x:v>The Audit sheet tests 140 structural, balance, state, schedule and financial assertions without feeding release logic.</x:v>
      </x:c>
    </x:row>
  </x:sheetData>
  <x:pageMargins left="0.7" right="0.7" top="0.75" bottom="0.75" header="0.3" footer="0.3"/>
</x:worksheet>
</file>