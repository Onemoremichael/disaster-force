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806fe4b78c495b" /></Relationships>
</file>

<file path=xl/workbook.xml><?xml version="1.0" encoding="utf-8"?>
<x:workbook xmlns:x="http://schemas.openxmlformats.org/spreadsheetml/2006/main">
  <x:sheets>
    <x:sheet xmlns:r="http://schemas.openxmlformats.org/officeDocument/2006/relationships" name="Summary" sheetId="1" r:id="Rf0a20b8d58394a76"/>
    <x:sheet xmlns:r="http://schemas.openxmlformats.org/officeDocument/2006/relationships" name="Decision Map" sheetId="2" r:id="Re6f4487b57cb448c"/>
    <x:sheet xmlns:r="http://schemas.openxmlformats.org/officeDocument/2006/relationships" name="Assumptions" sheetId="3" r:id="R447c9bfd7cbf48f6"/>
    <x:sheet xmlns:r="http://schemas.openxmlformats.org/officeDocument/2006/relationships" name="Scale Transition" sheetId="4" r:id="Rcfe2b9cd0dee4b2d"/>
    <x:sheet xmlns:r="http://schemas.openxmlformats.org/officeDocument/2006/relationships" name="Thermal Screen" sheetId="5" r:id="R0dfd385c018646a8"/>
    <x:sheet xmlns:r="http://schemas.openxmlformats.org/officeDocument/2006/relationships" name="Hydraulic Screen" sheetId="6" r:id="Rb1d03ec8945f4a89"/>
    <x:sheet xmlns:r="http://schemas.openxmlformats.org/officeDocument/2006/relationships" name="Receiver Screen" sheetId="7" r:id="Rf284694eee2f4bd6"/>
    <x:sheet xmlns:r="http://schemas.openxmlformats.org/officeDocument/2006/relationships" name="Architecture Candidates" sheetId="8" r:id="R13a28ebc056f46a3"/>
    <x:sheet xmlns:r="http://schemas.openxmlformats.org/officeDocument/2006/relationships" name="Candidate Trials" sheetId="9" r:id="Rf66f240f4c584ee3"/>
    <x:sheet xmlns:r="http://schemas.openxmlformats.org/officeDocument/2006/relationships" name="Matched Comparisons" sheetId="10" r:id="Rce1ef6700578435f"/>
    <x:sheet xmlns:r="http://schemas.openxmlformats.org/officeDocument/2006/relationships" name="Selection Gates" sheetId="11" r:id="R501559be56cc4847"/>
    <x:sheet xmlns:r="http://schemas.openxmlformats.org/officeDocument/2006/relationships" name="Module Bank" sheetId="12" r:id="Rc4be612cb8a24ca2"/>
    <x:sheet xmlns:r="http://schemas.openxmlformats.org/officeDocument/2006/relationships" name="Qualification" sheetId="13" r:id="Ra3a6de931562422c"/>
    <x:sheet xmlns:r="http://schemas.openxmlformats.org/officeDocument/2006/relationships" name="Scale Contrasts" sheetId="14" r:id="R9eebace05f614ae1"/>
    <x:sheet xmlns:r="http://schemas.openxmlformats.org/officeDocument/2006/relationships" name="Denial Worlds" sheetId="15" r:id="R6b8ae66d5bfe477d"/>
    <x:sheet xmlns:r="http://schemas.openxmlformats.org/officeDocument/2006/relationships" name="Service Islands" sheetId="16" r:id="Re34ec3db60b44b9f"/>
    <x:sheet xmlns:r="http://schemas.openxmlformats.org/officeDocument/2006/relationships" name="Independent Energy" sheetId="17" r:id="R3e39449fc4ee49d2"/>
    <x:sheet xmlns:r="http://schemas.openxmlformats.org/officeDocument/2006/relationships" name="Local Control" sheetId="18" r:id="R993c877d1dcb4001"/>
    <x:sheet xmlns:r="http://schemas.openxmlformats.org/officeDocument/2006/relationships" name="Outside Reconstruction" sheetId="19" r:id="Rcca94b6e35bd456f"/>
    <x:sheet xmlns:r="http://schemas.openxmlformats.org/officeDocument/2006/relationships" name="Reconstruction Cases" sheetId="20" r:id="R76e0b524f4d54e2e"/>
    <x:sheet xmlns:r="http://schemas.openxmlformats.org/officeDocument/2006/relationships" name="Root Constitution" sheetId="21" r:id="Rfdc78065648a4674"/>
    <x:sheet xmlns:r="http://schemas.openxmlformats.org/officeDocument/2006/relationships" name="Division Root" sheetId="22" r:id="R23005d4f379a4663"/>
    <x:sheet xmlns:r="http://schemas.openxmlformats.org/officeDocument/2006/relationships" name="Public Action Root" sheetId="23" r:id="Reb7de38b025f4a7f"/>
    <x:sheet xmlns:r="http://schemas.openxmlformats.org/officeDocument/2006/relationships" name="Class Matrix" sheetId="24" r:id="R10ab1745c3c649d7"/>
    <x:sheet xmlns:r="http://schemas.openxmlformats.org/officeDocument/2006/relationships" name="Reserve Register" sheetId="25" r:id="R80ae6920d3b74a20"/>
    <x:sheet xmlns:r="http://schemas.openxmlformats.org/officeDocument/2006/relationships" name="Event Contract" sheetId="26" r:id="R78a1f5b0082a4f1e"/>
    <x:sheet xmlns:r="http://schemas.openxmlformats.org/officeDocument/2006/relationships" name="Dispositions" sheetId="27" r:id="R28074740e51842b4"/>
    <x:sheet xmlns:r="http://schemas.openxmlformats.org/officeDocument/2006/relationships" name="Event Clock" sheetId="28" r:id="R6b749bae4678455e"/>
    <x:sheet xmlns:r="http://schemas.openxmlformats.org/officeDocument/2006/relationships" name="Gate Registry" sheetId="29" r:id="R453ad732ae2a40b2"/>
    <x:sheet xmlns:r="http://schemas.openxmlformats.org/officeDocument/2006/relationships" name="Evidence Records" sheetId="30" r:id="R0446aec429d84657"/>
    <x:sheet xmlns:r="http://schemas.openxmlformats.org/officeDocument/2006/relationships" name="Channel Registry" sheetId="31" r:id="R4f68c1646e864aed"/>
    <x:sheet xmlns:r="http://schemas.openxmlformats.org/officeDocument/2006/relationships" name="Safeing Paths" sheetId="32" r:id="Re949aae41b714b01"/>
    <x:sheet xmlns:r="http://schemas.openxmlformats.org/officeDocument/2006/relationships" name="Source Account" sheetId="33" r:id="Rfdcdd4b5b5e2450a"/>
    <x:sheet xmlns:r="http://schemas.openxmlformats.org/officeDocument/2006/relationships" name="Candidate Water" sheetId="34" r:id="R28d992a93c0c4bdc"/>
    <x:sheet xmlns:r="http://schemas.openxmlformats.org/officeDocument/2006/relationships" name="Public Water" sheetId="35" r:id="Rb98c105d8cb04583"/>
    <x:sheet xmlns:r="http://schemas.openxmlformats.org/officeDocument/2006/relationships" name="Product Account" sheetId="36" r:id="R85369f35a46f4e0d"/>
    <x:sheet xmlns:r="http://schemas.openxmlformats.org/officeDocument/2006/relationships" name="Energy Account" sheetId="37" r:id="R8b3f0b9976d34e81"/>
    <x:sheet xmlns:r="http://schemas.openxmlformats.org/officeDocument/2006/relationships" name="Atmosphere Account" sheetId="38" r:id="Rfba2602463e148f2"/>
    <x:sheet xmlns:r="http://schemas.openxmlformats.org/officeDocument/2006/relationships" name="Intervention Ledger" sheetId="39" r:id="Rc32d1e8d4ddb4429"/>
    <x:sheet xmlns:r="http://schemas.openxmlformats.org/officeDocument/2006/relationships" name="Contact Ledger" sheetId="40" r:id="R5a86aeabce424c83"/>
    <x:sheet xmlns:r="http://schemas.openxmlformats.org/officeDocument/2006/relationships" name="Service Ledger" sheetId="41" r:id="R3655f1227d904db2"/>
    <x:sheet xmlns:r="http://schemas.openxmlformats.org/officeDocument/2006/relationships" name="Evidence Build" sheetId="42" r:id="R1ada994b6bb54cba"/>
    <x:sheet xmlns:r="http://schemas.openxmlformats.org/officeDocument/2006/relationships" name="Module Return" sheetId="43" r:id="Ra6f12ab56f6d486a"/>
    <x:sheet xmlns:r="http://schemas.openxmlformats.org/officeDocument/2006/relationships" name="Site Recovery" sheetId="44" r:id="Rd52b97b4b78c458e"/>
    <x:sheet xmlns:r="http://schemas.openxmlformats.org/officeDocument/2006/relationships" name="Exchange Trials" sheetId="45" r:id="R189134db861f499e"/>
    <x:sheet xmlns:r="http://schemas.openxmlformats.org/officeDocument/2006/relationships" name="Schedule" sheetId="46" r:id="R9c8e4091fdd54397"/>
    <x:sheet xmlns:r="http://schemas.openxmlformats.org/officeDocument/2006/relationships" name="Workforce" sheetId="47" r:id="R05f59eaa8e3a4396"/>
    <x:sheet xmlns:r="http://schemas.openxmlformats.org/officeDocument/2006/relationships" name="Capital" sheetId="48" r:id="Rccb0a4170e2346ba"/>
    <x:sheet xmlns:r="http://schemas.openxmlformats.org/officeDocument/2006/relationships" name="Annual Support" sheetId="49" r:id="Rb98a50d05f7449cf"/>
    <x:sheet xmlns:r="http://schemas.openxmlformats.org/officeDocument/2006/relationships" name="Technology" sheetId="50" r:id="Rd65c30562f124a8e"/>
    <x:sheet xmlns:r="http://schemas.openxmlformats.org/officeDocument/2006/relationships" name="Parent Amendment" sheetId="51" r:id="R19366bb7d804404d"/>
    <x:sheet xmlns:r="http://schemas.openxmlformats.org/officeDocument/2006/relationships" name="Sensitivity" sheetId="52" r:id="Rf0d56207e3ec484f"/>
    <x:sheet xmlns:r="http://schemas.openxmlformats.org/officeDocument/2006/relationships" name="Release Gates" sheetId="53" r:id="R36589adf97274228"/>
    <x:sheet xmlns:r="http://schemas.openxmlformats.org/officeDocument/2006/relationships" name="Audit" sheetId="54" r:id="R2e0da3d42b804fa7"/>
    <x:sheet xmlns:r="http://schemas.openxmlformats.org/officeDocument/2006/relationships" name="Sources" sheetId="55" r:id="R7135358844674a62"/>
    <x:sheet xmlns:r="http://schemas.openxmlformats.org/officeDocument/2006/relationships" name="Read Me" sheetId="56" r:id="R0b59e5a108e5407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
    <x:numFmt numFmtId="202" formatCode="$#,##0"/>
  </x:numFmts>
  <x:fonts count="7">
    <x:font>
      <x:sz val="11"/>
      <x:name val="Carlito"/>
    </x:font>
    <x:font>
      <x:b/>
      <x:sz val="16"/>
      <x:color rgb="FFFFFFFF"/>
      <x:name val="Carlito"/>
    </x:font>
    <x:font>
      <x:i/>
      <x:sz val="10"/>
      <x:color rgb="FF1F2937"/>
      <x:name val="Carlito"/>
    </x:font>
    <x:font>
      <x:b/>
      <x:sz val="11"/>
      <x:color rgb="FF1F2937"/>
      <x:name val="Carlito"/>
    </x:font>
    <x:font>
      <x:sz val="10"/>
      <x:color rgb="FF1F2937"/>
      <x:name val="Carlito"/>
    </x:font>
    <x:font>
      <x:i/>
      <x:sz val="11"/>
      <x:color rgb="FF1F2937"/>
      <x:name val="Carlito"/>
    </x:font>
    <x:font>
      <x:b/>
      <x:sz val="11"/>
      <x:color rgb="FFFFFFFF"/>
      <x:name val="Carlito"/>
    </x:font>
  </x:fonts>
  <x:fills count="9">
    <x:fill>
      <x:patternFill patternType="none"/>
    </x:fill>
    <x:fill>
      <x:patternFill patternType="gray125"/>
    </x:fill>
    <x:fill>
      <x:patternFill patternType="solid">
        <x:fgColor rgb="FF17365D"/>
      </x:patternFill>
    </x:fill>
    <x:fill>
      <x:patternFill patternType="solid">
        <x:fgColor rgb="FFEEF4F8"/>
      </x:patternFill>
    </x:fill>
    <x:fill>
      <x:patternFill patternType="solid">
        <x:fgColor rgb="FFD9EAF7"/>
      </x:patternFill>
    </x:fill>
    <x:fill>
      <x:patternFill patternType="solid">
        <x:fgColor rgb="FFF8FBFD"/>
      </x:patternFill>
    </x:fill>
    <x:fill>
      <x:patternFill patternType="solid">
        <x:fgColor rgb="FFFFF2CC"/>
      </x:patternFill>
    </x:fill>
    <x:fill>
      <x:patternFill patternType="solid">
        <x:fgColor rgb="FFFCE4D6"/>
      </x:patternFill>
    </x:fill>
    <x:fill>
      <x:patternFill patternType="solid">
        <x:fgColor rgb="FFE2F0D9"/>
      </x:patternFill>
    </x:fill>
  </x:fills>
  <x:borders count="1">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200" fontId="4" fillId="6"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201" fontId="4" fillId="8"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1" fontId="4" fillId="4"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4" fillId="8" borderId="0" xfId="0" applyNumberFormat="1" applyFont="1" applyFill="1" applyBorder="1" applyAlignment="1">
      <x:alignment vertical="top" wrapText="1"/>
    </x:xf>
    <x:xf numFmtId="202" fontId="4" fillId="4" borderId="0"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vertic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6" fillId="2"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6"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9a6bfe22924da6" /><Relationship Type="http://schemas.openxmlformats.org/officeDocument/2006/relationships/theme" Target="/xl/theme/theme1.xml" Id="R9c6bb2511acc439b" /><Relationship Type="http://schemas.openxmlformats.org/officeDocument/2006/relationships/sharedStrings" Target="/xl/sharedStrings.xml" Id="Rf77368b4cee94b42" /><Relationship Type="http://schemas.openxmlformats.org/officeDocument/2006/relationships/worksheet" Target="/xl/worksheets/sheet1.xml" Id="Rf0a20b8d58394a76" /><Relationship Type="http://schemas.openxmlformats.org/officeDocument/2006/relationships/worksheet" Target="/xl/worksheets/sheet2.xml" Id="Re6f4487b57cb448c" /><Relationship Type="http://schemas.openxmlformats.org/officeDocument/2006/relationships/worksheet" Target="/xl/worksheets/sheet3.xml" Id="R447c9bfd7cbf48f6" /><Relationship Type="http://schemas.openxmlformats.org/officeDocument/2006/relationships/worksheet" Target="/xl/worksheets/sheet4.xml" Id="Rcfe2b9cd0dee4b2d" /><Relationship Type="http://schemas.openxmlformats.org/officeDocument/2006/relationships/worksheet" Target="/xl/worksheets/sheet5.xml" Id="R0dfd385c018646a8" /><Relationship Type="http://schemas.openxmlformats.org/officeDocument/2006/relationships/worksheet" Target="/xl/worksheets/sheet6.xml" Id="Rb1d03ec8945f4a89" /><Relationship Type="http://schemas.openxmlformats.org/officeDocument/2006/relationships/worksheet" Target="/xl/worksheets/sheet7.xml" Id="Rf284694eee2f4bd6" /><Relationship Type="http://schemas.openxmlformats.org/officeDocument/2006/relationships/worksheet" Target="/xl/worksheets/sheet8.xml" Id="R13a28ebc056f46a3" /><Relationship Type="http://schemas.openxmlformats.org/officeDocument/2006/relationships/worksheet" Target="/xl/worksheets/sheet9.xml" Id="Rf66f240f4c584ee3" /><Relationship Type="http://schemas.openxmlformats.org/officeDocument/2006/relationships/worksheet" Target="/xl/worksheets/sheet10.xml" Id="Rce1ef6700578435f" /><Relationship Type="http://schemas.openxmlformats.org/officeDocument/2006/relationships/worksheet" Target="/xl/worksheets/sheet11.xml" Id="R501559be56cc4847" /><Relationship Type="http://schemas.openxmlformats.org/officeDocument/2006/relationships/worksheet" Target="/xl/worksheets/sheet12.xml" Id="Rc4be612cb8a24ca2" /><Relationship Type="http://schemas.openxmlformats.org/officeDocument/2006/relationships/worksheet" Target="/xl/worksheets/sheet13.xml" Id="Ra3a6de931562422c" /><Relationship Type="http://schemas.openxmlformats.org/officeDocument/2006/relationships/worksheet" Target="/xl/worksheets/sheet14.xml" Id="R9eebace05f614ae1" /><Relationship Type="http://schemas.openxmlformats.org/officeDocument/2006/relationships/worksheet" Target="/xl/worksheets/sheet15.xml" Id="R6b8ae66d5bfe477d" /><Relationship Type="http://schemas.openxmlformats.org/officeDocument/2006/relationships/worksheet" Target="/xl/worksheets/sheet16.xml" Id="Re34ec3db60b44b9f" /><Relationship Type="http://schemas.openxmlformats.org/officeDocument/2006/relationships/worksheet" Target="/xl/worksheets/sheet17.xml" Id="R3e39449fc4ee49d2" /><Relationship Type="http://schemas.openxmlformats.org/officeDocument/2006/relationships/worksheet" Target="/xl/worksheets/sheet18.xml" Id="R993c877d1dcb4001" /><Relationship Type="http://schemas.openxmlformats.org/officeDocument/2006/relationships/worksheet" Target="/xl/worksheets/sheet19.xml" Id="Rcca94b6e35bd456f" /><Relationship Type="http://schemas.openxmlformats.org/officeDocument/2006/relationships/worksheet" Target="/xl/worksheets/sheet20.xml" Id="R76e0b524f4d54e2e" /><Relationship Type="http://schemas.openxmlformats.org/officeDocument/2006/relationships/worksheet" Target="/xl/worksheets/sheet21.xml" Id="Rfdc78065648a4674" /><Relationship Type="http://schemas.openxmlformats.org/officeDocument/2006/relationships/worksheet" Target="/xl/worksheets/sheet22.xml" Id="R23005d4f379a4663" /><Relationship Type="http://schemas.openxmlformats.org/officeDocument/2006/relationships/worksheet" Target="/xl/worksheets/sheet23.xml" Id="Reb7de38b025f4a7f" /><Relationship Type="http://schemas.openxmlformats.org/officeDocument/2006/relationships/worksheet" Target="/xl/worksheets/sheet24.xml" Id="R10ab1745c3c649d7" /><Relationship Type="http://schemas.openxmlformats.org/officeDocument/2006/relationships/worksheet" Target="/xl/worksheets/sheet25.xml" Id="R80ae6920d3b74a20" /><Relationship Type="http://schemas.openxmlformats.org/officeDocument/2006/relationships/worksheet" Target="/xl/worksheets/sheet26.xml" Id="R78a1f5b0082a4f1e" /><Relationship Type="http://schemas.openxmlformats.org/officeDocument/2006/relationships/worksheet" Target="/xl/worksheets/sheet27.xml" Id="R28074740e51842b4" /><Relationship Type="http://schemas.openxmlformats.org/officeDocument/2006/relationships/worksheet" Target="/xl/worksheets/sheet28.xml" Id="R6b749bae4678455e" /><Relationship Type="http://schemas.openxmlformats.org/officeDocument/2006/relationships/worksheet" Target="/xl/worksheets/sheet29.xml" Id="R453ad732ae2a40b2" /><Relationship Type="http://schemas.openxmlformats.org/officeDocument/2006/relationships/worksheet" Target="/xl/worksheets/sheet30.xml" Id="R0446aec429d84657" /><Relationship Type="http://schemas.openxmlformats.org/officeDocument/2006/relationships/worksheet" Target="/xl/worksheets/sheet31.xml" Id="R4f68c1646e864aed" /><Relationship Type="http://schemas.openxmlformats.org/officeDocument/2006/relationships/worksheet" Target="/xl/worksheets/sheet32.xml" Id="Re949aae41b714b01" /><Relationship Type="http://schemas.openxmlformats.org/officeDocument/2006/relationships/worksheet" Target="/xl/worksheets/sheet33.xml" Id="Rfdcdd4b5b5e2450a" /><Relationship Type="http://schemas.openxmlformats.org/officeDocument/2006/relationships/worksheet" Target="/xl/worksheets/sheet34.xml" Id="R28d992a93c0c4bdc" /><Relationship Type="http://schemas.openxmlformats.org/officeDocument/2006/relationships/worksheet" Target="/xl/worksheets/sheet35.xml" Id="Rb98c105d8cb04583" /><Relationship Type="http://schemas.openxmlformats.org/officeDocument/2006/relationships/worksheet" Target="/xl/worksheets/sheet36.xml" Id="R85369f35a46f4e0d" /><Relationship Type="http://schemas.openxmlformats.org/officeDocument/2006/relationships/worksheet" Target="/xl/worksheets/sheet37.xml" Id="R8b3f0b9976d34e81" /><Relationship Type="http://schemas.openxmlformats.org/officeDocument/2006/relationships/worksheet" Target="/xl/worksheets/sheet38.xml" Id="Rfba2602463e148f2" /><Relationship Type="http://schemas.openxmlformats.org/officeDocument/2006/relationships/worksheet" Target="/xl/worksheets/sheet39.xml" Id="Rc32d1e8d4ddb4429" /><Relationship Type="http://schemas.openxmlformats.org/officeDocument/2006/relationships/worksheet" Target="/xl/worksheets/sheet40.xml" Id="R5a86aeabce424c83" /><Relationship Type="http://schemas.openxmlformats.org/officeDocument/2006/relationships/worksheet" Target="/xl/worksheets/sheet41.xml" Id="R3655f1227d904db2" /><Relationship Type="http://schemas.openxmlformats.org/officeDocument/2006/relationships/worksheet" Target="/xl/worksheets/sheet42.xml" Id="R1ada994b6bb54cba" /><Relationship Type="http://schemas.openxmlformats.org/officeDocument/2006/relationships/worksheet" Target="/xl/worksheets/sheet43.xml" Id="Ra6f12ab56f6d486a" /><Relationship Type="http://schemas.openxmlformats.org/officeDocument/2006/relationships/worksheet" Target="/xl/worksheets/sheet44.xml" Id="Rd52b97b4b78c458e" /><Relationship Type="http://schemas.openxmlformats.org/officeDocument/2006/relationships/worksheet" Target="/xl/worksheets/sheet45.xml" Id="R189134db861f499e" /><Relationship Type="http://schemas.openxmlformats.org/officeDocument/2006/relationships/worksheet" Target="/xl/worksheets/sheet46.xml" Id="R9c8e4091fdd54397" /><Relationship Type="http://schemas.openxmlformats.org/officeDocument/2006/relationships/worksheet" Target="/xl/worksheets/sheet47.xml" Id="R05f59eaa8e3a4396" /><Relationship Type="http://schemas.openxmlformats.org/officeDocument/2006/relationships/worksheet" Target="/xl/worksheets/sheet48.xml" Id="Rccb0a4170e2346ba" /><Relationship Type="http://schemas.openxmlformats.org/officeDocument/2006/relationships/worksheet" Target="/xl/worksheets/sheet49.xml" Id="Rb98a50d05f7449cf" /><Relationship Type="http://schemas.openxmlformats.org/officeDocument/2006/relationships/worksheet" Target="/xl/worksheets/sheet50.xml" Id="Rd65c30562f124a8e" /><Relationship Type="http://schemas.openxmlformats.org/officeDocument/2006/relationships/worksheet" Target="/xl/worksheets/sheet51.xml" Id="R19366bb7d804404d" /><Relationship Type="http://schemas.openxmlformats.org/officeDocument/2006/relationships/worksheet" Target="/xl/worksheets/sheet52.xml" Id="Rf0d56207e3ec484f" /><Relationship Type="http://schemas.openxmlformats.org/officeDocument/2006/relationships/worksheet" Target="/xl/worksheets/sheet53.xml" Id="R36589adf97274228" /><Relationship Type="http://schemas.openxmlformats.org/officeDocument/2006/relationships/worksheet" Target="/xl/worksheets/sheet54.xml" Id="R2e0da3d42b804fa7" /><Relationship Type="http://schemas.openxmlformats.org/officeDocument/2006/relationships/worksheet" Target="/xl/worksheets/sheet55.xml" Id="R7135358844674a62" /><Relationship Type="http://schemas.openxmlformats.org/officeDocument/2006/relationships/worksheet" Target="/xl/worksheets/sheet56.xml" Id="R0b59e5a108e540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ySplit="2" topLeftCell="A3" activePane="bottomLeft" state="frozen"/>
    </x:sheetView>
  </x:sheetViews>
  <x:sheetFormatPr defaultRowHeight="15"/>
  <x:cols>
    <x:col min="1" max="1" width="26" hidden="0" customWidth="1"/>
    <x:col min="2" max="2" width="18" hidden="0" customWidth="1"/>
    <x:col min="3" max="3" width="4" hidden="0" customWidth="1"/>
    <x:col min="4" max="4" width="26" hidden="0" customWidth="1"/>
    <x:col min="5" max="5" width="18" hidden="0" customWidth="1"/>
    <x:col min="6" max="6" width="4" hidden="0" customWidth="1"/>
    <x:col min="7" max="7" width="26" hidden="0" customWidth="1"/>
    <x:col min="8" max="8" width="18" hidden="0" customWidth="1"/>
  </x:cols>
  <x:sheetData>
    <x:row r="1" ht="28" customHeight="1">
      <x:c r="A1" s="43" t="str">
        <x:v>RBQ-1 casualty-area, service-loss and outside-reconstruction model</x:v>
      </x:c>
      <x:c r="B1" s="35"/>
      <x:c r="C1" s="35"/>
      <x:c r="D1" s="35"/>
      <x:c r="E1" s="35"/>
      <x:c r="F1" s="35"/>
      <x:c r="G1" s="35"/>
      <x:c r="H1" s="35"/>
    </x:row>
    <x:row r="2" ht="26" customHeight="1">
      <x:c r="A2" s="44" t="str">
        <x:v>Planning workbook for the final AM-06 rung. Physical observations and acceptance remain open.</x:v>
      </x:c>
      <x:c r="B2" s="35"/>
      <x:c r="C2" s="35"/>
      <x:c r="D2" s="35"/>
      <x:c r="E2" s="35"/>
      <x:c r="F2" s="35"/>
      <x:c r="G2" s="35"/>
      <x:c r="H2" s="35"/>
    </x:row>
    <x:row r="3">
      <x:c r="A3" s="35"/>
      <x:c r="B3" s="35"/>
      <x:c r="C3" s="35"/>
      <x:c r="D3" s="35"/>
      <x:c r="E3" s="35"/>
      <x:c r="F3" s="35"/>
      <x:c r="G3" s="35"/>
      <x:c r="H3" s="35"/>
    </x:row>
    <x:row r="4">
      <x:c r="A4" s="10" t="str">
        <x:v>Scale</x:v>
      </x:c>
      <x:c r="B4" s="10" t="str">
        <x:v>Result</x:v>
      </x:c>
      <x:c r="C4" s="35"/>
      <x:c r="D4" s="10" t="str">
        <x:v>Program</x:v>
      </x:c>
      <x:c r="E4" s="10" t="str">
        <x:v>Result</x:v>
      </x:c>
      <x:c r="F4" s="35"/>
      <x:c r="G4" s="10" t="str">
        <x:v>Authority</x:v>
      </x:c>
      <x:c r="H4" s="10" t="str">
        <x:v>Result</x:v>
      </x:c>
    </x:row>
    <x:row r="5">
      <x:c r="A5" s="36" t="str">
        <x:v>Water issue</x:v>
      </x:c>
      <x:c r="B5" s="42" t="n">
        <x:f>Assumptions!B6</x:f>
        <x:v>48</x:v>
      </x:c>
      <x:c r="C5" s="35"/>
      <x:c r="D5" s="36" t="str">
        <x:v>Candidate trials</x:v>
      </x:c>
      <x:c r="E5" s="42" t="n">
        <x:f>Audit!B5</x:f>
        <x:v>384</x:v>
      </x:c>
      <x:c r="F5" s="35"/>
      <x:c r="G5" s="36" t="str">
        <x:v>Physical roots</x:v>
      </x:c>
      <x:c r="H5" s="42" t="n">
        <x:f>Audit!B11</x:f>
        <x:v>9</x:v>
      </x:c>
    </x:row>
    <x:row r="6">
      <x:c r="A6" s="36" t="str">
        <x:v>Issue rate</x:v>
      </x:c>
      <x:c r="B6" s="42" t="n">
        <x:f>'Hydraulic Screen'!B7</x:f>
        <x:v>24</x:v>
      </x:c>
      <x:c r="C6" s="35"/>
      <x:c r="D6" s="36" t="str">
        <x:v>Matched comparisons</x:v>
      </x:c>
      <x:c r="E6" s="42" t="n">
        <x:f>Audit!B6</x:f>
        <x:v>192</x:v>
      </x:c>
      <x:c r="F6" s="35"/>
      <x:c r="G6" s="36" t="str">
        <x:v>Service islands</x:v>
      </x:c>
      <x:c r="H6" s="42" t="n">
        <x:f>COUNTA('Service Islands'!A5:A20)</x:f>
        <x:v>6</x:v>
      </x:c>
    </x:row>
    <x:row r="7">
      <x:c r="A7" s="36" t="str">
        <x:v>Casualty inlet multiple</x:v>
      </x:c>
      <x:c r="B7" s="42" t="n">
        <x:f>'Hydraulic Screen'!B9</x:f>
        <x:v>6</x:v>
      </x:c>
      <x:c r="C7" s="35"/>
      <x:c r="D7" s="36" t="str">
        <x:v>Qualification cycles</x:v>
      </x:c>
      <x:c r="E7" s="42" t="n">
        <x:f>Audit!B8</x:f>
        <x:v>180</x:v>
      </x:c>
      <x:c r="F7" s="35"/>
      <x:c r="G7" s="36" t="str">
        <x:v>Outside decisions</x:v>
      </x:c>
      <x:c r="H7" s="42" t="n">
        <x:f>Audit!B16</x:f>
        <x:v>36</x:v>
      </x:c>
    </x:row>
    <x:row r="8">
      <x:c r="A8" s="36" t="str">
        <x:v>Heat-release screen</x:v>
      </x:c>
      <x:c r="B8" s="42" t="n">
        <x:f>'Thermal Screen'!B6</x:f>
        <x:v>58.5585</x:v>
      </x:c>
      <x:c r="C8" s="35"/>
      <x:c r="D8" s="36" t="str">
        <x:v>Exact cells</x:v>
      </x:c>
      <x:c r="E8" s="42" t="n">
        <x:f>Audit!B9</x:f>
        <x:v>12</x:v>
      </x:c>
      <x:c r="F8" s="35"/>
      <x:c r="G8" s="36" t="str">
        <x:v>Safeing paths</x:v>
      </x:c>
      <x:c r="H8" s="42" t="n">
        <x:f>Audit!B15</x:f>
        <x:v>48</x:v>
      </x:c>
    </x:row>
    <x:row r="9">
      <x:c r="A9" s="36" t="str">
        <x:v>Minimum liquid</x:v>
      </x:c>
      <x:c r="B9" s="42" t="n">
        <x:f>'Thermal Screen'!B11</x:f>
        <x:v>39.767877622924914</x:v>
      </x:c>
      <x:c r="C9" s="35"/>
      <x:c r="D9" s="36" t="str">
        <x:v>Primary weeks</x:v>
      </x:c>
      <x:c r="E9" s="42" t="n">
        <x:f>Schedule!B16</x:f>
        <x:v>180</x:v>
      </x:c>
      <x:c r="F9" s="35"/>
      <x:c r="G9" s="36" t="str">
        <x:v>Concurrent positions</x:v>
      </x:c>
      <x:c r="H9" s="42" t="n">
        <x:f>Workforce!B19</x:f>
        <x:v>6500</x:v>
      </x:c>
    </x:row>
    <x:row r="10">
      <x:c r="A10" s="36" t="str">
        <x:v>Normal receiver after issue</x:v>
      </x:c>
      <x:c r="B10" s="42" t="n">
        <x:f>'Receiver Screen'!C5</x:f>
        <x:v>-8</x:v>
      </x:c>
      <x:c r="C10" s="35"/>
      <x:c r="D10" s="36" t="str">
        <x:v>Capital</x:v>
      </x:c>
      <x:c r="E10" s="42" t="n">
        <x:f>Capital!B18</x:f>
        <x:v>6800</x:v>
      </x:c>
      <x:c r="F10" s="35"/>
      <x:c r="G10" s="36" t="str">
        <x:v>RAS-3R8 weeks</x:v>
      </x:c>
      <x:c r="H10" s="42" t="n">
        <x:f>'Parent Amendment'!C5</x:f>
        <x:v>1144</x:v>
      </x:c>
    </x:row>
    <x:row r="11">
      <x:c r="A11" s="36" t="str">
        <x:v>Evidence boundary</x:v>
      </x:c>
      <x:c r="B11" s="42" t="n">
        <x:f>'Evidence Build'!B16/1000000</x:f>
        <x:v>2.4402678816</x:v>
      </x:c>
      <x:c r="C11" s="35"/>
      <x:c r="D11" s="36" t="str">
        <x:v>Technology</x:v>
      </x:c>
      <x:c r="E11" s="42" t="n">
        <x:f>Technology!B19</x:f>
        <x:v>2800</x:v>
      </x:c>
      <x:c r="F11" s="35"/>
      <x:c r="G11" s="36" t="str">
        <x:v>Next object</x:v>
      </x:c>
      <x:c r="H11" s="36" t="str">
        <x:f>"RBR-1"</x:f>
        <x:v>RBR-1</x:v>
      </x:c>
    </x:row>
    <x:row r="12">
      <x:c r="A12" s="35"/>
      <x:c r="B12" s="35"/>
      <x:c r="C12" s="35"/>
      <x:c r="D12" s="35"/>
      <x:c r="E12" s="35"/>
      <x:c r="F12" s="35"/>
      <x:c r="G12" s="35"/>
      <x:c r="H12" s="35"/>
    </x:row>
    <x:row r="13">
      <x:c r="A13" s="45" t="str">
        <x:v>Finding</x:v>
      </x:c>
      <x:c r="B13" s="35"/>
      <x:c r="C13" s="35"/>
      <x:c r="D13" s="35"/>
      <x:c r="E13" s="35"/>
      <x:c r="F13" s="35"/>
      <x:c r="G13" s="35"/>
      <x:c r="H13" s="35"/>
    </x:row>
    <x:row r="14" ht="74" customHeight="1">
      <x:c r="A14" s="41" t="str">
        <x:v>ER-10 is a new casualty-system architecture. The two-minute issue requires 24 m3/min, six times the inherited casualty inlet. The normal receiver is impossible by volume. Qualification begins with host services absent and ends only after three external reconstructions, module return at 1,008 hours and site recovery at 2,016 hours.</x:v>
      </x:c>
      <x:c r="B14" s="35"/>
      <x:c r="C14" s="35"/>
      <x:c r="D14" s="35"/>
      <x:c r="E14" s="35"/>
      <x:c r="F14" s="35"/>
      <x:c r="G14" s="35"/>
      <x:c r="H14" s="35"/>
    </x:row>
  </x:sheetData>
  <x:mergeCells>
    <x:mergeCell ref="A1:H1"/>
    <x:mergeCell ref="A2:H2"/>
    <x:mergeCell ref="A13:H13"/>
    <x:mergeCell ref="A14:H17"/>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62" hidden="0" customWidth="1"/>
    <x:col min="3" max="3" width="18" hidden="0" customWidth="1"/>
  </x:cols>
  <x:sheetData>
    <x:row r="1" ht="26" customHeight="1">
      <x:c r="A1" s="43" t="str">
        <x:v>RBQ-1 decision map</x:v>
      </x:c>
      <x:c r="B1" s="35"/>
      <x:c r="C1" s="35"/>
    </x:row>
    <x:row r="2" ht="32" customHeight="1">
      <x:c r="A2" s="7" t="str">
        <x:v>The pass constitutes research and qualification. It does not select a vehicle or operational system.</x:v>
      </x:c>
      <x:c r="B2" s="35"/>
      <x:c r="C2" s="35"/>
    </x:row>
    <x:row r="3">
      <x:c r="A3" s="35"/>
      <x:c r="B3" s="35"/>
      <x:c r="C3" s="35"/>
    </x:row>
    <x:row r="4" ht="28" customHeight="1">
      <x:c r="A4" s="11" t="str">
        <x:v>Decision area</x:v>
      </x:c>
      <x:c r="B4" s="11" t="str">
        <x:v>Registered design</x:v>
      </x:c>
      <x:c r="C4" s="11" t="str">
        <x:v>State</x:v>
      </x:c>
    </x:row>
    <x:row r="5">
      <x:c r="A5" s="14" t="str">
        <x:v>Scale</x:v>
      </x:c>
      <x:c r="B5" s="14" t="str">
        <x:v>500 kg / 48 m3 / 25 m2 / 120 s</x:v>
      </x:c>
      <x:c r="C5" s="14" t="str">
        <x:v>Registered</x:v>
      </x:c>
    </x:row>
    <x:row r="6">
      <x:c r="A6" s="15" t="str">
        <x:v>Architecture</x:v>
      </x:c>
      <x:c r="B6" s="15" t="str">
        <x:v>Four rival whole-system candidates</x:v>
      </x:c>
      <x:c r="C6" s="15" t="str">
        <x:v>Open</x:v>
      </x:c>
    </x:row>
    <x:row r="7">
      <x:c r="A7" s="14" t="str">
        <x:v>Truth</x:v>
      </x:c>
      <x:c r="B7" s="14" t="str">
        <x:v>Nine independent physical roots</x:v>
      </x:c>
      <x:c r="C7" s="14" t="str">
        <x:v>Registered</x:v>
      </x:c>
    </x:row>
    <x:row r="8">
      <x:c r="A8" s="15" t="str">
        <x:v>Service loss</x:v>
      </x:c>
      <x:c r="B8" s="15" t="str">
        <x:v>Six isolated service estates</x:v>
      </x:c>
      <x:c r="C8" s="15" t="str">
        <x:v>Registered</x:v>
      </x:c>
    </x:row>
    <x:row r="9">
      <x:c r="A9" s="14" t="str">
        <x:v>Public action</x:v>
      </x:c>
      <x:c r="B9" s="14" t="str">
        <x:v>Independent unconditional path</x:v>
      </x:c>
      <x:c r="C9" s="14" t="str">
        <x:v>Registered</x:v>
      </x:c>
    </x:row>
    <x:row r="10">
      <x:c r="A10" s="15" t="str">
        <x:v>Reconstruction</x:v>
      </x:c>
      <x:c r="B10" s="15" t="str">
        <x:v>Three external decisions per exact event</x:v>
      </x:c>
      <x:c r="C10" s="15" t="str">
        <x:v>Registered</x:v>
      </x:c>
    </x:row>
    <x:row r="11">
      <x:c r="A11" s="14" t="str">
        <x:v>Qualification</x:v>
      </x:c>
      <x:c r="B11" s="14" t="str">
        <x:v>18 modules x 10 states</x:v>
      </x:c>
      <x:c r="C11" s="14" t="str">
        <x:v>Planned</x:v>
      </x:c>
    </x:row>
    <x:row r="12">
      <x:c r="A12" s="15" t="str">
        <x:v>Exact class</x:v>
      </x:c>
      <x:c r="B12" s="15" t="str">
        <x:v>12 cells plus 4 bound reserves</x:v>
      </x:c>
      <x:c r="C12" s="15" t="str">
        <x:v>Planned</x:v>
      </x:c>
    </x:row>
    <x:row r="13">
      <x:c r="A13" s="14" t="str">
        <x:v>Terminal authority</x:v>
      </x:c>
      <x:c r="B13" s="14" t="str">
        <x:v>Whole-ladder closure only</x:v>
      </x:c>
      <x:c r="C13" s="14" t="str">
        <x:v>Bounded</x:v>
      </x:c>
    </x:row>
  </x:sheetData>
  <x:mergeCells>
    <x:mergeCell ref="A1:C1"/>
    <x:mergeCell ref="A2:C2"/>
  </x:mergeCells>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1" hidden="0" customWidth="1"/>
    <x:col min="2" max="2" width="16" hidden="0" customWidth="1"/>
    <x:col min="3" max="3" width="16" hidden="0" customWidth="1"/>
    <x:col min="4" max="4" width="46" hidden="0" customWidth="1"/>
  </x:cols>
  <x:sheetData>
    <x:row r="1" ht="26" customHeight="1">
      <x:c r="A1" s="43" t="str">
        <x:v>ER-10 planning assumptions</x:v>
      </x:c>
      <x:c r="B1" s="35"/>
      <x:c r="C1" s="35"/>
      <x:c r="D1" s="35"/>
    </x:row>
    <x:row r="2" ht="32" customHeight="1">
      <x:c r="A2" s="7" t="str">
        <x:v>Blue cells are registered inputs. Physical observations remain open.</x:v>
      </x:c>
      <x:c r="B2" s="35"/>
      <x:c r="C2" s="35"/>
      <x:c r="D2" s="35"/>
    </x:row>
    <x:row r="3">
      <x:c r="A3" s="35"/>
      <x:c r="B3" s="35"/>
      <x:c r="C3" s="35"/>
      <x:c r="D3" s="35"/>
    </x:row>
    <x:row r="4" ht="28" customHeight="1">
      <x:c r="A4" s="11" t="str">
        <x:v>Input</x:v>
      </x:c>
      <x:c r="B4" s="11" t="str">
        <x:v>Value</x:v>
      </x:c>
      <x:c r="C4" s="11" t="str">
        <x:v>Unit</x:v>
      </x:c>
      <x:c r="D4" s="11" t="str">
        <x:v>Authority</x:v>
      </x:c>
    </x:row>
    <x:row r="5">
      <x:c r="A5" s="14" t="str">
        <x:v>Source mass</x:v>
      </x:c>
      <x:c r="B5" s="17" t="n">
        <x:v>500</x:v>
      </x:c>
      <x:c r="C5" s="14" t="str">
        <x:v>kg</x:v>
      </x:c>
      <x:c r="D5" s="14" t="str">
        <x:v>Registered ER-10 state</x:v>
      </x:c>
    </x:row>
    <x:row r="6">
      <x:c r="A6" s="15" t="str">
        <x:v>Reference water</x:v>
      </x:c>
      <x:c r="B6" s="17" t="n">
        <x:v>48</x:v>
      </x:c>
      <x:c r="C6" s="15" t="str">
        <x:v>m3</x:v>
      </x:c>
      <x:c r="D6" s="15" t="str">
        <x:v>Registered ER-10 state</x:v>
      </x:c>
    </x:row>
    <x:row r="7">
      <x:c r="A7" s="14" t="str">
        <x:v>Water density</x:v>
      </x:c>
      <x:c r="B7" s="17" t="n">
        <x:v>998</x:v>
      </x:c>
      <x:c r="C7" s="14" t="str">
        <x:v>kg/m3</x:v>
      </x:c>
      <x:c r="D7" s="14" t="str">
        <x:v>Inherited planning density</x:v>
      </x:c>
    </x:row>
    <x:row r="8">
      <x:c r="A8" s="15" t="str">
        <x:v>Field area</x:v>
      </x:c>
      <x:c r="B8" s="17" t="n">
        <x:v>25</x:v>
      </x:c>
      <x:c r="C8" s="15" t="str">
        <x:v>m2</x:v>
      </x:c>
      <x:c r="D8" s="15" t="str">
        <x:v>Casualty-area bound</x:v>
      </x:c>
    </x:row>
    <x:row r="9">
      <x:c r="A9" s="14" t="str">
        <x:v>Issue duration</x:v>
      </x:c>
      <x:c r="B9" s="17" t="n">
        <x:v>120</x:v>
      </x:c>
      <x:c r="C9" s="14" t="str">
        <x:v>s</x:v>
      </x:c>
      <x:c r="D9" s="14" t="str">
        <x:v>Frozen water issue interval</x:v>
      </x:c>
    </x:row>
    <x:row r="10">
      <x:c r="A10" s="15" t="str">
        <x:v>Burning flux</x:v>
      </x:c>
      <x:c r="B10" s="17" t="n">
        <x:v>0.055</x:v>
      </x:c>
      <x:c r="C10" s="15" t="str">
        <x:v>kg/m2-s</x:v>
      </x:c>
      <x:c r="D10" s="15" t="str">
        <x:v>Inherited screen</x:v>
      </x:c>
    </x:row>
    <x:row r="11">
      <x:c r="A11" s="14" t="str">
        <x:v>Lower heating value</x:v>
      </x:c>
      <x:c r="B11" s="17" t="n">
        <x:v>42.588</x:v>
      </x:c>
      <x:c r="C11" s="14" t="str">
        <x:v>MJ/kg</x:v>
      </x:c>
      <x:c r="D11" s="14" t="str">
        <x:v>Inherited screen</x:v>
      </x:c>
    </x:row>
    <x:row r="12">
      <x:c r="A12" s="15" t="str">
        <x:v>Radiant fraction</x:v>
      </x:c>
      <x:c r="B12" s="17" t="n">
        <x:v>0.35</x:v>
      </x:c>
      <x:c r="C12" s="15" t="str">
        <x:v>fraction</x:v>
      </x:c>
      <x:c r="D12" s="15" t="str">
        <x:v>Inherited screen</x:v>
      </x:c>
    </x:row>
    <x:row r="13">
      <x:c r="A13" s="14" t="str">
        <x:v>Water heat plus vapor</x:v>
      </x:c>
      <x:c r="B13" s="17" t="n">
        <x:v>2.59188</x:v>
      </x:c>
      <x:c r="C13" s="14" t="str">
        <x:v>MJ/kg</x:v>
      </x:c>
      <x:c r="D13" s="14" t="str">
        <x:v>20 C to vapor screen</x:v>
      </x:c>
    </x:row>
    <x:row r="14">
      <x:c r="A14" s="15" t="str">
        <x:v>Normal receiver</x:v>
      </x:c>
      <x:c r="B14" s="17" t="n">
        <x:v>40</x:v>
      </x:c>
      <x:c r="C14" s="15" t="str">
        <x:v>m3</x:v>
      </x:c>
      <x:c r="D14" s="15" t="str">
        <x:v>Named volume only</x:v>
      </x:c>
    </x:row>
    <x:row r="15">
      <x:c r="A15" s="14" t="str">
        <x:v>Casualty receiver</x:v>
      </x:c>
      <x:c r="B15" s="17" t="n">
        <x:v>120</x:v>
      </x:c>
      <x:c r="C15" s="14" t="str">
        <x:v>m3</x:v>
      </x:c>
      <x:c r="D15" s="14" t="str">
        <x:v>Named volume only</x:v>
      </x:c>
    </x:row>
    <x:row r="16">
      <x:c r="A16" s="15" t="str">
        <x:v>Normal supply rate</x:v>
      </x:c>
      <x:c r="B16" s="17" t="n">
        <x:v>3</x:v>
      </x:c>
      <x:c r="C16" s="15" t="str">
        <x:v>m3/min</x:v>
      </x:c>
      <x:c r="D16" s="15" t="str">
        <x:v>Public rig specification</x:v>
      </x:c>
    </x:row>
    <x:row r="17">
      <x:c r="A17" s="14" t="str">
        <x:v>Casualty inlet rate</x:v>
      </x:c>
      <x:c r="B17" s="17" t="n">
        <x:v>4</x:v>
      </x:c>
      <x:c r="C17" s="14" t="str">
        <x:v>m3/min</x:v>
      </x:c>
      <x:c r="D17" s="14" t="str">
        <x:v>Public rig specification</x:v>
      </x:c>
    </x:row>
    <x:row r="18">
      <x:c r="A18" s="15" t="str">
        <x:v>Qualification modules</x:v>
      </x:c>
      <x:c r="B18" s="17" t="n">
        <x:v>18</x:v>
      </x:c>
      <x:c r="C18" s="15" t="str">
        <x:v>count</x:v>
      </x:c>
      <x:c r="D18" s="15" t="str">
        <x:v>Serviceable population</x:v>
      </x:c>
    </x:row>
    <x:row r="19">
      <x:c r="A19" s="14" t="str">
        <x:v>Qualification states</x:v>
      </x:c>
      <x:c r="B19" s="17" t="n">
        <x:v>10</x:v>
      </x:c>
      <x:c r="C19" s="14" t="str">
        <x:v>count</x:v>
      </x:c>
      <x:c r="D19" s="14" t="str">
        <x:v>Per module</x:v>
      </x:c>
    </x:row>
    <x:row r="20">
      <x:c r="A20" s="15" t="str">
        <x:v>Required exact cells</x:v>
      </x:c>
      <x:c r="B20" s="17" t="n">
        <x:v>12</x:v>
      </x:c>
      <x:c r="C20" s="15" t="str">
        <x:v>count</x:v>
      </x:c>
      <x:c r="D20" s="15" t="str">
        <x:v>Two morphologies x six denial worlds</x:v>
      </x:c>
    </x:row>
    <x:row r="21">
      <x:c r="A21" s="14" t="str">
        <x:v>Invalid reserves</x:v>
      </x:c>
      <x:c r="B21" s="17" t="n">
        <x:v>4</x:v>
      </x:c>
      <x:c r="C21" s="14" t="str">
        <x:v>count</x:v>
      </x:c>
      <x:c r="D21" s="14" t="str">
        <x:v>Bound replacements</x:v>
      </x:c>
    </x:row>
    <x:row r="22">
      <x:c r="A22" s="15" t="str">
        <x:v>Candidate articles</x:v>
      </x:c>
      <x:c r="B22" s="17" t="n">
        <x:v>24</x:v>
      </x:c>
      <x:c r="C22" s="15" t="str">
        <x:v>count</x:v>
      </x:c>
      <x:c r="D22" s="15" t="str">
        <x:v>Four concepts x two lineages x three campuses</x:v>
      </x:c>
    </x:row>
    <x:row r="23">
      <x:c r="A23" s="14" t="str">
        <x:v>Candidate trials per article</x:v>
      </x:c>
      <x:c r="B23" s="17" t="n">
        <x:v>16</x:v>
      </x:c>
      <x:c r="C23" s="14" t="str">
        <x:v>count</x:v>
      </x:c>
      <x:c r="D23" s="14" t="str">
        <x:v>Eight states x two morphologies</x:v>
      </x:c>
    </x:row>
    <x:row r="24">
      <x:c r="A24" s="15" t="str">
        <x:v>Matched comparisons</x:v>
      </x:c>
      <x:c r="B24" s="17" t="n">
        <x:v>192</x:v>
      </x:c>
      <x:c r="C24" s="15" t="str">
        <x:v>count</x:v>
      </x:c>
      <x:c r="D24" s="15" t="str">
        <x:v>Six pairs x two morphologies x sixteen</x:v>
      </x:c>
    </x:row>
    <x:row r="25">
      <x:c r="A25" s="14" t="str">
        <x:v>Module return</x:v>
      </x:c>
      <x:c r="B25" s="17" t="n">
        <x:v>1008</x:v>
      </x:c>
      <x:c r="C25" s="14" t="str">
        <x:v>h</x:v>
      </x:c>
      <x:c r="D25" s="14" t="str">
        <x:v>Fixed observation boundary</x:v>
      </x:c>
    </x:row>
    <x:row r="26">
      <x:c r="A26" s="15" t="str">
        <x:v>Site recovery</x:v>
      </x:c>
      <x:c r="B26" s="17" t="n">
        <x:v>2016</x:v>
      </x:c>
      <x:c r="C26" s="15" t="str">
        <x:v>h</x:v>
      </x:c>
      <x:c r="D26" s="15" t="str">
        <x:v>Fixed observation boundary</x:v>
      </x:c>
    </x:row>
    <x:row r="27">
      <x:c r="A27" s="14" t="str">
        <x:v>Primary child calendar</x:v>
      </x:c>
      <x:c r="B27" s="17" t="n">
        <x:v>180</x:v>
      </x:c>
      <x:c r="C27" s="14" t="str">
        <x:v>weeks</x:v>
      </x:c>
      <x:c r="D27" s="14" t="str">
        <x:v>Release-aware plan</x:v>
      </x:c>
    </x:row>
    <x:row r="28">
      <x:c r="A28" s="15" t="str">
        <x:v>Maximum child calendar</x:v>
      </x:c>
      <x:c r="B28" s="17" t="n">
        <x:v>184</x:v>
      </x:c>
      <x:c r="C28" s="15" t="str">
        <x:v>weeks</x:v>
      </x:c>
      <x:c r="D28" s="15" t="str">
        <x:v>Includes class reserve concentration</x:v>
      </x:c>
    </x:row>
    <x:row r="29">
      <x:c r="A29" s="14" t="str">
        <x:v>Child capital</x:v>
      </x:c>
      <x:c r="B29" s="17" t="n">
        <x:v>6800</x:v>
      </x:c>
      <x:c r="C29" s="14" t="str">
        <x:v>USD M</x:v>
      </x:c>
      <x:c r="D29" s="14" t="str">
        <x:v>Planning authority</x:v>
      </x:c>
    </x:row>
    <x:row r="30">
      <x:c r="A30" s="15" t="str">
        <x:v>Child annual support</x:v>
      </x:c>
      <x:c r="B30" s="17" t="n">
        <x:v>550</x:v>
      </x:c>
      <x:c r="C30" s="15" t="str">
        <x:v>USD M/year</x:v>
      </x:c>
      <x:c r="D30" s="15" t="str">
        <x:v>Execution program</x:v>
      </x:c>
    </x:row>
    <x:row r="31">
      <x:c r="A31" s="14" t="str">
        <x:v>Child technology</x:v>
      </x:c>
      <x:c r="B31" s="17" t="n">
        <x:v>2800</x:v>
      </x:c>
      <x:c r="C31" s="14" t="str">
        <x:v>USD M</x:v>
      </x:c>
      <x:c r="D31" s="14" t="str">
        <x:v>Mission-led portfolio</x:v>
      </x:c>
    </x:row>
    <x:row r="32">
      <x:c r="A32" s="15" t="str">
        <x:v>Execution positions</x:v>
      </x:c>
      <x:c r="B32" s="17" t="n">
        <x:v>2600</x:v>
      </x:c>
      <x:c r="C32" s="15" t="str">
        <x:v>positions</x:v>
      </x:c>
      <x:c r="D32" s="15" t="str">
        <x:v>Child formation</x:v>
      </x:c>
    </x:row>
    <x:row r="33">
      <x:c r="A33" s="14" t="str">
        <x:v>Retained positions</x:v>
      </x:c>
      <x:c r="B33" s="17" t="n">
        <x:v>3900</x:v>
      </x:c>
      <x:c r="C33" s="14" t="str">
        <x:v>positions</x:v>
      </x:c>
      <x:c r="D33" s="14" t="str">
        <x:v>Prior banks and establishment</x:v>
      </x:c>
    </x:row>
    <x:row r="34">
      <x:c r="A34" s="15" t="str">
        <x:v>Retained annual support</x:v>
      </x:c>
      <x:c r="B34" s="17" t="n">
        <x:v>700</x:v>
      </x:c>
      <x:c r="C34" s="15" t="str">
        <x:v>USD M/year</x:v>
      </x:c>
      <x:c r="D34" s="15" t="str">
        <x:v>Prior banks and establishment</x:v>
      </x:c>
    </x:row>
    <x:row r="35">
      <x:c r="A35" s="14" t="str">
        <x:v>Evidence high rate</x:v>
      </x:c>
      <x:c r="B35" s="17" t="n">
        <x:v>384</x:v>
      </x:c>
      <x:c r="C35" s="14" t="str">
        <x:v>MB/s</x:v>
      </x:c>
      <x:c r="D35" s="14" t="str">
        <x:v>First two hours</x:v>
      </x:c>
    </x:row>
    <x:row r="36">
      <x:c r="A36" s="15" t="str">
        <x:v>Evidence mid rate</x:v>
      </x:c>
      <x:c r="B36" s="17" t="n">
        <x:v>8.4</x:v>
      </x:c>
      <x:c r="C36" s="15" t="str">
        <x:v>MB/s</x:v>
      </x:c>
      <x:c r="D36" s="15" t="str">
        <x:v>Hour 2 through hour 24</x:v>
      </x:c>
    </x:row>
    <x:row r="37">
      <x:c r="A37" s="14" t="str">
        <x:v>Evidence low rate</x:v>
      </x:c>
      <x:c r="B37" s="17" t="n">
        <x:v>0.032</x:v>
      </x:c>
      <x:c r="C37" s="14" t="str">
        <x:v>MB/s</x:v>
      </x:c>
      <x:c r="D37" s="14" t="str">
        <x:v>Hour 24 through hour 2016</x:v>
      </x:c>
    </x:row>
    <x:row r="38">
      <x:c r="A38" s="15" t="str">
        <x:v>Custody factor</x:v>
      </x:c>
      <x:c r="B38" s="17" t="n">
        <x:v>1.35</x:v>
      </x:c>
      <x:c r="C38" s="15" t="str">
        <x:v>factor</x:v>
      </x:c>
      <x:c r="D38" s="15" t="str">
        <x:v>Index and custody overhead</x:v>
      </x:c>
    </x:row>
    <x:row r="39">
      <x:c r="A39" s="14" t="str">
        <x:v>Native originals</x:v>
      </x:c>
      <x:c r="B39" s="17" t="n">
        <x:v>2</x:v>
      </x:c>
      <x:c r="C39" s="14" t="str">
        <x:v>count</x:v>
      </x:c>
      <x:c r="D39" s="14" t="str">
        <x:v>Independent at physical interface</x:v>
      </x:c>
    </x:row>
    <x:row r="40">
      <x:c r="A40" s="15" t="str">
        <x:v>Forensic reserve</x:v>
      </x:c>
      <x:c r="B40" s="17" t="n">
        <x:v>0.25</x:v>
      </x:c>
      <x:c r="C40" s="15" t="str">
        <x:v>fraction</x:v>
      </x:c>
      <x:c r="D40" s="15" t="str">
        <x:v>Evidence planning reserve</x:v>
      </x:c>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4" hidden="0" customWidth="1"/>
    <x:col min="2" max="2" width="16" hidden="0" customWidth="1"/>
    <x:col min="3" max="3" width="16" hidden="0" customWidth="1"/>
    <x:col min="4" max="4" width="14" hidden="0" customWidth="1"/>
    <x:col min="5" max="5" width="18" hidden="0" customWidth="1"/>
  </x:cols>
  <x:sheetData>
    <x:row r="1" ht="26" customHeight="1">
      <x:c r="A1" s="43" t="str">
        <x:v>ER-09 to ER-10 scale transition</x:v>
      </x:c>
      <x:c r="B1" s="35"/>
      <x:c r="C1" s="35"/>
      <x:c r="D1" s="35"/>
      <x:c r="E1" s="35"/>
    </x:row>
    <x:row r="2" ht="32" customHeight="1">
      <x:c r="A2" s="7" t="str">
        <x:v>Formulas expose the casualty-state discontinuity.</x:v>
      </x:c>
      <x:c r="B2" s="35"/>
      <x:c r="C2" s="35"/>
      <x:c r="D2" s="35"/>
      <x:c r="E2" s="35"/>
    </x:row>
    <x:row r="3">
      <x:c r="A3" s="35"/>
      <x:c r="B3" s="35"/>
      <x:c r="C3" s="35"/>
      <x:c r="D3" s="35"/>
      <x:c r="E3" s="35"/>
    </x:row>
    <x:row r="4" ht="28" customHeight="1">
      <x:c r="A4" s="11" t="str">
        <x:v>Quantity</x:v>
      </x:c>
      <x:c r="B4" s="11" t="str">
        <x:v>ER-09</x:v>
      </x:c>
      <x:c r="C4" s="11" t="str">
        <x:v>ER-10</x:v>
      </x:c>
      <x:c r="D4" s="11" t="str">
        <x:v>Ratio</x:v>
      </x:c>
      <x:c r="E4" s="11" t="str">
        <x:v>Unit</x:v>
      </x:c>
    </x:row>
    <x:row r="5">
      <x:c r="A5" s="14" t="str">
        <x:v>Source</x:v>
      </x:c>
      <x:c r="B5" s="18" t="n">
        <x:v>500</x:v>
      </x:c>
      <x:c r="C5" s="18" t="n">
        <x:f>Assumptions!B5</x:f>
        <x:v>500</x:v>
      </x:c>
      <x:c r="D5" s="18" t="n">
        <x:f>C5/B5</x:f>
        <x:v>1</x:v>
      </x:c>
      <x:c r="E5" s="14" t="str">
        <x:v>kg</x:v>
      </x:c>
    </x:row>
    <x:row r="6">
      <x:c r="A6" s="15" t="str">
        <x:v>Water</x:v>
      </x:c>
      <x:c r="B6" s="19" t="n">
        <x:v>24</x:v>
      </x:c>
      <x:c r="C6" s="19" t="n">
        <x:f>Assumptions!B6</x:f>
        <x:v>48</x:v>
      </x:c>
      <x:c r="D6" s="19" t="n">
        <x:f>C6/B6</x:f>
        <x:v>2</x:v>
      </x:c>
      <x:c r="E6" s="15" t="str">
        <x:v>m3</x:v>
      </x:c>
    </x:row>
    <x:row r="7">
      <x:c r="A7" s="14" t="str">
        <x:v>Water mass</x:v>
      </x:c>
      <x:c r="B7" s="18" t="n">
        <x:v>23952</x:v>
      </x:c>
      <x:c r="C7" s="18" t="n">
        <x:f>Assumptions!B6*Assumptions!B7</x:f>
        <x:v>47904</x:v>
      </x:c>
      <x:c r="D7" s="18" t="n">
        <x:f>C7/B7</x:f>
        <x:v>2</x:v>
      </x:c>
      <x:c r="E7" s="14" t="str">
        <x:v>kg</x:v>
      </x:c>
    </x:row>
    <x:row r="8">
      <x:c r="A8" s="15" t="str">
        <x:v>Area</x:v>
      </x:c>
      <x:c r="B8" s="19" t="n">
        <x:v>6.25</x:v>
      </x:c>
      <x:c r="C8" s="19" t="n">
        <x:f>Assumptions!B8</x:f>
        <x:v>25</x:v>
      </x:c>
      <x:c r="D8" s="19" t="n">
        <x:f>C8/B8</x:f>
        <x:v>4</x:v>
      </x:c>
      <x:c r="E8" s="15" t="str">
        <x:v>m2</x:v>
      </x:c>
    </x:row>
    <x:row r="9">
      <x:c r="A9" s="14" t="str">
        <x:v>Mean source depth</x:v>
      </x:c>
      <x:c r="B9" s="18" t="n">
        <x:v>100</x:v>
      </x:c>
      <x:c r="C9" s="18" t="n">
        <x:f>Assumptions!B5/Assumptions!B8/0.8</x:f>
        <x:v>25</x:v>
      </x:c>
      <x:c r="D9" s="18" t="n">
        <x:f>C9/B9</x:f>
        <x:v>0.25</x:v>
      </x:c>
      <x:c r="E9" s="14" t="str">
        <x:v>mm</x:v>
      </x:c>
    </x:row>
    <x:row r="10">
      <x:c r="A10" s="15" t="str">
        <x:v>Source per area</x:v>
      </x:c>
      <x:c r="B10" s="19" t="n">
        <x:v>80</x:v>
      </x:c>
      <x:c r="C10" s="19" t="n">
        <x:f>Assumptions!B5/Assumptions!B8</x:f>
        <x:v>20</x:v>
      </x:c>
      <x:c r="D10" s="19" t="n">
        <x:f>C10/B10</x:f>
        <x:v>0.25</x:v>
      </x:c>
      <x:c r="E10" s="15" t="str">
        <x:v>kg/m2</x:v>
      </x:c>
    </x:row>
    <x:row r="11">
      <x:c r="A11" s="14" t="str">
        <x:v>Water per area</x:v>
      </x:c>
      <x:c r="B11" s="18" t="n">
        <x:v>3.84</x:v>
      </x:c>
      <x:c r="C11" s="18" t="n">
        <x:f>Assumptions!B6/Assumptions!B8</x:f>
        <x:v>1.92</x:v>
      </x:c>
      <x:c r="D11" s="18" t="n">
        <x:f>C11/B11</x:f>
        <x:v>0.5</x:v>
      </x:c>
      <x:c r="E11" s="14" t="str">
        <x:v>m3/m2</x:v>
      </x:c>
    </x:row>
    <x:row r="12">
      <x:c r="A12" s="15" t="str">
        <x:v>Water volume flux</x:v>
      </x:c>
      <x:c r="B12" s="19" t="n">
        <x:v>0.032</x:v>
      </x:c>
      <x:c r="C12" s="19" t="n">
        <x:f>Assumptions!B6/Assumptions!B9/Assumptions!B8</x:f>
        <x:v>0.016</x:v>
      </x:c>
      <x:c r="D12" s="19" t="n">
        <x:f>C12/B12</x:f>
        <x:v>0.5</x:v>
      </x:c>
      <x:c r="E12" s="15" t="str">
        <x:v>m3/m2-s</x:v>
      </x:c>
    </x:row>
    <x:row r="13">
      <x:c r="A13" s="14" t="str">
        <x:v>Water mass flux</x:v>
      </x:c>
      <x:c r="B13" s="18" t="n">
        <x:v>31.936</x:v>
      </x:c>
      <x:c r="C13" s="18" t="n">
        <x:f>Assumptions!B6*Assumptions!B7/Assumptions!B9/Assumptions!B8</x:f>
        <x:v>15.968</x:v>
      </x:c>
      <x:c r="D13" s="18" t="n">
        <x:f>C13/B13</x:f>
        <x:v>0.5</x:v>
      </x:c>
      <x:c r="E13" s="14" t="str">
        <x:v>kg/m2-s</x:v>
      </x:c>
    </x:row>
    <x:row r="14">
      <x:c r="A14" s="15" t="str">
        <x:v>Issue rate</x:v>
      </x:c>
      <x:c r="B14" s="19" t="n">
        <x:v>0.2</x:v>
      </x:c>
      <x:c r="C14" s="19" t="n">
        <x:f>Assumptions!B6/Assumptions!B9</x:f>
        <x:v>0.4</x:v>
      </x:c>
      <x:c r="D14" s="19" t="n">
        <x:f>C14/B14</x:f>
        <x:v>2</x:v>
      </x:c>
      <x:c r="E14" s="15" t="str">
        <x:v>m3/s</x:v>
      </x:c>
    </x:row>
    <x:row r="15">
      <x:c r="A15" s="14" t="str">
        <x:v>Equivalent diameter</x:v>
      </x:c>
      <x:c r="B15" s="18" t="n">
        <x:v>2.820948</x:v>
      </x:c>
      <x:c r="C15" s="18" t="n">
        <x:f>SQRT(4*Assumptions!B8/PI())</x:f>
        <x:v>5.641895835477563</x:v>
      </x:c>
      <x:c r="D15" s="18" t="n">
        <x:f>C15/B15</x:f>
        <x:v>1.999999941678316</x:v>
      </x:c>
      <x:c r="E15" s="14" t="str">
        <x:v>m</x:v>
      </x:c>
    </x:row>
    <x:row r="16">
      <x:c r="A16" s="15" t="str">
        <x:v>Equivalent boundary</x:v>
      </x:c>
      <x:c r="B16" s="19" t="n">
        <x:v>8.862269</x:v>
      </x:c>
      <x:c r="C16" s="19" t="n">
        <x:f>SQRT(4*PI()*Assumptions!B8)</x:f>
        <x:v>17.72453850905516</x:v>
      </x:c>
      <x:c r="D16" s="19" t="n">
        <x:f>C16/B16</x:f>
        <x:v>2.0000000574407255</x:v>
      </x:c>
      <x:c r="E16" s="15" t="str">
        <x:v>m</x:v>
      </x:c>
    </x:row>
    <x:row r="17">
      <x:c r="A17" s="14" t="str">
        <x:v>Water per boundary</x:v>
      </x:c>
      <x:c r="B17" s="18" t="n">
        <x:v>2.70811</x:v>
      </x:c>
      <x:c r="C17" s="18" t="n">
        <x:f>Assumptions!B6/C16</x:f>
        <x:v>2.70811000102923</x:v>
      </x:c>
      <x:c r="D17" s="18" t="n">
        <x:f>C17/B17</x:f>
        <x:v>1.0000000003800547</x:v>
      </x:c>
      <x:c r="E17" s="14" t="str">
        <x:v>m3/m</x:v>
      </x:c>
    </x:row>
    <x:row r="18">
      <x:c r="A18" s="15" t="str">
        <x:v>Heat-release screen</x:v>
      </x:c>
      <x:c r="B18" s="19" t="n">
        <x:v>14.639625</x:v>
      </x:c>
      <x:c r="C18" s="19" t="n">
        <x:f>Assumptions!B10*Assumptions!B8*Assumptions!B11</x:f>
        <x:v>58.5585</x:v>
      </x:c>
      <x:c r="D18" s="19" t="n">
        <x:f>C18/B18</x:f>
        <x:v>4</x:v>
      </x:c>
      <x:c r="E18" s="15" t="str">
        <x:v>MW</x:v>
      </x:c>
    </x:row>
    <x:row r="19">
      <x:c r="A19" s="14" t="str">
        <x:v>Dry-duration screen</x:v>
      </x:c>
      <x:c r="B19" s="18" t="n">
        <x:v>24.242424</x:v>
      </x:c>
      <x:c r="C19" s="18" t="n">
        <x:f>Assumptions!B5/Assumptions!B10/Assumptions!B8/60</x:f>
        <x:v>6.0606060606060606</x:v>
      </x:c>
      <x:c r="D19" s="18" t="n">
        <x:f>C19/B19</x:f>
        <x:v>0.25000000250000004</x:v>
      </x:c>
      <x:c r="E19" s="14" t="str">
        <x:v>min</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6" hidden="0" customWidth="1"/>
    <x:col min="2" max="2" width="20" hidden="0" customWidth="1"/>
    <x:col min="3" max="3" width="18" hidden="0" customWidth="1"/>
    <x:col min="4" max="4" width="58" hidden="0" customWidth="1"/>
  </x:cols>
  <x:sheetData>
    <x:row r="1" ht="26" customHeight="1">
      <x:c r="A1" s="43" t="str">
        <x:v>Thermal and phase screens</x:v>
      </x:c>
      <x:c r="B1" s="35"/>
      <x:c r="C1" s="35"/>
      <x:c r="D1" s="35"/>
    </x:row>
    <x:row r="2" ht="32" customHeight="1">
      <x:c r="A2" s="7" t="str">
        <x:v>Conservation bounds do not predict suppression performance.</x:v>
      </x:c>
      <x:c r="B2" s="35"/>
      <x:c r="C2" s="35"/>
      <x:c r="D2" s="35"/>
    </x:row>
    <x:row r="3">
      <x:c r="A3" s="35"/>
      <x:c r="B3" s="35"/>
      <x:c r="C3" s="35"/>
      <x:c r="D3" s="35"/>
    </x:row>
    <x:row r="4" ht="28" customHeight="1">
      <x:c r="A4" s="11" t="str">
        <x:v>Metric</x:v>
      </x:c>
      <x:c r="B4" s="11" t="str">
        <x:v>Formula result</x:v>
      </x:c>
      <x:c r="C4" s="11" t="str">
        <x:v>Unit</x:v>
      </x:c>
      <x:c r="D4" s="11" t="str">
        <x:v>Interpretation</x:v>
      </x:c>
    </x:row>
    <x:row r="5">
      <x:c r="A5" s="14" t="str">
        <x:v>Source energy</x:v>
      </x:c>
      <x:c r="B5" s="18" t="n">
        <x:f>Assumptions!B5*Assumptions!B11</x:f>
        <x:v>21294</x:v>
      </x:c>
      <x:c r="C5" s="14" t="str">
        <x:v>MJ</x:v>
      </x:c>
      <x:c r="D5" s="14" t="str">
        <x:v>Total source-energy screen</x:v>
      </x:c>
    </x:row>
    <x:row r="6">
      <x:c r="A6" s="15" t="str">
        <x:v>Heat-release screen</x:v>
      </x:c>
      <x:c r="B6" s="19" t="n">
        <x:f>Assumptions!B10*Assumptions!B8*Assumptions!B11</x:f>
        <x:v>58.5585</x:v>
      </x:c>
      <x:c r="C6" s="15" t="str">
        <x:v>MW</x:v>
      </x:c>
      <x:c r="D6" s="15" t="str">
        <x:v>Area-controlled peak screen</x:v>
      </x:c>
    </x:row>
    <x:row r="7">
      <x:c r="A7" s="14" t="str">
        <x:v>Radiant screen</x:v>
      </x:c>
      <x:c r="B7" s="18" t="n">
        <x:f>B6*Assumptions!B12</x:f>
        <x:v>20.495475</x:v>
      </x:c>
      <x:c r="C7" s="14" t="str">
        <x:v>MW</x:v>
      </x:c>
      <x:c r="D7" s="14" t="str">
        <x:v>Radiant fraction screen</x:v>
      </x:c>
    </x:row>
    <x:row r="8">
      <x:c r="A8" s="15" t="str">
        <x:v>Dry duration</x:v>
      </x:c>
      <x:c r="B8" s="19" t="n">
        <x:f>Assumptions!B5/Assumptions!B10/Assumptions!B8/60</x:f>
        <x:v>6.0606060606060606</x:v>
      </x:c>
      <x:c r="C8" s="15" t="str">
        <x:v>min</x:v>
      </x:c>
      <x:c r="D8" s="15" t="str">
        <x:v>Notional dry interval</x:v>
      </x:c>
    </x:row>
    <x:row r="9">
      <x:c r="A9" s="14" t="str">
        <x:v>Water heat plus vapor capacity</x:v>
      </x:c>
      <x:c r="B9" s="18" t="n">
        <x:f>Assumptions!B6*Assumptions!B7*Assumptions!B13</x:f>
        <x:v>124161.41952000001</x:v>
      </x:c>
      <x:c r="C9" s="14" t="str">
        <x:v>MJ</x:v>
      </x:c>
      <x:c r="D9" s="14" t="str">
        <x:v>Energy required to heat and vaporize all water</x:v>
      </x:c>
    </x:row>
    <x:row r="10">
      <x:c r="A10" s="15" t="str">
        <x:v>Maximum vapor volume</x:v>
      </x:c>
      <x:c r="B10" s="19" t="n">
        <x:f>B5/Assumptions!B13/Assumptions!B7</x:f>
        <x:v>8.23212237707509</x:v>
      </x:c>
      <x:c r="C10" s="15" t="str">
        <x:v>m3</x:v>
      </x:c>
      <x:c r="D10" s="15" t="str">
        <x:v>Impossible upper limit if all source energy enters water</x:v>
      </x:c>
    </x:row>
    <x:row r="11">
      <x:c r="A11" s="14" t="str">
        <x:v>Minimum liquid volume</x:v>
      </x:c>
      <x:c r="B11" s="18" t="n">
        <x:f>Assumptions!B6-B10</x:f>
        <x:v>39.767877622924914</x:v>
      </x:c>
      <x:c r="C11" s="14" t="str">
        <x:v>m3</x:v>
      </x:c>
      <x:c r="D11" s="14" t="str">
        <x:v>Liquid lower bound before added inventories</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4" hidden="0" customWidth="1"/>
    <x:col min="2" max="2" width="20" hidden="0" customWidth="1"/>
    <x:col min="3" max="3" width="16" hidden="0" customWidth="1"/>
    <x:col min="4" max="4" width="52" hidden="0" customWidth="1"/>
  </x:cols>
  <x:sheetData>
    <x:row r="1" ht="26" customHeight="1">
      <x:c r="A1" s="43" t="str">
        <x:v>High-rate hydraulic screen</x:v>
      </x:c>
      <x:c r="B1" s="35"/>
      <x:c r="C1" s="35"/>
      <x:c r="D1" s="35"/>
    </x:row>
    <x:row r="2" ht="32" customHeight="1">
      <x:c r="A2" s="7" t="str">
        <x:v>Static calculations expose inherited interface shortfalls.</x:v>
      </x:c>
      <x:c r="B2" s="35"/>
      <x:c r="C2" s="35"/>
      <x:c r="D2" s="35"/>
    </x:row>
    <x:row r="3">
      <x:c r="A3" s="35"/>
      <x:c r="B3" s="35"/>
      <x:c r="C3" s="35"/>
      <x:c r="D3" s="35"/>
    </x:row>
    <x:row r="4" ht="28" customHeight="1">
      <x:c r="A4" s="11" t="str">
        <x:v>Metric</x:v>
      </x:c>
      <x:c r="B4" s="11" t="str">
        <x:v>Formula result</x:v>
      </x:c>
      <x:c r="C4" s="11" t="str">
        <x:v>Unit</x:v>
      </x:c>
      <x:c r="D4" s="11" t="str">
        <x:v>Interpretation</x:v>
      </x:c>
    </x:row>
    <x:row r="5">
      <x:c r="A5" s="14" t="str">
        <x:v>Issue rate</x:v>
      </x:c>
      <x:c r="B5" s="18" t="n">
        <x:f>Assumptions!B6/Assumptions!B9</x:f>
        <x:v>0.4</x:v>
      </x:c>
      <x:c r="C5" s="14" t="str">
        <x:v>m3/s</x:v>
      </x:c>
      <x:c r="D5" s="14" t="str">
        <x:v>Registered two-minute issue</x:v>
      </x:c>
    </x:row>
    <x:row r="6">
      <x:c r="A6" s="15" t="str">
        <x:v>Mass issue rate</x:v>
      </x:c>
      <x:c r="B6" s="19" t="n">
        <x:f>Assumptions!B6*Assumptions!B7/Assumptions!B9</x:f>
        <x:v>399.2</x:v>
      </x:c>
      <x:c r="C6" s="15" t="str">
        <x:v>kg/s</x:v>
      </x:c>
      <x:c r="D6" s="15" t="str">
        <x:v>Water custody rate</x:v>
      </x:c>
    </x:row>
    <x:row r="7">
      <x:c r="A7" s="14" t="str">
        <x:v>Rate per minute</x:v>
      </x:c>
      <x:c r="B7" s="18" t="n">
        <x:f>Assumptions!B6/Assumptions!B9*60</x:f>
        <x:v>24</x:v>
      </x:c>
      <x:c r="C7" s="14" t="str">
        <x:v>m3/min</x:v>
      </x:c>
      <x:c r="D7" s="14" t="str">
        <x:v>Interface demand</x:v>
      </x:c>
    </x:row>
    <x:row r="8">
      <x:c r="A8" s="15" t="str">
        <x:v>Normal supply multiple</x:v>
      </x:c>
      <x:c r="B8" s="19" t="n">
        <x:f>B7/Assumptions!B16</x:f>
        <x:v>8</x:v>
      </x:c>
      <x:c r="C8" s="15" t="str">
        <x:v>x</x:v>
      </x:c>
      <x:c r="D8" s="15" t="str">
        <x:v>Demand divided by normal supply</x:v>
      </x:c>
    </x:row>
    <x:row r="9">
      <x:c r="A9" s="14" t="str">
        <x:v>Casualty inlet multiple</x:v>
      </x:c>
      <x:c r="B9" s="18" t="n">
        <x:f>B7/Assumptions!B17</x:f>
        <x:v>6</x:v>
      </x:c>
      <x:c r="C9" s="14" t="str">
        <x:v>x</x:v>
      </x:c>
      <x:c r="D9" s="14" t="str">
        <x:v>Demand divided by casualty inlet</x:v>
      </x:c>
    </x:row>
    <x:row r="10">
      <x:c r="A10" s="15" t="str">
        <x:v>50 m head at 75%</x:v>
      </x:c>
      <x:c r="B10" s="19" t="n">
        <x:f>Assumptions!B7*9.81*B5*50/0.75/1000</x:f>
        <x:v>261.07680000000005</x:v>
      </x:c>
      <x:c r="C10" s="15" t="str">
        <x:v>kW</x:v>
      </x:c>
      <x:c r="D10" s="15" t="str">
        <x:v>Idealized input screen</x:v>
      </x:c>
    </x:row>
    <x:row r="11">
      <x:c r="A11" s="14" t="str">
        <x:v>120 m head at 70%</x:v>
      </x:c>
      <x:c r="B11" s="18" t="n">
        <x:f>Assumptions!B7*9.81*B5*120/0.70/1000</x:f>
        <x:v>671.340342857143</x:v>
      </x:c>
      <x:c r="C11" s="14" t="str">
        <x:v>kW</x:v>
      </x:c>
      <x:c r="D11" s="14" t="str">
        <x:v>Idealized input screen</x:v>
      </x:c>
    </x:row>
    <x:row r="12">
      <x:c r="A12" s="15" t="str">
        <x:v>200 m head at 65%</x:v>
      </x:c>
      <x:c r="B12" s="19" t="n">
        <x:f>Assumptions!B7*9.81*B5*200/0.65/1000</x:f>
        <x:v>1204.9698461538462</x:v>
      </x:c>
      <x:c r="C12" s="15" t="str">
        <x:v>kW</x:v>
      </x:c>
      <x:c r="D12" s="15" t="str">
        <x:v>Idealized input screen</x:v>
      </x:c>
    </x:row>
  </x:sheetData>
  <x:mergeCells>
    <x:mergeCell ref="A1:D1"/>
    <x:mergeCell ref="A2:D2"/>
  </x:mergeCells>
  <x:pageMargins left="0.7" right="0.7" top="0.75" bottom="0.75" header="0.3" footer="0.3"/>
</x:worksheet>
</file>

<file path=xl/worksheets/sheet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2" hidden="0" customWidth="1"/>
    <x:col min="2" max="2" width="16" hidden="0" customWidth="1"/>
    <x:col min="3" max="3" width="16" hidden="0" customWidth="1"/>
    <x:col min="4" max="4" width="24" hidden="0" customWidth="1"/>
    <x:col min="5" max="5" width="16" hidden="0" customWidth="1"/>
    <x:col min="6" max="6" width="16" hidden="0" customWidth="1"/>
    <x:col min="7" max="7" width="48" hidden="0" customWidth="1"/>
  </x:cols>
  <x:sheetData>
    <x:row r="1" ht="26" customHeight="1">
      <x:c r="A1" s="43" t="str">
        <x:v>Receiver capacity and inlet feasibility</x:v>
      </x:c>
      <x:c r="B1" s="35"/>
      <x:c r="C1" s="35"/>
      <x:c r="D1" s="35"/>
      <x:c r="E1" s="35"/>
      <x:c r="F1" s="35"/>
      <x:c r="G1" s="35"/>
    </x:row>
    <x:row r="2" ht="32" customHeight="1">
      <x:c r="A2" s="7" t="str">
        <x:v>Named volume, dynamic free volume and inlet rate remain separate claims.</x:v>
      </x:c>
      <x:c r="B2" s="35"/>
      <x:c r="C2" s="35"/>
      <x:c r="D2" s="35"/>
      <x:c r="E2" s="35"/>
      <x:c r="F2" s="35"/>
      <x:c r="G2" s="35"/>
    </x:row>
    <x:row r="3">
      <x:c r="A3" s="35"/>
      <x:c r="B3" s="35"/>
      <x:c r="C3" s="35"/>
      <x:c r="D3" s="35"/>
      <x:c r="E3" s="35"/>
      <x:c r="F3" s="35"/>
      <x:c r="G3" s="35"/>
    </x:row>
    <x:row r="4" ht="28" customHeight="1">
      <x:c r="A4" s="11" t="str">
        <x:v>Receiver</x:v>
      </x:c>
      <x:c r="B4" s="11" t="str">
        <x:v>Named volume</x:v>
      </x:c>
      <x:c r="C4" s="11" t="str">
        <x:v>After issue</x:v>
      </x:c>
      <x:c r="D4" s="11" t="str">
        <x:v>Margin above minimum liquid</x:v>
      </x:c>
      <x:c r="E4" s="11" t="str">
        <x:v>Inlet rate</x:v>
      </x:c>
      <x:c r="F4" s="11" t="str">
        <x:v>Issue multiple</x:v>
      </x:c>
      <x:c r="G4" s="11" t="str">
        <x:v>Finding</x:v>
      </x:c>
    </x:row>
    <x:row r="5">
      <x:c r="A5" s="20" t="str">
        <x:v>Normal</x:v>
      </x:c>
      <x:c r="B5" s="21" t="n">
        <x:v>40</x:v>
      </x:c>
      <x:c r="C5" s="21" t="n">
        <x:f>B5-Assumptions!B6</x:f>
        <x:v>-8</x:v>
      </x:c>
      <x:c r="D5" s="21" t="n">
        <x:f>C5-'Thermal Screen'!B11</x:f>
        <x:v>-47.767877622924914</x:v>
      </x:c>
      <x:c r="E5" s="21" t="n">
        <x:v>3</x:v>
      </x:c>
      <x:c r="F5" s="21" t="n">
        <x:f>'Hydraulic Screen'!B7/E5</x:f>
        <x:v>8</x:v>
      </x:c>
      <x:c r="G5" s="20" t="str">
        <x:v>Impossible by volume and rate</x:v>
      </x:c>
    </x:row>
    <x:row r="6">
      <x:c r="A6" s="16" t="str">
        <x:v>Casualty</x:v>
      </x:c>
      <x:c r="B6" s="17" t="n">
        <x:v>120</x:v>
      </x:c>
      <x:c r="C6" s="17" t="n">
        <x:f>B6-Assumptions!B6</x:f>
        <x:v>72</x:v>
      </x:c>
      <x:c r="D6" s="17" t="n">
        <x:f>C6-'Thermal Screen'!B11</x:f>
        <x:v>32.232122377075086</x:v>
      </x:c>
      <x:c r="E6" s="17" t="n">
        <x:v>4</x:v>
      </x:c>
      <x:c r="F6" s="17" t="n">
        <x:f>'Hydraulic Screen'!B7/E6</x:f>
        <x:v>6</x:v>
      </x:c>
      <x:c r="G6" s="16" t="str">
        <x:v>Volume plausible; dynamic behavior open</x:v>
      </x:c>
    </x:row>
  </x:sheetData>
  <x:mergeCells>
    <x:mergeCell ref="A1:G1"/>
    <x:mergeCell ref="A2:G2"/>
  </x:mergeCells>
  <x:pageMargins left="0.7" right="0.7" top="0.75" bottom="0.75" header="0.3" footer="0.3"/>
</x:worksheet>
</file>

<file path=xl/worksheets/sheet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32" hidden="0" customWidth="1"/>
    <x:col min="4" max="4" width="30" hidden="0" customWidth="1"/>
    <x:col min="5" max="5" width="34" hidden="0" customWidth="1"/>
    <x:col min="6" max="6" width="42" hidden="0" customWidth="1"/>
  </x:cols>
  <x:sheetData>
    <x:row r="1" ht="26" customHeight="1">
      <x:c r="A1" s="43" t="str">
        <x:v>Four casualty architecture programs</x:v>
      </x:c>
      <x:c r="B1" s="35"/>
      <x:c r="C1" s="35"/>
      <x:c r="D1" s="35"/>
      <x:c r="E1" s="35"/>
      <x:c r="F1" s="35"/>
    </x:row>
    <x:row r="2" ht="32" customHeight="1">
      <x:c r="A2" s="7" t="str">
        <x:v>No candidate has analytical preference.</x:v>
      </x:c>
      <x:c r="B2" s="35"/>
      <x:c r="C2" s="35"/>
      <x:c r="D2" s="35"/>
      <x:c r="E2" s="35"/>
      <x:c r="F2" s="35"/>
    </x:row>
    <x:row r="3">
      <x:c r="A3" s="35"/>
      <x:c r="B3" s="35"/>
      <x:c r="C3" s="35"/>
      <x:c r="D3" s="35"/>
      <x:c r="E3" s="35"/>
      <x:c r="F3" s="35"/>
    </x:row>
    <x:row r="4" ht="28" customHeight="1">
      <x:c r="A4" s="11" t="str">
        <x:v>ID</x:v>
      </x:c>
      <x:c r="B4" s="11" t="str">
        <x:v>Architecture</x:v>
      </x:c>
      <x:c r="C4" s="11" t="str">
        <x:v>Native principle</x:v>
      </x:c>
      <x:c r="D4" s="11" t="str">
        <x:v>Service-loss posture</x:v>
      </x:c>
      <x:c r="E4" s="11" t="str">
        <x:v>Main uncertainty</x:v>
      </x:c>
      <x:c r="F4" s="11" t="str">
        <x:v>Operational descendant</x:v>
      </x:c>
    </x:row>
    <x:row r="5">
      <x:c r="A5" s="14" t="str">
        <x:v>CSM-48</x:v>
      </x:c>
      <x:c r="B5" s="14" t="str">
        <x:v>Cellular source-water matrix</x:v>
      </x:c>
      <x:c r="C5" s="14" t="str">
        <x:v>25 isolated 1 m2 cells</x:v>
      </x:c>
      <x:c r="D5" s="14" t="str">
        <x:v>Distributed local islands</x:v>
      </x:c>
      <x:c r="E5" s="14" t="str">
        <x:v>Seam effects; device population</x:v>
      </x:c>
      <x:c r="F5" s="14" t="str">
        <x:v>Modular industrial and urban fire fields</x:v>
      </x:c>
    </x:row>
    <x:row r="6">
      <x:c r="A6" s="15" t="str">
        <x:v>PGR-48</x:v>
      </x:c>
      <x:c r="B6" s="15" t="str">
        <x:v>Perimeter gravity ring</x:v>
      </x:c>
      <x:c r="C6" s="15" t="str">
        <x:v>Passive radial diversion</x:v>
      </x:c>
      <x:c r="D6" s="15" t="str">
        <x:v>Gravity-first primary path</x:v>
      </x:c>
      <x:c r="E6" s="15" t="str">
        <x:v>Interior state; grade blockage</x:v>
      </x:c>
      <x:c r="F6" s="15" t="str">
        <x:v>Refinery, wildfire-edge and flood containment</x:v>
      </x:c>
    </x:row>
    <x:row r="7">
      <x:c r="A7" s="14" t="str">
        <x:v>SPS-48</x:v>
      </x:c>
      <x:c r="B7" s="14" t="str">
        <x:v>Split-plane system</x:v>
      </x:c>
      <x:c r="C7" s="14" t="str">
        <x:v>Overhead issue plus under-field capture</x:v>
      </x:c>
      <x:c r="D7" s="14" t="str">
        <x:v>Stored-energy issue; passive recovery</x:v>
      </x:c>
      <x:c r="E7" s="14" t="str">
        <x:v>Structural common cause; backflow</x:v>
      </x:c>
      <x:c r="F7" s="14" t="str">
        <x:v>Tunnel, port and dense-site intervention</x:v>
      </x:c>
    </x:row>
    <x:row r="8">
      <x:c r="A8" s="15" t="str">
        <x:v>AMR-48</x:v>
      </x:c>
      <x:c r="B8" s="15" t="str">
        <x:v>Autonomous mobile hydraulic formation</x:v>
      </x:c>
      <x:c r="C8" s="15" t="str">
        <x:v>Independent pump-sensor-collector cells</x:v>
      </x:c>
      <x:c r="D8" s="15" t="str">
        <x:v>Unit-level energy and control</x:v>
      </x:c>
      <x:c r="E8" s="15" t="str">
        <x:v>Coordination; incomplete collection</x:v>
      </x:c>
      <x:c r="F8" s="15" t="str">
        <x:v>Deployable casualty hydraulic formations</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5" hidden="0" customWidth="1"/>
    <x:col min="2" max="2" width="14" hidden="0" customWidth="1"/>
    <x:col min="3" max="3" width="10" hidden="0" customWidth="1"/>
    <x:col min="4" max="4" width="12" hidden="0" customWidth="1"/>
    <x:col min="5" max="5" width="14" hidden="0" customWidth="1"/>
    <x:col min="6" max="6" width="10" hidden="0" customWidth="1"/>
    <x:col min="7" max="7" width="22" hidden="0" customWidth="1"/>
    <x:col min="8" max="8" width="13" hidden="0" customWidth="1"/>
    <x:col min="9" max="9" width="13" hidden="0" customWidth="1"/>
    <x:col min="10" max="10" width="12" hidden="0" customWidth="1"/>
    <x:col min="11" max="11" width="46" hidden="0" customWidth="1"/>
    <x:col min="12" max="12" width="12" hidden="0" customWidth="1"/>
  </x:cols>
  <x:sheetData>
    <x:row r="1" ht="26" customHeight="1">
      <x:c r="A1" s="43" t="str">
        <x:v>Candidate article trial registry</x:v>
      </x:c>
      <x:c r="B1" s="35"/>
      <x:c r="C1" s="35"/>
      <x:c r="D1" s="35"/>
      <x:c r="E1" s="35"/>
      <x:c r="F1" s="35"/>
      <x:c r="G1" s="35"/>
      <x:c r="H1" s="35"/>
      <x:c r="I1" s="35"/>
      <x:c r="J1" s="35"/>
      <x:c r="K1" s="35"/>
      <x:c r="L1" s="35"/>
    </x:row>
    <x:row r="2" ht="32" customHeight="1">
      <x:c r="A2" s="7" t="str">
        <x:v>384 nonenergetic trials. Statuses remain open.</x:v>
      </x:c>
      <x:c r="B2" s="35"/>
      <x:c r="C2" s="35"/>
      <x:c r="D2" s="35"/>
      <x:c r="E2" s="35"/>
      <x:c r="F2" s="35"/>
      <x:c r="G2" s="35"/>
      <x:c r="H2" s="35"/>
      <x:c r="I2" s="35"/>
      <x:c r="J2" s="35"/>
      <x:c r="K2" s="35"/>
      <x:c r="L2" s="35"/>
    </x:row>
    <x:row r="3">
      <x:c r="A3" s="35"/>
      <x:c r="B3" s="35"/>
      <x:c r="C3" s="35"/>
      <x:c r="D3" s="35"/>
      <x:c r="E3" s="35"/>
      <x:c r="F3" s="35"/>
      <x:c r="G3" s="35"/>
      <x:c r="H3" s="35"/>
      <x:c r="I3" s="35"/>
      <x:c r="J3" s="35"/>
      <x:c r="K3" s="35"/>
      <x:c r="L3" s="35"/>
    </x:row>
    <x:row r="4" ht="28" customHeight="1">
      <x:c r="A4" s="11" t="str">
        <x:v>Trial ID</x:v>
      </x:c>
      <x:c r="B4" s="11" t="str">
        <x:v>Architecture</x:v>
      </x:c>
      <x:c r="C4" s="11" t="str">
        <x:v>Lineage</x:v>
      </x:c>
      <x:c r="D4" s="11" t="str">
        <x:v>Campus</x:v>
      </x:c>
      <x:c r="E4" s="11" t="str">
        <x:v>Morphology</x:v>
      </x:c>
      <x:c r="F4" s="11" t="str">
        <x:v>Type</x:v>
      </x:c>
      <x:c r="G4" s="11" t="str">
        <x:v>State</x:v>
      </x:c>
      <x:c r="H4" s="11" t="str">
        <x:v>Simulant kg</x:v>
      </x:c>
      <x:c r="I4" s="11" t="str">
        <x:v>Water m3</x:v>
      </x:c>
      <x:c r="J4" s="11" t="str">
        <x:v>Area m2</x:v>
      </x:c>
      <x:c r="K4" s="11" t="str">
        <x:v>Question</x:v>
      </x:c>
      <x:c r="L4" s="11" t="str">
        <x:v>Status</x:v>
      </x:c>
    </x:row>
    <x:row r="5">
      <x:c r="A5" s="14" t="str">
        <x:v>CT-001</x:v>
      </x:c>
      <x:c r="B5" s="14" t="str">
        <x:v>CSM-48</x:v>
      </x:c>
      <x:c r="C5" s="14" t="str">
        <x:v>L1</x:v>
      </x:c>
      <x:c r="D5" s="14" t="str">
        <x:v>NRC-A</x:v>
      </x:c>
      <x:c r="E5" s="14" t="str">
        <x:v>DISPERSED</x:v>
      </x:c>
      <x:c r="F5" s="14" t="str">
        <x:v>T1</x:v>
      </x:c>
      <x:c r="G5" s="14" t="str">
        <x:v>Sealed zero</x:v>
      </x:c>
      <x:c r="H5" s="14" t="n">
        <x:v>0</x:v>
      </x:c>
      <x:c r="I5" s="14" t="n">
        <x:v>0</x:v>
      </x:c>
      <x:c r="J5" s="14" t="n">
        <x:v>25</x:v>
      </x:c>
      <x:c r="K5" s="14" t="str">
        <x:v>Native state, leakage and command isolation</x:v>
      </x:c>
      <x:c r="L5" s="14" t="str">
        <x:v>OPEN</x:v>
      </x:c>
    </x:row>
    <x:row r="6">
      <x:c r="A6" s="15" t="str">
        <x:v>CT-002</x:v>
      </x:c>
      <x:c r="B6" s="15" t="str">
        <x:v>CSM-48</x:v>
      </x:c>
      <x:c r="C6" s="15" t="str">
        <x:v>L1</x:v>
      </x:c>
      <x:c r="D6" s="15" t="str">
        <x:v>NRC-A</x:v>
      </x:c>
      <x:c r="E6" s="15" t="str">
        <x:v>DISPERSED</x:v>
      </x:c>
      <x:c r="F6" s="15" t="str">
        <x:v>T2</x:v>
      </x:c>
      <x:c r="G6" s="15" t="str">
        <x:v>ER-09 anchor</x:v>
      </x:c>
      <x:c r="H6" s="15" t="n">
        <x:v>500</x:v>
      </x:c>
      <x:c r="I6" s="15" t="n">
        <x:v>24</x:v>
      </x:c>
      <x:c r="J6" s="15" t="n">
        <x:v>6.25</x:v>
      </x:c>
      <x:c r="K6" s="15" t="str">
        <x:v>Parent transfer</x:v>
      </x:c>
      <x:c r="L6" s="15" t="str">
        <x:v>OPEN</x:v>
      </x:c>
    </x:row>
    <x:row r="7">
      <x:c r="A7" s="14" t="str">
        <x:v>CT-003</x:v>
      </x:c>
      <x:c r="B7" s="14" t="str">
        <x:v>CSM-48</x:v>
      </x:c>
      <x:c r="C7" s="14" t="str">
        <x:v>L1</x:v>
      </x:c>
      <x:c r="D7" s="14" t="str">
        <x:v>NRC-A</x:v>
      </x:c>
      <x:c r="E7" s="14" t="str">
        <x:v>DISPERSED</x:v>
      </x:c>
      <x:c r="F7" s="14" t="str">
        <x:v>T3</x:v>
      </x:c>
      <x:c r="G7" s="14" t="str">
        <x:v>Area expansion dry</x:v>
      </x:c>
      <x:c r="H7" s="14" t="n">
        <x:v>500</x:v>
      </x:c>
      <x:c r="I7" s="14" t="n">
        <x:v>0</x:v>
      </x:c>
      <x:c r="J7" s="14" t="n">
        <x:v>25</x:v>
      </x:c>
      <x:c r="K7" s="14" t="str">
        <x:v>Topology and boundary transition</x:v>
      </x:c>
      <x:c r="L7" s="14" t="str">
        <x:v>OPEN</x:v>
      </x:c>
    </x:row>
    <x:row r="8">
      <x:c r="A8" s="15" t="str">
        <x:v>CT-004</x:v>
      </x:c>
      <x:c r="B8" s="15" t="str">
        <x:v>CSM-48</x:v>
      </x:c>
      <x:c r="C8" s="15" t="str">
        <x:v>L1</x:v>
      </x:c>
      <x:c r="D8" s="15" t="str">
        <x:v>NRC-A</x:v>
      </x:c>
      <x:c r="E8" s="15" t="str">
        <x:v>DISPERSED</x:v>
      </x:c>
      <x:c r="F8" s="15" t="str">
        <x:v>T4</x:v>
      </x:c>
      <x:c r="G8" s="15" t="str">
        <x:v>Area expansion wet</x:v>
      </x:c>
      <x:c r="H8" s="15" t="n">
        <x:v>500</x:v>
      </x:c>
      <x:c r="I8" s="15" t="n">
        <x:v>24</x:v>
      </x:c>
      <x:c r="J8" s="15" t="n">
        <x:v>25</x:v>
      </x:c>
      <x:c r="K8" s="15" t="str">
        <x:v>Half-water contact</x:v>
      </x:c>
      <x:c r="L8" s="15" t="str">
        <x:v>OPEN</x:v>
      </x:c>
    </x:row>
    <x:row r="9">
      <x:c r="A9" s="14" t="str">
        <x:v>CT-005</x:v>
      </x:c>
      <x:c r="B9" s="14" t="str">
        <x:v>CSM-48</x:v>
      </x:c>
      <x:c r="C9" s="14" t="str">
        <x:v>L1</x:v>
      </x:c>
      <x:c r="D9" s="14" t="str">
        <x:v>NRC-A</x:v>
      </x:c>
      <x:c r="E9" s="14" t="str">
        <x:v>DISPERSED</x:v>
      </x:c>
      <x:c r="F9" s="14" t="str">
        <x:v>T5</x:v>
      </x:c>
      <x:c r="G9" s="14" t="str">
        <x:v>Exact hydraulic</x:v>
      </x:c>
      <x:c r="H9" s="14" t="n">
        <x:v>500</x:v>
      </x:c>
      <x:c r="I9" s="14" t="n">
        <x:v>48</x:v>
      </x:c>
      <x:c r="J9" s="14" t="n">
        <x:v>25</x:v>
      </x:c>
      <x:c r="K9" s="14" t="str">
        <x:v>Complete issue and recovery</x:v>
      </x:c>
      <x:c r="L9" s="14" t="str">
        <x:v>OPEN</x:v>
      </x:c>
    </x:row>
    <x:row r="10">
      <x:c r="A10" s="15" t="str">
        <x:v>CT-006</x:v>
      </x:c>
      <x:c r="B10" s="15" t="str">
        <x:v>CSM-48</x:v>
      </x:c>
      <x:c r="C10" s="15" t="str">
        <x:v>L1</x:v>
      </x:c>
      <x:c r="D10" s="15" t="str">
        <x:v>NRC-A</x:v>
      </x:c>
      <x:c r="E10" s="15" t="str">
        <x:v>DISPERSED</x:v>
      </x:c>
      <x:c r="F10" s="15" t="str">
        <x:v>T6</x:v>
      </x:c>
      <x:c r="G10" s="15" t="str">
        <x:v>Independent service</x:v>
      </x:c>
      <x:c r="H10" s="15" t="n">
        <x:v>500</x:v>
      </x:c>
      <x:c r="I10" s="15" t="n">
        <x:v>48</x:v>
      </x:c>
      <x:c r="J10" s="15" t="n">
        <x:v>25</x:v>
      </x:c>
      <x:c r="K10" s="15" t="str">
        <x:v>No host energy, network or time</x:v>
      </x:c>
      <x:c r="L10" s="15" t="str">
        <x:v>OPEN</x:v>
      </x:c>
    </x:row>
    <x:row r="11">
      <x:c r="A11" s="14" t="str">
        <x:v>CT-007</x:v>
      </x:c>
      <x:c r="B11" s="14" t="str">
        <x:v>CSM-48</x:v>
      </x:c>
      <x:c r="C11" s="14" t="str">
        <x:v>L1</x:v>
      </x:c>
      <x:c r="D11" s="14" t="str">
        <x:v>NRC-A</x:v>
      </x:c>
      <x:c r="E11" s="14" t="str">
        <x:v>DISPERSED</x:v>
      </x:c>
      <x:c r="F11" s="14" t="str">
        <x:v>T7</x:v>
      </x:c>
      <x:c r="G11" s="14" t="str">
        <x:v>Receiver denial</x:v>
      </x:c>
      <x:c r="H11" s="14" t="n">
        <x:v>500</x:v>
      </x:c>
      <x:c r="I11" s="14" t="n">
        <x:v>48</x:v>
      </x:c>
      <x:c r="J11" s="14" t="n">
        <x:v>25</x:v>
      </x:c>
      <x:c r="K11" s="14" t="str">
        <x:v>Diversion and terminal custody</x:v>
      </x:c>
      <x:c r="L11" s="14" t="str">
        <x:v>OPEN</x:v>
      </x:c>
    </x:row>
    <x:row r="12">
      <x:c r="A12" s="15" t="str">
        <x:v>CT-008</x:v>
      </x:c>
      <x:c r="B12" s="15" t="str">
        <x:v>CSM-48</x:v>
      </x:c>
      <x:c r="C12" s="15" t="str">
        <x:v>L1</x:v>
      </x:c>
      <x:c r="D12" s="15" t="str">
        <x:v>NRC-A</x:v>
      </x:c>
      <x:c r="E12" s="15" t="str">
        <x:v>DISPERSED</x:v>
      </x:c>
      <x:c r="F12" s="15" t="str">
        <x:v>T8</x:v>
      </x:c>
      <x:c r="G12" s="15" t="str">
        <x:v>Outside only</x:v>
      </x:c>
      <x:c r="H12" s="15" t="n">
        <x:v>500</x:v>
      </x:c>
      <x:c r="I12" s="15" t="n">
        <x:v>48</x:v>
      </x:c>
      <x:c r="J12" s="15" t="n">
        <x:v>25</x:v>
      </x:c>
      <x:c r="K12" s="15" t="str">
        <x:v>External reconstruction</x:v>
      </x:c>
      <x:c r="L12" s="15" t="str">
        <x:v>OPEN</x:v>
      </x:c>
    </x:row>
    <x:row r="13">
      <x:c r="A13" s="14" t="str">
        <x:v>CT-009</x:v>
      </x:c>
      <x:c r="B13" s="14" t="str">
        <x:v>CSM-48</x:v>
      </x:c>
      <x:c r="C13" s="14" t="str">
        <x:v>L1</x:v>
      </x:c>
      <x:c r="D13" s="14" t="str">
        <x:v>NRC-A</x:v>
      </x:c>
      <x:c r="E13" s="14" t="str">
        <x:v>COHERENT</x:v>
      </x:c>
      <x:c r="F13" s="14" t="str">
        <x:v>T1</x:v>
      </x:c>
      <x:c r="G13" s="14" t="str">
        <x:v>Sealed zero</x:v>
      </x:c>
      <x:c r="H13" s="14" t="n">
        <x:v>0</x:v>
      </x:c>
      <x:c r="I13" s="14" t="n">
        <x:v>0</x:v>
      </x:c>
      <x:c r="J13" s="14" t="n">
        <x:v>25</x:v>
      </x:c>
      <x:c r="K13" s="14" t="str">
        <x:v>Native state, leakage and command isolation</x:v>
      </x:c>
      <x:c r="L13" s="14" t="str">
        <x:v>OPEN</x:v>
      </x:c>
    </x:row>
    <x:row r="14">
      <x:c r="A14" s="15" t="str">
        <x:v>CT-010</x:v>
      </x:c>
      <x:c r="B14" s="15" t="str">
        <x:v>CSM-48</x:v>
      </x:c>
      <x:c r="C14" s="15" t="str">
        <x:v>L1</x:v>
      </x:c>
      <x:c r="D14" s="15" t="str">
        <x:v>NRC-A</x:v>
      </x:c>
      <x:c r="E14" s="15" t="str">
        <x:v>COHERENT</x:v>
      </x:c>
      <x:c r="F14" s="15" t="str">
        <x:v>T2</x:v>
      </x:c>
      <x:c r="G14" s="15" t="str">
        <x:v>ER-09 anchor</x:v>
      </x:c>
      <x:c r="H14" s="15" t="n">
        <x:v>500</x:v>
      </x:c>
      <x:c r="I14" s="15" t="n">
        <x:v>24</x:v>
      </x:c>
      <x:c r="J14" s="15" t="n">
        <x:v>6.25</x:v>
      </x:c>
      <x:c r="K14" s="15" t="str">
        <x:v>Parent transfer</x:v>
      </x:c>
      <x:c r="L14" s="15" t="str">
        <x:v>OPEN</x:v>
      </x:c>
    </x:row>
    <x:row r="15">
      <x:c r="A15" s="14" t="str">
        <x:v>CT-011</x:v>
      </x:c>
      <x:c r="B15" s="14" t="str">
        <x:v>CSM-48</x:v>
      </x:c>
      <x:c r="C15" s="14" t="str">
        <x:v>L1</x:v>
      </x:c>
      <x:c r="D15" s="14" t="str">
        <x:v>NRC-A</x:v>
      </x:c>
      <x:c r="E15" s="14" t="str">
        <x:v>COHERENT</x:v>
      </x:c>
      <x:c r="F15" s="14" t="str">
        <x:v>T3</x:v>
      </x:c>
      <x:c r="G15" s="14" t="str">
        <x:v>Area expansion dry</x:v>
      </x:c>
      <x:c r="H15" s="14" t="n">
        <x:v>500</x:v>
      </x:c>
      <x:c r="I15" s="14" t="n">
        <x:v>0</x:v>
      </x:c>
      <x:c r="J15" s="14" t="n">
        <x:v>25</x:v>
      </x:c>
      <x:c r="K15" s="14" t="str">
        <x:v>Topology and boundary transition</x:v>
      </x:c>
      <x:c r="L15" s="14" t="str">
        <x:v>OPEN</x:v>
      </x:c>
    </x:row>
    <x:row r="16">
      <x:c r="A16" s="15" t="str">
        <x:v>CT-012</x:v>
      </x:c>
      <x:c r="B16" s="15" t="str">
        <x:v>CSM-48</x:v>
      </x:c>
      <x:c r="C16" s="15" t="str">
        <x:v>L1</x:v>
      </x:c>
      <x:c r="D16" s="15" t="str">
        <x:v>NRC-A</x:v>
      </x:c>
      <x:c r="E16" s="15" t="str">
        <x:v>COHERENT</x:v>
      </x:c>
      <x:c r="F16" s="15" t="str">
        <x:v>T4</x:v>
      </x:c>
      <x:c r="G16" s="15" t="str">
        <x:v>Area expansion wet</x:v>
      </x:c>
      <x:c r="H16" s="15" t="n">
        <x:v>500</x:v>
      </x:c>
      <x:c r="I16" s="15" t="n">
        <x:v>24</x:v>
      </x:c>
      <x:c r="J16" s="15" t="n">
        <x:v>25</x:v>
      </x:c>
      <x:c r="K16" s="15" t="str">
        <x:v>Half-water contact</x:v>
      </x:c>
      <x:c r="L16" s="15" t="str">
        <x:v>OPEN</x:v>
      </x:c>
    </x:row>
    <x:row r="17">
      <x:c r="A17" s="14" t="str">
        <x:v>CT-013</x:v>
      </x:c>
      <x:c r="B17" s="14" t="str">
        <x:v>CSM-48</x:v>
      </x:c>
      <x:c r="C17" s="14" t="str">
        <x:v>L1</x:v>
      </x:c>
      <x:c r="D17" s="14" t="str">
        <x:v>NRC-A</x:v>
      </x:c>
      <x:c r="E17" s="14" t="str">
        <x:v>COHERENT</x:v>
      </x:c>
      <x:c r="F17" s="14" t="str">
        <x:v>T5</x:v>
      </x:c>
      <x:c r="G17" s="14" t="str">
        <x:v>Exact hydraulic</x:v>
      </x:c>
      <x:c r="H17" s="14" t="n">
        <x:v>500</x:v>
      </x:c>
      <x:c r="I17" s="14" t="n">
        <x:v>48</x:v>
      </x:c>
      <x:c r="J17" s="14" t="n">
        <x:v>25</x:v>
      </x:c>
      <x:c r="K17" s="14" t="str">
        <x:v>Complete issue and recovery</x:v>
      </x:c>
      <x:c r="L17" s="14" t="str">
        <x:v>OPEN</x:v>
      </x:c>
    </x:row>
    <x:row r="18">
      <x:c r="A18" s="15" t="str">
        <x:v>CT-014</x:v>
      </x:c>
      <x:c r="B18" s="15" t="str">
        <x:v>CSM-48</x:v>
      </x:c>
      <x:c r="C18" s="15" t="str">
        <x:v>L1</x:v>
      </x:c>
      <x:c r="D18" s="15" t="str">
        <x:v>NRC-A</x:v>
      </x:c>
      <x:c r="E18" s="15" t="str">
        <x:v>COHERENT</x:v>
      </x:c>
      <x:c r="F18" s="15" t="str">
        <x:v>T6</x:v>
      </x:c>
      <x:c r="G18" s="15" t="str">
        <x:v>Independent service</x:v>
      </x:c>
      <x:c r="H18" s="15" t="n">
        <x:v>500</x:v>
      </x:c>
      <x:c r="I18" s="15" t="n">
        <x:v>48</x:v>
      </x:c>
      <x:c r="J18" s="15" t="n">
        <x:v>25</x:v>
      </x:c>
      <x:c r="K18" s="15" t="str">
        <x:v>No host energy, network or time</x:v>
      </x:c>
      <x:c r="L18" s="15" t="str">
        <x:v>OPEN</x:v>
      </x:c>
    </x:row>
    <x:row r="19">
      <x:c r="A19" s="14" t="str">
        <x:v>CT-015</x:v>
      </x:c>
      <x:c r="B19" s="14" t="str">
        <x:v>CSM-48</x:v>
      </x:c>
      <x:c r="C19" s="14" t="str">
        <x:v>L1</x:v>
      </x:c>
      <x:c r="D19" s="14" t="str">
        <x:v>NRC-A</x:v>
      </x:c>
      <x:c r="E19" s="14" t="str">
        <x:v>COHERENT</x:v>
      </x:c>
      <x:c r="F19" s="14" t="str">
        <x:v>T7</x:v>
      </x:c>
      <x:c r="G19" s="14" t="str">
        <x:v>Receiver denial</x:v>
      </x:c>
      <x:c r="H19" s="14" t="n">
        <x:v>500</x:v>
      </x:c>
      <x:c r="I19" s="14" t="n">
        <x:v>48</x:v>
      </x:c>
      <x:c r="J19" s="14" t="n">
        <x:v>25</x:v>
      </x:c>
      <x:c r="K19" s="14" t="str">
        <x:v>Diversion and terminal custody</x:v>
      </x:c>
      <x:c r="L19" s="14" t="str">
        <x:v>OPEN</x:v>
      </x:c>
    </x:row>
    <x:row r="20">
      <x:c r="A20" s="15" t="str">
        <x:v>CT-016</x:v>
      </x:c>
      <x:c r="B20" s="15" t="str">
        <x:v>CSM-48</x:v>
      </x:c>
      <x:c r="C20" s="15" t="str">
        <x:v>L1</x:v>
      </x:c>
      <x:c r="D20" s="15" t="str">
        <x:v>NRC-A</x:v>
      </x:c>
      <x:c r="E20" s="15" t="str">
        <x:v>COHERENT</x:v>
      </x:c>
      <x:c r="F20" s="15" t="str">
        <x:v>T8</x:v>
      </x:c>
      <x:c r="G20" s="15" t="str">
        <x:v>Outside only</x:v>
      </x:c>
      <x:c r="H20" s="15" t="n">
        <x:v>500</x:v>
      </x:c>
      <x:c r="I20" s="15" t="n">
        <x:v>48</x:v>
      </x:c>
      <x:c r="J20" s="15" t="n">
        <x:v>25</x:v>
      </x:c>
      <x:c r="K20" s="15" t="str">
        <x:v>External reconstruction</x:v>
      </x:c>
      <x:c r="L20" s="15" t="str">
        <x:v>OPEN</x:v>
      </x:c>
    </x:row>
    <x:row r="21">
      <x:c r="A21" s="14" t="str">
        <x:v>CT-017</x:v>
      </x:c>
      <x:c r="B21" s="14" t="str">
        <x:v>CSM-48</x:v>
      </x:c>
      <x:c r="C21" s="14" t="str">
        <x:v>L1</x:v>
      </x:c>
      <x:c r="D21" s="14" t="str">
        <x:v>NRC-B</x:v>
      </x:c>
      <x:c r="E21" s="14" t="str">
        <x:v>DISPERSED</x:v>
      </x:c>
      <x:c r="F21" s="14" t="str">
        <x:v>T1</x:v>
      </x:c>
      <x:c r="G21" s="14" t="str">
        <x:v>Sealed zero</x:v>
      </x:c>
      <x:c r="H21" s="14" t="n">
        <x:v>0</x:v>
      </x:c>
      <x:c r="I21" s="14" t="n">
        <x:v>0</x:v>
      </x:c>
      <x:c r="J21" s="14" t="n">
        <x:v>25</x:v>
      </x:c>
      <x:c r="K21" s="14" t="str">
        <x:v>Native state, leakage and command isolation</x:v>
      </x:c>
      <x:c r="L21" s="14" t="str">
        <x:v>OPEN</x:v>
      </x:c>
    </x:row>
    <x:row r="22">
      <x:c r="A22" s="15" t="str">
        <x:v>CT-018</x:v>
      </x:c>
      <x:c r="B22" s="15" t="str">
        <x:v>CSM-48</x:v>
      </x:c>
      <x:c r="C22" s="15" t="str">
        <x:v>L1</x:v>
      </x:c>
      <x:c r="D22" s="15" t="str">
        <x:v>NRC-B</x:v>
      </x:c>
      <x:c r="E22" s="15" t="str">
        <x:v>DISPERSED</x:v>
      </x:c>
      <x:c r="F22" s="15" t="str">
        <x:v>T2</x:v>
      </x:c>
      <x:c r="G22" s="15" t="str">
        <x:v>ER-09 anchor</x:v>
      </x:c>
      <x:c r="H22" s="15" t="n">
        <x:v>500</x:v>
      </x:c>
      <x:c r="I22" s="15" t="n">
        <x:v>24</x:v>
      </x:c>
      <x:c r="J22" s="15" t="n">
        <x:v>6.25</x:v>
      </x:c>
      <x:c r="K22" s="15" t="str">
        <x:v>Parent transfer</x:v>
      </x:c>
      <x:c r="L22" s="15" t="str">
        <x:v>OPEN</x:v>
      </x:c>
    </x:row>
    <x:row r="23">
      <x:c r="A23" s="14" t="str">
        <x:v>CT-019</x:v>
      </x:c>
      <x:c r="B23" s="14" t="str">
        <x:v>CSM-48</x:v>
      </x:c>
      <x:c r="C23" s="14" t="str">
        <x:v>L1</x:v>
      </x:c>
      <x:c r="D23" s="14" t="str">
        <x:v>NRC-B</x:v>
      </x:c>
      <x:c r="E23" s="14" t="str">
        <x:v>DISPERSED</x:v>
      </x:c>
      <x:c r="F23" s="14" t="str">
        <x:v>T3</x:v>
      </x:c>
      <x:c r="G23" s="14" t="str">
        <x:v>Area expansion dry</x:v>
      </x:c>
      <x:c r="H23" s="14" t="n">
        <x:v>500</x:v>
      </x:c>
      <x:c r="I23" s="14" t="n">
        <x:v>0</x:v>
      </x:c>
      <x:c r="J23" s="14" t="n">
        <x:v>25</x:v>
      </x:c>
      <x:c r="K23" s="14" t="str">
        <x:v>Topology and boundary transition</x:v>
      </x:c>
      <x:c r="L23" s="14" t="str">
        <x:v>OPEN</x:v>
      </x:c>
    </x:row>
    <x:row r="24">
      <x:c r="A24" s="15" t="str">
        <x:v>CT-020</x:v>
      </x:c>
      <x:c r="B24" s="15" t="str">
        <x:v>CSM-48</x:v>
      </x:c>
      <x:c r="C24" s="15" t="str">
        <x:v>L1</x:v>
      </x:c>
      <x:c r="D24" s="15" t="str">
        <x:v>NRC-B</x:v>
      </x:c>
      <x:c r="E24" s="15" t="str">
        <x:v>DISPERSED</x:v>
      </x:c>
      <x:c r="F24" s="15" t="str">
        <x:v>T4</x:v>
      </x:c>
      <x:c r="G24" s="15" t="str">
        <x:v>Area expansion wet</x:v>
      </x:c>
      <x:c r="H24" s="15" t="n">
        <x:v>500</x:v>
      </x:c>
      <x:c r="I24" s="15" t="n">
        <x:v>24</x:v>
      </x:c>
      <x:c r="J24" s="15" t="n">
        <x:v>25</x:v>
      </x:c>
      <x:c r="K24" s="15" t="str">
        <x:v>Half-water contact</x:v>
      </x:c>
      <x:c r="L24" s="15" t="str">
        <x:v>OPEN</x:v>
      </x:c>
    </x:row>
    <x:row r="25">
      <x:c r="A25" s="14" t="str">
        <x:v>CT-021</x:v>
      </x:c>
      <x:c r="B25" s="14" t="str">
        <x:v>CSM-48</x:v>
      </x:c>
      <x:c r="C25" s="14" t="str">
        <x:v>L1</x:v>
      </x:c>
      <x:c r="D25" s="14" t="str">
        <x:v>NRC-B</x:v>
      </x:c>
      <x:c r="E25" s="14" t="str">
        <x:v>DISPERSED</x:v>
      </x:c>
      <x:c r="F25" s="14" t="str">
        <x:v>T5</x:v>
      </x:c>
      <x:c r="G25" s="14" t="str">
        <x:v>Exact hydraulic</x:v>
      </x:c>
      <x:c r="H25" s="14" t="n">
        <x:v>500</x:v>
      </x:c>
      <x:c r="I25" s="14" t="n">
        <x:v>48</x:v>
      </x:c>
      <x:c r="J25" s="14" t="n">
        <x:v>25</x:v>
      </x:c>
      <x:c r="K25" s="14" t="str">
        <x:v>Complete issue and recovery</x:v>
      </x:c>
      <x:c r="L25" s="14" t="str">
        <x:v>OPEN</x:v>
      </x:c>
    </x:row>
    <x:row r="26">
      <x:c r="A26" s="15" t="str">
        <x:v>CT-022</x:v>
      </x:c>
      <x:c r="B26" s="15" t="str">
        <x:v>CSM-48</x:v>
      </x:c>
      <x:c r="C26" s="15" t="str">
        <x:v>L1</x:v>
      </x:c>
      <x:c r="D26" s="15" t="str">
        <x:v>NRC-B</x:v>
      </x:c>
      <x:c r="E26" s="15" t="str">
        <x:v>DISPERSED</x:v>
      </x:c>
      <x:c r="F26" s="15" t="str">
        <x:v>T6</x:v>
      </x:c>
      <x:c r="G26" s="15" t="str">
        <x:v>Independent service</x:v>
      </x:c>
      <x:c r="H26" s="15" t="n">
        <x:v>500</x:v>
      </x:c>
      <x:c r="I26" s="15" t="n">
        <x:v>48</x:v>
      </x:c>
      <x:c r="J26" s="15" t="n">
        <x:v>25</x:v>
      </x:c>
      <x:c r="K26" s="15" t="str">
        <x:v>No host energy, network or time</x:v>
      </x:c>
      <x:c r="L26" s="15" t="str">
        <x:v>OPEN</x:v>
      </x:c>
    </x:row>
    <x:row r="27">
      <x:c r="A27" s="14" t="str">
        <x:v>CT-023</x:v>
      </x:c>
      <x:c r="B27" s="14" t="str">
        <x:v>CSM-48</x:v>
      </x:c>
      <x:c r="C27" s="14" t="str">
        <x:v>L1</x:v>
      </x:c>
      <x:c r="D27" s="14" t="str">
        <x:v>NRC-B</x:v>
      </x:c>
      <x:c r="E27" s="14" t="str">
        <x:v>DISPERSED</x:v>
      </x:c>
      <x:c r="F27" s="14" t="str">
        <x:v>T7</x:v>
      </x:c>
      <x:c r="G27" s="14" t="str">
        <x:v>Receiver denial</x:v>
      </x:c>
      <x:c r="H27" s="14" t="n">
        <x:v>500</x:v>
      </x:c>
      <x:c r="I27" s="14" t="n">
        <x:v>48</x:v>
      </x:c>
      <x:c r="J27" s="14" t="n">
        <x:v>25</x:v>
      </x:c>
      <x:c r="K27" s="14" t="str">
        <x:v>Diversion and terminal custody</x:v>
      </x:c>
      <x:c r="L27" s="14" t="str">
        <x:v>OPEN</x:v>
      </x:c>
    </x:row>
    <x:row r="28">
      <x:c r="A28" s="15" t="str">
        <x:v>CT-024</x:v>
      </x:c>
      <x:c r="B28" s="15" t="str">
        <x:v>CSM-48</x:v>
      </x:c>
      <x:c r="C28" s="15" t="str">
        <x:v>L1</x:v>
      </x:c>
      <x:c r="D28" s="15" t="str">
        <x:v>NRC-B</x:v>
      </x:c>
      <x:c r="E28" s="15" t="str">
        <x:v>DISPERSED</x:v>
      </x:c>
      <x:c r="F28" s="15" t="str">
        <x:v>T8</x:v>
      </x:c>
      <x:c r="G28" s="15" t="str">
        <x:v>Outside only</x:v>
      </x:c>
      <x:c r="H28" s="15" t="n">
        <x:v>500</x:v>
      </x:c>
      <x:c r="I28" s="15" t="n">
        <x:v>48</x:v>
      </x:c>
      <x:c r="J28" s="15" t="n">
        <x:v>25</x:v>
      </x:c>
      <x:c r="K28" s="15" t="str">
        <x:v>External reconstruction</x:v>
      </x:c>
      <x:c r="L28" s="15" t="str">
        <x:v>OPEN</x:v>
      </x:c>
    </x:row>
    <x:row r="29">
      <x:c r="A29" s="14" t="str">
        <x:v>CT-025</x:v>
      </x:c>
      <x:c r="B29" s="14" t="str">
        <x:v>CSM-48</x:v>
      </x:c>
      <x:c r="C29" s="14" t="str">
        <x:v>L1</x:v>
      </x:c>
      <x:c r="D29" s="14" t="str">
        <x:v>NRC-B</x:v>
      </x:c>
      <x:c r="E29" s="14" t="str">
        <x:v>COHERENT</x:v>
      </x:c>
      <x:c r="F29" s="14" t="str">
        <x:v>T1</x:v>
      </x:c>
      <x:c r="G29" s="14" t="str">
        <x:v>Sealed zero</x:v>
      </x:c>
      <x:c r="H29" s="14" t="n">
        <x:v>0</x:v>
      </x:c>
      <x:c r="I29" s="14" t="n">
        <x:v>0</x:v>
      </x:c>
      <x:c r="J29" s="14" t="n">
        <x:v>25</x:v>
      </x:c>
      <x:c r="K29" s="14" t="str">
        <x:v>Native state, leakage and command isolation</x:v>
      </x:c>
      <x:c r="L29" s="14" t="str">
        <x:v>OPEN</x:v>
      </x:c>
    </x:row>
    <x:row r="30">
      <x:c r="A30" s="15" t="str">
        <x:v>CT-026</x:v>
      </x:c>
      <x:c r="B30" s="15" t="str">
        <x:v>CSM-48</x:v>
      </x:c>
      <x:c r="C30" s="15" t="str">
        <x:v>L1</x:v>
      </x:c>
      <x:c r="D30" s="15" t="str">
        <x:v>NRC-B</x:v>
      </x:c>
      <x:c r="E30" s="15" t="str">
        <x:v>COHERENT</x:v>
      </x:c>
      <x:c r="F30" s="15" t="str">
        <x:v>T2</x:v>
      </x:c>
      <x:c r="G30" s="15" t="str">
        <x:v>ER-09 anchor</x:v>
      </x:c>
      <x:c r="H30" s="15" t="n">
        <x:v>500</x:v>
      </x:c>
      <x:c r="I30" s="15" t="n">
        <x:v>24</x:v>
      </x:c>
      <x:c r="J30" s="15" t="n">
        <x:v>6.25</x:v>
      </x:c>
      <x:c r="K30" s="15" t="str">
        <x:v>Parent transfer</x:v>
      </x:c>
      <x:c r="L30" s="15" t="str">
        <x:v>OPEN</x:v>
      </x:c>
    </x:row>
    <x:row r="31">
      <x:c r="A31" s="14" t="str">
        <x:v>CT-027</x:v>
      </x:c>
      <x:c r="B31" s="14" t="str">
        <x:v>CSM-48</x:v>
      </x:c>
      <x:c r="C31" s="14" t="str">
        <x:v>L1</x:v>
      </x:c>
      <x:c r="D31" s="14" t="str">
        <x:v>NRC-B</x:v>
      </x:c>
      <x:c r="E31" s="14" t="str">
        <x:v>COHERENT</x:v>
      </x:c>
      <x:c r="F31" s="14" t="str">
        <x:v>T3</x:v>
      </x:c>
      <x:c r="G31" s="14" t="str">
        <x:v>Area expansion dry</x:v>
      </x:c>
      <x:c r="H31" s="14" t="n">
        <x:v>500</x:v>
      </x:c>
      <x:c r="I31" s="14" t="n">
        <x:v>0</x:v>
      </x:c>
      <x:c r="J31" s="14" t="n">
        <x:v>25</x:v>
      </x:c>
      <x:c r="K31" s="14" t="str">
        <x:v>Topology and boundary transition</x:v>
      </x:c>
      <x:c r="L31" s="14" t="str">
        <x:v>OPEN</x:v>
      </x:c>
    </x:row>
    <x:row r="32">
      <x:c r="A32" s="15" t="str">
        <x:v>CT-028</x:v>
      </x:c>
      <x:c r="B32" s="15" t="str">
        <x:v>CSM-48</x:v>
      </x:c>
      <x:c r="C32" s="15" t="str">
        <x:v>L1</x:v>
      </x:c>
      <x:c r="D32" s="15" t="str">
        <x:v>NRC-B</x:v>
      </x:c>
      <x:c r="E32" s="15" t="str">
        <x:v>COHERENT</x:v>
      </x:c>
      <x:c r="F32" s="15" t="str">
        <x:v>T4</x:v>
      </x:c>
      <x:c r="G32" s="15" t="str">
        <x:v>Area expansion wet</x:v>
      </x:c>
      <x:c r="H32" s="15" t="n">
        <x:v>500</x:v>
      </x:c>
      <x:c r="I32" s="15" t="n">
        <x:v>24</x:v>
      </x:c>
      <x:c r="J32" s="15" t="n">
        <x:v>25</x:v>
      </x:c>
      <x:c r="K32" s="15" t="str">
        <x:v>Half-water contact</x:v>
      </x:c>
      <x:c r="L32" s="15" t="str">
        <x:v>OPEN</x:v>
      </x:c>
    </x:row>
    <x:row r="33">
      <x:c r="A33" s="14" t="str">
        <x:v>CT-029</x:v>
      </x:c>
      <x:c r="B33" s="14" t="str">
        <x:v>CSM-48</x:v>
      </x:c>
      <x:c r="C33" s="14" t="str">
        <x:v>L1</x:v>
      </x:c>
      <x:c r="D33" s="14" t="str">
        <x:v>NRC-B</x:v>
      </x:c>
      <x:c r="E33" s="14" t="str">
        <x:v>COHERENT</x:v>
      </x:c>
      <x:c r="F33" s="14" t="str">
        <x:v>T5</x:v>
      </x:c>
      <x:c r="G33" s="14" t="str">
        <x:v>Exact hydraulic</x:v>
      </x:c>
      <x:c r="H33" s="14" t="n">
        <x:v>500</x:v>
      </x:c>
      <x:c r="I33" s="14" t="n">
        <x:v>48</x:v>
      </x:c>
      <x:c r="J33" s="14" t="n">
        <x:v>25</x:v>
      </x:c>
      <x:c r="K33" s="14" t="str">
        <x:v>Complete issue and recovery</x:v>
      </x:c>
      <x:c r="L33" s="14" t="str">
        <x:v>OPEN</x:v>
      </x:c>
    </x:row>
    <x:row r="34">
      <x:c r="A34" s="15" t="str">
        <x:v>CT-030</x:v>
      </x:c>
      <x:c r="B34" s="15" t="str">
        <x:v>CSM-48</x:v>
      </x:c>
      <x:c r="C34" s="15" t="str">
        <x:v>L1</x:v>
      </x:c>
      <x:c r="D34" s="15" t="str">
        <x:v>NRC-B</x:v>
      </x:c>
      <x:c r="E34" s="15" t="str">
        <x:v>COHERENT</x:v>
      </x:c>
      <x:c r="F34" s="15" t="str">
        <x:v>T6</x:v>
      </x:c>
      <x:c r="G34" s="15" t="str">
        <x:v>Independent service</x:v>
      </x:c>
      <x:c r="H34" s="15" t="n">
        <x:v>500</x:v>
      </x:c>
      <x:c r="I34" s="15" t="n">
        <x:v>48</x:v>
      </x:c>
      <x:c r="J34" s="15" t="n">
        <x:v>25</x:v>
      </x:c>
      <x:c r="K34" s="15" t="str">
        <x:v>No host energy, network or time</x:v>
      </x:c>
      <x:c r="L34" s="15" t="str">
        <x:v>OPEN</x:v>
      </x:c>
    </x:row>
    <x:row r="35">
      <x:c r="A35" s="14" t="str">
        <x:v>CT-031</x:v>
      </x:c>
      <x:c r="B35" s="14" t="str">
        <x:v>CSM-48</x:v>
      </x:c>
      <x:c r="C35" s="14" t="str">
        <x:v>L1</x:v>
      </x:c>
      <x:c r="D35" s="14" t="str">
        <x:v>NRC-B</x:v>
      </x:c>
      <x:c r="E35" s="14" t="str">
        <x:v>COHERENT</x:v>
      </x:c>
      <x:c r="F35" s="14" t="str">
        <x:v>T7</x:v>
      </x:c>
      <x:c r="G35" s="14" t="str">
        <x:v>Receiver denial</x:v>
      </x:c>
      <x:c r="H35" s="14" t="n">
        <x:v>500</x:v>
      </x:c>
      <x:c r="I35" s="14" t="n">
        <x:v>48</x:v>
      </x:c>
      <x:c r="J35" s="14" t="n">
        <x:v>25</x:v>
      </x:c>
      <x:c r="K35" s="14" t="str">
        <x:v>Diversion and terminal custody</x:v>
      </x:c>
      <x:c r="L35" s="14" t="str">
        <x:v>OPEN</x:v>
      </x:c>
    </x:row>
    <x:row r="36">
      <x:c r="A36" s="15" t="str">
        <x:v>CT-032</x:v>
      </x:c>
      <x:c r="B36" s="15" t="str">
        <x:v>CSM-48</x:v>
      </x:c>
      <x:c r="C36" s="15" t="str">
        <x:v>L1</x:v>
      </x:c>
      <x:c r="D36" s="15" t="str">
        <x:v>NRC-B</x:v>
      </x:c>
      <x:c r="E36" s="15" t="str">
        <x:v>COHERENT</x:v>
      </x:c>
      <x:c r="F36" s="15" t="str">
        <x:v>T8</x:v>
      </x:c>
      <x:c r="G36" s="15" t="str">
        <x:v>Outside only</x:v>
      </x:c>
      <x:c r="H36" s="15" t="n">
        <x:v>500</x:v>
      </x:c>
      <x:c r="I36" s="15" t="n">
        <x:v>48</x:v>
      </x:c>
      <x:c r="J36" s="15" t="n">
        <x:v>25</x:v>
      </x:c>
      <x:c r="K36" s="15" t="str">
        <x:v>External reconstruction</x:v>
      </x:c>
      <x:c r="L36" s="15" t="str">
        <x:v>OPEN</x:v>
      </x:c>
    </x:row>
    <x:row r="37">
      <x:c r="A37" s="14" t="str">
        <x:v>CT-033</x:v>
      </x:c>
      <x:c r="B37" s="14" t="str">
        <x:v>CSM-48</x:v>
      </x:c>
      <x:c r="C37" s="14" t="str">
        <x:v>L1</x:v>
      </x:c>
      <x:c r="D37" s="14" t="str">
        <x:v>NRC-C</x:v>
      </x:c>
      <x:c r="E37" s="14" t="str">
        <x:v>DISPERSED</x:v>
      </x:c>
      <x:c r="F37" s="14" t="str">
        <x:v>T1</x:v>
      </x:c>
      <x:c r="G37" s="14" t="str">
        <x:v>Sealed zero</x:v>
      </x:c>
      <x:c r="H37" s="14" t="n">
        <x:v>0</x:v>
      </x:c>
      <x:c r="I37" s="14" t="n">
        <x:v>0</x:v>
      </x:c>
      <x:c r="J37" s="14" t="n">
        <x:v>25</x:v>
      </x:c>
      <x:c r="K37" s="14" t="str">
        <x:v>Native state, leakage and command isolation</x:v>
      </x:c>
      <x:c r="L37" s="14" t="str">
        <x:v>OPEN</x:v>
      </x:c>
    </x:row>
    <x:row r="38">
      <x:c r="A38" s="15" t="str">
        <x:v>CT-034</x:v>
      </x:c>
      <x:c r="B38" s="15" t="str">
        <x:v>CSM-48</x:v>
      </x:c>
      <x:c r="C38" s="15" t="str">
        <x:v>L1</x:v>
      </x:c>
      <x:c r="D38" s="15" t="str">
        <x:v>NRC-C</x:v>
      </x:c>
      <x:c r="E38" s="15" t="str">
        <x:v>DISPERSED</x:v>
      </x:c>
      <x:c r="F38" s="15" t="str">
        <x:v>T2</x:v>
      </x:c>
      <x:c r="G38" s="15" t="str">
        <x:v>ER-09 anchor</x:v>
      </x:c>
      <x:c r="H38" s="15" t="n">
        <x:v>500</x:v>
      </x:c>
      <x:c r="I38" s="15" t="n">
        <x:v>24</x:v>
      </x:c>
      <x:c r="J38" s="15" t="n">
        <x:v>6.25</x:v>
      </x:c>
      <x:c r="K38" s="15" t="str">
        <x:v>Parent transfer</x:v>
      </x:c>
      <x:c r="L38" s="15" t="str">
        <x:v>OPEN</x:v>
      </x:c>
    </x:row>
    <x:row r="39">
      <x:c r="A39" s="14" t="str">
        <x:v>CT-035</x:v>
      </x:c>
      <x:c r="B39" s="14" t="str">
        <x:v>CSM-48</x:v>
      </x:c>
      <x:c r="C39" s="14" t="str">
        <x:v>L1</x:v>
      </x:c>
      <x:c r="D39" s="14" t="str">
        <x:v>NRC-C</x:v>
      </x:c>
      <x:c r="E39" s="14" t="str">
        <x:v>DISPERSED</x:v>
      </x:c>
      <x:c r="F39" s="14" t="str">
        <x:v>T3</x:v>
      </x:c>
      <x:c r="G39" s="14" t="str">
        <x:v>Area expansion dry</x:v>
      </x:c>
      <x:c r="H39" s="14" t="n">
        <x:v>500</x:v>
      </x:c>
      <x:c r="I39" s="14" t="n">
        <x:v>0</x:v>
      </x:c>
      <x:c r="J39" s="14" t="n">
        <x:v>25</x:v>
      </x:c>
      <x:c r="K39" s="14" t="str">
        <x:v>Topology and boundary transition</x:v>
      </x:c>
      <x:c r="L39" s="14" t="str">
        <x:v>OPEN</x:v>
      </x:c>
    </x:row>
    <x:row r="40">
      <x:c r="A40" s="15" t="str">
        <x:v>CT-036</x:v>
      </x:c>
      <x:c r="B40" s="15" t="str">
        <x:v>CSM-48</x:v>
      </x:c>
      <x:c r="C40" s="15" t="str">
        <x:v>L1</x:v>
      </x:c>
      <x:c r="D40" s="15" t="str">
        <x:v>NRC-C</x:v>
      </x:c>
      <x:c r="E40" s="15" t="str">
        <x:v>DISPERSED</x:v>
      </x:c>
      <x:c r="F40" s="15" t="str">
        <x:v>T4</x:v>
      </x:c>
      <x:c r="G40" s="15" t="str">
        <x:v>Area expansion wet</x:v>
      </x:c>
      <x:c r="H40" s="15" t="n">
        <x:v>500</x:v>
      </x:c>
      <x:c r="I40" s="15" t="n">
        <x:v>24</x:v>
      </x:c>
      <x:c r="J40" s="15" t="n">
        <x:v>25</x:v>
      </x:c>
      <x:c r="K40" s="15" t="str">
        <x:v>Half-water contact</x:v>
      </x:c>
      <x:c r="L40" s="15" t="str">
        <x:v>OPEN</x:v>
      </x:c>
    </x:row>
    <x:row r="41">
      <x:c r="A41" s="14" t="str">
        <x:v>CT-037</x:v>
      </x:c>
      <x:c r="B41" s="14" t="str">
        <x:v>CSM-48</x:v>
      </x:c>
      <x:c r="C41" s="14" t="str">
        <x:v>L1</x:v>
      </x:c>
      <x:c r="D41" s="14" t="str">
        <x:v>NRC-C</x:v>
      </x:c>
      <x:c r="E41" s="14" t="str">
        <x:v>DISPERSED</x:v>
      </x:c>
      <x:c r="F41" s="14" t="str">
        <x:v>T5</x:v>
      </x:c>
      <x:c r="G41" s="14" t="str">
        <x:v>Exact hydraulic</x:v>
      </x:c>
      <x:c r="H41" s="14" t="n">
        <x:v>500</x:v>
      </x:c>
      <x:c r="I41" s="14" t="n">
        <x:v>48</x:v>
      </x:c>
      <x:c r="J41" s="14" t="n">
        <x:v>25</x:v>
      </x:c>
      <x:c r="K41" s="14" t="str">
        <x:v>Complete issue and recovery</x:v>
      </x:c>
      <x:c r="L41" s="14" t="str">
        <x:v>OPEN</x:v>
      </x:c>
    </x:row>
    <x:row r="42">
      <x:c r="A42" s="15" t="str">
        <x:v>CT-038</x:v>
      </x:c>
      <x:c r="B42" s="15" t="str">
        <x:v>CSM-48</x:v>
      </x:c>
      <x:c r="C42" s="15" t="str">
        <x:v>L1</x:v>
      </x:c>
      <x:c r="D42" s="15" t="str">
        <x:v>NRC-C</x:v>
      </x:c>
      <x:c r="E42" s="15" t="str">
        <x:v>DISPERSED</x:v>
      </x:c>
      <x:c r="F42" s="15" t="str">
        <x:v>T6</x:v>
      </x:c>
      <x:c r="G42" s="15" t="str">
        <x:v>Independent service</x:v>
      </x:c>
      <x:c r="H42" s="15" t="n">
        <x:v>500</x:v>
      </x:c>
      <x:c r="I42" s="15" t="n">
        <x:v>48</x:v>
      </x:c>
      <x:c r="J42" s="15" t="n">
        <x:v>25</x:v>
      </x:c>
      <x:c r="K42" s="15" t="str">
        <x:v>No host energy, network or time</x:v>
      </x:c>
      <x:c r="L42" s="15" t="str">
        <x:v>OPEN</x:v>
      </x:c>
    </x:row>
    <x:row r="43">
      <x:c r="A43" s="14" t="str">
        <x:v>CT-039</x:v>
      </x:c>
      <x:c r="B43" s="14" t="str">
        <x:v>CSM-48</x:v>
      </x:c>
      <x:c r="C43" s="14" t="str">
        <x:v>L1</x:v>
      </x:c>
      <x:c r="D43" s="14" t="str">
        <x:v>NRC-C</x:v>
      </x:c>
      <x:c r="E43" s="14" t="str">
        <x:v>DISPERSED</x:v>
      </x:c>
      <x:c r="F43" s="14" t="str">
        <x:v>T7</x:v>
      </x:c>
      <x:c r="G43" s="14" t="str">
        <x:v>Receiver denial</x:v>
      </x:c>
      <x:c r="H43" s="14" t="n">
        <x:v>500</x:v>
      </x:c>
      <x:c r="I43" s="14" t="n">
        <x:v>48</x:v>
      </x:c>
      <x:c r="J43" s="14" t="n">
        <x:v>25</x:v>
      </x:c>
      <x:c r="K43" s="14" t="str">
        <x:v>Diversion and terminal custody</x:v>
      </x:c>
      <x:c r="L43" s="14" t="str">
        <x:v>OPEN</x:v>
      </x:c>
    </x:row>
    <x:row r="44">
      <x:c r="A44" s="15" t="str">
        <x:v>CT-040</x:v>
      </x:c>
      <x:c r="B44" s="15" t="str">
        <x:v>CSM-48</x:v>
      </x:c>
      <x:c r="C44" s="15" t="str">
        <x:v>L1</x:v>
      </x:c>
      <x:c r="D44" s="15" t="str">
        <x:v>NRC-C</x:v>
      </x:c>
      <x:c r="E44" s="15" t="str">
        <x:v>DISPERSED</x:v>
      </x:c>
      <x:c r="F44" s="15" t="str">
        <x:v>T8</x:v>
      </x:c>
      <x:c r="G44" s="15" t="str">
        <x:v>Outside only</x:v>
      </x:c>
      <x:c r="H44" s="15" t="n">
        <x:v>500</x:v>
      </x:c>
      <x:c r="I44" s="15" t="n">
        <x:v>48</x:v>
      </x:c>
      <x:c r="J44" s="15" t="n">
        <x:v>25</x:v>
      </x:c>
      <x:c r="K44" s="15" t="str">
        <x:v>External reconstruction</x:v>
      </x:c>
      <x:c r="L44" s="15" t="str">
        <x:v>OPEN</x:v>
      </x:c>
    </x:row>
    <x:row r="45">
      <x:c r="A45" s="14" t="str">
        <x:v>CT-041</x:v>
      </x:c>
      <x:c r="B45" s="14" t="str">
        <x:v>CSM-48</x:v>
      </x:c>
      <x:c r="C45" s="14" t="str">
        <x:v>L1</x:v>
      </x:c>
      <x:c r="D45" s="14" t="str">
        <x:v>NRC-C</x:v>
      </x:c>
      <x:c r="E45" s="14" t="str">
        <x:v>COHERENT</x:v>
      </x:c>
      <x:c r="F45" s="14" t="str">
        <x:v>T1</x:v>
      </x:c>
      <x:c r="G45" s="14" t="str">
        <x:v>Sealed zero</x:v>
      </x:c>
      <x:c r="H45" s="14" t="n">
        <x:v>0</x:v>
      </x:c>
      <x:c r="I45" s="14" t="n">
        <x:v>0</x:v>
      </x:c>
      <x:c r="J45" s="14" t="n">
        <x:v>25</x:v>
      </x:c>
      <x:c r="K45" s="14" t="str">
        <x:v>Native state, leakage and command isolation</x:v>
      </x:c>
      <x:c r="L45" s="14" t="str">
        <x:v>OPEN</x:v>
      </x:c>
    </x:row>
    <x:row r="46">
      <x:c r="A46" s="15" t="str">
        <x:v>CT-042</x:v>
      </x:c>
      <x:c r="B46" s="15" t="str">
        <x:v>CSM-48</x:v>
      </x:c>
      <x:c r="C46" s="15" t="str">
        <x:v>L1</x:v>
      </x:c>
      <x:c r="D46" s="15" t="str">
        <x:v>NRC-C</x:v>
      </x:c>
      <x:c r="E46" s="15" t="str">
        <x:v>COHERENT</x:v>
      </x:c>
      <x:c r="F46" s="15" t="str">
        <x:v>T2</x:v>
      </x:c>
      <x:c r="G46" s="15" t="str">
        <x:v>ER-09 anchor</x:v>
      </x:c>
      <x:c r="H46" s="15" t="n">
        <x:v>500</x:v>
      </x:c>
      <x:c r="I46" s="15" t="n">
        <x:v>24</x:v>
      </x:c>
      <x:c r="J46" s="15" t="n">
        <x:v>6.25</x:v>
      </x:c>
      <x:c r="K46" s="15" t="str">
        <x:v>Parent transfer</x:v>
      </x:c>
      <x:c r="L46" s="15" t="str">
        <x:v>OPEN</x:v>
      </x:c>
    </x:row>
    <x:row r="47">
      <x:c r="A47" s="14" t="str">
        <x:v>CT-043</x:v>
      </x:c>
      <x:c r="B47" s="14" t="str">
        <x:v>CSM-48</x:v>
      </x:c>
      <x:c r="C47" s="14" t="str">
        <x:v>L1</x:v>
      </x:c>
      <x:c r="D47" s="14" t="str">
        <x:v>NRC-C</x:v>
      </x:c>
      <x:c r="E47" s="14" t="str">
        <x:v>COHERENT</x:v>
      </x:c>
      <x:c r="F47" s="14" t="str">
        <x:v>T3</x:v>
      </x:c>
      <x:c r="G47" s="14" t="str">
        <x:v>Area expansion dry</x:v>
      </x:c>
      <x:c r="H47" s="14" t="n">
        <x:v>500</x:v>
      </x:c>
      <x:c r="I47" s="14" t="n">
        <x:v>0</x:v>
      </x:c>
      <x:c r="J47" s="14" t="n">
        <x:v>25</x:v>
      </x:c>
      <x:c r="K47" s="14" t="str">
        <x:v>Topology and boundary transition</x:v>
      </x:c>
      <x:c r="L47" s="14" t="str">
        <x:v>OPEN</x:v>
      </x:c>
    </x:row>
    <x:row r="48">
      <x:c r="A48" s="15" t="str">
        <x:v>CT-044</x:v>
      </x:c>
      <x:c r="B48" s="15" t="str">
        <x:v>CSM-48</x:v>
      </x:c>
      <x:c r="C48" s="15" t="str">
        <x:v>L1</x:v>
      </x:c>
      <x:c r="D48" s="15" t="str">
        <x:v>NRC-C</x:v>
      </x:c>
      <x:c r="E48" s="15" t="str">
        <x:v>COHERENT</x:v>
      </x:c>
      <x:c r="F48" s="15" t="str">
        <x:v>T4</x:v>
      </x:c>
      <x:c r="G48" s="15" t="str">
        <x:v>Area expansion wet</x:v>
      </x:c>
      <x:c r="H48" s="15" t="n">
        <x:v>500</x:v>
      </x:c>
      <x:c r="I48" s="15" t="n">
        <x:v>24</x:v>
      </x:c>
      <x:c r="J48" s="15" t="n">
        <x:v>25</x:v>
      </x:c>
      <x:c r="K48" s="15" t="str">
        <x:v>Half-water contact</x:v>
      </x:c>
      <x:c r="L48" s="15" t="str">
        <x:v>OPEN</x:v>
      </x:c>
    </x:row>
    <x:row r="49">
      <x:c r="A49" s="14" t="str">
        <x:v>CT-045</x:v>
      </x:c>
      <x:c r="B49" s="14" t="str">
        <x:v>CSM-48</x:v>
      </x:c>
      <x:c r="C49" s="14" t="str">
        <x:v>L1</x:v>
      </x:c>
      <x:c r="D49" s="14" t="str">
        <x:v>NRC-C</x:v>
      </x:c>
      <x:c r="E49" s="14" t="str">
        <x:v>COHERENT</x:v>
      </x:c>
      <x:c r="F49" s="14" t="str">
        <x:v>T5</x:v>
      </x:c>
      <x:c r="G49" s="14" t="str">
        <x:v>Exact hydraulic</x:v>
      </x:c>
      <x:c r="H49" s="14" t="n">
        <x:v>500</x:v>
      </x:c>
      <x:c r="I49" s="14" t="n">
        <x:v>48</x:v>
      </x:c>
      <x:c r="J49" s="14" t="n">
        <x:v>25</x:v>
      </x:c>
      <x:c r="K49" s="14" t="str">
        <x:v>Complete issue and recovery</x:v>
      </x:c>
      <x:c r="L49" s="14" t="str">
        <x:v>OPEN</x:v>
      </x:c>
    </x:row>
    <x:row r="50">
      <x:c r="A50" s="15" t="str">
        <x:v>CT-046</x:v>
      </x:c>
      <x:c r="B50" s="15" t="str">
        <x:v>CSM-48</x:v>
      </x:c>
      <x:c r="C50" s="15" t="str">
        <x:v>L1</x:v>
      </x:c>
      <x:c r="D50" s="15" t="str">
        <x:v>NRC-C</x:v>
      </x:c>
      <x:c r="E50" s="15" t="str">
        <x:v>COHERENT</x:v>
      </x:c>
      <x:c r="F50" s="15" t="str">
        <x:v>T6</x:v>
      </x:c>
      <x:c r="G50" s="15" t="str">
        <x:v>Independent service</x:v>
      </x:c>
      <x:c r="H50" s="15" t="n">
        <x:v>500</x:v>
      </x:c>
      <x:c r="I50" s="15" t="n">
        <x:v>48</x:v>
      </x:c>
      <x:c r="J50" s="15" t="n">
        <x:v>25</x:v>
      </x:c>
      <x:c r="K50" s="15" t="str">
        <x:v>No host energy, network or time</x:v>
      </x:c>
      <x:c r="L50" s="15" t="str">
        <x:v>OPEN</x:v>
      </x:c>
    </x:row>
    <x:row r="51">
      <x:c r="A51" s="14" t="str">
        <x:v>CT-047</x:v>
      </x:c>
      <x:c r="B51" s="14" t="str">
        <x:v>CSM-48</x:v>
      </x:c>
      <x:c r="C51" s="14" t="str">
        <x:v>L1</x:v>
      </x:c>
      <x:c r="D51" s="14" t="str">
        <x:v>NRC-C</x:v>
      </x:c>
      <x:c r="E51" s="14" t="str">
        <x:v>COHERENT</x:v>
      </x:c>
      <x:c r="F51" s="14" t="str">
        <x:v>T7</x:v>
      </x:c>
      <x:c r="G51" s="14" t="str">
        <x:v>Receiver denial</x:v>
      </x:c>
      <x:c r="H51" s="14" t="n">
        <x:v>500</x:v>
      </x:c>
      <x:c r="I51" s="14" t="n">
        <x:v>48</x:v>
      </x:c>
      <x:c r="J51" s="14" t="n">
        <x:v>25</x:v>
      </x:c>
      <x:c r="K51" s="14" t="str">
        <x:v>Diversion and terminal custody</x:v>
      </x:c>
      <x:c r="L51" s="14" t="str">
        <x:v>OPEN</x:v>
      </x:c>
    </x:row>
    <x:row r="52">
      <x:c r="A52" s="15" t="str">
        <x:v>CT-048</x:v>
      </x:c>
      <x:c r="B52" s="15" t="str">
        <x:v>CSM-48</x:v>
      </x:c>
      <x:c r="C52" s="15" t="str">
        <x:v>L1</x:v>
      </x:c>
      <x:c r="D52" s="15" t="str">
        <x:v>NRC-C</x:v>
      </x:c>
      <x:c r="E52" s="15" t="str">
        <x:v>COHERENT</x:v>
      </x:c>
      <x:c r="F52" s="15" t="str">
        <x:v>T8</x:v>
      </x:c>
      <x:c r="G52" s="15" t="str">
        <x:v>Outside only</x:v>
      </x:c>
      <x:c r="H52" s="15" t="n">
        <x:v>500</x:v>
      </x:c>
      <x:c r="I52" s="15" t="n">
        <x:v>48</x:v>
      </x:c>
      <x:c r="J52" s="15" t="n">
        <x:v>25</x:v>
      </x:c>
      <x:c r="K52" s="15" t="str">
        <x:v>External reconstruction</x:v>
      </x:c>
      <x:c r="L52" s="15" t="str">
        <x:v>OPEN</x:v>
      </x:c>
    </x:row>
    <x:row r="53">
      <x:c r="A53" s="14" t="str">
        <x:v>CT-049</x:v>
      </x:c>
      <x:c r="B53" s="14" t="str">
        <x:v>CSM-48</x:v>
      </x:c>
      <x:c r="C53" s="14" t="str">
        <x:v>L2</x:v>
      </x:c>
      <x:c r="D53" s="14" t="str">
        <x:v>NRC-A</x:v>
      </x:c>
      <x:c r="E53" s="14" t="str">
        <x:v>DISPERSED</x:v>
      </x:c>
      <x:c r="F53" s="14" t="str">
        <x:v>T1</x:v>
      </x:c>
      <x:c r="G53" s="14" t="str">
        <x:v>Sealed zero</x:v>
      </x:c>
      <x:c r="H53" s="14" t="n">
        <x:v>0</x:v>
      </x:c>
      <x:c r="I53" s="14" t="n">
        <x:v>0</x:v>
      </x:c>
      <x:c r="J53" s="14" t="n">
        <x:v>25</x:v>
      </x:c>
      <x:c r="K53" s="14" t="str">
        <x:v>Native state, leakage and command isolation</x:v>
      </x:c>
      <x:c r="L53" s="14" t="str">
        <x:v>OPEN</x:v>
      </x:c>
    </x:row>
    <x:row r="54">
      <x:c r="A54" s="15" t="str">
        <x:v>CT-050</x:v>
      </x:c>
      <x:c r="B54" s="15" t="str">
        <x:v>CSM-48</x:v>
      </x:c>
      <x:c r="C54" s="15" t="str">
        <x:v>L2</x:v>
      </x:c>
      <x:c r="D54" s="15" t="str">
        <x:v>NRC-A</x:v>
      </x:c>
      <x:c r="E54" s="15" t="str">
        <x:v>DISPERSED</x:v>
      </x:c>
      <x:c r="F54" s="15" t="str">
        <x:v>T2</x:v>
      </x:c>
      <x:c r="G54" s="15" t="str">
        <x:v>ER-09 anchor</x:v>
      </x:c>
      <x:c r="H54" s="15" t="n">
        <x:v>500</x:v>
      </x:c>
      <x:c r="I54" s="15" t="n">
        <x:v>24</x:v>
      </x:c>
      <x:c r="J54" s="15" t="n">
        <x:v>6.25</x:v>
      </x:c>
      <x:c r="K54" s="15" t="str">
        <x:v>Parent transfer</x:v>
      </x:c>
      <x:c r="L54" s="15" t="str">
        <x:v>OPEN</x:v>
      </x:c>
    </x:row>
    <x:row r="55">
      <x:c r="A55" s="14" t="str">
        <x:v>CT-051</x:v>
      </x:c>
      <x:c r="B55" s="14" t="str">
        <x:v>CSM-48</x:v>
      </x:c>
      <x:c r="C55" s="14" t="str">
        <x:v>L2</x:v>
      </x:c>
      <x:c r="D55" s="14" t="str">
        <x:v>NRC-A</x:v>
      </x:c>
      <x:c r="E55" s="14" t="str">
        <x:v>DISPERSED</x:v>
      </x:c>
      <x:c r="F55" s="14" t="str">
        <x:v>T3</x:v>
      </x:c>
      <x:c r="G55" s="14" t="str">
        <x:v>Area expansion dry</x:v>
      </x:c>
      <x:c r="H55" s="14" t="n">
        <x:v>500</x:v>
      </x:c>
      <x:c r="I55" s="14" t="n">
        <x:v>0</x:v>
      </x:c>
      <x:c r="J55" s="14" t="n">
        <x:v>25</x:v>
      </x:c>
      <x:c r="K55" s="14" t="str">
        <x:v>Topology and boundary transition</x:v>
      </x:c>
      <x:c r="L55" s="14" t="str">
        <x:v>OPEN</x:v>
      </x:c>
    </x:row>
    <x:row r="56">
      <x:c r="A56" s="15" t="str">
        <x:v>CT-052</x:v>
      </x:c>
      <x:c r="B56" s="15" t="str">
        <x:v>CSM-48</x:v>
      </x:c>
      <x:c r="C56" s="15" t="str">
        <x:v>L2</x:v>
      </x:c>
      <x:c r="D56" s="15" t="str">
        <x:v>NRC-A</x:v>
      </x:c>
      <x:c r="E56" s="15" t="str">
        <x:v>DISPERSED</x:v>
      </x:c>
      <x:c r="F56" s="15" t="str">
        <x:v>T4</x:v>
      </x:c>
      <x:c r="G56" s="15" t="str">
        <x:v>Area expansion wet</x:v>
      </x:c>
      <x:c r="H56" s="15" t="n">
        <x:v>500</x:v>
      </x:c>
      <x:c r="I56" s="15" t="n">
        <x:v>24</x:v>
      </x:c>
      <x:c r="J56" s="15" t="n">
        <x:v>25</x:v>
      </x:c>
      <x:c r="K56" s="15" t="str">
        <x:v>Half-water contact</x:v>
      </x:c>
      <x:c r="L56" s="15" t="str">
        <x:v>OPEN</x:v>
      </x:c>
    </x:row>
    <x:row r="57">
      <x:c r="A57" s="14" t="str">
        <x:v>CT-053</x:v>
      </x:c>
      <x:c r="B57" s="14" t="str">
        <x:v>CSM-48</x:v>
      </x:c>
      <x:c r="C57" s="14" t="str">
        <x:v>L2</x:v>
      </x:c>
      <x:c r="D57" s="14" t="str">
        <x:v>NRC-A</x:v>
      </x:c>
      <x:c r="E57" s="14" t="str">
        <x:v>DISPERSED</x:v>
      </x:c>
      <x:c r="F57" s="14" t="str">
        <x:v>T5</x:v>
      </x:c>
      <x:c r="G57" s="14" t="str">
        <x:v>Exact hydraulic</x:v>
      </x:c>
      <x:c r="H57" s="14" t="n">
        <x:v>500</x:v>
      </x:c>
      <x:c r="I57" s="14" t="n">
        <x:v>48</x:v>
      </x:c>
      <x:c r="J57" s="14" t="n">
        <x:v>25</x:v>
      </x:c>
      <x:c r="K57" s="14" t="str">
        <x:v>Complete issue and recovery</x:v>
      </x:c>
      <x:c r="L57" s="14" t="str">
        <x:v>OPEN</x:v>
      </x:c>
    </x:row>
    <x:row r="58">
      <x:c r="A58" s="15" t="str">
        <x:v>CT-054</x:v>
      </x:c>
      <x:c r="B58" s="15" t="str">
        <x:v>CSM-48</x:v>
      </x:c>
      <x:c r="C58" s="15" t="str">
        <x:v>L2</x:v>
      </x:c>
      <x:c r="D58" s="15" t="str">
        <x:v>NRC-A</x:v>
      </x:c>
      <x:c r="E58" s="15" t="str">
        <x:v>DISPERSED</x:v>
      </x:c>
      <x:c r="F58" s="15" t="str">
        <x:v>T6</x:v>
      </x:c>
      <x:c r="G58" s="15" t="str">
        <x:v>Independent service</x:v>
      </x:c>
      <x:c r="H58" s="15" t="n">
        <x:v>500</x:v>
      </x:c>
      <x:c r="I58" s="15" t="n">
        <x:v>48</x:v>
      </x:c>
      <x:c r="J58" s="15" t="n">
        <x:v>25</x:v>
      </x:c>
      <x:c r="K58" s="15" t="str">
        <x:v>No host energy, network or time</x:v>
      </x:c>
      <x:c r="L58" s="15" t="str">
        <x:v>OPEN</x:v>
      </x:c>
    </x:row>
    <x:row r="59">
      <x:c r="A59" s="14" t="str">
        <x:v>CT-055</x:v>
      </x:c>
      <x:c r="B59" s="14" t="str">
        <x:v>CSM-48</x:v>
      </x:c>
      <x:c r="C59" s="14" t="str">
        <x:v>L2</x:v>
      </x:c>
      <x:c r="D59" s="14" t="str">
        <x:v>NRC-A</x:v>
      </x:c>
      <x:c r="E59" s="14" t="str">
        <x:v>DISPERSED</x:v>
      </x:c>
      <x:c r="F59" s="14" t="str">
        <x:v>T7</x:v>
      </x:c>
      <x:c r="G59" s="14" t="str">
        <x:v>Receiver denial</x:v>
      </x:c>
      <x:c r="H59" s="14" t="n">
        <x:v>500</x:v>
      </x:c>
      <x:c r="I59" s="14" t="n">
        <x:v>48</x:v>
      </x:c>
      <x:c r="J59" s="14" t="n">
        <x:v>25</x:v>
      </x:c>
      <x:c r="K59" s="14" t="str">
        <x:v>Diversion and terminal custody</x:v>
      </x:c>
      <x:c r="L59" s="14" t="str">
        <x:v>OPEN</x:v>
      </x:c>
    </x:row>
    <x:row r="60">
      <x:c r="A60" s="15" t="str">
        <x:v>CT-056</x:v>
      </x:c>
      <x:c r="B60" s="15" t="str">
        <x:v>CSM-48</x:v>
      </x:c>
      <x:c r="C60" s="15" t="str">
        <x:v>L2</x:v>
      </x:c>
      <x:c r="D60" s="15" t="str">
        <x:v>NRC-A</x:v>
      </x:c>
      <x:c r="E60" s="15" t="str">
        <x:v>DISPERSED</x:v>
      </x:c>
      <x:c r="F60" s="15" t="str">
        <x:v>T8</x:v>
      </x:c>
      <x:c r="G60" s="15" t="str">
        <x:v>Outside only</x:v>
      </x:c>
      <x:c r="H60" s="15" t="n">
        <x:v>500</x:v>
      </x:c>
      <x:c r="I60" s="15" t="n">
        <x:v>48</x:v>
      </x:c>
      <x:c r="J60" s="15" t="n">
        <x:v>25</x:v>
      </x:c>
      <x:c r="K60" s="15" t="str">
        <x:v>External reconstruction</x:v>
      </x:c>
      <x:c r="L60" s="15" t="str">
        <x:v>OPEN</x:v>
      </x:c>
    </x:row>
    <x:row r="61">
      <x:c r="A61" s="14" t="str">
        <x:v>CT-057</x:v>
      </x:c>
      <x:c r="B61" s="14" t="str">
        <x:v>CSM-48</x:v>
      </x:c>
      <x:c r="C61" s="14" t="str">
        <x:v>L2</x:v>
      </x:c>
      <x:c r="D61" s="14" t="str">
        <x:v>NRC-A</x:v>
      </x:c>
      <x:c r="E61" s="14" t="str">
        <x:v>COHERENT</x:v>
      </x:c>
      <x:c r="F61" s="14" t="str">
        <x:v>T1</x:v>
      </x:c>
      <x:c r="G61" s="14" t="str">
        <x:v>Sealed zero</x:v>
      </x:c>
      <x:c r="H61" s="14" t="n">
        <x:v>0</x:v>
      </x:c>
      <x:c r="I61" s="14" t="n">
        <x:v>0</x:v>
      </x:c>
      <x:c r="J61" s="14" t="n">
        <x:v>25</x:v>
      </x:c>
      <x:c r="K61" s="14" t="str">
        <x:v>Native state, leakage and command isolation</x:v>
      </x:c>
      <x:c r="L61" s="14" t="str">
        <x:v>OPEN</x:v>
      </x:c>
    </x:row>
    <x:row r="62">
      <x:c r="A62" s="15" t="str">
        <x:v>CT-058</x:v>
      </x:c>
      <x:c r="B62" s="15" t="str">
        <x:v>CSM-48</x:v>
      </x:c>
      <x:c r="C62" s="15" t="str">
        <x:v>L2</x:v>
      </x:c>
      <x:c r="D62" s="15" t="str">
        <x:v>NRC-A</x:v>
      </x:c>
      <x:c r="E62" s="15" t="str">
        <x:v>COHERENT</x:v>
      </x:c>
      <x:c r="F62" s="15" t="str">
        <x:v>T2</x:v>
      </x:c>
      <x:c r="G62" s="15" t="str">
        <x:v>ER-09 anchor</x:v>
      </x:c>
      <x:c r="H62" s="15" t="n">
        <x:v>500</x:v>
      </x:c>
      <x:c r="I62" s="15" t="n">
        <x:v>24</x:v>
      </x:c>
      <x:c r="J62" s="15" t="n">
        <x:v>6.25</x:v>
      </x:c>
      <x:c r="K62" s="15" t="str">
        <x:v>Parent transfer</x:v>
      </x:c>
      <x:c r="L62" s="15" t="str">
        <x:v>OPEN</x:v>
      </x:c>
    </x:row>
    <x:row r="63">
      <x:c r="A63" s="14" t="str">
        <x:v>CT-059</x:v>
      </x:c>
      <x:c r="B63" s="14" t="str">
        <x:v>CSM-48</x:v>
      </x:c>
      <x:c r="C63" s="14" t="str">
        <x:v>L2</x:v>
      </x:c>
      <x:c r="D63" s="14" t="str">
        <x:v>NRC-A</x:v>
      </x:c>
      <x:c r="E63" s="14" t="str">
        <x:v>COHERENT</x:v>
      </x:c>
      <x:c r="F63" s="14" t="str">
        <x:v>T3</x:v>
      </x:c>
      <x:c r="G63" s="14" t="str">
        <x:v>Area expansion dry</x:v>
      </x:c>
      <x:c r="H63" s="14" t="n">
        <x:v>500</x:v>
      </x:c>
      <x:c r="I63" s="14" t="n">
        <x:v>0</x:v>
      </x:c>
      <x:c r="J63" s="14" t="n">
        <x:v>25</x:v>
      </x:c>
      <x:c r="K63" s="14" t="str">
        <x:v>Topology and boundary transition</x:v>
      </x:c>
      <x:c r="L63" s="14" t="str">
        <x:v>OPEN</x:v>
      </x:c>
    </x:row>
    <x:row r="64">
      <x:c r="A64" s="15" t="str">
        <x:v>CT-060</x:v>
      </x:c>
      <x:c r="B64" s="15" t="str">
        <x:v>CSM-48</x:v>
      </x:c>
      <x:c r="C64" s="15" t="str">
        <x:v>L2</x:v>
      </x:c>
      <x:c r="D64" s="15" t="str">
        <x:v>NRC-A</x:v>
      </x:c>
      <x:c r="E64" s="15" t="str">
        <x:v>COHERENT</x:v>
      </x:c>
      <x:c r="F64" s="15" t="str">
        <x:v>T4</x:v>
      </x:c>
      <x:c r="G64" s="15" t="str">
        <x:v>Area expansion wet</x:v>
      </x:c>
      <x:c r="H64" s="15" t="n">
        <x:v>500</x:v>
      </x:c>
      <x:c r="I64" s="15" t="n">
        <x:v>24</x:v>
      </x:c>
      <x:c r="J64" s="15" t="n">
        <x:v>25</x:v>
      </x:c>
      <x:c r="K64" s="15" t="str">
        <x:v>Half-water contact</x:v>
      </x:c>
      <x:c r="L64" s="15" t="str">
        <x:v>OPEN</x:v>
      </x:c>
    </x:row>
    <x:row r="65">
      <x:c r="A65" s="14" t="str">
        <x:v>CT-061</x:v>
      </x:c>
      <x:c r="B65" s="14" t="str">
        <x:v>CSM-48</x:v>
      </x:c>
      <x:c r="C65" s="14" t="str">
        <x:v>L2</x:v>
      </x:c>
      <x:c r="D65" s="14" t="str">
        <x:v>NRC-A</x:v>
      </x:c>
      <x:c r="E65" s="14" t="str">
        <x:v>COHERENT</x:v>
      </x:c>
      <x:c r="F65" s="14" t="str">
        <x:v>T5</x:v>
      </x:c>
      <x:c r="G65" s="14" t="str">
        <x:v>Exact hydraulic</x:v>
      </x:c>
      <x:c r="H65" s="14" t="n">
        <x:v>500</x:v>
      </x:c>
      <x:c r="I65" s="14" t="n">
        <x:v>48</x:v>
      </x:c>
      <x:c r="J65" s="14" t="n">
        <x:v>25</x:v>
      </x:c>
      <x:c r="K65" s="14" t="str">
        <x:v>Complete issue and recovery</x:v>
      </x:c>
      <x:c r="L65" s="14" t="str">
        <x:v>OPEN</x:v>
      </x:c>
    </x:row>
    <x:row r="66">
      <x:c r="A66" s="15" t="str">
        <x:v>CT-062</x:v>
      </x:c>
      <x:c r="B66" s="15" t="str">
        <x:v>CSM-48</x:v>
      </x:c>
      <x:c r="C66" s="15" t="str">
        <x:v>L2</x:v>
      </x:c>
      <x:c r="D66" s="15" t="str">
        <x:v>NRC-A</x:v>
      </x:c>
      <x:c r="E66" s="15" t="str">
        <x:v>COHERENT</x:v>
      </x:c>
      <x:c r="F66" s="15" t="str">
        <x:v>T6</x:v>
      </x:c>
      <x:c r="G66" s="15" t="str">
        <x:v>Independent service</x:v>
      </x:c>
      <x:c r="H66" s="15" t="n">
        <x:v>500</x:v>
      </x:c>
      <x:c r="I66" s="15" t="n">
        <x:v>48</x:v>
      </x:c>
      <x:c r="J66" s="15" t="n">
        <x:v>25</x:v>
      </x:c>
      <x:c r="K66" s="15" t="str">
        <x:v>No host energy, network or time</x:v>
      </x:c>
      <x:c r="L66" s="15" t="str">
        <x:v>OPEN</x:v>
      </x:c>
    </x:row>
    <x:row r="67">
      <x:c r="A67" s="14" t="str">
        <x:v>CT-063</x:v>
      </x:c>
      <x:c r="B67" s="14" t="str">
        <x:v>CSM-48</x:v>
      </x:c>
      <x:c r="C67" s="14" t="str">
        <x:v>L2</x:v>
      </x:c>
      <x:c r="D67" s="14" t="str">
        <x:v>NRC-A</x:v>
      </x:c>
      <x:c r="E67" s="14" t="str">
        <x:v>COHERENT</x:v>
      </x:c>
      <x:c r="F67" s="14" t="str">
        <x:v>T7</x:v>
      </x:c>
      <x:c r="G67" s="14" t="str">
        <x:v>Receiver denial</x:v>
      </x:c>
      <x:c r="H67" s="14" t="n">
        <x:v>500</x:v>
      </x:c>
      <x:c r="I67" s="14" t="n">
        <x:v>48</x:v>
      </x:c>
      <x:c r="J67" s="14" t="n">
        <x:v>25</x:v>
      </x:c>
      <x:c r="K67" s="14" t="str">
        <x:v>Diversion and terminal custody</x:v>
      </x:c>
      <x:c r="L67" s="14" t="str">
        <x:v>OPEN</x:v>
      </x:c>
    </x:row>
    <x:row r="68">
      <x:c r="A68" s="15" t="str">
        <x:v>CT-064</x:v>
      </x:c>
      <x:c r="B68" s="15" t="str">
        <x:v>CSM-48</x:v>
      </x:c>
      <x:c r="C68" s="15" t="str">
        <x:v>L2</x:v>
      </x:c>
      <x:c r="D68" s="15" t="str">
        <x:v>NRC-A</x:v>
      </x:c>
      <x:c r="E68" s="15" t="str">
        <x:v>COHERENT</x:v>
      </x:c>
      <x:c r="F68" s="15" t="str">
        <x:v>T8</x:v>
      </x:c>
      <x:c r="G68" s="15" t="str">
        <x:v>Outside only</x:v>
      </x:c>
      <x:c r="H68" s="15" t="n">
        <x:v>500</x:v>
      </x:c>
      <x:c r="I68" s="15" t="n">
        <x:v>48</x:v>
      </x:c>
      <x:c r="J68" s="15" t="n">
        <x:v>25</x:v>
      </x:c>
      <x:c r="K68" s="15" t="str">
        <x:v>External reconstruction</x:v>
      </x:c>
      <x:c r="L68" s="15" t="str">
        <x:v>OPEN</x:v>
      </x:c>
    </x:row>
    <x:row r="69">
      <x:c r="A69" s="14" t="str">
        <x:v>CT-065</x:v>
      </x:c>
      <x:c r="B69" s="14" t="str">
        <x:v>CSM-48</x:v>
      </x:c>
      <x:c r="C69" s="14" t="str">
        <x:v>L2</x:v>
      </x:c>
      <x:c r="D69" s="14" t="str">
        <x:v>NRC-B</x:v>
      </x:c>
      <x:c r="E69" s="14" t="str">
        <x:v>DISPERSED</x:v>
      </x:c>
      <x:c r="F69" s="14" t="str">
        <x:v>T1</x:v>
      </x:c>
      <x:c r="G69" s="14" t="str">
        <x:v>Sealed zero</x:v>
      </x:c>
      <x:c r="H69" s="14" t="n">
        <x:v>0</x:v>
      </x:c>
      <x:c r="I69" s="14" t="n">
        <x:v>0</x:v>
      </x:c>
      <x:c r="J69" s="14" t="n">
        <x:v>25</x:v>
      </x:c>
      <x:c r="K69" s="14" t="str">
        <x:v>Native state, leakage and command isolation</x:v>
      </x:c>
      <x:c r="L69" s="14" t="str">
        <x:v>OPEN</x:v>
      </x:c>
    </x:row>
    <x:row r="70">
      <x:c r="A70" s="15" t="str">
        <x:v>CT-066</x:v>
      </x:c>
      <x:c r="B70" s="15" t="str">
        <x:v>CSM-48</x:v>
      </x:c>
      <x:c r="C70" s="15" t="str">
        <x:v>L2</x:v>
      </x:c>
      <x:c r="D70" s="15" t="str">
        <x:v>NRC-B</x:v>
      </x:c>
      <x:c r="E70" s="15" t="str">
        <x:v>DISPERSED</x:v>
      </x:c>
      <x:c r="F70" s="15" t="str">
        <x:v>T2</x:v>
      </x:c>
      <x:c r="G70" s="15" t="str">
        <x:v>ER-09 anchor</x:v>
      </x:c>
      <x:c r="H70" s="15" t="n">
        <x:v>500</x:v>
      </x:c>
      <x:c r="I70" s="15" t="n">
        <x:v>24</x:v>
      </x:c>
      <x:c r="J70" s="15" t="n">
        <x:v>6.25</x:v>
      </x:c>
      <x:c r="K70" s="15" t="str">
        <x:v>Parent transfer</x:v>
      </x:c>
      <x:c r="L70" s="15" t="str">
        <x:v>OPEN</x:v>
      </x:c>
    </x:row>
    <x:row r="71">
      <x:c r="A71" s="14" t="str">
        <x:v>CT-067</x:v>
      </x:c>
      <x:c r="B71" s="14" t="str">
        <x:v>CSM-48</x:v>
      </x:c>
      <x:c r="C71" s="14" t="str">
        <x:v>L2</x:v>
      </x:c>
      <x:c r="D71" s="14" t="str">
        <x:v>NRC-B</x:v>
      </x:c>
      <x:c r="E71" s="14" t="str">
        <x:v>DISPERSED</x:v>
      </x:c>
      <x:c r="F71" s="14" t="str">
        <x:v>T3</x:v>
      </x:c>
      <x:c r="G71" s="14" t="str">
        <x:v>Area expansion dry</x:v>
      </x:c>
      <x:c r="H71" s="14" t="n">
        <x:v>500</x:v>
      </x:c>
      <x:c r="I71" s="14" t="n">
        <x:v>0</x:v>
      </x:c>
      <x:c r="J71" s="14" t="n">
        <x:v>25</x:v>
      </x:c>
      <x:c r="K71" s="14" t="str">
        <x:v>Topology and boundary transition</x:v>
      </x:c>
      <x:c r="L71" s="14" t="str">
        <x:v>OPEN</x:v>
      </x:c>
    </x:row>
    <x:row r="72">
      <x:c r="A72" s="15" t="str">
        <x:v>CT-068</x:v>
      </x:c>
      <x:c r="B72" s="15" t="str">
        <x:v>CSM-48</x:v>
      </x:c>
      <x:c r="C72" s="15" t="str">
        <x:v>L2</x:v>
      </x:c>
      <x:c r="D72" s="15" t="str">
        <x:v>NRC-B</x:v>
      </x:c>
      <x:c r="E72" s="15" t="str">
        <x:v>DISPERSED</x:v>
      </x:c>
      <x:c r="F72" s="15" t="str">
        <x:v>T4</x:v>
      </x:c>
      <x:c r="G72" s="15" t="str">
        <x:v>Area expansion wet</x:v>
      </x:c>
      <x:c r="H72" s="15" t="n">
        <x:v>500</x:v>
      </x:c>
      <x:c r="I72" s="15" t="n">
        <x:v>24</x:v>
      </x:c>
      <x:c r="J72" s="15" t="n">
        <x:v>25</x:v>
      </x:c>
      <x:c r="K72" s="15" t="str">
        <x:v>Half-water contact</x:v>
      </x:c>
      <x:c r="L72" s="15" t="str">
        <x:v>OPEN</x:v>
      </x:c>
    </x:row>
    <x:row r="73">
      <x:c r="A73" s="14" t="str">
        <x:v>CT-069</x:v>
      </x:c>
      <x:c r="B73" s="14" t="str">
        <x:v>CSM-48</x:v>
      </x:c>
      <x:c r="C73" s="14" t="str">
        <x:v>L2</x:v>
      </x:c>
      <x:c r="D73" s="14" t="str">
        <x:v>NRC-B</x:v>
      </x:c>
      <x:c r="E73" s="14" t="str">
        <x:v>DISPERSED</x:v>
      </x:c>
      <x:c r="F73" s="14" t="str">
        <x:v>T5</x:v>
      </x:c>
      <x:c r="G73" s="14" t="str">
        <x:v>Exact hydraulic</x:v>
      </x:c>
      <x:c r="H73" s="14" t="n">
        <x:v>500</x:v>
      </x:c>
      <x:c r="I73" s="14" t="n">
        <x:v>48</x:v>
      </x:c>
      <x:c r="J73" s="14" t="n">
        <x:v>25</x:v>
      </x:c>
      <x:c r="K73" s="14" t="str">
        <x:v>Complete issue and recovery</x:v>
      </x:c>
      <x:c r="L73" s="14" t="str">
        <x:v>OPEN</x:v>
      </x:c>
    </x:row>
    <x:row r="74">
      <x:c r="A74" s="15" t="str">
        <x:v>CT-070</x:v>
      </x:c>
      <x:c r="B74" s="15" t="str">
        <x:v>CSM-48</x:v>
      </x:c>
      <x:c r="C74" s="15" t="str">
        <x:v>L2</x:v>
      </x:c>
      <x:c r="D74" s="15" t="str">
        <x:v>NRC-B</x:v>
      </x:c>
      <x:c r="E74" s="15" t="str">
        <x:v>DISPERSED</x:v>
      </x:c>
      <x:c r="F74" s="15" t="str">
        <x:v>T6</x:v>
      </x:c>
      <x:c r="G74" s="15" t="str">
        <x:v>Independent service</x:v>
      </x:c>
      <x:c r="H74" s="15" t="n">
        <x:v>500</x:v>
      </x:c>
      <x:c r="I74" s="15" t="n">
        <x:v>48</x:v>
      </x:c>
      <x:c r="J74" s="15" t="n">
        <x:v>25</x:v>
      </x:c>
      <x:c r="K74" s="15" t="str">
        <x:v>No host energy, network or time</x:v>
      </x:c>
      <x:c r="L74" s="15" t="str">
        <x:v>OPEN</x:v>
      </x:c>
    </x:row>
    <x:row r="75">
      <x:c r="A75" s="14" t="str">
        <x:v>CT-071</x:v>
      </x:c>
      <x:c r="B75" s="14" t="str">
        <x:v>CSM-48</x:v>
      </x:c>
      <x:c r="C75" s="14" t="str">
        <x:v>L2</x:v>
      </x:c>
      <x:c r="D75" s="14" t="str">
        <x:v>NRC-B</x:v>
      </x:c>
      <x:c r="E75" s="14" t="str">
        <x:v>DISPERSED</x:v>
      </x:c>
      <x:c r="F75" s="14" t="str">
        <x:v>T7</x:v>
      </x:c>
      <x:c r="G75" s="14" t="str">
        <x:v>Receiver denial</x:v>
      </x:c>
      <x:c r="H75" s="14" t="n">
        <x:v>500</x:v>
      </x:c>
      <x:c r="I75" s="14" t="n">
        <x:v>48</x:v>
      </x:c>
      <x:c r="J75" s="14" t="n">
        <x:v>25</x:v>
      </x:c>
      <x:c r="K75" s="14" t="str">
        <x:v>Diversion and terminal custody</x:v>
      </x:c>
      <x:c r="L75" s="14" t="str">
        <x:v>OPEN</x:v>
      </x:c>
    </x:row>
    <x:row r="76">
      <x:c r="A76" s="15" t="str">
        <x:v>CT-072</x:v>
      </x:c>
      <x:c r="B76" s="15" t="str">
        <x:v>CSM-48</x:v>
      </x:c>
      <x:c r="C76" s="15" t="str">
        <x:v>L2</x:v>
      </x:c>
      <x:c r="D76" s="15" t="str">
        <x:v>NRC-B</x:v>
      </x:c>
      <x:c r="E76" s="15" t="str">
        <x:v>DISPERSED</x:v>
      </x:c>
      <x:c r="F76" s="15" t="str">
        <x:v>T8</x:v>
      </x:c>
      <x:c r="G76" s="15" t="str">
        <x:v>Outside only</x:v>
      </x:c>
      <x:c r="H76" s="15" t="n">
        <x:v>500</x:v>
      </x:c>
      <x:c r="I76" s="15" t="n">
        <x:v>48</x:v>
      </x:c>
      <x:c r="J76" s="15" t="n">
        <x:v>25</x:v>
      </x:c>
      <x:c r="K76" s="15" t="str">
        <x:v>External reconstruction</x:v>
      </x:c>
      <x:c r="L76" s="15" t="str">
        <x:v>OPEN</x:v>
      </x:c>
    </x:row>
    <x:row r="77">
      <x:c r="A77" s="14" t="str">
        <x:v>CT-073</x:v>
      </x:c>
      <x:c r="B77" s="14" t="str">
        <x:v>CSM-48</x:v>
      </x:c>
      <x:c r="C77" s="14" t="str">
        <x:v>L2</x:v>
      </x:c>
      <x:c r="D77" s="14" t="str">
        <x:v>NRC-B</x:v>
      </x:c>
      <x:c r="E77" s="14" t="str">
        <x:v>COHERENT</x:v>
      </x:c>
      <x:c r="F77" s="14" t="str">
        <x:v>T1</x:v>
      </x:c>
      <x:c r="G77" s="14" t="str">
        <x:v>Sealed zero</x:v>
      </x:c>
      <x:c r="H77" s="14" t="n">
        <x:v>0</x:v>
      </x:c>
      <x:c r="I77" s="14" t="n">
        <x:v>0</x:v>
      </x:c>
      <x:c r="J77" s="14" t="n">
        <x:v>25</x:v>
      </x:c>
      <x:c r="K77" s="14" t="str">
        <x:v>Native state, leakage and command isolation</x:v>
      </x:c>
      <x:c r="L77" s="14" t="str">
        <x:v>OPEN</x:v>
      </x:c>
    </x:row>
    <x:row r="78">
      <x:c r="A78" s="15" t="str">
        <x:v>CT-074</x:v>
      </x:c>
      <x:c r="B78" s="15" t="str">
        <x:v>CSM-48</x:v>
      </x:c>
      <x:c r="C78" s="15" t="str">
        <x:v>L2</x:v>
      </x:c>
      <x:c r="D78" s="15" t="str">
        <x:v>NRC-B</x:v>
      </x:c>
      <x:c r="E78" s="15" t="str">
        <x:v>COHERENT</x:v>
      </x:c>
      <x:c r="F78" s="15" t="str">
        <x:v>T2</x:v>
      </x:c>
      <x:c r="G78" s="15" t="str">
        <x:v>ER-09 anchor</x:v>
      </x:c>
      <x:c r="H78" s="15" t="n">
        <x:v>500</x:v>
      </x:c>
      <x:c r="I78" s="15" t="n">
        <x:v>24</x:v>
      </x:c>
      <x:c r="J78" s="15" t="n">
        <x:v>6.25</x:v>
      </x:c>
      <x:c r="K78" s="15" t="str">
        <x:v>Parent transfer</x:v>
      </x:c>
      <x:c r="L78" s="15" t="str">
        <x:v>OPEN</x:v>
      </x:c>
    </x:row>
    <x:row r="79">
      <x:c r="A79" s="14" t="str">
        <x:v>CT-075</x:v>
      </x:c>
      <x:c r="B79" s="14" t="str">
        <x:v>CSM-48</x:v>
      </x:c>
      <x:c r="C79" s="14" t="str">
        <x:v>L2</x:v>
      </x:c>
      <x:c r="D79" s="14" t="str">
        <x:v>NRC-B</x:v>
      </x:c>
      <x:c r="E79" s="14" t="str">
        <x:v>COHERENT</x:v>
      </x:c>
      <x:c r="F79" s="14" t="str">
        <x:v>T3</x:v>
      </x:c>
      <x:c r="G79" s="14" t="str">
        <x:v>Area expansion dry</x:v>
      </x:c>
      <x:c r="H79" s="14" t="n">
        <x:v>500</x:v>
      </x:c>
      <x:c r="I79" s="14" t="n">
        <x:v>0</x:v>
      </x:c>
      <x:c r="J79" s="14" t="n">
        <x:v>25</x:v>
      </x:c>
      <x:c r="K79" s="14" t="str">
        <x:v>Topology and boundary transition</x:v>
      </x:c>
      <x:c r="L79" s="14" t="str">
        <x:v>OPEN</x:v>
      </x:c>
    </x:row>
    <x:row r="80">
      <x:c r="A80" s="15" t="str">
        <x:v>CT-076</x:v>
      </x:c>
      <x:c r="B80" s="15" t="str">
        <x:v>CSM-48</x:v>
      </x:c>
      <x:c r="C80" s="15" t="str">
        <x:v>L2</x:v>
      </x:c>
      <x:c r="D80" s="15" t="str">
        <x:v>NRC-B</x:v>
      </x:c>
      <x:c r="E80" s="15" t="str">
        <x:v>COHERENT</x:v>
      </x:c>
      <x:c r="F80" s="15" t="str">
        <x:v>T4</x:v>
      </x:c>
      <x:c r="G80" s="15" t="str">
        <x:v>Area expansion wet</x:v>
      </x:c>
      <x:c r="H80" s="15" t="n">
        <x:v>500</x:v>
      </x:c>
      <x:c r="I80" s="15" t="n">
        <x:v>24</x:v>
      </x:c>
      <x:c r="J80" s="15" t="n">
        <x:v>25</x:v>
      </x:c>
      <x:c r="K80" s="15" t="str">
        <x:v>Half-water contact</x:v>
      </x:c>
      <x:c r="L80" s="15" t="str">
        <x:v>OPEN</x:v>
      </x:c>
    </x:row>
    <x:row r="81">
      <x:c r="A81" s="14" t="str">
        <x:v>CT-077</x:v>
      </x:c>
      <x:c r="B81" s="14" t="str">
        <x:v>CSM-48</x:v>
      </x:c>
      <x:c r="C81" s="14" t="str">
        <x:v>L2</x:v>
      </x:c>
      <x:c r="D81" s="14" t="str">
        <x:v>NRC-B</x:v>
      </x:c>
      <x:c r="E81" s="14" t="str">
        <x:v>COHERENT</x:v>
      </x:c>
      <x:c r="F81" s="14" t="str">
        <x:v>T5</x:v>
      </x:c>
      <x:c r="G81" s="14" t="str">
        <x:v>Exact hydraulic</x:v>
      </x:c>
      <x:c r="H81" s="14" t="n">
        <x:v>500</x:v>
      </x:c>
      <x:c r="I81" s="14" t="n">
        <x:v>48</x:v>
      </x:c>
      <x:c r="J81" s="14" t="n">
        <x:v>25</x:v>
      </x:c>
      <x:c r="K81" s="14" t="str">
        <x:v>Complete issue and recovery</x:v>
      </x:c>
      <x:c r="L81" s="14" t="str">
        <x:v>OPEN</x:v>
      </x:c>
    </x:row>
    <x:row r="82">
      <x:c r="A82" s="15" t="str">
        <x:v>CT-078</x:v>
      </x:c>
      <x:c r="B82" s="15" t="str">
        <x:v>CSM-48</x:v>
      </x:c>
      <x:c r="C82" s="15" t="str">
        <x:v>L2</x:v>
      </x:c>
      <x:c r="D82" s="15" t="str">
        <x:v>NRC-B</x:v>
      </x:c>
      <x:c r="E82" s="15" t="str">
        <x:v>COHERENT</x:v>
      </x:c>
      <x:c r="F82" s="15" t="str">
        <x:v>T6</x:v>
      </x:c>
      <x:c r="G82" s="15" t="str">
        <x:v>Independent service</x:v>
      </x:c>
      <x:c r="H82" s="15" t="n">
        <x:v>500</x:v>
      </x:c>
      <x:c r="I82" s="15" t="n">
        <x:v>48</x:v>
      </x:c>
      <x:c r="J82" s="15" t="n">
        <x:v>25</x:v>
      </x:c>
      <x:c r="K82" s="15" t="str">
        <x:v>No host energy, network or time</x:v>
      </x:c>
      <x:c r="L82" s="15" t="str">
        <x:v>OPEN</x:v>
      </x:c>
    </x:row>
    <x:row r="83">
      <x:c r="A83" s="14" t="str">
        <x:v>CT-079</x:v>
      </x:c>
      <x:c r="B83" s="14" t="str">
        <x:v>CSM-48</x:v>
      </x:c>
      <x:c r="C83" s="14" t="str">
        <x:v>L2</x:v>
      </x:c>
      <x:c r="D83" s="14" t="str">
        <x:v>NRC-B</x:v>
      </x:c>
      <x:c r="E83" s="14" t="str">
        <x:v>COHERENT</x:v>
      </x:c>
      <x:c r="F83" s="14" t="str">
        <x:v>T7</x:v>
      </x:c>
      <x:c r="G83" s="14" t="str">
        <x:v>Receiver denial</x:v>
      </x:c>
      <x:c r="H83" s="14" t="n">
        <x:v>500</x:v>
      </x:c>
      <x:c r="I83" s="14" t="n">
        <x:v>48</x:v>
      </x:c>
      <x:c r="J83" s="14" t="n">
        <x:v>25</x:v>
      </x:c>
      <x:c r="K83" s="14" t="str">
        <x:v>Diversion and terminal custody</x:v>
      </x:c>
      <x:c r="L83" s="14" t="str">
        <x:v>OPEN</x:v>
      </x:c>
    </x:row>
    <x:row r="84">
      <x:c r="A84" s="15" t="str">
        <x:v>CT-080</x:v>
      </x:c>
      <x:c r="B84" s="15" t="str">
        <x:v>CSM-48</x:v>
      </x:c>
      <x:c r="C84" s="15" t="str">
        <x:v>L2</x:v>
      </x:c>
      <x:c r="D84" s="15" t="str">
        <x:v>NRC-B</x:v>
      </x:c>
      <x:c r="E84" s="15" t="str">
        <x:v>COHERENT</x:v>
      </x:c>
      <x:c r="F84" s="15" t="str">
        <x:v>T8</x:v>
      </x:c>
      <x:c r="G84" s="15" t="str">
        <x:v>Outside only</x:v>
      </x:c>
      <x:c r="H84" s="15" t="n">
        <x:v>500</x:v>
      </x:c>
      <x:c r="I84" s="15" t="n">
        <x:v>48</x:v>
      </x:c>
      <x:c r="J84" s="15" t="n">
        <x:v>25</x:v>
      </x:c>
      <x:c r="K84" s="15" t="str">
        <x:v>External reconstruction</x:v>
      </x:c>
      <x:c r="L84" s="15" t="str">
        <x:v>OPEN</x:v>
      </x:c>
    </x:row>
    <x:row r="85">
      <x:c r="A85" s="14" t="str">
        <x:v>CT-081</x:v>
      </x:c>
      <x:c r="B85" s="14" t="str">
        <x:v>CSM-48</x:v>
      </x:c>
      <x:c r="C85" s="14" t="str">
        <x:v>L2</x:v>
      </x:c>
      <x:c r="D85" s="14" t="str">
        <x:v>NRC-C</x:v>
      </x:c>
      <x:c r="E85" s="14" t="str">
        <x:v>DISPERSED</x:v>
      </x:c>
      <x:c r="F85" s="14" t="str">
        <x:v>T1</x:v>
      </x:c>
      <x:c r="G85" s="14" t="str">
        <x:v>Sealed zero</x:v>
      </x:c>
      <x:c r="H85" s="14" t="n">
        <x:v>0</x:v>
      </x:c>
      <x:c r="I85" s="14" t="n">
        <x:v>0</x:v>
      </x:c>
      <x:c r="J85" s="14" t="n">
        <x:v>25</x:v>
      </x:c>
      <x:c r="K85" s="14" t="str">
        <x:v>Native state, leakage and command isolation</x:v>
      </x:c>
      <x:c r="L85" s="14" t="str">
        <x:v>OPEN</x:v>
      </x:c>
    </x:row>
    <x:row r="86">
      <x:c r="A86" s="15" t="str">
        <x:v>CT-082</x:v>
      </x:c>
      <x:c r="B86" s="15" t="str">
        <x:v>CSM-48</x:v>
      </x:c>
      <x:c r="C86" s="15" t="str">
        <x:v>L2</x:v>
      </x:c>
      <x:c r="D86" s="15" t="str">
        <x:v>NRC-C</x:v>
      </x:c>
      <x:c r="E86" s="15" t="str">
        <x:v>DISPERSED</x:v>
      </x:c>
      <x:c r="F86" s="15" t="str">
        <x:v>T2</x:v>
      </x:c>
      <x:c r="G86" s="15" t="str">
        <x:v>ER-09 anchor</x:v>
      </x:c>
      <x:c r="H86" s="15" t="n">
        <x:v>500</x:v>
      </x:c>
      <x:c r="I86" s="15" t="n">
        <x:v>24</x:v>
      </x:c>
      <x:c r="J86" s="15" t="n">
        <x:v>6.25</x:v>
      </x:c>
      <x:c r="K86" s="15" t="str">
        <x:v>Parent transfer</x:v>
      </x:c>
      <x:c r="L86" s="15" t="str">
        <x:v>OPEN</x:v>
      </x:c>
    </x:row>
    <x:row r="87">
      <x:c r="A87" s="14" t="str">
        <x:v>CT-083</x:v>
      </x:c>
      <x:c r="B87" s="14" t="str">
        <x:v>CSM-48</x:v>
      </x:c>
      <x:c r="C87" s="14" t="str">
        <x:v>L2</x:v>
      </x:c>
      <x:c r="D87" s="14" t="str">
        <x:v>NRC-C</x:v>
      </x:c>
      <x:c r="E87" s="14" t="str">
        <x:v>DISPERSED</x:v>
      </x:c>
      <x:c r="F87" s="14" t="str">
        <x:v>T3</x:v>
      </x:c>
      <x:c r="G87" s="14" t="str">
        <x:v>Area expansion dry</x:v>
      </x:c>
      <x:c r="H87" s="14" t="n">
        <x:v>500</x:v>
      </x:c>
      <x:c r="I87" s="14" t="n">
        <x:v>0</x:v>
      </x:c>
      <x:c r="J87" s="14" t="n">
        <x:v>25</x:v>
      </x:c>
      <x:c r="K87" s="14" t="str">
        <x:v>Topology and boundary transition</x:v>
      </x:c>
      <x:c r="L87" s="14" t="str">
        <x:v>OPEN</x:v>
      </x:c>
    </x:row>
    <x:row r="88">
      <x:c r="A88" s="15" t="str">
        <x:v>CT-084</x:v>
      </x:c>
      <x:c r="B88" s="15" t="str">
        <x:v>CSM-48</x:v>
      </x:c>
      <x:c r="C88" s="15" t="str">
        <x:v>L2</x:v>
      </x:c>
      <x:c r="D88" s="15" t="str">
        <x:v>NRC-C</x:v>
      </x:c>
      <x:c r="E88" s="15" t="str">
        <x:v>DISPERSED</x:v>
      </x:c>
      <x:c r="F88" s="15" t="str">
        <x:v>T4</x:v>
      </x:c>
      <x:c r="G88" s="15" t="str">
        <x:v>Area expansion wet</x:v>
      </x:c>
      <x:c r="H88" s="15" t="n">
        <x:v>500</x:v>
      </x:c>
      <x:c r="I88" s="15" t="n">
        <x:v>24</x:v>
      </x:c>
      <x:c r="J88" s="15" t="n">
        <x:v>25</x:v>
      </x:c>
      <x:c r="K88" s="15" t="str">
        <x:v>Half-water contact</x:v>
      </x:c>
      <x:c r="L88" s="15" t="str">
        <x:v>OPEN</x:v>
      </x:c>
    </x:row>
    <x:row r="89">
      <x:c r="A89" s="14" t="str">
        <x:v>CT-085</x:v>
      </x:c>
      <x:c r="B89" s="14" t="str">
        <x:v>CSM-48</x:v>
      </x:c>
      <x:c r="C89" s="14" t="str">
        <x:v>L2</x:v>
      </x:c>
      <x:c r="D89" s="14" t="str">
        <x:v>NRC-C</x:v>
      </x:c>
      <x:c r="E89" s="14" t="str">
        <x:v>DISPERSED</x:v>
      </x:c>
      <x:c r="F89" s="14" t="str">
        <x:v>T5</x:v>
      </x:c>
      <x:c r="G89" s="14" t="str">
        <x:v>Exact hydraulic</x:v>
      </x:c>
      <x:c r="H89" s="14" t="n">
        <x:v>500</x:v>
      </x:c>
      <x:c r="I89" s="14" t="n">
        <x:v>48</x:v>
      </x:c>
      <x:c r="J89" s="14" t="n">
        <x:v>25</x:v>
      </x:c>
      <x:c r="K89" s="14" t="str">
        <x:v>Complete issue and recovery</x:v>
      </x:c>
      <x:c r="L89" s="14" t="str">
        <x:v>OPEN</x:v>
      </x:c>
    </x:row>
    <x:row r="90">
      <x:c r="A90" s="15" t="str">
        <x:v>CT-086</x:v>
      </x:c>
      <x:c r="B90" s="15" t="str">
        <x:v>CSM-48</x:v>
      </x:c>
      <x:c r="C90" s="15" t="str">
        <x:v>L2</x:v>
      </x:c>
      <x:c r="D90" s="15" t="str">
        <x:v>NRC-C</x:v>
      </x:c>
      <x:c r="E90" s="15" t="str">
        <x:v>DISPERSED</x:v>
      </x:c>
      <x:c r="F90" s="15" t="str">
        <x:v>T6</x:v>
      </x:c>
      <x:c r="G90" s="15" t="str">
        <x:v>Independent service</x:v>
      </x:c>
      <x:c r="H90" s="15" t="n">
        <x:v>500</x:v>
      </x:c>
      <x:c r="I90" s="15" t="n">
        <x:v>48</x:v>
      </x:c>
      <x:c r="J90" s="15" t="n">
        <x:v>25</x:v>
      </x:c>
      <x:c r="K90" s="15" t="str">
        <x:v>No host energy, network or time</x:v>
      </x:c>
      <x:c r="L90" s="15" t="str">
        <x:v>OPEN</x:v>
      </x:c>
    </x:row>
    <x:row r="91">
      <x:c r="A91" s="14" t="str">
        <x:v>CT-087</x:v>
      </x:c>
      <x:c r="B91" s="14" t="str">
        <x:v>CSM-48</x:v>
      </x:c>
      <x:c r="C91" s="14" t="str">
        <x:v>L2</x:v>
      </x:c>
      <x:c r="D91" s="14" t="str">
        <x:v>NRC-C</x:v>
      </x:c>
      <x:c r="E91" s="14" t="str">
        <x:v>DISPERSED</x:v>
      </x:c>
      <x:c r="F91" s="14" t="str">
        <x:v>T7</x:v>
      </x:c>
      <x:c r="G91" s="14" t="str">
        <x:v>Receiver denial</x:v>
      </x:c>
      <x:c r="H91" s="14" t="n">
        <x:v>500</x:v>
      </x:c>
      <x:c r="I91" s="14" t="n">
        <x:v>48</x:v>
      </x:c>
      <x:c r="J91" s="14" t="n">
        <x:v>25</x:v>
      </x:c>
      <x:c r="K91" s="14" t="str">
        <x:v>Diversion and terminal custody</x:v>
      </x:c>
      <x:c r="L91" s="14" t="str">
        <x:v>OPEN</x:v>
      </x:c>
    </x:row>
    <x:row r="92">
      <x:c r="A92" s="15" t="str">
        <x:v>CT-088</x:v>
      </x:c>
      <x:c r="B92" s="15" t="str">
        <x:v>CSM-48</x:v>
      </x:c>
      <x:c r="C92" s="15" t="str">
        <x:v>L2</x:v>
      </x:c>
      <x:c r="D92" s="15" t="str">
        <x:v>NRC-C</x:v>
      </x:c>
      <x:c r="E92" s="15" t="str">
        <x:v>DISPERSED</x:v>
      </x:c>
      <x:c r="F92" s="15" t="str">
        <x:v>T8</x:v>
      </x:c>
      <x:c r="G92" s="15" t="str">
        <x:v>Outside only</x:v>
      </x:c>
      <x:c r="H92" s="15" t="n">
        <x:v>500</x:v>
      </x:c>
      <x:c r="I92" s="15" t="n">
        <x:v>48</x:v>
      </x:c>
      <x:c r="J92" s="15" t="n">
        <x:v>25</x:v>
      </x:c>
      <x:c r="K92" s="15" t="str">
        <x:v>External reconstruction</x:v>
      </x:c>
      <x:c r="L92" s="15" t="str">
        <x:v>OPEN</x:v>
      </x:c>
    </x:row>
    <x:row r="93">
      <x:c r="A93" s="14" t="str">
        <x:v>CT-089</x:v>
      </x:c>
      <x:c r="B93" s="14" t="str">
        <x:v>CSM-48</x:v>
      </x:c>
      <x:c r="C93" s="14" t="str">
        <x:v>L2</x:v>
      </x:c>
      <x:c r="D93" s="14" t="str">
        <x:v>NRC-C</x:v>
      </x:c>
      <x:c r="E93" s="14" t="str">
        <x:v>COHERENT</x:v>
      </x:c>
      <x:c r="F93" s="14" t="str">
        <x:v>T1</x:v>
      </x:c>
      <x:c r="G93" s="14" t="str">
        <x:v>Sealed zero</x:v>
      </x:c>
      <x:c r="H93" s="14" t="n">
        <x:v>0</x:v>
      </x:c>
      <x:c r="I93" s="14" t="n">
        <x:v>0</x:v>
      </x:c>
      <x:c r="J93" s="14" t="n">
        <x:v>25</x:v>
      </x:c>
      <x:c r="K93" s="14" t="str">
        <x:v>Native state, leakage and command isolation</x:v>
      </x:c>
      <x:c r="L93" s="14" t="str">
        <x:v>OPEN</x:v>
      </x:c>
    </x:row>
    <x:row r="94">
      <x:c r="A94" s="15" t="str">
        <x:v>CT-090</x:v>
      </x:c>
      <x:c r="B94" s="15" t="str">
        <x:v>CSM-48</x:v>
      </x:c>
      <x:c r="C94" s="15" t="str">
        <x:v>L2</x:v>
      </x:c>
      <x:c r="D94" s="15" t="str">
        <x:v>NRC-C</x:v>
      </x:c>
      <x:c r="E94" s="15" t="str">
        <x:v>COHERENT</x:v>
      </x:c>
      <x:c r="F94" s="15" t="str">
        <x:v>T2</x:v>
      </x:c>
      <x:c r="G94" s="15" t="str">
        <x:v>ER-09 anchor</x:v>
      </x:c>
      <x:c r="H94" s="15" t="n">
        <x:v>500</x:v>
      </x:c>
      <x:c r="I94" s="15" t="n">
        <x:v>24</x:v>
      </x:c>
      <x:c r="J94" s="15" t="n">
        <x:v>6.25</x:v>
      </x:c>
      <x:c r="K94" s="15" t="str">
        <x:v>Parent transfer</x:v>
      </x:c>
      <x:c r="L94" s="15" t="str">
        <x:v>OPEN</x:v>
      </x:c>
    </x:row>
    <x:row r="95">
      <x:c r="A95" s="14" t="str">
        <x:v>CT-091</x:v>
      </x:c>
      <x:c r="B95" s="14" t="str">
        <x:v>CSM-48</x:v>
      </x:c>
      <x:c r="C95" s="14" t="str">
        <x:v>L2</x:v>
      </x:c>
      <x:c r="D95" s="14" t="str">
        <x:v>NRC-C</x:v>
      </x:c>
      <x:c r="E95" s="14" t="str">
        <x:v>COHERENT</x:v>
      </x:c>
      <x:c r="F95" s="14" t="str">
        <x:v>T3</x:v>
      </x:c>
      <x:c r="G95" s="14" t="str">
        <x:v>Area expansion dry</x:v>
      </x:c>
      <x:c r="H95" s="14" t="n">
        <x:v>500</x:v>
      </x:c>
      <x:c r="I95" s="14" t="n">
        <x:v>0</x:v>
      </x:c>
      <x:c r="J95" s="14" t="n">
        <x:v>25</x:v>
      </x:c>
      <x:c r="K95" s="14" t="str">
        <x:v>Topology and boundary transition</x:v>
      </x:c>
      <x:c r="L95" s="14" t="str">
        <x:v>OPEN</x:v>
      </x:c>
    </x:row>
    <x:row r="96">
      <x:c r="A96" s="15" t="str">
        <x:v>CT-092</x:v>
      </x:c>
      <x:c r="B96" s="15" t="str">
        <x:v>CSM-48</x:v>
      </x:c>
      <x:c r="C96" s="15" t="str">
        <x:v>L2</x:v>
      </x:c>
      <x:c r="D96" s="15" t="str">
        <x:v>NRC-C</x:v>
      </x:c>
      <x:c r="E96" s="15" t="str">
        <x:v>COHERENT</x:v>
      </x:c>
      <x:c r="F96" s="15" t="str">
        <x:v>T4</x:v>
      </x:c>
      <x:c r="G96" s="15" t="str">
        <x:v>Area expansion wet</x:v>
      </x:c>
      <x:c r="H96" s="15" t="n">
        <x:v>500</x:v>
      </x:c>
      <x:c r="I96" s="15" t="n">
        <x:v>24</x:v>
      </x:c>
      <x:c r="J96" s="15" t="n">
        <x:v>25</x:v>
      </x:c>
      <x:c r="K96" s="15" t="str">
        <x:v>Half-water contact</x:v>
      </x:c>
      <x:c r="L96" s="15" t="str">
        <x:v>OPEN</x:v>
      </x:c>
    </x:row>
    <x:row r="97">
      <x:c r="A97" s="14" t="str">
        <x:v>CT-093</x:v>
      </x:c>
      <x:c r="B97" s="14" t="str">
        <x:v>CSM-48</x:v>
      </x:c>
      <x:c r="C97" s="14" t="str">
        <x:v>L2</x:v>
      </x:c>
      <x:c r="D97" s="14" t="str">
        <x:v>NRC-C</x:v>
      </x:c>
      <x:c r="E97" s="14" t="str">
        <x:v>COHERENT</x:v>
      </x:c>
      <x:c r="F97" s="14" t="str">
        <x:v>T5</x:v>
      </x:c>
      <x:c r="G97" s="14" t="str">
        <x:v>Exact hydraulic</x:v>
      </x:c>
      <x:c r="H97" s="14" t="n">
        <x:v>500</x:v>
      </x:c>
      <x:c r="I97" s="14" t="n">
        <x:v>48</x:v>
      </x:c>
      <x:c r="J97" s="14" t="n">
        <x:v>25</x:v>
      </x:c>
      <x:c r="K97" s="14" t="str">
        <x:v>Complete issue and recovery</x:v>
      </x:c>
      <x:c r="L97" s="14" t="str">
        <x:v>OPEN</x:v>
      </x:c>
    </x:row>
    <x:row r="98">
      <x:c r="A98" s="15" t="str">
        <x:v>CT-094</x:v>
      </x:c>
      <x:c r="B98" s="15" t="str">
        <x:v>CSM-48</x:v>
      </x:c>
      <x:c r="C98" s="15" t="str">
        <x:v>L2</x:v>
      </x:c>
      <x:c r="D98" s="15" t="str">
        <x:v>NRC-C</x:v>
      </x:c>
      <x:c r="E98" s="15" t="str">
        <x:v>COHERENT</x:v>
      </x:c>
      <x:c r="F98" s="15" t="str">
        <x:v>T6</x:v>
      </x:c>
      <x:c r="G98" s="15" t="str">
        <x:v>Independent service</x:v>
      </x:c>
      <x:c r="H98" s="15" t="n">
        <x:v>500</x:v>
      </x:c>
      <x:c r="I98" s="15" t="n">
        <x:v>48</x:v>
      </x:c>
      <x:c r="J98" s="15" t="n">
        <x:v>25</x:v>
      </x:c>
      <x:c r="K98" s="15" t="str">
        <x:v>No host energy, network or time</x:v>
      </x:c>
      <x:c r="L98" s="15" t="str">
        <x:v>OPEN</x:v>
      </x:c>
    </x:row>
    <x:row r="99">
      <x:c r="A99" s="14" t="str">
        <x:v>CT-095</x:v>
      </x:c>
      <x:c r="B99" s="14" t="str">
        <x:v>CSM-48</x:v>
      </x:c>
      <x:c r="C99" s="14" t="str">
        <x:v>L2</x:v>
      </x:c>
      <x:c r="D99" s="14" t="str">
        <x:v>NRC-C</x:v>
      </x:c>
      <x:c r="E99" s="14" t="str">
        <x:v>COHERENT</x:v>
      </x:c>
      <x:c r="F99" s="14" t="str">
        <x:v>T7</x:v>
      </x:c>
      <x:c r="G99" s="14" t="str">
        <x:v>Receiver denial</x:v>
      </x:c>
      <x:c r="H99" s="14" t="n">
        <x:v>500</x:v>
      </x:c>
      <x:c r="I99" s="14" t="n">
        <x:v>48</x:v>
      </x:c>
      <x:c r="J99" s="14" t="n">
        <x:v>25</x:v>
      </x:c>
      <x:c r="K99" s="14" t="str">
        <x:v>Diversion and terminal custody</x:v>
      </x:c>
      <x:c r="L99" s="14" t="str">
        <x:v>OPEN</x:v>
      </x:c>
    </x:row>
    <x:row r="100">
      <x:c r="A100" s="15" t="str">
        <x:v>CT-096</x:v>
      </x:c>
      <x:c r="B100" s="15" t="str">
        <x:v>CSM-48</x:v>
      </x:c>
      <x:c r="C100" s="15" t="str">
        <x:v>L2</x:v>
      </x:c>
      <x:c r="D100" s="15" t="str">
        <x:v>NRC-C</x:v>
      </x:c>
      <x:c r="E100" s="15" t="str">
        <x:v>COHERENT</x:v>
      </x:c>
      <x:c r="F100" s="15" t="str">
        <x:v>T8</x:v>
      </x:c>
      <x:c r="G100" s="15" t="str">
        <x:v>Outside only</x:v>
      </x:c>
      <x:c r="H100" s="15" t="n">
        <x:v>500</x:v>
      </x:c>
      <x:c r="I100" s="15" t="n">
        <x:v>48</x:v>
      </x:c>
      <x:c r="J100" s="15" t="n">
        <x:v>25</x:v>
      </x:c>
      <x:c r="K100" s="15" t="str">
        <x:v>External reconstruction</x:v>
      </x:c>
      <x:c r="L100" s="15" t="str">
        <x:v>OPEN</x:v>
      </x:c>
    </x:row>
    <x:row r="101">
      <x:c r="A101" s="14" t="str">
        <x:v>CT-097</x:v>
      </x:c>
      <x:c r="B101" s="14" t="str">
        <x:v>PGR-48</x:v>
      </x:c>
      <x:c r="C101" s="14" t="str">
        <x:v>L1</x:v>
      </x:c>
      <x:c r="D101" s="14" t="str">
        <x:v>NRC-A</x:v>
      </x:c>
      <x:c r="E101" s="14" t="str">
        <x:v>DISPERSED</x:v>
      </x:c>
      <x:c r="F101" s="14" t="str">
        <x:v>T1</x:v>
      </x:c>
      <x:c r="G101" s="14" t="str">
        <x:v>Sealed zero</x:v>
      </x:c>
      <x:c r="H101" s="14" t="n">
        <x:v>0</x:v>
      </x:c>
      <x:c r="I101" s="14" t="n">
        <x:v>0</x:v>
      </x:c>
      <x:c r="J101" s="14" t="n">
        <x:v>25</x:v>
      </x:c>
      <x:c r="K101" s="14" t="str">
        <x:v>Native state, leakage and command isolation</x:v>
      </x:c>
      <x:c r="L101" s="14" t="str">
        <x:v>OPEN</x:v>
      </x:c>
    </x:row>
    <x:row r="102">
      <x:c r="A102" s="15" t="str">
        <x:v>CT-098</x:v>
      </x:c>
      <x:c r="B102" s="15" t="str">
        <x:v>PGR-48</x:v>
      </x:c>
      <x:c r="C102" s="15" t="str">
        <x:v>L1</x:v>
      </x:c>
      <x:c r="D102" s="15" t="str">
        <x:v>NRC-A</x:v>
      </x:c>
      <x:c r="E102" s="15" t="str">
        <x:v>DISPERSED</x:v>
      </x:c>
      <x:c r="F102" s="15" t="str">
        <x:v>T2</x:v>
      </x:c>
      <x:c r="G102" s="15" t="str">
        <x:v>ER-09 anchor</x:v>
      </x:c>
      <x:c r="H102" s="15" t="n">
        <x:v>500</x:v>
      </x:c>
      <x:c r="I102" s="15" t="n">
        <x:v>24</x:v>
      </x:c>
      <x:c r="J102" s="15" t="n">
        <x:v>6.25</x:v>
      </x:c>
      <x:c r="K102" s="15" t="str">
        <x:v>Parent transfer</x:v>
      </x:c>
      <x:c r="L102" s="15" t="str">
        <x:v>OPEN</x:v>
      </x:c>
    </x:row>
    <x:row r="103">
      <x:c r="A103" s="14" t="str">
        <x:v>CT-099</x:v>
      </x:c>
      <x:c r="B103" s="14" t="str">
        <x:v>PGR-48</x:v>
      </x:c>
      <x:c r="C103" s="14" t="str">
        <x:v>L1</x:v>
      </x:c>
      <x:c r="D103" s="14" t="str">
        <x:v>NRC-A</x:v>
      </x:c>
      <x:c r="E103" s="14" t="str">
        <x:v>DISPERSED</x:v>
      </x:c>
      <x:c r="F103" s="14" t="str">
        <x:v>T3</x:v>
      </x:c>
      <x:c r="G103" s="14" t="str">
        <x:v>Area expansion dry</x:v>
      </x:c>
      <x:c r="H103" s="14" t="n">
        <x:v>500</x:v>
      </x:c>
      <x:c r="I103" s="14" t="n">
        <x:v>0</x:v>
      </x:c>
      <x:c r="J103" s="14" t="n">
        <x:v>25</x:v>
      </x:c>
      <x:c r="K103" s="14" t="str">
        <x:v>Topology and boundary transition</x:v>
      </x:c>
      <x:c r="L103" s="14" t="str">
        <x:v>OPEN</x:v>
      </x:c>
    </x:row>
    <x:row r="104">
      <x:c r="A104" s="15" t="str">
        <x:v>CT-100</x:v>
      </x:c>
      <x:c r="B104" s="15" t="str">
        <x:v>PGR-48</x:v>
      </x:c>
      <x:c r="C104" s="15" t="str">
        <x:v>L1</x:v>
      </x:c>
      <x:c r="D104" s="15" t="str">
        <x:v>NRC-A</x:v>
      </x:c>
      <x:c r="E104" s="15" t="str">
        <x:v>DISPERSED</x:v>
      </x:c>
      <x:c r="F104" s="15" t="str">
        <x:v>T4</x:v>
      </x:c>
      <x:c r="G104" s="15" t="str">
        <x:v>Area expansion wet</x:v>
      </x:c>
      <x:c r="H104" s="15" t="n">
        <x:v>500</x:v>
      </x:c>
      <x:c r="I104" s="15" t="n">
        <x:v>24</x:v>
      </x:c>
      <x:c r="J104" s="15" t="n">
        <x:v>25</x:v>
      </x:c>
      <x:c r="K104" s="15" t="str">
        <x:v>Half-water contact</x:v>
      </x:c>
      <x:c r="L104" s="15" t="str">
        <x:v>OPEN</x:v>
      </x:c>
    </x:row>
    <x:row r="105">
      <x:c r="A105" s="14" t="str">
        <x:v>CT-101</x:v>
      </x:c>
      <x:c r="B105" s="14" t="str">
        <x:v>PGR-48</x:v>
      </x:c>
      <x:c r="C105" s="14" t="str">
        <x:v>L1</x:v>
      </x:c>
      <x:c r="D105" s="14" t="str">
        <x:v>NRC-A</x:v>
      </x:c>
      <x:c r="E105" s="14" t="str">
        <x:v>DISPERSED</x:v>
      </x:c>
      <x:c r="F105" s="14" t="str">
        <x:v>T5</x:v>
      </x:c>
      <x:c r="G105" s="14" t="str">
        <x:v>Exact hydraulic</x:v>
      </x:c>
      <x:c r="H105" s="14" t="n">
        <x:v>500</x:v>
      </x:c>
      <x:c r="I105" s="14" t="n">
        <x:v>48</x:v>
      </x:c>
      <x:c r="J105" s="14" t="n">
        <x:v>25</x:v>
      </x:c>
      <x:c r="K105" s="14" t="str">
        <x:v>Complete issue and recovery</x:v>
      </x:c>
      <x:c r="L105" s="14" t="str">
        <x:v>OPEN</x:v>
      </x:c>
    </x:row>
    <x:row r="106">
      <x:c r="A106" s="15" t="str">
        <x:v>CT-102</x:v>
      </x:c>
      <x:c r="B106" s="15" t="str">
        <x:v>PGR-48</x:v>
      </x:c>
      <x:c r="C106" s="15" t="str">
        <x:v>L1</x:v>
      </x:c>
      <x:c r="D106" s="15" t="str">
        <x:v>NRC-A</x:v>
      </x:c>
      <x:c r="E106" s="15" t="str">
        <x:v>DISPERSED</x:v>
      </x:c>
      <x:c r="F106" s="15" t="str">
        <x:v>T6</x:v>
      </x:c>
      <x:c r="G106" s="15" t="str">
        <x:v>Independent service</x:v>
      </x:c>
      <x:c r="H106" s="15" t="n">
        <x:v>500</x:v>
      </x:c>
      <x:c r="I106" s="15" t="n">
        <x:v>48</x:v>
      </x:c>
      <x:c r="J106" s="15" t="n">
        <x:v>25</x:v>
      </x:c>
      <x:c r="K106" s="15" t="str">
        <x:v>No host energy, network or time</x:v>
      </x:c>
      <x:c r="L106" s="15" t="str">
        <x:v>OPEN</x:v>
      </x:c>
    </x:row>
    <x:row r="107">
      <x:c r="A107" s="14" t="str">
        <x:v>CT-103</x:v>
      </x:c>
      <x:c r="B107" s="14" t="str">
        <x:v>PGR-48</x:v>
      </x:c>
      <x:c r="C107" s="14" t="str">
        <x:v>L1</x:v>
      </x:c>
      <x:c r="D107" s="14" t="str">
        <x:v>NRC-A</x:v>
      </x:c>
      <x:c r="E107" s="14" t="str">
        <x:v>DISPERSED</x:v>
      </x:c>
      <x:c r="F107" s="14" t="str">
        <x:v>T7</x:v>
      </x:c>
      <x:c r="G107" s="14" t="str">
        <x:v>Receiver denial</x:v>
      </x:c>
      <x:c r="H107" s="14" t="n">
        <x:v>500</x:v>
      </x:c>
      <x:c r="I107" s="14" t="n">
        <x:v>48</x:v>
      </x:c>
      <x:c r="J107" s="14" t="n">
        <x:v>25</x:v>
      </x:c>
      <x:c r="K107" s="14" t="str">
        <x:v>Diversion and terminal custody</x:v>
      </x:c>
      <x:c r="L107" s="14" t="str">
        <x:v>OPEN</x:v>
      </x:c>
    </x:row>
    <x:row r="108">
      <x:c r="A108" s="15" t="str">
        <x:v>CT-104</x:v>
      </x:c>
      <x:c r="B108" s="15" t="str">
        <x:v>PGR-48</x:v>
      </x:c>
      <x:c r="C108" s="15" t="str">
        <x:v>L1</x:v>
      </x:c>
      <x:c r="D108" s="15" t="str">
        <x:v>NRC-A</x:v>
      </x:c>
      <x:c r="E108" s="15" t="str">
        <x:v>DISPERSED</x:v>
      </x:c>
      <x:c r="F108" s="15" t="str">
        <x:v>T8</x:v>
      </x:c>
      <x:c r="G108" s="15" t="str">
        <x:v>Outside only</x:v>
      </x:c>
      <x:c r="H108" s="15" t="n">
        <x:v>500</x:v>
      </x:c>
      <x:c r="I108" s="15" t="n">
        <x:v>48</x:v>
      </x:c>
      <x:c r="J108" s="15" t="n">
        <x:v>25</x:v>
      </x:c>
      <x:c r="K108" s="15" t="str">
        <x:v>External reconstruction</x:v>
      </x:c>
      <x:c r="L108" s="15" t="str">
        <x:v>OPEN</x:v>
      </x:c>
    </x:row>
    <x:row r="109">
      <x:c r="A109" s="14" t="str">
        <x:v>CT-105</x:v>
      </x:c>
      <x:c r="B109" s="14" t="str">
        <x:v>PGR-48</x:v>
      </x:c>
      <x:c r="C109" s="14" t="str">
        <x:v>L1</x:v>
      </x:c>
      <x:c r="D109" s="14" t="str">
        <x:v>NRC-A</x:v>
      </x:c>
      <x:c r="E109" s="14" t="str">
        <x:v>COHERENT</x:v>
      </x:c>
      <x:c r="F109" s="14" t="str">
        <x:v>T1</x:v>
      </x:c>
      <x:c r="G109" s="14" t="str">
        <x:v>Sealed zero</x:v>
      </x:c>
      <x:c r="H109" s="14" t="n">
        <x:v>0</x:v>
      </x:c>
      <x:c r="I109" s="14" t="n">
        <x:v>0</x:v>
      </x:c>
      <x:c r="J109" s="14" t="n">
        <x:v>25</x:v>
      </x:c>
      <x:c r="K109" s="14" t="str">
        <x:v>Native state, leakage and command isolation</x:v>
      </x:c>
      <x:c r="L109" s="14" t="str">
        <x:v>OPEN</x:v>
      </x:c>
    </x:row>
    <x:row r="110">
      <x:c r="A110" s="15" t="str">
        <x:v>CT-106</x:v>
      </x:c>
      <x:c r="B110" s="15" t="str">
        <x:v>PGR-48</x:v>
      </x:c>
      <x:c r="C110" s="15" t="str">
        <x:v>L1</x:v>
      </x:c>
      <x:c r="D110" s="15" t="str">
        <x:v>NRC-A</x:v>
      </x:c>
      <x:c r="E110" s="15" t="str">
        <x:v>COHERENT</x:v>
      </x:c>
      <x:c r="F110" s="15" t="str">
        <x:v>T2</x:v>
      </x:c>
      <x:c r="G110" s="15" t="str">
        <x:v>ER-09 anchor</x:v>
      </x:c>
      <x:c r="H110" s="15" t="n">
        <x:v>500</x:v>
      </x:c>
      <x:c r="I110" s="15" t="n">
        <x:v>24</x:v>
      </x:c>
      <x:c r="J110" s="15" t="n">
        <x:v>6.25</x:v>
      </x:c>
      <x:c r="K110" s="15" t="str">
        <x:v>Parent transfer</x:v>
      </x:c>
      <x:c r="L110" s="15" t="str">
        <x:v>OPEN</x:v>
      </x:c>
    </x:row>
    <x:row r="111">
      <x:c r="A111" s="14" t="str">
        <x:v>CT-107</x:v>
      </x:c>
      <x:c r="B111" s="14" t="str">
        <x:v>PGR-48</x:v>
      </x:c>
      <x:c r="C111" s="14" t="str">
        <x:v>L1</x:v>
      </x:c>
      <x:c r="D111" s="14" t="str">
        <x:v>NRC-A</x:v>
      </x:c>
      <x:c r="E111" s="14" t="str">
        <x:v>COHERENT</x:v>
      </x:c>
      <x:c r="F111" s="14" t="str">
        <x:v>T3</x:v>
      </x:c>
      <x:c r="G111" s="14" t="str">
        <x:v>Area expansion dry</x:v>
      </x:c>
      <x:c r="H111" s="14" t="n">
        <x:v>500</x:v>
      </x:c>
      <x:c r="I111" s="14" t="n">
        <x:v>0</x:v>
      </x:c>
      <x:c r="J111" s="14" t="n">
        <x:v>25</x:v>
      </x:c>
      <x:c r="K111" s="14" t="str">
        <x:v>Topology and boundary transition</x:v>
      </x:c>
      <x:c r="L111" s="14" t="str">
        <x:v>OPEN</x:v>
      </x:c>
    </x:row>
    <x:row r="112">
      <x:c r="A112" s="15" t="str">
        <x:v>CT-108</x:v>
      </x:c>
      <x:c r="B112" s="15" t="str">
        <x:v>PGR-48</x:v>
      </x:c>
      <x:c r="C112" s="15" t="str">
        <x:v>L1</x:v>
      </x:c>
      <x:c r="D112" s="15" t="str">
        <x:v>NRC-A</x:v>
      </x:c>
      <x:c r="E112" s="15" t="str">
        <x:v>COHERENT</x:v>
      </x:c>
      <x:c r="F112" s="15" t="str">
        <x:v>T4</x:v>
      </x:c>
      <x:c r="G112" s="15" t="str">
        <x:v>Area expansion wet</x:v>
      </x:c>
      <x:c r="H112" s="15" t="n">
        <x:v>500</x:v>
      </x:c>
      <x:c r="I112" s="15" t="n">
        <x:v>24</x:v>
      </x:c>
      <x:c r="J112" s="15" t="n">
        <x:v>25</x:v>
      </x:c>
      <x:c r="K112" s="15" t="str">
        <x:v>Half-water contact</x:v>
      </x:c>
      <x:c r="L112" s="15" t="str">
        <x:v>OPEN</x:v>
      </x:c>
    </x:row>
    <x:row r="113">
      <x:c r="A113" s="14" t="str">
        <x:v>CT-109</x:v>
      </x:c>
      <x:c r="B113" s="14" t="str">
        <x:v>PGR-48</x:v>
      </x:c>
      <x:c r="C113" s="14" t="str">
        <x:v>L1</x:v>
      </x:c>
      <x:c r="D113" s="14" t="str">
        <x:v>NRC-A</x:v>
      </x:c>
      <x:c r="E113" s="14" t="str">
        <x:v>COHERENT</x:v>
      </x:c>
      <x:c r="F113" s="14" t="str">
        <x:v>T5</x:v>
      </x:c>
      <x:c r="G113" s="14" t="str">
        <x:v>Exact hydraulic</x:v>
      </x:c>
      <x:c r="H113" s="14" t="n">
        <x:v>500</x:v>
      </x:c>
      <x:c r="I113" s="14" t="n">
        <x:v>48</x:v>
      </x:c>
      <x:c r="J113" s="14" t="n">
        <x:v>25</x:v>
      </x:c>
      <x:c r="K113" s="14" t="str">
        <x:v>Complete issue and recovery</x:v>
      </x:c>
      <x:c r="L113" s="14" t="str">
        <x:v>OPEN</x:v>
      </x:c>
    </x:row>
    <x:row r="114">
      <x:c r="A114" s="15" t="str">
        <x:v>CT-110</x:v>
      </x:c>
      <x:c r="B114" s="15" t="str">
        <x:v>PGR-48</x:v>
      </x:c>
      <x:c r="C114" s="15" t="str">
        <x:v>L1</x:v>
      </x:c>
      <x:c r="D114" s="15" t="str">
        <x:v>NRC-A</x:v>
      </x:c>
      <x:c r="E114" s="15" t="str">
        <x:v>COHERENT</x:v>
      </x:c>
      <x:c r="F114" s="15" t="str">
        <x:v>T6</x:v>
      </x:c>
      <x:c r="G114" s="15" t="str">
        <x:v>Independent service</x:v>
      </x:c>
      <x:c r="H114" s="15" t="n">
        <x:v>500</x:v>
      </x:c>
      <x:c r="I114" s="15" t="n">
        <x:v>48</x:v>
      </x:c>
      <x:c r="J114" s="15" t="n">
        <x:v>25</x:v>
      </x:c>
      <x:c r="K114" s="15" t="str">
        <x:v>No host energy, network or time</x:v>
      </x:c>
      <x:c r="L114" s="15" t="str">
        <x:v>OPEN</x:v>
      </x:c>
    </x:row>
    <x:row r="115">
      <x:c r="A115" s="14" t="str">
        <x:v>CT-111</x:v>
      </x:c>
      <x:c r="B115" s="14" t="str">
        <x:v>PGR-48</x:v>
      </x:c>
      <x:c r="C115" s="14" t="str">
        <x:v>L1</x:v>
      </x:c>
      <x:c r="D115" s="14" t="str">
        <x:v>NRC-A</x:v>
      </x:c>
      <x:c r="E115" s="14" t="str">
        <x:v>COHERENT</x:v>
      </x:c>
      <x:c r="F115" s="14" t="str">
        <x:v>T7</x:v>
      </x:c>
      <x:c r="G115" s="14" t="str">
        <x:v>Receiver denial</x:v>
      </x:c>
      <x:c r="H115" s="14" t="n">
        <x:v>500</x:v>
      </x:c>
      <x:c r="I115" s="14" t="n">
        <x:v>48</x:v>
      </x:c>
      <x:c r="J115" s="14" t="n">
        <x:v>25</x:v>
      </x:c>
      <x:c r="K115" s="14" t="str">
        <x:v>Diversion and terminal custody</x:v>
      </x:c>
      <x:c r="L115" s="14" t="str">
        <x:v>OPEN</x:v>
      </x:c>
    </x:row>
    <x:row r="116">
      <x:c r="A116" s="15" t="str">
        <x:v>CT-112</x:v>
      </x:c>
      <x:c r="B116" s="15" t="str">
        <x:v>PGR-48</x:v>
      </x:c>
      <x:c r="C116" s="15" t="str">
        <x:v>L1</x:v>
      </x:c>
      <x:c r="D116" s="15" t="str">
        <x:v>NRC-A</x:v>
      </x:c>
      <x:c r="E116" s="15" t="str">
        <x:v>COHERENT</x:v>
      </x:c>
      <x:c r="F116" s="15" t="str">
        <x:v>T8</x:v>
      </x:c>
      <x:c r="G116" s="15" t="str">
        <x:v>Outside only</x:v>
      </x:c>
      <x:c r="H116" s="15" t="n">
        <x:v>500</x:v>
      </x:c>
      <x:c r="I116" s="15" t="n">
        <x:v>48</x:v>
      </x:c>
      <x:c r="J116" s="15" t="n">
        <x:v>25</x:v>
      </x:c>
      <x:c r="K116" s="15" t="str">
        <x:v>External reconstruction</x:v>
      </x:c>
      <x:c r="L116" s="15" t="str">
        <x:v>OPEN</x:v>
      </x:c>
    </x:row>
    <x:row r="117">
      <x:c r="A117" s="14" t="str">
        <x:v>CT-113</x:v>
      </x:c>
      <x:c r="B117" s="14" t="str">
        <x:v>PGR-48</x:v>
      </x:c>
      <x:c r="C117" s="14" t="str">
        <x:v>L1</x:v>
      </x:c>
      <x:c r="D117" s="14" t="str">
        <x:v>NRC-B</x:v>
      </x:c>
      <x:c r="E117" s="14" t="str">
        <x:v>DISPERSED</x:v>
      </x:c>
      <x:c r="F117" s="14" t="str">
        <x:v>T1</x:v>
      </x:c>
      <x:c r="G117" s="14" t="str">
        <x:v>Sealed zero</x:v>
      </x:c>
      <x:c r="H117" s="14" t="n">
        <x:v>0</x:v>
      </x:c>
      <x:c r="I117" s="14" t="n">
        <x:v>0</x:v>
      </x:c>
      <x:c r="J117" s="14" t="n">
        <x:v>25</x:v>
      </x:c>
      <x:c r="K117" s="14" t="str">
        <x:v>Native state, leakage and command isolation</x:v>
      </x:c>
      <x:c r="L117" s="14" t="str">
        <x:v>OPEN</x:v>
      </x:c>
    </x:row>
    <x:row r="118">
      <x:c r="A118" s="15" t="str">
        <x:v>CT-114</x:v>
      </x:c>
      <x:c r="B118" s="15" t="str">
        <x:v>PGR-48</x:v>
      </x:c>
      <x:c r="C118" s="15" t="str">
        <x:v>L1</x:v>
      </x:c>
      <x:c r="D118" s="15" t="str">
        <x:v>NRC-B</x:v>
      </x:c>
      <x:c r="E118" s="15" t="str">
        <x:v>DISPERSED</x:v>
      </x:c>
      <x:c r="F118" s="15" t="str">
        <x:v>T2</x:v>
      </x:c>
      <x:c r="G118" s="15" t="str">
        <x:v>ER-09 anchor</x:v>
      </x:c>
      <x:c r="H118" s="15" t="n">
        <x:v>500</x:v>
      </x:c>
      <x:c r="I118" s="15" t="n">
        <x:v>24</x:v>
      </x:c>
      <x:c r="J118" s="15" t="n">
        <x:v>6.25</x:v>
      </x:c>
      <x:c r="K118" s="15" t="str">
        <x:v>Parent transfer</x:v>
      </x:c>
      <x:c r="L118" s="15" t="str">
        <x:v>OPEN</x:v>
      </x:c>
    </x:row>
    <x:row r="119">
      <x:c r="A119" s="14" t="str">
        <x:v>CT-115</x:v>
      </x:c>
      <x:c r="B119" s="14" t="str">
        <x:v>PGR-48</x:v>
      </x:c>
      <x:c r="C119" s="14" t="str">
        <x:v>L1</x:v>
      </x:c>
      <x:c r="D119" s="14" t="str">
        <x:v>NRC-B</x:v>
      </x:c>
      <x:c r="E119" s="14" t="str">
        <x:v>DISPERSED</x:v>
      </x:c>
      <x:c r="F119" s="14" t="str">
        <x:v>T3</x:v>
      </x:c>
      <x:c r="G119" s="14" t="str">
        <x:v>Area expansion dry</x:v>
      </x:c>
      <x:c r="H119" s="14" t="n">
        <x:v>500</x:v>
      </x:c>
      <x:c r="I119" s="14" t="n">
        <x:v>0</x:v>
      </x:c>
      <x:c r="J119" s="14" t="n">
        <x:v>25</x:v>
      </x:c>
      <x:c r="K119" s="14" t="str">
        <x:v>Topology and boundary transition</x:v>
      </x:c>
      <x:c r="L119" s="14" t="str">
        <x:v>OPEN</x:v>
      </x:c>
    </x:row>
    <x:row r="120">
      <x:c r="A120" s="15" t="str">
        <x:v>CT-116</x:v>
      </x:c>
      <x:c r="B120" s="15" t="str">
        <x:v>PGR-48</x:v>
      </x:c>
      <x:c r="C120" s="15" t="str">
        <x:v>L1</x:v>
      </x:c>
      <x:c r="D120" s="15" t="str">
        <x:v>NRC-B</x:v>
      </x:c>
      <x:c r="E120" s="15" t="str">
        <x:v>DISPERSED</x:v>
      </x:c>
      <x:c r="F120" s="15" t="str">
        <x:v>T4</x:v>
      </x:c>
      <x:c r="G120" s="15" t="str">
        <x:v>Area expansion wet</x:v>
      </x:c>
      <x:c r="H120" s="15" t="n">
        <x:v>500</x:v>
      </x:c>
      <x:c r="I120" s="15" t="n">
        <x:v>24</x:v>
      </x:c>
      <x:c r="J120" s="15" t="n">
        <x:v>25</x:v>
      </x:c>
      <x:c r="K120" s="15" t="str">
        <x:v>Half-water contact</x:v>
      </x:c>
      <x:c r="L120" s="15" t="str">
        <x:v>OPEN</x:v>
      </x:c>
    </x:row>
    <x:row r="121">
      <x:c r="A121" s="14" t="str">
        <x:v>CT-117</x:v>
      </x:c>
      <x:c r="B121" s="14" t="str">
        <x:v>PGR-48</x:v>
      </x:c>
      <x:c r="C121" s="14" t="str">
        <x:v>L1</x:v>
      </x:c>
      <x:c r="D121" s="14" t="str">
        <x:v>NRC-B</x:v>
      </x:c>
      <x:c r="E121" s="14" t="str">
        <x:v>DISPERSED</x:v>
      </x:c>
      <x:c r="F121" s="14" t="str">
        <x:v>T5</x:v>
      </x:c>
      <x:c r="G121" s="14" t="str">
        <x:v>Exact hydraulic</x:v>
      </x:c>
      <x:c r="H121" s="14" t="n">
        <x:v>500</x:v>
      </x:c>
      <x:c r="I121" s="14" t="n">
        <x:v>48</x:v>
      </x:c>
      <x:c r="J121" s="14" t="n">
        <x:v>25</x:v>
      </x:c>
      <x:c r="K121" s="14" t="str">
        <x:v>Complete issue and recovery</x:v>
      </x:c>
      <x:c r="L121" s="14" t="str">
        <x:v>OPEN</x:v>
      </x:c>
    </x:row>
    <x:row r="122">
      <x:c r="A122" s="15" t="str">
        <x:v>CT-118</x:v>
      </x:c>
      <x:c r="B122" s="15" t="str">
        <x:v>PGR-48</x:v>
      </x:c>
      <x:c r="C122" s="15" t="str">
        <x:v>L1</x:v>
      </x:c>
      <x:c r="D122" s="15" t="str">
        <x:v>NRC-B</x:v>
      </x:c>
      <x:c r="E122" s="15" t="str">
        <x:v>DISPERSED</x:v>
      </x:c>
      <x:c r="F122" s="15" t="str">
        <x:v>T6</x:v>
      </x:c>
      <x:c r="G122" s="15" t="str">
        <x:v>Independent service</x:v>
      </x:c>
      <x:c r="H122" s="15" t="n">
        <x:v>500</x:v>
      </x:c>
      <x:c r="I122" s="15" t="n">
        <x:v>48</x:v>
      </x:c>
      <x:c r="J122" s="15" t="n">
        <x:v>25</x:v>
      </x:c>
      <x:c r="K122" s="15" t="str">
        <x:v>No host energy, network or time</x:v>
      </x:c>
      <x:c r="L122" s="15" t="str">
        <x:v>OPEN</x:v>
      </x:c>
    </x:row>
    <x:row r="123">
      <x:c r="A123" s="14" t="str">
        <x:v>CT-119</x:v>
      </x:c>
      <x:c r="B123" s="14" t="str">
        <x:v>PGR-48</x:v>
      </x:c>
      <x:c r="C123" s="14" t="str">
        <x:v>L1</x:v>
      </x:c>
      <x:c r="D123" s="14" t="str">
        <x:v>NRC-B</x:v>
      </x:c>
      <x:c r="E123" s="14" t="str">
        <x:v>DISPERSED</x:v>
      </x:c>
      <x:c r="F123" s="14" t="str">
        <x:v>T7</x:v>
      </x:c>
      <x:c r="G123" s="14" t="str">
        <x:v>Receiver denial</x:v>
      </x:c>
      <x:c r="H123" s="14" t="n">
        <x:v>500</x:v>
      </x:c>
      <x:c r="I123" s="14" t="n">
        <x:v>48</x:v>
      </x:c>
      <x:c r="J123" s="14" t="n">
        <x:v>25</x:v>
      </x:c>
      <x:c r="K123" s="14" t="str">
        <x:v>Diversion and terminal custody</x:v>
      </x:c>
      <x:c r="L123" s="14" t="str">
        <x:v>OPEN</x:v>
      </x:c>
    </x:row>
    <x:row r="124">
      <x:c r="A124" s="15" t="str">
        <x:v>CT-120</x:v>
      </x:c>
      <x:c r="B124" s="15" t="str">
        <x:v>PGR-48</x:v>
      </x:c>
      <x:c r="C124" s="15" t="str">
        <x:v>L1</x:v>
      </x:c>
      <x:c r="D124" s="15" t="str">
        <x:v>NRC-B</x:v>
      </x:c>
      <x:c r="E124" s="15" t="str">
        <x:v>DISPERSED</x:v>
      </x:c>
      <x:c r="F124" s="15" t="str">
        <x:v>T8</x:v>
      </x:c>
      <x:c r="G124" s="15" t="str">
        <x:v>Outside only</x:v>
      </x:c>
      <x:c r="H124" s="15" t="n">
        <x:v>500</x:v>
      </x:c>
      <x:c r="I124" s="15" t="n">
        <x:v>48</x:v>
      </x:c>
      <x:c r="J124" s="15" t="n">
        <x:v>25</x:v>
      </x:c>
      <x:c r="K124" s="15" t="str">
        <x:v>External reconstruction</x:v>
      </x:c>
      <x:c r="L124" s="15" t="str">
        <x:v>OPEN</x:v>
      </x:c>
    </x:row>
    <x:row r="125">
      <x:c r="A125" s="14" t="str">
        <x:v>CT-121</x:v>
      </x:c>
      <x:c r="B125" s="14" t="str">
        <x:v>PGR-48</x:v>
      </x:c>
      <x:c r="C125" s="14" t="str">
        <x:v>L1</x:v>
      </x:c>
      <x:c r="D125" s="14" t="str">
        <x:v>NRC-B</x:v>
      </x:c>
      <x:c r="E125" s="14" t="str">
        <x:v>COHERENT</x:v>
      </x:c>
      <x:c r="F125" s="14" t="str">
        <x:v>T1</x:v>
      </x:c>
      <x:c r="G125" s="14" t="str">
        <x:v>Sealed zero</x:v>
      </x:c>
      <x:c r="H125" s="14" t="n">
        <x:v>0</x:v>
      </x:c>
      <x:c r="I125" s="14" t="n">
        <x:v>0</x:v>
      </x:c>
      <x:c r="J125" s="14" t="n">
        <x:v>25</x:v>
      </x:c>
      <x:c r="K125" s="14" t="str">
        <x:v>Native state, leakage and command isolation</x:v>
      </x:c>
      <x:c r="L125" s="14" t="str">
        <x:v>OPEN</x:v>
      </x:c>
    </x:row>
    <x:row r="126">
      <x:c r="A126" s="15" t="str">
        <x:v>CT-122</x:v>
      </x:c>
      <x:c r="B126" s="15" t="str">
        <x:v>PGR-48</x:v>
      </x:c>
      <x:c r="C126" s="15" t="str">
        <x:v>L1</x:v>
      </x:c>
      <x:c r="D126" s="15" t="str">
        <x:v>NRC-B</x:v>
      </x:c>
      <x:c r="E126" s="15" t="str">
        <x:v>COHERENT</x:v>
      </x:c>
      <x:c r="F126" s="15" t="str">
        <x:v>T2</x:v>
      </x:c>
      <x:c r="G126" s="15" t="str">
        <x:v>ER-09 anchor</x:v>
      </x:c>
      <x:c r="H126" s="15" t="n">
        <x:v>500</x:v>
      </x:c>
      <x:c r="I126" s="15" t="n">
        <x:v>24</x:v>
      </x:c>
      <x:c r="J126" s="15" t="n">
        <x:v>6.25</x:v>
      </x:c>
      <x:c r="K126" s="15" t="str">
        <x:v>Parent transfer</x:v>
      </x:c>
      <x:c r="L126" s="15" t="str">
        <x:v>OPEN</x:v>
      </x:c>
    </x:row>
    <x:row r="127">
      <x:c r="A127" s="14" t="str">
        <x:v>CT-123</x:v>
      </x:c>
      <x:c r="B127" s="14" t="str">
        <x:v>PGR-48</x:v>
      </x:c>
      <x:c r="C127" s="14" t="str">
        <x:v>L1</x:v>
      </x:c>
      <x:c r="D127" s="14" t="str">
        <x:v>NRC-B</x:v>
      </x:c>
      <x:c r="E127" s="14" t="str">
        <x:v>COHERENT</x:v>
      </x:c>
      <x:c r="F127" s="14" t="str">
        <x:v>T3</x:v>
      </x:c>
      <x:c r="G127" s="14" t="str">
        <x:v>Area expansion dry</x:v>
      </x:c>
      <x:c r="H127" s="14" t="n">
        <x:v>500</x:v>
      </x:c>
      <x:c r="I127" s="14" t="n">
        <x:v>0</x:v>
      </x:c>
      <x:c r="J127" s="14" t="n">
        <x:v>25</x:v>
      </x:c>
      <x:c r="K127" s="14" t="str">
        <x:v>Topology and boundary transition</x:v>
      </x:c>
      <x:c r="L127" s="14" t="str">
        <x:v>OPEN</x:v>
      </x:c>
    </x:row>
    <x:row r="128">
      <x:c r="A128" s="15" t="str">
        <x:v>CT-124</x:v>
      </x:c>
      <x:c r="B128" s="15" t="str">
        <x:v>PGR-48</x:v>
      </x:c>
      <x:c r="C128" s="15" t="str">
        <x:v>L1</x:v>
      </x:c>
      <x:c r="D128" s="15" t="str">
        <x:v>NRC-B</x:v>
      </x:c>
      <x:c r="E128" s="15" t="str">
        <x:v>COHERENT</x:v>
      </x:c>
      <x:c r="F128" s="15" t="str">
        <x:v>T4</x:v>
      </x:c>
      <x:c r="G128" s="15" t="str">
        <x:v>Area expansion wet</x:v>
      </x:c>
      <x:c r="H128" s="15" t="n">
        <x:v>500</x:v>
      </x:c>
      <x:c r="I128" s="15" t="n">
        <x:v>24</x:v>
      </x:c>
      <x:c r="J128" s="15" t="n">
        <x:v>25</x:v>
      </x:c>
      <x:c r="K128" s="15" t="str">
        <x:v>Half-water contact</x:v>
      </x:c>
      <x:c r="L128" s="15" t="str">
        <x:v>OPEN</x:v>
      </x:c>
    </x:row>
    <x:row r="129">
      <x:c r="A129" s="14" t="str">
        <x:v>CT-125</x:v>
      </x:c>
      <x:c r="B129" s="14" t="str">
        <x:v>PGR-48</x:v>
      </x:c>
      <x:c r="C129" s="14" t="str">
        <x:v>L1</x:v>
      </x:c>
      <x:c r="D129" s="14" t="str">
        <x:v>NRC-B</x:v>
      </x:c>
      <x:c r="E129" s="14" t="str">
        <x:v>COHERENT</x:v>
      </x:c>
      <x:c r="F129" s="14" t="str">
        <x:v>T5</x:v>
      </x:c>
      <x:c r="G129" s="14" t="str">
        <x:v>Exact hydraulic</x:v>
      </x:c>
      <x:c r="H129" s="14" t="n">
        <x:v>500</x:v>
      </x:c>
      <x:c r="I129" s="14" t="n">
        <x:v>48</x:v>
      </x:c>
      <x:c r="J129" s="14" t="n">
        <x:v>25</x:v>
      </x:c>
      <x:c r="K129" s="14" t="str">
        <x:v>Complete issue and recovery</x:v>
      </x:c>
      <x:c r="L129" s="14" t="str">
        <x:v>OPEN</x:v>
      </x:c>
    </x:row>
    <x:row r="130">
      <x:c r="A130" s="15" t="str">
        <x:v>CT-126</x:v>
      </x:c>
      <x:c r="B130" s="15" t="str">
        <x:v>PGR-48</x:v>
      </x:c>
      <x:c r="C130" s="15" t="str">
        <x:v>L1</x:v>
      </x:c>
      <x:c r="D130" s="15" t="str">
        <x:v>NRC-B</x:v>
      </x:c>
      <x:c r="E130" s="15" t="str">
        <x:v>COHERENT</x:v>
      </x:c>
      <x:c r="F130" s="15" t="str">
        <x:v>T6</x:v>
      </x:c>
      <x:c r="G130" s="15" t="str">
        <x:v>Independent service</x:v>
      </x:c>
      <x:c r="H130" s="15" t="n">
        <x:v>500</x:v>
      </x:c>
      <x:c r="I130" s="15" t="n">
        <x:v>48</x:v>
      </x:c>
      <x:c r="J130" s="15" t="n">
        <x:v>25</x:v>
      </x:c>
      <x:c r="K130" s="15" t="str">
        <x:v>No host energy, network or time</x:v>
      </x:c>
      <x:c r="L130" s="15" t="str">
        <x:v>OPEN</x:v>
      </x:c>
    </x:row>
    <x:row r="131">
      <x:c r="A131" s="14" t="str">
        <x:v>CT-127</x:v>
      </x:c>
      <x:c r="B131" s="14" t="str">
        <x:v>PGR-48</x:v>
      </x:c>
      <x:c r="C131" s="14" t="str">
        <x:v>L1</x:v>
      </x:c>
      <x:c r="D131" s="14" t="str">
        <x:v>NRC-B</x:v>
      </x:c>
      <x:c r="E131" s="14" t="str">
        <x:v>COHERENT</x:v>
      </x:c>
      <x:c r="F131" s="14" t="str">
        <x:v>T7</x:v>
      </x:c>
      <x:c r="G131" s="14" t="str">
        <x:v>Receiver denial</x:v>
      </x:c>
      <x:c r="H131" s="14" t="n">
        <x:v>500</x:v>
      </x:c>
      <x:c r="I131" s="14" t="n">
        <x:v>48</x:v>
      </x:c>
      <x:c r="J131" s="14" t="n">
        <x:v>25</x:v>
      </x:c>
      <x:c r="K131" s="14" t="str">
        <x:v>Diversion and terminal custody</x:v>
      </x:c>
      <x:c r="L131" s="14" t="str">
        <x:v>OPEN</x:v>
      </x:c>
    </x:row>
    <x:row r="132">
      <x:c r="A132" s="15" t="str">
        <x:v>CT-128</x:v>
      </x:c>
      <x:c r="B132" s="15" t="str">
        <x:v>PGR-48</x:v>
      </x:c>
      <x:c r="C132" s="15" t="str">
        <x:v>L1</x:v>
      </x:c>
      <x:c r="D132" s="15" t="str">
        <x:v>NRC-B</x:v>
      </x:c>
      <x:c r="E132" s="15" t="str">
        <x:v>COHERENT</x:v>
      </x:c>
      <x:c r="F132" s="15" t="str">
        <x:v>T8</x:v>
      </x:c>
      <x:c r="G132" s="15" t="str">
        <x:v>Outside only</x:v>
      </x:c>
      <x:c r="H132" s="15" t="n">
        <x:v>500</x:v>
      </x:c>
      <x:c r="I132" s="15" t="n">
        <x:v>48</x:v>
      </x:c>
      <x:c r="J132" s="15" t="n">
        <x:v>25</x:v>
      </x:c>
      <x:c r="K132" s="15" t="str">
        <x:v>External reconstruction</x:v>
      </x:c>
      <x:c r="L132" s="15" t="str">
        <x:v>OPEN</x:v>
      </x:c>
    </x:row>
    <x:row r="133">
      <x:c r="A133" s="14" t="str">
        <x:v>CT-129</x:v>
      </x:c>
      <x:c r="B133" s="14" t="str">
        <x:v>PGR-48</x:v>
      </x:c>
      <x:c r="C133" s="14" t="str">
        <x:v>L1</x:v>
      </x:c>
      <x:c r="D133" s="14" t="str">
        <x:v>NRC-C</x:v>
      </x:c>
      <x:c r="E133" s="14" t="str">
        <x:v>DISPERSED</x:v>
      </x:c>
      <x:c r="F133" s="14" t="str">
        <x:v>T1</x:v>
      </x:c>
      <x:c r="G133" s="14" t="str">
        <x:v>Sealed zero</x:v>
      </x:c>
      <x:c r="H133" s="14" t="n">
        <x:v>0</x:v>
      </x:c>
      <x:c r="I133" s="14" t="n">
        <x:v>0</x:v>
      </x:c>
      <x:c r="J133" s="14" t="n">
        <x:v>25</x:v>
      </x:c>
      <x:c r="K133" s="14" t="str">
        <x:v>Native state, leakage and command isolation</x:v>
      </x:c>
      <x:c r="L133" s="14" t="str">
        <x:v>OPEN</x:v>
      </x:c>
    </x:row>
    <x:row r="134">
      <x:c r="A134" s="15" t="str">
        <x:v>CT-130</x:v>
      </x:c>
      <x:c r="B134" s="15" t="str">
        <x:v>PGR-48</x:v>
      </x:c>
      <x:c r="C134" s="15" t="str">
        <x:v>L1</x:v>
      </x:c>
      <x:c r="D134" s="15" t="str">
        <x:v>NRC-C</x:v>
      </x:c>
      <x:c r="E134" s="15" t="str">
        <x:v>DISPERSED</x:v>
      </x:c>
      <x:c r="F134" s="15" t="str">
        <x:v>T2</x:v>
      </x:c>
      <x:c r="G134" s="15" t="str">
        <x:v>ER-09 anchor</x:v>
      </x:c>
      <x:c r="H134" s="15" t="n">
        <x:v>500</x:v>
      </x:c>
      <x:c r="I134" s="15" t="n">
        <x:v>24</x:v>
      </x:c>
      <x:c r="J134" s="15" t="n">
        <x:v>6.25</x:v>
      </x:c>
      <x:c r="K134" s="15" t="str">
        <x:v>Parent transfer</x:v>
      </x:c>
      <x:c r="L134" s="15" t="str">
        <x:v>OPEN</x:v>
      </x:c>
    </x:row>
    <x:row r="135">
      <x:c r="A135" s="14" t="str">
        <x:v>CT-131</x:v>
      </x:c>
      <x:c r="B135" s="14" t="str">
        <x:v>PGR-48</x:v>
      </x:c>
      <x:c r="C135" s="14" t="str">
        <x:v>L1</x:v>
      </x:c>
      <x:c r="D135" s="14" t="str">
        <x:v>NRC-C</x:v>
      </x:c>
      <x:c r="E135" s="14" t="str">
        <x:v>DISPERSED</x:v>
      </x:c>
      <x:c r="F135" s="14" t="str">
        <x:v>T3</x:v>
      </x:c>
      <x:c r="G135" s="14" t="str">
        <x:v>Area expansion dry</x:v>
      </x:c>
      <x:c r="H135" s="14" t="n">
        <x:v>500</x:v>
      </x:c>
      <x:c r="I135" s="14" t="n">
        <x:v>0</x:v>
      </x:c>
      <x:c r="J135" s="14" t="n">
        <x:v>25</x:v>
      </x:c>
      <x:c r="K135" s="14" t="str">
        <x:v>Topology and boundary transition</x:v>
      </x:c>
      <x:c r="L135" s="14" t="str">
        <x:v>OPEN</x:v>
      </x:c>
    </x:row>
    <x:row r="136">
      <x:c r="A136" s="15" t="str">
        <x:v>CT-132</x:v>
      </x:c>
      <x:c r="B136" s="15" t="str">
        <x:v>PGR-48</x:v>
      </x:c>
      <x:c r="C136" s="15" t="str">
        <x:v>L1</x:v>
      </x:c>
      <x:c r="D136" s="15" t="str">
        <x:v>NRC-C</x:v>
      </x:c>
      <x:c r="E136" s="15" t="str">
        <x:v>DISPERSED</x:v>
      </x:c>
      <x:c r="F136" s="15" t="str">
        <x:v>T4</x:v>
      </x:c>
      <x:c r="G136" s="15" t="str">
        <x:v>Area expansion wet</x:v>
      </x:c>
      <x:c r="H136" s="15" t="n">
        <x:v>500</x:v>
      </x:c>
      <x:c r="I136" s="15" t="n">
        <x:v>24</x:v>
      </x:c>
      <x:c r="J136" s="15" t="n">
        <x:v>25</x:v>
      </x:c>
      <x:c r="K136" s="15" t="str">
        <x:v>Half-water contact</x:v>
      </x:c>
      <x:c r="L136" s="15" t="str">
        <x:v>OPEN</x:v>
      </x:c>
    </x:row>
    <x:row r="137">
      <x:c r="A137" s="14" t="str">
        <x:v>CT-133</x:v>
      </x:c>
      <x:c r="B137" s="14" t="str">
        <x:v>PGR-48</x:v>
      </x:c>
      <x:c r="C137" s="14" t="str">
        <x:v>L1</x:v>
      </x:c>
      <x:c r="D137" s="14" t="str">
        <x:v>NRC-C</x:v>
      </x:c>
      <x:c r="E137" s="14" t="str">
        <x:v>DISPERSED</x:v>
      </x:c>
      <x:c r="F137" s="14" t="str">
        <x:v>T5</x:v>
      </x:c>
      <x:c r="G137" s="14" t="str">
        <x:v>Exact hydraulic</x:v>
      </x:c>
      <x:c r="H137" s="14" t="n">
        <x:v>500</x:v>
      </x:c>
      <x:c r="I137" s="14" t="n">
        <x:v>48</x:v>
      </x:c>
      <x:c r="J137" s="14" t="n">
        <x:v>25</x:v>
      </x:c>
      <x:c r="K137" s="14" t="str">
        <x:v>Complete issue and recovery</x:v>
      </x:c>
      <x:c r="L137" s="14" t="str">
        <x:v>OPEN</x:v>
      </x:c>
    </x:row>
    <x:row r="138">
      <x:c r="A138" s="15" t="str">
        <x:v>CT-134</x:v>
      </x:c>
      <x:c r="B138" s="15" t="str">
        <x:v>PGR-48</x:v>
      </x:c>
      <x:c r="C138" s="15" t="str">
        <x:v>L1</x:v>
      </x:c>
      <x:c r="D138" s="15" t="str">
        <x:v>NRC-C</x:v>
      </x:c>
      <x:c r="E138" s="15" t="str">
        <x:v>DISPERSED</x:v>
      </x:c>
      <x:c r="F138" s="15" t="str">
        <x:v>T6</x:v>
      </x:c>
      <x:c r="G138" s="15" t="str">
        <x:v>Independent service</x:v>
      </x:c>
      <x:c r="H138" s="15" t="n">
        <x:v>500</x:v>
      </x:c>
      <x:c r="I138" s="15" t="n">
        <x:v>48</x:v>
      </x:c>
      <x:c r="J138" s="15" t="n">
        <x:v>25</x:v>
      </x:c>
      <x:c r="K138" s="15" t="str">
        <x:v>No host energy, network or time</x:v>
      </x:c>
      <x:c r="L138" s="15" t="str">
        <x:v>OPEN</x:v>
      </x:c>
    </x:row>
    <x:row r="139">
      <x:c r="A139" s="14" t="str">
        <x:v>CT-135</x:v>
      </x:c>
      <x:c r="B139" s="14" t="str">
        <x:v>PGR-48</x:v>
      </x:c>
      <x:c r="C139" s="14" t="str">
        <x:v>L1</x:v>
      </x:c>
      <x:c r="D139" s="14" t="str">
        <x:v>NRC-C</x:v>
      </x:c>
      <x:c r="E139" s="14" t="str">
        <x:v>DISPERSED</x:v>
      </x:c>
      <x:c r="F139" s="14" t="str">
        <x:v>T7</x:v>
      </x:c>
      <x:c r="G139" s="14" t="str">
        <x:v>Receiver denial</x:v>
      </x:c>
      <x:c r="H139" s="14" t="n">
        <x:v>500</x:v>
      </x:c>
      <x:c r="I139" s="14" t="n">
        <x:v>48</x:v>
      </x:c>
      <x:c r="J139" s="14" t="n">
        <x:v>25</x:v>
      </x:c>
      <x:c r="K139" s="14" t="str">
        <x:v>Diversion and terminal custody</x:v>
      </x:c>
      <x:c r="L139" s="14" t="str">
        <x:v>OPEN</x:v>
      </x:c>
    </x:row>
    <x:row r="140">
      <x:c r="A140" s="15" t="str">
        <x:v>CT-136</x:v>
      </x:c>
      <x:c r="B140" s="15" t="str">
        <x:v>PGR-48</x:v>
      </x:c>
      <x:c r="C140" s="15" t="str">
        <x:v>L1</x:v>
      </x:c>
      <x:c r="D140" s="15" t="str">
        <x:v>NRC-C</x:v>
      </x:c>
      <x:c r="E140" s="15" t="str">
        <x:v>DISPERSED</x:v>
      </x:c>
      <x:c r="F140" s="15" t="str">
        <x:v>T8</x:v>
      </x:c>
      <x:c r="G140" s="15" t="str">
        <x:v>Outside only</x:v>
      </x:c>
      <x:c r="H140" s="15" t="n">
        <x:v>500</x:v>
      </x:c>
      <x:c r="I140" s="15" t="n">
        <x:v>48</x:v>
      </x:c>
      <x:c r="J140" s="15" t="n">
        <x:v>25</x:v>
      </x:c>
      <x:c r="K140" s="15" t="str">
        <x:v>External reconstruction</x:v>
      </x:c>
      <x:c r="L140" s="15" t="str">
        <x:v>OPEN</x:v>
      </x:c>
    </x:row>
    <x:row r="141">
      <x:c r="A141" s="14" t="str">
        <x:v>CT-137</x:v>
      </x:c>
      <x:c r="B141" s="14" t="str">
        <x:v>PGR-48</x:v>
      </x:c>
      <x:c r="C141" s="14" t="str">
        <x:v>L1</x:v>
      </x:c>
      <x:c r="D141" s="14" t="str">
        <x:v>NRC-C</x:v>
      </x:c>
      <x:c r="E141" s="14" t="str">
        <x:v>COHERENT</x:v>
      </x:c>
      <x:c r="F141" s="14" t="str">
        <x:v>T1</x:v>
      </x:c>
      <x:c r="G141" s="14" t="str">
        <x:v>Sealed zero</x:v>
      </x:c>
      <x:c r="H141" s="14" t="n">
        <x:v>0</x:v>
      </x:c>
      <x:c r="I141" s="14" t="n">
        <x:v>0</x:v>
      </x:c>
      <x:c r="J141" s="14" t="n">
        <x:v>25</x:v>
      </x:c>
      <x:c r="K141" s="14" t="str">
        <x:v>Native state, leakage and command isolation</x:v>
      </x:c>
      <x:c r="L141" s="14" t="str">
        <x:v>OPEN</x:v>
      </x:c>
    </x:row>
    <x:row r="142">
      <x:c r="A142" s="15" t="str">
        <x:v>CT-138</x:v>
      </x:c>
      <x:c r="B142" s="15" t="str">
        <x:v>PGR-48</x:v>
      </x:c>
      <x:c r="C142" s="15" t="str">
        <x:v>L1</x:v>
      </x:c>
      <x:c r="D142" s="15" t="str">
        <x:v>NRC-C</x:v>
      </x:c>
      <x:c r="E142" s="15" t="str">
        <x:v>COHERENT</x:v>
      </x:c>
      <x:c r="F142" s="15" t="str">
        <x:v>T2</x:v>
      </x:c>
      <x:c r="G142" s="15" t="str">
        <x:v>ER-09 anchor</x:v>
      </x:c>
      <x:c r="H142" s="15" t="n">
        <x:v>500</x:v>
      </x:c>
      <x:c r="I142" s="15" t="n">
        <x:v>24</x:v>
      </x:c>
      <x:c r="J142" s="15" t="n">
        <x:v>6.25</x:v>
      </x:c>
      <x:c r="K142" s="15" t="str">
        <x:v>Parent transfer</x:v>
      </x:c>
      <x:c r="L142" s="15" t="str">
        <x:v>OPEN</x:v>
      </x:c>
    </x:row>
    <x:row r="143">
      <x:c r="A143" s="14" t="str">
        <x:v>CT-139</x:v>
      </x:c>
      <x:c r="B143" s="14" t="str">
        <x:v>PGR-48</x:v>
      </x:c>
      <x:c r="C143" s="14" t="str">
        <x:v>L1</x:v>
      </x:c>
      <x:c r="D143" s="14" t="str">
        <x:v>NRC-C</x:v>
      </x:c>
      <x:c r="E143" s="14" t="str">
        <x:v>COHERENT</x:v>
      </x:c>
      <x:c r="F143" s="14" t="str">
        <x:v>T3</x:v>
      </x:c>
      <x:c r="G143" s="14" t="str">
        <x:v>Area expansion dry</x:v>
      </x:c>
      <x:c r="H143" s="14" t="n">
        <x:v>500</x:v>
      </x:c>
      <x:c r="I143" s="14" t="n">
        <x:v>0</x:v>
      </x:c>
      <x:c r="J143" s="14" t="n">
        <x:v>25</x:v>
      </x:c>
      <x:c r="K143" s="14" t="str">
        <x:v>Topology and boundary transition</x:v>
      </x:c>
      <x:c r="L143" s="14" t="str">
        <x:v>OPEN</x:v>
      </x:c>
    </x:row>
    <x:row r="144">
      <x:c r="A144" s="15" t="str">
        <x:v>CT-140</x:v>
      </x:c>
      <x:c r="B144" s="15" t="str">
        <x:v>PGR-48</x:v>
      </x:c>
      <x:c r="C144" s="15" t="str">
        <x:v>L1</x:v>
      </x:c>
      <x:c r="D144" s="15" t="str">
        <x:v>NRC-C</x:v>
      </x:c>
      <x:c r="E144" s="15" t="str">
        <x:v>COHERENT</x:v>
      </x:c>
      <x:c r="F144" s="15" t="str">
        <x:v>T4</x:v>
      </x:c>
      <x:c r="G144" s="15" t="str">
        <x:v>Area expansion wet</x:v>
      </x:c>
      <x:c r="H144" s="15" t="n">
        <x:v>500</x:v>
      </x:c>
      <x:c r="I144" s="15" t="n">
        <x:v>24</x:v>
      </x:c>
      <x:c r="J144" s="15" t="n">
        <x:v>25</x:v>
      </x:c>
      <x:c r="K144" s="15" t="str">
        <x:v>Half-water contact</x:v>
      </x:c>
      <x:c r="L144" s="15" t="str">
        <x:v>OPEN</x:v>
      </x:c>
    </x:row>
    <x:row r="145">
      <x:c r="A145" s="14" t="str">
        <x:v>CT-141</x:v>
      </x:c>
      <x:c r="B145" s="14" t="str">
        <x:v>PGR-48</x:v>
      </x:c>
      <x:c r="C145" s="14" t="str">
        <x:v>L1</x:v>
      </x:c>
      <x:c r="D145" s="14" t="str">
        <x:v>NRC-C</x:v>
      </x:c>
      <x:c r="E145" s="14" t="str">
        <x:v>COHERENT</x:v>
      </x:c>
      <x:c r="F145" s="14" t="str">
        <x:v>T5</x:v>
      </x:c>
      <x:c r="G145" s="14" t="str">
        <x:v>Exact hydraulic</x:v>
      </x:c>
      <x:c r="H145" s="14" t="n">
        <x:v>500</x:v>
      </x:c>
      <x:c r="I145" s="14" t="n">
        <x:v>48</x:v>
      </x:c>
      <x:c r="J145" s="14" t="n">
        <x:v>25</x:v>
      </x:c>
      <x:c r="K145" s="14" t="str">
        <x:v>Complete issue and recovery</x:v>
      </x:c>
      <x:c r="L145" s="14" t="str">
        <x:v>OPEN</x:v>
      </x:c>
    </x:row>
    <x:row r="146">
      <x:c r="A146" s="15" t="str">
        <x:v>CT-142</x:v>
      </x:c>
      <x:c r="B146" s="15" t="str">
        <x:v>PGR-48</x:v>
      </x:c>
      <x:c r="C146" s="15" t="str">
        <x:v>L1</x:v>
      </x:c>
      <x:c r="D146" s="15" t="str">
        <x:v>NRC-C</x:v>
      </x:c>
      <x:c r="E146" s="15" t="str">
        <x:v>COHERENT</x:v>
      </x:c>
      <x:c r="F146" s="15" t="str">
        <x:v>T6</x:v>
      </x:c>
      <x:c r="G146" s="15" t="str">
        <x:v>Independent service</x:v>
      </x:c>
      <x:c r="H146" s="15" t="n">
        <x:v>500</x:v>
      </x:c>
      <x:c r="I146" s="15" t="n">
        <x:v>48</x:v>
      </x:c>
      <x:c r="J146" s="15" t="n">
        <x:v>25</x:v>
      </x:c>
      <x:c r="K146" s="15" t="str">
        <x:v>No host energy, network or time</x:v>
      </x:c>
      <x:c r="L146" s="15" t="str">
        <x:v>OPEN</x:v>
      </x:c>
    </x:row>
    <x:row r="147">
      <x:c r="A147" s="14" t="str">
        <x:v>CT-143</x:v>
      </x:c>
      <x:c r="B147" s="14" t="str">
        <x:v>PGR-48</x:v>
      </x:c>
      <x:c r="C147" s="14" t="str">
        <x:v>L1</x:v>
      </x:c>
      <x:c r="D147" s="14" t="str">
        <x:v>NRC-C</x:v>
      </x:c>
      <x:c r="E147" s="14" t="str">
        <x:v>COHERENT</x:v>
      </x:c>
      <x:c r="F147" s="14" t="str">
        <x:v>T7</x:v>
      </x:c>
      <x:c r="G147" s="14" t="str">
        <x:v>Receiver denial</x:v>
      </x:c>
      <x:c r="H147" s="14" t="n">
        <x:v>500</x:v>
      </x:c>
      <x:c r="I147" s="14" t="n">
        <x:v>48</x:v>
      </x:c>
      <x:c r="J147" s="14" t="n">
        <x:v>25</x:v>
      </x:c>
      <x:c r="K147" s="14" t="str">
        <x:v>Diversion and terminal custody</x:v>
      </x:c>
      <x:c r="L147" s="14" t="str">
        <x:v>OPEN</x:v>
      </x:c>
    </x:row>
    <x:row r="148">
      <x:c r="A148" s="15" t="str">
        <x:v>CT-144</x:v>
      </x:c>
      <x:c r="B148" s="15" t="str">
        <x:v>PGR-48</x:v>
      </x:c>
      <x:c r="C148" s="15" t="str">
        <x:v>L1</x:v>
      </x:c>
      <x:c r="D148" s="15" t="str">
        <x:v>NRC-C</x:v>
      </x:c>
      <x:c r="E148" s="15" t="str">
        <x:v>COHERENT</x:v>
      </x:c>
      <x:c r="F148" s="15" t="str">
        <x:v>T8</x:v>
      </x:c>
      <x:c r="G148" s="15" t="str">
        <x:v>Outside only</x:v>
      </x:c>
      <x:c r="H148" s="15" t="n">
        <x:v>500</x:v>
      </x:c>
      <x:c r="I148" s="15" t="n">
        <x:v>48</x:v>
      </x:c>
      <x:c r="J148" s="15" t="n">
        <x:v>25</x:v>
      </x:c>
      <x:c r="K148" s="15" t="str">
        <x:v>External reconstruction</x:v>
      </x:c>
      <x:c r="L148" s="15" t="str">
        <x:v>OPEN</x:v>
      </x:c>
    </x:row>
    <x:row r="149">
      <x:c r="A149" s="14" t="str">
        <x:v>CT-145</x:v>
      </x:c>
      <x:c r="B149" s="14" t="str">
        <x:v>PGR-48</x:v>
      </x:c>
      <x:c r="C149" s="14" t="str">
        <x:v>L2</x:v>
      </x:c>
      <x:c r="D149" s="14" t="str">
        <x:v>NRC-A</x:v>
      </x:c>
      <x:c r="E149" s="14" t="str">
        <x:v>DISPERSED</x:v>
      </x:c>
      <x:c r="F149" s="14" t="str">
        <x:v>T1</x:v>
      </x:c>
      <x:c r="G149" s="14" t="str">
        <x:v>Sealed zero</x:v>
      </x:c>
      <x:c r="H149" s="14" t="n">
        <x:v>0</x:v>
      </x:c>
      <x:c r="I149" s="14" t="n">
        <x:v>0</x:v>
      </x:c>
      <x:c r="J149" s="14" t="n">
        <x:v>25</x:v>
      </x:c>
      <x:c r="K149" s="14" t="str">
        <x:v>Native state, leakage and command isolation</x:v>
      </x:c>
      <x:c r="L149" s="14" t="str">
        <x:v>OPEN</x:v>
      </x:c>
    </x:row>
    <x:row r="150">
      <x:c r="A150" s="15" t="str">
        <x:v>CT-146</x:v>
      </x:c>
      <x:c r="B150" s="15" t="str">
        <x:v>PGR-48</x:v>
      </x:c>
      <x:c r="C150" s="15" t="str">
        <x:v>L2</x:v>
      </x:c>
      <x:c r="D150" s="15" t="str">
        <x:v>NRC-A</x:v>
      </x:c>
      <x:c r="E150" s="15" t="str">
        <x:v>DISPERSED</x:v>
      </x:c>
      <x:c r="F150" s="15" t="str">
        <x:v>T2</x:v>
      </x:c>
      <x:c r="G150" s="15" t="str">
        <x:v>ER-09 anchor</x:v>
      </x:c>
      <x:c r="H150" s="15" t="n">
        <x:v>500</x:v>
      </x:c>
      <x:c r="I150" s="15" t="n">
        <x:v>24</x:v>
      </x:c>
      <x:c r="J150" s="15" t="n">
        <x:v>6.25</x:v>
      </x:c>
      <x:c r="K150" s="15" t="str">
        <x:v>Parent transfer</x:v>
      </x:c>
      <x:c r="L150" s="15" t="str">
        <x:v>OPEN</x:v>
      </x:c>
    </x:row>
    <x:row r="151">
      <x:c r="A151" s="14" t="str">
        <x:v>CT-147</x:v>
      </x:c>
      <x:c r="B151" s="14" t="str">
        <x:v>PGR-48</x:v>
      </x:c>
      <x:c r="C151" s="14" t="str">
        <x:v>L2</x:v>
      </x:c>
      <x:c r="D151" s="14" t="str">
        <x:v>NRC-A</x:v>
      </x:c>
      <x:c r="E151" s="14" t="str">
        <x:v>DISPERSED</x:v>
      </x:c>
      <x:c r="F151" s="14" t="str">
        <x:v>T3</x:v>
      </x:c>
      <x:c r="G151" s="14" t="str">
        <x:v>Area expansion dry</x:v>
      </x:c>
      <x:c r="H151" s="14" t="n">
        <x:v>500</x:v>
      </x:c>
      <x:c r="I151" s="14" t="n">
        <x:v>0</x:v>
      </x:c>
      <x:c r="J151" s="14" t="n">
        <x:v>25</x:v>
      </x:c>
      <x:c r="K151" s="14" t="str">
        <x:v>Topology and boundary transition</x:v>
      </x:c>
      <x:c r="L151" s="14" t="str">
        <x:v>OPEN</x:v>
      </x:c>
    </x:row>
    <x:row r="152">
      <x:c r="A152" s="15" t="str">
        <x:v>CT-148</x:v>
      </x:c>
      <x:c r="B152" s="15" t="str">
        <x:v>PGR-48</x:v>
      </x:c>
      <x:c r="C152" s="15" t="str">
        <x:v>L2</x:v>
      </x:c>
      <x:c r="D152" s="15" t="str">
        <x:v>NRC-A</x:v>
      </x:c>
      <x:c r="E152" s="15" t="str">
        <x:v>DISPERSED</x:v>
      </x:c>
      <x:c r="F152" s="15" t="str">
        <x:v>T4</x:v>
      </x:c>
      <x:c r="G152" s="15" t="str">
        <x:v>Area expansion wet</x:v>
      </x:c>
      <x:c r="H152" s="15" t="n">
        <x:v>500</x:v>
      </x:c>
      <x:c r="I152" s="15" t="n">
        <x:v>24</x:v>
      </x:c>
      <x:c r="J152" s="15" t="n">
        <x:v>25</x:v>
      </x:c>
      <x:c r="K152" s="15" t="str">
        <x:v>Half-water contact</x:v>
      </x:c>
      <x:c r="L152" s="15" t="str">
        <x:v>OPEN</x:v>
      </x:c>
    </x:row>
    <x:row r="153">
      <x:c r="A153" s="14" t="str">
        <x:v>CT-149</x:v>
      </x:c>
      <x:c r="B153" s="14" t="str">
        <x:v>PGR-48</x:v>
      </x:c>
      <x:c r="C153" s="14" t="str">
        <x:v>L2</x:v>
      </x:c>
      <x:c r="D153" s="14" t="str">
        <x:v>NRC-A</x:v>
      </x:c>
      <x:c r="E153" s="14" t="str">
        <x:v>DISPERSED</x:v>
      </x:c>
      <x:c r="F153" s="14" t="str">
        <x:v>T5</x:v>
      </x:c>
      <x:c r="G153" s="14" t="str">
        <x:v>Exact hydraulic</x:v>
      </x:c>
      <x:c r="H153" s="14" t="n">
        <x:v>500</x:v>
      </x:c>
      <x:c r="I153" s="14" t="n">
        <x:v>48</x:v>
      </x:c>
      <x:c r="J153" s="14" t="n">
        <x:v>25</x:v>
      </x:c>
      <x:c r="K153" s="14" t="str">
        <x:v>Complete issue and recovery</x:v>
      </x:c>
      <x:c r="L153" s="14" t="str">
        <x:v>OPEN</x:v>
      </x:c>
    </x:row>
    <x:row r="154">
      <x:c r="A154" s="15" t="str">
        <x:v>CT-150</x:v>
      </x:c>
      <x:c r="B154" s="15" t="str">
        <x:v>PGR-48</x:v>
      </x:c>
      <x:c r="C154" s="15" t="str">
        <x:v>L2</x:v>
      </x:c>
      <x:c r="D154" s="15" t="str">
        <x:v>NRC-A</x:v>
      </x:c>
      <x:c r="E154" s="15" t="str">
        <x:v>DISPERSED</x:v>
      </x:c>
      <x:c r="F154" s="15" t="str">
        <x:v>T6</x:v>
      </x:c>
      <x:c r="G154" s="15" t="str">
        <x:v>Independent service</x:v>
      </x:c>
      <x:c r="H154" s="15" t="n">
        <x:v>500</x:v>
      </x:c>
      <x:c r="I154" s="15" t="n">
        <x:v>48</x:v>
      </x:c>
      <x:c r="J154" s="15" t="n">
        <x:v>25</x:v>
      </x:c>
      <x:c r="K154" s="15" t="str">
        <x:v>No host energy, network or time</x:v>
      </x:c>
      <x:c r="L154" s="15" t="str">
        <x:v>OPEN</x:v>
      </x:c>
    </x:row>
    <x:row r="155">
      <x:c r="A155" s="14" t="str">
        <x:v>CT-151</x:v>
      </x:c>
      <x:c r="B155" s="14" t="str">
        <x:v>PGR-48</x:v>
      </x:c>
      <x:c r="C155" s="14" t="str">
        <x:v>L2</x:v>
      </x:c>
      <x:c r="D155" s="14" t="str">
        <x:v>NRC-A</x:v>
      </x:c>
      <x:c r="E155" s="14" t="str">
        <x:v>DISPERSED</x:v>
      </x:c>
      <x:c r="F155" s="14" t="str">
        <x:v>T7</x:v>
      </x:c>
      <x:c r="G155" s="14" t="str">
        <x:v>Receiver denial</x:v>
      </x:c>
      <x:c r="H155" s="14" t="n">
        <x:v>500</x:v>
      </x:c>
      <x:c r="I155" s="14" t="n">
        <x:v>48</x:v>
      </x:c>
      <x:c r="J155" s="14" t="n">
        <x:v>25</x:v>
      </x:c>
      <x:c r="K155" s="14" t="str">
        <x:v>Diversion and terminal custody</x:v>
      </x:c>
      <x:c r="L155" s="14" t="str">
        <x:v>OPEN</x:v>
      </x:c>
    </x:row>
    <x:row r="156">
      <x:c r="A156" s="15" t="str">
        <x:v>CT-152</x:v>
      </x:c>
      <x:c r="B156" s="15" t="str">
        <x:v>PGR-48</x:v>
      </x:c>
      <x:c r="C156" s="15" t="str">
        <x:v>L2</x:v>
      </x:c>
      <x:c r="D156" s="15" t="str">
        <x:v>NRC-A</x:v>
      </x:c>
      <x:c r="E156" s="15" t="str">
        <x:v>DISPERSED</x:v>
      </x:c>
      <x:c r="F156" s="15" t="str">
        <x:v>T8</x:v>
      </x:c>
      <x:c r="G156" s="15" t="str">
        <x:v>Outside only</x:v>
      </x:c>
      <x:c r="H156" s="15" t="n">
        <x:v>500</x:v>
      </x:c>
      <x:c r="I156" s="15" t="n">
        <x:v>48</x:v>
      </x:c>
      <x:c r="J156" s="15" t="n">
        <x:v>25</x:v>
      </x:c>
      <x:c r="K156" s="15" t="str">
        <x:v>External reconstruction</x:v>
      </x:c>
      <x:c r="L156" s="15" t="str">
        <x:v>OPEN</x:v>
      </x:c>
    </x:row>
    <x:row r="157">
      <x:c r="A157" s="14" t="str">
        <x:v>CT-153</x:v>
      </x:c>
      <x:c r="B157" s="14" t="str">
        <x:v>PGR-48</x:v>
      </x:c>
      <x:c r="C157" s="14" t="str">
        <x:v>L2</x:v>
      </x:c>
      <x:c r="D157" s="14" t="str">
        <x:v>NRC-A</x:v>
      </x:c>
      <x:c r="E157" s="14" t="str">
        <x:v>COHERENT</x:v>
      </x:c>
      <x:c r="F157" s="14" t="str">
        <x:v>T1</x:v>
      </x:c>
      <x:c r="G157" s="14" t="str">
        <x:v>Sealed zero</x:v>
      </x:c>
      <x:c r="H157" s="14" t="n">
        <x:v>0</x:v>
      </x:c>
      <x:c r="I157" s="14" t="n">
        <x:v>0</x:v>
      </x:c>
      <x:c r="J157" s="14" t="n">
        <x:v>25</x:v>
      </x:c>
      <x:c r="K157" s="14" t="str">
        <x:v>Native state, leakage and command isolation</x:v>
      </x:c>
      <x:c r="L157" s="14" t="str">
        <x:v>OPEN</x:v>
      </x:c>
    </x:row>
    <x:row r="158">
      <x:c r="A158" s="15" t="str">
        <x:v>CT-154</x:v>
      </x:c>
      <x:c r="B158" s="15" t="str">
        <x:v>PGR-48</x:v>
      </x:c>
      <x:c r="C158" s="15" t="str">
        <x:v>L2</x:v>
      </x:c>
      <x:c r="D158" s="15" t="str">
        <x:v>NRC-A</x:v>
      </x:c>
      <x:c r="E158" s="15" t="str">
        <x:v>COHERENT</x:v>
      </x:c>
      <x:c r="F158" s="15" t="str">
        <x:v>T2</x:v>
      </x:c>
      <x:c r="G158" s="15" t="str">
        <x:v>ER-09 anchor</x:v>
      </x:c>
      <x:c r="H158" s="15" t="n">
        <x:v>500</x:v>
      </x:c>
      <x:c r="I158" s="15" t="n">
        <x:v>24</x:v>
      </x:c>
      <x:c r="J158" s="15" t="n">
        <x:v>6.25</x:v>
      </x:c>
      <x:c r="K158" s="15" t="str">
        <x:v>Parent transfer</x:v>
      </x:c>
      <x:c r="L158" s="15" t="str">
        <x:v>OPEN</x:v>
      </x:c>
    </x:row>
    <x:row r="159">
      <x:c r="A159" s="14" t="str">
        <x:v>CT-155</x:v>
      </x:c>
      <x:c r="B159" s="14" t="str">
        <x:v>PGR-48</x:v>
      </x:c>
      <x:c r="C159" s="14" t="str">
        <x:v>L2</x:v>
      </x:c>
      <x:c r="D159" s="14" t="str">
        <x:v>NRC-A</x:v>
      </x:c>
      <x:c r="E159" s="14" t="str">
        <x:v>COHERENT</x:v>
      </x:c>
      <x:c r="F159" s="14" t="str">
        <x:v>T3</x:v>
      </x:c>
      <x:c r="G159" s="14" t="str">
        <x:v>Area expansion dry</x:v>
      </x:c>
      <x:c r="H159" s="14" t="n">
        <x:v>500</x:v>
      </x:c>
      <x:c r="I159" s="14" t="n">
        <x:v>0</x:v>
      </x:c>
      <x:c r="J159" s="14" t="n">
        <x:v>25</x:v>
      </x:c>
      <x:c r="K159" s="14" t="str">
        <x:v>Topology and boundary transition</x:v>
      </x:c>
      <x:c r="L159" s="14" t="str">
        <x:v>OPEN</x:v>
      </x:c>
    </x:row>
    <x:row r="160">
      <x:c r="A160" s="15" t="str">
        <x:v>CT-156</x:v>
      </x:c>
      <x:c r="B160" s="15" t="str">
        <x:v>PGR-48</x:v>
      </x:c>
      <x:c r="C160" s="15" t="str">
        <x:v>L2</x:v>
      </x:c>
      <x:c r="D160" s="15" t="str">
        <x:v>NRC-A</x:v>
      </x:c>
      <x:c r="E160" s="15" t="str">
        <x:v>COHERENT</x:v>
      </x:c>
      <x:c r="F160" s="15" t="str">
        <x:v>T4</x:v>
      </x:c>
      <x:c r="G160" s="15" t="str">
        <x:v>Area expansion wet</x:v>
      </x:c>
      <x:c r="H160" s="15" t="n">
        <x:v>500</x:v>
      </x:c>
      <x:c r="I160" s="15" t="n">
        <x:v>24</x:v>
      </x:c>
      <x:c r="J160" s="15" t="n">
        <x:v>25</x:v>
      </x:c>
      <x:c r="K160" s="15" t="str">
        <x:v>Half-water contact</x:v>
      </x:c>
      <x:c r="L160" s="15" t="str">
        <x:v>OPEN</x:v>
      </x:c>
    </x:row>
    <x:row r="161">
      <x:c r="A161" s="14" t="str">
        <x:v>CT-157</x:v>
      </x:c>
      <x:c r="B161" s="14" t="str">
        <x:v>PGR-48</x:v>
      </x:c>
      <x:c r="C161" s="14" t="str">
        <x:v>L2</x:v>
      </x:c>
      <x:c r="D161" s="14" t="str">
        <x:v>NRC-A</x:v>
      </x:c>
      <x:c r="E161" s="14" t="str">
        <x:v>COHERENT</x:v>
      </x:c>
      <x:c r="F161" s="14" t="str">
        <x:v>T5</x:v>
      </x:c>
      <x:c r="G161" s="14" t="str">
        <x:v>Exact hydraulic</x:v>
      </x:c>
      <x:c r="H161" s="14" t="n">
        <x:v>500</x:v>
      </x:c>
      <x:c r="I161" s="14" t="n">
        <x:v>48</x:v>
      </x:c>
      <x:c r="J161" s="14" t="n">
        <x:v>25</x:v>
      </x:c>
      <x:c r="K161" s="14" t="str">
        <x:v>Complete issue and recovery</x:v>
      </x:c>
      <x:c r="L161" s="14" t="str">
        <x:v>OPEN</x:v>
      </x:c>
    </x:row>
    <x:row r="162">
      <x:c r="A162" s="15" t="str">
        <x:v>CT-158</x:v>
      </x:c>
      <x:c r="B162" s="15" t="str">
        <x:v>PGR-48</x:v>
      </x:c>
      <x:c r="C162" s="15" t="str">
        <x:v>L2</x:v>
      </x:c>
      <x:c r="D162" s="15" t="str">
        <x:v>NRC-A</x:v>
      </x:c>
      <x:c r="E162" s="15" t="str">
        <x:v>COHERENT</x:v>
      </x:c>
      <x:c r="F162" s="15" t="str">
        <x:v>T6</x:v>
      </x:c>
      <x:c r="G162" s="15" t="str">
        <x:v>Independent service</x:v>
      </x:c>
      <x:c r="H162" s="15" t="n">
        <x:v>500</x:v>
      </x:c>
      <x:c r="I162" s="15" t="n">
        <x:v>48</x:v>
      </x:c>
      <x:c r="J162" s="15" t="n">
        <x:v>25</x:v>
      </x:c>
      <x:c r="K162" s="15" t="str">
        <x:v>No host energy, network or time</x:v>
      </x:c>
      <x:c r="L162" s="15" t="str">
        <x:v>OPEN</x:v>
      </x:c>
    </x:row>
    <x:row r="163">
      <x:c r="A163" s="14" t="str">
        <x:v>CT-159</x:v>
      </x:c>
      <x:c r="B163" s="14" t="str">
        <x:v>PGR-48</x:v>
      </x:c>
      <x:c r="C163" s="14" t="str">
        <x:v>L2</x:v>
      </x:c>
      <x:c r="D163" s="14" t="str">
        <x:v>NRC-A</x:v>
      </x:c>
      <x:c r="E163" s="14" t="str">
        <x:v>COHERENT</x:v>
      </x:c>
      <x:c r="F163" s="14" t="str">
        <x:v>T7</x:v>
      </x:c>
      <x:c r="G163" s="14" t="str">
        <x:v>Receiver denial</x:v>
      </x:c>
      <x:c r="H163" s="14" t="n">
        <x:v>500</x:v>
      </x:c>
      <x:c r="I163" s="14" t="n">
        <x:v>48</x:v>
      </x:c>
      <x:c r="J163" s="14" t="n">
        <x:v>25</x:v>
      </x:c>
      <x:c r="K163" s="14" t="str">
        <x:v>Diversion and terminal custody</x:v>
      </x:c>
      <x:c r="L163" s="14" t="str">
        <x:v>OPEN</x:v>
      </x:c>
    </x:row>
    <x:row r="164">
      <x:c r="A164" s="15" t="str">
        <x:v>CT-160</x:v>
      </x:c>
      <x:c r="B164" s="15" t="str">
        <x:v>PGR-48</x:v>
      </x:c>
      <x:c r="C164" s="15" t="str">
        <x:v>L2</x:v>
      </x:c>
      <x:c r="D164" s="15" t="str">
        <x:v>NRC-A</x:v>
      </x:c>
      <x:c r="E164" s="15" t="str">
        <x:v>COHERENT</x:v>
      </x:c>
      <x:c r="F164" s="15" t="str">
        <x:v>T8</x:v>
      </x:c>
      <x:c r="G164" s="15" t="str">
        <x:v>Outside only</x:v>
      </x:c>
      <x:c r="H164" s="15" t="n">
        <x:v>500</x:v>
      </x:c>
      <x:c r="I164" s="15" t="n">
        <x:v>48</x:v>
      </x:c>
      <x:c r="J164" s="15" t="n">
        <x:v>25</x:v>
      </x:c>
      <x:c r="K164" s="15" t="str">
        <x:v>External reconstruction</x:v>
      </x:c>
      <x:c r="L164" s="15" t="str">
        <x:v>OPEN</x:v>
      </x:c>
    </x:row>
    <x:row r="165">
      <x:c r="A165" s="14" t="str">
        <x:v>CT-161</x:v>
      </x:c>
      <x:c r="B165" s="14" t="str">
        <x:v>PGR-48</x:v>
      </x:c>
      <x:c r="C165" s="14" t="str">
        <x:v>L2</x:v>
      </x:c>
      <x:c r="D165" s="14" t="str">
        <x:v>NRC-B</x:v>
      </x:c>
      <x:c r="E165" s="14" t="str">
        <x:v>DISPERSED</x:v>
      </x:c>
      <x:c r="F165" s="14" t="str">
        <x:v>T1</x:v>
      </x:c>
      <x:c r="G165" s="14" t="str">
        <x:v>Sealed zero</x:v>
      </x:c>
      <x:c r="H165" s="14" t="n">
        <x:v>0</x:v>
      </x:c>
      <x:c r="I165" s="14" t="n">
        <x:v>0</x:v>
      </x:c>
      <x:c r="J165" s="14" t="n">
        <x:v>25</x:v>
      </x:c>
      <x:c r="K165" s="14" t="str">
        <x:v>Native state, leakage and command isolation</x:v>
      </x:c>
      <x:c r="L165" s="14" t="str">
        <x:v>OPEN</x:v>
      </x:c>
    </x:row>
    <x:row r="166">
      <x:c r="A166" s="15" t="str">
        <x:v>CT-162</x:v>
      </x:c>
      <x:c r="B166" s="15" t="str">
        <x:v>PGR-48</x:v>
      </x:c>
      <x:c r="C166" s="15" t="str">
        <x:v>L2</x:v>
      </x:c>
      <x:c r="D166" s="15" t="str">
        <x:v>NRC-B</x:v>
      </x:c>
      <x:c r="E166" s="15" t="str">
        <x:v>DISPERSED</x:v>
      </x:c>
      <x:c r="F166" s="15" t="str">
        <x:v>T2</x:v>
      </x:c>
      <x:c r="G166" s="15" t="str">
        <x:v>ER-09 anchor</x:v>
      </x:c>
      <x:c r="H166" s="15" t="n">
        <x:v>500</x:v>
      </x:c>
      <x:c r="I166" s="15" t="n">
        <x:v>24</x:v>
      </x:c>
      <x:c r="J166" s="15" t="n">
        <x:v>6.25</x:v>
      </x:c>
      <x:c r="K166" s="15" t="str">
        <x:v>Parent transfer</x:v>
      </x:c>
      <x:c r="L166" s="15" t="str">
        <x:v>OPEN</x:v>
      </x:c>
    </x:row>
    <x:row r="167">
      <x:c r="A167" s="14" t="str">
        <x:v>CT-163</x:v>
      </x:c>
      <x:c r="B167" s="14" t="str">
        <x:v>PGR-48</x:v>
      </x:c>
      <x:c r="C167" s="14" t="str">
        <x:v>L2</x:v>
      </x:c>
      <x:c r="D167" s="14" t="str">
        <x:v>NRC-B</x:v>
      </x:c>
      <x:c r="E167" s="14" t="str">
        <x:v>DISPERSED</x:v>
      </x:c>
      <x:c r="F167" s="14" t="str">
        <x:v>T3</x:v>
      </x:c>
      <x:c r="G167" s="14" t="str">
        <x:v>Area expansion dry</x:v>
      </x:c>
      <x:c r="H167" s="14" t="n">
        <x:v>500</x:v>
      </x:c>
      <x:c r="I167" s="14" t="n">
        <x:v>0</x:v>
      </x:c>
      <x:c r="J167" s="14" t="n">
        <x:v>25</x:v>
      </x:c>
      <x:c r="K167" s="14" t="str">
        <x:v>Topology and boundary transition</x:v>
      </x:c>
      <x:c r="L167" s="14" t="str">
        <x:v>OPEN</x:v>
      </x:c>
    </x:row>
    <x:row r="168">
      <x:c r="A168" s="15" t="str">
        <x:v>CT-164</x:v>
      </x:c>
      <x:c r="B168" s="15" t="str">
        <x:v>PGR-48</x:v>
      </x:c>
      <x:c r="C168" s="15" t="str">
        <x:v>L2</x:v>
      </x:c>
      <x:c r="D168" s="15" t="str">
        <x:v>NRC-B</x:v>
      </x:c>
      <x:c r="E168" s="15" t="str">
        <x:v>DISPERSED</x:v>
      </x:c>
      <x:c r="F168" s="15" t="str">
        <x:v>T4</x:v>
      </x:c>
      <x:c r="G168" s="15" t="str">
        <x:v>Area expansion wet</x:v>
      </x:c>
      <x:c r="H168" s="15" t="n">
        <x:v>500</x:v>
      </x:c>
      <x:c r="I168" s="15" t="n">
        <x:v>24</x:v>
      </x:c>
      <x:c r="J168" s="15" t="n">
        <x:v>25</x:v>
      </x:c>
      <x:c r="K168" s="15" t="str">
        <x:v>Half-water contact</x:v>
      </x:c>
      <x:c r="L168" s="15" t="str">
        <x:v>OPEN</x:v>
      </x:c>
    </x:row>
    <x:row r="169">
      <x:c r="A169" s="14" t="str">
        <x:v>CT-165</x:v>
      </x:c>
      <x:c r="B169" s="14" t="str">
        <x:v>PGR-48</x:v>
      </x:c>
      <x:c r="C169" s="14" t="str">
        <x:v>L2</x:v>
      </x:c>
      <x:c r="D169" s="14" t="str">
        <x:v>NRC-B</x:v>
      </x:c>
      <x:c r="E169" s="14" t="str">
        <x:v>DISPERSED</x:v>
      </x:c>
      <x:c r="F169" s="14" t="str">
        <x:v>T5</x:v>
      </x:c>
      <x:c r="G169" s="14" t="str">
        <x:v>Exact hydraulic</x:v>
      </x:c>
      <x:c r="H169" s="14" t="n">
        <x:v>500</x:v>
      </x:c>
      <x:c r="I169" s="14" t="n">
        <x:v>48</x:v>
      </x:c>
      <x:c r="J169" s="14" t="n">
        <x:v>25</x:v>
      </x:c>
      <x:c r="K169" s="14" t="str">
        <x:v>Complete issue and recovery</x:v>
      </x:c>
      <x:c r="L169" s="14" t="str">
        <x:v>OPEN</x:v>
      </x:c>
    </x:row>
    <x:row r="170">
      <x:c r="A170" s="15" t="str">
        <x:v>CT-166</x:v>
      </x:c>
      <x:c r="B170" s="15" t="str">
        <x:v>PGR-48</x:v>
      </x:c>
      <x:c r="C170" s="15" t="str">
        <x:v>L2</x:v>
      </x:c>
      <x:c r="D170" s="15" t="str">
        <x:v>NRC-B</x:v>
      </x:c>
      <x:c r="E170" s="15" t="str">
        <x:v>DISPERSED</x:v>
      </x:c>
      <x:c r="F170" s="15" t="str">
        <x:v>T6</x:v>
      </x:c>
      <x:c r="G170" s="15" t="str">
        <x:v>Independent service</x:v>
      </x:c>
      <x:c r="H170" s="15" t="n">
        <x:v>500</x:v>
      </x:c>
      <x:c r="I170" s="15" t="n">
        <x:v>48</x:v>
      </x:c>
      <x:c r="J170" s="15" t="n">
        <x:v>25</x:v>
      </x:c>
      <x:c r="K170" s="15" t="str">
        <x:v>No host energy, network or time</x:v>
      </x:c>
      <x:c r="L170" s="15" t="str">
        <x:v>OPEN</x:v>
      </x:c>
    </x:row>
    <x:row r="171">
      <x:c r="A171" s="14" t="str">
        <x:v>CT-167</x:v>
      </x:c>
      <x:c r="B171" s="14" t="str">
        <x:v>PGR-48</x:v>
      </x:c>
      <x:c r="C171" s="14" t="str">
        <x:v>L2</x:v>
      </x:c>
      <x:c r="D171" s="14" t="str">
        <x:v>NRC-B</x:v>
      </x:c>
      <x:c r="E171" s="14" t="str">
        <x:v>DISPERSED</x:v>
      </x:c>
      <x:c r="F171" s="14" t="str">
        <x:v>T7</x:v>
      </x:c>
      <x:c r="G171" s="14" t="str">
        <x:v>Receiver denial</x:v>
      </x:c>
      <x:c r="H171" s="14" t="n">
        <x:v>500</x:v>
      </x:c>
      <x:c r="I171" s="14" t="n">
        <x:v>48</x:v>
      </x:c>
      <x:c r="J171" s="14" t="n">
        <x:v>25</x:v>
      </x:c>
      <x:c r="K171" s="14" t="str">
        <x:v>Diversion and terminal custody</x:v>
      </x:c>
      <x:c r="L171" s="14" t="str">
        <x:v>OPEN</x:v>
      </x:c>
    </x:row>
    <x:row r="172">
      <x:c r="A172" s="15" t="str">
        <x:v>CT-168</x:v>
      </x:c>
      <x:c r="B172" s="15" t="str">
        <x:v>PGR-48</x:v>
      </x:c>
      <x:c r="C172" s="15" t="str">
        <x:v>L2</x:v>
      </x:c>
      <x:c r="D172" s="15" t="str">
        <x:v>NRC-B</x:v>
      </x:c>
      <x:c r="E172" s="15" t="str">
        <x:v>DISPERSED</x:v>
      </x:c>
      <x:c r="F172" s="15" t="str">
        <x:v>T8</x:v>
      </x:c>
      <x:c r="G172" s="15" t="str">
        <x:v>Outside only</x:v>
      </x:c>
      <x:c r="H172" s="15" t="n">
        <x:v>500</x:v>
      </x:c>
      <x:c r="I172" s="15" t="n">
        <x:v>48</x:v>
      </x:c>
      <x:c r="J172" s="15" t="n">
        <x:v>25</x:v>
      </x:c>
      <x:c r="K172" s="15" t="str">
        <x:v>External reconstruction</x:v>
      </x:c>
      <x:c r="L172" s="15" t="str">
        <x:v>OPEN</x:v>
      </x:c>
    </x:row>
    <x:row r="173">
      <x:c r="A173" s="14" t="str">
        <x:v>CT-169</x:v>
      </x:c>
      <x:c r="B173" s="14" t="str">
        <x:v>PGR-48</x:v>
      </x:c>
      <x:c r="C173" s="14" t="str">
        <x:v>L2</x:v>
      </x:c>
      <x:c r="D173" s="14" t="str">
        <x:v>NRC-B</x:v>
      </x:c>
      <x:c r="E173" s="14" t="str">
        <x:v>COHERENT</x:v>
      </x:c>
      <x:c r="F173" s="14" t="str">
        <x:v>T1</x:v>
      </x:c>
      <x:c r="G173" s="14" t="str">
        <x:v>Sealed zero</x:v>
      </x:c>
      <x:c r="H173" s="14" t="n">
        <x:v>0</x:v>
      </x:c>
      <x:c r="I173" s="14" t="n">
        <x:v>0</x:v>
      </x:c>
      <x:c r="J173" s="14" t="n">
        <x:v>25</x:v>
      </x:c>
      <x:c r="K173" s="14" t="str">
        <x:v>Native state, leakage and command isolation</x:v>
      </x:c>
      <x:c r="L173" s="14" t="str">
        <x:v>OPEN</x:v>
      </x:c>
    </x:row>
    <x:row r="174">
      <x:c r="A174" s="15" t="str">
        <x:v>CT-170</x:v>
      </x:c>
      <x:c r="B174" s="15" t="str">
        <x:v>PGR-48</x:v>
      </x:c>
      <x:c r="C174" s="15" t="str">
        <x:v>L2</x:v>
      </x:c>
      <x:c r="D174" s="15" t="str">
        <x:v>NRC-B</x:v>
      </x:c>
      <x:c r="E174" s="15" t="str">
        <x:v>COHERENT</x:v>
      </x:c>
      <x:c r="F174" s="15" t="str">
        <x:v>T2</x:v>
      </x:c>
      <x:c r="G174" s="15" t="str">
        <x:v>ER-09 anchor</x:v>
      </x:c>
      <x:c r="H174" s="15" t="n">
        <x:v>500</x:v>
      </x:c>
      <x:c r="I174" s="15" t="n">
        <x:v>24</x:v>
      </x:c>
      <x:c r="J174" s="15" t="n">
        <x:v>6.25</x:v>
      </x:c>
      <x:c r="K174" s="15" t="str">
        <x:v>Parent transfer</x:v>
      </x:c>
      <x:c r="L174" s="15" t="str">
        <x:v>OPEN</x:v>
      </x:c>
    </x:row>
    <x:row r="175">
      <x:c r="A175" s="14" t="str">
        <x:v>CT-171</x:v>
      </x:c>
      <x:c r="B175" s="14" t="str">
        <x:v>PGR-48</x:v>
      </x:c>
      <x:c r="C175" s="14" t="str">
        <x:v>L2</x:v>
      </x:c>
      <x:c r="D175" s="14" t="str">
        <x:v>NRC-B</x:v>
      </x:c>
      <x:c r="E175" s="14" t="str">
        <x:v>COHERENT</x:v>
      </x:c>
      <x:c r="F175" s="14" t="str">
        <x:v>T3</x:v>
      </x:c>
      <x:c r="G175" s="14" t="str">
        <x:v>Area expansion dry</x:v>
      </x:c>
      <x:c r="H175" s="14" t="n">
        <x:v>500</x:v>
      </x:c>
      <x:c r="I175" s="14" t="n">
        <x:v>0</x:v>
      </x:c>
      <x:c r="J175" s="14" t="n">
        <x:v>25</x:v>
      </x:c>
      <x:c r="K175" s="14" t="str">
        <x:v>Topology and boundary transition</x:v>
      </x:c>
      <x:c r="L175" s="14" t="str">
        <x:v>OPEN</x:v>
      </x:c>
    </x:row>
    <x:row r="176">
      <x:c r="A176" s="15" t="str">
        <x:v>CT-172</x:v>
      </x:c>
      <x:c r="B176" s="15" t="str">
        <x:v>PGR-48</x:v>
      </x:c>
      <x:c r="C176" s="15" t="str">
        <x:v>L2</x:v>
      </x:c>
      <x:c r="D176" s="15" t="str">
        <x:v>NRC-B</x:v>
      </x:c>
      <x:c r="E176" s="15" t="str">
        <x:v>COHERENT</x:v>
      </x:c>
      <x:c r="F176" s="15" t="str">
        <x:v>T4</x:v>
      </x:c>
      <x:c r="G176" s="15" t="str">
        <x:v>Area expansion wet</x:v>
      </x:c>
      <x:c r="H176" s="15" t="n">
        <x:v>500</x:v>
      </x:c>
      <x:c r="I176" s="15" t="n">
        <x:v>24</x:v>
      </x:c>
      <x:c r="J176" s="15" t="n">
        <x:v>25</x:v>
      </x:c>
      <x:c r="K176" s="15" t="str">
        <x:v>Half-water contact</x:v>
      </x:c>
      <x:c r="L176" s="15" t="str">
        <x:v>OPEN</x:v>
      </x:c>
    </x:row>
    <x:row r="177">
      <x:c r="A177" s="14" t="str">
        <x:v>CT-173</x:v>
      </x:c>
      <x:c r="B177" s="14" t="str">
        <x:v>PGR-48</x:v>
      </x:c>
      <x:c r="C177" s="14" t="str">
        <x:v>L2</x:v>
      </x:c>
      <x:c r="D177" s="14" t="str">
        <x:v>NRC-B</x:v>
      </x:c>
      <x:c r="E177" s="14" t="str">
        <x:v>COHERENT</x:v>
      </x:c>
      <x:c r="F177" s="14" t="str">
        <x:v>T5</x:v>
      </x:c>
      <x:c r="G177" s="14" t="str">
        <x:v>Exact hydraulic</x:v>
      </x:c>
      <x:c r="H177" s="14" t="n">
        <x:v>500</x:v>
      </x:c>
      <x:c r="I177" s="14" t="n">
        <x:v>48</x:v>
      </x:c>
      <x:c r="J177" s="14" t="n">
        <x:v>25</x:v>
      </x:c>
      <x:c r="K177" s="14" t="str">
        <x:v>Complete issue and recovery</x:v>
      </x:c>
      <x:c r="L177" s="14" t="str">
        <x:v>OPEN</x:v>
      </x:c>
    </x:row>
    <x:row r="178">
      <x:c r="A178" s="15" t="str">
        <x:v>CT-174</x:v>
      </x:c>
      <x:c r="B178" s="15" t="str">
        <x:v>PGR-48</x:v>
      </x:c>
      <x:c r="C178" s="15" t="str">
        <x:v>L2</x:v>
      </x:c>
      <x:c r="D178" s="15" t="str">
        <x:v>NRC-B</x:v>
      </x:c>
      <x:c r="E178" s="15" t="str">
        <x:v>COHERENT</x:v>
      </x:c>
      <x:c r="F178" s="15" t="str">
        <x:v>T6</x:v>
      </x:c>
      <x:c r="G178" s="15" t="str">
        <x:v>Independent service</x:v>
      </x:c>
      <x:c r="H178" s="15" t="n">
        <x:v>500</x:v>
      </x:c>
      <x:c r="I178" s="15" t="n">
        <x:v>48</x:v>
      </x:c>
      <x:c r="J178" s="15" t="n">
        <x:v>25</x:v>
      </x:c>
      <x:c r="K178" s="15" t="str">
        <x:v>No host energy, network or time</x:v>
      </x:c>
      <x:c r="L178" s="15" t="str">
        <x:v>OPEN</x:v>
      </x:c>
    </x:row>
    <x:row r="179">
      <x:c r="A179" s="14" t="str">
        <x:v>CT-175</x:v>
      </x:c>
      <x:c r="B179" s="14" t="str">
        <x:v>PGR-48</x:v>
      </x:c>
      <x:c r="C179" s="14" t="str">
        <x:v>L2</x:v>
      </x:c>
      <x:c r="D179" s="14" t="str">
        <x:v>NRC-B</x:v>
      </x:c>
      <x:c r="E179" s="14" t="str">
        <x:v>COHERENT</x:v>
      </x:c>
      <x:c r="F179" s="14" t="str">
        <x:v>T7</x:v>
      </x:c>
      <x:c r="G179" s="14" t="str">
        <x:v>Receiver denial</x:v>
      </x:c>
      <x:c r="H179" s="14" t="n">
        <x:v>500</x:v>
      </x:c>
      <x:c r="I179" s="14" t="n">
        <x:v>48</x:v>
      </x:c>
      <x:c r="J179" s="14" t="n">
        <x:v>25</x:v>
      </x:c>
      <x:c r="K179" s="14" t="str">
        <x:v>Diversion and terminal custody</x:v>
      </x:c>
      <x:c r="L179" s="14" t="str">
        <x:v>OPEN</x:v>
      </x:c>
    </x:row>
    <x:row r="180">
      <x:c r="A180" s="15" t="str">
        <x:v>CT-176</x:v>
      </x:c>
      <x:c r="B180" s="15" t="str">
        <x:v>PGR-48</x:v>
      </x:c>
      <x:c r="C180" s="15" t="str">
        <x:v>L2</x:v>
      </x:c>
      <x:c r="D180" s="15" t="str">
        <x:v>NRC-B</x:v>
      </x:c>
      <x:c r="E180" s="15" t="str">
        <x:v>COHERENT</x:v>
      </x:c>
      <x:c r="F180" s="15" t="str">
        <x:v>T8</x:v>
      </x:c>
      <x:c r="G180" s="15" t="str">
        <x:v>Outside only</x:v>
      </x:c>
      <x:c r="H180" s="15" t="n">
        <x:v>500</x:v>
      </x:c>
      <x:c r="I180" s="15" t="n">
        <x:v>48</x:v>
      </x:c>
      <x:c r="J180" s="15" t="n">
        <x:v>25</x:v>
      </x:c>
      <x:c r="K180" s="15" t="str">
        <x:v>External reconstruction</x:v>
      </x:c>
      <x:c r="L180" s="15" t="str">
        <x:v>OPEN</x:v>
      </x:c>
    </x:row>
    <x:row r="181">
      <x:c r="A181" s="14" t="str">
        <x:v>CT-177</x:v>
      </x:c>
      <x:c r="B181" s="14" t="str">
        <x:v>PGR-48</x:v>
      </x:c>
      <x:c r="C181" s="14" t="str">
        <x:v>L2</x:v>
      </x:c>
      <x:c r="D181" s="14" t="str">
        <x:v>NRC-C</x:v>
      </x:c>
      <x:c r="E181" s="14" t="str">
        <x:v>DISPERSED</x:v>
      </x:c>
      <x:c r="F181" s="14" t="str">
        <x:v>T1</x:v>
      </x:c>
      <x:c r="G181" s="14" t="str">
        <x:v>Sealed zero</x:v>
      </x:c>
      <x:c r="H181" s="14" t="n">
        <x:v>0</x:v>
      </x:c>
      <x:c r="I181" s="14" t="n">
        <x:v>0</x:v>
      </x:c>
      <x:c r="J181" s="14" t="n">
        <x:v>25</x:v>
      </x:c>
      <x:c r="K181" s="14" t="str">
        <x:v>Native state, leakage and command isolation</x:v>
      </x:c>
      <x:c r="L181" s="14" t="str">
        <x:v>OPEN</x:v>
      </x:c>
    </x:row>
    <x:row r="182">
      <x:c r="A182" s="15" t="str">
        <x:v>CT-178</x:v>
      </x:c>
      <x:c r="B182" s="15" t="str">
        <x:v>PGR-48</x:v>
      </x:c>
      <x:c r="C182" s="15" t="str">
        <x:v>L2</x:v>
      </x:c>
      <x:c r="D182" s="15" t="str">
        <x:v>NRC-C</x:v>
      </x:c>
      <x:c r="E182" s="15" t="str">
        <x:v>DISPERSED</x:v>
      </x:c>
      <x:c r="F182" s="15" t="str">
        <x:v>T2</x:v>
      </x:c>
      <x:c r="G182" s="15" t="str">
        <x:v>ER-09 anchor</x:v>
      </x:c>
      <x:c r="H182" s="15" t="n">
        <x:v>500</x:v>
      </x:c>
      <x:c r="I182" s="15" t="n">
        <x:v>24</x:v>
      </x:c>
      <x:c r="J182" s="15" t="n">
        <x:v>6.25</x:v>
      </x:c>
      <x:c r="K182" s="15" t="str">
        <x:v>Parent transfer</x:v>
      </x:c>
      <x:c r="L182" s="15" t="str">
        <x:v>OPEN</x:v>
      </x:c>
    </x:row>
    <x:row r="183">
      <x:c r="A183" s="14" t="str">
        <x:v>CT-179</x:v>
      </x:c>
      <x:c r="B183" s="14" t="str">
        <x:v>PGR-48</x:v>
      </x:c>
      <x:c r="C183" s="14" t="str">
        <x:v>L2</x:v>
      </x:c>
      <x:c r="D183" s="14" t="str">
        <x:v>NRC-C</x:v>
      </x:c>
      <x:c r="E183" s="14" t="str">
        <x:v>DISPERSED</x:v>
      </x:c>
      <x:c r="F183" s="14" t="str">
        <x:v>T3</x:v>
      </x:c>
      <x:c r="G183" s="14" t="str">
        <x:v>Area expansion dry</x:v>
      </x:c>
      <x:c r="H183" s="14" t="n">
        <x:v>500</x:v>
      </x:c>
      <x:c r="I183" s="14" t="n">
        <x:v>0</x:v>
      </x:c>
      <x:c r="J183" s="14" t="n">
        <x:v>25</x:v>
      </x:c>
      <x:c r="K183" s="14" t="str">
        <x:v>Topology and boundary transition</x:v>
      </x:c>
      <x:c r="L183" s="14" t="str">
        <x:v>OPEN</x:v>
      </x:c>
    </x:row>
    <x:row r="184">
      <x:c r="A184" s="15" t="str">
        <x:v>CT-180</x:v>
      </x:c>
      <x:c r="B184" s="15" t="str">
        <x:v>PGR-48</x:v>
      </x:c>
      <x:c r="C184" s="15" t="str">
        <x:v>L2</x:v>
      </x:c>
      <x:c r="D184" s="15" t="str">
        <x:v>NRC-C</x:v>
      </x:c>
      <x:c r="E184" s="15" t="str">
        <x:v>DISPERSED</x:v>
      </x:c>
      <x:c r="F184" s="15" t="str">
        <x:v>T4</x:v>
      </x:c>
      <x:c r="G184" s="15" t="str">
        <x:v>Area expansion wet</x:v>
      </x:c>
      <x:c r="H184" s="15" t="n">
        <x:v>500</x:v>
      </x:c>
      <x:c r="I184" s="15" t="n">
        <x:v>24</x:v>
      </x:c>
      <x:c r="J184" s="15" t="n">
        <x:v>25</x:v>
      </x:c>
      <x:c r="K184" s="15" t="str">
        <x:v>Half-water contact</x:v>
      </x:c>
      <x:c r="L184" s="15" t="str">
        <x:v>OPEN</x:v>
      </x:c>
    </x:row>
    <x:row r="185">
      <x:c r="A185" s="14" t="str">
        <x:v>CT-181</x:v>
      </x:c>
      <x:c r="B185" s="14" t="str">
        <x:v>PGR-48</x:v>
      </x:c>
      <x:c r="C185" s="14" t="str">
        <x:v>L2</x:v>
      </x:c>
      <x:c r="D185" s="14" t="str">
        <x:v>NRC-C</x:v>
      </x:c>
      <x:c r="E185" s="14" t="str">
        <x:v>DISPERSED</x:v>
      </x:c>
      <x:c r="F185" s="14" t="str">
        <x:v>T5</x:v>
      </x:c>
      <x:c r="G185" s="14" t="str">
        <x:v>Exact hydraulic</x:v>
      </x:c>
      <x:c r="H185" s="14" t="n">
        <x:v>500</x:v>
      </x:c>
      <x:c r="I185" s="14" t="n">
        <x:v>48</x:v>
      </x:c>
      <x:c r="J185" s="14" t="n">
        <x:v>25</x:v>
      </x:c>
      <x:c r="K185" s="14" t="str">
        <x:v>Complete issue and recovery</x:v>
      </x:c>
      <x:c r="L185" s="14" t="str">
        <x:v>OPEN</x:v>
      </x:c>
    </x:row>
    <x:row r="186">
      <x:c r="A186" s="15" t="str">
        <x:v>CT-182</x:v>
      </x:c>
      <x:c r="B186" s="15" t="str">
        <x:v>PGR-48</x:v>
      </x:c>
      <x:c r="C186" s="15" t="str">
        <x:v>L2</x:v>
      </x:c>
      <x:c r="D186" s="15" t="str">
        <x:v>NRC-C</x:v>
      </x:c>
      <x:c r="E186" s="15" t="str">
        <x:v>DISPERSED</x:v>
      </x:c>
      <x:c r="F186" s="15" t="str">
        <x:v>T6</x:v>
      </x:c>
      <x:c r="G186" s="15" t="str">
        <x:v>Independent service</x:v>
      </x:c>
      <x:c r="H186" s="15" t="n">
        <x:v>500</x:v>
      </x:c>
      <x:c r="I186" s="15" t="n">
        <x:v>48</x:v>
      </x:c>
      <x:c r="J186" s="15" t="n">
        <x:v>25</x:v>
      </x:c>
      <x:c r="K186" s="15" t="str">
        <x:v>No host energy, network or time</x:v>
      </x:c>
      <x:c r="L186" s="15" t="str">
        <x:v>OPEN</x:v>
      </x:c>
    </x:row>
    <x:row r="187">
      <x:c r="A187" s="14" t="str">
        <x:v>CT-183</x:v>
      </x:c>
      <x:c r="B187" s="14" t="str">
        <x:v>PGR-48</x:v>
      </x:c>
      <x:c r="C187" s="14" t="str">
        <x:v>L2</x:v>
      </x:c>
      <x:c r="D187" s="14" t="str">
        <x:v>NRC-C</x:v>
      </x:c>
      <x:c r="E187" s="14" t="str">
        <x:v>DISPERSED</x:v>
      </x:c>
      <x:c r="F187" s="14" t="str">
        <x:v>T7</x:v>
      </x:c>
      <x:c r="G187" s="14" t="str">
        <x:v>Receiver denial</x:v>
      </x:c>
      <x:c r="H187" s="14" t="n">
        <x:v>500</x:v>
      </x:c>
      <x:c r="I187" s="14" t="n">
        <x:v>48</x:v>
      </x:c>
      <x:c r="J187" s="14" t="n">
        <x:v>25</x:v>
      </x:c>
      <x:c r="K187" s="14" t="str">
        <x:v>Diversion and terminal custody</x:v>
      </x:c>
      <x:c r="L187" s="14" t="str">
        <x:v>OPEN</x:v>
      </x:c>
    </x:row>
    <x:row r="188">
      <x:c r="A188" s="15" t="str">
        <x:v>CT-184</x:v>
      </x:c>
      <x:c r="B188" s="15" t="str">
        <x:v>PGR-48</x:v>
      </x:c>
      <x:c r="C188" s="15" t="str">
        <x:v>L2</x:v>
      </x:c>
      <x:c r="D188" s="15" t="str">
        <x:v>NRC-C</x:v>
      </x:c>
      <x:c r="E188" s="15" t="str">
        <x:v>DISPERSED</x:v>
      </x:c>
      <x:c r="F188" s="15" t="str">
        <x:v>T8</x:v>
      </x:c>
      <x:c r="G188" s="15" t="str">
        <x:v>Outside only</x:v>
      </x:c>
      <x:c r="H188" s="15" t="n">
        <x:v>500</x:v>
      </x:c>
      <x:c r="I188" s="15" t="n">
        <x:v>48</x:v>
      </x:c>
      <x:c r="J188" s="15" t="n">
        <x:v>25</x:v>
      </x:c>
      <x:c r="K188" s="15" t="str">
        <x:v>External reconstruction</x:v>
      </x:c>
      <x:c r="L188" s="15" t="str">
        <x:v>OPEN</x:v>
      </x:c>
    </x:row>
    <x:row r="189">
      <x:c r="A189" s="14" t="str">
        <x:v>CT-185</x:v>
      </x:c>
      <x:c r="B189" s="14" t="str">
        <x:v>PGR-48</x:v>
      </x:c>
      <x:c r="C189" s="14" t="str">
        <x:v>L2</x:v>
      </x:c>
      <x:c r="D189" s="14" t="str">
        <x:v>NRC-C</x:v>
      </x:c>
      <x:c r="E189" s="14" t="str">
        <x:v>COHERENT</x:v>
      </x:c>
      <x:c r="F189" s="14" t="str">
        <x:v>T1</x:v>
      </x:c>
      <x:c r="G189" s="14" t="str">
        <x:v>Sealed zero</x:v>
      </x:c>
      <x:c r="H189" s="14" t="n">
        <x:v>0</x:v>
      </x:c>
      <x:c r="I189" s="14" t="n">
        <x:v>0</x:v>
      </x:c>
      <x:c r="J189" s="14" t="n">
        <x:v>25</x:v>
      </x:c>
      <x:c r="K189" s="14" t="str">
        <x:v>Native state, leakage and command isolation</x:v>
      </x:c>
      <x:c r="L189" s="14" t="str">
        <x:v>OPEN</x:v>
      </x:c>
    </x:row>
    <x:row r="190">
      <x:c r="A190" s="15" t="str">
        <x:v>CT-186</x:v>
      </x:c>
      <x:c r="B190" s="15" t="str">
        <x:v>PGR-48</x:v>
      </x:c>
      <x:c r="C190" s="15" t="str">
        <x:v>L2</x:v>
      </x:c>
      <x:c r="D190" s="15" t="str">
        <x:v>NRC-C</x:v>
      </x:c>
      <x:c r="E190" s="15" t="str">
        <x:v>COHERENT</x:v>
      </x:c>
      <x:c r="F190" s="15" t="str">
        <x:v>T2</x:v>
      </x:c>
      <x:c r="G190" s="15" t="str">
        <x:v>ER-09 anchor</x:v>
      </x:c>
      <x:c r="H190" s="15" t="n">
        <x:v>500</x:v>
      </x:c>
      <x:c r="I190" s="15" t="n">
        <x:v>24</x:v>
      </x:c>
      <x:c r="J190" s="15" t="n">
        <x:v>6.25</x:v>
      </x:c>
      <x:c r="K190" s="15" t="str">
        <x:v>Parent transfer</x:v>
      </x:c>
      <x:c r="L190" s="15" t="str">
        <x:v>OPEN</x:v>
      </x:c>
    </x:row>
    <x:row r="191">
      <x:c r="A191" s="14" t="str">
        <x:v>CT-187</x:v>
      </x:c>
      <x:c r="B191" s="14" t="str">
        <x:v>PGR-48</x:v>
      </x:c>
      <x:c r="C191" s="14" t="str">
        <x:v>L2</x:v>
      </x:c>
      <x:c r="D191" s="14" t="str">
        <x:v>NRC-C</x:v>
      </x:c>
      <x:c r="E191" s="14" t="str">
        <x:v>COHERENT</x:v>
      </x:c>
      <x:c r="F191" s="14" t="str">
        <x:v>T3</x:v>
      </x:c>
      <x:c r="G191" s="14" t="str">
        <x:v>Area expansion dry</x:v>
      </x:c>
      <x:c r="H191" s="14" t="n">
        <x:v>500</x:v>
      </x:c>
      <x:c r="I191" s="14" t="n">
        <x:v>0</x:v>
      </x:c>
      <x:c r="J191" s="14" t="n">
        <x:v>25</x:v>
      </x:c>
      <x:c r="K191" s="14" t="str">
        <x:v>Topology and boundary transition</x:v>
      </x:c>
      <x:c r="L191" s="14" t="str">
        <x:v>OPEN</x:v>
      </x:c>
    </x:row>
    <x:row r="192">
      <x:c r="A192" s="15" t="str">
        <x:v>CT-188</x:v>
      </x:c>
      <x:c r="B192" s="15" t="str">
        <x:v>PGR-48</x:v>
      </x:c>
      <x:c r="C192" s="15" t="str">
        <x:v>L2</x:v>
      </x:c>
      <x:c r="D192" s="15" t="str">
        <x:v>NRC-C</x:v>
      </x:c>
      <x:c r="E192" s="15" t="str">
        <x:v>COHERENT</x:v>
      </x:c>
      <x:c r="F192" s="15" t="str">
        <x:v>T4</x:v>
      </x:c>
      <x:c r="G192" s="15" t="str">
        <x:v>Area expansion wet</x:v>
      </x:c>
      <x:c r="H192" s="15" t="n">
        <x:v>500</x:v>
      </x:c>
      <x:c r="I192" s="15" t="n">
        <x:v>24</x:v>
      </x:c>
      <x:c r="J192" s="15" t="n">
        <x:v>25</x:v>
      </x:c>
      <x:c r="K192" s="15" t="str">
        <x:v>Half-water contact</x:v>
      </x:c>
      <x:c r="L192" s="15" t="str">
        <x:v>OPEN</x:v>
      </x:c>
    </x:row>
    <x:row r="193">
      <x:c r="A193" s="14" t="str">
        <x:v>CT-189</x:v>
      </x:c>
      <x:c r="B193" s="14" t="str">
        <x:v>PGR-48</x:v>
      </x:c>
      <x:c r="C193" s="14" t="str">
        <x:v>L2</x:v>
      </x:c>
      <x:c r="D193" s="14" t="str">
        <x:v>NRC-C</x:v>
      </x:c>
      <x:c r="E193" s="14" t="str">
        <x:v>COHERENT</x:v>
      </x:c>
      <x:c r="F193" s="14" t="str">
        <x:v>T5</x:v>
      </x:c>
      <x:c r="G193" s="14" t="str">
        <x:v>Exact hydraulic</x:v>
      </x:c>
      <x:c r="H193" s="14" t="n">
        <x:v>500</x:v>
      </x:c>
      <x:c r="I193" s="14" t="n">
        <x:v>48</x:v>
      </x:c>
      <x:c r="J193" s="14" t="n">
        <x:v>25</x:v>
      </x:c>
      <x:c r="K193" s="14" t="str">
        <x:v>Complete issue and recovery</x:v>
      </x:c>
      <x:c r="L193" s="14" t="str">
        <x:v>OPEN</x:v>
      </x:c>
    </x:row>
    <x:row r="194">
      <x:c r="A194" s="15" t="str">
        <x:v>CT-190</x:v>
      </x:c>
      <x:c r="B194" s="15" t="str">
        <x:v>PGR-48</x:v>
      </x:c>
      <x:c r="C194" s="15" t="str">
        <x:v>L2</x:v>
      </x:c>
      <x:c r="D194" s="15" t="str">
        <x:v>NRC-C</x:v>
      </x:c>
      <x:c r="E194" s="15" t="str">
        <x:v>COHERENT</x:v>
      </x:c>
      <x:c r="F194" s="15" t="str">
        <x:v>T6</x:v>
      </x:c>
      <x:c r="G194" s="15" t="str">
        <x:v>Independent service</x:v>
      </x:c>
      <x:c r="H194" s="15" t="n">
        <x:v>500</x:v>
      </x:c>
      <x:c r="I194" s="15" t="n">
        <x:v>48</x:v>
      </x:c>
      <x:c r="J194" s="15" t="n">
        <x:v>25</x:v>
      </x:c>
      <x:c r="K194" s="15" t="str">
        <x:v>No host energy, network or time</x:v>
      </x:c>
      <x:c r="L194" s="15" t="str">
        <x:v>OPEN</x:v>
      </x:c>
    </x:row>
    <x:row r="195">
      <x:c r="A195" s="14" t="str">
        <x:v>CT-191</x:v>
      </x:c>
      <x:c r="B195" s="14" t="str">
        <x:v>PGR-48</x:v>
      </x:c>
      <x:c r="C195" s="14" t="str">
        <x:v>L2</x:v>
      </x:c>
      <x:c r="D195" s="14" t="str">
        <x:v>NRC-C</x:v>
      </x:c>
      <x:c r="E195" s="14" t="str">
        <x:v>COHERENT</x:v>
      </x:c>
      <x:c r="F195" s="14" t="str">
        <x:v>T7</x:v>
      </x:c>
      <x:c r="G195" s="14" t="str">
        <x:v>Receiver denial</x:v>
      </x:c>
      <x:c r="H195" s="14" t="n">
        <x:v>500</x:v>
      </x:c>
      <x:c r="I195" s="14" t="n">
        <x:v>48</x:v>
      </x:c>
      <x:c r="J195" s="14" t="n">
        <x:v>25</x:v>
      </x:c>
      <x:c r="K195" s="14" t="str">
        <x:v>Diversion and terminal custody</x:v>
      </x:c>
      <x:c r="L195" s="14" t="str">
        <x:v>OPEN</x:v>
      </x:c>
    </x:row>
    <x:row r="196">
      <x:c r="A196" s="15" t="str">
        <x:v>CT-192</x:v>
      </x:c>
      <x:c r="B196" s="15" t="str">
        <x:v>PGR-48</x:v>
      </x:c>
      <x:c r="C196" s="15" t="str">
        <x:v>L2</x:v>
      </x:c>
      <x:c r="D196" s="15" t="str">
        <x:v>NRC-C</x:v>
      </x:c>
      <x:c r="E196" s="15" t="str">
        <x:v>COHERENT</x:v>
      </x:c>
      <x:c r="F196" s="15" t="str">
        <x:v>T8</x:v>
      </x:c>
      <x:c r="G196" s="15" t="str">
        <x:v>Outside only</x:v>
      </x:c>
      <x:c r="H196" s="15" t="n">
        <x:v>500</x:v>
      </x:c>
      <x:c r="I196" s="15" t="n">
        <x:v>48</x:v>
      </x:c>
      <x:c r="J196" s="15" t="n">
        <x:v>25</x:v>
      </x:c>
      <x:c r="K196" s="15" t="str">
        <x:v>External reconstruction</x:v>
      </x:c>
      <x:c r="L196" s="15" t="str">
        <x:v>OPEN</x:v>
      </x:c>
    </x:row>
    <x:row r="197">
      <x:c r="A197" s="14" t="str">
        <x:v>CT-193</x:v>
      </x:c>
      <x:c r="B197" s="14" t="str">
        <x:v>SPS-48</x:v>
      </x:c>
      <x:c r="C197" s="14" t="str">
        <x:v>L1</x:v>
      </x:c>
      <x:c r="D197" s="14" t="str">
        <x:v>NRC-A</x:v>
      </x:c>
      <x:c r="E197" s="14" t="str">
        <x:v>DISPERSED</x:v>
      </x:c>
      <x:c r="F197" s="14" t="str">
        <x:v>T1</x:v>
      </x:c>
      <x:c r="G197" s="14" t="str">
        <x:v>Sealed zero</x:v>
      </x:c>
      <x:c r="H197" s="14" t="n">
        <x:v>0</x:v>
      </x:c>
      <x:c r="I197" s="14" t="n">
        <x:v>0</x:v>
      </x:c>
      <x:c r="J197" s="14" t="n">
        <x:v>25</x:v>
      </x:c>
      <x:c r="K197" s="14" t="str">
        <x:v>Native state, leakage and command isolation</x:v>
      </x:c>
      <x:c r="L197" s="14" t="str">
        <x:v>OPEN</x:v>
      </x:c>
    </x:row>
    <x:row r="198">
      <x:c r="A198" s="15" t="str">
        <x:v>CT-194</x:v>
      </x:c>
      <x:c r="B198" s="15" t="str">
        <x:v>SPS-48</x:v>
      </x:c>
      <x:c r="C198" s="15" t="str">
        <x:v>L1</x:v>
      </x:c>
      <x:c r="D198" s="15" t="str">
        <x:v>NRC-A</x:v>
      </x:c>
      <x:c r="E198" s="15" t="str">
        <x:v>DISPERSED</x:v>
      </x:c>
      <x:c r="F198" s="15" t="str">
        <x:v>T2</x:v>
      </x:c>
      <x:c r="G198" s="15" t="str">
        <x:v>ER-09 anchor</x:v>
      </x:c>
      <x:c r="H198" s="15" t="n">
        <x:v>500</x:v>
      </x:c>
      <x:c r="I198" s="15" t="n">
        <x:v>24</x:v>
      </x:c>
      <x:c r="J198" s="15" t="n">
        <x:v>6.25</x:v>
      </x:c>
      <x:c r="K198" s="15" t="str">
        <x:v>Parent transfer</x:v>
      </x:c>
      <x:c r="L198" s="15" t="str">
        <x:v>OPEN</x:v>
      </x:c>
    </x:row>
    <x:row r="199">
      <x:c r="A199" s="14" t="str">
        <x:v>CT-195</x:v>
      </x:c>
      <x:c r="B199" s="14" t="str">
        <x:v>SPS-48</x:v>
      </x:c>
      <x:c r="C199" s="14" t="str">
        <x:v>L1</x:v>
      </x:c>
      <x:c r="D199" s="14" t="str">
        <x:v>NRC-A</x:v>
      </x:c>
      <x:c r="E199" s="14" t="str">
        <x:v>DISPERSED</x:v>
      </x:c>
      <x:c r="F199" s="14" t="str">
        <x:v>T3</x:v>
      </x:c>
      <x:c r="G199" s="14" t="str">
        <x:v>Area expansion dry</x:v>
      </x:c>
      <x:c r="H199" s="14" t="n">
        <x:v>500</x:v>
      </x:c>
      <x:c r="I199" s="14" t="n">
        <x:v>0</x:v>
      </x:c>
      <x:c r="J199" s="14" t="n">
        <x:v>25</x:v>
      </x:c>
      <x:c r="K199" s="14" t="str">
        <x:v>Topology and boundary transition</x:v>
      </x:c>
      <x:c r="L199" s="14" t="str">
        <x:v>OPEN</x:v>
      </x:c>
    </x:row>
    <x:row r="200">
      <x:c r="A200" s="15" t="str">
        <x:v>CT-196</x:v>
      </x:c>
      <x:c r="B200" s="15" t="str">
        <x:v>SPS-48</x:v>
      </x:c>
      <x:c r="C200" s="15" t="str">
        <x:v>L1</x:v>
      </x:c>
      <x:c r="D200" s="15" t="str">
        <x:v>NRC-A</x:v>
      </x:c>
      <x:c r="E200" s="15" t="str">
        <x:v>DISPERSED</x:v>
      </x:c>
      <x:c r="F200" s="15" t="str">
        <x:v>T4</x:v>
      </x:c>
      <x:c r="G200" s="15" t="str">
        <x:v>Area expansion wet</x:v>
      </x:c>
      <x:c r="H200" s="15" t="n">
        <x:v>500</x:v>
      </x:c>
      <x:c r="I200" s="15" t="n">
        <x:v>24</x:v>
      </x:c>
      <x:c r="J200" s="15" t="n">
        <x:v>25</x:v>
      </x:c>
      <x:c r="K200" s="15" t="str">
        <x:v>Half-water contact</x:v>
      </x:c>
      <x:c r="L200" s="15" t="str">
        <x:v>OPEN</x:v>
      </x:c>
    </x:row>
    <x:row r="201">
      <x:c r="A201" s="14" t="str">
        <x:v>CT-197</x:v>
      </x:c>
      <x:c r="B201" s="14" t="str">
        <x:v>SPS-48</x:v>
      </x:c>
      <x:c r="C201" s="14" t="str">
        <x:v>L1</x:v>
      </x:c>
      <x:c r="D201" s="14" t="str">
        <x:v>NRC-A</x:v>
      </x:c>
      <x:c r="E201" s="14" t="str">
        <x:v>DISPERSED</x:v>
      </x:c>
      <x:c r="F201" s="14" t="str">
        <x:v>T5</x:v>
      </x:c>
      <x:c r="G201" s="14" t="str">
        <x:v>Exact hydraulic</x:v>
      </x:c>
      <x:c r="H201" s="14" t="n">
        <x:v>500</x:v>
      </x:c>
      <x:c r="I201" s="14" t="n">
        <x:v>48</x:v>
      </x:c>
      <x:c r="J201" s="14" t="n">
        <x:v>25</x:v>
      </x:c>
      <x:c r="K201" s="14" t="str">
        <x:v>Complete issue and recovery</x:v>
      </x:c>
      <x:c r="L201" s="14" t="str">
        <x:v>OPEN</x:v>
      </x:c>
    </x:row>
    <x:row r="202">
      <x:c r="A202" s="15" t="str">
        <x:v>CT-198</x:v>
      </x:c>
      <x:c r="B202" s="15" t="str">
        <x:v>SPS-48</x:v>
      </x:c>
      <x:c r="C202" s="15" t="str">
        <x:v>L1</x:v>
      </x:c>
      <x:c r="D202" s="15" t="str">
        <x:v>NRC-A</x:v>
      </x:c>
      <x:c r="E202" s="15" t="str">
        <x:v>DISPERSED</x:v>
      </x:c>
      <x:c r="F202" s="15" t="str">
        <x:v>T6</x:v>
      </x:c>
      <x:c r="G202" s="15" t="str">
        <x:v>Independent service</x:v>
      </x:c>
      <x:c r="H202" s="15" t="n">
        <x:v>500</x:v>
      </x:c>
      <x:c r="I202" s="15" t="n">
        <x:v>48</x:v>
      </x:c>
      <x:c r="J202" s="15" t="n">
        <x:v>25</x:v>
      </x:c>
      <x:c r="K202" s="15" t="str">
        <x:v>No host energy, network or time</x:v>
      </x:c>
      <x:c r="L202" s="15" t="str">
        <x:v>OPEN</x:v>
      </x:c>
    </x:row>
    <x:row r="203">
      <x:c r="A203" s="14" t="str">
        <x:v>CT-199</x:v>
      </x:c>
      <x:c r="B203" s="14" t="str">
        <x:v>SPS-48</x:v>
      </x:c>
      <x:c r="C203" s="14" t="str">
        <x:v>L1</x:v>
      </x:c>
      <x:c r="D203" s="14" t="str">
        <x:v>NRC-A</x:v>
      </x:c>
      <x:c r="E203" s="14" t="str">
        <x:v>DISPERSED</x:v>
      </x:c>
      <x:c r="F203" s="14" t="str">
        <x:v>T7</x:v>
      </x:c>
      <x:c r="G203" s="14" t="str">
        <x:v>Receiver denial</x:v>
      </x:c>
      <x:c r="H203" s="14" t="n">
        <x:v>500</x:v>
      </x:c>
      <x:c r="I203" s="14" t="n">
        <x:v>48</x:v>
      </x:c>
      <x:c r="J203" s="14" t="n">
        <x:v>25</x:v>
      </x:c>
      <x:c r="K203" s="14" t="str">
        <x:v>Diversion and terminal custody</x:v>
      </x:c>
      <x:c r="L203" s="14" t="str">
        <x:v>OPEN</x:v>
      </x:c>
    </x:row>
    <x:row r="204">
      <x:c r="A204" s="15" t="str">
        <x:v>CT-200</x:v>
      </x:c>
      <x:c r="B204" s="15" t="str">
        <x:v>SPS-48</x:v>
      </x:c>
      <x:c r="C204" s="15" t="str">
        <x:v>L1</x:v>
      </x:c>
      <x:c r="D204" s="15" t="str">
        <x:v>NRC-A</x:v>
      </x:c>
      <x:c r="E204" s="15" t="str">
        <x:v>DISPERSED</x:v>
      </x:c>
      <x:c r="F204" s="15" t="str">
        <x:v>T8</x:v>
      </x:c>
      <x:c r="G204" s="15" t="str">
        <x:v>Outside only</x:v>
      </x:c>
      <x:c r="H204" s="15" t="n">
        <x:v>500</x:v>
      </x:c>
      <x:c r="I204" s="15" t="n">
        <x:v>48</x:v>
      </x:c>
      <x:c r="J204" s="15" t="n">
        <x:v>25</x:v>
      </x:c>
      <x:c r="K204" s="15" t="str">
        <x:v>External reconstruction</x:v>
      </x:c>
      <x:c r="L204" s="15" t="str">
        <x:v>OPEN</x:v>
      </x:c>
    </x:row>
    <x:row r="205">
      <x:c r="A205" s="14" t="str">
        <x:v>CT-201</x:v>
      </x:c>
      <x:c r="B205" s="14" t="str">
        <x:v>SPS-48</x:v>
      </x:c>
      <x:c r="C205" s="14" t="str">
        <x:v>L1</x:v>
      </x:c>
      <x:c r="D205" s="14" t="str">
        <x:v>NRC-A</x:v>
      </x:c>
      <x:c r="E205" s="14" t="str">
        <x:v>COHERENT</x:v>
      </x:c>
      <x:c r="F205" s="14" t="str">
        <x:v>T1</x:v>
      </x:c>
      <x:c r="G205" s="14" t="str">
        <x:v>Sealed zero</x:v>
      </x:c>
      <x:c r="H205" s="14" t="n">
        <x:v>0</x:v>
      </x:c>
      <x:c r="I205" s="14" t="n">
        <x:v>0</x:v>
      </x:c>
      <x:c r="J205" s="14" t="n">
        <x:v>25</x:v>
      </x:c>
      <x:c r="K205" s="14" t="str">
        <x:v>Native state, leakage and command isolation</x:v>
      </x:c>
      <x:c r="L205" s="14" t="str">
        <x:v>OPEN</x:v>
      </x:c>
    </x:row>
    <x:row r="206">
      <x:c r="A206" s="15" t="str">
        <x:v>CT-202</x:v>
      </x:c>
      <x:c r="B206" s="15" t="str">
        <x:v>SPS-48</x:v>
      </x:c>
      <x:c r="C206" s="15" t="str">
        <x:v>L1</x:v>
      </x:c>
      <x:c r="D206" s="15" t="str">
        <x:v>NRC-A</x:v>
      </x:c>
      <x:c r="E206" s="15" t="str">
        <x:v>COHERENT</x:v>
      </x:c>
      <x:c r="F206" s="15" t="str">
        <x:v>T2</x:v>
      </x:c>
      <x:c r="G206" s="15" t="str">
        <x:v>ER-09 anchor</x:v>
      </x:c>
      <x:c r="H206" s="15" t="n">
        <x:v>500</x:v>
      </x:c>
      <x:c r="I206" s="15" t="n">
        <x:v>24</x:v>
      </x:c>
      <x:c r="J206" s="15" t="n">
        <x:v>6.25</x:v>
      </x:c>
      <x:c r="K206" s="15" t="str">
        <x:v>Parent transfer</x:v>
      </x:c>
      <x:c r="L206" s="15" t="str">
        <x:v>OPEN</x:v>
      </x:c>
    </x:row>
    <x:row r="207">
      <x:c r="A207" s="14" t="str">
        <x:v>CT-203</x:v>
      </x:c>
      <x:c r="B207" s="14" t="str">
        <x:v>SPS-48</x:v>
      </x:c>
      <x:c r="C207" s="14" t="str">
        <x:v>L1</x:v>
      </x:c>
      <x:c r="D207" s="14" t="str">
        <x:v>NRC-A</x:v>
      </x:c>
      <x:c r="E207" s="14" t="str">
        <x:v>COHERENT</x:v>
      </x:c>
      <x:c r="F207" s="14" t="str">
        <x:v>T3</x:v>
      </x:c>
      <x:c r="G207" s="14" t="str">
        <x:v>Area expansion dry</x:v>
      </x:c>
      <x:c r="H207" s="14" t="n">
        <x:v>500</x:v>
      </x:c>
      <x:c r="I207" s="14" t="n">
        <x:v>0</x:v>
      </x:c>
      <x:c r="J207" s="14" t="n">
        <x:v>25</x:v>
      </x:c>
      <x:c r="K207" s="14" t="str">
        <x:v>Topology and boundary transition</x:v>
      </x:c>
      <x:c r="L207" s="14" t="str">
        <x:v>OPEN</x:v>
      </x:c>
    </x:row>
    <x:row r="208">
      <x:c r="A208" s="15" t="str">
        <x:v>CT-204</x:v>
      </x:c>
      <x:c r="B208" s="15" t="str">
        <x:v>SPS-48</x:v>
      </x:c>
      <x:c r="C208" s="15" t="str">
        <x:v>L1</x:v>
      </x:c>
      <x:c r="D208" s="15" t="str">
        <x:v>NRC-A</x:v>
      </x:c>
      <x:c r="E208" s="15" t="str">
        <x:v>COHERENT</x:v>
      </x:c>
      <x:c r="F208" s="15" t="str">
        <x:v>T4</x:v>
      </x:c>
      <x:c r="G208" s="15" t="str">
        <x:v>Area expansion wet</x:v>
      </x:c>
      <x:c r="H208" s="15" t="n">
        <x:v>500</x:v>
      </x:c>
      <x:c r="I208" s="15" t="n">
        <x:v>24</x:v>
      </x:c>
      <x:c r="J208" s="15" t="n">
        <x:v>25</x:v>
      </x:c>
      <x:c r="K208" s="15" t="str">
        <x:v>Half-water contact</x:v>
      </x:c>
      <x:c r="L208" s="15" t="str">
        <x:v>OPEN</x:v>
      </x:c>
    </x:row>
    <x:row r="209">
      <x:c r="A209" s="14" t="str">
        <x:v>CT-205</x:v>
      </x:c>
      <x:c r="B209" s="14" t="str">
        <x:v>SPS-48</x:v>
      </x:c>
      <x:c r="C209" s="14" t="str">
        <x:v>L1</x:v>
      </x:c>
      <x:c r="D209" s="14" t="str">
        <x:v>NRC-A</x:v>
      </x:c>
      <x:c r="E209" s="14" t="str">
        <x:v>COHERENT</x:v>
      </x:c>
      <x:c r="F209" s="14" t="str">
        <x:v>T5</x:v>
      </x:c>
      <x:c r="G209" s="14" t="str">
        <x:v>Exact hydraulic</x:v>
      </x:c>
      <x:c r="H209" s="14" t="n">
        <x:v>500</x:v>
      </x:c>
      <x:c r="I209" s="14" t="n">
        <x:v>48</x:v>
      </x:c>
      <x:c r="J209" s="14" t="n">
        <x:v>25</x:v>
      </x:c>
      <x:c r="K209" s="14" t="str">
        <x:v>Complete issue and recovery</x:v>
      </x:c>
      <x:c r="L209" s="14" t="str">
        <x:v>OPEN</x:v>
      </x:c>
    </x:row>
    <x:row r="210">
      <x:c r="A210" s="15" t="str">
        <x:v>CT-206</x:v>
      </x:c>
      <x:c r="B210" s="15" t="str">
        <x:v>SPS-48</x:v>
      </x:c>
      <x:c r="C210" s="15" t="str">
        <x:v>L1</x:v>
      </x:c>
      <x:c r="D210" s="15" t="str">
        <x:v>NRC-A</x:v>
      </x:c>
      <x:c r="E210" s="15" t="str">
        <x:v>COHERENT</x:v>
      </x:c>
      <x:c r="F210" s="15" t="str">
        <x:v>T6</x:v>
      </x:c>
      <x:c r="G210" s="15" t="str">
        <x:v>Independent service</x:v>
      </x:c>
      <x:c r="H210" s="15" t="n">
        <x:v>500</x:v>
      </x:c>
      <x:c r="I210" s="15" t="n">
        <x:v>48</x:v>
      </x:c>
      <x:c r="J210" s="15" t="n">
        <x:v>25</x:v>
      </x:c>
      <x:c r="K210" s="15" t="str">
        <x:v>No host energy, network or time</x:v>
      </x:c>
      <x:c r="L210" s="15" t="str">
        <x:v>OPEN</x:v>
      </x:c>
    </x:row>
    <x:row r="211">
      <x:c r="A211" s="14" t="str">
        <x:v>CT-207</x:v>
      </x:c>
      <x:c r="B211" s="14" t="str">
        <x:v>SPS-48</x:v>
      </x:c>
      <x:c r="C211" s="14" t="str">
        <x:v>L1</x:v>
      </x:c>
      <x:c r="D211" s="14" t="str">
        <x:v>NRC-A</x:v>
      </x:c>
      <x:c r="E211" s="14" t="str">
        <x:v>COHERENT</x:v>
      </x:c>
      <x:c r="F211" s="14" t="str">
        <x:v>T7</x:v>
      </x:c>
      <x:c r="G211" s="14" t="str">
        <x:v>Receiver denial</x:v>
      </x:c>
      <x:c r="H211" s="14" t="n">
        <x:v>500</x:v>
      </x:c>
      <x:c r="I211" s="14" t="n">
        <x:v>48</x:v>
      </x:c>
      <x:c r="J211" s="14" t="n">
        <x:v>25</x:v>
      </x:c>
      <x:c r="K211" s="14" t="str">
        <x:v>Diversion and terminal custody</x:v>
      </x:c>
      <x:c r="L211" s="14" t="str">
        <x:v>OPEN</x:v>
      </x:c>
    </x:row>
    <x:row r="212">
      <x:c r="A212" s="15" t="str">
        <x:v>CT-208</x:v>
      </x:c>
      <x:c r="B212" s="15" t="str">
        <x:v>SPS-48</x:v>
      </x:c>
      <x:c r="C212" s="15" t="str">
        <x:v>L1</x:v>
      </x:c>
      <x:c r="D212" s="15" t="str">
        <x:v>NRC-A</x:v>
      </x:c>
      <x:c r="E212" s="15" t="str">
        <x:v>COHERENT</x:v>
      </x:c>
      <x:c r="F212" s="15" t="str">
        <x:v>T8</x:v>
      </x:c>
      <x:c r="G212" s="15" t="str">
        <x:v>Outside only</x:v>
      </x:c>
      <x:c r="H212" s="15" t="n">
        <x:v>500</x:v>
      </x:c>
      <x:c r="I212" s="15" t="n">
        <x:v>48</x:v>
      </x:c>
      <x:c r="J212" s="15" t="n">
        <x:v>25</x:v>
      </x:c>
      <x:c r="K212" s="15" t="str">
        <x:v>External reconstruction</x:v>
      </x:c>
      <x:c r="L212" s="15" t="str">
        <x:v>OPEN</x:v>
      </x:c>
    </x:row>
    <x:row r="213">
      <x:c r="A213" s="14" t="str">
        <x:v>CT-209</x:v>
      </x:c>
      <x:c r="B213" s="14" t="str">
        <x:v>SPS-48</x:v>
      </x:c>
      <x:c r="C213" s="14" t="str">
        <x:v>L1</x:v>
      </x:c>
      <x:c r="D213" s="14" t="str">
        <x:v>NRC-B</x:v>
      </x:c>
      <x:c r="E213" s="14" t="str">
        <x:v>DISPERSED</x:v>
      </x:c>
      <x:c r="F213" s="14" t="str">
        <x:v>T1</x:v>
      </x:c>
      <x:c r="G213" s="14" t="str">
        <x:v>Sealed zero</x:v>
      </x:c>
      <x:c r="H213" s="14" t="n">
        <x:v>0</x:v>
      </x:c>
      <x:c r="I213" s="14" t="n">
        <x:v>0</x:v>
      </x:c>
      <x:c r="J213" s="14" t="n">
        <x:v>25</x:v>
      </x:c>
      <x:c r="K213" s="14" t="str">
        <x:v>Native state, leakage and command isolation</x:v>
      </x:c>
      <x:c r="L213" s="14" t="str">
        <x:v>OPEN</x:v>
      </x:c>
    </x:row>
    <x:row r="214">
      <x:c r="A214" s="15" t="str">
        <x:v>CT-210</x:v>
      </x:c>
      <x:c r="B214" s="15" t="str">
        <x:v>SPS-48</x:v>
      </x:c>
      <x:c r="C214" s="15" t="str">
        <x:v>L1</x:v>
      </x:c>
      <x:c r="D214" s="15" t="str">
        <x:v>NRC-B</x:v>
      </x:c>
      <x:c r="E214" s="15" t="str">
        <x:v>DISPERSED</x:v>
      </x:c>
      <x:c r="F214" s="15" t="str">
        <x:v>T2</x:v>
      </x:c>
      <x:c r="G214" s="15" t="str">
        <x:v>ER-09 anchor</x:v>
      </x:c>
      <x:c r="H214" s="15" t="n">
        <x:v>500</x:v>
      </x:c>
      <x:c r="I214" s="15" t="n">
        <x:v>24</x:v>
      </x:c>
      <x:c r="J214" s="15" t="n">
        <x:v>6.25</x:v>
      </x:c>
      <x:c r="K214" s="15" t="str">
        <x:v>Parent transfer</x:v>
      </x:c>
      <x:c r="L214" s="15" t="str">
        <x:v>OPEN</x:v>
      </x:c>
    </x:row>
    <x:row r="215">
      <x:c r="A215" s="14" t="str">
        <x:v>CT-211</x:v>
      </x:c>
      <x:c r="B215" s="14" t="str">
        <x:v>SPS-48</x:v>
      </x:c>
      <x:c r="C215" s="14" t="str">
        <x:v>L1</x:v>
      </x:c>
      <x:c r="D215" s="14" t="str">
        <x:v>NRC-B</x:v>
      </x:c>
      <x:c r="E215" s="14" t="str">
        <x:v>DISPERSED</x:v>
      </x:c>
      <x:c r="F215" s="14" t="str">
        <x:v>T3</x:v>
      </x:c>
      <x:c r="G215" s="14" t="str">
        <x:v>Area expansion dry</x:v>
      </x:c>
      <x:c r="H215" s="14" t="n">
        <x:v>500</x:v>
      </x:c>
      <x:c r="I215" s="14" t="n">
        <x:v>0</x:v>
      </x:c>
      <x:c r="J215" s="14" t="n">
        <x:v>25</x:v>
      </x:c>
      <x:c r="K215" s="14" t="str">
        <x:v>Topology and boundary transition</x:v>
      </x:c>
      <x:c r="L215" s="14" t="str">
        <x:v>OPEN</x:v>
      </x:c>
    </x:row>
    <x:row r="216">
      <x:c r="A216" s="15" t="str">
        <x:v>CT-212</x:v>
      </x:c>
      <x:c r="B216" s="15" t="str">
        <x:v>SPS-48</x:v>
      </x:c>
      <x:c r="C216" s="15" t="str">
        <x:v>L1</x:v>
      </x:c>
      <x:c r="D216" s="15" t="str">
        <x:v>NRC-B</x:v>
      </x:c>
      <x:c r="E216" s="15" t="str">
        <x:v>DISPERSED</x:v>
      </x:c>
      <x:c r="F216" s="15" t="str">
        <x:v>T4</x:v>
      </x:c>
      <x:c r="G216" s="15" t="str">
        <x:v>Area expansion wet</x:v>
      </x:c>
      <x:c r="H216" s="15" t="n">
        <x:v>500</x:v>
      </x:c>
      <x:c r="I216" s="15" t="n">
        <x:v>24</x:v>
      </x:c>
      <x:c r="J216" s="15" t="n">
        <x:v>25</x:v>
      </x:c>
      <x:c r="K216" s="15" t="str">
        <x:v>Half-water contact</x:v>
      </x:c>
      <x:c r="L216" s="15" t="str">
        <x:v>OPEN</x:v>
      </x:c>
    </x:row>
    <x:row r="217">
      <x:c r="A217" s="14" t="str">
        <x:v>CT-213</x:v>
      </x:c>
      <x:c r="B217" s="14" t="str">
        <x:v>SPS-48</x:v>
      </x:c>
      <x:c r="C217" s="14" t="str">
        <x:v>L1</x:v>
      </x:c>
      <x:c r="D217" s="14" t="str">
        <x:v>NRC-B</x:v>
      </x:c>
      <x:c r="E217" s="14" t="str">
        <x:v>DISPERSED</x:v>
      </x:c>
      <x:c r="F217" s="14" t="str">
        <x:v>T5</x:v>
      </x:c>
      <x:c r="G217" s="14" t="str">
        <x:v>Exact hydraulic</x:v>
      </x:c>
      <x:c r="H217" s="14" t="n">
        <x:v>500</x:v>
      </x:c>
      <x:c r="I217" s="14" t="n">
        <x:v>48</x:v>
      </x:c>
      <x:c r="J217" s="14" t="n">
        <x:v>25</x:v>
      </x:c>
      <x:c r="K217" s="14" t="str">
        <x:v>Complete issue and recovery</x:v>
      </x:c>
      <x:c r="L217" s="14" t="str">
        <x:v>OPEN</x:v>
      </x:c>
    </x:row>
    <x:row r="218">
      <x:c r="A218" s="15" t="str">
        <x:v>CT-214</x:v>
      </x:c>
      <x:c r="B218" s="15" t="str">
        <x:v>SPS-48</x:v>
      </x:c>
      <x:c r="C218" s="15" t="str">
        <x:v>L1</x:v>
      </x:c>
      <x:c r="D218" s="15" t="str">
        <x:v>NRC-B</x:v>
      </x:c>
      <x:c r="E218" s="15" t="str">
        <x:v>DISPERSED</x:v>
      </x:c>
      <x:c r="F218" s="15" t="str">
        <x:v>T6</x:v>
      </x:c>
      <x:c r="G218" s="15" t="str">
        <x:v>Independent service</x:v>
      </x:c>
      <x:c r="H218" s="15" t="n">
        <x:v>500</x:v>
      </x:c>
      <x:c r="I218" s="15" t="n">
        <x:v>48</x:v>
      </x:c>
      <x:c r="J218" s="15" t="n">
        <x:v>25</x:v>
      </x:c>
      <x:c r="K218" s="15" t="str">
        <x:v>No host energy, network or time</x:v>
      </x:c>
      <x:c r="L218" s="15" t="str">
        <x:v>OPEN</x:v>
      </x:c>
    </x:row>
    <x:row r="219">
      <x:c r="A219" s="14" t="str">
        <x:v>CT-215</x:v>
      </x:c>
      <x:c r="B219" s="14" t="str">
        <x:v>SPS-48</x:v>
      </x:c>
      <x:c r="C219" s="14" t="str">
        <x:v>L1</x:v>
      </x:c>
      <x:c r="D219" s="14" t="str">
        <x:v>NRC-B</x:v>
      </x:c>
      <x:c r="E219" s="14" t="str">
        <x:v>DISPERSED</x:v>
      </x:c>
      <x:c r="F219" s="14" t="str">
        <x:v>T7</x:v>
      </x:c>
      <x:c r="G219" s="14" t="str">
        <x:v>Receiver denial</x:v>
      </x:c>
      <x:c r="H219" s="14" t="n">
        <x:v>500</x:v>
      </x:c>
      <x:c r="I219" s="14" t="n">
        <x:v>48</x:v>
      </x:c>
      <x:c r="J219" s="14" t="n">
        <x:v>25</x:v>
      </x:c>
      <x:c r="K219" s="14" t="str">
        <x:v>Diversion and terminal custody</x:v>
      </x:c>
      <x:c r="L219" s="14" t="str">
        <x:v>OPEN</x:v>
      </x:c>
    </x:row>
    <x:row r="220">
      <x:c r="A220" s="15" t="str">
        <x:v>CT-216</x:v>
      </x:c>
      <x:c r="B220" s="15" t="str">
        <x:v>SPS-48</x:v>
      </x:c>
      <x:c r="C220" s="15" t="str">
        <x:v>L1</x:v>
      </x:c>
      <x:c r="D220" s="15" t="str">
        <x:v>NRC-B</x:v>
      </x:c>
      <x:c r="E220" s="15" t="str">
        <x:v>DISPERSED</x:v>
      </x:c>
      <x:c r="F220" s="15" t="str">
        <x:v>T8</x:v>
      </x:c>
      <x:c r="G220" s="15" t="str">
        <x:v>Outside only</x:v>
      </x:c>
      <x:c r="H220" s="15" t="n">
        <x:v>500</x:v>
      </x:c>
      <x:c r="I220" s="15" t="n">
        <x:v>48</x:v>
      </x:c>
      <x:c r="J220" s="15" t="n">
        <x:v>25</x:v>
      </x:c>
      <x:c r="K220" s="15" t="str">
        <x:v>External reconstruction</x:v>
      </x:c>
      <x:c r="L220" s="15" t="str">
        <x:v>OPEN</x:v>
      </x:c>
    </x:row>
    <x:row r="221">
      <x:c r="A221" s="14" t="str">
        <x:v>CT-217</x:v>
      </x:c>
      <x:c r="B221" s="14" t="str">
        <x:v>SPS-48</x:v>
      </x:c>
      <x:c r="C221" s="14" t="str">
        <x:v>L1</x:v>
      </x:c>
      <x:c r="D221" s="14" t="str">
        <x:v>NRC-B</x:v>
      </x:c>
      <x:c r="E221" s="14" t="str">
        <x:v>COHERENT</x:v>
      </x:c>
      <x:c r="F221" s="14" t="str">
        <x:v>T1</x:v>
      </x:c>
      <x:c r="G221" s="14" t="str">
        <x:v>Sealed zero</x:v>
      </x:c>
      <x:c r="H221" s="14" t="n">
        <x:v>0</x:v>
      </x:c>
      <x:c r="I221" s="14" t="n">
        <x:v>0</x:v>
      </x:c>
      <x:c r="J221" s="14" t="n">
        <x:v>25</x:v>
      </x:c>
      <x:c r="K221" s="14" t="str">
        <x:v>Native state, leakage and command isolation</x:v>
      </x:c>
      <x:c r="L221" s="14" t="str">
        <x:v>OPEN</x:v>
      </x:c>
    </x:row>
    <x:row r="222">
      <x:c r="A222" s="15" t="str">
        <x:v>CT-218</x:v>
      </x:c>
      <x:c r="B222" s="15" t="str">
        <x:v>SPS-48</x:v>
      </x:c>
      <x:c r="C222" s="15" t="str">
        <x:v>L1</x:v>
      </x:c>
      <x:c r="D222" s="15" t="str">
        <x:v>NRC-B</x:v>
      </x:c>
      <x:c r="E222" s="15" t="str">
        <x:v>COHERENT</x:v>
      </x:c>
      <x:c r="F222" s="15" t="str">
        <x:v>T2</x:v>
      </x:c>
      <x:c r="G222" s="15" t="str">
        <x:v>ER-09 anchor</x:v>
      </x:c>
      <x:c r="H222" s="15" t="n">
        <x:v>500</x:v>
      </x:c>
      <x:c r="I222" s="15" t="n">
        <x:v>24</x:v>
      </x:c>
      <x:c r="J222" s="15" t="n">
        <x:v>6.25</x:v>
      </x:c>
      <x:c r="K222" s="15" t="str">
        <x:v>Parent transfer</x:v>
      </x:c>
      <x:c r="L222" s="15" t="str">
        <x:v>OPEN</x:v>
      </x:c>
    </x:row>
    <x:row r="223">
      <x:c r="A223" s="14" t="str">
        <x:v>CT-219</x:v>
      </x:c>
      <x:c r="B223" s="14" t="str">
        <x:v>SPS-48</x:v>
      </x:c>
      <x:c r="C223" s="14" t="str">
        <x:v>L1</x:v>
      </x:c>
      <x:c r="D223" s="14" t="str">
        <x:v>NRC-B</x:v>
      </x:c>
      <x:c r="E223" s="14" t="str">
        <x:v>COHERENT</x:v>
      </x:c>
      <x:c r="F223" s="14" t="str">
        <x:v>T3</x:v>
      </x:c>
      <x:c r="G223" s="14" t="str">
        <x:v>Area expansion dry</x:v>
      </x:c>
      <x:c r="H223" s="14" t="n">
        <x:v>500</x:v>
      </x:c>
      <x:c r="I223" s="14" t="n">
        <x:v>0</x:v>
      </x:c>
      <x:c r="J223" s="14" t="n">
        <x:v>25</x:v>
      </x:c>
      <x:c r="K223" s="14" t="str">
        <x:v>Topology and boundary transition</x:v>
      </x:c>
      <x:c r="L223" s="14" t="str">
        <x:v>OPEN</x:v>
      </x:c>
    </x:row>
    <x:row r="224">
      <x:c r="A224" s="15" t="str">
        <x:v>CT-220</x:v>
      </x:c>
      <x:c r="B224" s="15" t="str">
        <x:v>SPS-48</x:v>
      </x:c>
      <x:c r="C224" s="15" t="str">
        <x:v>L1</x:v>
      </x:c>
      <x:c r="D224" s="15" t="str">
        <x:v>NRC-B</x:v>
      </x:c>
      <x:c r="E224" s="15" t="str">
        <x:v>COHERENT</x:v>
      </x:c>
      <x:c r="F224" s="15" t="str">
        <x:v>T4</x:v>
      </x:c>
      <x:c r="G224" s="15" t="str">
        <x:v>Area expansion wet</x:v>
      </x:c>
      <x:c r="H224" s="15" t="n">
        <x:v>500</x:v>
      </x:c>
      <x:c r="I224" s="15" t="n">
        <x:v>24</x:v>
      </x:c>
      <x:c r="J224" s="15" t="n">
        <x:v>25</x:v>
      </x:c>
      <x:c r="K224" s="15" t="str">
        <x:v>Half-water contact</x:v>
      </x:c>
      <x:c r="L224" s="15" t="str">
        <x:v>OPEN</x:v>
      </x:c>
    </x:row>
    <x:row r="225">
      <x:c r="A225" s="14" t="str">
        <x:v>CT-221</x:v>
      </x:c>
      <x:c r="B225" s="14" t="str">
        <x:v>SPS-48</x:v>
      </x:c>
      <x:c r="C225" s="14" t="str">
        <x:v>L1</x:v>
      </x:c>
      <x:c r="D225" s="14" t="str">
        <x:v>NRC-B</x:v>
      </x:c>
      <x:c r="E225" s="14" t="str">
        <x:v>COHERENT</x:v>
      </x:c>
      <x:c r="F225" s="14" t="str">
        <x:v>T5</x:v>
      </x:c>
      <x:c r="G225" s="14" t="str">
        <x:v>Exact hydraulic</x:v>
      </x:c>
      <x:c r="H225" s="14" t="n">
        <x:v>500</x:v>
      </x:c>
      <x:c r="I225" s="14" t="n">
        <x:v>48</x:v>
      </x:c>
      <x:c r="J225" s="14" t="n">
        <x:v>25</x:v>
      </x:c>
      <x:c r="K225" s="14" t="str">
        <x:v>Complete issue and recovery</x:v>
      </x:c>
      <x:c r="L225" s="14" t="str">
        <x:v>OPEN</x:v>
      </x:c>
    </x:row>
    <x:row r="226">
      <x:c r="A226" s="15" t="str">
        <x:v>CT-222</x:v>
      </x:c>
      <x:c r="B226" s="15" t="str">
        <x:v>SPS-48</x:v>
      </x:c>
      <x:c r="C226" s="15" t="str">
        <x:v>L1</x:v>
      </x:c>
      <x:c r="D226" s="15" t="str">
        <x:v>NRC-B</x:v>
      </x:c>
      <x:c r="E226" s="15" t="str">
        <x:v>COHERENT</x:v>
      </x:c>
      <x:c r="F226" s="15" t="str">
        <x:v>T6</x:v>
      </x:c>
      <x:c r="G226" s="15" t="str">
        <x:v>Independent service</x:v>
      </x:c>
      <x:c r="H226" s="15" t="n">
        <x:v>500</x:v>
      </x:c>
      <x:c r="I226" s="15" t="n">
        <x:v>48</x:v>
      </x:c>
      <x:c r="J226" s="15" t="n">
        <x:v>25</x:v>
      </x:c>
      <x:c r="K226" s="15" t="str">
        <x:v>No host energy, network or time</x:v>
      </x:c>
      <x:c r="L226" s="15" t="str">
        <x:v>OPEN</x:v>
      </x:c>
    </x:row>
    <x:row r="227">
      <x:c r="A227" s="14" t="str">
        <x:v>CT-223</x:v>
      </x:c>
      <x:c r="B227" s="14" t="str">
        <x:v>SPS-48</x:v>
      </x:c>
      <x:c r="C227" s="14" t="str">
        <x:v>L1</x:v>
      </x:c>
      <x:c r="D227" s="14" t="str">
        <x:v>NRC-B</x:v>
      </x:c>
      <x:c r="E227" s="14" t="str">
        <x:v>COHERENT</x:v>
      </x:c>
      <x:c r="F227" s="14" t="str">
        <x:v>T7</x:v>
      </x:c>
      <x:c r="G227" s="14" t="str">
        <x:v>Receiver denial</x:v>
      </x:c>
      <x:c r="H227" s="14" t="n">
        <x:v>500</x:v>
      </x:c>
      <x:c r="I227" s="14" t="n">
        <x:v>48</x:v>
      </x:c>
      <x:c r="J227" s="14" t="n">
        <x:v>25</x:v>
      </x:c>
      <x:c r="K227" s="14" t="str">
        <x:v>Diversion and terminal custody</x:v>
      </x:c>
      <x:c r="L227" s="14" t="str">
        <x:v>OPEN</x:v>
      </x:c>
    </x:row>
    <x:row r="228">
      <x:c r="A228" s="15" t="str">
        <x:v>CT-224</x:v>
      </x:c>
      <x:c r="B228" s="15" t="str">
        <x:v>SPS-48</x:v>
      </x:c>
      <x:c r="C228" s="15" t="str">
        <x:v>L1</x:v>
      </x:c>
      <x:c r="D228" s="15" t="str">
        <x:v>NRC-B</x:v>
      </x:c>
      <x:c r="E228" s="15" t="str">
        <x:v>COHERENT</x:v>
      </x:c>
      <x:c r="F228" s="15" t="str">
        <x:v>T8</x:v>
      </x:c>
      <x:c r="G228" s="15" t="str">
        <x:v>Outside only</x:v>
      </x:c>
      <x:c r="H228" s="15" t="n">
        <x:v>500</x:v>
      </x:c>
      <x:c r="I228" s="15" t="n">
        <x:v>48</x:v>
      </x:c>
      <x:c r="J228" s="15" t="n">
        <x:v>25</x:v>
      </x:c>
      <x:c r="K228" s="15" t="str">
        <x:v>External reconstruction</x:v>
      </x:c>
      <x:c r="L228" s="15" t="str">
        <x:v>OPEN</x:v>
      </x:c>
    </x:row>
    <x:row r="229">
      <x:c r="A229" s="14" t="str">
        <x:v>CT-225</x:v>
      </x:c>
      <x:c r="B229" s="14" t="str">
        <x:v>SPS-48</x:v>
      </x:c>
      <x:c r="C229" s="14" t="str">
        <x:v>L1</x:v>
      </x:c>
      <x:c r="D229" s="14" t="str">
        <x:v>NRC-C</x:v>
      </x:c>
      <x:c r="E229" s="14" t="str">
        <x:v>DISPERSED</x:v>
      </x:c>
      <x:c r="F229" s="14" t="str">
        <x:v>T1</x:v>
      </x:c>
      <x:c r="G229" s="14" t="str">
        <x:v>Sealed zero</x:v>
      </x:c>
      <x:c r="H229" s="14" t="n">
        <x:v>0</x:v>
      </x:c>
      <x:c r="I229" s="14" t="n">
        <x:v>0</x:v>
      </x:c>
      <x:c r="J229" s="14" t="n">
        <x:v>25</x:v>
      </x:c>
      <x:c r="K229" s="14" t="str">
        <x:v>Native state, leakage and command isolation</x:v>
      </x:c>
      <x:c r="L229" s="14" t="str">
        <x:v>OPEN</x:v>
      </x:c>
    </x:row>
    <x:row r="230">
      <x:c r="A230" s="15" t="str">
        <x:v>CT-226</x:v>
      </x:c>
      <x:c r="B230" s="15" t="str">
        <x:v>SPS-48</x:v>
      </x:c>
      <x:c r="C230" s="15" t="str">
        <x:v>L1</x:v>
      </x:c>
      <x:c r="D230" s="15" t="str">
        <x:v>NRC-C</x:v>
      </x:c>
      <x:c r="E230" s="15" t="str">
        <x:v>DISPERSED</x:v>
      </x:c>
      <x:c r="F230" s="15" t="str">
        <x:v>T2</x:v>
      </x:c>
      <x:c r="G230" s="15" t="str">
        <x:v>ER-09 anchor</x:v>
      </x:c>
      <x:c r="H230" s="15" t="n">
        <x:v>500</x:v>
      </x:c>
      <x:c r="I230" s="15" t="n">
        <x:v>24</x:v>
      </x:c>
      <x:c r="J230" s="15" t="n">
        <x:v>6.25</x:v>
      </x:c>
      <x:c r="K230" s="15" t="str">
        <x:v>Parent transfer</x:v>
      </x:c>
      <x:c r="L230" s="15" t="str">
        <x:v>OPEN</x:v>
      </x:c>
    </x:row>
    <x:row r="231">
      <x:c r="A231" s="14" t="str">
        <x:v>CT-227</x:v>
      </x:c>
      <x:c r="B231" s="14" t="str">
        <x:v>SPS-48</x:v>
      </x:c>
      <x:c r="C231" s="14" t="str">
        <x:v>L1</x:v>
      </x:c>
      <x:c r="D231" s="14" t="str">
        <x:v>NRC-C</x:v>
      </x:c>
      <x:c r="E231" s="14" t="str">
        <x:v>DISPERSED</x:v>
      </x:c>
      <x:c r="F231" s="14" t="str">
        <x:v>T3</x:v>
      </x:c>
      <x:c r="G231" s="14" t="str">
        <x:v>Area expansion dry</x:v>
      </x:c>
      <x:c r="H231" s="14" t="n">
        <x:v>500</x:v>
      </x:c>
      <x:c r="I231" s="14" t="n">
        <x:v>0</x:v>
      </x:c>
      <x:c r="J231" s="14" t="n">
        <x:v>25</x:v>
      </x:c>
      <x:c r="K231" s="14" t="str">
        <x:v>Topology and boundary transition</x:v>
      </x:c>
      <x:c r="L231" s="14" t="str">
        <x:v>OPEN</x:v>
      </x:c>
    </x:row>
    <x:row r="232">
      <x:c r="A232" s="15" t="str">
        <x:v>CT-228</x:v>
      </x:c>
      <x:c r="B232" s="15" t="str">
        <x:v>SPS-48</x:v>
      </x:c>
      <x:c r="C232" s="15" t="str">
        <x:v>L1</x:v>
      </x:c>
      <x:c r="D232" s="15" t="str">
        <x:v>NRC-C</x:v>
      </x:c>
      <x:c r="E232" s="15" t="str">
        <x:v>DISPERSED</x:v>
      </x:c>
      <x:c r="F232" s="15" t="str">
        <x:v>T4</x:v>
      </x:c>
      <x:c r="G232" s="15" t="str">
        <x:v>Area expansion wet</x:v>
      </x:c>
      <x:c r="H232" s="15" t="n">
        <x:v>500</x:v>
      </x:c>
      <x:c r="I232" s="15" t="n">
        <x:v>24</x:v>
      </x:c>
      <x:c r="J232" s="15" t="n">
        <x:v>25</x:v>
      </x:c>
      <x:c r="K232" s="15" t="str">
        <x:v>Half-water contact</x:v>
      </x:c>
      <x:c r="L232" s="15" t="str">
        <x:v>OPEN</x:v>
      </x:c>
    </x:row>
    <x:row r="233">
      <x:c r="A233" s="14" t="str">
        <x:v>CT-229</x:v>
      </x:c>
      <x:c r="B233" s="14" t="str">
        <x:v>SPS-48</x:v>
      </x:c>
      <x:c r="C233" s="14" t="str">
        <x:v>L1</x:v>
      </x:c>
      <x:c r="D233" s="14" t="str">
        <x:v>NRC-C</x:v>
      </x:c>
      <x:c r="E233" s="14" t="str">
        <x:v>DISPERSED</x:v>
      </x:c>
      <x:c r="F233" s="14" t="str">
        <x:v>T5</x:v>
      </x:c>
      <x:c r="G233" s="14" t="str">
        <x:v>Exact hydraulic</x:v>
      </x:c>
      <x:c r="H233" s="14" t="n">
        <x:v>500</x:v>
      </x:c>
      <x:c r="I233" s="14" t="n">
        <x:v>48</x:v>
      </x:c>
      <x:c r="J233" s="14" t="n">
        <x:v>25</x:v>
      </x:c>
      <x:c r="K233" s="14" t="str">
        <x:v>Complete issue and recovery</x:v>
      </x:c>
      <x:c r="L233" s="14" t="str">
        <x:v>OPEN</x:v>
      </x:c>
    </x:row>
    <x:row r="234">
      <x:c r="A234" s="15" t="str">
        <x:v>CT-230</x:v>
      </x:c>
      <x:c r="B234" s="15" t="str">
        <x:v>SPS-48</x:v>
      </x:c>
      <x:c r="C234" s="15" t="str">
        <x:v>L1</x:v>
      </x:c>
      <x:c r="D234" s="15" t="str">
        <x:v>NRC-C</x:v>
      </x:c>
      <x:c r="E234" s="15" t="str">
        <x:v>DISPERSED</x:v>
      </x:c>
      <x:c r="F234" s="15" t="str">
        <x:v>T6</x:v>
      </x:c>
      <x:c r="G234" s="15" t="str">
        <x:v>Independent service</x:v>
      </x:c>
      <x:c r="H234" s="15" t="n">
        <x:v>500</x:v>
      </x:c>
      <x:c r="I234" s="15" t="n">
        <x:v>48</x:v>
      </x:c>
      <x:c r="J234" s="15" t="n">
        <x:v>25</x:v>
      </x:c>
      <x:c r="K234" s="15" t="str">
        <x:v>No host energy, network or time</x:v>
      </x:c>
      <x:c r="L234" s="15" t="str">
        <x:v>OPEN</x:v>
      </x:c>
    </x:row>
    <x:row r="235">
      <x:c r="A235" s="14" t="str">
        <x:v>CT-231</x:v>
      </x:c>
      <x:c r="B235" s="14" t="str">
        <x:v>SPS-48</x:v>
      </x:c>
      <x:c r="C235" s="14" t="str">
        <x:v>L1</x:v>
      </x:c>
      <x:c r="D235" s="14" t="str">
        <x:v>NRC-C</x:v>
      </x:c>
      <x:c r="E235" s="14" t="str">
        <x:v>DISPERSED</x:v>
      </x:c>
      <x:c r="F235" s="14" t="str">
        <x:v>T7</x:v>
      </x:c>
      <x:c r="G235" s="14" t="str">
        <x:v>Receiver denial</x:v>
      </x:c>
      <x:c r="H235" s="14" t="n">
        <x:v>500</x:v>
      </x:c>
      <x:c r="I235" s="14" t="n">
        <x:v>48</x:v>
      </x:c>
      <x:c r="J235" s="14" t="n">
        <x:v>25</x:v>
      </x:c>
      <x:c r="K235" s="14" t="str">
        <x:v>Diversion and terminal custody</x:v>
      </x:c>
      <x:c r="L235" s="14" t="str">
        <x:v>OPEN</x:v>
      </x:c>
    </x:row>
    <x:row r="236">
      <x:c r="A236" s="15" t="str">
        <x:v>CT-232</x:v>
      </x:c>
      <x:c r="B236" s="15" t="str">
        <x:v>SPS-48</x:v>
      </x:c>
      <x:c r="C236" s="15" t="str">
        <x:v>L1</x:v>
      </x:c>
      <x:c r="D236" s="15" t="str">
        <x:v>NRC-C</x:v>
      </x:c>
      <x:c r="E236" s="15" t="str">
        <x:v>DISPERSED</x:v>
      </x:c>
      <x:c r="F236" s="15" t="str">
        <x:v>T8</x:v>
      </x:c>
      <x:c r="G236" s="15" t="str">
        <x:v>Outside only</x:v>
      </x:c>
      <x:c r="H236" s="15" t="n">
        <x:v>500</x:v>
      </x:c>
      <x:c r="I236" s="15" t="n">
        <x:v>48</x:v>
      </x:c>
      <x:c r="J236" s="15" t="n">
        <x:v>25</x:v>
      </x:c>
      <x:c r="K236" s="15" t="str">
        <x:v>External reconstruction</x:v>
      </x:c>
      <x:c r="L236" s="15" t="str">
        <x:v>OPEN</x:v>
      </x:c>
    </x:row>
    <x:row r="237">
      <x:c r="A237" s="14" t="str">
        <x:v>CT-233</x:v>
      </x:c>
      <x:c r="B237" s="14" t="str">
        <x:v>SPS-48</x:v>
      </x:c>
      <x:c r="C237" s="14" t="str">
        <x:v>L1</x:v>
      </x:c>
      <x:c r="D237" s="14" t="str">
        <x:v>NRC-C</x:v>
      </x:c>
      <x:c r="E237" s="14" t="str">
        <x:v>COHERENT</x:v>
      </x:c>
      <x:c r="F237" s="14" t="str">
        <x:v>T1</x:v>
      </x:c>
      <x:c r="G237" s="14" t="str">
        <x:v>Sealed zero</x:v>
      </x:c>
      <x:c r="H237" s="14" t="n">
        <x:v>0</x:v>
      </x:c>
      <x:c r="I237" s="14" t="n">
        <x:v>0</x:v>
      </x:c>
      <x:c r="J237" s="14" t="n">
        <x:v>25</x:v>
      </x:c>
      <x:c r="K237" s="14" t="str">
        <x:v>Native state, leakage and command isolation</x:v>
      </x:c>
      <x:c r="L237" s="14" t="str">
        <x:v>OPEN</x:v>
      </x:c>
    </x:row>
    <x:row r="238">
      <x:c r="A238" s="15" t="str">
        <x:v>CT-234</x:v>
      </x:c>
      <x:c r="B238" s="15" t="str">
        <x:v>SPS-48</x:v>
      </x:c>
      <x:c r="C238" s="15" t="str">
        <x:v>L1</x:v>
      </x:c>
      <x:c r="D238" s="15" t="str">
        <x:v>NRC-C</x:v>
      </x:c>
      <x:c r="E238" s="15" t="str">
        <x:v>COHERENT</x:v>
      </x:c>
      <x:c r="F238" s="15" t="str">
        <x:v>T2</x:v>
      </x:c>
      <x:c r="G238" s="15" t="str">
        <x:v>ER-09 anchor</x:v>
      </x:c>
      <x:c r="H238" s="15" t="n">
        <x:v>500</x:v>
      </x:c>
      <x:c r="I238" s="15" t="n">
        <x:v>24</x:v>
      </x:c>
      <x:c r="J238" s="15" t="n">
        <x:v>6.25</x:v>
      </x:c>
      <x:c r="K238" s="15" t="str">
        <x:v>Parent transfer</x:v>
      </x:c>
      <x:c r="L238" s="15" t="str">
        <x:v>OPEN</x:v>
      </x:c>
    </x:row>
    <x:row r="239">
      <x:c r="A239" s="14" t="str">
        <x:v>CT-235</x:v>
      </x:c>
      <x:c r="B239" s="14" t="str">
        <x:v>SPS-48</x:v>
      </x:c>
      <x:c r="C239" s="14" t="str">
        <x:v>L1</x:v>
      </x:c>
      <x:c r="D239" s="14" t="str">
        <x:v>NRC-C</x:v>
      </x:c>
      <x:c r="E239" s="14" t="str">
        <x:v>COHERENT</x:v>
      </x:c>
      <x:c r="F239" s="14" t="str">
        <x:v>T3</x:v>
      </x:c>
      <x:c r="G239" s="14" t="str">
        <x:v>Area expansion dry</x:v>
      </x:c>
      <x:c r="H239" s="14" t="n">
        <x:v>500</x:v>
      </x:c>
      <x:c r="I239" s="14" t="n">
        <x:v>0</x:v>
      </x:c>
      <x:c r="J239" s="14" t="n">
        <x:v>25</x:v>
      </x:c>
      <x:c r="K239" s="14" t="str">
        <x:v>Topology and boundary transition</x:v>
      </x:c>
      <x:c r="L239" s="14" t="str">
        <x:v>OPEN</x:v>
      </x:c>
    </x:row>
    <x:row r="240">
      <x:c r="A240" s="15" t="str">
        <x:v>CT-236</x:v>
      </x:c>
      <x:c r="B240" s="15" t="str">
        <x:v>SPS-48</x:v>
      </x:c>
      <x:c r="C240" s="15" t="str">
        <x:v>L1</x:v>
      </x:c>
      <x:c r="D240" s="15" t="str">
        <x:v>NRC-C</x:v>
      </x:c>
      <x:c r="E240" s="15" t="str">
        <x:v>COHERENT</x:v>
      </x:c>
      <x:c r="F240" s="15" t="str">
        <x:v>T4</x:v>
      </x:c>
      <x:c r="G240" s="15" t="str">
        <x:v>Area expansion wet</x:v>
      </x:c>
      <x:c r="H240" s="15" t="n">
        <x:v>500</x:v>
      </x:c>
      <x:c r="I240" s="15" t="n">
        <x:v>24</x:v>
      </x:c>
      <x:c r="J240" s="15" t="n">
        <x:v>25</x:v>
      </x:c>
      <x:c r="K240" s="15" t="str">
        <x:v>Half-water contact</x:v>
      </x:c>
      <x:c r="L240" s="15" t="str">
        <x:v>OPEN</x:v>
      </x:c>
    </x:row>
    <x:row r="241">
      <x:c r="A241" s="14" t="str">
        <x:v>CT-237</x:v>
      </x:c>
      <x:c r="B241" s="14" t="str">
        <x:v>SPS-48</x:v>
      </x:c>
      <x:c r="C241" s="14" t="str">
        <x:v>L1</x:v>
      </x:c>
      <x:c r="D241" s="14" t="str">
        <x:v>NRC-C</x:v>
      </x:c>
      <x:c r="E241" s="14" t="str">
        <x:v>COHERENT</x:v>
      </x:c>
      <x:c r="F241" s="14" t="str">
        <x:v>T5</x:v>
      </x:c>
      <x:c r="G241" s="14" t="str">
        <x:v>Exact hydraulic</x:v>
      </x:c>
      <x:c r="H241" s="14" t="n">
        <x:v>500</x:v>
      </x:c>
      <x:c r="I241" s="14" t="n">
        <x:v>48</x:v>
      </x:c>
      <x:c r="J241" s="14" t="n">
        <x:v>25</x:v>
      </x:c>
      <x:c r="K241" s="14" t="str">
        <x:v>Complete issue and recovery</x:v>
      </x:c>
      <x:c r="L241" s="14" t="str">
        <x:v>OPEN</x:v>
      </x:c>
    </x:row>
    <x:row r="242">
      <x:c r="A242" s="15" t="str">
        <x:v>CT-238</x:v>
      </x:c>
      <x:c r="B242" s="15" t="str">
        <x:v>SPS-48</x:v>
      </x:c>
      <x:c r="C242" s="15" t="str">
        <x:v>L1</x:v>
      </x:c>
      <x:c r="D242" s="15" t="str">
        <x:v>NRC-C</x:v>
      </x:c>
      <x:c r="E242" s="15" t="str">
        <x:v>COHERENT</x:v>
      </x:c>
      <x:c r="F242" s="15" t="str">
        <x:v>T6</x:v>
      </x:c>
      <x:c r="G242" s="15" t="str">
        <x:v>Independent service</x:v>
      </x:c>
      <x:c r="H242" s="15" t="n">
        <x:v>500</x:v>
      </x:c>
      <x:c r="I242" s="15" t="n">
        <x:v>48</x:v>
      </x:c>
      <x:c r="J242" s="15" t="n">
        <x:v>25</x:v>
      </x:c>
      <x:c r="K242" s="15" t="str">
        <x:v>No host energy, network or time</x:v>
      </x:c>
      <x:c r="L242" s="15" t="str">
        <x:v>OPEN</x:v>
      </x:c>
    </x:row>
    <x:row r="243">
      <x:c r="A243" s="14" t="str">
        <x:v>CT-239</x:v>
      </x:c>
      <x:c r="B243" s="14" t="str">
        <x:v>SPS-48</x:v>
      </x:c>
      <x:c r="C243" s="14" t="str">
        <x:v>L1</x:v>
      </x:c>
      <x:c r="D243" s="14" t="str">
        <x:v>NRC-C</x:v>
      </x:c>
      <x:c r="E243" s="14" t="str">
        <x:v>COHERENT</x:v>
      </x:c>
      <x:c r="F243" s="14" t="str">
        <x:v>T7</x:v>
      </x:c>
      <x:c r="G243" s="14" t="str">
        <x:v>Receiver denial</x:v>
      </x:c>
      <x:c r="H243" s="14" t="n">
        <x:v>500</x:v>
      </x:c>
      <x:c r="I243" s="14" t="n">
        <x:v>48</x:v>
      </x:c>
      <x:c r="J243" s="14" t="n">
        <x:v>25</x:v>
      </x:c>
      <x:c r="K243" s="14" t="str">
        <x:v>Diversion and terminal custody</x:v>
      </x:c>
      <x:c r="L243" s="14" t="str">
        <x:v>OPEN</x:v>
      </x:c>
    </x:row>
    <x:row r="244">
      <x:c r="A244" s="15" t="str">
        <x:v>CT-240</x:v>
      </x:c>
      <x:c r="B244" s="15" t="str">
        <x:v>SPS-48</x:v>
      </x:c>
      <x:c r="C244" s="15" t="str">
        <x:v>L1</x:v>
      </x:c>
      <x:c r="D244" s="15" t="str">
        <x:v>NRC-C</x:v>
      </x:c>
      <x:c r="E244" s="15" t="str">
        <x:v>COHERENT</x:v>
      </x:c>
      <x:c r="F244" s="15" t="str">
        <x:v>T8</x:v>
      </x:c>
      <x:c r="G244" s="15" t="str">
        <x:v>Outside only</x:v>
      </x:c>
      <x:c r="H244" s="15" t="n">
        <x:v>500</x:v>
      </x:c>
      <x:c r="I244" s="15" t="n">
        <x:v>48</x:v>
      </x:c>
      <x:c r="J244" s="15" t="n">
        <x:v>25</x:v>
      </x:c>
      <x:c r="K244" s="15" t="str">
        <x:v>External reconstruction</x:v>
      </x:c>
      <x:c r="L244" s="15" t="str">
        <x:v>OPEN</x:v>
      </x:c>
    </x:row>
    <x:row r="245">
      <x:c r="A245" s="14" t="str">
        <x:v>CT-241</x:v>
      </x:c>
      <x:c r="B245" s="14" t="str">
        <x:v>SPS-48</x:v>
      </x:c>
      <x:c r="C245" s="14" t="str">
        <x:v>L2</x:v>
      </x:c>
      <x:c r="D245" s="14" t="str">
        <x:v>NRC-A</x:v>
      </x:c>
      <x:c r="E245" s="14" t="str">
        <x:v>DISPERSED</x:v>
      </x:c>
      <x:c r="F245" s="14" t="str">
        <x:v>T1</x:v>
      </x:c>
      <x:c r="G245" s="14" t="str">
        <x:v>Sealed zero</x:v>
      </x:c>
      <x:c r="H245" s="14" t="n">
        <x:v>0</x:v>
      </x:c>
      <x:c r="I245" s="14" t="n">
        <x:v>0</x:v>
      </x:c>
      <x:c r="J245" s="14" t="n">
        <x:v>25</x:v>
      </x:c>
      <x:c r="K245" s="14" t="str">
        <x:v>Native state, leakage and command isolation</x:v>
      </x:c>
      <x:c r="L245" s="14" t="str">
        <x:v>OPEN</x:v>
      </x:c>
    </x:row>
    <x:row r="246">
      <x:c r="A246" s="15" t="str">
        <x:v>CT-242</x:v>
      </x:c>
      <x:c r="B246" s="15" t="str">
        <x:v>SPS-48</x:v>
      </x:c>
      <x:c r="C246" s="15" t="str">
        <x:v>L2</x:v>
      </x:c>
      <x:c r="D246" s="15" t="str">
        <x:v>NRC-A</x:v>
      </x:c>
      <x:c r="E246" s="15" t="str">
        <x:v>DISPERSED</x:v>
      </x:c>
      <x:c r="F246" s="15" t="str">
        <x:v>T2</x:v>
      </x:c>
      <x:c r="G246" s="15" t="str">
        <x:v>ER-09 anchor</x:v>
      </x:c>
      <x:c r="H246" s="15" t="n">
        <x:v>500</x:v>
      </x:c>
      <x:c r="I246" s="15" t="n">
        <x:v>24</x:v>
      </x:c>
      <x:c r="J246" s="15" t="n">
        <x:v>6.25</x:v>
      </x:c>
      <x:c r="K246" s="15" t="str">
        <x:v>Parent transfer</x:v>
      </x:c>
      <x:c r="L246" s="15" t="str">
        <x:v>OPEN</x:v>
      </x:c>
    </x:row>
    <x:row r="247">
      <x:c r="A247" s="14" t="str">
        <x:v>CT-243</x:v>
      </x:c>
      <x:c r="B247" s="14" t="str">
        <x:v>SPS-48</x:v>
      </x:c>
      <x:c r="C247" s="14" t="str">
        <x:v>L2</x:v>
      </x:c>
      <x:c r="D247" s="14" t="str">
        <x:v>NRC-A</x:v>
      </x:c>
      <x:c r="E247" s="14" t="str">
        <x:v>DISPERSED</x:v>
      </x:c>
      <x:c r="F247" s="14" t="str">
        <x:v>T3</x:v>
      </x:c>
      <x:c r="G247" s="14" t="str">
        <x:v>Area expansion dry</x:v>
      </x:c>
      <x:c r="H247" s="14" t="n">
        <x:v>500</x:v>
      </x:c>
      <x:c r="I247" s="14" t="n">
        <x:v>0</x:v>
      </x:c>
      <x:c r="J247" s="14" t="n">
        <x:v>25</x:v>
      </x:c>
      <x:c r="K247" s="14" t="str">
        <x:v>Topology and boundary transition</x:v>
      </x:c>
      <x:c r="L247" s="14" t="str">
        <x:v>OPEN</x:v>
      </x:c>
    </x:row>
    <x:row r="248">
      <x:c r="A248" s="15" t="str">
        <x:v>CT-244</x:v>
      </x:c>
      <x:c r="B248" s="15" t="str">
        <x:v>SPS-48</x:v>
      </x:c>
      <x:c r="C248" s="15" t="str">
        <x:v>L2</x:v>
      </x:c>
      <x:c r="D248" s="15" t="str">
        <x:v>NRC-A</x:v>
      </x:c>
      <x:c r="E248" s="15" t="str">
        <x:v>DISPERSED</x:v>
      </x:c>
      <x:c r="F248" s="15" t="str">
        <x:v>T4</x:v>
      </x:c>
      <x:c r="G248" s="15" t="str">
        <x:v>Area expansion wet</x:v>
      </x:c>
      <x:c r="H248" s="15" t="n">
        <x:v>500</x:v>
      </x:c>
      <x:c r="I248" s="15" t="n">
        <x:v>24</x:v>
      </x:c>
      <x:c r="J248" s="15" t="n">
        <x:v>25</x:v>
      </x:c>
      <x:c r="K248" s="15" t="str">
        <x:v>Half-water contact</x:v>
      </x:c>
      <x:c r="L248" s="15" t="str">
        <x:v>OPEN</x:v>
      </x:c>
    </x:row>
    <x:row r="249">
      <x:c r="A249" s="14" t="str">
        <x:v>CT-245</x:v>
      </x:c>
      <x:c r="B249" s="14" t="str">
        <x:v>SPS-48</x:v>
      </x:c>
      <x:c r="C249" s="14" t="str">
        <x:v>L2</x:v>
      </x:c>
      <x:c r="D249" s="14" t="str">
        <x:v>NRC-A</x:v>
      </x:c>
      <x:c r="E249" s="14" t="str">
        <x:v>DISPERSED</x:v>
      </x:c>
      <x:c r="F249" s="14" t="str">
        <x:v>T5</x:v>
      </x:c>
      <x:c r="G249" s="14" t="str">
        <x:v>Exact hydraulic</x:v>
      </x:c>
      <x:c r="H249" s="14" t="n">
        <x:v>500</x:v>
      </x:c>
      <x:c r="I249" s="14" t="n">
        <x:v>48</x:v>
      </x:c>
      <x:c r="J249" s="14" t="n">
        <x:v>25</x:v>
      </x:c>
      <x:c r="K249" s="14" t="str">
        <x:v>Complete issue and recovery</x:v>
      </x:c>
      <x:c r="L249" s="14" t="str">
        <x:v>OPEN</x:v>
      </x:c>
    </x:row>
    <x:row r="250">
      <x:c r="A250" s="15" t="str">
        <x:v>CT-246</x:v>
      </x:c>
      <x:c r="B250" s="15" t="str">
        <x:v>SPS-48</x:v>
      </x:c>
      <x:c r="C250" s="15" t="str">
        <x:v>L2</x:v>
      </x:c>
      <x:c r="D250" s="15" t="str">
        <x:v>NRC-A</x:v>
      </x:c>
      <x:c r="E250" s="15" t="str">
        <x:v>DISPERSED</x:v>
      </x:c>
      <x:c r="F250" s="15" t="str">
        <x:v>T6</x:v>
      </x:c>
      <x:c r="G250" s="15" t="str">
        <x:v>Independent service</x:v>
      </x:c>
      <x:c r="H250" s="15" t="n">
        <x:v>500</x:v>
      </x:c>
      <x:c r="I250" s="15" t="n">
        <x:v>48</x:v>
      </x:c>
      <x:c r="J250" s="15" t="n">
        <x:v>25</x:v>
      </x:c>
      <x:c r="K250" s="15" t="str">
        <x:v>No host energy, network or time</x:v>
      </x:c>
      <x:c r="L250" s="15" t="str">
        <x:v>OPEN</x:v>
      </x:c>
    </x:row>
    <x:row r="251">
      <x:c r="A251" s="14" t="str">
        <x:v>CT-247</x:v>
      </x:c>
      <x:c r="B251" s="14" t="str">
        <x:v>SPS-48</x:v>
      </x:c>
      <x:c r="C251" s="14" t="str">
        <x:v>L2</x:v>
      </x:c>
      <x:c r="D251" s="14" t="str">
        <x:v>NRC-A</x:v>
      </x:c>
      <x:c r="E251" s="14" t="str">
        <x:v>DISPERSED</x:v>
      </x:c>
      <x:c r="F251" s="14" t="str">
        <x:v>T7</x:v>
      </x:c>
      <x:c r="G251" s="14" t="str">
        <x:v>Receiver denial</x:v>
      </x:c>
      <x:c r="H251" s="14" t="n">
        <x:v>500</x:v>
      </x:c>
      <x:c r="I251" s="14" t="n">
        <x:v>48</x:v>
      </x:c>
      <x:c r="J251" s="14" t="n">
        <x:v>25</x:v>
      </x:c>
      <x:c r="K251" s="14" t="str">
        <x:v>Diversion and terminal custody</x:v>
      </x:c>
      <x:c r="L251" s="14" t="str">
        <x:v>OPEN</x:v>
      </x:c>
    </x:row>
    <x:row r="252">
      <x:c r="A252" s="15" t="str">
        <x:v>CT-248</x:v>
      </x:c>
      <x:c r="B252" s="15" t="str">
        <x:v>SPS-48</x:v>
      </x:c>
      <x:c r="C252" s="15" t="str">
        <x:v>L2</x:v>
      </x:c>
      <x:c r="D252" s="15" t="str">
        <x:v>NRC-A</x:v>
      </x:c>
      <x:c r="E252" s="15" t="str">
        <x:v>DISPERSED</x:v>
      </x:c>
      <x:c r="F252" s="15" t="str">
        <x:v>T8</x:v>
      </x:c>
      <x:c r="G252" s="15" t="str">
        <x:v>Outside only</x:v>
      </x:c>
      <x:c r="H252" s="15" t="n">
        <x:v>500</x:v>
      </x:c>
      <x:c r="I252" s="15" t="n">
        <x:v>48</x:v>
      </x:c>
      <x:c r="J252" s="15" t="n">
        <x:v>25</x:v>
      </x:c>
      <x:c r="K252" s="15" t="str">
        <x:v>External reconstruction</x:v>
      </x:c>
      <x:c r="L252" s="15" t="str">
        <x:v>OPEN</x:v>
      </x:c>
    </x:row>
    <x:row r="253">
      <x:c r="A253" s="14" t="str">
        <x:v>CT-249</x:v>
      </x:c>
      <x:c r="B253" s="14" t="str">
        <x:v>SPS-48</x:v>
      </x:c>
      <x:c r="C253" s="14" t="str">
        <x:v>L2</x:v>
      </x:c>
      <x:c r="D253" s="14" t="str">
        <x:v>NRC-A</x:v>
      </x:c>
      <x:c r="E253" s="14" t="str">
        <x:v>COHERENT</x:v>
      </x:c>
      <x:c r="F253" s="14" t="str">
        <x:v>T1</x:v>
      </x:c>
      <x:c r="G253" s="14" t="str">
        <x:v>Sealed zero</x:v>
      </x:c>
      <x:c r="H253" s="14" t="n">
        <x:v>0</x:v>
      </x:c>
      <x:c r="I253" s="14" t="n">
        <x:v>0</x:v>
      </x:c>
      <x:c r="J253" s="14" t="n">
        <x:v>25</x:v>
      </x:c>
      <x:c r="K253" s="14" t="str">
        <x:v>Native state, leakage and command isolation</x:v>
      </x:c>
      <x:c r="L253" s="14" t="str">
        <x:v>OPEN</x:v>
      </x:c>
    </x:row>
    <x:row r="254">
      <x:c r="A254" s="15" t="str">
        <x:v>CT-250</x:v>
      </x:c>
      <x:c r="B254" s="15" t="str">
        <x:v>SPS-48</x:v>
      </x:c>
      <x:c r="C254" s="15" t="str">
        <x:v>L2</x:v>
      </x:c>
      <x:c r="D254" s="15" t="str">
        <x:v>NRC-A</x:v>
      </x:c>
      <x:c r="E254" s="15" t="str">
        <x:v>COHERENT</x:v>
      </x:c>
      <x:c r="F254" s="15" t="str">
        <x:v>T2</x:v>
      </x:c>
      <x:c r="G254" s="15" t="str">
        <x:v>ER-09 anchor</x:v>
      </x:c>
      <x:c r="H254" s="15" t="n">
        <x:v>500</x:v>
      </x:c>
      <x:c r="I254" s="15" t="n">
        <x:v>24</x:v>
      </x:c>
      <x:c r="J254" s="15" t="n">
        <x:v>6.25</x:v>
      </x:c>
      <x:c r="K254" s="15" t="str">
        <x:v>Parent transfer</x:v>
      </x:c>
      <x:c r="L254" s="15" t="str">
        <x:v>OPEN</x:v>
      </x:c>
    </x:row>
    <x:row r="255">
      <x:c r="A255" s="14" t="str">
        <x:v>CT-251</x:v>
      </x:c>
      <x:c r="B255" s="14" t="str">
        <x:v>SPS-48</x:v>
      </x:c>
      <x:c r="C255" s="14" t="str">
        <x:v>L2</x:v>
      </x:c>
      <x:c r="D255" s="14" t="str">
        <x:v>NRC-A</x:v>
      </x:c>
      <x:c r="E255" s="14" t="str">
        <x:v>COHERENT</x:v>
      </x:c>
      <x:c r="F255" s="14" t="str">
        <x:v>T3</x:v>
      </x:c>
      <x:c r="G255" s="14" t="str">
        <x:v>Area expansion dry</x:v>
      </x:c>
      <x:c r="H255" s="14" t="n">
        <x:v>500</x:v>
      </x:c>
      <x:c r="I255" s="14" t="n">
        <x:v>0</x:v>
      </x:c>
      <x:c r="J255" s="14" t="n">
        <x:v>25</x:v>
      </x:c>
      <x:c r="K255" s="14" t="str">
        <x:v>Topology and boundary transition</x:v>
      </x:c>
      <x:c r="L255" s="14" t="str">
        <x:v>OPEN</x:v>
      </x:c>
    </x:row>
    <x:row r="256">
      <x:c r="A256" s="15" t="str">
        <x:v>CT-252</x:v>
      </x:c>
      <x:c r="B256" s="15" t="str">
        <x:v>SPS-48</x:v>
      </x:c>
      <x:c r="C256" s="15" t="str">
        <x:v>L2</x:v>
      </x:c>
      <x:c r="D256" s="15" t="str">
        <x:v>NRC-A</x:v>
      </x:c>
      <x:c r="E256" s="15" t="str">
        <x:v>COHERENT</x:v>
      </x:c>
      <x:c r="F256" s="15" t="str">
        <x:v>T4</x:v>
      </x:c>
      <x:c r="G256" s="15" t="str">
        <x:v>Area expansion wet</x:v>
      </x:c>
      <x:c r="H256" s="15" t="n">
        <x:v>500</x:v>
      </x:c>
      <x:c r="I256" s="15" t="n">
        <x:v>24</x:v>
      </x:c>
      <x:c r="J256" s="15" t="n">
        <x:v>25</x:v>
      </x:c>
      <x:c r="K256" s="15" t="str">
        <x:v>Half-water contact</x:v>
      </x:c>
      <x:c r="L256" s="15" t="str">
        <x:v>OPEN</x:v>
      </x:c>
    </x:row>
    <x:row r="257">
      <x:c r="A257" s="14" t="str">
        <x:v>CT-253</x:v>
      </x:c>
      <x:c r="B257" s="14" t="str">
        <x:v>SPS-48</x:v>
      </x:c>
      <x:c r="C257" s="14" t="str">
        <x:v>L2</x:v>
      </x:c>
      <x:c r="D257" s="14" t="str">
        <x:v>NRC-A</x:v>
      </x:c>
      <x:c r="E257" s="14" t="str">
        <x:v>COHERENT</x:v>
      </x:c>
      <x:c r="F257" s="14" t="str">
        <x:v>T5</x:v>
      </x:c>
      <x:c r="G257" s="14" t="str">
        <x:v>Exact hydraulic</x:v>
      </x:c>
      <x:c r="H257" s="14" t="n">
        <x:v>500</x:v>
      </x:c>
      <x:c r="I257" s="14" t="n">
        <x:v>48</x:v>
      </x:c>
      <x:c r="J257" s="14" t="n">
        <x:v>25</x:v>
      </x:c>
      <x:c r="K257" s="14" t="str">
        <x:v>Complete issue and recovery</x:v>
      </x:c>
      <x:c r="L257" s="14" t="str">
        <x:v>OPEN</x:v>
      </x:c>
    </x:row>
    <x:row r="258">
      <x:c r="A258" s="15" t="str">
        <x:v>CT-254</x:v>
      </x:c>
      <x:c r="B258" s="15" t="str">
        <x:v>SPS-48</x:v>
      </x:c>
      <x:c r="C258" s="15" t="str">
        <x:v>L2</x:v>
      </x:c>
      <x:c r="D258" s="15" t="str">
        <x:v>NRC-A</x:v>
      </x:c>
      <x:c r="E258" s="15" t="str">
        <x:v>COHERENT</x:v>
      </x:c>
      <x:c r="F258" s="15" t="str">
        <x:v>T6</x:v>
      </x:c>
      <x:c r="G258" s="15" t="str">
        <x:v>Independent service</x:v>
      </x:c>
      <x:c r="H258" s="15" t="n">
        <x:v>500</x:v>
      </x:c>
      <x:c r="I258" s="15" t="n">
        <x:v>48</x:v>
      </x:c>
      <x:c r="J258" s="15" t="n">
        <x:v>25</x:v>
      </x:c>
      <x:c r="K258" s="15" t="str">
        <x:v>No host energy, network or time</x:v>
      </x:c>
      <x:c r="L258" s="15" t="str">
        <x:v>OPEN</x:v>
      </x:c>
    </x:row>
    <x:row r="259">
      <x:c r="A259" s="14" t="str">
        <x:v>CT-255</x:v>
      </x:c>
      <x:c r="B259" s="14" t="str">
        <x:v>SPS-48</x:v>
      </x:c>
      <x:c r="C259" s="14" t="str">
        <x:v>L2</x:v>
      </x:c>
      <x:c r="D259" s="14" t="str">
        <x:v>NRC-A</x:v>
      </x:c>
      <x:c r="E259" s="14" t="str">
        <x:v>COHERENT</x:v>
      </x:c>
      <x:c r="F259" s="14" t="str">
        <x:v>T7</x:v>
      </x:c>
      <x:c r="G259" s="14" t="str">
        <x:v>Receiver denial</x:v>
      </x:c>
      <x:c r="H259" s="14" t="n">
        <x:v>500</x:v>
      </x:c>
      <x:c r="I259" s="14" t="n">
        <x:v>48</x:v>
      </x:c>
      <x:c r="J259" s="14" t="n">
        <x:v>25</x:v>
      </x:c>
      <x:c r="K259" s="14" t="str">
        <x:v>Diversion and terminal custody</x:v>
      </x:c>
      <x:c r="L259" s="14" t="str">
        <x:v>OPEN</x:v>
      </x:c>
    </x:row>
    <x:row r="260">
      <x:c r="A260" s="15" t="str">
        <x:v>CT-256</x:v>
      </x:c>
      <x:c r="B260" s="15" t="str">
        <x:v>SPS-48</x:v>
      </x:c>
      <x:c r="C260" s="15" t="str">
        <x:v>L2</x:v>
      </x:c>
      <x:c r="D260" s="15" t="str">
        <x:v>NRC-A</x:v>
      </x:c>
      <x:c r="E260" s="15" t="str">
        <x:v>COHERENT</x:v>
      </x:c>
      <x:c r="F260" s="15" t="str">
        <x:v>T8</x:v>
      </x:c>
      <x:c r="G260" s="15" t="str">
        <x:v>Outside only</x:v>
      </x:c>
      <x:c r="H260" s="15" t="n">
        <x:v>500</x:v>
      </x:c>
      <x:c r="I260" s="15" t="n">
        <x:v>48</x:v>
      </x:c>
      <x:c r="J260" s="15" t="n">
        <x:v>25</x:v>
      </x:c>
      <x:c r="K260" s="15" t="str">
        <x:v>External reconstruction</x:v>
      </x:c>
      <x:c r="L260" s="15" t="str">
        <x:v>OPEN</x:v>
      </x:c>
    </x:row>
    <x:row r="261">
      <x:c r="A261" s="14" t="str">
        <x:v>CT-257</x:v>
      </x:c>
      <x:c r="B261" s="14" t="str">
        <x:v>SPS-48</x:v>
      </x:c>
      <x:c r="C261" s="14" t="str">
        <x:v>L2</x:v>
      </x:c>
      <x:c r="D261" s="14" t="str">
        <x:v>NRC-B</x:v>
      </x:c>
      <x:c r="E261" s="14" t="str">
        <x:v>DISPERSED</x:v>
      </x:c>
      <x:c r="F261" s="14" t="str">
        <x:v>T1</x:v>
      </x:c>
      <x:c r="G261" s="14" t="str">
        <x:v>Sealed zero</x:v>
      </x:c>
      <x:c r="H261" s="14" t="n">
        <x:v>0</x:v>
      </x:c>
      <x:c r="I261" s="14" t="n">
        <x:v>0</x:v>
      </x:c>
      <x:c r="J261" s="14" t="n">
        <x:v>25</x:v>
      </x:c>
      <x:c r="K261" s="14" t="str">
        <x:v>Native state, leakage and command isolation</x:v>
      </x:c>
      <x:c r="L261" s="14" t="str">
        <x:v>OPEN</x:v>
      </x:c>
    </x:row>
    <x:row r="262">
      <x:c r="A262" s="15" t="str">
        <x:v>CT-258</x:v>
      </x:c>
      <x:c r="B262" s="15" t="str">
        <x:v>SPS-48</x:v>
      </x:c>
      <x:c r="C262" s="15" t="str">
        <x:v>L2</x:v>
      </x:c>
      <x:c r="D262" s="15" t="str">
        <x:v>NRC-B</x:v>
      </x:c>
      <x:c r="E262" s="15" t="str">
        <x:v>DISPERSED</x:v>
      </x:c>
      <x:c r="F262" s="15" t="str">
        <x:v>T2</x:v>
      </x:c>
      <x:c r="G262" s="15" t="str">
        <x:v>ER-09 anchor</x:v>
      </x:c>
      <x:c r="H262" s="15" t="n">
        <x:v>500</x:v>
      </x:c>
      <x:c r="I262" s="15" t="n">
        <x:v>24</x:v>
      </x:c>
      <x:c r="J262" s="15" t="n">
        <x:v>6.25</x:v>
      </x:c>
      <x:c r="K262" s="15" t="str">
        <x:v>Parent transfer</x:v>
      </x:c>
      <x:c r="L262" s="15" t="str">
        <x:v>OPEN</x:v>
      </x:c>
    </x:row>
    <x:row r="263">
      <x:c r="A263" s="14" t="str">
        <x:v>CT-259</x:v>
      </x:c>
      <x:c r="B263" s="14" t="str">
        <x:v>SPS-48</x:v>
      </x:c>
      <x:c r="C263" s="14" t="str">
        <x:v>L2</x:v>
      </x:c>
      <x:c r="D263" s="14" t="str">
        <x:v>NRC-B</x:v>
      </x:c>
      <x:c r="E263" s="14" t="str">
        <x:v>DISPERSED</x:v>
      </x:c>
      <x:c r="F263" s="14" t="str">
        <x:v>T3</x:v>
      </x:c>
      <x:c r="G263" s="14" t="str">
        <x:v>Area expansion dry</x:v>
      </x:c>
      <x:c r="H263" s="14" t="n">
        <x:v>500</x:v>
      </x:c>
      <x:c r="I263" s="14" t="n">
        <x:v>0</x:v>
      </x:c>
      <x:c r="J263" s="14" t="n">
        <x:v>25</x:v>
      </x:c>
      <x:c r="K263" s="14" t="str">
        <x:v>Topology and boundary transition</x:v>
      </x:c>
      <x:c r="L263" s="14" t="str">
        <x:v>OPEN</x:v>
      </x:c>
    </x:row>
    <x:row r="264">
      <x:c r="A264" s="15" t="str">
        <x:v>CT-260</x:v>
      </x:c>
      <x:c r="B264" s="15" t="str">
        <x:v>SPS-48</x:v>
      </x:c>
      <x:c r="C264" s="15" t="str">
        <x:v>L2</x:v>
      </x:c>
      <x:c r="D264" s="15" t="str">
        <x:v>NRC-B</x:v>
      </x:c>
      <x:c r="E264" s="15" t="str">
        <x:v>DISPERSED</x:v>
      </x:c>
      <x:c r="F264" s="15" t="str">
        <x:v>T4</x:v>
      </x:c>
      <x:c r="G264" s="15" t="str">
        <x:v>Area expansion wet</x:v>
      </x:c>
      <x:c r="H264" s="15" t="n">
        <x:v>500</x:v>
      </x:c>
      <x:c r="I264" s="15" t="n">
        <x:v>24</x:v>
      </x:c>
      <x:c r="J264" s="15" t="n">
        <x:v>25</x:v>
      </x:c>
      <x:c r="K264" s="15" t="str">
        <x:v>Half-water contact</x:v>
      </x:c>
      <x:c r="L264" s="15" t="str">
        <x:v>OPEN</x:v>
      </x:c>
    </x:row>
    <x:row r="265">
      <x:c r="A265" s="14" t="str">
        <x:v>CT-261</x:v>
      </x:c>
      <x:c r="B265" s="14" t="str">
        <x:v>SPS-48</x:v>
      </x:c>
      <x:c r="C265" s="14" t="str">
        <x:v>L2</x:v>
      </x:c>
      <x:c r="D265" s="14" t="str">
        <x:v>NRC-B</x:v>
      </x:c>
      <x:c r="E265" s="14" t="str">
        <x:v>DISPERSED</x:v>
      </x:c>
      <x:c r="F265" s="14" t="str">
        <x:v>T5</x:v>
      </x:c>
      <x:c r="G265" s="14" t="str">
        <x:v>Exact hydraulic</x:v>
      </x:c>
      <x:c r="H265" s="14" t="n">
        <x:v>500</x:v>
      </x:c>
      <x:c r="I265" s="14" t="n">
        <x:v>48</x:v>
      </x:c>
      <x:c r="J265" s="14" t="n">
        <x:v>25</x:v>
      </x:c>
      <x:c r="K265" s="14" t="str">
        <x:v>Complete issue and recovery</x:v>
      </x:c>
      <x:c r="L265" s="14" t="str">
        <x:v>OPEN</x:v>
      </x:c>
    </x:row>
    <x:row r="266">
      <x:c r="A266" s="15" t="str">
        <x:v>CT-262</x:v>
      </x:c>
      <x:c r="B266" s="15" t="str">
        <x:v>SPS-48</x:v>
      </x:c>
      <x:c r="C266" s="15" t="str">
        <x:v>L2</x:v>
      </x:c>
      <x:c r="D266" s="15" t="str">
        <x:v>NRC-B</x:v>
      </x:c>
      <x:c r="E266" s="15" t="str">
        <x:v>DISPERSED</x:v>
      </x:c>
      <x:c r="F266" s="15" t="str">
        <x:v>T6</x:v>
      </x:c>
      <x:c r="G266" s="15" t="str">
        <x:v>Independent service</x:v>
      </x:c>
      <x:c r="H266" s="15" t="n">
        <x:v>500</x:v>
      </x:c>
      <x:c r="I266" s="15" t="n">
        <x:v>48</x:v>
      </x:c>
      <x:c r="J266" s="15" t="n">
        <x:v>25</x:v>
      </x:c>
      <x:c r="K266" s="15" t="str">
        <x:v>No host energy, network or time</x:v>
      </x:c>
      <x:c r="L266" s="15" t="str">
        <x:v>OPEN</x:v>
      </x:c>
    </x:row>
    <x:row r="267">
      <x:c r="A267" s="14" t="str">
        <x:v>CT-263</x:v>
      </x:c>
      <x:c r="B267" s="14" t="str">
        <x:v>SPS-48</x:v>
      </x:c>
      <x:c r="C267" s="14" t="str">
        <x:v>L2</x:v>
      </x:c>
      <x:c r="D267" s="14" t="str">
        <x:v>NRC-B</x:v>
      </x:c>
      <x:c r="E267" s="14" t="str">
        <x:v>DISPERSED</x:v>
      </x:c>
      <x:c r="F267" s="14" t="str">
        <x:v>T7</x:v>
      </x:c>
      <x:c r="G267" s="14" t="str">
        <x:v>Receiver denial</x:v>
      </x:c>
      <x:c r="H267" s="14" t="n">
        <x:v>500</x:v>
      </x:c>
      <x:c r="I267" s="14" t="n">
        <x:v>48</x:v>
      </x:c>
      <x:c r="J267" s="14" t="n">
        <x:v>25</x:v>
      </x:c>
      <x:c r="K267" s="14" t="str">
        <x:v>Diversion and terminal custody</x:v>
      </x:c>
      <x:c r="L267" s="14" t="str">
        <x:v>OPEN</x:v>
      </x:c>
    </x:row>
    <x:row r="268">
      <x:c r="A268" s="15" t="str">
        <x:v>CT-264</x:v>
      </x:c>
      <x:c r="B268" s="15" t="str">
        <x:v>SPS-48</x:v>
      </x:c>
      <x:c r="C268" s="15" t="str">
        <x:v>L2</x:v>
      </x:c>
      <x:c r="D268" s="15" t="str">
        <x:v>NRC-B</x:v>
      </x:c>
      <x:c r="E268" s="15" t="str">
        <x:v>DISPERSED</x:v>
      </x:c>
      <x:c r="F268" s="15" t="str">
        <x:v>T8</x:v>
      </x:c>
      <x:c r="G268" s="15" t="str">
        <x:v>Outside only</x:v>
      </x:c>
      <x:c r="H268" s="15" t="n">
        <x:v>500</x:v>
      </x:c>
      <x:c r="I268" s="15" t="n">
        <x:v>48</x:v>
      </x:c>
      <x:c r="J268" s="15" t="n">
        <x:v>25</x:v>
      </x:c>
      <x:c r="K268" s="15" t="str">
        <x:v>External reconstruction</x:v>
      </x:c>
      <x:c r="L268" s="15" t="str">
        <x:v>OPEN</x:v>
      </x:c>
    </x:row>
    <x:row r="269">
      <x:c r="A269" s="14" t="str">
        <x:v>CT-265</x:v>
      </x:c>
      <x:c r="B269" s="14" t="str">
        <x:v>SPS-48</x:v>
      </x:c>
      <x:c r="C269" s="14" t="str">
        <x:v>L2</x:v>
      </x:c>
      <x:c r="D269" s="14" t="str">
        <x:v>NRC-B</x:v>
      </x:c>
      <x:c r="E269" s="14" t="str">
        <x:v>COHERENT</x:v>
      </x:c>
      <x:c r="F269" s="14" t="str">
        <x:v>T1</x:v>
      </x:c>
      <x:c r="G269" s="14" t="str">
        <x:v>Sealed zero</x:v>
      </x:c>
      <x:c r="H269" s="14" t="n">
        <x:v>0</x:v>
      </x:c>
      <x:c r="I269" s="14" t="n">
        <x:v>0</x:v>
      </x:c>
      <x:c r="J269" s="14" t="n">
        <x:v>25</x:v>
      </x:c>
      <x:c r="K269" s="14" t="str">
        <x:v>Native state, leakage and command isolation</x:v>
      </x:c>
      <x:c r="L269" s="14" t="str">
        <x:v>OPEN</x:v>
      </x:c>
    </x:row>
    <x:row r="270">
      <x:c r="A270" s="15" t="str">
        <x:v>CT-266</x:v>
      </x:c>
      <x:c r="B270" s="15" t="str">
        <x:v>SPS-48</x:v>
      </x:c>
      <x:c r="C270" s="15" t="str">
        <x:v>L2</x:v>
      </x:c>
      <x:c r="D270" s="15" t="str">
        <x:v>NRC-B</x:v>
      </x:c>
      <x:c r="E270" s="15" t="str">
        <x:v>COHERENT</x:v>
      </x:c>
      <x:c r="F270" s="15" t="str">
        <x:v>T2</x:v>
      </x:c>
      <x:c r="G270" s="15" t="str">
        <x:v>ER-09 anchor</x:v>
      </x:c>
      <x:c r="H270" s="15" t="n">
        <x:v>500</x:v>
      </x:c>
      <x:c r="I270" s="15" t="n">
        <x:v>24</x:v>
      </x:c>
      <x:c r="J270" s="15" t="n">
        <x:v>6.25</x:v>
      </x:c>
      <x:c r="K270" s="15" t="str">
        <x:v>Parent transfer</x:v>
      </x:c>
      <x:c r="L270" s="15" t="str">
        <x:v>OPEN</x:v>
      </x:c>
    </x:row>
    <x:row r="271">
      <x:c r="A271" s="14" t="str">
        <x:v>CT-267</x:v>
      </x:c>
      <x:c r="B271" s="14" t="str">
        <x:v>SPS-48</x:v>
      </x:c>
      <x:c r="C271" s="14" t="str">
        <x:v>L2</x:v>
      </x:c>
      <x:c r="D271" s="14" t="str">
        <x:v>NRC-B</x:v>
      </x:c>
      <x:c r="E271" s="14" t="str">
        <x:v>COHERENT</x:v>
      </x:c>
      <x:c r="F271" s="14" t="str">
        <x:v>T3</x:v>
      </x:c>
      <x:c r="G271" s="14" t="str">
        <x:v>Area expansion dry</x:v>
      </x:c>
      <x:c r="H271" s="14" t="n">
        <x:v>500</x:v>
      </x:c>
      <x:c r="I271" s="14" t="n">
        <x:v>0</x:v>
      </x:c>
      <x:c r="J271" s="14" t="n">
        <x:v>25</x:v>
      </x:c>
      <x:c r="K271" s="14" t="str">
        <x:v>Topology and boundary transition</x:v>
      </x:c>
      <x:c r="L271" s="14" t="str">
        <x:v>OPEN</x:v>
      </x:c>
    </x:row>
    <x:row r="272">
      <x:c r="A272" s="15" t="str">
        <x:v>CT-268</x:v>
      </x:c>
      <x:c r="B272" s="15" t="str">
        <x:v>SPS-48</x:v>
      </x:c>
      <x:c r="C272" s="15" t="str">
        <x:v>L2</x:v>
      </x:c>
      <x:c r="D272" s="15" t="str">
        <x:v>NRC-B</x:v>
      </x:c>
      <x:c r="E272" s="15" t="str">
        <x:v>COHERENT</x:v>
      </x:c>
      <x:c r="F272" s="15" t="str">
        <x:v>T4</x:v>
      </x:c>
      <x:c r="G272" s="15" t="str">
        <x:v>Area expansion wet</x:v>
      </x:c>
      <x:c r="H272" s="15" t="n">
        <x:v>500</x:v>
      </x:c>
      <x:c r="I272" s="15" t="n">
        <x:v>24</x:v>
      </x:c>
      <x:c r="J272" s="15" t="n">
        <x:v>25</x:v>
      </x:c>
      <x:c r="K272" s="15" t="str">
        <x:v>Half-water contact</x:v>
      </x:c>
      <x:c r="L272" s="15" t="str">
        <x:v>OPEN</x:v>
      </x:c>
    </x:row>
    <x:row r="273">
      <x:c r="A273" s="14" t="str">
        <x:v>CT-269</x:v>
      </x:c>
      <x:c r="B273" s="14" t="str">
        <x:v>SPS-48</x:v>
      </x:c>
      <x:c r="C273" s="14" t="str">
        <x:v>L2</x:v>
      </x:c>
      <x:c r="D273" s="14" t="str">
        <x:v>NRC-B</x:v>
      </x:c>
      <x:c r="E273" s="14" t="str">
        <x:v>COHERENT</x:v>
      </x:c>
      <x:c r="F273" s="14" t="str">
        <x:v>T5</x:v>
      </x:c>
      <x:c r="G273" s="14" t="str">
        <x:v>Exact hydraulic</x:v>
      </x:c>
      <x:c r="H273" s="14" t="n">
        <x:v>500</x:v>
      </x:c>
      <x:c r="I273" s="14" t="n">
        <x:v>48</x:v>
      </x:c>
      <x:c r="J273" s="14" t="n">
        <x:v>25</x:v>
      </x:c>
      <x:c r="K273" s="14" t="str">
        <x:v>Complete issue and recovery</x:v>
      </x:c>
      <x:c r="L273" s="14" t="str">
        <x:v>OPEN</x:v>
      </x:c>
    </x:row>
    <x:row r="274">
      <x:c r="A274" s="15" t="str">
        <x:v>CT-270</x:v>
      </x:c>
      <x:c r="B274" s="15" t="str">
        <x:v>SPS-48</x:v>
      </x:c>
      <x:c r="C274" s="15" t="str">
        <x:v>L2</x:v>
      </x:c>
      <x:c r="D274" s="15" t="str">
        <x:v>NRC-B</x:v>
      </x:c>
      <x:c r="E274" s="15" t="str">
        <x:v>COHERENT</x:v>
      </x:c>
      <x:c r="F274" s="15" t="str">
        <x:v>T6</x:v>
      </x:c>
      <x:c r="G274" s="15" t="str">
        <x:v>Independent service</x:v>
      </x:c>
      <x:c r="H274" s="15" t="n">
        <x:v>500</x:v>
      </x:c>
      <x:c r="I274" s="15" t="n">
        <x:v>48</x:v>
      </x:c>
      <x:c r="J274" s="15" t="n">
        <x:v>25</x:v>
      </x:c>
      <x:c r="K274" s="15" t="str">
        <x:v>No host energy, network or time</x:v>
      </x:c>
      <x:c r="L274" s="15" t="str">
        <x:v>OPEN</x:v>
      </x:c>
    </x:row>
    <x:row r="275">
      <x:c r="A275" s="14" t="str">
        <x:v>CT-271</x:v>
      </x:c>
      <x:c r="B275" s="14" t="str">
        <x:v>SPS-48</x:v>
      </x:c>
      <x:c r="C275" s="14" t="str">
        <x:v>L2</x:v>
      </x:c>
      <x:c r="D275" s="14" t="str">
        <x:v>NRC-B</x:v>
      </x:c>
      <x:c r="E275" s="14" t="str">
        <x:v>COHERENT</x:v>
      </x:c>
      <x:c r="F275" s="14" t="str">
        <x:v>T7</x:v>
      </x:c>
      <x:c r="G275" s="14" t="str">
        <x:v>Receiver denial</x:v>
      </x:c>
      <x:c r="H275" s="14" t="n">
        <x:v>500</x:v>
      </x:c>
      <x:c r="I275" s="14" t="n">
        <x:v>48</x:v>
      </x:c>
      <x:c r="J275" s="14" t="n">
        <x:v>25</x:v>
      </x:c>
      <x:c r="K275" s="14" t="str">
        <x:v>Diversion and terminal custody</x:v>
      </x:c>
      <x:c r="L275" s="14" t="str">
        <x:v>OPEN</x:v>
      </x:c>
    </x:row>
    <x:row r="276">
      <x:c r="A276" s="15" t="str">
        <x:v>CT-272</x:v>
      </x:c>
      <x:c r="B276" s="15" t="str">
        <x:v>SPS-48</x:v>
      </x:c>
      <x:c r="C276" s="15" t="str">
        <x:v>L2</x:v>
      </x:c>
      <x:c r="D276" s="15" t="str">
        <x:v>NRC-B</x:v>
      </x:c>
      <x:c r="E276" s="15" t="str">
        <x:v>COHERENT</x:v>
      </x:c>
      <x:c r="F276" s="15" t="str">
        <x:v>T8</x:v>
      </x:c>
      <x:c r="G276" s="15" t="str">
        <x:v>Outside only</x:v>
      </x:c>
      <x:c r="H276" s="15" t="n">
        <x:v>500</x:v>
      </x:c>
      <x:c r="I276" s="15" t="n">
        <x:v>48</x:v>
      </x:c>
      <x:c r="J276" s="15" t="n">
        <x:v>25</x:v>
      </x:c>
      <x:c r="K276" s="15" t="str">
        <x:v>External reconstruction</x:v>
      </x:c>
      <x:c r="L276" s="15" t="str">
        <x:v>OPEN</x:v>
      </x:c>
    </x:row>
    <x:row r="277">
      <x:c r="A277" s="14" t="str">
        <x:v>CT-273</x:v>
      </x:c>
      <x:c r="B277" s="14" t="str">
        <x:v>SPS-48</x:v>
      </x:c>
      <x:c r="C277" s="14" t="str">
        <x:v>L2</x:v>
      </x:c>
      <x:c r="D277" s="14" t="str">
        <x:v>NRC-C</x:v>
      </x:c>
      <x:c r="E277" s="14" t="str">
        <x:v>DISPERSED</x:v>
      </x:c>
      <x:c r="F277" s="14" t="str">
        <x:v>T1</x:v>
      </x:c>
      <x:c r="G277" s="14" t="str">
        <x:v>Sealed zero</x:v>
      </x:c>
      <x:c r="H277" s="14" t="n">
        <x:v>0</x:v>
      </x:c>
      <x:c r="I277" s="14" t="n">
        <x:v>0</x:v>
      </x:c>
      <x:c r="J277" s="14" t="n">
        <x:v>25</x:v>
      </x:c>
      <x:c r="K277" s="14" t="str">
        <x:v>Native state, leakage and command isolation</x:v>
      </x:c>
      <x:c r="L277" s="14" t="str">
        <x:v>OPEN</x:v>
      </x:c>
    </x:row>
    <x:row r="278">
      <x:c r="A278" s="15" t="str">
        <x:v>CT-274</x:v>
      </x:c>
      <x:c r="B278" s="15" t="str">
        <x:v>SPS-48</x:v>
      </x:c>
      <x:c r="C278" s="15" t="str">
        <x:v>L2</x:v>
      </x:c>
      <x:c r="D278" s="15" t="str">
        <x:v>NRC-C</x:v>
      </x:c>
      <x:c r="E278" s="15" t="str">
        <x:v>DISPERSED</x:v>
      </x:c>
      <x:c r="F278" s="15" t="str">
        <x:v>T2</x:v>
      </x:c>
      <x:c r="G278" s="15" t="str">
        <x:v>ER-09 anchor</x:v>
      </x:c>
      <x:c r="H278" s="15" t="n">
        <x:v>500</x:v>
      </x:c>
      <x:c r="I278" s="15" t="n">
        <x:v>24</x:v>
      </x:c>
      <x:c r="J278" s="15" t="n">
        <x:v>6.25</x:v>
      </x:c>
      <x:c r="K278" s="15" t="str">
        <x:v>Parent transfer</x:v>
      </x:c>
      <x:c r="L278" s="15" t="str">
        <x:v>OPEN</x:v>
      </x:c>
    </x:row>
    <x:row r="279">
      <x:c r="A279" s="14" t="str">
        <x:v>CT-275</x:v>
      </x:c>
      <x:c r="B279" s="14" t="str">
        <x:v>SPS-48</x:v>
      </x:c>
      <x:c r="C279" s="14" t="str">
        <x:v>L2</x:v>
      </x:c>
      <x:c r="D279" s="14" t="str">
        <x:v>NRC-C</x:v>
      </x:c>
      <x:c r="E279" s="14" t="str">
        <x:v>DISPERSED</x:v>
      </x:c>
      <x:c r="F279" s="14" t="str">
        <x:v>T3</x:v>
      </x:c>
      <x:c r="G279" s="14" t="str">
        <x:v>Area expansion dry</x:v>
      </x:c>
      <x:c r="H279" s="14" t="n">
        <x:v>500</x:v>
      </x:c>
      <x:c r="I279" s="14" t="n">
        <x:v>0</x:v>
      </x:c>
      <x:c r="J279" s="14" t="n">
        <x:v>25</x:v>
      </x:c>
      <x:c r="K279" s="14" t="str">
        <x:v>Topology and boundary transition</x:v>
      </x:c>
      <x:c r="L279" s="14" t="str">
        <x:v>OPEN</x:v>
      </x:c>
    </x:row>
    <x:row r="280">
      <x:c r="A280" s="15" t="str">
        <x:v>CT-276</x:v>
      </x:c>
      <x:c r="B280" s="15" t="str">
        <x:v>SPS-48</x:v>
      </x:c>
      <x:c r="C280" s="15" t="str">
        <x:v>L2</x:v>
      </x:c>
      <x:c r="D280" s="15" t="str">
        <x:v>NRC-C</x:v>
      </x:c>
      <x:c r="E280" s="15" t="str">
        <x:v>DISPERSED</x:v>
      </x:c>
      <x:c r="F280" s="15" t="str">
        <x:v>T4</x:v>
      </x:c>
      <x:c r="G280" s="15" t="str">
        <x:v>Area expansion wet</x:v>
      </x:c>
      <x:c r="H280" s="15" t="n">
        <x:v>500</x:v>
      </x:c>
      <x:c r="I280" s="15" t="n">
        <x:v>24</x:v>
      </x:c>
      <x:c r="J280" s="15" t="n">
        <x:v>25</x:v>
      </x:c>
      <x:c r="K280" s="15" t="str">
        <x:v>Half-water contact</x:v>
      </x:c>
      <x:c r="L280" s="15" t="str">
        <x:v>OPEN</x:v>
      </x:c>
    </x:row>
    <x:row r="281">
      <x:c r="A281" s="14" t="str">
        <x:v>CT-277</x:v>
      </x:c>
      <x:c r="B281" s="14" t="str">
        <x:v>SPS-48</x:v>
      </x:c>
      <x:c r="C281" s="14" t="str">
        <x:v>L2</x:v>
      </x:c>
      <x:c r="D281" s="14" t="str">
        <x:v>NRC-C</x:v>
      </x:c>
      <x:c r="E281" s="14" t="str">
        <x:v>DISPERSED</x:v>
      </x:c>
      <x:c r="F281" s="14" t="str">
        <x:v>T5</x:v>
      </x:c>
      <x:c r="G281" s="14" t="str">
        <x:v>Exact hydraulic</x:v>
      </x:c>
      <x:c r="H281" s="14" t="n">
        <x:v>500</x:v>
      </x:c>
      <x:c r="I281" s="14" t="n">
        <x:v>48</x:v>
      </x:c>
      <x:c r="J281" s="14" t="n">
        <x:v>25</x:v>
      </x:c>
      <x:c r="K281" s="14" t="str">
        <x:v>Complete issue and recovery</x:v>
      </x:c>
      <x:c r="L281" s="14" t="str">
        <x:v>OPEN</x:v>
      </x:c>
    </x:row>
    <x:row r="282">
      <x:c r="A282" s="15" t="str">
        <x:v>CT-278</x:v>
      </x:c>
      <x:c r="B282" s="15" t="str">
        <x:v>SPS-48</x:v>
      </x:c>
      <x:c r="C282" s="15" t="str">
        <x:v>L2</x:v>
      </x:c>
      <x:c r="D282" s="15" t="str">
        <x:v>NRC-C</x:v>
      </x:c>
      <x:c r="E282" s="15" t="str">
        <x:v>DISPERSED</x:v>
      </x:c>
      <x:c r="F282" s="15" t="str">
        <x:v>T6</x:v>
      </x:c>
      <x:c r="G282" s="15" t="str">
        <x:v>Independent service</x:v>
      </x:c>
      <x:c r="H282" s="15" t="n">
        <x:v>500</x:v>
      </x:c>
      <x:c r="I282" s="15" t="n">
        <x:v>48</x:v>
      </x:c>
      <x:c r="J282" s="15" t="n">
        <x:v>25</x:v>
      </x:c>
      <x:c r="K282" s="15" t="str">
        <x:v>No host energy, network or time</x:v>
      </x:c>
      <x:c r="L282" s="15" t="str">
        <x:v>OPEN</x:v>
      </x:c>
    </x:row>
    <x:row r="283">
      <x:c r="A283" s="14" t="str">
        <x:v>CT-279</x:v>
      </x:c>
      <x:c r="B283" s="14" t="str">
        <x:v>SPS-48</x:v>
      </x:c>
      <x:c r="C283" s="14" t="str">
        <x:v>L2</x:v>
      </x:c>
      <x:c r="D283" s="14" t="str">
        <x:v>NRC-C</x:v>
      </x:c>
      <x:c r="E283" s="14" t="str">
        <x:v>DISPERSED</x:v>
      </x:c>
      <x:c r="F283" s="14" t="str">
        <x:v>T7</x:v>
      </x:c>
      <x:c r="G283" s="14" t="str">
        <x:v>Receiver denial</x:v>
      </x:c>
      <x:c r="H283" s="14" t="n">
        <x:v>500</x:v>
      </x:c>
      <x:c r="I283" s="14" t="n">
        <x:v>48</x:v>
      </x:c>
      <x:c r="J283" s="14" t="n">
        <x:v>25</x:v>
      </x:c>
      <x:c r="K283" s="14" t="str">
        <x:v>Diversion and terminal custody</x:v>
      </x:c>
      <x:c r="L283" s="14" t="str">
        <x:v>OPEN</x:v>
      </x:c>
    </x:row>
    <x:row r="284">
      <x:c r="A284" s="15" t="str">
        <x:v>CT-280</x:v>
      </x:c>
      <x:c r="B284" s="15" t="str">
        <x:v>SPS-48</x:v>
      </x:c>
      <x:c r="C284" s="15" t="str">
        <x:v>L2</x:v>
      </x:c>
      <x:c r="D284" s="15" t="str">
        <x:v>NRC-C</x:v>
      </x:c>
      <x:c r="E284" s="15" t="str">
        <x:v>DISPERSED</x:v>
      </x:c>
      <x:c r="F284" s="15" t="str">
        <x:v>T8</x:v>
      </x:c>
      <x:c r="G284" s="15" t="str">
        <x:v>Outside only</x:v>
      </x:c>
      <x:c r="H284" s="15" t="n">
        <x:v>500</x:v>
      </x:c>
      <x:c r="I284" s="15" t="n">
        <x:v>48</x:v>
      </x:c>
      <x:c r="J284" s="15" t="n">
        <x:v>25</x:v>
      </x:c>
      <x:c r="K284" s="15" t="str">
        <x:v>External reconstruction</x:v>
      </x:c>
      <x:c r="L284" s="15" t="str">
        <x:v>OPEN</x:v>
      </x:c>
    </x:row>
    <x:row r="285">
      <x:c r="A285" s="14" t="str">
        <x:v>CT-281</x:v>
      </x:c>
      <x:c r="B285" s="14" t="str">
        <x:v>SPS-48</x:v>
      </x:c>
      <x:c r="C285" s="14" t="str">
        <x:v>L2</x:v>
      </x:c>
      <x:c r="D285" s="14" t="str">
        <x:v>NRC-C</x:v>
      </x:c>
      <x:c r="E285" s="14" t="str">
        <x:v>COHERENT</x:v>
      </x:c>
      <x:c r="F285" s="14" t="str">
        <x:v>T1</x:v>
      </x:c>
      <x:c r="G285" s="14" t="str">
        <x:v>Sealed zero</x:v>
      </x:c>
      <x:c r="H285" s="14" t="n">
        <x:v>0</x:v>
      </x:c>
      <x:c r="I285" s="14" t="n">
        <x:v>0</x:v>
      </x:c>
      <x:c r="J285" s="14" t="n">
        <x:v>25</x:v>
      </x:c>
      <x:c r="K285" s="14" t="str">
        <x:v>Native state, leakage and command isolation</x:v>
      </x:c>
      <x:c r="L285" s="14" t="str">
        <x:v>OPEN</x:v>
      </x:c>
    </x:row>
    <x:row r="286">
      <x:c r="A286" s="15" t="str">
        <x:v>CT-282</x:v>
      </x:c>
      <x:c r="B286" s="15" t="str">
        <x:v>SPS-48</x:v>
      </x:c>
      <x:c r="C286" s="15" t="str">
        <x:v>L2</x:v>
      </x:c>
      <x:c r="D286" s="15" t="str">
        <x:v>NRC-C</x:v>
      </x:c>
      <x:c r="E286" s="15" t="str">
        <x:v>COHERENT</x:v>
      </x:c>
      <x:c r="F286" s="15" t="str">
        <x:v>T2</x:v>
      </x:c>
      <x:c r="G286" s="15" t="str">
        <x:v>ER-09 anchor</x:v>
      </x:c>
      <x:c r="H286" s="15" t="n">
        <x:v>500</x:v>
      </x:c>
      <x:c r="I286" s="15" t="n">
        <x:v>24</x:v>
      </x:c>
      <x:c r="J286" s="15" t="n">
        <x:v>6.25</x:v>
      </x:c>
      <x:c r="K286" s="15" t="str">
        <x:v>Parent transfer</x:v>
      </x:c>
      <x:c r="L286" s="15" t="str">
        <x:v>OPEN</x:v>
      </x:c>
    </x:row>
    <x:row r="287">
      <x:c r="A287" s="14" t="str">
        <x:v>CT-283</x:v>
      </x:c>
      <x:c r="B287" s="14" t="str">
        <x:v>SPS-48</x:v>
      </x:c>
      <x:c r="C287" s="14" t="str">
        <x:v>L2</x:v>
      </x:c>
      <x:c r="D287" s="14" t="str">
        <x:v>NRC-C</x:v>
      </x:c>
      <x:c r="E287" s="14" t="str">
        <x:v>COHERENT</x:v>
      </x:c>
      <x:c r="F287" s="14" t="str">
        <x:v>T3</x:v>
      </x:c>
      <x:c r="G287" s="14" t="str">
        <x:v>Area expansion dry</x:v>
      </x:c>
      <x:c r="H287" s="14" t="n">
        <x:v>500</x:v>
      </x:c>
      <x:c r="I287" s="14" t="n">
        <x:v>0</x:v>
      </x:c>
      <x:c r="J287" s="14" t="n">
        <x:v>25</x:v>
      </x:c>
      <x:c r="K287" s="14" t="str">
        <x:v>Topology and boundary transition</x:v>
      </x:c>
      <x:c r="L287" s="14" t="str">
        <x:v>OPEN</x:v>
      </x:c>
    </x:row>
    <x:row r="288">
      <x:c r="A288" s="15" t="str">
        <x:v>CT-284</x:v>
      </x:c>
      <x:c r="B288" s="15" t="str">
        <x:v>SPS-48</x:v>
      </x:c>
      <x:c r="C288" s="15" t="str">
        <x:v>L2</x:v>
      </x:c>
      <x:c r="D288" s="15" t="str">
        <x:v>NRC-C</x:v>
      </x:c>
      <x:c r="E288" s="15" t="str">
        <x:v>COHERENT</x:v>
      </x:c>
      <x:c r="F288" s="15" t="str">
        <x:v>T4</x:v>
      </x:c>
      <x:c r="G288" s="15" t="str">
        <x:v>Area expansion wet</x:v>
      </x:c>
      <x:c r="H288" s="15" t="n">
        <x:v>500</x:v>
      </x:c>
      <x:c r="I288" s="15" t="n">
        <x:v>24</x:v>
      </x:c>
      <x:c r="J288" s="15" t="n">
        <x:v>25</x:v>
      </x:c>
      <x:c r="K288" s="15" t="str">
        <x:v>Half-water contact</x:v>
      </x:c>
      <x:c r="L288" s="15" t="str">
        <x:v>OPEN</x:v>
      </x:c>
    </x:row>
    <x:row r="289">
      <x:c r="A289" s="14" t="str">
        <x:v>CT-285</x:v>
      </x:c>
      <x:c r="B289" s="14" t="str">
        <x:v>SPS-48</x:v>
      </x:c>
      <x:c r="C289" s="14" t="str">
        <x:v>L2</x:v>
      </x:c>
      <x:c r="D289" s="14" t="str">
        <x:v>NRC-C</x:v>
      </x:c>
      <x:c r="E289" s="14" t="str">
        <x:v>COHERENT</x:v>
      </x:c>
      <x:c r="F289" s="14" t="str">
        <x:v>T5</x:v>
      </x:c>
      <x:c r="G289" s="14" t="str">
        <x:v>Exact hydraulic</x:v>
      </x:c>
      <x:c r="H289" s="14" t="n">
        <x:v>500</x:v>
      </x:c>
      <x:c r="I289" s="14" t="n">
        <x:v>48</x:v>
      </x:c>
      <x:c r="J289" s="14" t="n">
        <x:v>25</x:v>
      </x:c>
      <x:c r="K289" s="14" t="str">
        <x:v>Complete issue and recovery</x:v>
      </x:c>
      <x:c r="L289" s="14" t="str">
        <x:v>OPEN</x:v>
      </x:c>
    </x:row>
    <x:row r="290">
      <x:c r="A290" s="15" t="str">
        <x:v>CT-286</x:v>
      </x:c>
      <x:c r="B290" s="15" t="str">
        <x:v>SPS-48</x:v>
      </x:c>
      <x:c r="C290" s="15" t="str">
        <x:v>L2</x:v>
      </x:c>
      <x:c r="D290" s="15" t="str">
        <x:v>NRC-C</x:v>
      </x:c>
      <x:c r="E290" s="15" t="str">
        <x:v>COHERENT</x:v>
      </x:c>
      <x:c r="F290" s="15" t="str">
        <x:v>T6</x:v>
      </x:c>
      <x:c r="G290" s="15" t="str">
        <x:v>Independent service</x:v>
      </x:c>
      <x:c r="H290" s="15" t="n">
        <x:v>500</x:v>
      </x:c>
      <x:c r="I290" s="15" t="n">
        <x:v>48</x:v>
      </x:c>
      <x:c r="J290" s="15" t="n">
        <x:v>25</x:v>
      </x:c>
      <x:c r="K290" s="15" t="str">
        <x:v>No host energy, network or time</x:v>
      </x:c>
      <x:c r="L290" s="15" t="str">
        <x:v>OPEN</x:v>
      </x:c>
    </x:row>
    <x:row r="291">
      <x:c r="A291" s="14" t="str">
        <x:v>CT-287</x:v>
      </x:c>
      <x:c r="B291" s="14" t="str">
        <x:v>SPS-48</x:v>
      </x:c>
      <x:c r="C291" s="14" t="str">
        <x:v>L2</x:v>
      </x:c>
      <x:c r="D291" s="14" t="str">
        <x:v>NRC-C</x:v>
      </x:c>
      <x:c r="E291" s="14" t="str">
        <x:v>COHERENT</x:v>
      </x:c>
      <x:c r="F291" s="14" t="str">
        <x:v>T7</x:v>
      </x:c>
      <x:c r="G291" s="14" t="str">
        <x:v>Receiver denial</x:v>
      </x:c>
      <x:c r="H291" s="14" t="n">
        <x:v>500</x:v>
      </x:c>
      <x:c r="I291" s="14" t="n">
        <x:v>48</x:v>
      </x:c>
      <x:c r="J291" s="14" t="n">
        <x:v>25</x:v>
      </x:c>
      <x:c r="K291" s="14" t="str">
        <x:v>Diversion and terminal custody</x:v>
      </x:c>
      <x:c r="L291" s="14" t="str">
        <x:v>OPEN</x:v>
      </x:c>
    </x:row>
    <x:row r="292">
      <x:c r="A292" s="15" t="str">
        <x:v>CT-288</x:v>
      </x:c>
      <x:c r="B292" s="15" t="str">
        <x:v>SPS-48</x:v>
      </x:c>
      <x:c r="C292" s="15" t="str">
        <x:v>L2</x:v>
      </x:c>
      <x:c r="D292" s="15" t="str">
        <x:v>NRC-C</x:v>
      </x:c>
      <x:c r="E292" s="15" t="str">
        <x:v>COHERENT</x:v>
      </x:c>
      <x:c r="F292" s="15" t="str">
        <x:v>T8</x:v>
      </x:c>
      <x:c r="G292" s="15" t="str">
        <x:v>Outside only</x:v>
      </x:c>
      <x:c r="H292" s="15" t="n">
        <x:v>500</x:v>
      </x:c>
      <x:c r="I292" s="15" t="n">
        <x:v>48</x:v>
      </x:c>
      <x:c r="J292" s="15" t="n">
        <x:v>25</x:v>
      </x:c>
      <x:c r="K292" s="15" t="str">
        <x:v>External reconstruction</x:v>
      </x:c>
      <x:c r="L292" s="15" t="str">
        <x:v>OPEN</x:v>
      </x:c>
    </x:row>
    <x:row r="293">
      <x:c r="A293" s="14" t="str">
        <x:v>CT-289</x:v>
      </x:c>
      <x:c r="B293" s="14" t="str">
        <x:v>AMR-48</x:v>
      </x:c>
      <x:c r="C293" s="14" t="str">
        <x:v>L1</x:v>
      </x:c>
      <x:c r="D293" s="14" t="str">
        <x:v>NRC-A</x:v>
      </x:c>
      <x:c r="E293" s="14" t="str">
        <x:v>DISPERSED</x:v>
      </x:c>
      <x:c r="F293" s="14" t="str">
        <x:v>T1</x:v>
      </x:c>
      <x:c r="G293" s="14" t="str">
        <x:v>Sealed zero</x:v>
      </x:c>
      <x:c r="H293" s="14" t="n">
        <x:v>0</x:v>
      </x:c>
      <x:c r="I293" s="14" t="n">
        <x:v>0</x:v>
      </x:c>
      <x:c r="J293" s="14" t="n">
        <x:v>25</x:v>
      </x:c>
      <x:c r="K293" s="14" t="str">
        <x:v>Native state, leakage and command isolation</x:v>
      </x:c>
      <x:c r="L293" s="14" t="str">
        <x:v>OPEN</x:v>
      </x:c>
    </x:row>
    <x:row r="294">
      <x:c r="A294" s="15" t="str">
        <x:v>CT-290</x:v>
      </x:c>
      <x:c r="B294" s="15" t="str">
        <x:v>AMR-48</x:v>
      </x:c>
      <x:c r="C294" s="15" t="str">
        <x:v>L1</x:v>
      </x:c>
      <x:c r="D294" s="15" t="str">
        <x:v>NRC-A</x:v>
      </x:c>
      <x:c r="E294" s="15" t="str">
        <x:v>DISPERSED</x:v>
      </x:c>
      <x:c r="F294" s="15" t="str">
        <x:v>T2</x:v>
      </x:c>
      <x:c r="G294" s="15" t="str">
        <x:v>ER-09 anchor</x:v>
      </x:c>
      <x:c r="H294" s="15" t="n">
        <x:v>500</x:v>
      </x:c>
      <x:c r="I294" s="15" t="n">
        <x:v>24</x:v>
      </x:c>
      <x:c r="J294" s="15" t="n">
        <x:v>6.25</x:v>
      </x:c>
      <x:c r="K294" s="15" t="str">
        <x:v>Parent transfer</x:v>
      </x:c>
      <x:c r="L294" s="15" t="str">
        <x:v>OPEN</x:v>
      </x:c>
    </x:row>
    <x:row r="295">
      <x:c r="A295" s="14" t="str">
        <x:v>CT-291</x:v>
      </x:c>
      <x:c r="B295" s="14" t="str">
        <x:v>AMR-48</x:v>
      </x:c>
      <x:c r="C295" s="14" t="str">
        <x:v>L1</x:v>
      </x:c>
      <x:c r="D295" s="14" t="str">
        <x:v>NRC-A</x:v>
      </x:c>
      <x:c r="E295" s="14" t="str">
        <x:v>DISPERSED</x:v>
      </x:c>
      <x:c r="F295" s="14" t="str">
        <x:v>T3</x:v>
      </x:c>
      <x:c r="G295" s="14" t="str">
        <x:v>Area expansion dry</x:v>
      </x:c>
      <x:c r="H295" s="14" t="n">
        <x:v>500</x:v>
      </x:c>
      <x:c r="I295" s="14" t="n">
        <x:v>0</x:v>
      </x:c>
      <x:c r="J295" s="14" t="n">
        <x:v>25</x:v>
      </x:c>
      <x:c r="K295" s="14" t="str">
        <x:v>Topology and boundary transition</x:v>
      </x:c>
      <x:c r="L295" s="14" t="str">
        <x:v>OPEN</x:v>
      </x:c>
    </x:row>
    <x:row r="296">
      <x:c r="A296" s="15" t="str">
        <x:v>CT-292</x:v>
      </x:c>
      <x:c r="B296" s="15" t="str">
        <x:v>AMR-48</x:v>
      </x:c>
      <x:c r="C296" s="15" t="str">
        <x:v>L1</x:v>
      </x:c>
      <x:c r="D296" s="15" t="str">
        <x:v>NRC-A</x:v>
      </x:c>
      <x:c r="E296" s="15" t="str">
        <x:v>DISPERSED</x:v>
      </x:c>
      <x:c r="F296" s="15" t="str">
        <x:v>T4</x:v>
      </x:c>
      <x:c r="G296" s="15" t="str">
        <x:v>Area expansion wet</x:v>
      </x:c>
      <x:c r="H296" s="15" t="n">
        <x:v>500</x:v>
      </x:c>
      <x:c r="I296" s="15" t="n">
        <x:v>24</x:v>
      </x:c>
      <x:c r="J296" s="15" t="n">
        <x:v>25</x:v>
      </x:c>
      <x:c r="K296" s="15" t="str">
        <x:v>Half-water contact</x:v>
      </x:c>
      <x:c r="L296" s="15" t="str">
        <x:v>OPEN</x:v>
      </x:c>
    </x:row>
    <x:row r="297">
      <x:c r="A297" s="14" t="str">
        <x:v>CT-293</x:v>
      </x:c>
      <x:c r="B297" s="14" t="str">
        <x:v>AMR-48</x:v>
      </x:c>
      <x:c r="C297" s="14" t="str">
        <x:v>L1</x:v>
      </x:c>
      <x:c r="D297" s="14" t="str">
        <x:v>NRC-A</x:v>
      </x:c>
      <x:c r="E297" s="14" t="str">
        <x:v>DISPERSED</x:v>
      </x:c>
      <x:c r="F297" s="14" t="str">
        <x:v>T5</x:v>
      </x:c>
      <x:c r="G297" s="14" t="str">
        <x:v>Exact hydraulic</x:v>
      </x:c>
      <x:c r="H297" s="14" t="n">
        <x:v>500</x:v>
      </x:c>
      <x:c r="I297" s="14" t="n">
        <x:v>48</x:v>
      </x:c>
      <x:c r="J297" s="14" t="n">
        <x:v>25</x:v>
      </x:c>
      <x:c r="K297" s="14" t="str">
        <x:v>Complete issue and recovery</x:v>
      </x:c>
      <x:c r="L297" s="14" t="str">
        <x:v>OPEN</x:v>
      </x:c>
    </x:row>
    <x:row r="298">
      <x:c r="A298" s="15" t="str">
        <x:v>CT-294</x:v>
      </x:c>
      <x:c r="B298" s="15" t="str">
        <x:v>AMR-48</x:v>
      </x:c>
      <x:c r="C298" s="15" t="str">
        <x:v>L1</x:v>
      </x:c>
      <x:c r="D298" s="15" t="str">
        <x:v>NRC-A</x:v>
      </x:c>
      <x:c r="E298" s="15" t="str">
        <x:v>DISPERSED</x:v>
      </x:c>
      <x:c r="F298" s="15" t="str">
        <x:v>T6</x:v>
      </x:c>
      <x:c r="G298" s="15" t="str">
        <x:v>Independent service</x:v>
      </x:c>
      <x:c r="H298" s="15" t="n">
        <x:v>500</x:v>
      </x:c>
      <x:c r="I298" s="15" t="n">
        <x:v>48</x:v>
      </x:c>
      <x:c r="J298" s="15" t="n">
        <x:v>25</x:v>
      </x:c>
      <x:c r="K298" s="15" t="str">
        <x:v>No host energy, network or time</x:v>
      </x:c>
      <x:c r="L298" s="15" t="str">
        <x:v>OPEN</x:v>
      </x:c>
    </x:row>
    <x:row r="299">
      <x:c r="A299" s="14" t="str">
        <x:v>CT-295</x:v>
      </x:c>
      <x:c r="B299" s="14" t="str">
        <x:v>AMR-48</x:v>
      </x:c>
      <x:c r="C299" s="14" t="str">
        <x:v>L1</x:v>
      </x:c>
      <x:c r="D299" s="14" t="str">
        <x:v>NRC-A</x:v>
      </x:c>
      <x:c r="E299" s="14" t="str">
        <x:v>DISPERSED</x:v>
      </x:c>
      <x:c r="F299" s="14" t="str">
        <x:v>T7</x:v>
      </x:c>
      <x:c r="G299" s="14" t="str">
        <x:v>Receiver denial</x:v>
      </x:c>
      <x:c r="H299" s="14" t="n">
        <x:v>500</x:v>
      </x:c>
      <x:c r="I299" s="14" t="n">
        <x:v>48</x:v>
      </x:c>
      <x:c r="J299" s="14" t="n">
        <x:v>25</x:v>
      </x:c>
      <x:c r="K299" s="14" t="str">
        <x:v>Diversion and terminal custody</x:v>
      </x:c>
      <x:c r="L299" s="14" t="str">
        <x:v>OPEN</x:v>
      </x:c>
    </x:row>
    <x:row r="300">
      <x:c r="A300" s="15" t="str">
        <x:v>CT-296</x:v>
      </x:c>
      <x:c r="B300" s="15" t="str">
        <x:v>AMR-48</x:v>
      </x:c>
      <x:c r="C300" s="15" t="str">
        <x:v>L1</x:v>
      </x:c>
      <x:c r="D300" s="15" t="str">
        <x:v>NRC-A</x:v>
      </x:c>
      <x:c r="E300" s="15" t="str">
        <x:v>DISPERSED</x:v>
      </x:c>
      <x:c r="F300" s="15" t="str">
        <x:v>T8</x:v>
      </x:c>
      <x:c r="G300" s="15" t="str">
        <x:v>Outside only</x:v>
      </x:c>
      <x:c r="H300" s="15" t="n">
        <x:v>500</x:v>
      </x:c>
      <x:c r="I300" s="15" t="n">
        <x:v>48</x:v>
      </x:c>
      <x:c r="J300" s="15" t="n">
        <x:v>25</x:v>
      </x:c>
      <x:c r="K300" s="15" t="str">
        <x:v>External reconstruction</x:v>
      </x:c>
      <x:c r="L300" s="15" t="str">
        <x:v>OPEN</x:v>
      </x:c>
    </x:row>
    <x:row r="301">
      <x:c r="A301" s="14" t="str">
        <x:v>CT-297</x:v>
      </x:c>
      <x:c r="B301" s="14" t="str">
        <x:v>AMR-48</x:v>
      </x:c>
      <x:c r="C301" s="14" t="str">
        <x:v>L1</x:v>
      </x:c>
      <x:c r="D301" s="14" t="str">
        <x:v>NRC-A</x:v>
      </x:c>
      <x:c r="E301" s="14" t="str">
        <x:v>COHERENT</x:v>
      </x:c>
      <x:c r="F301" s="14" t="str">
        <x:v>T1</x:v>
      </x:c>
      <x:c r="G301" s="14" t="str">
        <x:v>Sealed zero</x:v>
      </x:c>
      <x:c r="H301" s="14" t="n">
        <x:v>0</x:v>
      </x:c>
      <x:c r="I301" s="14" t="n">
        <x:v>0</x:v>
      </x:c>
      <x:c r="J301" s="14" t="n">
        <x:v>25</x:v>
      </x:c>
      <x:c r="K301" s="14" t="str">
        <x:v>Native state, leakage and command isolation</x:v>
      </x:c>
      <x:c r="L301" s="14" t="str">
        <x:v>OPEN</x:v>
      </x:c>
    </x:row>
    <x:row r="302">
      <x:c r="A302" s="15" t="str">
        <x:v>CT-298</x:v>
      </x:c>
      <x:c r="B302" s="15" t="str">
        <x:v>AMR-48</x:v>
      </x:c>
      <x:c r="C302" s="15" t="str">
        <x:v>L1</x:v>
      </x:c>
      <x:c r="D302" s="15" t="str">
        <x:v>NRC-A</x:v>
      </x:c>
      <x:c r="E302" s="15" t="str">
        <x:v>COHERENT</x:v>
      </x:c>
      <x:c r="F302" s="15" t="str">
        <x:v>T2</x:v>
      </x:c>
      <x:c r="G302" s="15" t="str">
        <x:v>ER-09 anchor</x:v>
      </x:c>
      <x:c r="H302" s="15" t="n">
        <x:v>500</x:v>
      </x:c>
      <x:c r="I302" s="15" t="n">
        <x:v>24</x:v>
      </x:c>
      <x:c r="J302" s="15" t="n">
        <x:v>6.25</x:v>
      </x:c>
      <x:c r="K302" s="15" t="str">
        <x:v>Parent transfer</x:v>
      </x:c>
      <x:c r="L302" s="15" t="str">
        <x:v>OPEN</x:v>
      </x:c>
    </x:row>
    <x:row r="303">
      <x:c r="A303" s="14" t="str">
        <x:v>CT-299</x:v>
      </x:c>
      <x:c r="B303" s="14" t="str">
        <x:v>AMR-48</x:v>
      </x:c>
      <x:c r="C303" s="14" t="str">
        <x:v>L1</x:v>
      </x:c>
      <x:c r="D303" s="14" t="str">
        <x:v>NRC-A</x:v>
      </x:c>
      <x:c r="E303" s="14" t="str">
        <x:v>COHERENT</x:v>
      </x:c>
      <x:c r="F303" s="14" t="str">
        <x:v>T3</x:v>
      </x:c>
      <x:c r="G303" s="14" t="str">
        <x:v>Area expansion dry</x:v>
      </x:c>
      <x:c r="H303" s="14" t="n">
        <x:v>500</x:v>
      </x:c>
      <x:c r="I303" s="14" t="n">
        <x:v>0</x:v>
      </x:c>
      <x:c r="J303" s="14" t="n">
        <x:v>25</x:v>
      </x:c>
      <x:c r="K303" s="14" t="str">
        <x:v>Topology and boundary transition</x:v>
      </x:c>
      <x:c r="L303" s="14" t="str">
        <x:v>OPEN</x:v>
      </x:c>
    </x:row>
    <x:row r="304">
      <x:c r="A304" s="15" t="str">
        <x:v>CT-300</x:v>
      </x:c>
      <x:c r="B304" s="15" t="str">
        <x:v>AMR-48</x:v>
      </x:c>
      <x:c r="C304" s="15" t="str">
        <x:v>L1</x:v>
      </x:c>
      <x:c r="D304" s="15" t="str">
        <x:v>NRC-A</x:v>
      </x:c>
      <x:c r="E304" s="15" t="str">
        <x:v>COHERENT</x:v>
      </x:c>
      <x:c r="F304" s="15" t="str">
        <x:v>T4</x:v>
      </x:c>
      <x:c r="G304" s="15" t="str">
        <x:v>Area expansion wet</x:v>
      </x:c>
      <x:c r="H304" s="15" t="n">
        <x:v>500</x:v>
      </x:c>
      <x:c r="I304" s="15" t="n">
        <x:v>24</x:v>
      </x:c>
      <x:c r="J304" s="15" t="n">
        <x:v>25</x:v>
      </x:c>
      <x:c r="K304" s="15" t="str">
        <x:v>Half-water contact</x:v>
      </x:c>
      <x:c r="L304" s="15" t="str">
        <x:v>OPEN</x:v>
      </x:c>
    </x:row>
    <x:row r="305">
      <x:c r="A305" s="14" t="str">
        <x:v>CT-301</x:v>
      </x:c>
      <x:c r="B305" s="14" t="str">
        <x:v>AMR-48</x:v>
      </x:c>
      <x:c r="C305" s="14" t="str">
        <x:v>L1</x:v>
      </x:c>
      <x:c r="D305" s="14" t="str">
        <x:v>NRC-A</x:v>
      </x:c>
      <x:c r="E305" s="14" t="str">
        <x:v>COHERENT</x:v>
      </x:c>
      <x:c r="F305" s="14" t="str">
        <x:v>T5</x:v>
      </x:c>
      <x:c r="G305" s="14" t="str">
        <x:v>Exact hydraulic</x:v>
      </x:c>
      <x:c r="H305" s="14" t="n">
        <x:v>500</x:v>
      </x:c>
      <x:c r="I305" s="14" t="n">
        <x:v>48</x:v>
      </x:c>
      <x:c r="J305" s="14" t="n">
        <x:v>25</x:v>
      </x:c>
      <x:c r="K305" s="14" t="str">
        <x:v>Complete issue and recovery</x:v>
      </x:c>
      <x:c r="L305" s="14" t="str">
        <x:v>OPEN</x:v>
      </x:c>
    </x:row>
    <x:row r="306">
      <x:c r="A306" s="15" t="str">
        <x:v>CT-302</x:v>
      </x:c>
      <x:c r="B306" s="15" t="str">
        <x:v>AMR-48</x:v>
      </x:c>
      <x:c r="C306" s="15" t="str">
        <x:v>L1</x:v>
      </x:c>
      <x:c r="D306" s="15" t="str">
        <x:v>NRC-A</x:v>
      </x:c>
      <x:c r="E306" s="15" t="str">
        <x:v>COHERENT</x:v>
      </x:c>
      <x:c r="F306" s="15" t="str">
        <x:v>T6</x:v>
      </x:c>
      <x:c r="G306" s="15" t="str">
        <x:v>Independent service</x:v>
      </x:c>
      <x:c r="H306" s="15" t="n">
        <x:v>500</x:v>
      </x:c>
      <x:c r="I306" s="15" t="n">
        <x:v>48</x:v>
      </x:c>
      <x:c r="J306" s="15" t="n">
        <x:v>25</x:v>
      </x:c>
      <x:c r="K306" s="15" t="str">
        <x:v>No host energy, network or time</x:v>
      </x:c>
      <x:c r="L306" s="15" t="str">
        <x:v>OPEN</x:v>
      </x:c>
    </x:row>
    <x:row r="307">
      <x:c r="A307" s="14" t="str">
        <x:v>CT-303</x:v>
      </x:c>
      <x:c r="B307" s="14" t="str">
        <x:v>AMR-48</x:v>
      </x:c>
      <x:c r="C307" s="14" t="str">
        <x:v>L1</x:v>
      </x:c>
      <x:c r="D307" s="14" t="str">
        <x:v>NRC-A</x:v>
      </x:c>
      <x:c r="E307" s="14" t="str">
        <x:v>COHERENT</x:v>
      </x:c>
      <x:c r="F307" s="14" t="str">
        <x:v>T7</x:v>
      </x:c>
      <x:c r="G307" s="14" t="str">
        <x:v>Receiver denial</x:v>
      </x:c>
      <x:c r="H307" s="14" t="n">
        <x:v>500</x:v>
      </x:c>
      <x:c r="I307" s="14" t="n">
        <x:v>48</x:v>
      </x:c>
      <x:c r="J307" s="14" t="n">
        <x:v>25</x:v>
      </x:c>
      <x:c r="K307" s="14" t="str">
        <x:v>Diversion and terminal custody</x:v>
      </x:c>
      <x:c r="L307" s="14" t="str">
        <x:v>OPEN</x:v>
      </x:c>
    </x:row>
    <x:row r="308">
      <x:c r="A308" s="15" t="str">
        <x:v>CT-304</x:v>
      </x:c>
      <x:c r="B308" s="15" t="str">
        <x:v>AMR-48</x:v>
      </x:c>
      <x:c r="C308" s="15" t="str">
        <x:v>L1</x:v>
      </x:c>
      <x:c r="D308" s="15" t="str">
        <x:v>NRC-A</x:v>
      </x:c>
      <x:c r="E308" s="15" t="str">
        <x:v>COHERENT</x:v>
      </x:c>
      <x:c r="F308" s="15" t="str">
        <x:v>T8</x:v>
      </x:c>
      <x:c r="G308" s="15" t="str">
        <x:v>Outside only</x:v>
      </x:c>
      <x:c r="H308" s="15" t="n">
        <x:v>500</x:v>
      </x:c>
      <x:c r="I308" s="15" t="n">
        <x:v>48</x:v>
      </x:c>
      <x:c r="J308" s="15" t="n">
        <x:v>25</x:v>
      </x:c>
      <x:c r="K308" s="15" t="str">
        <x:v>External reconstruction</x:v>
      </x:c>
      <x:c r="L308" s="15" t="str">
        <x:v>OPEN</x:v>
      </x:c>
    </x:row>
    <x:row r="309">
      <x:c r="A309" s="14" t="str">
        <x:v>CT-305</x:v>
      </x:c>
      <x:c r="B309" s="14" t="str">
        <x:v>AMR-48</x:v>
      </x:c>
      <x:c r="C309" s="14" t="str">
        <x:v>L1</x:v>
      </x:c>
      <x:c r="D309" s="14" t="str">
        <x:v>NRC-B</x:v>
      </x:c>
      <x:c r="E309" s="14" t="str">
        <x:v>DISPERSED</x:v>
      </x:c>
      <x:c r="F309" s="14" t="str">
        <x:v>T1</x:v>
      </x:c>
      <x:c r="G309" s="14" t="str">
        <x:v>Sealed zero</x:v>
      </x:c>
      <x:c r="H309" s="14" t="n">
        <x:v>0</x:v>
      </x:c>
      <x:c r="I309" s="14" t="n">
        <x:v>0</x:v>
      </x:c>
      <x:c r="J309" s="14" t="n">
        <x:v>25</x:v>
      </x:c>
      <x:c r="K309" s="14" t="str">
        <x:v>Native state, leakage and command isolation</x:v>
      </x:c>
      <x:c r="L309" s="14" t="str">
        <x:v>OPEN</x:v>
      </x:c>
    </x:row>
    <x:row r="310">
      <x:c r="A310" s="15" t="str">
        <x:v>CT-306</x:v>
      </x:c>
      <x:c r="B310" s="15" t="str">
        <x:v>AMR-48</x:v>
      </x:c>
      <x:c r="C310" s="15" t="str">
        <x:v>L1</x:v>
      </x:c>
      <x:c r="D310" s="15" t="str">
        <x:v>NRC-B</x:v>
      </x:c>
      <x:c r="E310" s="15" t="str">
        <x:v>DISPERSED</x:v>
      </x:c>
      <x:c r="F310" s="15" t="str">
        <x:v>T2</x:v>
      </x:c>
      <x:c r="G310" s="15" t="str">
        <x:v>ER-09 anchor</x:v>
      </x:c>
      <x:c r="H310" s="15" t="n">
        <x:v>500</x:v>
      </x:c>
      <x:c r="I310" s="15" t="n">
        <x:v>24</x:v>
      </x:c>
      <x:c r="J310" s="15" t="n">
        <x:v>6.25</x:v>
      </x:c>
      <x:c r="K310" s="15" t="str">
        <x:v>Parent transfer</x:v>
      </x:c>
      <x:c r="L310" s="15" t="str">
        <x:v>OPEN</x:v>
      </x:c>
    </x:row>
    <x:row r="311">
      <x:c r="A311" s="14" t="str">
        <x:v>CT-307</x:v>
      </x:c>
      <x:c r="B311" s="14" t="str">
        <x:v>AMR-48</x:v>
      </x:c>
      <x:c r="C311" s="14" t="str">
        <x:v>L1</x:v>
      </x:c>
      <x:c r="D311" s="14" t="str">
        <x:v>NRC-B</x:v>
      </x:c>
      <x:c r="E311" s="14" t="str">
        <x:v>DISPERSED</x:v>
      </x:c>
      <x:c r="F311" s="14" t="str">
        <x:v>T3</x:v>
      </x:c>
      <x:c r="G311" s="14" t="str">
        <x:v>Area expansion dry</x:v>
      </x:c>
      <x:c r="H311" s="14" t="n">
        <x:v>500</x:v>
      </x:c>
      <x:c r="I311" s="14" t="n">
        <x:v>0</x:v>
      </x:c>
      <x:c r="J311" s="14" t="n">
        <x:v>25</x:v>
      </x:c>
      <x:c r="K311" s="14" t="str">
        <x:v>Topology and boundary transition</x:v>
      </x:c>
      <x:c r="L311" s="14" t="str">
        <x:v>OPEN</x:v>
      </x:c>
    </x:row>
    <x:row r="312">
      <x:c r="A312" s="15" t="str">
        <x:v>CT-308</x:v>
      </x:c>
      <x:c r="B312" s="15" t="str">
        <x:v>AMR-48</x:v>
      </x:c>
      <x:c r="C312" s="15" t="str">
        <x:v>L1</x:v>
      </x:c>
      <x:c r="D312" s="15" t="str">
        <x:v>NRC-B</x:v>
      </x:c>
      <x:c r="E312" s="15" t="str">
        <x:v>DISPERSED</x:v>
      </x:c>
      <x:c r="F312" s="15" t="str">
        <x:v>T4</x:v>
      </x:c>
      <x:c r="G312" s="15" t="str">
        <x:v>Area expansion wet</x:v>
      </x:c>
      <x:c r="H312" s="15" t="n">
        <x:v>500</x:v>
      </x:c>
      <x:c r="I312" s="15" t="n">
        <x:v>24</x:v>
      </x:c>
      <x:c r="J312" s="15" t="n">
        <x:v>25</x:v>
      </x:c>
      <x:c r="K312" s="15" t="str">
        <x:v>Half-water contact</x:v>
      </x:c>
      <x:c r="L312" s="15" t="str">
        <x:v>OPEN</x:v>
      </x:c>
    </x:row>
    <x:row r="313">
      <x:c r="A313" s="14" t="str">
        <x:v>CT-309</x:v>
      </x:c>
      <x:c r="B313" s="14" t="str">
        <x:v>AMR-48</x:v>
      </x:c>
      <x:c r="C313" s="14" t="str">
        <x:v>L1</x:v>
      </x:c>
      <x:c r="D313" s="14" t="str">
        <x:v>NRC-B</x:v>
      </x:c>
      <x:c r="E313" s="14" t="str">
        <x:v>DISPERSED</x:v>
      </x:c>
      <x:c r="F313" s="14" t="str">
        <x:v>T5</x:v>
      </x:c>
      <x:c r="G313" s="14" t="str">
        <x:v>Exact hydraulic</x:v>
      </x:c>
      <x:c r="H313" s="14" t="n">
        <x:v>500</x:v>
      </x:c>
      <x:c r="I313" s="14" t="n">
        <x:v>48</x:v>
      </x:c>
      <x:c r="J313" s="14" t="n">
        <x:v>25</x:v>
      </x:c>
      <x:c r="K313" s="14" t="str">
        <x:v>Complete issue and recovery</x:v>
      </x:c>
      <x:c r="L313" s="14" t="str">
        <x:v>OPEN</x:v>
      </x:c>
    </x:row>
    <x:row r="314">
      <x:c r="A314" s="15" t="str">
        <x:v>CT-310</x:v>
      </x:c>
      <x:c r="B314" s="15" t="str">
        <x:v>AMR-48</x:v>
      </x:c>
      <x:c r="C314" s="15" t="str">
        <x:v>L1</x:v>
      </x:c>
      <x:c r="D314" s="15" t="str">
        <x:v>NRC-B</x:v>
      </x:c>
      <x:c r="E314" s="15" t="str">
        <x:v>DISPERSED</x:v>
      </x:c>
      <x:c r="F314" s="15" t="str">
        <x:v>T6</x:v>
      </x:c>
      <x:c r="G314" s="15" t="str">
        <x:v>Independent service</x:v>
      </x:c>
      <x:c r="H314" s="15" t="n">
        <x:v>500</x:v>
      </x:c>
      <x:c r="I314" s="15" t="n">
        <x:v>48</x:v>
      </x:c>
      <x:c r="J314" s="15" t="n">
        <x:v>25</x:v>
      </x:c>
      <x:c r="K314" s="15" t="str">
        <x:v>No host energy, network or time</x:v>
      </x:c>
      <x:c r="L314" s="15" t="str">
        <x:v>OPEN</x:v>
      </x:c>
    </x:row>
    <x:row r="315">
      <x:c r="A315" s="14" t="str">
        <x:v>CT-311</x:v>
      </x:c>
      <x:c r="B315" s="14" t="str">
        <x:v>AMR-48</x:v>
      </x:c>
      <x:c r="C315" s="14" t="str">
        <x:v>L1</x:v>
      </x:c>
      <x:c r="D315" s="14" t="str">
        <x:v>NRC-B</x:v>
      </x:c>
      <x:c r="E315" s="14" t="str">
        <x:v>DISPERSED</x:v>
      </x:c>
      <x:c r="F315" s="14" t="str">
        <x:v>T7</x:v>
      </x:c>
      <x:c r="G315" s="14" t="str">
        <x:v>Receiver denial</x:v>
      </x:c>
      <x:c r="H315" s="14" t="n">
        <x:v>500</x:v>
      </x:c>
      <x:c r="I315" s="14" t="n">
        <x:v>48</x:v>
      </x:c>
      <x:c r="J315" s="14" t="n">
        <x:v>25</x:v>
      </x:c>
      <x:c r="K315" s="14" t="str">
        <x:v>Diversion and terminal custody</x:v>
      </x:c>
      <x:c r="L315" s="14" t="str">
        <x:v>OPEN</x:v>
      </x:c>
    </x:row>
    <x:row r="316">
      <x:c r="A316" s="15" t="str">
        <x:v>CT-312</x:v>
      </x:c>
      <x:c r="B316" s="15" t="str">
        <x:v>AMR-48</x:v>
      </x:c>
      <x:c r="C316" s="15" t="str">
        <x:v>L1</x:v>
      </x:c>
      <x:c r="D316" s="15" t="str">
        <x:v>NRC-B</x:v>
      </x:c>
      <x:c r="E316" s="15" t="str">
        <x:v>DISPERSED</x:v>
      </x:c>
      <x:c r="F316" s="15" t="str">
        <x:v>T8</x:v>
      </x:c>
      <x:c r="G316" s="15" t="str">
        <x:v>Outside only</x:v>
      </x:c>
      <x:c r="H316" s="15" t="n">
        <x:v>500</x:v>
      </x:c>
      <x:c r="I316" s="15" t="n">
        <x:v>48</x:v>
      </x:c>
      <x:c r="J316" s="15" t="n">
        <x:v>25</x:v>
      </x:c>
      <x:c r="K316" s="15" t="str">
        <x:v>External reconstruction</x:v>
      </x:c>
      <x:c r="L316" s="15" t="str">
        <x:v>OPEN</x:v>
      </x:c>
    </x:row>
    <x:row r="317">
      <x:c r="A317" s="14" t="str">
        <x:v>CT-313</x:v>
      </x:c>
      <x:c r="B317" s="14" t="str">
        <x:v>AMR-48</x:v>
      </x:c>
      <x:c r="C317" s="14" t="str">
        <x:v>L1</x:v>
      </x:c>
      <x:c r="D317" s="14" t="str">
        <x:v>NRC-B</x:v>
      </x:c>
      <x:c r="E317" s="14" t="str">
        <x:v>COHERENT</x:v>
      </x:c>
      <x:c r="F317" s="14" t="str">
        <x:v>T1</x:v>
      </x:c>
      <x:c r="G317" s="14" t="str">
        <x:v>Sealed zero</x:v>
      </x:c>
      <x:c r="H317" s="14" t="n">
        <x:v>0</x:v>
      </x:c>
      <x:c r="I317" s="14" t="n">
        <x:v>0</x:v>
      </x:c>
      <x:c r="J317" s="14" t="n">
        <x:v>25</x:v>
      </x:c>
      <x:c r="K317" s="14" t="str">
        <x:v>Native state, leakage and command isolation</x:v>
      </x:c>
      <x:c r="L317" s="14" t="str">
        <x:v>OPEN</x:v>
      </x:c>
    </x:row>
    <x:row r="318">
      <x:c r="A318" s="15" t="str">
        <x:v>CT-314</x:v>
      </x:c>
      <x:c r="B318" s="15" t="str">
        <x:v>AMR-48</x:v>
      </x:c>
      <x:c r="C318" s="15" t="str">
        <x:v>L1</x:v>
      </x:c>
      <x:c r="D318" s="15" t="str">
        <x:v>NRC-B</x:v>
      </x:c>
      <x:c r="E318" s="15" t="str">
        <x:v>COHERENT</x:v>
      </x:c>
      <x:c r="F318" s="15" t="str">
        <x:v>T2</x:v>
      </x:c>
      <x:c r="G318" s="15" t="str">
        <x:v>ER-09 anchor</x:v>
      </x:c>
      <x:c r="H318" s="15" t="n">
        <x:v>500</x:v>
      </x:c>
      <x:c r="I318" s="15" t="n">
        <x:v>24</x:v>
      </x:c>
      <x:c r="J318" s="15" t="n">
        <x:v>6.25</x:v>
      </x:c>
      <x:c r="K318" s="15" t="str">
        <x:v>Parent transfer</x:v>
      </x:c>
      <x:c r="L318" s="15" t="str">
        <x:v>OPEN</x:v>
      </x:c>
    </x:row>
    <x:row r="319">
      <x:c r="A319" s="14" t="str">
        <x:v>CT-315</x:v>
      </x:c>
      <x:c r="B319" s="14" t="str">
        <x:v>AMR-48</x:v>
      </x:c>
      <x:c r="C319" s="14" t="str">
        <x:v>L1</x:v>
      </x:c>
      <x:c r="D319" s="14" t="str">
        <x:v>NRC-B</x:v>
      </x:c>
      <x:c r="E319" s="14" t="str">
        <x:v>COHERENT</x:v>
      </x:c>
      <x:c r="F319" s="14" t="str">
        <x:v>T3</x:v>
      </x:c>
      <x:c r="G319" s="14" t="str">
        <x:v>Area expansion dry</x:v>
      </x:c>
      <x:c r="H319" s="14" t="n">
        <x:v>500</x:v>
      </x:c>
      <x:c r="I319" s="14" t="n">
        <x:v>0</x:v>
      </x:c>
      <x:c r="J319" s="14" t="n">
        <x:v>25</x:v>
      </x:c>
      <x:c r="K319" s="14" t="str">
        <x:v>Topology and boundary transition</x:v>
      </x:c>
      <x:c r="L319" s="14" t="str">
        <x:v>OPEN</x:v>
      </x:c>
    </x:row>
    <x:row r="320">
      <x:c r="A320" s="15" t="str">
        <x:v>CT-316</x:v>
      </x:c>
      <x:c r="B320" s="15" t="str">
        <x:v>AMR-48</x:v>
      </x:c>
      <x:c r="C320" s="15" t="str">
        <x:v>L1</x:v>
      </x:c>
      <x:c r="D320" s="15" t="str">
        <x:v>NRC-B</x:v>
      </x:c>
      <x:c r="E320" s="15" t="str">
        <x:v>COHERENT</x:v>
      </x:c>
      <x:c r="F320" s="15" t="str">
        <x:v>T4</x:v>
      </x:c>
      <x:c r="G320" s="15" t="str">
        <x:v>Area expansion wet</x:v>
      </x:c>
      <x:c r="H320" s="15" t="n">
        <x:v>500</x:v>
      </x:c>
      <x:c r="I320" s="15" t="n">
        <x:v>24</x:v>
      </x:c>
      <x:c r="J320" s="15" t="n">
        <x:v>25</x:v>
      </x:c>
      <x:c r="K320" s="15" t="str">
        <x:v>Half-water contact</x:v>
      </x:c>
      <x:c r="L320" s="15" t="str">
        <x:v>OPEN</x:v>
      </x:c>
    </x:row>
    <x:row r="321">
      <x:c r="A321" s="14" t="str">
        <x:v>CT-317</x:v>
      </x:c>
      <x:c r="B321" s="14" t="str">
        <x:v>AMR-48</x:v>
      </x:c>
      <x:c r="C321" s="14" t="str">
        <x:v>L1</x:v>
      </x:c>
      <x:c r="D321" s="14" t="str">
        <x:v>NRC-B</x:v>
      </x:c>
      <x:c r="E321" s="14" t="str">
        <x:v>COHERENT</x:v>
      </x:c>
      <x:c r="F321" s="14" t="str">
        <x:v>T5</x:v>
      </x:c>
      <x:c r="G321" s="14" t="str">
        <x:v>Exact hydraulic</x:v>
      </x:c>
      <x:c r="H321" s="14" t="n">
        <x:v>500</x:v>
      </x:c>
      <x:c r="I321" s="14" t="n">
        <x:v>48</x:v>
      </x:c>
      <x:c r="J321" s="14" t="n">
        <x:v>25</x:v>
      </x:c>
      <x:c r="K321" s="14" t="str">
        <x:v>Complete issue and recovery</x:v>
      </x:c>
      <x:c r="L321" s="14" t="str">
        <x:v>OPEN</x:v>
      </x:c>
    </x:row>
    <x:row r="322">
      <x:c r="A322" s="15" t="str">
        <x:v>CT-318</x:v>
      </x:c>
      <x:c r="B322" s="15" t="str">
        <x:v>AMR-48</x:v>
      </x:c>
      <x:c r="C322" s="15" t="str">
        <x:v>L1</x:v>
      </x:c>
      <x:c r="D322" s="15" t="str">
        <x:v>NRC-B</x:v>
      </x:c>
      <x:c r="E322" s="15" t="str">
        <x:v>COHERENT</x:v>
      </x:c>
      <x:c r="F322" s="15" t="str">
        <x:v>T6</x:v>
      </x:c>
      <x:c r="G322" s="15" t="str">
        <x:v>Independent service</x:v>
      </x:c>
      <x:c r="H322" s="15" t="n">
        <x:v>500</x:v>
      </x:c>
      <x:c r="I322" s="15" t="n">
        <x:v>48</x:v>
      </x:c>
      <x:c r="J322" s="15" t="n">
        <x:v>25</x:v>
      </x:c>
      <x:c r="K322" s="15" t="str">
        <x:v>No host energy, network or time</x:v>
      </x:c>
      <x:c r="L322" s="15" t="str">
        <x:v>OPEN</x:v>
      </x:c>
    </x:row>
    <x:row r="323">
      <x:c r="A323" s="14" t="str">
        <x:v>CT-319</x:v>
      </x:c>
      <x:c r="B323" s="14" t="str">
        <x:v>AMR-48</x:v>
      </x:c>
      <x:c r="C323" s="14" t="str">
        <x:v>L1</x:v>
      </x:c>
      <x:c r="D323" s="14" t="str">
        <x:v>NRC-B</x:v>
      </x:c>
      <x:c r="E323" s="14" t="str">
        <x:v>COHERENT</x:v>
      </x:c>
      <x:c r="F323" s="14" t="str">
        <x:v>T7</x:v>
      </x:c>
      <x:c r="G323" s="14" t="str">
        <x:v>Receiver denial</x:v>
      </x:c>
      <x:c r="H323" s="14" t="n">
        <x:v>500</x:v>
      </x:c>
      <x:c r="I323" s="14" t="n">
        <x:v>48</x:v>
      </x:c>
      <x:c r="J323" s="14" t="n">
        <x:v>25</x:v>
      </x:c>
      <x:c r="K323" s="14" t="str">
        <x:v>Diversion and terminal custody</x:v>
      </x:c>
      <x:c r="L323" s="14" t="str">
        <x:v>OPEN</x:v>
      </x:c>
    </x:row>
    <x:row r="324">
      <x:c r="A324" s="15" t="str">
        <x:v>CT-320</x:v>
      </x:c>
      <x:c r="B324" s="15" t="str">
        <x:v>AMR-48</x:v>
      </x:c>
      <x:c r="C324" s="15" t="str">
        <x:v>L1</x:v>
      </x:c>
      <x:c r="D324" s="15" t="str">
        <x:v>NRC-B</x:v>
      </x:c>
      <x:c r="E324" s="15" t="str">
        <x:v>COHERENT</x:v>
      </x:c>
      <x:c r="F324" s="15" t="str">
        <x:v>T8</x:v>
      </x:c>
      <x:c r="G324" s="15" t="str">
        <x:v>Outside only</x:v>
      </x:c>
      <x:c r="H324" s="15" t="n">
        <x:v>500</x:v>
      </x:c>
      <x:c r="I324" s="15" t="n">
        <x:v>48</x:v>
      </x:c>
      <x:c r="J324" s="15" t="n">
        <x:v>25</x:v>
      </x:c>
      <x:c r="K324" s="15" t="str">
        <x:v>External reconstruction</x:v>
      </x:c>
      <x:c r="L324" s="15" t="str">
        <x:v>OPEN</x:v>
      </x:c>
    </x:row>
    <x:row r="325">
      <x:c r="A325" s="14" t="str">
        <x:v>CT-321</x:v>
      </x:c>
      <x:c r="B325" s="14" t="str">
        <x:v>AMR-48</x:v>
      </x:c>
      <x:c r="C325" s="14" t="str">
        <x:v>L1</x:v>
      </x:c>
      <x:c r="D325" s="14" t="str">
        <x:v>NRC-C</x:v>
      </x:c>
      <x:c r="E325" s="14" t="str">
        <x:v>DISPERSED</x:v>
      </x:c>
      <x:c r="F325" s="14" t="str">
        <x:v>T1</x:v>
      </x:c>
      <x:c r="G325" s="14" t="str">
        <x:v>Sealed zero</x:v>
      </x:c>
      <x:c r="H325" s="14" t="n">
        <x:v>0</x:v>
      </x:c>
      <x:c r="I325" s="14" t="n">
        <x:v>0</x:v>
      </x:c>
      <x:c r="J325" s="14" t="n">
        <x:v>25</x:v>
      </x:c>
      <x:c r="K325" s="14" t="str">
        <x:v>Native state, leakage and command isolation</x:v>
      </x:c>
      <x:c r="L325" s="14" t="str">
        <x:v>OPEN</x:v>
      </x:c>
    </x:row>
    <x:row r="326">
      <x:c r="A326" s="15" t="str">
        <x:v>CT-322</x:v>
      </x:c>
      <x:c r="B326" s="15" t="str">
        <x:v>AMR-48</x:v>
      </x:c>
      <x:c r="C326" s="15" t="str">
        <x:v>L1</x:v>
      </x:c>
      <x:c r="D326" s="15" t="str">
        <x:v>NRC-C</x:v>
      </x:c>
      <x:c r="E326" s="15" t="str">
        <x:v>DISPERSED</x:v>
      </x:c>
      <x:c r="F326" s="15" t="str">
        <x:v>T2</x:v>
      </x:c>
      <x:c r="G326" s="15" t="str">
        <x:v>ER-09 anchor</x:v>
      </x:c>
      <x:c r="H326" s="15" t="n">
        <x:v>500</x:v>
      </x:c>
      <x:c r="I326" s="15" t="n">
        <x:v>24</x:v>
      </x:c>
      <x:c r="J326" s="15" t="n">
        <x:v>6.25</x:v>
      </x:c>
      <x:c r="K326" s="15" t="str">
        <x:v>Parent transfer</x:v>
      </x:c>
      <x:c r="L326" s="15" t="str">
        <x:v>OPEN</x:v>
      </x:c>
    </x:row>
    <x:row r="327">
      <x:c r="A327" s="14" t="str">
        <x:v>CT-323</x:v>
      </x:c>
      <x:c r="B327" s="14" t="str">
        <x:v>AMR-48</x:v>
      </x:c>
      <x:c r="C327" s="14" t="str">
        <x:v>L1</x:v>
      </x:c>
      <x:c r="D327" s="14" t="str">
        <x:v>NRC-C</x:v>
      </x:c>
      <x:c r="E327" s="14" t="str">
        <x:v>DISPERSED</x:v>
      </x:c>
      <x:c r="F327" s="14" t="str">
        <x:v>T3</x:v>
      </x:c>
      <x:c r="G327" s="14" t="str">
        <x:v>Area expansion dry</x:v>
      </x:c>
      <x:c r="H327" s="14" t="n">
        <x:v>500</x:v>
      </x:c>
      <x:c r="I327" s="14" t="n">
        <x:v>0</x:v>
      </x:c>
      <x:c r="J327" s="14" t="n">
        <x:v>25</x:v>
      </x:c>
      <x:c r="K327" s="14" t="str">
        <x:v>Topology and boundary transition</x:v>
      </x:c>
      <x:c r="L327" s="14" t="str">
        <x:v>OPEN</x:v>
      </x:c>
    </x:row>
    <x:row r="328">
      <x:c r="A328" s="15" t="str">
        <x:v>CT-324</x:v>
      </x:c>
      <x:c r="B328" s="15" t="str">
        <x:v>AMR-48</x:v>
      </x:c>
      <x:c r="C328" s="15" t="str">
        <x:v>L1</x:v>
      </x:c>
      <x:c r="D328" s="15" t="str">
        <x:v>NRC-C</x:v>
      </x:c>
      <x:c r="E328" s="15" t="str">
        <x:v>DISPERSED</x:v>
      </x:c>
      <x:c r="F328" s="15" t="str">
        <x:v>T4</x:v>
      </x:c>
      <x:c r="G328" s="15" t="str">
        <x:v>Area expansion wet</x:v>
      </x:c>
      <x:c r="H328" s="15" t="n">
        <x:v>500</x:v>
      </x:c>
      <x:c r="I328" s="15" t="n">
        <x:v>24</x:v>
      </x:c>
      <x:c r="J328" s="15" t="n">
        <x:v>25</x:v>
      </x:c>
      <x:c r="K328" s="15" t="str">
        <x:v>Half-water contact</x:v>
      </x:c>
      <x:c r="L328" s="15" t="str">
        <x:v>OPEN</x:v>
      </x:c>
    </x:row>
    <x:row r="329">
      <x:c r="A329" s="14" t="str">
        <x:v>CT-325</x:v>
      </x:c>
      <x:c r="B329" s="14" t="str">
        <x:v>AMR-48</x:v>
      </x:c>
      <x:c r="C329" s="14" t="str">
        <x:v>L1</x:v>
      </x:c>
      <x:c r="D329" s="14" t="str">
        <x:v>NRC-C</x:v>
      </x:c>
      <x:c r="E329" s="14" t="str">
        <x:v>DISPERSED</x:v>
      </x:c>
      <x:c r="F329" s="14" t="str">
        <x:v>T5</x:v>
      </x:c>
      <x:c r="G329" s="14" t="str">
        <x:v>Exact hydraulic</x:v>
      </x:c>
      <x:c r="H329" s="14" t="n">
        <x:v>500</x:v>
      </x:c>
      <x:c r="I329" s="14" t="n">
        <x:v>48</x:v>
      </x:c>
      <x:c r="J329" s="14" t="n">
        <x:v>25</x:v>
      </x:c>
      <x:c r="K329" s="14" t="str">
        <x:v>Complete issue and recovery</x:v>
      </x:c>
      <x:c r="L329" s="14" t="str">
        <x:v>OPEN</x:v>
      </x:c>
    </x:row>
    <x:row r="330">
      <x:c r="A330" s="15" t="str">
        <x:v>CT-326</x:v>
      </x:c>
      <x:c r="B330" s="15" t="str">
        <x:v>AMR-48</x:v>
      </x:c>
      <x:c r="C330" s="15" t="str">
        <x:v>L1</x:v>
      </x:c>
      <x:c r="D330" s="15" t="str">
        <x:v>NRC-C</x:v>
      </x:c>
      <x:c r="E330" s="15" t="str">
        <x:v>DISPERSED</x:v>
      </x:c>
      <x:c r="F330" s="15" t="str">
        <x:v>T6</x:v>
      </x:c>
      <x:c r="G330" s="15" t="str">
        <x:v>Independent service</x:v>
      </x:c>
      <x:c r="H330" s="15" t="n">
        <x:v>500</x:v>
      </x:c>
      <x:c r="I330" s="15" t="n">
        <x:v>48</x:v>
      </x:c>
      <x:c r="J330" s="15" t="n">
        <x:v>25</x:v>
      </x:c>
      <x:c r="K330" s="15" t="str">
        <x:v>No host energy, network or time</x:v>
      </x:c>
      <x:c r="L330" s="15" t="str">
        <x:v>OPEN</x:v>
      </x:c>
    </x:row>
    <x:row r="331">
      <x:c r="A331" s="14" t="str">
        <x:v>CT-327</x:v>
      </x:c>
      <x:c r="B331" s="14" t="str">
        <x:v>AMR-48</x:v>
      </x:c>
      <x:c r="C331" s="14" t="str">
        <x:v>L1</x:v>
      </x:c>
      <x:c r="D331" s="14" t="str">
        <x:v>NRC-C</x:v>
      </x:c>
      <x:c r="E331" s="14" t="str">
        <x:v>DISPERSED</x:v>
      </x:c>
      <x:c r="F331" s="14" t="str">
        <x:v>T7</x:v>
      </x:c>
      <x:c r="G331" s="14" t="str">
        <x:v>Receiver denial</x:v>
      </x:c>
      <x:c r="H331" s="14" t="n">
        <x:v>500</x:v>
      </x:c>
      <x:c r="I331" s="14" t="n">
        <x:v>48</x:v>
      </x:c>
      <x:c r="J331" s="14" t="n">
        <x:v>25</x:v>
      </x:c>
      <x:c r="K331" s="14" t="str">
        <x:v>Diversion and terminal custody</x:v>
      </x:c>
      <x:c r="L331" s="14" t="str">
        <x:v>OPEN</x:v>
      </x:c>
    </x:row>
    <x:row r="332">
      <x:c r="A332" s="15" t="str">
        <x:v>CT-328</x:v>
      </x:c>
      <x:c r="B332" s="15" t="str">
        <x:v>AMR-48</x:v>
      </x:c>
      <x:c r="C332" s="15" t="str">
        <x:v>L1</x:v>
      </x:c>
      <x:c r="D332" s="15" t="str">
        <x:v>NRC-C</x:v>
      </x:c>
      <x:c r="E332" s="15" t="str">
        <x:v>DISPERSED</x:v>
      </x:c>
      <x:c r="F332" s="15" t="str">
        <x:v>T8</x:v>
      </x:c>
      <x:c r="G332" s="15" t="str">
        <x:v>Outside only</x:v>
      </x:c>
      <x:c r="H332" s="15" t="n">
        <x:v>500</x:v>
      </x:c>
      <x:c r="I332" s="15" t="n">
        <x:v>48</x:v>
      </x:c>
      <x:c r="J332" s="15" t="n">
        <x:v>25</x:v>
      </x:c>
      <x:c r="K332" s="15" t="str">
        <x:v>External reconstruction</x:v>
      </x:c>
      <x:c r="L332" s="15" t="str">
        <x:v>OPEN</x:v>
      </x:c>
    </x:row>
    <x:row r="333">
      <x:c r="A333" s="14" t="str">
        <x:v>CT-329</x:v>
      </x:c>
      <x:c r="B333" s="14" t="str">
        <x:v>AMR-48</x:v>
      </x:c>
      <x:c r="C333" s="14" t="str">
        <x:v>L1</x:v>
      </x:c>
      <x:c r="D333" s="14" t="str">
        <x:v>NRC-C</x:v>
      </x:c>
      <x:c r="E333" s="14" t="str">
        <x:v>COHERENT</x:v>
      </x:c>
      <x:c r="F333" s="14" t="str">
        <x:v>T1</x:v>
      </x:c>
      <x:c r="G333" s="14" t="str">
        <x:v>Sealed zero</x:v>
      </x:c>
      <x:c r="H333" s="14" t="n">
        <x:v>0</x:v>
      </x:c>
      <x:c r="I333" s="14" t="n">
        <x:v>0</x:v>
      </x:c>
      <x:c r="J333" s="14" t="n">
        <x:v>25</x:v>
      </x:c>
      <x:c r="K333" s="14" t="str">
        <x:v>Native state, leakage and command isolation</x:v>
      </x:c>
      <x:c r="L333" s="14" t="str">
        <x:v>OPEN</x:v>
      </x:c>
    </x:row>
    <x:row r="334">
      <x:c r="A334" s="15" t="str">
        <x:v>CT-330</x:v>
      </x:c>
      <x:c r="B334" s="15" t="str">
        <x:v>AMR-48</x:v>
      </x:c>
      <x:c r="C334" s="15" t="str">
        <x:v>L1</x:v>
      </x:c>
      <x:c r="D334" s="15" t="str">
        <x:v>NRC-C</x:v>
      </x:c>
      <x:c r="E334" s="15" t="str">
        <x:v>COHERENT</x:v>
      </x:c>
      <x:c r="F334" s="15" t="str">
        <x:v>T2</x:v>
      </x:c>
      <x:c r="G334" s="15" t="str">
        <x:v>ER-09 anchor</x:v>
      </x:c>
      <x:c r="H334" s="15" t="n">
        <x:v>500</x:v>
      </x:c>
      <x:c r="I334" s="15" t="n">
        <x:v>24</x:v>
      </x:c>
      <x:c r="J334" s="15" t="n">
        <x:v>6.25</x:v>
      </x:c>
      <x:c r="K334" s="15" t="str">
        <x:v>Parent transfer</x:v>
      </x:c>
      <x:c r="L334" s="15" t="str">
        <x:v>OPEN</x:v>
      </x:c>
    </x:row>
    <x:row r="335">
      <x:c r="A335" s="14" t="str">
        <x:v>CT-331</x:v>
      </x:c>
      <x:c r="B335" s="14" t="str">
        <x:v>AMR-48</x:v>
      </x:c>
      <x:c r="C335" s="14" t="str">
        <x:v>L1</x:v>
      </x:c>
      <x:c r="D335" s="14" t="str">
        <x:v>NRC-C</x:v>
      </x:c>
      <x:c r="E335" s="14" t="str">
        <x:v>COHERENT</x:v>
      </x:c>
      <x:c r="F335" s="14" t="str">
        <x:v>T3</x:v>
      </x:c>
      <x:c r="G335" s="14" t="str">
        <x:v>Area expansion dry</x:v>
      </x:c>
      <x:c r="H335" s="14" t="n">
        <x:v>500</x:v>
      </x:c>
      <x:c r="I335" s="14" t="n">
        <x:v>0</x:v>
      </x:c>
      <x:c r="J335" s="14" t="n">
        <x:v>25</x:v>
      </x:c>
      <x:c r="K335" s="14" t="str">
        <x:v>Topology and boundary transition</x:v>
      </x:c>
      <x:c r="L335" s="14" t="str">
        <x:v>OPEN</x:v>
      </x:c>
    </x:row>
    <x:row r="336">
      <x:c r="A336" s="15" t="str">
        <x:v>CT-332</x:v>
      </x:c>
      <x:c r="B336" s="15" t="str">
        <x:v>AMR-48</x:v>
      </x:c>
      <x:c r="C336" s="15" t="str">
        <x:v>L1</x:v>
      </x:c>
      <x:c r="D336" s="15" t="str">
        <x:v>NRC-C</x:v>
      </x:c>
      <x:c r="E336" s="15" t="str">
        <x:v>COHERENT</x:v>
      </x:c>
      <x:c r="F336" s="15" t="str">
        <x:v>T4</x:v>
      </x:c>
      <x:c r="G336" s="15" t="str">
        <x:v>Area expansion wet</x:v>
      </x:c>
      <x:c r="H336" s="15" t="n">
        <x:v>500</x:v>
      </x:c>
      <x:c r="I336" s="15" t="n">
        <x:v>24</x:v>
      </x:c>
      <x:c r="J336" s="15" t="n">
        <x:v>25</x:v>
      </x:c>
      <x:c r="K336" s="15" t="str">
        <x:v>Half-water contact</x:v>
      </x:c>
      <x:c r="L336" s="15" t="str">
        <x:v>OPEN</x:v>
      </x:c>
    </x:row>
    <x:row r="337">
      <x:c r="A337" s="14" t="str">
        <x:v>CT-333</x:v>
      </x:c>
      <x:c r="B337" s="14" t="str">
        <x:v>AMR-48</x:v>
      </x:c>
      <x:c r="C337" s="14" t="str">
        <x:v>L1</x:v>
      </x:c>
      <x:c r="D337" s="14" t="str">
        <x:v>NRC-C</x:v>
      </x:c>
      <x:c r="E337" s="14" t="str">
        <x:v>COHERENT</x:v>
      </x:c>
      <x:c r="F337" s="14" t="str">
        <x:v>T5</x:v>
      </x:c>
      <x:c r="G337" s="14" t="str">
        <x:v>Exact hydraulic</x:v>
      </x:c>
      <x:c r="H337" s="14" t="n">
        <x:v>500</x:v>
      </x:c>
      <x:c r="I337" s="14" t="n">
        <x:v>48</x:v>
      </x:c>
      <x:c r="J337" s="14" t="n">
        <x:v>25</x:v>
      </x:c>
      <x:c r="K337" s="14" t="str">
        <x:v>Complete issue and recovery</x:v>
      </x:c>
      <x:c r="L337" s="14" t="str">
        <x:v>OPEN</x:v>
      </x:c>
    </x:row>
    <x:row r="338">
      <x:c r="A338" s="15" t="str">
        <x:v>CT-334</x:v>
      </x:c>
      <x:c r="B338" s="15" t="str">
        <x:v>AMR-48</x:v>
      </x:c>
      <x:c r="C338" s="15" t="str">
        <x:v>L1</x:v>
      </x:c>
      <x:c r="D338" s="15" t="str">
        <x:v>NRC-C</x:v>
      </x:c>
      <x:c r="E338" s="15" t="str">
        <x:v>COHERENT</x:v>
      </x:c>
      <x:c r="F338" s="15" t="str">
        <x:v>T6</x:v>
      </x:c>
      <x:c r="G338" s="15" t="str">
        <x:v>Independent service</x:v>
      </x:c>
      <x:c r="H338" s="15" t="n">
        <x:v>500</x:v>
      </x:c>
      <x:c r="I338" s="15" t="n">
        <x:v>48</x:v>
      </x:c>
      <x:c r="J338" s="15" t="n">
        <x:v>25</x:v>
      </x:c>
      <x:c r="K338" s="15" t="str">
        <x:v>No host energy, network or time</x:v>
      </x:c>
      <x:c r="L338" s="15" t="str">
        <x:v>OPEN</x:v>
      </x:c>
    </x:row>
    <x:row r="339">
      <x:c r="A339" s="14" t="str">
        <x:v>CT-335</x:v>
      </x:c>
      <x:c r="B339" s="14" t="str">
        <x:v>AMR-48</x:v>
      </x:c>
      <x:c r="C339" s="14" t="str">
        <x:v>L1</x:v>
      </x:c>
      <x:c r="D339" s="14" t="str">
        <x:v>NRC-C</x:v>
      </x:c>
      <x:c r="E339" s="14" t="str">
        <x:v>COHERENT</x:v>
      </x:c>
      <x:c r="F339" s="14" t="str">
        <x:v>T7</x:v>
      </x:c>
      <x:c r="G339" s="14" t="str">
        <x:v>Receiver denial</x:v>
      </x:c>
      <x:c r="H339" s="14" t="n">
        <x:v>500</x:v>
      </x:c>
      <x:c r="I339" s="14" t="n">
        <x:v>48</x:v>
      </x:c>
      <x:c r="J339" s="14" t="n">
        <x:v>25</x:v>
      </x:c>
      <x:c r="K339" s="14" t="str">
        <x:v>Diversion and terminal custody</x:v>
      </x:c>
      <x:c r="L339" s="14" t="str">
        <x:v>OPEN</x:v>
      </x:c>
    </x:row>
    <x:row r="340">
      <x:c r="A340" s="15" t="str">
        <x:v>CT-336</x:v>
      </x:c>
      <x:c r="B340" s="15" t="str">
        <x:v>AMR-48</x:v>
      </x:c>
      <x:c r="C340" s="15" t="str">
        <x:v>L1</x:v>
      </x:c>
      <x:c r="D340" s="15" t="str">
        <x:v>NRC-C</x:v>
      </x:c>
      <x:c r="E340" s="15" t="str">
        <x:v>COHERENT</x:v>
      </x:c>
      <x:c r="F340" s="15" t="str">
        <x:v>T8</x:v>
      </x:c>
      <x:c r="G340" s="15" t="str">
        <x:v>Outside only</x:v>
      </x:c>
      <x:c r="H340" s="15" t="n">
        <x:v>500</x:v>
      </x:c>
      <x:c r="I340" s="15" t="n">
        <x:v>48</x:v>
      </x:c>
      <x:c r="J340" s="15" t="n">
        <x:v>25</x:v>
      </x:c>
      <x:c r="K340" s="15" t="str">
        <x:v>External reconstruction</x:v>
      </x:c>
      <x:c r="L340" s="15" t="str">
        <x:v>OPEN</x:v>
      </x:c>
    </x:row>
    <x:row r="341">
      <x:c r="A341" s="14" t="str">
        <x:v>CT-337</x:v>
      </x:c>
      <x:c r="B341" s="14" t="str">
        <x:v>AMR-48</x:v>
      </x:c>
      <x:c r="C341" s="14" t="str">
        <x:v>L2</x:v>
      </x:c>
      <x:c r="D341" s="14" t="str">
        <x:v>NRC-A</x:v>
      </x:c>
      <x:c r="E341" s="14" t="str">
        <x:v>DISPERSED</x:v>
      </x:c>
      <x:c r="F341" s="14" t="str">
        <x:v>T1</x:v>
      </x:c>
      <x:c r="G341" s="14" t="str">
        <x:v>Sealed zero</x:v>
      </x:c>
      <x:c r="H341" s="14" t="n">
        <x:v>0</x:v>
      </x:c>
      <x:c r="I341" s="14" t="n">
        <x:v>0</x:v>
      </x:c>
      <x:c r="J341" s="14" t="n">
        <x:v>25</x:v>
      </x:c>
      <x:c r="K341" s="14" t="str">
        <x:v>Native state, leakage and command isolation</x:v>
      </x:c>
      <x:c r="L341" s="14" t="str">
        <x:v>OPEN</x:v>
      </x:c>
    </x:row>
    <x:row r="342">
      <x:c r="A342" s="15" t="str">
        <x:v>CT-338</x:v>
      </x:c>
      <x:c r="B342" s="15" t="str">
        <x:v>AMR-48</x:v>
      </x:c>
      <x:c r="C342" s="15" t="str">
        <x:v>L2</x:v>
      </x:c>
      <x:c r="D342" s="15" t="str">
        <x:v>NRC-A</x:v>
      </x:c>
      <x:c r="E342" s="15" t="str">
        <x:v>DISPERSED</x:v>
      </x:c>
      <x:c r="F342" s="15" t="str">
        <x:v>T2</x:v>
      </x:c>
      <x:c r="G342" s="15" t="str">
        <x:v>ER-09 anchor</x:v>
      </x:c>
      <x:c r="H342" s="15" t="n">
        <x:v>500</x:v>
      </x:c>
      <x:c r="I342" s="15" t="n">
        <x:v>24</x:v>
      </x:c>
      <x:c r="J342" s="15" t="n">
        <x:v>6.25</x:v>
      </x:c>
      <x:c r="K342" s="15" t="str">
        <x:v>Parent transfer</x:v>
      </x:c>
      <x:c r="L342" s="15" t="str">
        <x:v>OPEN</x:v>
      </x:c>
    </x:row>
    <x:row r="343">
      <x:c r="A343" s="14" t="str">
        <x:v>CT-339</x:v>
      </x:c>
      <x:c r="B343" s="14" t="str">
        <x:v>AMR-48</x:v>
      </x:c>
      <x:c r="C343" s="14" t="str">
        <x:v>L2</x:v>
      </x:c>
      <x:c r="D343" s="14" t="str">
        <x:v>NRC-A</x:v>
      </x:c>
      <x:c r="E343" s="14" t="str">
        <x:v>DISPERSED</x:v>
      </x:c>
      <x:c r="F343" s="14" t="str">
        <x:v>T3</x:v>
      </x:c>
      <x:c r="G343" s="14" t="str">
        <x:v>Area expansion dry</x:v>
      </x:c>
      <x:c r="H343" s="14" t="n">
        <x:v>500</x:v>
      </x:c>
      <x:c r="I343" s="14" t="n">
        <x:v>0</x:v>
      </x:c>
      <x:c r="J343" s="14" t="n">
        <x:v>25</x:v>
      </x:c>
      <x:c r="K343" s="14" t="str">
        <x:v>Topology and boundary transition</x:v>
      </x:c>
      <x:c r="L343" s="14" t="str">
        <x:v>OPEN</x:v>
      </x:c>
    </x:row>
    <x:row r="344">
      <x:c r="A344" s="15" t="str">
        <x:v>CT-340</x:v>
      </x:c>
      <x:c r="B344" s="15" t="str">
        <x:v>AMR-48</x:v>
      </x:c>
      <x:c r="C344" s="15" t="str">
        <x:v>L2</x:v>
      </x:c>
      <x:c r="D344" s="15" t="str">
        <x:v>NRC-A</x:v>
      </x:c>
      <x:c r="E344" s="15" t="str">
        <x:v>DISPERSED</x:v>
      </x:c>
      <x:c r="F344" s="15" t="str">
        <x:v>T4</x:v>
      </x:c>
      <x:c r="G344" s="15" t="str">
        <x:v>Area expansion wet</x:v>
      </x:c>
      <x:c r="H344" s="15" t="n">
        <x:v>500</x:v>
      </x:c>
      <x:c r="I344" s="15" t="n">
        <x:v>24</x:v>
      </x:c>
      <x:c r="J344" s="15" t="n">
        <x:v>25</x:v>
      </x:c>
      <x:c r="K344" s="15" t="str">
        <x:v>Half-water contact</x:v>
      </x:c>
      <x:c r="L344" s="15" t="str">
        <x:v>OPEN</x:v>
      </x:c>
    </x:row>
    <x:row r="345">
      <x:c r="A345" s="14" t="str">
        <x:v>CT-341</x:v>
      </x:c>
      <x:c r="B345" s="14" t="str">
        <x:v>AMR-48</x:v>
      </x:c>
      <x:c r="C345" s="14" t="str">
        <x:v>L2</x:v>
      </x:c>
      <x:c r="D345" s="14" t="str">
        <x:v>NRC-A</x:v>
      </x:c>
      <x:c r="E345" s="14" t="str">
        <x:v>DISPERSED</x:v>
      </x:c>
      <x:c r="F345" s="14" t="str">
        <x:v>T5</x:v>
      </x:c>
      <x:c r="G345" s="14" t="str">
        <x:v>Exact hydraulic</x:v>
      </x:c>
      <x:c r="H345" s="14" t="n">
        <x:v>500</x:v>
      </x:c>
      <x:c r="I345" s="14" t="n">
        <x:v>48</x:v>
      </x:c>
      <x:c r="J345" s="14" t="n">
        <x:v>25</x:v>
      </x:c>
      <x:c r="K345" s="14" t="str">
        <x:v>Complete issue and recovery</x:v>
      </x:c>
      <x:c r="L345" s="14" t="str">
        <x:v>OPEN</x:v>
      </x:c>
    </x:row>
    <x:row r="346">
      <x:c r="A346" s="15" t="str">
        <x:v>CT-342</x:v>
      </x:c>
      <x:c r="B346" s="15" t="str">
        <x:v>AMR-48</x:v>
      </x:c>
      <x:c r="C346" s="15" t="str">
        <x:v>L2</x:v>
      </x:c>
      <x:c r="D346" s="15" t="str">
        <x:v>NRC-A</x:v>
      </x:c>
      <x:c r="E346" s="15" t="str">
        <x:v>DISPERSED</x:v>
      </x:c>
      <x:c r="F346" s="15" t="str">
        <x:v>T6</x:v>
      </x:c>
      <x:c r="G346" s="15" t="str">
        <x:v>Independent service</x:v>
      </x:c>
      <x:c r="H346" s="15" t="n">
        <x:v>500</x:v>
      </x:c>
      <x:c r="I346" s="15" t="n">
        <x:v>48</x:v>
      </x:c>
      <x:c r="J346" s="15" t="n">
        <x:v>25</x:v>
      </x:c>
      <x:c r="K346" s="15" t="str">
        <x:v>No host energy, network or time</x:v>
      </x:c>
      <x:c r="L346" s="15" t="str">
        <x:v>OPEN</x:v>
      </x:c>
    </x:row>
    <x:row r="347">
      <x:c r="A347" s="14" t="str">
        <x:v>CT-343</x:v>
      </x:c>
      <x:c r="B347" s="14" t="str">
        <x:v>AMR-48</x:v>
      </x:c>
      <x:c r="C347" s="14" t="str">
        <x:v>L2</x:v>
      </x:c>
      <x:c r="D347" s="14" t="str">
        <x:v>NRC-A</x:v>
      </x:c>
      <x:c r="E347" s="14" t="str">
        <x:v>DISPERSED</x:v>
      </x:c>
      <x:c r="F347" s="14" t="str">
        <x:v>T7</x:v>
      </x:c>
      <x:c r="G347" s="14" t="str">
        <x:v>Receiver denial</x:v>
      </x:c>
      <x:c r="H347" s="14" t="n">
        <x:v>500</x:v>
      </x:c>
      <x:c r="I347" s="14" t="n">
        <x:v>48</x:v>
      </x:c>
      <x:c r="J347" s="14" t="n">
        <x:v>25</x:v>
      </x:c>
      <x:c r="K347" s="14" t="str">
        <x:v>Diversion and terminal custody</x:v>
      </x:c>
      <x:c r="L347" s="14" t="str">
        <x:v>OPEN</x:v>
      </x:c>
    </x:row>
    <x:row r="348">
      <x:c r="A348" s="15" t="str">
        <x:v>CT-344</x:v>
      </x:c>
      <x:c r="B348" s="15" t="str">
        <x:v>AMR-48</x:v>
      </x:c>
      <x:c r="C348" s="15" t="str">
        <x:v>L2</x:v>
      </x:c>
      <x:c r="D348" s="15" t="str">
        <x:v>NRC-A</x:v>
      </x:c>
      <x:c r="E348" s="15" t="str">
        <x:v>DISPERSED</x:v>
      </x:c>
      <x:c r="F348" s="15" t="str">
        <x:v>T8</x:v>
      </x:c>
      <x:c r="G348" s="15" t="str">
        <x:v>Outside only</x:v>
      </x:c>
      <x:c r="H348" s="15" t="n">
        <x:v>500</x:v>
      </x:c>
      <x:c r="I348" s="15" t="n">
        <x:v>48</x:v>
      </x:c>
      <x:c r="J348" s="15" t="n">
        <x:v>25</x:v>
      </x:c>
      <x:c r="K348" s="15" t="str">
        <x:v>External reconstruction</x:v>
      </x:c>
      <x:c r="L348" s="15" t="str">
        <x:v>OPEN</x:v>
      </x:c>
    </x:row>
    <x:row r="349">
      <x:c r="A349" s="14" t="str">
        <x:v>CT-345</x:v>
      </x:c>
      <x:c r="B349" s="14" t="str">
        <x:v>AMR-48</x:v>
      </x:c>
      <x:c r="C349" s="14" t="str">
        <x:v>L2</x:v>
      </x:c>
      <x:c r="D349" s="14" t="str">
        <x:v>NRC-A</x:v>
      </x:c>
      <x:c r="E349" s="14" t="str">
        <x:v>COHERENT</x:v>
      </x:c>
      <x:c r="F349" s="14" t="str">
        <x:v>T1</x:v>
      </x:c>
      <x:c r="G349" s="14" t="str">
        <x:v>Sealed zero</x:v>
      </x:c>
      <x:c r="H349" s="14" t="n">
        <x:v>0</x:v>
      </x:c>
      <x:c r="I349" s="14" t="n">
        <x:v>0</x:v>
      </x:c>
      <x:c r="J349" s="14" t="n">
        <x:v>25</x:v>
      </x:c>
      <x:c r="K349" s="14" t="str">
        <x:v>Native state, leakage and command isolation</x:v>
      </x:c>
      <x:c r="L349" s="14" t="str">
        <x:v>OPEN</x:v>
      </x:c>
    </x:row>
    <x:row r="350">
      <x:c r="A350" s="15" t="str">
        <x:v>CT-346</x:v>
      </x:c>
      <x:c r="B350" s="15" t="str">
        <x:v>AMR-48</x:v>
      </x:c>
      <x:c r="C350" s="15" t="str">
        <x:v>L2</x:v>
      </x:c>
      <x:c r="D350" s="15" t="str">
        <x:v>NRC-A</x:v>
      </x:c>
      <x:c r="E350" s="15" t="str">
        <x:v>COHERENT</x:v>
      </x:c>
      <x:c r="F350" s="15" t="str">
        <x:v>T2</x:v>
      </x:c>
      <x:c r="G350" s="15" t="str">
        <x:v>ER-09 anchor</x:v>
      </x:c>
      <x:c r="H350" s="15" t="n">
        <x:v>500</x:v>
      </x:c>
      <x:c r="I350" s="15" t="n">
        <x:v>24</x:v>
      </x:c>
      <x:c r="J350" s="15" t="n">
        <x:v>6.25</x:v>
      </x:c>
      <x:c r="K350" s="15" t="str">
        <x:v>Parent transfer</x:v>
      </x:c>
      <x:c r="L350" s="15" t="str">
        <x:v>OPEN</x:v>
      </x:c>
    </x:row>
    <x:row r="351">
      <x:c r="A351" s="14" t="str">
        <x:v>CT-347</x:v>
      </x:c>
      <x:c r="B351" s="14" t="str">
        <x:v>AMR-48</x:v>
      </x:c>
      <x:c r="C351" s="14" t="str">
        <x:v>L2</x:v>
      </x:c>
      <x:c r="D351" s="14" t="str">
        <x:v>NRC-A</x:v>
      </x:c>
      <x:c r="E351" s="14" t="str">
        <x:v>COHERENT</x:v>
      </x:c>
      <x:c r="F351" s="14" t="str">
        <x:v>T3</x:v>
      </x:c>
      <x:c r="G351" s="14" t="str">
        <x:v>Area expansion dry</x:v>
      </x:c>
      <x:c r="H351" s="14" t="n">
        <x:v>500</x:v>
      </x:c>
      <x:c r="I351" s="14" t="n">
        <x:v>0</x:v>
      </x:c>
      <x:c r="J351" s="14" t="n">
        <x:v>25</x:v>
      </x:c>
      <x:c r="K351" s="14" t="str">
        <x:v>Topology and boundary transition</x:v>
      </x:c>
      <x:c r="L351" s="14" t="str">
        <x:v>OPEN</x:v>
      </x:c>
    </x:row>
    <x:row r="352">
      <x:c r="A352" s="15" t="str">
        <x:v>CT-348</x:v>
      </x:c>
      <x:c r="B352" s="15" t="str">
        <x:v>AMR-48</x:v>
      </x:c>
      <x:c r="C352" s="15" t="str">
        <x:v>L2</x:v>
      </x:c>
      <x:c r="D352" s="15" t="str">
        <x:v>NRC-A</x:v>
      </x:c>
      <x:c r="E352" s="15" t="str">
        <x:v>COHERENT</x:v>
      </x:c>
      <x:c r="F352" s="15" t="str">
        <x:v>T4</x:v>
      </x:c>
      <x:c r="G352" s="15" t="str">
        <x:v>Area expansion wet</x:v>
      </x:c>
      <x:c r="H352" s="15" t="n">
        <x:v>500</x:v>
      </x:c>
      <x:c r="I352" s="15" t="n">
        <x:v>24</x:v>
      </x:c>
      <x:c r="J352" s="15" t="n">
        <x:v>25</x:v>
      </x:c>
      <x:c r="K352" s="15" t="str">
        <x:v>Half-water contact</x:v>
      </x:c>
      <x:c r="L352" s="15" t="str">
        <x:v>OPEN</x:v>
      </x:c>
    </x:row>
    <x:row r="353">
      <x:c r="A353" s="14" t="str">
        <x:v>CT-349</x:v>
      </x:c>
      <x:c r="B353" s="14" t="str">
        <x:v>AMR-48</x:v>
      </x:c>
      <x:c r="C353" s="14" t="str">
        <x:v>L2</x:v>
      </x:c>
      <x:c r="D353" s="14" t="str">
        <x:v>NRC-A</x:v>
      </x:c>
      <x:c r="E353" s="14" t="str">
        <x:v>COHERENT</x:v>
      </x:c>
      <x:c r="F353" s="14" t="str">
        <x:v>T5</x:v>
      </x:c>
      <x:c r="G353" s="14" t="str">
        <x:v>Exact hydraulic</x:v>
      </x:c>
      <x:c r="H353" s="14" t="n">
        <x:v>500</x:v>
      </x:c>
      <x:c r="I353" s="14" t="n">
        <x:v>48</x:v>
      </x:c>
      <x:c r="J353" s="14" t="n">
        <x:v>25</x:v>
      </x:c>
      <x:c r="K353" s="14" t="str">
        <x:v>Complete issue and recovery</x:v>
      </x:c>
      <x:c r="L353" s="14" t="str">
        <x:v>OPEN</x:v>
      </x:c>
    </x:row>
    <x:row r="354">
      <x:c r="A354" s="15" t="str">
        <x:v>CT-350</x:v>
      </x:c>
      <x:c r="B354" s="15" t="str">
        <x:v>AMR-48</x:v>
      </x:c>
      <x:c r="C354" s="15" t="str">
        <x:v>L2</x:v>
      </x:c>
      <x:c r="D354" s="15" t="str">
        <x:v>NRC-A</x:v>
      </x:c>
      <x:c r="E354" s="15" t="str">
        <x:v>COHERENT</x:v>
      </x:c>
      <x:c r="F354" s="15" t="str">
        <x:v>T6</x:v>
      </x:c>
      <x:c r="G354" s="15" t="str">
        <x:v>Independent service</x:v>
      </x:c>
      <x:c r="H354" s="15" t="n">
        <x:v>500</x:v>
      </x:c>
      <x:c r="I354" s="15" t="n">
        <x:v>48</x:v>
      </x:c>
      <x:c r="J354" s="15" t="n">
        <x:v>25</x:v>
      </x:c>
      <x:c r="K354" s="15" t="str">
        <x:v>No host energy, network or time</x:v>
      </x:c>
      <x:c r="L354" s="15" t="str">
        <x:v>OPEN</x:v>
      </x:c>
    </x:row>
    <x:row r="355">
      <x:c r="A355" s="14" t="str">
        <x:v>CT-351</x:v>
      </x:c>
      <x:c r="B355" s="14" t="str">
        <x:v>AMR-48</x:v>
      </x:c>
      <x:c r="C355" s="14" t="str">
        <x:v>L2</x:v>
      </x:c>
      <x:c r="D355" s="14" t="str">
        <x:v>NRC-A</x:v>
      </x:c>
      <x:c r="E355" s="14" t="str">
        <x:v>COHERENT</x:v>
      </x:c>
      <x:c r="F355" s="14" t="str">
        <x:v>T7</x:v>
      </x:c>
      <x:c r="G355" s="14" t="str">
        <x:v>Receiver denial</x:v>
      </x:c>
      <x:c r="H355" s="14" t="n">
        <x:v>500</x:v>
      </x:c>
      <x:c r="I355" s="14" t="n">
        <x:v>48</x:v>
      </x:c>
      <x:c r="J355" s="14" t="n">
        <x:v>25</x:v>
      </x:c>
      <x:c r="K355" s="14" t="str">
        <x:v>Diversion and terminal custody</x:v>
      </x:c>
      <x:c r="L355" s="14" t="str">
        <x:v>OPEN</x:v>
      </x:c>
    </x:row>
    <x:row r="356">
      <x:c r="A356" s="15" t="str">
        <x:v>CT-352</x:v>
      </x:c>
      <x:c r="B356" s="15" t="str">
        <x:v>AMR-48</x:v>
      </x:c>
      <x:c r="C356" s="15" t="str">
        <x:v>L2</x:v>
      </x:c>
      <x:c r="D356" s="15" t="str">
        <x:v>NRC-A</x:v>
      </x:c>
      <x:c r="E356" s="15" t="str">
        <x:v>COHERENT</x:v>
      </x:c>
      <x:c r="F356" s="15" t="str">
        <x:v>T8</x:v>
      </x:c>
      <x:c r="G356" s="15" t="str">
        <x:v>Outside only</x:v>
      </x:c>
      <x:c r="H356" s="15" t="n">
        <x:v>500</x:v>
      </x:c>
      <x:c r="I356" s="15" t="n">
        <x:v>48</x:v>
      </x:c>
      <x:c r="J356" s="15" t="n">
        <x:v>25</x:v>
      </x:c>
      <x:c r="K356" s="15" t="str">
        <x:v>External reconstruction</x:v>
      </x:c>
      <x:c r="L356" s="15" t="str">
        <x:v>OPEN</x:v>
      </x:c>
    </x:row>
    <x:row r="357">
      <x:c r="A357" s="14" t="str">
        <x:v>CT-353</x:v>
      </x:c>
      <x:c r="B357" s="14" t="str">
        <x:v>AMR-48</x:v>
      </x:c>
      <x:c r="C357" s="14" t="str">
        <x:v>L2</x:v>
      </x:c>
      <x:c r="D357" s="14" t="str">
        <x:v>NRC-B</x:v>
      </x:c>
      <x:c r="E357" s="14" t="str">
        <x:v>DISPERSED</x:v>
      </x:c>
      <x:c r="F357" s="14" t="str">
        <x:v>T1</x:v>
      </x:c>
      <x:c r="G357" s="14" t="str">
        <x:v>Sealed zero</x:v>
      </x:c>
      <x:c r="H357" s="14" t="n">
        <x:v>0</x:v>
      </x:c>
      <x:c r="I357" s="14" t="n">
        <x:v>0</x:v>
      </x:c>
      <x:c r="J357" s="14" t="n">
        <x:v>25</x:v>
      </x:c>
      <x:c r="K357" s="14" t="str">
        <x:v>Native state, leakage and command isolation</x:v>
      </x:c>
      <x:c r="L357" s="14" t="str">
        <x:v>OPEN</x:v>
      </x:c>
    </x:row>
    <x:row r="358">
      <x:c r="A358" s="15" t="str">
        <x:v>CT-354</x:v>
      </x:c>
      <x:c r="B358" s="15" t="str">
        <x:v>AMR-48</x:v>
      </x:c>
      <x:c r="C358" s="15" t="str">
        <x:v>L2</x:v>
      </x:c>
      <x:c r="D358" s="15" t="str">
        <x:v>NRC-B</x:v>
      </x:c>
      <x:c r="E358" s="15" t="str">
        <x:v>DISPERSED</x:v>
      </x:c>
      <x:c r="F358" s="15" t="str">
        <x:v>T2</x:v>
      </x:c>
      <x:c r="G358" s="15" t="str">
        <x:v>ER-09 anchor</x:v>
      </x:c>
      <x:c r="H358" s="15" t="n">
        <x:v>500</x:v>
      </x:c>
      <x:c r="I358" s="15" t="n">
        <x:v>24</x:v>
      </x:c>
      <x:c r="J358" s="15" t="n">
        <x:v>6.25</x:v>
      </x:c>
      <x:c r="K358" s="15" t="str">
        <x:v>Parent transfer</x:v>
      </x:c>
      <x:c r="L358" s="15" t="str">
        <x:v>OPEN</x:v>
      </x:c>
    </x:row>
    <x:row r="359">
      <x:c r="A359" s="14" t="str">
        <x:v>CT-355</x:v>
      </x:c>
      <x:c r="B359" s="14" t="str">
        <x:v>AMR-48</x:v>
      </x:c>
      <x:c r="C359" s="14" t="str">
        <x:v>L2</x:v>
      </x:c>
      <x:c r="D359" s="14" t="str">
        <x:v>NRC-B</x:v>
      </x:c>
      <x:c r="E359" s="14" t="str">
        <x:v>DISPERSED</x:v>
      </x:c>
      <x:c r="F359" s="14" t="str">
        <x:v>T3</x:v>
      </x:c>
      <x:c r="G359" s="14" t="str">
        <x:v>Area expansion dry</x:v>
      </x:c>
      <x:c r="H359" s="14" t="n">
        <x:v>500</x:v>
      </x:c>
      <x:c r="I359" s="14" t="n">
        <x:v>0</x:v>
      </x:c>
      <x:c r="J359" s="14" t="n">
        <x:v>25</x:v>
      </x:c>
      <x:c r="K359" s="14" t="str">
        <x:v>Topology and boundary transition</x:v>
      </x:c>
      <x:c r="L359" s="14" t="str">
        <x:v>OPEN</x:v>
      </x:c>
    </x:row>
    <x:row r="360">
      <x:c r="A360" s="15" t="str">
        <x:v>CT-356</x:v>
      </x:c>
      <x:c r="B360" s="15" t="str">
        <x:v>AMR-48</x:v>
      </x:c>
      <x:c r="C360" s="15" t="str">
        <x:v>L2</x:v>
      </x:c>
      <x:c r="D360" s="15" t="str">
        <x:v>NRC-B</x:v>
      </x:c>
      <x:c r="E360" s="15" t="str">
        <x:v>DISPERSED</x:v>
      </x:c>
      <x:c r="F360" s="15" t="str">
        <x:v>T4</x:v>
      </x:c>
      <x:c r="G360" s="15" t="str">
        <x:v>Area expansion wet</x:v>
      </x:c>
      <x:c r="H360" s="15" t="n">
        <x:v>500</x:v>
      </x:c>
      <x:c r="I360" s="15" t="n">
        <x:v>24</x:v>
      </x:c>
      <x:c r="J360" s="15" t="n">
        <x:v>25</x:v>
      </x:c>
      <x:c r="K360" s="15" t="str">
        <x:v>Half-water contact</x:v>
      </x:c>
      <x:c r="L360" s="15" t="str">
        <x:v>OPEN</x:v>
      </x:c>
    </x:row>
    <x:row r="361">
      <x:c r="A361" s="14" t="str">
        <x:v>CT-357</x:v>
      </x:c>
      <x:c r="B361" s="14" t="str">
        <x:v>AMR-48</x:v>
      </x:c>
      <x:c r="C361" s="14" t="str">
        <x:v>L2</x:v>
      </x:c>
      <x:c r="D361" s="14" t="str">
        <x:v>NRC-B</x:v>
      </x:c>
      <x:c r="E361" s="14" t="str">
        <x:v>DISPERSED</x:v>
      </x:c>
      <x:c r="F361" s="14" t="str">
        <x:v>T5</x:v>
      </x:c>
      <x:c r="G361" s="14" t="str">
        <x:v>Exact hydraulic</x:v>
      </x:c>
      <x:c r="H361" s="14" t="n">
        <x:v>500</x:v>
      </x:c>
      <x:c r="I361" s="14" t="n">
        <x:v>48</x:v>
      </x:c>
      <x:c r="J361" s="14" t="n">
        <x:v>25</x:v>
      </x:c>
      <x:c r="K361" s="14" t="str">
        <x:v>Complete issue and recovery</x:v>
      </x:c>
      <x:c r="L361" s="14" t="str">
        <x:v>OPEN</x:v>
      </x:c>
    </x:row>
    <x:row r="362">
      <x:c r="A362" s="15" t="str">
        <x:v>CT-358</x:v>
      </x:c>
      <x:c r="B362" s="15" t="str">
        <x:v>AMR-48</x:v>
      </x:c>
      <x:c r="C362" s="15" t="str">
        <x:v>L2</x:v>
      </x:c>
      <x:c r="D362" s="15" t="str">
        <x:v>NRC-B</x:v>
      </x:c>
      <x:c r="E362" s="15" t="str">
        <x:v>DISPERSED</x:v>
      </x:c>
      <x:c r="F362" s="15" t="str">
        <x:v>T6</x:v>
      </x:c>
      <x:c r="G362" s="15" t="str">
        <x:v>Independent service</x:v>
      </x:c>
      <x:c r="H362" s="15" t="n">
        <x:v>500</x:v>
      </x:c>
      <x:c r="I362" s="15" t="n">
        <x:v>48</x:v>
      </x:c>
      <x:c r="J362" s="15" t="n">
        <x:v>25</x:v>
      </x:c>
      <x:c r="K362" s="15" t="str">
        <x:v>No host energy, network or time</x:v>
      </x:c>
      <x:c r="L362" s="15" t="str">
        <x:v>OPEN</x:v>
      </x:c>
    </x:row>
    <x:row r="363">
      <x:c r="A363" s="14" t="str">
        <x:v>CT-359</x:v>
      </x:c>
      <x:c r="B363" s="14" t="str">
        <x:v>AMR-48</x:v>
      </x:c>
      <x:c r="C363" s="14" t="str">
        <x:v>L2</x:v>
      </x:c>
      <x:c r="D363" s="14" t="str">
        <x:v>NRC-B</x:v>
      </x:c>
      <x:c r="E363" s="14" t="str">
        <x:v>DISPERSED</x:v>
      </x:c>
      <x:c r="F363" s="14" t="str">
        <x:v>T7</x:v>
      </x:c>
      <x:c r="G363" s="14" t="str">
        <x:v>Receiver denial</x:v>
      </x:c>
      <x:c r="H363" s="14" t="n">
        <x:v>500</x:v>
      </x:c>
      <x:c r="I363" s="14" t="n">
        <x:v>48</x:v>
      </x:c>
      <x:c r="J363" s="14" t="n">
        <x:v>25</x:v>
      </x:c>
      <x:c r="K363" s="14" t="str">
        <x:v>Diversion and terminal custody</x:v>
      </x:c>
      <x:c r="L363" s="14" t="str">
        <x:v>OPEN</x:v>
      </x:c>
    </x:row>
    <x:row r="364">
      <x:c r="A364" s="15" t="str">
        <x:v>CT-360</x:v>
      </x:c>
      <x:c r="B364" s="15" t="str">
        <x:v>AMR-48</x:v>
      </x:c>
      <x:c r="C364" s="15" t="str">
        <x:v>L2</x:v>
      </x:c>
      <x:c r="D364" s="15" t="str">
        <x:v>NRC-B</x:v>
      </x:c>
      <x:c r="E364" s="15" t="str">
        <x:v>DISPERSED</x:v>
      </x:c>
      <x:c r="F364" s="15" t="str">
        <x:v>T8</x:v>
      </x:c>
      <x:c r="G364" s="15" t="str">
        <x:v>Outside only</x:v>
      </x:c>
      <x:c r="H364" s="15" t="n">
        <x:v>500</x:v>
      </x:c>
      <x:c r="I364" s="15" t="n">
        <x:v>48</x:v>
      </x:c>
      <x:c r="J364" s="15" t="n">
        <x:v>25</x:v>
      </x:c>
      <x:c r="K364" s="15" t="str">
        <x:v>External reconstruction</x:v>
      </x:c>
      <x:c r="L364" s="15" t="str">
        <x:v>OPEN</x:v>
      </x:c>
    </x:row>
    <x:row r="365">
      <x:c r="A365" s="14" t="str">
        <x:v>CT-361</x:v>
      </x:c>
      <x:c r="B365" s="14" t="str">
        <x:v>AMR-48</x:v>
      </x:c>
      <x:c r="C365" s="14" t="str">
        <x:v>L2</x:v>
      </x:c>
      <x:c r="D365" s="14" t="str">
        <x:v>NRC-B</x:v>
      </x:c>
      <x:c r="E365" s="14" t="str">
        <x:v>COHERENT</x:v>
      </x:c>
      <x:c r="F365" s="14" t="str">
        <x:v>T1</x:v>
      </x:c>
      <x:c r="G365" s="14" t="str">
        <x:v>Sealed zero</x:v>
      </x:c>
      <x:c r="H365" s="14" t="n">
        <x:v>0</x:v>
      </x:c>
      <x:c r="I365" s="14" t="n">
        <x:v>0</x:v>
      </x:c>
      <x:c r="J365" s="14" t="n">
        <x:v>25</x:v>
      </x:c>
      <x:c r="K365" s="14" t="str">
        <x:v>Native state, leakage and command isolation</x:v>
      </x:c>
      <x:c r="L365" s="14" t="str">
        <x:v>OPEN</x:v>
      </x:c>
    </x:row>
    <x:row r="366">
      <x:c r="A366" s="15" t="str">
        <x:v>CT-362</x:v>
      </x:c>
      <x:c r="B366" s="15" t="str">
        <x:v>AMR-48</x:v>
      </x:c>
      <x:c r="C366" s="15" t="str">
        <x:v>L2</x:v>
      </x:c>
      <x:c r="D366" s="15" t="str">
        <x:v>NRC-B</x:v>
      </x:c>
      <x:c r="E366" s="15" t="str">
        <x:v>COHERENT</x:v>
      </x:c>
      <x:c r="F366" s="15" t="str">
        <x:v>T2</x:v>
      </x:c>
      <x:c r="G366" s="15" t="str">
        <x:v>ER-09 anchor</x:v>
      </x:c>
      <x:c r="H366" s="15" t="n">
        <x:v>500</x:v>
      </x:c>
      <x:c r="I366" s="15" t="n">
        <x:v>24</x:v>
      </x:c>
      <x:c r="J366" s="15" t="n">
        <x:v>6.25</x:v>
      </x:c>
      <x:c r="K366" s="15" t="str">
        <x:v>Parent transfer</x:v>
      </x:c>
      <x:c r="L366" s="15" t="str">
        <x:v>OPEN</x:v>
      </x:c>
    </x:row>
    <x:row r="367">
      <x:c r="A367" s="14" t="str">
        <x:v>CT-363</x:v>
      </x:c>
      <x:c r="B367" s="14" t="str">
        <x:v>AMR-48</x:v>
      </x:c>
      <x:c r="C367" s="14" t="str">
        <x:v>L2</x:v>
      </x:c>
      <x:c r="D367" s="14" t="str">
        <x:v>NRC-B</x:v>
      </x:c>
      <x:c r="E367" s="14" t="str">
        <x:v>COHERENT</x:v>
      </x:c>
      <x:c r="F367" s="14" t="str">
        <x:v>T3</x:v>
      </x:c>
      <x:c r="G367" s="14" t="str">
        <x:v>Area expansion dry</x:v>
      </x:c>
      <x:c r="H367" s="14" t="n">
        <x:v>500</x:v>
      </x:c>
      <x:c r="I367" s="14" t="n">
        <x:v>0</x:v>
      </x:c>
      <x:c r="J367" s="14" t="n">
        <x:v>25</x:v>
      </x:c>
      <x:c r="K367" s="14" t="str">
        <x:v>Topology and boundary transition</x:v>
      </x:c>
      <x:c r="L367" s="14" t="str">
        <x:v>OPEN</x:v>
      </x:c>
    </x:row>
    <x:row r="368">
      <x:c r="A368" s="15" t="str">
        <x:v>CT-364</x:v>
      </x:c>
      <x:c r="B368" s="15" t="str">
        <x:v>AMR-48</x:v>
      </x:c>
      <x:c r="C368" s="15" t="str">
        <x:v>L2</x:v>
      </x:c>
      <x:c r="D368" s="15" t="str">
        <x:v>NRC-B</x:v>
      </x:c>
      <x:c r="E368" s="15" t="str">
        <x:v>COHERENT</x:v>
      </x:c>
      <x:c r="F368" s="15" t="str">
        <x:v>T4</x:v>
      </x:c>
      <x:c r="G368" s="15" t="str">
        <x:v>Area expansion wet</x:v>
      </x:c>
      <x:c r="H368" s="15" t="n">
        <x:v>500</x:v>
      </x:c>
      <x:c r="I368" s="15" t="n">
        <x:v>24</x:v>
      </x:c>
      <x:c r="J368" s="15" t="n">
        <x:v>25</x:v>
      </x:c>
      <x:c r="K368" s="15" t="str">
        <x:v>Half-water contact</x:v>
      </x:c>
      <x:c r="L368" s="15" t="str">
        <x:v>OPEN</x:v>
      </x:c>
    </x:row>
    <x:row r="369">
      <x:c r="A369" s="14" t="str">
        <x:v>CT-365</x:v>
      </x:c>
      <x:c r="B369" s="14" t="str">
        <x:v>AMR-48</x:v>
      </x:c>
      <x:c r="C369" s="14" t="str">
        <x:v>L2</x:v>
      </x:c>
      <x:c r="D369" s="14" t="str">
        <x:v>NRC-B</x:v>
      </x:c>
      <x:c r="E369" s="14" t="str">
        <x:v>COHERENT</x:v>
      </x:c>
      <x:c r="F369" s="14" t="str">
        <x:v>T5</x:v>
      </x:c>
      <x:c r="G369" s="14" t="str">
        <x:v>Exact hydraulic</x:v>
      </x:c>
      <x:c r="H369" s="14" t="n">
        <x:v>500</x:v>
      </x:c>
      <x:c r="I369" s="14" t="n">
        <x:v>48</x:v>
      </x:c>
      <x:c r="J369" s="14" t="n">
        <x:v>25</x:v>
      </x:c>
      <x:c r="K369" s="14" t="str">
        <x:v>Complete issue and recovery</x:v>
      </x:c>
      <x:c r="L369" s="14" t="str">
        <x:v>OPEN</x:v>
      </x:c>
    </x:row>
    <x:row r="370">
      <x:c r="A370" s="15" t="str">
        <x:v>CT-366</x:v>
      </x:c>
      <x:c r="B370" s="15" t="str">
        <x:v>AMR-48</x:v>
      </x:c>
      <x:c r="C370" s="15" t="str">
        <x:v>L2</x:v>
      </x:c>
      <x:c r="D370" s="15" t="str">
        <x:v>NRC-B</x:v>
      </x:c>
      <x:c r="E370" s="15" t="str">
        <x:v>COHERENT</x:v>
      </x:c>
      <x:c r="F370" s="15" t="str">
        <x:v>T6</x:v>
      </x:c>
      <x:c r="G370" s="15" t="str">
        <x:v>Independent service</x:v>
      </x:c>
      <x:c r="H370" s="15" t="n">
        <x:v>500</x:v>
      </x:c>
      <x:c r="I370" s="15" t="n">
        <x:v>48</x:v>
      </x:c>
      <x:c r="J370" s="15" t="n">
        <x:v>25</x:v>
      </x:c>
      <x:c r="K370" s="15" t="str">
        <x:v>No host energy, network or time</x:v>
      </x:c>
      <x:c r="L370" s="15" t="str">
        <x:v>OPEN</x:v>
      </x:c>
    </x:row>
    <x:row r="371">
      <x:c r="A371" s="14" t="str">
        <x:v>CT-367</x:v>
      </x:c>
      <x:c r="B371" s="14" t="str">
        <x:v>AMR-48</x:v>
      </x:c>
      <x:c r="C371" s="14" t="str">
        <x:v>L2</x:v>
      </x:c>
      <x:c r="D371" s="14" t="str">
        <x:v>NRC-B</x:v>
      </x:c>
      <x:c r="E371" s="14" t="str">
        <x:v>COHERENT</x:v>
      </x:c>
      <x:c r="F371" s="14" t="str">
        <x:v>T7</x:v>
      </x:c>
      <x:c r="G371" s="14" t="str">
        <x:v>Receiver denial</x:v>
      </x:c>
      <x:c r="H371" s="14" t="n">
        <x:v>500</x:v>
      </x:c>
      <x:c r="I371" s="14" t="n">
        <x:v>48</x:v>
      </x:c>
      <x:c r="J371" s="14" t="n">
        <x:v>25</x:v>
      </x:c>
      <x:c r="K371" s="14" t="str">
        <x:v>Diversion and terminal custody</x:v>
      </x:c>
      <x:c r="L371" s="14" t="str">
        <x:v>OPEN</x:v>
      </x:c>
    </x:row>
    <x:row r="372">
      <x:c r="A372" s="15" t="str">
        <x:v>CT-368</x:v>
      </x:c>
      <x:c r="B372" s="15" t="str">
        <x:v>AMR-48</x:v>
      </x:c>
      <x:c r="C372" s="15" t="str">
        <x:v>L2</x:v>
      </x:c>
      <x:c r="D372" s="15" t="str">
        <x:v>NRC-B</x:v>
      </x:c>
      <x:c r="E372" s="15" t="str">
        <x:v>COHERENT</x:v>
      </x:c>
      <x:c r="F372" s="15" t="str">
        <x:v>T8</x:v>
      </x:c>
      <x:c r="G372" s="15" t="str">
        <x:v>Outside only</x:v>
      </x:c>
      <x:c r="H372" s="15" t="n">
        <x:v>500</x:v>
      </x:c>
      <x:c r="I372" s="15" t="n">
        <x:v>48</x:v>
      </x:c>
      <x:c r="J372" s="15" t="n">
        <x:v>25</x:v>
      </x:c>
      <x:c r="K372" s="15" t="str">
        <x:v>External reconstruction</x:v>
      </x:c>
      <x:c r="L372" s="15" t="str">
        <x:v>OPEN</x:v>
      </x:c>
    </x:row>
    <x:row r="373">
      <x:c r="A373" s="14" t="str">
        <x:v>CT-369</x:v>
      </x:c>
      <x:c r="B373" s="14" t="str">
        <x:v>AMR-48</x:v>
      </x:c>
      <x:c r="C373" s="14" t="str">
        <x:v>L2</x:v>
      </x:c>
      <x:c r="D373" s="14" t="str">
        <x:v>NRC-C</x:v>
      </x:c>
      <x:c r="E373" s="14" t="str">
        <x:v>DISPERSED</x:v>
      </x:c>
      <x:c r="F373" s="14" t="str">
        <x:v>T1</x:v>
      </x:c>
      <x:c r="G373" s="14" t="str">
        <x:v>Sealed zero</x:v>
      </x:c>
      <x:c r="H373" s="14" t="n">
        <x:v>0</x:v>
      </x:c>
      <x:c r="I373" s="14" t="n">
        <x:v>0</x:v>
      </x:c>
      <x:c r="J373" s="14" t="n">
        <x:v>25</x:v>
      </x:c>
      <x:c r="K373" s="14" t="str">
        <x:v>Native state, leakage and command isolation</x:v>
      </x:c>
      <x:c r="L373" s="14" t="str">
        <x:v>OPEN</x:v>
      </x:c>
    </x:row>
    <x:row r="374">
      <x:c r="A374" s="15" t="str">
        <x:v>CT-370</x:v>
      </x:c>
      <x:c r="B374" s="15" t="str">
        <x:v>AMR-48</x:v>
      </x:c>
      <x:c r="C374" s="15" t="str">
        <x:v>L2</x:v>
      </x:c>
      <x:c r="D374" s="15" t="str">
        <x:v>NRC-C</x:v>
      </x:c>
      <x:c r="E374" s="15" t="str">
        <x:v>DISPERSED</x:v>
      </x:c>
      <x:c r="F374" s="15" t="str">
        <x:v>T2</x:v>
      </x:c>
      <x:c r="G374" s="15" t="str">
        <x:v>ER-09 anchor</x:v>
      </x:c>
      <x:c r="H374" s="15" t="n">
        <x:v>500</x:v>
      </x:c>
      <x:c r="I374" s="15" t="n">
        <x:v>24</x:v>
      </x:c>
      <x:c r="J374" s="15" t="n">
        <x:v>6.25</x:v>
      </x:c>
      <x:c r="K374" s="15" t="str">
        <x:v>Parent transfer</x:v>
      </x:c>
      <x:c r="L374" s="15" t="str">
        <x:v>OPEN</x:v>
      </x:c>
    </x:row>
    <x:row r="375">
      <x:c r="A375" s="14" t="str">
        <x:v>CT-371</x:v>
      </x:c>
      <x:c r="B375" s="14" t="str">
        <x:v>AMR-48</x:v>
      </x:c>
      <x:c r="C375" s="14" t="str">
        <x:v>L2</x:v>
      </x:c>
      <x:c r="D375" s="14" t="str">
        <x:v>NRC-C</x:v>
      </x:c>
      <x:c r="E375" s="14" t="str">
        <x:v>DISPERSED</x:v>
      </x:c>
      <x:c r="F375" s="14" t="str">
        <x:v>T3</x:v>
      </x:c>
      <x:c r="G375" s="14" t="str">
        <x:v>Area expansion dry</x:v>
      </x:c>
      <x:c r="H375" s="14" t="n">
        <x:v>500</x:v>
      </x:c>
      <x:c r="I375" s="14" t="n">
        <x:v>0</x:v>
      </x:c>
      <x:c r="J375" s="14" t="n">
        <x:v>25</x:v>
      </x:c>
      <x:c r="K375" s="14" t="str">
        <x:v>Topology and boundary transition</x:v>
      </x:c>
      <x:c r="L375" s="14" t="str">
        <x:v>OPEN</x:v>
      </x:c>
    </x:row>
    <x:row r="376">
      <x:c r="A376" s="15" t="str">
        <x:v>CT-372</x:v>
      </x:c>
      <x:c r="B376" s="15" t="str">
        <x:v>AMR-48</x:v>
      </x:c>
      <x:c r="C376" s="15" t="str">
        <x:v>L2</x:v>
      </x:c>
      <x:c r="D376" s="15" t="str">
        <x:v>NRC-C</x:v>
      </x:c>
      <x:c r="E376" s="15" t="str">
        <x:v>DISPERSED</x:v>
      </x:c>
      <x:c r="F376" s="15" t="str">
        <x:v>T4</x:v>
      </x:c>
      <x:c r="G376" s="15" t="str">
        <x:v>Area expansion wet</x:v>
      </x:c>
      <x:c r="H376" s="15" t="n">
        <x:v>500</x:v>
      </x:c>
      <x:c r="I376" s="15" t="n">
        <x:v>24</x:v>
      </x:c>
      <x:c r="J376" s="15" t="n">
        <x:v>25</x:v>
      </x:c>
      <x:c r="K376" s="15" t="str">
        <x:v>Half-water contact</x:v>
      </x:c>
      <x:c r="L376" s="15" t="str">
        <x:v>OPEN</x:v>
      </x:c>
    </x:row>
    <x:row r="377">
      <x:c r="A377" s="14" t="str">
        <x:v>CT-373</x:v>
      </x:c>
      <x:c r="B377" s="14" t="str">
        <x:v>AMR-48</x:v>
      </x:c>
      <x:c r="C377" s="14" t="str">
        <x:v>L2</x:v>
      </x:c>
      <x:c r="D377" s="14" t="str">
        <x:v>NRC-C</x:v>
      </x:c>
      <x:c r="E377" s="14" t="str">
        <x:v>DISPERSED</x:v>
      </x:c>
      <x:c r="F377" s="14" t="str">
        <x:v>T5</x:v>
      </x:c>
      <x:c r="G377" s="14" t="str">
        <x:v>Exact hydraulic</x:v>
      </x:c>
      <x:c r="H377" s="14" t="n">
        <x:v>500</x:v>
      </x:c>
      <x:c r="I377" s="14" t="n">
        <x:v>48</x:v>
      </x:c>
      <x:c r="J377" s="14" t="n">
        <x:v>25</x:v>
      </x:c>
      <x:c r="K377" s="14" t="str">
        <x:v>Complete issue and recovery</x:v>
      </x:c>
      <x:c r="L377" s="14" t="str">
        <x:v>OPEN</x:v>
      </x:c>
    </x:row>
    <x:row r="378">
      <x:c r="A378" s="15" t="str">
        <x:v>CT-374</x:v>
      </x:c>
      <x:c r="B378" s="15" t="str">
        <x:v>AMR-48</x:v>
      </x:c>
      <x:c r="C378" s="15" t="str">
        <x:v>L2</x:v>
      </x:c>
      <x:c r="D378" s="15" t="str">
        <x:v>NRC-C</x:v>
      </x:c>
      <x:c r="E378" s="15" t="str">
        <x:v>DISPERSED</x:v>
      </x:c>
      <x:c r="F378" s="15" t="str">
        <x:v>T6</x:v>
      </x:c>
      <x:c r="G378" s="15" t="str">
        <x:v>Independent service</x:v>
      </x:c>
      <x:c r="H378" s="15" t="n">
        <x:v>500</x:v>
      </x:c>
      <x:c r="I378" s="15" t="n">
        <x:v>48</x:v>
      </x:c>
      <x:c r="J378" s="15" t="n">
        <x:v>25</x:v>
      </x:c>
      <x:c r="K378" s="15" t="str">
        <x:v>No host energy, network or time</x:v>
      </x:c>
      <x:c r="L378" s="15" t="str">
        <x:v>OPEN</x:v>
      </x:c>
    </x:row>
    <x:row r="379">
      <x:c r="A379" s="14" t="str">
        <x:v>CT-375</x:v>
      </x:c>
      <x:c r="B379" s="14" t="str">
        <x:v>AMR-48</x:v>
      </x:c>
      <x:c r="C379" s="14" t="str">
        <x:v>L2</x:v>
      </x:c>
      <x:c r="D379" s="14" t="str">
        <x:v>NRC-C</x:v>
      </x:c>
      <x:c r="E379" s="14" t="str">
        <x:v>DISPERSED</x:v>
      </x:c>
      <x:c r="F379" s="14" t="str">
        <x:v>T7</x:v>
      </x:c>
      <x:c r="G379" s="14" t="str">
        <x:v>Receiver denial</x:v>
      </x:c>
      <x:c r="H379" s="14" t="n">
        <x:v>500</x:v>
      </x:c>
      <x:c r="I379" s="14" t="n">
        <x:v>48</x:v>
      </x:c>
      <x:c r="J379" s="14" t="n">
        <x:v>25</x:v>
      </x:c>
      <x:c r="K379" s="14" t="str">
        <x:v>Diversion and terminal custody</x:v>
      </x:c>
      <x:c r="L379" s="14" t="str">
        <x:v>OPEN</x:v>
      </x:c>
    </x:row>
    <x:row r="380">
      <x:c r="A380" s="15" t="str">
        <x:v>CT-376</x:v>
      </x:c>
      <x:c r="B380" s="15" t="str">
        <x:v>AMR-48</x:v>
      </x:c>
      <x:c r="C380" s="15" t="str">
        <x:v>L2</x:v>
      </x:c>
      <x:c r="D380" s="15" t="str">
        <x:v>NRC-C</x:v>
      </x:c>
      <x:c r="E380" s="15" t="str">
        <x:v>DISPERSED</x:v>
      </x:c>
      <x:c r="F380" s="15" t="str">
        <x:v>T8</x:v>
      </x:c>
      <x:c r="G380" s="15" t="str">
        <x:v>Outside only</x:v>
      </x:c>
      <x:c r="H380" s="15" t="n">
        <x:v>500</x:v>
      </x:c>
      <x:c r="I380" s="15" t="n">
        <x:v>48</x:v>
      </x:c>
      <x:c r="J380" s="15" t="n">
        <x:v>25</x:v>
      </x:c>
      <x:c r="K380" s="15" t="str">
        <x:v>External reconstruction</x:v>
      </x:c>
      <x:c r="L380" s="15" t="str">
        <x:v>OPEN</x:v>
      </x:c>
    </x:row>
    <x:row r="381">
      <x:c r="A381" s="14" t="str">
        <x:v>CT-377</x:v>
      </x:c>
      <x:c r="B381" s="14" t="str">
        <x:v>AMR-48</x:v>
      </x:c>
      <x:c r="C381" s="14" t="str">
        <x:v>L2</x:v>
      </x:c>
      <x:c r="D381" s="14" t="str">
        <x:v>NRC-C</x:v>
      </x:c>
      <x:c r="E381" s="14" t="str">
        <x:v>COHERENT</x:v>
      </x:c>
      <x:c r="F381" s="14" t="str">
        <x:v>T1</x:v>
      </x:c>
      <x:c r="G381" s="14" t="str">
        <x:v>Sealed zero</x:v>
      </x:c>
      <x:c r="H381" s="14" t="n">
        <x:v>0</x:v>
      </x:c>
      <x:c r="I381" s="14" t="n">
        <x:v>0</x:v>
      </x:c>
      <x:c r="J381" s="14" t="n">
        <x:v>25</x:v>
      </x:c>
      <x:c r="K381" s="14" t="str">
        <x:v>Native state, leakage and command isolation</x:v>
      </x:c>
      <x:c r="L381" s="14" t="str">
        <x:v>OPEN</x:v>
      </x:c>
    </x:row>
    <x:row r="382">
      <x:c r="A382" s="15" t="str">
        <x:v>CT-378</x:v>
      </x:c>
      <x:c r="B382" s="15" t="str">
        <x:v>AMR-48</x:v>
      </x:c>
      <x:c r="C382" s="15" t="str">
        <x:v>L2</x:v>
      </x:c>
      <x:c r="D382" s="15" t="str">
        <x:v>NRC-C</x:v>
      </x:c>
      <x:c r="E382" s="15" t="str">
        <x:v>COHERENT</x:v>
      </x:c>
      <x:c r="F382" s="15" t="str">
        <x:v>T2</x:v>
      </x:c>
      <x:c r="G382" s="15" t="str">
        <x:v>ER-09 anchor</x:v>
      </x:c>
      <x:c r="H382" s="15" t="n">
        <x:v>500</x:v>
      </x:c>
      <x:c r="I382" s="15" t="n">
        <x:v>24</x:v>
      </x:c>
      <x:c r="J382" s="15" t="n">
        <x:v>6.25</x:v>
      </x:c>
      <x:c r="K382" s="15" t="str">
        <x:v>Parent transfer</x:v>
      </x:c>
      <x:c r="L382" s="15" t="str">
        <x:v>OPEN</x:v>
      </x:c>
    </x:row>
    <x:row r="383">
      <x:c r="A383" s="14" t="str">
        <x:v>CT-379</x:v>
      </x:c>
      <x:c r="B383" s="14" t="str">
        <x:v>AMR-48</x:v>
      </x:c>
      <x:c r="C383" s="14" t="str">
        <x:v>L2</x:v>
      </x:c>
      <x:c r="D383" s="14" t="str">
        <x:v>NRC-C</x:v>
      </x:c>
      <x:c r="E383" s="14" t="str">
        <x:v>COHERENT</x:v>
      </x:c>
      <x:c r="F383" s="14" t="str">
        <x:v>T3</x:v>
      </x:c>
      <x:c r="G383" s="14" t="str">
        <x:v>Area expansion dry</x:v>
      </x:c>
      <x:c r="H383" s="14" t="n">
        <x:v>500</x:v>
      </x:c>
      <x:c r="I383" s="14" t="n">
        <x:v>0</x:v>
      </x:c>
      <x:c r="J383" s="14" t="n">
        <x:v>25</x:v>
      </x:c>
      <x:c r="K383" s="14" t="str">
        <x:v>Topology and boundary transition</x:v>
      </x:c>
      <x:c r="L383" s="14" t="str">
        <x:v>OPEN</x:v>
      </x:c>
    </x:row>
    <x:row r="384">
      <x:c r="A384" s="15" t="str">
        <x:v>CT-380</x:v>
      </x:c>
      <x:c r="B384" s="15" t="str">
        <x:v>AMR-48</x:v>
      </x:c>
      <x:c r="C384" s="15" t="str">
        <x:v>L2</x:v>
      </x:c>
      <x:c r="D384" s="15" t="str">
        <x:v>NRC-C</x:v>
      </x:c>
      <x:c r="E384" s="15" t="str">
        <x:v>COHERENT</x:v>
      </x:c>
      <x:c r="F384" s="15" t="str">
        <x:v>T4</x:v>
      </x:c>
      <x:c r="G384" s="15" t="str">
        <x:v>Area expansion wet</x:v>
      </x:c>
      <x:c r="H384" s="15" t="n">
        <x:v>500</x:v>
      </x:c>
      <x:c r="I384" s="15" t="n">
        <x:v>24</x:v>
      </x:c>
      <x:c r="J384" s="15" t="n">
        <x:v>25</x:v>
      </x:c>
      <x:c r="K384" s="15" t="str">
        <x:v>Half-water contact</x:v>
      </x:c>
      <x:c r="L384" s="15" t="str">
        <x:v>OPEN</x:v>
      </x:c>
    </x:row>
    <x:row r="385">
      <x:c r="A385" s="14" t="str">
        <x:v>CT-381</x:v>
      </x:c>
      <x:c r="B385" s="14" t="str">
        <x:v>AMR-48</x:v>
      </x:c>
      <x:c r="C385" s="14" t="str">
        <x:v>L2</x:v>
      </x:c>
      <x:c r="D385" s="14" t="str">
        <x:v>NRC-C</x:v>
      </x:c>
      <x:c r="E385" s="14" t="str">
        <x:v>COHERENT</x:v>
      </x:c>
      <x:c r="F385" s="14" t="str">
        <x:v>T5</x:v>
      </x:c>
      <x:c r="G385" s="14" t="str">
        <x:v>Exact hydraulic</x:v>
      </x:c>
      <x:c r="H385" s="14" t="n">
        <x:v>500</x:v>
      </x:c>
      <x:c r="I385" s="14" t="n">
        <x:v>48</x:v>
      </x:c>
      <x:c r="J385" s="14" t="n">
        <x:v>25</x:v>
      </x:c>
      <x:c r="K385" s="14" t="str">
        <x:v>Complete issue and recovery</x:v>
      </x:c>
      <x:c r="L385" s="14" t="str">
        <x:v>OPEN</x:v>
      </x:c>
    </x:row>
    <x:row r="386">
      <x:c r="A386" s="15" t="str">
        <x:v>CT-382</x:v>
      </x:c>
      <x:c r="B386" s="15" t="str">
        <x:v>AMR-48</x:v>
      </x:c>
      <x:c r="C386" s="15" t="str">
        <x:v>L2</x:v>
      </x:c>
      <x:c r="D386" s="15" t="str">
        <x:v>NRC-C</x:v>
      </x:c>
      <x:c r="E386" s="15" t="str">
        <x:v>COHERENT</x:v>
      </x:c>
      <x:c r="F386" s="15" t="str">
        <x:v>T6</x:v>
      </x:c>
      <x:c r="G386" s="15" t="str">
        <x:v>Independent service</x:v>
      </x:c>
      <x:c r="H386" s="15" t="n">
        <x:v>500</x:v>
      </x:c>
      <x:c r="I386" s="15" t="n">
        <x:v>48</x:v>
      </x:c>
      <x:c r="J386" s="15" t="n">
        <x:v>25</x:v>
      </x:c>
      <x:c r="K386" s="15" t="str">
        <x:v>No host energy, network or time</x:v>
      </x:c>
      <x:c r="L386" s="15" t="str">
        <x:v>OPEN</x:v>
      </x:c>
    </x:row>
    <x:row r="387">
      <x:c r="A387" s="14" t="str">
        <x:v>CT-383</x:v>
      </x:c>
      <x:c r="B387" s="14" t="str">
        <x:v>AMR-48</x:v>
      </x:c>
      <x:c r="C387" s="14" t="str">
        <x:v>L2</x:v>
      </x:c>
      <x:c r="D387" s="14" t="str">
        <x:v>NRC-C</x:v>
      </x:c>
      <x:c r="E387" s="14" t="str">
        <x:v>COHERENT</x:v>
      </x:c>
      <x:c r="F387" s="14" t="str">
        <x:v>T7</x:v>
      </x:c>
      <x:c r="G387" s="14" t="str">
        <x:v>Receiver denial</x:v>
      </x:c>
      <x:c r="H387" s="14" t="n">
        <x:v>500</x:v>
      </x:c>
      <x:c r="I387" s="14" t="n">
        <x:v>48</x:v>
      </x:c>
      <x:c r="J387" s="14" t="n">
        <x:v>25</x:v>
      </x:c>
      <x:c r="K387" s="14" t="str">
        <x:v>Diversion and terminal custody</x:v>
      </x:c>
      <x:c r="L387" s="14" t="str">
        <x:v>OPEN</x:v>
      </x:c>
    </x:row>
    <x:row r="388">
      <x:c r="A388" s="15" t="str">
        <x:v>CT-384</x:v>
      </x:c>
      <x:c r="B388" s="15" t="str">
        <x:v>AMR-48</x:v>
      </x:c>
      <x:c r="C388" s="15" t="str">
        <x:v>L2</x:v>
      </x:c>
      <x:c r="D388" s="15" t="str">
        <x:v>NRC-C</x:v>
      </x:c>
      <x:c r="E388" s="15" t="str">
        <x:v>COHERENT</x:v>
      </x:c>
      <x:c r="F388" s="15" t="str">
        <x:v>T8</x:v>
      </x:c>
      <x:c r="G388" s="15" t="str">
        <x:v>Outside only</x:v>
      </x:c>
      <x:c r="H388" s="15" t="n">
        <x:v>500</x:v>
      </x:c>
      <x:c r="I388" s="15" t="n">
        <x:v>48</x:v>
      </x:c>
      <x:c r="J388" s="15" t="n">
        <x:v>25</x:v>
      </x:c>
      <x:c r="K388" s="15" t="str">
        <x:v>External reconstruction</x:v>
      </x:c>
      <x:c r="L388" s="15" t="str">
        <x:v>OPEN</x:v>
      </x:c>
    </x:row>
  </x:sheetData>
  <x:mergeCells>
    <x:mergeCell ref="A1:L1"/>
    <x:mergeCell ref="A2:L2"/>
  </x:mergeCells>
  <x:pageMargins left="0.7" right="0.7" top="0.75" bottom="0.75" header="0.3" footer="0.3"/>
</x:worksheet>
</file>

<file path=xl/worksheets/sheet1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24" hidden="0" customWidth="1"/>
    <x:col min="6" max="6" width="8" hidden="0" customWidth="1"/>
    <x:col min="7" max="7" width="13" hidden="0" customWidth="1"/>
    <x:col min="8" max="8" width="13" hidden="0" customWidth="1"/>
    <x:col min="9" max="9" width="12" hidden="0" customWidth="1"/>
    <x:col min="10" max="10" width="14" hidden="0" customWidth="1"/>
    <x:col min="11" max="11" width="14" hidden="0" customWidth="1"/>
  </x:cols>
  <x:sheetData>
    <x:row r="1" ht="26" customHeight="1">
      <x:c r="A1" s="43" t="str">
        <x:v>Blinded architecture comparisons</x:v>
      </x:c>
      <x:c r="B1" s="35"/>
      <x:c r="C1" s="35"/>
      <x:c r="D1" s="35"/>
      <x:c r="E1" s="35"/>
      <x:c r="F1" s="35"/>
      <x:c r="G1" s="35"/>
      <x:c r="H1" s="35"/>
      <x:c r="I1" s="35"/>
      <x:c r="J1" s="35"/>
      <x:c r="K1" s="35"/>
    </x:row>
    <x:row r="2" ht="32" customHeight="1">
      <x:c r="A2" s="7" t="str">
        <x:v>192 comparisons using common truth independent of both candidates.</x:v>
      </x:c>
      <x:c r="B2" s="35"/>
      <x:c r="C2" s="35"/>
      <x:c r="D2" s="35"/>
      <x:c r="E2" s="35"/>
      <x:c r="F2" s="35"/>
      <x:c r="G2" s="35"/>
      <x:c r="H2" s="35"/>
      <x:c r="I2" s="35"/>
      <x:c r="J2" s="35"/>
      <x:c r="K2" s="35"/>
    </x:row>
    <x:row r="3">
      <x:c r="A3" s="35"/>
      <x:c r="B3" s="35"/>
      <x:c r="C3" s="35"/>
      <x:c r="D3" s="35"/>
      <x:c r="E3" s="35"/>
      <x:c r="F3" s="35"/>
      <x:c r="G3" s="35"/>
      <x:c r="H3" s="35"/>
      <x:c r="I3" s="35"/>
      <x:c r="J3" s="35"/>
      <x:c r="K3" s="35"/>
    </x:row>
    <x:row r="4" ht="28" customHeight="1">
      <x:c r="A4" s="11" t="str">
        <x:v>ID</x:v>
      </x:c>
      <x:c r="B4" s="11" t="str">
        <x:v>Candidate A</x:v>
      </x:c>
      <x:c r="C4" s="11" t="str">
        <x:v>Candidate B</x:v>
      </x:c>
      <x:c r="D4" s="11" t="str">
        <x:v>Morphology</x:v>
      </x:c>
      <x:c r="E4" s="11" t="str">
        <x:v>State</x:v>
      </x:c>
      <x:c r="F4" s="11" t="str">
        <x:v>Rep</x:v>
      </x:c>
      <x:c r="G4" s="11" t="str">
        <x:v>Simulant kg</x:v>
      </x:c>
      <x:c r="H4" s="11" t="str">
        <x:v>Water m3</x:v>
      </x:c>
      <x:c r="I4" s="11" t="str">
        <x:v>Area m2</x:v>
      </x:c>
      <x:c r="J4" s="11" t="str">
        <x:v>Assignment</x:v>
      </x:c>
      <x:c r="K4" s="11" t="str">
        <x:v>Disposition</x:v>
      </x:c>
    </x:row>
    <x:row r="5">
      <x:c r="A5" s="14" t="str">
        <x:v>MC-001</x:v>
      </x:c>
      <x:c r="B5" s="14" t="str">
        <x:v>CSM-48</x:v>
      </x:c>
      <x:c r="C5" s="14" t="str">
        <x:v>PGR-48</x:v>
      </x:c>
      <x:c r="D5" s="14" t="str">
        <x:v>DISPERSED</x:v>
      </x:c>
      <x:c r="E5" s="14" t="str">
        <x:v>ER-09 anchor</x:v>
      </x:c>
      <x:c r="F5" s="14" t="n">
        <x:v>1</x:v>
      </x:c>
      <x:c r="G5" s="14" t="n">
        <x:v>500</x:v>
      </x:c>
      <x:c r="H5" s="14" t="n">
        <x:v>24</x:v>
      </x:c>
      <x:c r="I5" s="14" t="n">
        <x:v>6.25</x:v>
      </x:c>
      <x:c r="J5" s="14" t="str">
        <x:v>SEALED</x:v>
      </x:c>
      <x:c r="K5" s="14" t="str">
        <x:v>OPEN</x:v>
      </x:c>
    </x:row>
    <x:row r="6">
      <x:c r="A6" s="15" t="str">
        <x:v>MC-002</x:v>
      </x:c>
      <x:c r="B6" s="15" t="str">
        <x:v>CSM-48</x:v>
      </x:c>
      <x:c r="C6" s="15" t="str">
        <x:v>PGR-48</x:v>
      </x:c>
      <x:c r="D6" s="15" t="str">
        <x:v>DISPERSED</x:v>
      </x:c>
      <x:c r="E6" s="15" t="str">
        <x:v>ER-09 anchor</x:v>
      </x:c>
      <x:c r="F6" s="15" t="n">
        <x:v>2</x:v>
      </x:c>
      <x:c r="G6" s="15" t="n">
        <x:v>500</x:v>
      </x:c>
      <x:c r="H6" s="15" t="n">
        <x:v>24</x:v>
      </x:c>
      <x:c r="I6" s="15" t="n">
        <x:v>6.25</x:v>
      </x:c>
      <x:c r="J6" s="15" t="str">
        <x:v>SEALED</x:v>
      </x:c>
      <x:c r="K6" s="15" t="str">
        <x:v>OPEN</x:v>
      </x:c>
    </x:row>
    <x:row r="7">
      <x:c r="A7" s="14" t="str">
        <x:v>MC-003</x:v>
      </x:c>
      <x:c r="B7" s="14" t="str">
        <x:v>CSM-48</x:v>
      </x:c>
      <x:c r="C7" s="14" t="str">
        <x:v>PGR-48</x:v>
      </x:c>
      <x:c r="D7" s="14" t="str">
        <x:v>DISPERSED</x:v>
      </x:c>
      <x:c r="E7" s="14" t="str">
        <x:v>ER-09 anchor</x:v>
      </x:c>
      <x:c r="F7" s="14" t="n">
        <x:v>3</x:v>
      </x:c>
      <x:c r="G7" s="14" t="n">
        <x:v>500</x:v>
      </x:c>
      <x:c r="H7" s="14" t="n">
        <x:v>24</x:v>
      </x:c>
      <x:c r="I7" s="14" t="n">
        <x:v>6.25</x:v>
      </x:c>
      <x:c r="J7" s="14" t="str">
        <x:v>SEALED</x:v>
      </x:c>
      <x:c r="K7" s="14" t="str">
        <x:v>OPEN</x:v>
      </x:c>
    </x:row>
    <x:row r="8">
      <x:c r="A8" s="15" t="str">
        <x:v>MC-004</x:v>
      </x:c>
      <x:c r="B8" s="15" t="str">
        <x:v>CSM-48</x:v>
      </x:c>
      <x:c r="C8" s="15" t="str">
        <x:v>PGR-48</x:v>
      </x:c>
      <x:c r="D8" s="15" t="str">
        <x:v>DISPERSED</x:v>
      </x:c>
      <x:c r="E8" s="15" t="str">
        <x:v>ER-09 anchor</x:v>
      </x:c>
      <x:c r="F8" s="15" t="n">
        <x:v>4</x:v>
      </x:c>
      <x:c r="G8" s="15" t="n">
        <x:v>500</x:v>
      </x:c>
      <x:c r="H8" s="15" t="n">
        <x:v>24</x:v>
      </x:c>
      <x:c r="I8" s="15" t="n">
        <x:v>6.25</x:v>
      </x:c>
      <x:c r="J8" s="15" t="str">
        <x:v>SEALED</x:v>
      </x:c>
      <x:c r="K8" s="15" t="str">
        <x:v>OPEN</x:v>
      </x:c>
    </x:row>
    <x:row r="9">
      <x:c r="A9" s="14" t="str">
        <x:v>MC-005</x:v>
      </x:c>
      <x:c r="B9" s="14" t="str">
        <x:v>CSM-48</x:v>
      </x:c>
      <x:c r="C9" s="14" t="str">
        <x:v>PGR-48</x:v>
      </x:c>
      <x:c r="D9" s="14" t="str">
        <x:v>DISPERSED</x:v>
      </x:c>
      <x:c r="E9" s="14" t="str">
        <x:v>Expanded half-water</x:v>
      </x:c>
      <x:c r="F9" s="14" t="n">
        <x:v>1</x:v>
      </x:c>
      <x:c r="G9" s="14" t="n">
        <x:v>500</x:v>
      </x:c>
      <x:c r="H9" s="14" t="n">
        <x:v>24</x:v>
      </x:c>
      <x:c r="I9" s="14" t="n">
        <x:v>25</x:v>
      </x:c>
      <x:c r="J9" s="14" t="str">
        <x:v>SEALED</x:v>
      </x:c>
      <x:c r="K9" s="14" t="str">
        <x:v>OPEN</x:v>
      </x:c>
    </x:row>
    <x:row r="10">
      <x:c r="A10" s="15" t="str">
        <x:v>MC-006</x:v>
      </x:c>
      <x:c r="B10" s="15" t="str">
        <x:v>CSM-48</x:v>
      </x:c>
      <x:c r="C10" s="15" t="str">
        <x:v>PGR-48</x:v>
      </x:c>
      <x:c r="D10" s="15" t="str">
        <x:v>DISPERSED</x:v>
      </x:c>
      <x:c r="E10" s="15" t="str">
        <x:v>Expanded half-water</x:v>
      </x:c>
      <x:c r="F10" s="15" t="n">
        <x:v>2</x:v>
      </x:c>
      <x:c r="G10" s="15" t="n">
        <x:v>500</x:v>
      </x:c>
      <x:c r="H10" s="15" t="n">
        <x:v>24</x:v>
      </x:c>
      <x:c r="I10" s="15" t="n">
        <x:v>25</x:v>
      </x:c>
      <x:c r="J10" s="15" t="str">
        <x:v>SEALED</x:v>
      </x:c>
      <x:c r="K10" s="15" t="str">
        <x:v>OPEN</x:v>
      </x:c>
    </x:row>
    <x:row r="11">
      <x:c r="A11" s="14" t="str">
        <x:v>MC-007</x:v>
      </x:c>
      <x:c r="B11" s="14" t="str">
        <x:v>CSM-48</x:v>
      </x:c>
      <x:c r="C11" s="14" t="str">
        <x:v>PGR-48</x:v>
      </x:c>
      <x:c r="D11" s="14" t="str">
        <x:v>DISPERSED</x:v>
      </x:c>
      <x:c r="E11" s="14" t="str">
        <x:v>Expanded half-water</x:v>
      </x:c>
      <x:c r="F11" s="14" t="n">
        <x:v>3</x:v>
      </x:c>
      <x:c r="G11" s="14" t="n">
        <x:v>500</x:v>
      </x:c>
      <x:c r="H11" s="14" t="n">
        <x:v>24</x:v>
      </x:c>
      <x:c r="I11" s="14" t="n">
        <x:v>25</x:v>
      </x:c>
      <x:c r="J11" s="14" t="str">
        <x:v>SEALED</x:v>
      </x:c>
      <x:c r="K11" s="14" t="str">
        <x:v>OPEN</x:v>
      </x:c>
    </x:row>
    <x:row r="12">
      <x:c r="A12" s="15" t="str">
        <x:v>MC-008</x:v>
      </x:c>
      <x:c r="B12" s="15" t="str">
        <x:v>CSM-48</x:v>
      </x:c>
      <x:c r="C12" s="15" t="str">
        <x:v>PGR-48</x:v>
      </x:c>
      <x:c r="D12" s="15" t="str">
        <x:v>DISPERSED</x:v>
      </x:c>
      <x:c r="E12" s="15" t="str">
        <x:v>Expanded half-water</x:v>
      </x:c>
      <x:c r="F12" s="15" t="n">
        <x:v>4</x:v>
      </x:c>
      <x:c r="G12" s="15" t="n">
        <x:v>500</x:v>
      </x:c>
      <x:c r="H12" s="15" t="n">
        <x:v>24</x:v>
      </x:c>
      <x:c r="I12" s="15" t="n">
        <x:v>25</x:v>
      </x:c>
      <x:c r="J12" s="15" t="str">
        <x:v>SEALED</x:v>
      </x:c>
      <x:c r="K12" s="15" t="str">
        <x:v>OPEN</x:v>
      </x:c>
    </x:row>
    <x:row r="13">
      <x:c r="A13" s="14" t="str">
        <x:v>MC-009</x:v>
      </x:c>
      <x:c r="B13" s="14" t="str">
        <x:v>CSM-48</x:v>
      </x:c>
      <x:c r="C13" s="14" t="str">
        <x:v>PGR-48</x:v>
      </x:c>
      <x:c r="D13" s="14" t="str">
        <x:v>DISPERSED</x:v>
      </x:c>
      <x:c r="E13" s="14" t="str">
        <x:v>Exact casualty</x:v>
      </x:c>
      <x:c r="F13" s="14" t="n">
        <x:v>1</x:v>
      </x:c>
      <x:c r="G13" s="14" t="n">
        <x:v>500</x:v>
      </x:c>
      <x:c r="H13" s="14" t="n">
        <x:v>48</x:v>
      </x:c>
      <x:c r="I13" s="14" t="n">
        <x:v>25</x:v>
      </x:c>
      <x:c r="J13" s="14" t="str">
        <x:v>SEALED</x:v>
      </x:c>
      <x:c r="K13" s="14" t="str">
        <x:v>OPEN</x:v>
      </x:c>
    </x:row>
    <x:row r="14">
      <x:c r="A14" s="15" t="str">
        <x:v>MC-010</x:v>
      </x:c>
      <x:c r="B14" s="15" t="str">
        <x:v>CSM-48</x:v>
      </x:c>
      <x:c r="C14" s="15" t="str">
        <x:v>PGR-48</x:v>
      </x:c>
      <x:c r="D14" s="15" t="str">
        <x:v>DISPERSED</x:v>
      </x:c>
      <x:c r="E14" s="15" t="str">
        <x:v>Exact casualty</x:v>
      </x:c>
      <x:c r="F14" s="15" t="n">
        <x:v>2</x:v>
      </x:c>
      <x:c r="G14" s="15" t="n">
        <x:v>500</x:v>
      </x:c>
      <x:c r="H14" s="15" t="n">
        <x:v>48</x:v>
      </x:c>
      <x:c r="I14" s="15" t="n">
        <x:v>25</x:v>
      </x:c>
      <x:c r="J14" s="15" t="str">
        <x:v>SEALED</x:v>
      </x:c>
      <x:c r="K14" s="15" t="str">
        <x:v>OPEN</x:v>
      </x:c>
    </x:row>
    <x:row r="15">
      <x:c r="A15" s="14" t="str">
        <x:v>MC-011</x:v>
      </x:c>
      <x:c r="B15" s="14" t="str">
        <x:v>CSM-48</x:v>
      </x:c>
      <x:c r="C15" s="14" t="str">
        <x:v>PGR-48</x:v>
      </x:c>
      <x:c r="D15" s="14" t="str">
        <x:v>DISPERSED</x:v>
      </x:c>
      <x:c r="E15" s="14" t="str">
        <x:v>Exact casualty</x:v>
      </x:c>
      <x:c r="F15" s="14" t="n">
        <x:v>3</x:v>
      </x:c>
      <x:c r="G15" s="14" t="n">
        <x:v>500</x:v>
      </x:c>
      <x:c r="H15" s="14" t="n">
        <x:v>48</x:v>
      </x:c>
      <x:c r="I15" s="14" t="n">
        <x:v>25</x:v>
      </x:c>
      <x:c r="J15" s="14" t="str">
        <x:v>SEALED</x:v>
      </x:c>
      <x:c r="K15" s="14" t="str">
        <x:v>OPEN</x:v>
      </x:c>
    </x:row>
    <x:row r="16">
      <x:c r="A16" s="15" t="str">
        <x:v>MC-012</x:v>
      </x:c>
      <x:c r="B16" s="15" t="str">
        <x:v>CSM-48</x:v>
      </x:c>
      <x:c r="C16" s="15" t="str">
        <x:v>PGR-48</x:v>
      </x:c>
      <x:c r="D16" s="15" t="str">
        <x:v>DISPERSED</x:v>
      </x:c>
      <x:c r="E16" s="15" t="str">
        <x:v>Exact casualty</x:v>
      </x:c>
      <x:c r="F16" s="15" t="n">
        <x:v>4</x:v>
      </x:c>
      <x:c r="G16" s="15" t="n">
        <x:v>500</x:v>
      </x:c>
      <x:c r="H16" s="15" t="n">
        <x:v>48</x:v>
      </x:c>
      <x:c r="I16" s="15" t="n">
        <x:v>25</x:v>
      </x:c>
      <x:c r="J16" s="15" t="str">
        <x:v>SEALED</x:v>
      </x:c>
      <x:c r="K16" s="15" t="str">
        <x:v>OPEN</x:v>
      </x:c>
    </x:row>
    <x:row r="17">
      <x:c r="A17" s="14" t="str">
        <x:v>MC-013</x:v>
      </x:c>
      <x:c r="B17" s="14" t="str">
        <x:v>CSM-48</x:v>
      </x:c>
      <x:c r="C17" s="14" t="str">
        <x:v>PGR-48</x:v>
      </x:c>
      <x:c r="D17" s="14" t="str">
        <x:v>DISPERSED</x:v>
      </x:c>
      <x:c r="E17" s="14" t="str">
        <x:v>Compound loss</x:v>
      </x:c>
      <x:c r="F17" s="14" t="n">
        <x:v>1</x:v>
      </x:c>
      <x:c r="G17" s="14" t="n">
        <x:v>500</x:v>
      </x:c>
      <x:c r="H17" s="14" t="n">
        <x:v>48</x:v>
      </x:c>
      <x:c r="I17" s="14" t="n">
        <x:v>25</x:v>
      </x:c>
      <x:c r="J17" s="14" t="str">
        <x:v>SEALED</x:v>
      </x:c>
      <x:c r="K17" s="14" t="str">
        <x:v>OPEN</x:v>
      </x:c>
    </x:row>
    <x:row r="18">
      <x:c r="A18" s="15" t="str">
        <x:v>MC-014</x:v>
      </x:c>
      <x:c r="B18" s="15" t="str">
        <x:v>CSM-48</x:v>
      </x:c>
      <x:c r="C18" s="15" t="str">
        <x:v>PGR-48</x:v>
      </x:c>
      <x:c r="D18" s="15" t="str">
        <x:v>DISPERSED</x:v>
      </x:c>
      <x:c r="E18" s="15" t="str">
        <x:v>Compound loss</x:v>
      </x:c>
      <x:c r="F18" s="15" t="n">
        <x:v>2</x:v>
      </x:c>
      <x:c r="G18" s="15" t="n">
        <x:v>500</x:v>
      </x:c>
      <x:c r="H18" s="15" t="n">
        <x:v>48</x:v>
      </x:c>
      <x:c r="I18" s="15" t="n">
        <x:v>25</x:v>
      </x:c>
      <x:c r="J18" s="15" t="str">
        <x:v>SEALED</x:v>
      </x:c>
      <x:c r="K18" s="15" t="str">
        <x:v>OPEN</x:v>
      </x:c>
    </x:row>
    <x:row r="19">
      <x:c r="A19" s="14" t="str">
        <x:v>MC-015</x:v>
      </x:c>
      <x:c r="B19" s="14" t="str">
        <x:v>CSM-48</x:v>
      </x:c>
      <x:c r="C19" s="14" t="str">
        <x:v>PGR-48</x:v>
      </x:c>
      <x:c r="D19" s="14" t="str">
        <x:v>DISPERSED</x:v>
      </x:c>
      <x:c r="E19" s="14" t="str">
        <x:v>Compound loss</x:v>
      </x:c>
      <x:c r="F19" s="14" t="n">
        <x:v>3</x:v>
      </x:c>
      <x:c r="G19" s="14" t="n">
        <x:v>500</x:v>
      </x:c>
      <x:c r="H19" s="14" t="n">
        <x:v>48</x:v>
      </x:c>
      <x:c r="I19" s="14" t="n">
        <x:v>25</x:v>
      </x:c>
      <x:c r="J19" s="14" t="str">
        <x:v>SEALED</x:v>
      </x:c>
      <x:c r="K19" s="14" t="str">
        <x:v>OPEN</x:v>
      </x:c>
    </x:row>
    <x:row r="20">
      <x:c r="A20" s="15" t="str">
        <x:v>MC-016</x:v>
      </x:c>
      <x:c r="B20" s="15" t="str">
        <x:v>CSM-48</x:v>
      </x:c>
      <x:c r="C20" s="15" t="str">
        <x:v>PGR-48</x:v>
      </x:c>
      <x:c r="D20" s="15" t="str">
        <x:v>DISPERSED</x:v>
      </x:c>
      <x:c r="E20" s="15" t="str">
        <x:v>Compound loss</x:v>
      </x:c>
      <x:c r="F20" s="15" t="n">
        <x:v>4</x:v>
      </x:c>
      <x:c r="G20" s="15" t="n">
        <x:v>500</x:v>
      </x:c>
      <x:c r="H20" s="15" t="n">
        <x:v>48</x:v>
      </x:c>
      <x:c r="I20" s="15" t="n">
        <x:v>25</x:v>
      </x:c>
      <x:c r="J20" s="15" t="str">
        <x:v>SEALED</x:v>
      </x:c>
      <x:c r="K20" s="15" t="str">
        <x:v>OPEN</x:v>
      </x:c>
    </x:row>
    <x:row r="21">
      <x:c r="A21" s="14" t="str">
        <x:v>MC-017</x:v>
      </x:c>
      <x:c r="B21" s="14" t="str">
        <x:v>CSM-48</x:v>
      </x:c>
      <x:c r="C21" s="14" t="str">
        <x:v>PGR-48</x:v>
      </x:c>
      <x:c r="D21" s="14" t="str">
        <x:v>COHERENT</x:v>
      </x:c>
      <x:c r="E21" s="14" t="str">
        <x:v>ER-09 anchor</x:v>
      </x:c>
      <x:c r="F21" s="14" t="n">
        <x:v>1</x:v>
      </x:c>
      <x:c r="G21" s="14" t="n">
        <x:v>500</x:v>
      </x:c>
      <x:c r="H21" s="14" t="n">
        <x:v>24</x:v>
      </x:c>
      <x:c r="I21" s="14" t="n">
        <x:v>6.25</x:v>
      </x:c>
      <x:c r="J21" s="14" t="str">
        <x:v>SEALED</x:v>
      </x:c>
      <x:c r="K21" s="14" t="str">
        <x:v>OPEN</x:v>
      </x:c>
    </x:row>
    <x:row r="22">
      <x:c r="A22" s="15" t="str">
        <x:v>MC-018</x:v>
      </x:c>
      <x:c r="B22" s="15" t="str">
        <x:v>CSM-48</x:v>
      </x:c>
      <x:c r="C22" s="15" t="str">
        <x:v>PGR-48</x:v>
      </x:c>
      <x:c r="D22" s="15" t="str">
        <x:v>COHERENT</x:v>
      </x:c>
      <x:c r="E22" s="15" t="str">
        <x:v>ER-09 anchor</x:v>
      </x:c>
      <x:c r="F22" s="15" t="n">
        <x:v>2</x:v>
      </x:c>
      <x:c r="G22" s="15" t="n">
        <x:v>500</x:v>
      </x:c>
      <x:c r="H22" s="15" t="n">
        <x:v>24</x:v>
      </x:c>
      <x:c r="I22" s="15" t="n">
        <x:v>6.25</x:v>
      </x:c>
      <x:c r="J22" s="15" t="str">
        <x:v>SEALED</x:v>
      </x:c>
      <x:c r="K22" s="15" t="str">
        <x:v>OPEN</x:v>
      </x:c>
    </x:row>
    <x:row r="23">
      <x:c r="A23" s="14" t="str">
        <x:v>MC-019</x:v>
      </x:c>
      <x:c r="B23" s="14" t="str">
        <x:v>CSM-48</x:v>
      </x:c>
      <x:c r="C23" s="14" t="str">
        <x:v>PGR-48</x:v>
      </x:c>
      <x:c r="D23" s="14" t="str">
        <x:v>COHERENT</x:v>
      </x:c>
      <x:c r="E23" s="14" t="str">
        <x:v>ER-09 anchor</x:v>
      </x:c>
      <x:c r="F23" s="14" t="n">
        <x:v>3</x:v>
      </x:c>
      <x:c r="G23" s="14" t="n">
        <x:v>500</x:v>
      </x:c>
      <x:c r="H23" s="14" t="n">
        <x:v>24</x:v>
      </x:c>
      <x:c r="I23" s="14" t="n">
        <x:v>6.25</x:v>
      </x:c>
      <x:c r="J23" s="14" t="str">
        <x:v>SEALED</x:v>
      </x:c>
      <x:c r="K23" s="14" t="str">
        <x:v>OPEN</x:v>
      </x:c>
    </x:row>
    <x:row r="24">
      <x:c r="A24" s="15" t="str">
        <x:v>MC-020</x:v>
      </x:c>
      <x:c r="B24" s="15" t="str">
        <x:v>CSM-48</x:v>
      </x:c>
      <x:c r="C24" s="15" t="str">
        <x:v>PGR-48</x:v>
      </x:c>
      <x:c r="D24" s="15" t="str">
        <x:v>COHERENT</x:v>
      </x:c>
      <x:c r="E24" s="15" t="str">
        <x:v>ER-09 anchor</x:v>
      </x:c>
      <x:c r="F24" s="15" t="n">
        <x:v>4</x:v>
      </x:c>
      <x:c r="G24" s="15" t="n">
        <x:v>500</x:v>
      </x:c>
      <x:c r="H24" s="15" t="n">
        <x:v>24</x:v>
      </x:c>
      <x:c r="I24" s="15" t="n">
        <x:v>6.25</x:v>
      </x:c>
      <x:c r="J24" s="15" t="str">
        <x:v>SEALED</x:v>
      </x:c>
      <x:c r="K24" s="15" t="str">
        <x:v>OPEN</x:v>
      </x:c>
    </x:row>
    <x:row r="25">
      <x:c r="A25" s="14" t="str">
        <x:v>MC-021</x:v>
      </x:c>
      <x:c r="B25" s="14" t="str">
        <x:v>CSM-48</x:v>
      </x:c>
      <x:c r="C25" s="14" t="str">
        <x:v>PGR-48</x:v>
      </x:c>
      <x:c r="D25" s="14" t="str">
        <x:v>COHERENT</x:v>
      </x:c>
      <x:c r="E25" s="14" t="str">
        <x:v>Expanded half-water</x:v>
      </x:c>
      <x:c r="F25" s="14" t="n">
        <x:v>1</x:v>
      </x:c>
      <x:c r="G25" s="14" t="n">
        <x:v>500</x:v>
      </x:c>
      <x:c r="H25" s="14" t="n">
        <x:v>24</x:v>
      </x:c>
      <x:c r="I25" s="14" t="n">
        <x:v>25</x:v>
      </x:c>
      <x:c r="J25" s="14" t="str">
        <x:v>SEALED</x:v>
      </x:c>
      <x:c r="K25" s="14" t="str">
        <x:v>OPEN</x:v>
      </x:c>
    </x:row>
    <x:row r="26">
      <x:c r="A26" s="15" t="str">
        <x:v>MC-022</x:v>
      </x:c>
      <x:c r="B26" s="15" t="str">
        <x:v>CSM-48</x:v>
      </x:c>
      <x:c r="C26" s="15" t="str">
        <x:v>PGR-48</x:v>
      </x:c>
      <x:c r="D26" s="15" t="str">
        <x:v>COHERENT</x:v>
      </x:c>
      <x:c r="E26" s="15" t="str">
        <x:v>Expanded half-water</x:v>
      </x:c>
      <x:c r="F26" s="15" t="n">
        <x:v>2</x:v>
      </x:c>
      <x:c r="G26" s="15" t="n">
        <x:v>500</x:v>
      </x:c>
      <x:c r="H26" s="15" t="n">
        <x:v>24</x:v>
      </x:c>
      <x:c r="I26" s="15" t="n">
        <x:v>25</x:v>
      </x:c>
      <x:c r="J26" s="15" t="str">
        <x:v>SEALED</x:v>
      </x:c>
      <x:c r="K26" s="15" t="str">
        <x:v>OPEN</x:v>
      </x:c>
    </x:row>
    <x:row r="27">
      <x:c r="A27" s="14" t="str">
        <x:v>MC-023</x:v>
      </x:c>
      <x:c r="B27" s="14" t="str">
        <x:v>CSM-48</x:v>
      </x:c>
      <x:c r="C27" s="14" t="str">
        <x:v>PGR-48</x:v>
      </x:c>
      <x:c r="D27" s="14" t="str">
        <x:v>COHERENT</x:v>
      </x:c>
      <x:c r="E27" s="14" t="str">
        <x:v>Expanded half-water</x:v>
      </x:c>
      <x:c r="F27" s="14" t="n">
        <x:v>3</x:v>
      </x:c>
      <x:c r="G27" s="14" t="n">
        <x:v>500</x:v>
      </x:c>
      <x:c r="H27" s="14" t="n">
        <x:v>24</x:v>
      </x:c>
      <x:c r="I27" s="14" t="n">
        <x:v>25</x:v>
      </x:c>
      <x:c r="J27" s="14" t="str">
        <x:v>SEALED</x:v>
      </x:c>
      <x:c r="K27" s="14" t="str">
        <x:v>OPEN</x:v>
      </x:c>
    </x:row>
    <x:row r="28">
      <x:c r="A28" s="15" t="str">
        <x:v>MC-024</x:v>
      </x:c>
      <x:c r="B28" s="15" t="str">
        <x:v>CSM-48</x:v>
      </x:c>
      <x:c r="C28" s="15" t="str">
        <x:v>PGR-48</x:v>
      </x:c>
      <x:c r="D28" s="15" t="str">
        <x:v>COHERENT</x:v>
      </x:c>
      <x:c r="E28" s="15" t="str">
        <x:v>Expanded half-water</x:v>
      </x:c>
      <x:c r="F28" s="15" t="n">
        <x:v>4</x:v>
      </x:c>
      <x:c r="G28" s="15" t="n">
        <x:v>500</x:v>
      </x:c>
      <x:c r="H28" s="15" t="n">
        <x:v>24</x:v>
      </x:c>
      <x:c r="I28" s="15" t="n">
        <x:v>25</x:v>
      </x:c>
      <x:c r="J28" s="15" t="str">
        <x:v>SEALED</x:v>
      </x:c>
      <x:c r="K28" s="15" t="str">
        <x:v>OPEN</x:v>
      </x:c>
    </x:row>
    <x:row r="29">
      <x:c r="A29" s="14" t="str">
        <x:v>MC-025</x:v>
      </x:c>
      <x:c r="B29" s="14" t="str">
        <x:v>CSM-48</x:v>
      </x:c>
      <x:c r="C29" s="14" t="str">
        <x:v>PGR-48</x:v>
      </x:c>
      <x:c r="D29" s="14" t="str">
        <x:v>COHERENT</x:v>
      </x:c>
      <x:c r="E29" s="14" t="str">
        <x:v>Exact casualty</x:v>
      </x:c>
      <x:c r="F29" s="14" t="n">
        <x:v>1</x:v>
      </x:c>
      <x:c r="G29" s="14" t="n">
        <x:v>500</x:v>
      </x:c>
      <x:c r="H29" s="14" t="n">
        <x:v>48</x:v>
      </x:c>
      <x:c r="I29" s="14" t="n">
        <x:v>25</x:v>
      </x:c>
      <x:c r="J29" s="14" t="str">
        <x:v>SEALED</x:v>
      </x:c>
      <x:c r="K29" s="14" t="str">
        <x:v>OPEN</x:v>
      </x:c>
    </x:row>
    <x:row r="30">
      <x:c r="A30" s="15" t="str">
        <x:v>MC-026</x:v>
      </x:c>
      <x:c r="B30" s="15" t="str">
        <x:v>CSM-48</x:v>
      </x:c>
      <x:c r="C30" s="15" t="str">
        <x:v>PGR-48</x:v>
      </x:c>
      <x:c r="D30" s="15" t="str">
        <x:v>COHERENT</x:v>
      </x:c>
      <x:c r="E30" s="15" t="str">
        <x:v>Exact casualty</x:v>
      </x:c>
      <x:c r="F30" s="15" t="n">
        <x:v>2</x:v>
      </x:c>
      <x:c r="G30" s="15" t="n">
        <x:v>500</x:v>
      </x:c>
      <x:c r="H30" s="15" t="n">
        <x:v>48</x:v>
      </x:c>
      <x:c r="I30" s="15" t="n">
        <x:v>25</x:v>
      </x:c>
      <x:c r="J30" s="15" t="str">
        <x:v>SEALED</x:v>
      </x:c>
      <x:c r="K30" s="15" t="str">
        <x:v>OPEN</x:v>
      </x:c>
    </x:row>
    <x:row r="31">
      <x:c r="A31" s="14" t="str">
        <x:v>MC-027</x:v>
      </x:c>
      <x:c r="B31" s="14" t="str">
        <x:v>CSM-48</x:v>
      </x:c>
      <x:c r="C31" s="14" t="str">
        <x:v>PGR-48</x:v>
      </x:c>
      <x:c r="D31" s="14" t="str">
        <x:v>COHERENT</x:v>
      </x:c>
      <x:c r="E31" s="14" t="str">
        <x:v>Exact casualty</x:v>
      </x:c>
      <x:c r="F31" s="14" t="n">
        <x:v>3</x:v>
      </x:c>
      <x:c r="G31" s="14" t="n">
        <x:v>500</x:v>
      </x:c>
      <x:c r="H31" s="14" t="n">
        <x:v>48</x:v>
      </x:c>
      <x:c r="I31" s="14" t="n">
        <x:v>25</x:v>
      </x:c>
      <x:c r="J31" s="14" t="str">
        <x:v>SEALED</x:v>
      </x:c>
      <x:c r="K31" s="14" t="str">
        <x:v>OPEN</x:v>
      </x:c>
    </x:row>
    <x:row r="32">
      <x:c r="A32" s="15" t="str">
        <x:v>MC-028</x:v>
      </x:c>
      <x:c r="B32" s="15" t="str">
        <x:v>CSM-48</x:v>
      </x:c>
      <x:c r="C32" s="15" t="str">
        <x:v>PGR-48</x:v>
      </x:c>
      <x:c r="D32" s="15" t="str">
        <x:v>COHERENT</x:v>
      </x:c>
      <x:c r="E32" s="15" t="str">
        <x:v>Exact casualty</x:v>
      </x:c>
      <x:c r="F32" s="15" t="n">
        <x:v>4</x:v>
      </x:c>
      <x:c r="G32" s="15" t="n">
        <x:v>500</x:v>
      </x:c>
      <x:c r="H32" s="15" t="n">
        <x:v>48</x:v>
      </x:c>
      <x:c r="I32" s="15" t="n">
        <x:v>25</x:v>
      </x:c>
      <x:c r="J32" s="15" t="str">
        <x:v>SEALED</x:v>
      </x:c>
      <x:c r="K32" s="15" t="str">
        <x:v>OPEN</x:v>
      </x:c>
    </x:row>
    <x:row r="33">
      <x:c r="A33" s="14" t="str">
        <x:v>MC-029</x:v>
      </x:c>
      <x:c r="B33" s="14" t="str">
        <x:v>CSM-48</x:v>
      </x:c>
      <x:c r="C33" s="14" t="str">
        <x:v>PGR-48</x:v>
      </x:c>
      <x:c r="D33" s="14" t="str">
        <x:v>COHERENT</x:v>
      </x:c>
      <x:c r="E33" s="14" t="str">
        <x:v>Compound loss</x:v>
      </x:c>
      <x:c r="F33" s="14" t="n">
        <x:v>1</x:v>
      </x:c>
      <x:c r="G33" s="14" t="n">
        <x:v>500</x:v>
      </x:c>
      <x:c r="H33" s="14" t="n">
        <x:v>48</x:v>
      </x:c>
      <x:c r="I33" s="14" t="n">
        <x:v>25</x:v>
      </x:c>
      <x:c r="J33" s="14" t="str">
        <x:v>SEALED</x:v>
      </x:c>
      <x:c r="K33" s="14" t="str">
        <x:v>OPEN</x:v>
      </x:c>
    </x:row>
    <x:row r="34">
      <x:c r="A34" s="15" t="str">
        <x:v>MC-030</x:v>
      </x:c>
      <x:c r="B34" s="15" t="str">
        <x:v>CSM-48</x:v>
      </x:c>
      <x:c r="C34" s="15" t="str">
        <x:v>PGR-48</x:v>
      </x:c>
      <x:c r="D34" s="15" t="str">
        <x:v>COHERENT</x:v>
      </x:c>
      <x:c r="E34" s="15" t="str">
        <x:v>Compound loss</x:v>
      </x:c>
      <x:c r="F34" s="15" t="n">
        <x:v>2</x:v>
      </x:c>
      <x:c r="G34" s="15" t="n">
        <x:v>500</x:v>
      </x:c>
      <x:c r="H34" s="15" t="n">
        <x:v>48</x:v>
      </x:c>
      <x:c r="I34" s="15" t="n">
        <x:v>25</x:v>
      </x:c>
      <x:c r="J34" s="15" t="str">
        <x:v>SEALED</x:v>
      </x:c>
      <x:c r="K34" s="15" t="str">
        <x:v>OPEN</x:v>
      </x:c>
    </x:row>
    <x:row r="35">
      <x:c r="A35" s="14" t="str">
        <x:v>MC-031</x:v>
      </x:c>
      <x:c r="B35" s="14" t="str">
        <x:v>CSM-48</x:v>
      </x:c>
      <x:c r="C35" s="14" t="str">
        <x:v>PGR-48</x:v>
      </x:c>
      <x:c r="D35" s="14" t="str">
        <x:v>COHERENT</x:v>
      </x:c>
      <x:c r="E35" s="14" t="str">
        <x:v>Compound loss</x:v>
      </x:c>
      <x:c r="F35" s="14" t="n">
        <x:v>3</x:v>
      </x:c>
      <x:c r="G35" s="14" t="n">
        <x:v>500</x:v>
      </x:c>
      <x:c r="H35" s="14" t="n">
        <x:v>48</x:v>
      </x:c>
      <x:c r="I35" s="14" t="n">
        <x:v>25</x:v>
      </x:c>
      <x:c r="J35" s="14" t="str">
        <x:v>SEALED</x:v>
      </x:c>
      <x:c r="K35" s="14" t="str">
        <x:v>OPEN</x:v>
      </x:c>
    </x:row>
    <x:row r="36">
      <x:c r="A36" s="15" t="str">
        <x:v>MC-032</x:v>
      </x:c>
      <x:c r="B36" s="15" t="str">
        <x:v>CSM-48</x:v>
      </x:c>
      <x:c r="C36" s="15" t="str">
        <x:v>PGR-48</x:v>
      </x:c>
      <x:c r="D36" s="15" t="str">
        <x:v>COHERENT</x:v>
      </x:c>
      <x:c r="E36" s="15" t="str">
        <x:v>Compound loss</x:v>
      </x:c>
      <x:c r="F36" s="15" t="n">
        <x:v>4</x:v>
      </x:c>
      <x:c r="G36" s="15" t="n">
        <x:v>500</x:v>
      </x:c>
      <x:c r="H36" s="15" t="n">
        <x:v>48</x:v>
      </x:c>
      <x:c r="I36" s="15" t="n">
        <x:v>25</x:v>
      </x:c>
      <x:c r="J36" s="15" t="str">
        <x:v>SEALED</x:v>
      </x:c>
      <x:c r="K36" s="15" t="str">
        <x:v>OPEN</x:v>
      </x:c>
    </x:row>
    <x:row r="37">
      <x:c r="A37" s="14" t="str">
        <x:v>MC-033</x:v>
      </x:c>
      <x:c r="B37" s="14" t="str">
        <x:v>CSM-48</x:v>
      </x:c>
      <x:c r="C37" s="14" t="str">
        <x:v>SPS-48</x:v>
      </x:c>
      <x:c r="D37" s="14" t="str">
        <x:v>DISPERSED</x:v>
      </x:c>
      <x:c r="E37" s="14" t="str">
        <x:v>ER-09 anchor</x:v>
      </x:c>
      <x:c r="F37" s="14" t="n">
        <x:v>1</x:v>
      </x:c>
      <x:c r="G37" s="14" t="n">
        <x:v>500</x:v>
      </x:c>
      <x:c r="H37" s="14" t="n">
        <x:v>24</x:v>
      </x:c>
      <x:c r="I37" s="14" t="n">
        <x:v>6.25</x:v>
      </x:c>
      <x:c r="J37" s="14" t="str">
        <x:v>SEALED</x:v>
      </x:c>
      <x:c r="K37" s="14" t="str">
        <x:v>OPEN</x:v>
      </x:c>
    </x:row>
    <x:row r="38">
      <x:c r="A38" s="15" t="str">
        <x:v>MC-034</x:v>
      </x:c>
      <x:c r="B38" s="15" t="str">
        <x:v>CSM-48</x:v>
      </x:c>
      <x:c r="C38" s="15" t="str">
        <x:v>SPS-48</x:v>
      </x:c>
      <x:c r="D38" s="15" t="str">
        <x:v>DISPERSED</x:v>
      </x:c>
      <x:c r="E38" s="15" t="str">
        <x:v>ER-09 anchor</x:v>
      </x:c>
      <x:c r="F38" s="15" t="n">
        <x:v>2</x:v>
      </x:c>
      <x:c r="G38" s="15" t="n">
        <x:v>500</x:v>
      </x:c>
      <x:c r="H38" s="15" t="n">
        <x:v>24</x:v>
      </x:c>
      <x:c r="I38" s="15" t="n">
        <x:v>6.25</x:v>
      </x:c>
      <x:c r="J38" s="15" t="str">
        <x:v>SEALED</x:v>
      </x:c>
      <x:c r="K38" s="15" t="str">
        <x:v>OPEN</x:v>
      </x:c>
    </x:row>
    <x:row r="39">
      <x:c r="A39" s="14" t="str">
        <x:v>MC-035</x:v>
      </x:c>
      <x:c r="B39" s="14" t="str">
        <x:v>CSM-48</x:v>
      </x:c>
      <x:c r="C39" s="14" t="str">
        <x:v>SPS-48</x:v>
      </x:c>
      <x:c r="D39" s="14" t="str">
        <x:v>DISPERSED</x:v>
      </x:c>
      <x:c r="E39" s="14" t="str">
        <x:v>ER-09 anchor</x:v>
      </x:c>
      <x:c r="F39" s="14" t="n">
        <x:v>3</x:v>
      </x:c>
      <x:c r="G39" s="14" t="n">
        <x:v>500</x:v>
      </x:c>
      <x:c r="H39" s="14" t="n">
        <x:v>24</x:v>
      </x:c>
      <x:c r="I39" s="14" t="n">
        <x:v>6.25</x:v>
      </x:c>
      <x:c r="J39" s="14" t="str">
        <x:v>SEALED</x:v>
      </x:c>
      <x:c r="K39" s="14" t="str">
        <x:v>OPEN</x:v>
      </x:c>
    </x:row>
    <x:row r="40">
      <x:c r="A40" s="15" t="str">
        <x:v>MC-036</x:v>
      </x:c>
      <x:c r="B40" s="15" t="str">
        <x:v>CSM-48</x:v>
      </x:c>
      <x:c r="C40" s="15" t="str">
        <x:v>SPS-48</x:v>
      </x:c>
      <x:c r="D40" s="15" t="str">
        <x:v>DISPERSED</x:v>
      </x:c>
      <x:c r="E40" s="15" t="str">
        <x:v>ER-09 anchor</x:v>
      </x:c>
      <x:c r="F40" s="15" t="n">
        <x:v>4</x:v>
      </x:c>
      <x:c r="G40" s="15" t="n">
        <x:v>500</x:v>
      </x:c>
      <x:c r="H40" s="15" t="n">
        <x:v>24</x:v>
      </x:c>
      <x:c r="I40" s="15" t="n">
        <x:v>6.25</x:v>
      </x:c>
      <x:c r="J40" s="15" t="str">
        <x:v>SEALED</x:v>
      </x:c>
      <x:c r="K40" s="15" t="str">
        <x:v>OPEN</x:v>
      </x:c>
    </x:row>
    <x:row r="41">
      <x:c r="A41" s="14" t="str">
        <x:v>MC-037</x:v>
      </x:c>
      <x:c r="B41" s="14" t="str">
        <x:v>CSM-48</x:v>
      </x:c>
      <x:c r="C41" s="14" t="str">
        <x:v>SPS-48</x:v>
      </x:c>
      <x:c r="D41" s="14" t="str">
        <x:v>DISPERSED</x:v>
      </x:c>
      <x:c r="E41" s="14" t="str">
        <x:v>Expanded half-water</x:v>
      </x:c>
      <x:c r="F41" s="14" t="n">
        <x:v>1</x:v>
      </x:c>
      <x:c r="G41" s="14" t="n">
        <x:v>500</x:v>
      </x:c>
      <x:c r="H41" s="14" t="n">
        <x:v>24</x:v>
      </x:c>
      <x:c r="I41" s="14" t="n">
        <x:v>25</x:v>
      </x:c>
      <x:c r="J41" s="14" t="str">
        <x:v>SEALED</x:v>
      </x:c>
      <x:c r="K41" s="14" t="str">
        <x:v>OPEN</x:v>
      </x:c>
    </x:row>
    <x:row r="42">
      <x:c r="A42" s="15" t="str">
        <x:v>MC-038</x:v>
      </x:c>
      <x:c r="B42" s="15" t="str">
        <x:v>CSM-48</x:v>
      </x:c>
      <x:c r="C42" s="15" t="str">
        <x:v>SPS-48</x:v>
      </x:c>
      <x:c r="D42" s="15" t="str">
        <x:v>DISPERSED</x:v>
      </x:c>
      <x:c r="E42" s="15" t="str">
        <x:v>Expanded half-water</x:v>
      </x:c>
      <x:c r="F42" s="15" t="n">
        <x:v>2</x:v>
      </x:c>
      <x:c r="G42" s="15" t="n">
        <x:v>500</x:v>
      </x:c>
      <x:c r="H42" s="15" t="n">
        <x:v>24</x:v>
      </x:c>
      <x:c r="I42" s="15" t="n">
        <x:v>25</x:v>
      </x:c>
      <x:c r="J42" s="15" t="str">
        <x:v>SEALED</x:v>
      </x:c>
      <x:c r="K42" s="15" t="str">
        <x:v>OPEN</x:v>
      </x:c>
    </x:row>
    <x:row r="43">
      <x:c r="A43" s="14" t="str">
        <x:v>MC-039</x:v>
      </x:c>
      <x:c r="B43" s="14" t="str">
        <x:v>CSM-48</x:v>
      </x:c>
      <x:c r="C43" s="14" t="str">
        <x:v>SPS-48</x:v>
      </x:c>
      <x:c r="D43" s="14" t="str">
        <x:v>DISPERSED</x:v>
      </x:c>
      <x:c r="E43" s="14" t="str">
        <x:v>Expanded half-water</x:v>
      </x:c>
      <x:c r="F43" s="14" t="n">
        <x:v>3</x:v>
      </x:c>
      <x:c r="G43" s="14" t="n">
        <x:v>500</x:v>
      </x:c>
      <x:c r="H43" s="14" t="n">
        <x:v>24</x:v>
      </x:c>
      <x:c r="I43" s="14" t="n">
        <x:v>25</x:v>
      </x:c>
      <x:c r="J43" s="14" t="str">
        <x:v>SEALED</x:v>
      </x:c>
      <x:c r="K43" s="14" t="str">
        <x:v>OPEN</x:v>
      </x:c>
    </x:row>
    <x:row r="44">
      <x:c r="A44" s="15" t="str">
        <x:v>MC-040</x:v>
      </x:c>
      <x:c r="B44" s="15" t="str">
        <x:v>CSM-48</x:v>
      </x:c>
      <x:c r="C44" s="15" t="str">
        <x:v>SPS-48</x:v>
      </x:c>
      <x:c r="D44" s="15" t="str">
        <x:v>DISPERSED</x:v>
      </x:c>
      <x:c r="E44" s="15" t="str">
        <x:v>Expanded half-water</x:v>
      </x:c>
      <x:c r="F44" s="15" t="n">
        <x:v>4</x:v>
      </x:c>
      <x:c r="G44" s="15" t="n">
        <x:v>500</x:v>
      </x:c>
      <x:c r="H44" s="15" t="n">
        <x:v>24</x:v>
      </x:c>
      <x:c r="I44" s="15" t="n">
        <x:v>25</x:v>
      </x:c>
      <x:c r="J44" s="15" t="str">
        <x:v>SEALED</x:v>
      </x:c>
      <x:c r="K44" s="15" t="str">
        <x:v>OPEN</x:v>
      </x:c>
    </x:row>
    <x:row r="45">
      <x:c r="A45" s="14" t="str">
        <x:v>MC-041</x:v>
      </x:c>
      <x:c r="B45" s="14" t="str">
        <x:v>CSM-48</x:v>
      </x:c>
      <x:c r="C45" s="14" t="str">
        <x:v>SPS-48</x:v>
      </x:c>
      <x:c r="D45" s="14" t="str">
        <x:v>DISPERSED</x:v>
      </x:c>
      <x:c r="E45" s="14" t="str">
        <x:v>Exact casualty</x:v>
      </x:c>
      <x:c r="F45" s="14" t="n">
        <x:v>1</x:v>
      </x:c>
      <x:c r="G45" s="14" t="n">
        <x:v>500</x:v>
      </x:c>
      <x:c r="H45" s="14" t="n">
        <x:v>48</x:v>
      </x:c>
      <x:c r="I45" s="14" t="n">
        <x:v>25</x:v>
      </x:c>
      <x:c r="J45" s="14" t="str">
        <x:v>SEALED</x:v>
      </x:c>
      <x:c r="K45" s="14" t="str">
        <x:v>OPEN</x:v>
      </x:c>
    </x:row>
    <x:row r="46">
      <x:c r="A46" s="15" t="str">
        <x:v>MC-042</x:v>
      </x:c>
      <x:c r="B46" s="15" t="str">
        <x:v>CSM-48</x:v>
      </x:c>
      <x:c r="C46" s="15" t="str">
        <x:v>SPS-48</x:v>
      </x:c>
      <x:c r="D46" s="15" t="str">
        <x:v>DISPERSED</x:v>
      </x:c>
      <x:c r="E46" s="15" t="str">
        <x:v>Exact casualty</x:v>
      </x:c>
      <x:c r="F46" s="15" t="n">
        <x:v>2</x:v>
      </x:c>
      <x:c r="G46" s="15" t="n">
        <x:v>500</x:v>
      </x:c>
      <x:c r="H46" s="15" t="n">
        <x:v>48</x:v>
      </x:c>
      <x:c r="I46" s="15" t="n">
        <x:v>25</x:v>
      </x:c>
      <x:c r="J46" s="15" t="str">
        <x:v>SEALED</x:v>
      </x:c>
      <x:c r="K46" s="15" t="str">
        <x:v>OPEN</x:v>
      </x:c>
    </x:row>
    <x:row r="47">
      <x:c r="A47" s="14" t="str">
        <x:v>MC-043</x:v>
      </x:c>
      <x:c r="B47" s="14" t="str">
        <x:v>CSM-48</x:v>
      </x:c>
      <x:c r="C47" s="14" t="str">
        <x:v>SPS-48</x:v>
      </x:c>
      <x:c r="D47" s="14" t="str">
        <x:v>DISPERSED</x:v>
      </x:c>
      <x:c r="E47" s="14" t="str">
        <x:v>Exact casualty</x:v>
      </x:c>
      <x:c r="F47" s="14" t="n">
        <x:v>3</x:v>
      </x:c>
      <x:c r="G47" s="14" t="n">
        <x:v>500</x:v>
      </x:c>
      <x:c r="H47" s="14" t="n">
        <x:v>48</x:v>
      </x:c>
      <x:c r="I47" s="14" t="n">
        <x:v>25</x:v>
      </x:c>
      <x:c r="J47" s="14" t="str">
        <x:v>SEALED</x:v>
      </x:c>
      <x:c r="K47" s="14" t="str">
        <x:v>OPEN</x:v>
      </x:c>
    </x:row>
    <x:row r="48">
      <x:c r="A48" s="15" t="str">
        <x:v>MC-044</x:v>
      </x:c>
      <x:c r="B48" s="15" t="str">
        <x:v>CSM-48</x:v>
      </x:c>
      <x:c r="C48" s="15" t="str">
        <x:v>SPS-48</x:v>
      </x:c>
      <x:c r="D48" s="15" t="str">
        <x:v>DISPERSED</x:v>
      </x:c>
      <x:c r="E48" s="15" t="str">
        <x:v>Exact casualty</x:v>
      </x:c>
      <x:c r="F48" s="15" t="n">
        <x:v>4</x:v>
      </x:c>
      <x:c r="G48" s="15" t="n">
        <x:v>500</x:v>
      </x:c>
      <x:c r="H48" s="15" t="n">
        <x:v>48</x:v>
      </x:c>
      <x:c r="I48" s="15" t="n">
        <x:v>25</x:v>
      </x:c>
      <x:c r="J48" s="15" t="str">
        <x:v>SEALED</x:v>
      </x:c>
      <x:c r="K48" s="15" t="str">
        <x:v>OPEN</x:v>
      </x:c>
    </x:row>
    <x:row r="49">
      <x:c r="A49" s="14" t="str">
        <x:v>MC-045</x:v>
      </x:c>
      <x:c r="B49" s="14" t="str">
        <x:v>CSM-48</x:v>
      </x:c>
      <x:c r="C49" s="14" t="str">
        <x:v>SPS-48</x:v>
      </x:c>
      <x:c r="D49" s="14" t="str">
        <x:v>DISPERSED</x:v>
      </x:c>
      <x:c r="E49" s="14" t="str">
        <x:v>Compound loss</x:v>
      </x:c>
      <x:c r="F49" s="14" t="n">
        <x:v>1</x:v>
      </x:c>
      <x:c r="G49" s="14" t="n">
        <x:v>500</x:v>
      </x:c>
      <x:c r="H49" s="14" t="n">
        <x:v>48</x:v>
      </x:c>
      <x:c r="I49" s="14" t="n">
        <x:v>25</x:v>
      </x:c>
      <x:c r="J49" s="14" t="str">
        <x:v>SEALED</x:v>
      </x:c>
      <x:c r="K49" s="14" t="str">
        <x:v>OPEN</x:v>
      </x:c>
    </x:row>
    <x:row r="50">
      <x:c r="A50" s="15" t="str">
        <x:v>MC-046</x:v>
      </x:c>
      <x:c r="B50" s="15" t="str">
        <x:v>CSM-48</x:v>
      </x:c>
      <x:c r="C50" s="15" t="str">
        <x:v>SPS-48</x:v>
      </x:c>
      <x:c r="D50" s="15" t="str">
        <x:v>DISPERSED</x:v>
      </x:c>
      <x:c r="E50" s="15" t="str">
        <x:v>Compound loss</x:v>
      </x:c>
      <x:c r="F50" s="15" t="n">
        <x:v>2</x:v>
      </x:c>
      <x:c r="G50" s="15" t="n">
        <x:v>500</x:v>
      </x:c>
      <x:c r="H50" s="15" t="n">
        <x:v>48</x:v>
      </x:c>
      <x:c r="I50" s="15" t="n">
        <x:v>25</x:v>
      </x:c>
      <x:c r="J50" s="15" t="str">
        <x:v>SEALED</x:v>
      </x:c>
      <x:c r="K50" s="15" t="str">
        <x:v>OPEN</x:v>
      </x:c>
    </x:row>
    <x:row r="51">
      <x:c r="A51" s="14" t="str">
        <x:v>MC-047</x:v>
      </x:c>
      <x:c r="B51" s="14" t="str">
        <x:v>CSM-48</x:v>
      </x:c>
      <x:c r="C51" s="14" t="str">
        <x:v>SPS-48</x:v>
      </x:c>
      <x:c r="D51" s="14" t="str">
        <x:v>DISPERSED</x:v>
      </x:c>
      <x:c r="E51" s="14" t="str">
        <x:v>Compound loss</x:v>
      </x:c>
      <x:c r="F51" s="14" t="n">
        <x:v>3</x:v>
      </x:c>
      <x:c r="G51" s="14" t="n">
        <x:v>500</x:v>
      </x:c>
      <x:c r="H51" s="14" t="n">
        <x:v>48</x:v>
      </x:c>
      <x:c r="I51" s="14" t="n">
        <x:v>25</x:v>
      </x:c>
      <x:c r="J51" s="14" t="str">
        <x:v>SEALED</x:v>
      </x:c>
      <x:c r="K51" s="14" t="str">
        <x:v>OPEN</x:v>
      </x:c>
    </x:row>
    <x:row r="52">
      <x:c r="A52" s="15" t="str">
        <x:v>MC-048</x:v>
      </x:c>
      <x:c r="B52" s="15" t="str">
        <x:v>CSM-48</x:v>
      </x:c>
      <x:c r="C52" s="15" t="str">
        <x:v>SPS-48</x:v>
      </x:c>
      <x:c r="D52" s="15" t="str">
        <x:v>DISPERSED</x:v>
      </x:c>
      <x:c r="E52" s="15" t="str">
        <x:v>Compound loss</x:v>
      </x:c>
      <x:c r="F52" s="15" t="n">
        <x:v>4</x:v>
      </x:c>
      <x:c r="G52" s="15" t="n">
        <x:v>500</x:v>
      </x:c>
      <x:c r="H52" s="15" t="n">
        <x:v>48</x:v>
      </x:c>
      <x:c r="I52" s="15" t="n">
        <x:v>25</x:v>
      </x:c>
      <x:c r="J52" s="15" t="str">
        <x:v>SEALED</x:v>
      </x:c>
      <x:c r="K52" s="15" t="str">
        <x:v>OPEN</x:v>
      </x:c>
    </x:row>
    <x:row r="53">
      <x:c r="A53" s="14" t="str">
        <x:v>MC-049</x:v>
      </x:c>
      <x:c r="B53" s="14" t="str">
        <x:v>CSM-48</x:v>
      </x:c>
      <x:c r="C53" s="14" t="str">
        <x:v>SPS-48</x:v>
      </x:c>
      <x:c r="D53" s="14" t="str">
        <x:v>COHERENT</x:v>
      </x:c>
      <x:c r="E53" s="14" t="str">
        <x:v>ER-09 anchor</x:v>
      </x:c>
      <x:c r="F53" s="14" t="n">
        <x:v>1</x:v>
      </x:c>
      <x:c r="G53" s="14" t="n">
        <x:v>500</x:v>
      </x:c>
      <x:c r="H53" s="14" t="n">
        <x:v>24</x:v>
      </x:c>
      <x:c r="I53" s="14" t="n">
        <x:v>6.25</x:v>
      </x:c>
      <x:c r="J53" s="14" t="str">
        <x:v>SEALED</x:v>
      </x:c>
      <x:c r="K53" s="14" t="str">
        <x:v>OPEN</x:v>
      </x:c>
    </x:row>
    <x:row r="54">
      <x:c r="A54" s="15" t="str">
        <x:v>MC-050</x:v>
      </x:c>
      <x:c r="B54" s="15" t="str">
        <x:v>CSM-48</x:v>
      </x:c>
      <x:c r="C54" s="15" t="str">
        <x:v>SPS-48</x:v>
      </x:c>
      <x:c r="D54" s="15" t="str">
        <x:v>COHERENT</x:v>
      </x:c>
      <x:c r="E54" s="15" t="str">
        <x:v>ER-09 anchor</x:v>
      </x:c>
      <x:c r="F54" s="15" t="n">
        <x:v>2</x:v>
      </x:c>
      <x:c r="G54" s="15" t="n">
        <x:v>500</x:v>
      </x:c>
      <x:c r="H54" s="15" t="n">
        <x:v>24</x:v>
      </x:c>
      <x:c r="I54" s="15" t="n">
        <x:v>6.25</x:v>
      </x:c>
      <x:c r="J54" s="15" t="str">
        <x:v>SEALED</x:v>
      </x:c>
      <x:c r="K54" s="15" t="str">
        <x:v>OPEN</x:v>
      </x:c>
    </x:row>
    <x:row r="55">
      <x:c r="A55" s="14" t="str">
        <x:v>MC-051</x:v>
      </x:c>
      <x:c r="B55" s="14" t="str">
        <x:v>CSM-48</x:v>
      </x:c>
      <x:c r="C55" s="14" t="str">
        <x:v>SPS-48</x:v>
      </x:c>
      <x:c r="D55" s="14" t="str">
        <x:v>COHERENT</x:v>
      </x:c>
      <x:c r="E55" s="14" t="str">
        <x:v>ER-09 anchor</x:v>
      </x:c>
      <x:c r="F55" s="14" t="n">
        <x:v>3</x:v>
      </x:c>
      <x:c r="G55" s="14" t="n">
        <x:v>500</x:v>
      </x:c>
      <x:c r="H55" s="14" t="n">
        <x:v>24</x:v>
      </x:c>
      <x:c r="I55" s="14" t="n">
        <x:v>6.25</x:v>
      </x:c>
      <x:c r="J55" s="14" t="str">
        <x:v>SEALED</x:v>
      </x:c>
      <x:c r="K55" s="14" t="str">
        <x:v>OPEN</x:v>
      </x:c>
    </x:row>
    <x:row r="56">
      <x:c r="A56" s="15" t="str">
        <x:v>MC-052</x:v>
      </x:c>
      <x:c r="B56" s="15" t="str">
        <x:v>CSM-48</x:v>
      </x:c>
      <x:c r="C56" s="15" t="str">
        <x:v>SPS-48</x:v>
      </x:c>
      <x:c r="D56" s="15" t="str">
        <x:v>COHERENT</x:v>
      </x:c>
      <x:c r="E56" s="15" t="str">
        <x:v>ER-09 anchor</x:v>
      </x:c>
      <x:c r="F56" s="15" t="n">
        <x:v>4</x:v>
      </x:c>
      <x:c r="G56" s="15" t="n">
        <x:v>500</x:v>
      </x:c>
      <x:c r="H56" s="15" t="n">
        <x:v>24</x:v>
      </x:c>
      <x:c r="I56" s="15" t="n">
        <x:v>6.25</x:v>
      </x:c>
      <x:c r="J56" s="15" t="str">
        <x:v>SEALED</x:v>
      </x:c>
      <x:c r="K56" s="15" t="str">
        <x:v>OPEN</x:v>
      </x:c>
    </x:row>
    <x:row r="57">
      <x:c r="A57" s="14" t="str">
        <x:v>MC-053</x:v>
      </x:c>
      <x:c r="B57" s="14" t="str">
        <x:v>CSM-48</x:v>
      </x:c>
      <x:c r="C57" s="14" t="str">
        <x:v>SPS-48</x:v>
      </x:c>
      <x:c r="D57" s="14" t="str">
        <x:v>COHERENT</x:v>
      </x:c>
      <x:c r="E57" s="14" t="str">
        <x:v>Expanded half-water</x:v>
      </x:c>
      <x:c r="F57" s="14" t="n">
        <x:v>1</x:v>
      </x:c>
      <x:c r="G57" s="14" t="n">
        <x:v>500</x:v>
      </x:c>
      <x:c r="H57" s="14" t="n">
        <x:v>24</x:v>
      </x:c>
      <x:c r="I57" s="14" t="n">
        <x:v>25</x:v>
      </x:c>
      <x:c r="J57" s="14" t="str">
        <x:v>SEALED</x:v>
      </x:c>
      <x:c r="K57" s="14" t="str">
        <x:v>OPEN</x:v>
      </x:c>
    </x:row>
    <x:row r="58">
      <x:c r="A58" s="15" t="str">
        <x:v>MC-054</x:v>
      </x:c>
      <x:c r="B58" s="15" t="str">
        <x:v>CSM-48</x:v>
      </x:c>
      <x:c r="C58" s="15" t="str">
        <x:v>SPS-48</x:v>
      </x:c>
      <x:c r="D58" s="15" t="str">
        <x:v>COHERENT</x:v>
      </x:c>
      <x:c r="E58" s="15" t="str">
        <x:v>Expanded half-water</x:v>
      </x:c>
      <x:c r="F58" s="15" t="n">
        <x:v>2</x:v>
      </x:c>
      <x:c r="G58" s="15" t="n">
        <x:v>500</x:v>
      </x:c>
      <x:c r="H58" s="15" t="n">
        <x:v>24</x:v>
      </x:c>
      <x:c r="I58" s="15" t="n">
        <x:v>25</x:v>
      </x:c>
      <x:c r="J58" s="15" t="str">
        <x:v>SEALED</x:v>
      </x:c>
      <x:c r="K58" s="15" t="str">
        <x:v>OPEN</x:v>
      </x:c>
    </x:row>
    <x:row r="59">
      <x:c r="A59" s="14" t="str">
        <x:v>MC-055</x:v>
      </x:c>
      <x:c r="B59" s="14" t="str">
        <x:v>CSM-48</x:v>
      </x:c>
      <x:c r="C59" s="14" t="str">
        <x:v>SPS-48</x:v>
      </x:c>
      <x:c r="D59" s="14" t="str">
        <x:v>COHERENT</x:v>
      </x:c>
      <x:c r="E59" s="14" t="str">
        <x:v>Expanded half-water</x:v>
      </x:c>
      <x:c r="F59" s="14" t="n">
        <x:v>3</x:v>
      </x:c>
      <x:c r="G59" s="14" t="n">
        <x:v>500</x:v>
      </x:c>
      <x:c r="H59" s="14" t="n">
        <x:v>24</x:v>
      </x:c>
      <x:c r="I59" s="14" t="n">
        <x:v>25</x:v>
      </x:c>
      <x:c r="J59" s="14" t="str">
        <x:v>SEALED</x:v>
      </x:c>
      <x:c r="K59" s="14" t="str">
        <x:v>OPEN</x:v>
      </x:c>
    </x:row>
    <x:row r="60">
      <x:c r="A60" s="15" t="str">
        <x:v>MC-056</x:v>
      </x:c>
      <x:c r="B60" s="15" t="str">
        <x:v>CSM-48</x:v>
      </x:c>
      <x:c r="C60" s="15" t="str">
        <x:v>SPS-48</x:v>
      </x:c>
      <x:c r="D60" s="15" t="str">
        <x:v>COHERENT</x:v>
      </x:c>
      <x:c r="E60" s="15" t="str">
        <x:v>Expanded half-water</x:v>
      </x:c>
      <x:c r="F60" s="15" t="n">
        <x:v>4</x:v>
      </x:c>
      <x:c r="G60" s="15" t="n">
        <x:v>500</x:v>
      </x:c>
      <x:c r="H60" s="15" t="n">
        <x:v>24</x:v>
      </x:c>
      <x:c r="I60" s="15" t="n">
        <x:v>25</x:v>
      </x:c>
      <x:c r="J60" s="15" t="str">
        <x:v>SEALED</x:v>
      </x:c>
      <x:c r="K60" s="15" t="str">
        <x:v>OPEN</x:v>
      </x:c>
    </x:row>
    <x:row r="61">
      <x:c r="A61" s="14" t="str">
        <x:v>MC-057</x:v>
      </x:c>
      <x:c r="B61" s="14" t="str">
        <x:v>CSM-48</x:v>
      </x:c>
      <x:c r="C61" s="14" t="str">
        <x:v>SPS-48</x:v>
      </x:c>
      <x:c r="D61" s="14" t="str">
        <x:v>COHERENT</x:v>
      </x:c>
      <x:c r="E61" s="14" t="str">
        <x:v>Exact casualty</x:v>
      </x:c>
      <x:c r="F61" s="14" t="n">
        <x:v>1</x:v>
      </x:c>
      <x:c r="G61" s="14" t="n">
        <x:v>500</x:v>
      </x:c>
      <x:c r="H61" s="14" t="n">
        <x:v>48</x:v>
      </x:c>
      <x:c r="I61" s="14" t="n">
        <x:v>25</x:v>
      </x:c>
      <x:c r="J61" s="14" t="str">
        <x:v>SEALED</x:v>
      </x:c>
      <x:c r="K61" s="14" t="str">
        <x:v>OPEN</x:v>
      </x:c>
    </x:row>
    <x:row r="62">
      <x:c r="A62" s="15" t="str">
        <x:v>MC-058</x:v>
      </x:c>
      <x:c r="B62" s="15" t="str">
        <x:v>CSM-48</x:v>
      </x:c>
      <x:c r="C62" s="15" t="str">
        <x:v>SPS-48</x:v>
      </x:c>
      <x:c r="D62" s="15" t="str">
        <x:v>COHERENT</x:v>
      </x:c>
      <x:c r="E62" s="15" t="str">
        <x:v>Exact casualty</x:v>
      </x:c>
      <x:c r="F62" s="15" t="n">
        <x:v>2</x:v>
      </x:c>
      <x:c r="G62" s="15" t="n">
        <x:v>500</x:v>
      </x:c>
      <x:c r="H62" s="15" t="n">
        <x:v>48</x:v>
      </x:c>
      <x:c r="I62" s="15" t="n">
        <x:v>25</x:v>
      </x:c>
      <x:c r="J62" s="15" t="str">
        <x:v>SEALED</x:v>
      </x:c>
      <x:c r="K62" s="15" t="str">
        <x:v>OPEN</x:v>
      </x:c>
    </x:row>
    <x:row r="63">
      <x:c r="A63" s="14" t="str">
        <x:v>MC-059</x:v>
      </x:c>
      <x:c r="B63" s="14" t="str">
        <x:v>CSM-48</x:v>
      </x:c>
      <x:c r="C63" s="14" t="str">
        <x:v>SPS-48</x:v>
      </x:c>
      <x:c r="D63" s="14" t="str">
        <x:v>COHERENT</x:v>
      </x:c>
      <x:c r="E63" s="14" t="str">
        <x:v>Exact casualty</x:v>
      </x:c>
      <x:c r="F63" s="14" t="n">
        <x:v>3</x:v>
      </x:c>
      <x:c r="G63" s="14" t="n">
        <x:v>500</x:v>
      </x:c>
      <x:c r="H63" s="14" t="n">
        <x:v>48</x:v>
      </x:c>
      <x:c r="I63" s="14" t="n">
        <x:v>25</x:v>
      </x:c>
      <x:c r="J63" s="14" t="str">
        <x:v>SEALED</x:v>
      </x:c>
      <x:c r="K63" s="14" t="str">
        <x:v>OPEN</x:v>
      </x:c>
    </x:row>
    <x:row r="64">
      <x:c r="A64" s="15" t="str">
        <x:v>MC-060</x:v>
      </x:c>
      <x:c r="B64" s="15" t="str">
        <x:v>CSM-48</x:v>
      </x:c>
      <x:c r="C64" s="15" t="str">
        <x:v>SPS-48</x:v>
      </x:c>
      <x:c r="D64" s="15" t="str">
        <x:v>COHERENT</x:v>
      </x:c>
      <x:c r="E64" s="15" t="str">
        <x:v>Exact casualty</x:v>
      </x:c>
      <x:c r="F64" s="15" t="n">
        <x:v>4</x:v>
      </x:c>
      <x:c r="G64" s="15" t="n">
        <x:v>500</x:v>
      </x:c>
      <x:c r="H64" s="15" t="n">
        <x:v>48</x:v>
      </x:c>
      <x:c r="I64" s="15" t="n">
        <x:v>25</x:v>
      </x:c>
      <x:c r="J64" s="15" t="str">
        <x:v>SEALED</x:v>
      </x:c>
      <x:c r="K64" s="15" t="str">
        <x:v>OPEN</x:v>
      </x:c>
    </x:row>
    <x:row r="65">
      <x:c r="A65" s="14" t="str">
        <x:v>MC-061</x:v>
      </x:c>
      <x:c r="B65" s="14" t="str">
        <x:v>CSM-48</x:v>
      </x:c>
      <x:c r="C65" s="14" t="str">
        <x:v>SPS-48</x:v>
      </x:c>
      <x:c r="D65" s="14" t="str">
        <x:v>COHERENT</x:v>
      </x:c>
      <x:c r="E65" s="14" t="str">
        <x:v>Compound loss</x:v>
      </x:c>
      <x:c r="F65" s="14" t="n">
        <x:v>1</x:v>
      </x:c>
      <x:c r="G65" s="14" t="n">
        <x:v>500</x:v>
      </x:c>
      <x:c r="H65" s="14" t="n">
        <x:v>48</x:v>
      </x:c>
      <x:c r="I65" s="14" t="n">
        <x:v>25</x:v>
      </x:c>
      <x:c r="J65" s="14" t="str">
        <x:v>SEALED</x:v>
      </x:c>
      <x:c r="K65" s="14" t="str">
        <x:v>OPEN</x:v>
      </x:c>
    </x:row>
    <x:row r="66">
      <x:c r="A66" s="15" t="str">
        <x:v>MC-062</x:v>
      </x:c>
      <x:c r="B66" s="15" t="str">
        <x:v>CSM-48</x:v>
      </x:c>
      <x:c r="C66" s="15" t="str">
        <x:v>SPS-48</x:v>
      </x:c>
      <x:c r="D66" s="15" t="str">
        <x:v>COHERENT</x:v>
      </x:c>
      <x:c r="E66" s="15" t="str">
        <x:v>Compound loss</x:v>
      </x:c>
      <x:c r="F66" s="15" t="n">
        <x:v>2</x:v>
      </x:c>
      <x:c r="G66" s="15" t="n">
        <x:v>500</x:v>
      </x:c>
      <x:c r="H66" s="15" t="n">
        <x:v>48</x:v>
      </x:c>
      <x:c r="I66" s="15" t="n">
        <x:v>25</x:v>
      </x:c>
      <x:c r="J66" s="15" t="str">
        <x:v>SEALED</x:v>
      </x:c>
      <x:c r="K66" s="15" t="str">
        <x:v>OPEN</x:v>
      </x:c>
    </x:row>
    <x:row r="67">
      <x:c r="A67" s="14" t="str">
        <x:v>MC-063</x:v>
      </x:c>
      <x:c r="B67" s="14" t="str">
        <x:v>CSM-48</x:v>
      </x:c>
      <x:c r="C67" s="14" t="str">
        <x:v>SPS-48</x:v>
      </x:c>
      <x:c r="D67" s="14" t="str">
        <x:v>COHERENT</x:v>
      </x:c>
      <x:c r="E67" s="14" t="str">
        <x:v>Compound loss</x:v>
      </x:c>
      <x:c r="F67" s="14" t="n">
        <x:v>3</x:v>
      </x:c>
      <x:c r="G67" s="14" t="n">
        <x:v>500</x:v>
      </x:c>
      <x:c r="H67" s="14" t="n">
        <x:v>48</x:v>
      </x:c>
      <x:c r="I67" s="14" t="n">
        <x:v>25</x:v>
      </x:c>
      <x:c r="J67" s="14" t="str">
        <x:v>SEALED</x:v>
      </x:c>
      <x:c r="K67" s="14" t="str">
        <x:v>OPEN</x:v>
      </x:c>
    </x:row>
    <x:row r="68">
      <x:c r="A68" s="15" t="str">
        <x:v>MC-064</x:v>
      </x:c>
      <x:c r="B68" s="15" t="str">
        <x:v>CSM-48</x:v>
      </x:c>
      <x:c r="C68" s="15" t="str">
        <x:v>SPS-48</x:v>
      </x:c>
      <x:c r="D68" s="15" t="str">
        <x:v>COHERENT</x:v>
      </x:c>
      <x:c r="E68" s="15" t="str">
        <x:v>Compound loss</x:v>
      </x:c>
      <x:c r="F68" s="15" t="n">
        <x:v>4</x:v>
      </x:c>
      <x:c r="G68" s="15" t="n">
        <x:v>500</x:v>
      </x:c>
      <x:c r="H68" s="15" t="n">
        <x:v>48</x:v>
      </x:c>
      <x:c r="I68" s="15" t="n">
        <x:v>25</x:v>
      </x:c>
      <x:c r="J68" s="15" t="str">
        <x:v>SEALED</x:v>
      </x:c>
      <x:c r="K68" s="15" t="str">
        <x:v>OPEN</x:v>
      </x:c>
    </x:row>
    <x:row r="69">
      <x:c r="A69" s="14" t="str">
        <x:v>MC-065</x:v>
      </x:c>
      <x:c r="B69" s="14" t="str">
        <x:v>CSM-48</x:v>
      </x:c>
      <x:c r="C69" s="14" t="str">
        <x:v>AMR-48</x:v>
      </x:c>
      <x:c r="D69" s="14" t="str">
        <x:v>DISPERSED</x:v>
      </x:c>
      <x:c r="E69" s="14" t="str">
        <x:v>ER-09 anchor</x:v>
      </x:c>
      <x:c r="F69" s="14" t="n">
        <x:v>1</x:v>
      </x:c>
      <x:c r="G69" s="14" t="n">
        <x:v>500</x:v>
      </x:c>
      <x:c r="H69" s="14" t="n">
        <x:v>24</x:v>
      </x:c>
      <x:c r="I69" s="14" t="n">
        <x:v>6.25</x:v>
      </x:c>
      <x:c r="J69" s="14" t="str">
        <x:v>SEALED</x:v>
      </x:c>
      <x:c r="K69" s="14" t="str">
        <x:v>OPEN</x:v>
      </x:c>
    </x:row>
    <x:row r="70">
      <x:c r="A70" s="15" t="str">
        <x:v>MC-066</x:v>
      </x:c>
      <x:c r="B70" s="15" t="str">
        <x:v>CSM-48</x:v>
      </x:c>
      <x:c r="C70" s="15" t="str">
        <x:v>AMR-48</x:v>
      </x:c>
      <x:c r="D70" s="15" t="str">
        <x:v>DISPERSED</x:v>
      </x:c>
      <x:c r="E70" s="15" t="str">
        <x:v>ER-09 anchor</x:v>
      </x:c>
      <x:c r="F70" s="15" t="n">
        <x:v>2</x:v>
      </x:c>
      <x:c r="G70" s="15" t="n">
        <x:v>500</x:v>
      </x:c>
      <x:c r="H70" s="15" t="n">
        <x:v>24</x:v>
      </x:c>
      <x:c r="I70" s="15" t="n">
        <x:v>6.25</x:v>
      </x:c>
      <x:c r="J70" s="15" t="str">
        <x:v>SEALED</x:v>
      </x:c>
      <x:c r="K70" s="15" t="str">
        <x:v>OPEN</x:v>
      </x:c>
    </x:row>
    <x:row r="71">
      <x:c r="A71" s="14" t="str">
        <x:v>MC-067</x:v>
      </x:c>
      <x:c r="B71" s="14" t="str">
        <x:v>CSM-48</x:v>
      </x:c>
      <x:c r="C71" s="14" t="str">
        <x:v>AMR-48</x:v>
      </x:c>
      <x:c r="D71" s="14" t="str">
        <x:v>DISPERSED</x:v>
      </x:c>
      <x:c r="E71" s="14" t="str">
        <x:v>ER-09 anchor</x:v>
      </x:c>
      <x:c r="F71" s="14" t="n">
        <x:v>3</x:v>
      </x:c>
      <x:c r="G71" s="14" t="n">
        <x:v>500</x:v>
      </x:c>
      <x:c r="H71" s="14" t="n">
        <x:v>24</x:v>
      </x:c>
      <x:c r="I71" s="14" t="n">
        <x:v>6.25</x:v>
      </x:c>
      <x:c r="J71" s="14" t="str">
        <x:v>SEALED</x:v>
      </x:c>
      <x:c r="K71" s="14" t="str">
        <x:v>OPEN</x:v>
      </x:c>
    </x:row>
    <x:row r="72">
      <x:c r="A72" s="15" t="str">
        <x:v>MC-068</x:v>
      </x:c>
      <x:c r="B72" s="15" t="str">
        <x:v>CSM-48</x:v>
      </x:c>
      <x:c r="C72" s="15" t="str">
        <x:v>AMR-48</x:v>
      </x:c>
      <x:c r="D72" s="15" t="str">
        <x:v>DISPERSED</x:v>
      </x:c>
      <x:c r="E72" s="15" t="str">
        <x:v>ER-09 anchor</x:v>
      </x:c>
      <x:c r="F72" s="15" t="n">
        <x:v>4</x:v>
      </x:c>
      <x:c r="G72" s="15" t="n">
        <x:v>500</x:v>
      </x:c>
      <x:c r="H72" s="15" t="n">
        <x:v>24</x:v>
      </x:c>
      <x:c r="I72" s="15" t="n">
        <x:v>6.25</x:v>
      </x:c>
      <x:c r="J72" s="15" t="str">
        <x:v>SEALED</x:v>
      </x:c>
      <x:c r="K72" s="15" t="str">
        <x:v>OPEN</x:v>
      </x:c>
    </x:row>
    <x:row r="73">
      <x:c r="A73" s="14" t="str">
        <x:v>MC-069</x:v>
      </x:c>
      <x:c r="B73" s="14" t="str">
        <x:v>CSM-48</x:v>
      </x:c>
      <x:c r="C73" s="14" t="str">
        <x:v>AMR-48</x:v>
      </x:c>
      <x:c r="D73" s="14" t="str">
        <x:v>DISPERSED</x:v>
      </x:c>
      <x:c r="E73" s="14" t="str">
        <x:v>Expanded half-water</x:v>
      </x:c>
      <x:c r="F73" s="14" t="n">
        <x:v>1</x:v>
      </x:c>
      <x:c r="G73" s="14" t="n">
        <x:v>500</x:v>
      </x:c>
      <x:c r="H73" s="14" t="n">
        <x:v>24</x:v>
      </x:c>
      <x:c r="I73" s="14" t="n">
        <x:v>25</x:v>
      </x:c>
      <x:c r="J73" s="14" t="str">
        <x:v>SEALED</x:v>
      </x:c>
      <x:c r="K73" s="14" t="str">
        <x:v>OPEN</x:v>
      </x:c>
    </x:row>
    <x:row r="74">
      <x:c r="A74" s="15" t="str">
        <x:v>MC-070</x:v>
      </x:c>
      <x:c r="B74" s="15" t="str">
        <x:v>CSM-48</x:v>
      </x:c>
      <x:c r="C74" s="15" t="str">
        <x:v>AMR-48</x:v>
      </x:c>
      <x:c r="D74" s="15" t="str">
        <x:v>DISPERSED</x:v>
      </x:c>
      <x:c r="E74" s="15" t="str">
        <x:v>Expanded half-water</x:v>
      </x:c>
      <x:c r="F74" s="15" t="n">
        <x:v>2</x:v>
      </x:c>
      <x:c r="G74" s="15" t="n">
        <x:v>500</x:v>
      </x:c>
      <x:c r="H74" s="15" t="n">
        <x:v>24</x:v>
      </x:c>
      <x:c r="I74" s="15" t="n">
        <x:v>25</x:v>
      </x:c>
      <x:c r="J74" s="15" t="str">
        <x:v>SEALED</x:v>
      </x:c>
      <x:c r="K74" s="15" t="str">
        <x:v>OPEN</x:v>
      </x:c>
    </x:row>
    <x:row r="75">
      <x:c r="A75" s="14" t="str">
        <x:v>MC-071</x:v>
      </x:c>
      <x:c r="B75" s="14" t="str">
        <x:v>CSM-48</x:v>
      </x:c>
      <x:c r="C75" s="14" t="str">
        <x:v>AMR-48</x:v>
      </x:c>
      <x:c r="D75" s="14" t="str">
        <x:v>DISPERSED</x:v>
      </x:c>
      <x:c r="E75" s="14" t="str">
        <x:v>Expanded half-water</x:v>
      </x:c>
      <x:c r="F75" s="14" t="n">
        <x:v>3</x:v>
      </x:c>
      <x:c r="G75" s="14" t="n">
        <x:v>500</x:v>
      </x:c>
      <x:c r="H75" s="14" t="n">
        <x:v>24</x:v>
      </x:c>
      <x:c r="I75" s="14" t="n">
        <x:v>25</x:v>
      </x:c>
      <x:c r="J75" s="14" t="str">
        <x:v>SEALED</x:v>
      </x:c>
      <x:c r="K75" s="14" t="str">
        <x:v>OPEN</x:v>
      </x:c>
    </x:row>
    <x:row r="76">
      <x:c r="A76" s="15" t="str">
        <x:v>MC-072</x:v>
      </x:c>
      <x:c r="B76" s="15" t="str">
        <x:v>CSM-48</x:v>
      </x:c>
      <x:c r="C76" s="15" t="str">
        <x:v>AMR-48</x:v>
      </x:c>
      <x:c r="D76" s="15" t="str">
        <x:v>DISPERSED</x:v>
      </x:c>
      <x:c r="E76" s="15" t="str">
        <x:v>Expanded half-water</x:v>
      </x:c>
      <x:c r="F76" s="15" t="n">
        <x:v>4</x:v>
      </x:c>
      <x:c r="G76" s="15" t="n">
        <x:v>500</x:v>
      </x:c>
      <x:c r="H76" s="15" t="n">
        <x:v>24</x:v>
      </x:c>
      <x:c r="I76" s="15" t="n">
        <x:v>25</x:v>
      </x:c>
      <x:c r="J76" s="15" t="str">
        <x:v>SEALED</x:v>
      </x:c>
      <x:c r="K76" s="15" t="str">
        <x:v>OPEN</x:v>
      </x:c>
    </x:row>
    <x:row r="77">
      <x:c r="A77" s="14" t="str">
        <x:v>MC-073</x:v>
      </x:c>
      <x:c r="B77" s="14" t="str">
        <x:v>CSM-48</x:v>
      </x:c>
      <x:c r="C77" s="14" t="str">
        <x:v>AMR-48</x:v>
      </x:c>
      <x:c r="D77" s="14" t="str">
        <x:v>DISPERSED</x:v>
      </x:c>
      <x:c r="E77" s="14" t="str">
        <x:v>Exact casualty</x:v>
      </x:c>
      <x:c r="F77" s="14" t="n">
        <x:v>1</x:v>
      </x:c>
      <x:c r="G77" s="14" t="n">
        <x:v>500</x:v>
      </x:c>
      <x:c r="H77" s="14" t="n">
        <x:v>48</x:v>
      </x:c>
      <x:c r="I77" s="14" t="n">
        <x:v>25</x:v>
      </x:c>
      <x:c r="J77" s="14" t="str">
        <x:v>SEALED</x:v>
      </x:c>
      <x:c r="K77" s="14" t="str">
        <x:v>OPEN</x:v>
      </x:c>
    </x:row>
    <x:row r="78">
      <x:c r="A78" s="15" t="str">
        <x:v>MC-074</x:v>
      </x:c>
      <x:c r="B78" s="15" t="str">
        <x:v>CSM-48</x:v>
      </x:c>
      <x:c r="C78" s="15" t="str">
        <x:v>AMR-48</x:v>
      </x:c>
      <x:c r="D78" s="15" t="str">
        <x:v>DISPERSED</x:v>
      </x:c>
      <x:c r="E78" s="15" t="str">
        <x:v>Exact casualty</x:v>
      </x:c>
      <x:c r="F78" s="15" t="n">
        <x:v>2</x:v>
      </x:c>
      <x:c r="G78" s="15" t="n">
        <x:v>500</x:v>
      </x:c>
      <x:c r="H78" s="15" t="n">
        <x:v>48</x:v>
      </x:c>
      <x:c r="I78" s="15" t="n">
        <x:v>25</x:v>
      </x:c>
      <x:c r="J78" s="15" t="str">
        <x:v>SEALED</x:v>
      </x:c>
      <x:c r="K78" s="15" t="str">
        <x:v>OPEN</x:v>
      </x:c>
    </x:row>
    <x:row r="79">
      <x:c r="A79" s="14" t="str">
        <x:v>MC-075</x:v>
      </x:c>
      <x:c r="B79" s="14" t="str">
        <x:v>CSM-48</x:v>
      </x:c>
      <x:c r="C79" s="14" t="str">
        <x:v>AMR-48</x:v>
      </x:c>
      <x:c r="D79" s="14" t="str">
        <x:v>DISPERSED</x:v>
      </x:c>
      <x:c r="E79" s="14" t="str">
        <x:v>Exact casualty</x:v>
      </x:c>
      <x:c r="F79" s="14" t="n">
        <x:v>3</x:v>
      </x:c>
      <x:c r="G79" s="14" t="n">
        <x:v>500</x:v>
      </x:c>
      <x:c r="H79" s="14" t="n">
        <x:v>48</x:v>
      </x:c>
      <x:c r="I79" s="14" t="n">
        <x:v>25</x:v>
      </x:c>
      <x:c r="J79" s="14" t="str">
        <x:v>SEALED</x:v>
      </x:c>
      <x:c r="K79" s="14" t="str">
        <x:v>OPEN</x:v>
      </x:c>
    </x:row>
    <x:row r="80">
      <x:c r="A80" s="15" t="str">
        <x:v>MC-076</x:v>
      </x:c>
      <x:c r="B80" s="15" t="str">
        <x:v>CSM-48</x:v>
      </x:c>
      <x:c r="C80" s="15" t="str">
        <x:v>AMR-48</x:v>
      </x:c>
      <x:c r="D80" s="15" t="str">
        <x:v>DISPERSED</x:v>
      </x:c>
      <x:c r="E80" s="15" t="str">
        <x:v>Exact casualty</x:v>
      </x:c>
      <x:c r="F80" s="15" t="n">
        <x:v>4</x:v>
      </x:c>
      <x:c r="G80" s="15" t="n">
        <x:v>500</x:v>
      </x:c>
      <x:c r="H80" s="15" t="n">
        <x:v>48</x:v>
      </x:c>
      <x:c r="I80" s="15" t="n">
        <x:v>25</x:v>
      </x:c>
      <x:c r="J80" s="15" t="str">
        <x:v>SEALED</x:v>
      </x:c>
      <x:c r="K80" s="15" t="str">
        <x:v>OPEN</x:v>
      </x:c>
    </x:row>
    <x:row r="81">
      <x:c r="A81" s="14" t="str">
        <x:v>MC-077</x:v>
      </x:c>
      <x:c r="B81" s="14" t="str">
        <x:v>CSM-48</x:v>
      </x:c>
      <x:c r="C81" s="14" t="str">
        <x:v>AMR-48</x:v>
      </x:c>
      <x:c r="D81" s="14" t="str">
        <x:v>DISPERSED</x:v>
      </x:c>
      <x:c r="E81" s="14" t="str">
        <x:v>Compound loss</x:v>
      </x:c>
      <x:c r="F81" s="14" t="n">
        <x:v>1</x:v>
      </x:c>
      <x:c r="G81" s="14" t="n">
        <x:v>500</x:v>
      </x:c>
      <x:c r="H81" s="14" t="n">
        <x:v>48</x:v>
      </x:c>
      <x:c r="I81" s="14" t="n">
        <x:v>25</x:v>
      </x:c>
      <x:c r="J81" s="14" t="str">
        <x:v>SEALED</x:v>
      </x:c>
      <x:c r="K81" s="14" t="str">
        <x:v>OPEN</x:v>
      </x:c>
    </x:row>
    <x:row r="82">
      <x:c r="A82" s="15" t="str">
        <x:v>MC-078</x:v>
      </x:c>
      <x:c r="B82" s="15" t="str">
        <x:v>CSM-48</x:v>
      </x:c>
      <x:c r="C82" s="15" t="str">
        <x:v>AMR-48</x:v>
      </x:c>
      <x:c r="D82" s="15" t="str">
        <x:v>DISPERSED</x:v>
      </x:c>
      <x:c r="E82" s="15" t="str">
        <x:v>Compound loss</x:v>
      </x:c>
      <x:c r="F82" s="15" t="n">
        <x:v>2</x:v>
      </x:c>
      <x:c r="G82" s="15" t="n">
        <x:v>500</x:v>
      </x:c>
      <x:c r="H82" s="15" t="n">
        <x:v>48</x:v>
      </x:c>
      <x:c r="I82" s="15" t="n">
        <x:v>25</x:v>
      </x:c>
      <x:c r="J82" s="15" t="str">
        <x:v>SEALED</x:v>
      </x:c>
      <x:c r="K82" s="15" t="str">
        <x:v>OPEN</x:v>
      </x:c>
    </x:row>
    <x:row r="83">
      <x:c r="A83" s="14" t="str">
        <x:v>MC-079</x:v>
      </x:c>
      <x:c r="B83" s="14" t="str">
        <x:v>CSM-48</x:v>
      </x:c>
      <x:c r="C83" s="14" t="str">
        <x:v>AMR-48</x:v>
      </x:c>
      <x:c r="D83" s="14" t="str">
        <x:v>DISPERSED</x:v>
      </x:c>
      <x:c r="E83" s="14" t="str">
        <x:v>Compound loss</x:v>
      </x:c>
      <x:c r="F83" s="14" t="n">
        <x:v>3</x:v>
      </x:c>
      <x:c r="G83" s="14" t="n">
        <x:v>500</x:v>
      </x:c>
      <x:c r="H83" s="14" t="n">
        <x:v>48</x:v>
      </x:c>
      <x:c r="I83" s="14" t="n">
        <x:v>25</x:v>
      </x:c>
      <x:c r="J83" s="14" t="str">
        <x:v>SEALED</x:v>
      </x:c>
      <x:c r="K83" s="14" t="str">
        <x:v>OPEN</x:v>
      </x:c>
    </x:row>
    <x:row r="84">
      <x:c r="A84" s="15" t="str">
        <x:v>MC-080</x:v>
      </x:c>
      <x:c r="B84" s="15" t="str">
        <x:v>CSM-48</x:v>
      </x:c>
      <x:c r="C84" s="15" t="str">
        <x:v>AMR-48</x:v>
      </x:c>
      <x:c r="D84" s="15" t="str">
        <x:v>DISPERSED</x:v>
      </x:c>
      <x:c r="E84" s="15" t="str">
        <x:v>Compound loss</x:v>
      </x:c>
      <x:c r="F84" s="15" t="n">
        <x:v>4</x:v>
      </x:c>
      <x:c r="G84" s="15" t="n">
        <x:v>500</x:v>
      </x:c>
      <x:c r="H84" s="15" t="n">
        <x:v>48</x:v>
      </x:c>
      <x:c r="I84" s="15" t="n">
        <x:v>25</x:v>
      </x:c>
      <x:c r="J84" s="15" t="str">
        <x:v>SEALED</x:v>
      </x:c>
      <x:c r="K84" s="15" t="str">
        <x:v>OPEN</x:v>
      </x:c>
    </x:row>
    <x:row r="85">
      <x:c r="A85" s="14" t="str">
        <x:v>MC-081</x:v>
      </x:c>
      <x:c r="B85" s="14" t="str">
        <x:v>CSM-48</x:v>
      </x:c>
      <x:c r="C85" s="14" t="str">
        <x:v>AMR-48</x:v>
      </x:c>
      <x:c r="D85" s="14" t="str">
        <x:v>COHERENT</x:v>
      </x:c>
      <x:c r="E85" s="14" t="str">
        <x:v>ER-09 anchor</x:v>
      </x:c>
      <x:c r="F85" s="14" t="n">
        <x:v>1</x:v>
      </x:c>
      <x:c r="G85" s="14" t="n">
        <x:v>500</x:v>
      </x:c>
      <x:c r="H85" s="14" t="n">
        <x:v>24</x:v>
      </x:c>
      <x:c r="I85" s="14" t="n">
        <x:v>6.25</x:v>
      </x:c>
      <x:c r="J85" s="14" t="str">
        <x:v>SEALED</x:v>
      </x:c>
      <x:c r="K85" s="14" t="str">
        <x:v>OPEN</x:v>
      </x:c>
    </x:row>
    <x:row r="86">
      <x:c r="A86" s="15" t="str">
        <x:v>MC-082</x:v>
      </x:c>
      <x:c r="B86" s="15" t="str">
        <x:v>CSM-48</x:v>
      </x:c>
      <x:c r="C86" s="15" t="str">
        <x:v>AMR-48</x:v>
      </x:c>
      <x:c r="D86" s="15" t="str">
        <x:v>COHERENT</x:v>
      </x:c>
      <x:c r="E86" s="15" t="str">
        <x:v>ER-09 anchor</x:v>
      </x:c>
      <x:c r="F86" s="15" t="n">
        <x:v>2</x:v>
      </x:c>
      <x:c r="G86" s="15" t="n">
        <x:v>500</x:v>
      </x:c>
      <x:c r="H86" s="15" t="n">
        <x:v>24</x:v>
      </x:c>
      <x:c r="I86" s="15" t="n">
        <x:v>6.25</x:v>
      </x:c>
      <x:c r="J86" s="15" t="str">
        <x:v>SEALED</x:v>
      </x:c>
      <x:c r="K86" s="15" t="str">
        <x:v>OPEN</x:v>
      </x:c>
    </x:row>
    <x:row r="87">
      <x:c r="A87" s="14" t="str">
        <x:v>MC-083</x:v>
      </x:c>
      <x:c r="B87" s="14" t="str">
        <x:v>CSM-48</x:v>
      </x:c>
      <x:c r="C87" s="14" t="str">
        <x:v>AMR-48</x:v>
      </x:c>
      <x:c r="D87" s="14" t="str">
        <x:v>COHERENT</x:v>
      </x:c>
      <x:c r="E87" s="14" t="str">
        <x:v>ER-09 anchor</x:v>
      </x:c>
      <x:c r="F87" s="14" t="n">
        <x:v>3</x:v>
      </x:c>
      <x:c r="G87" s="14" t="n">
        <x:v>500</x:v>
      </x:c>
      <x:c r="H87" s="14" t="n">
        <x:v>24</x:v>
      </x:c>
      <x:c r="I87" s="14" t="n">
        <x:v>6.25</x:v>
      </x:c>
      <x:c r="J87" s="14" t="str">
        <x:v>SEALED</x:v>
      </x:c>
      <x:c r="K87" s="14" t="str">
        <x:v>OPEN</x:v>
      </x:c>
    </x:row>
    <x:row r="88">
      <x:c r="A88" s="15" t="str">
        <x:v>MC-084</x:v>
      </x:c>
      <x:c r="B88" s="15" t="str">
        <x:v>CSM-48</x:v>
      </x:c>
      <x:c r="C88" s="15" t="str">
        <x:v>AMR-48</x:v>
      </x:c>
      <x:c r="D88" s="15" t="str">
        <x:v>COHERENT</x:v>
      </x:c>
      <x:c r="E88" s="15" t="str">
        <x:v>ER-09 anchor</x:v>
      </x:c>
      <x:c r="F88" s="15" t="n">
        <x:v>4</x:v>
      </x:c>
      <x:c r="G88" s="15" t="n">
        <x:v>500</x:v>
      </x:c>
      <x:c r="H88" s="15" t="n">
        <x:v>24</x:v>
      </x:c>
      <x:c r="I88" s="15" t="n">
        <x:v>6.25</x:v>
      </x:c>
      <x:c r="J88" s="15" t="str">
        <x:v>SEALED</x:v>
      </x:c>
      <x:c r="K88" s="15" t="str">
        <x:v>OPEN</x:v>
      </x:c>
    </x:row>
    <x:row r="89">
      <x:c r="A89" s="14" t="str">
        <x:v>MC-085</x:v>
      </x:c>
      <x:c r="B89" s="14" t="str">
        <x:v>CSM-48</x:v>
      </x:c>
      <x:c r="C89" s="14" t="str">
        <x:v>AMR-48</x:v>
      </x:c>
      <x:c r="D89" s="14" t="str">
        <x:v>COHERENT</x:v>
      </x:c>
      <x:c r="E89" s="14" t="str">
        <x:v>Expanded half-water</x:v>
      </x:c>
      <x:c r="F89" s="14" t="n">
        <x:v>1</x:v>
      </x:c>
      <x:c r="G89" s="14" t="n">
        <x:v>500</x:v>
      </x:c>
      <x:c r="H89" s="14" t="n">
        <x:v>24</x:v>
      </x:c>
      <x:c r="I89" s="14" t="n">
        <x:v>25</x:v>
      </x:c>
      <x:c r="J89" s="14" t="str">
        <x:v>SEALED</x:v>
      </x:c>
      <x:c r="K89" s="14" t="str">
        <x:v>OPEN</x:v>
      </x:c>
    </x:row>
    <x:row r="90">
      <x:c r="A90" s="15" t="str">
        <x:v>MC-086</x:v>
      </x:c>
      <x:c r="B90" s="15" t="str">
        <x:v>CSM-48</x:v>
      </x:c>
      <x:c r="C90" s="15" t="str">
        <x:v>AMR-48</x:v>
      </x:c>
      <x:c r="D90" s="15" t="str">
        <x:v>COHERENT</x:v>
      </x:c>
      <x:c r="E90" s="15" t="str">
        <x:v>Expanded half-water</x:v>
      </x:c>
      <x:c r="F90" s="15" t="n">
        <x:v>2</x:v>
      </x:c>
      <x:c r="G90" s="15" t="n">
        <x:v>500</x:v>
      </x:c>
      <x:c r="H90" s="15" t="n">
        <x:v>24</x:v>
      </x:c>
      <x:c r="I90" s="15" t="n">
        <x:v>25</x:v>
      </x:c>
      <x:c r="J90" s="15" t="str">
        <x:v>SEALED</x:v>
      </x:c>
      <x:c r="K90" s="15" t="str">
        <x:v>OPEN</x:v>
      </x:c>
    </x:row>
    <x:row r="91">
      <x:c r="A91" s="14" t="str">
        <x:v>MC-087</x:v>
      </x:c>
      <x:c r="B91" s="14" t="str">
        <x:v>CSM-48</x:v>
      </x:c>
      <x:c r="C91" s="14" t="str">
        <x:v>AMR-48</x:v>
      </x:c>
      <x:c r="D91" s="14" t="str">
        <x:v>COHERENT</x:v>
      </x:c>
      <x:c r="E91" s="14" t="str">
        <x:v>Expanded half-water</x:v>
      </x:c>
      <x:c r="F91" s="14" t="n">
        <x:v>3</x:v>
      </x:c>
      <x:c r="G91" s="14" t="n">
        <x:v>500</x:v>
      </x:c>
      <x:c r="H91" s="14" t="n">
        <x:v>24</x:v>
      </x:c>
      <x:c r="I91" s="14" t="n">
        <x:v>25</x:v>
      </x:c>
      <x:c r="J91" s="14" t="str">
        <x:v>SEALED</x:v>
      </x:c>
      <x:c r="K91" s="14" t="str">
        <x:v>OPEN</x:v>
      </x:c>
    </x:row>
    <x:row r="92">
      <x:c r="A92" s="15" t="str">
        <x:v>MC-088</x:v>
      </x:c>
      <x:c r="B92" s="15" t="str">
        <x:v>CSM-48</x:v>
      </x:c>
      <x:c r="C92" s="15" t="str">
        <x:v>AMR-48</x:v>
      </x:c>
      <x:c r="D92" s="15" t="str">
        <x:v>COHERENT</x:v>
      </x:c>
      <x:c r="E92" s="15" t="str">
        <x:v>Expanded half-water</x:v>
      </x:c>
      <x:c r="F92" s="15" t="n">
        <x:v>4</x:v>
      </x:c>
      <x:c r="G92" s="15" t="n">
        <x:v>500</x:v>
      </x:c>
      <x:c r="H92" s="15" t="n">
        <x:v>24</x:v>
      </x:c>
      <x:c r="I92" s="15" t="n">
        <x:v>25</x:v>
      </x:c>
      <x:c r="J92" s="15" t="str">
        <x:v>SEALED</x:v>
      </x:c>
      <x:c r="K92" s="15" t="str">
        <x:v>OPEN</x:v>
      </x:c>
    </x:row>
    <x:row r="93">
      <x:c r="A93" s="14" t="str">
        <x:v>MC-089</x:v>
      </x:c>
      <x:c r="B93" s="14" t="str">
        <x:v>CSM-48</x:v>
      </x:c>
      <x:c r="C93" s="14" t="str">
        <x:v>AMR-48</x:v>
      </x:c>
      <x:c r="D93" s="14" t="str">
        <x:v>COHERENT</x:v>
      </x:c>
      <x:c r="E93" s="14" t="str">
        <x:v>Exact casualty</x:v>
      </x:c>
      <x:c r="F93" s="14" t="n">
        <x:v>1</x:v>
      </x:c>
      <x:c r="G93" s="14" t="n">
        <x:v>500</x:v>
      </x:c>
      <x:c r="H93" s="14" t="n">
        <x:v>48</x:v>
      </x:c>
      <x:c r="I93" s="14" t="n">
        <x:v>25</x:v>
      </x:c>
      <x:c r="J93" s="14" t="str">
        <x:v>SEALED</x:v>
      </x:c>
      <x:c r="K93" s="14" t="str">
        <x:v>OPEN</x:v>
      </x:c>
    </x:row>
    <x:row r="94">
      <x:c r="A94" s="15" t="str">
        <x:v>MC-090</x:v>
      </x:c>
      <x:c r="B94" s="15" t="str">
        <x:v>CSM-48</x:v>
      </x:c>
      <x:c r="C94" s="15" t="str">
        <x:v>AMR-48</x:v>
      </x:c>
      <x:c r="D94" s="15" t="str">
        <x:v>COHERENT</x:v>
      </x:c>
      <x:c r="E94" s="15" t="str">
        <x:v>Exact casualty</x:v>
      </x:c>
      <x:c r="F94" s="15" t="n">
        <x:v>2</x:v>
      </x:c>
      <x:c r="G94" s="15" t="n">
        <x:v>500</x:v>
      </x:c>
      <x:c r="H94" s="15" t="n">
        <x:v>48</x:v>
      </x:c>
      <x:c r="I94" s="15" t="n">
        <x:v>25</x:v>
      </x:c>
      <x:c r="J94" s="15" t="str">
        <x:v>SEALED</x:v>
      </x:c>
      <x:c r="K94" s="15" t="str">
        <x:v>OPEN</x:v>
      </x:c>
    </x:row>
    <x:row r="95">
      <x:c r="A95" s="14" t="str">
        <x:v>MC-091</x:v>
      </x:c>
      <x:c r="B95" s="14" t="str">
        <x:v>CSM-48</x:v>
      </x:c>
      <x:c r="C95" s="14" t="str">
        <x:v>AMR-48</x:v>
      </x:c>
      <x:c r="D95" s="14" t="str">
        <x:v>COHERENT</x:v>
      </x:c>
      <x:c r="E95" s="14" t="str">
        <x:v>Exact casualty</x:v>
      </x:c>
      <x:c r="F95" s="14" t="n">
        <x:v>3</x:v>
      </x:c>
      <x:c r="G95" s="14" t="n">
        <x:v>500</x:v>
      </x:c>
      <x:c r="H95" s="14" t="n">
        <x:v>48</x:v>
      </x:c>
      <x:c r="I95" s="14" t="n">
        <x:v>25</x:v>
      </x:c>
      <x:c r="J95" s="14" t="str">
        <x:v>SEALED</x:v>
      </x:c>
      <x:c r="K95" s="14" t="str">
        <x:v>OPEN</x:v>
      </x:c>
    </x:row>
    <x:row r="96">
      <x:c r="A96" s="15" t="str">
        <x:v>MC-092</x:v>
      </x:c>
      <x:c r="B96" s="15" t="str">
        <x:v>CSM-48</x:v>
      </x:c>
      <x:c r="C96" s="15" t="str">
        <x:v>AMR-48</x:v>
      </x:c>
      <x:c r="D96" s="15" t="str">
        <x:v>COHERENT</x:v>
      </x:c>
      <x:c r="E96" s="15" t="str">
        <x:v>Exact casualty</x:v>
      </x:c>
      <x:c r="F96" s="15" t="n">
        <x:v>4</x:v>
      </x:c>
      <x:c r="G96" s="15" t="n">
        <x:v>500</x:v>
      </x:c>
      <x:c r="H96" s="15" t="n">
        <x:v>48</x:v>
      </x:c>
      <x:c r="I96" s="15" t="n">
        <x:v>25</x:v>
      </x:c>
      <x:c r="J96" s="15" t="str">
        <x:v>SEALED</x:v>
      </x:c>
      <x:c r="K96" s="15" t="str">
        <x:v>OPEN</x:v>
      </x:c>
    </x:row>
    <x:row r="97">
      <x:c r="A97" s="14" t="str">
        <x:v>MC-093</x:v>
      </x:c>
      <x:c r="B97" s="14" t="str">
        <x:v>CSM-48</x:v>
      </x:c>
      <x:c r="C97" s="14" t="str">
        <x:v>AMR-48</x:v>
      </x:c>
      <x:c r="D97" s="14" t="str">
        <x:v>COHERENT</x:v>
      </x:c>
      <x:c r="E97" s="14" t="str">
        <x:v>Compound loss</x:v>
      </x:c>
      <x:c r="F97" s="14" t="n">
        <x:v>1</x:v>
      </x:c>
      <x:c r="G97" s="14" t="n">
        <x:v>500</x:v>
      </x:c>
      <x:c r="H97" s="14" t="n">
        <x:v>48</x:v>
      </x:c>
      <x:c r="I97" s="14" t="n">
        <x:v>25</x:v>
      </x:c>
      <x:c r="J97" s="14" t="str">
        <x:v>SEALED</x:v>
      </x:c>
      <x:c r="K97" s="14" t="str">
        <x:v>OPEN</x:v>
      </x:c>
    </x:row>
    <x:row r="98">
      <x:c r="A98" s="15" t="str">
        <x:v>MC-094</x:v>
      </x:c>
      <x:c r="B98" s="15" t="str">
        <x:v>CSM-48</x:v>
      </x:c>
      <x:c r="C98" s="15" t="str">
        <x:v>AMR-48</x:v>
      </x:c>
      <x:c r="D98" s="15" t="str">
        <x:v>COHERENT</x:v>
      </x:c>
      <x:c r="E98" s="15" t="str">
        <x:v>Compound loss</x:v>
      </x:c>
      <x:c r="F98" s="15" t="n">
        <x:v>2</x:v>
      </x:c>
      <x:c r="G98" s="15" t="n">
        <x:v>500</x:v>
      </x:c>
      <x:c r="H98" s="15" t="n">
        <x:v>48</x:v>
      </x:c>
      <x:c r="I98" s="15" t="n">
        <x:v>25</x:v>
      </x:c>
      <x:c r="J98" s="15" t="str">
        <x:v>SEALED</x:v>
      </x:c>
      <x:c r="K98" s="15" t="str">
        <x:v>OPEN</x:v>
      </x:c>
    </x:row>
    <x:row r="99">
      <x:c r="A99" s="14" t="str">
        <x:v>MC-095</x:v>
      </x:c>
      <x:c r="B99" s="14" t="str">
        <x:v>CSM-48</x:v>
      </x:c>
      <x:c r="C99" s="14" t="str">
        <x:v>AMR-48</x:v>
      </x:c>
      <x:c r="D99" s="14" t="str">
        <x:v>COHERENT</x:v>
      </x:c>
      <x:c r="E99" s="14" t="str">
        <x:v>Compound loss</x:v>
      </x:c>
      <x:c r="F99" s="14" t="n">
        <x:v>3</x:v>
      </x:c>
      <x:c r="G99" s="14" t="n">
        <x:v>500</x:v>
      </x:c>
      <x:c r="H99" s="14" t="n">
        <x:v>48</x:v>
      </x:c>
      <x:c r="I99" s="14" t="n">
        <x:v>25</x:v>
      </x:c>
      <x:c r="J99" s="14" t="str">
        <x:v>SEALED</x:v>
      </x:c>
      <x:c r="K99" s="14" t="str">
        <x:v>OPEN</x:v>
      </x:c>
    </x:row>
    <x:row r="100">
      <x:c r="A100" s="15" t="str">
        <x:v>MC-096</x:v>
      </x:c>
      <x:c r="B100" s="15" t="str">
        <x:v>CSM-48</x:v>
      </x:c>
      <x:c r="C100" s="15" t="str">
        <x:v>AMR-48</x:v>
      </x:c>
      <x:c r="D100" s="15" t="str">
        <x:v>COHERENT</x:v>
      </x:c>
      <x:c r="E100" s="15" t="str">
        <x:v>Compound loss</x:v>
      </x:c>
      <x:c r="F100" s="15" t="n">
        <x:v>4</x:v>
      </x:c>
      <x:c r="G100" s="15" t="n">
        <x:v>500</x:v>
      </x:c>
      <x:c r="H100" s="15" t="n">
        <x:v>48</x:v>
      </x:c>
      <x:c r="I100" s="15" t="n">
        <x:v>25</x:v>
      </x:c>
      <x:c r="J100" s="15" t="str">
        <x:v>SEALED</x:v>
      </x:c>
      <x:c r="K100" s="15" t="str">
        <x:v>OPEN</x:v>
      </x:c>
    </x:row>
    <x:row r="101">
      <x:c r="A101" s="14" t="str">
        <x:v>MC-097</x:v>
      </x:c>
      <x:c r="B101" s="14" t="str">
        <x:v>PGR-48</x:v>
      </x:c>
      <x:c r="C101" s="14" t="str">
        <x:v>SPS-48</x:v>
      </x:c>
      <x:c r="D101" s="14" t="str">
        <x:v>DISPERSED</x:v>
      </x:c>
      <x:c r="E101" s="14" t="str">
        <x:v>ER-09 anchor</x:v>
      </x:c>
      <x:c r="F101" s="14" t="n">
        <x:v>1</x:v>
      </x:c>
      <x:c r="G101" s="14" t="n">
        <x:v>500</x:v>
      </x:c>
      <x:c r="H101" s="14" t="n">
        <x:v>24</x:v>
      </x:c>
      <x:c r="I101" s="14" t="n">
        <x:v>6.25</x:v>
      </x:c>
      <x:c r="J101" s="14" t="str">
        <x:v>SEALED</x:v>
      </x:c>
      <x:c r="K101" s="14" t="str">
        <x:v>OPEN</x:v>
      </x:c>
    </x:row>
    <x:row r="102">
      <x:c r="A102" s="15" t="str">
        <x:v>MC-098</x:v>
      </x:c>
      <x:c r="B102" s="15" t="str">
        <x:v>PGR-48</x:v>
      </x:c>
      <x:c r="C102" s="15" t="str">
        <x:v>SPS-48</x:v>
      </x:c>
      <x:c r="D102" s="15" t="str">
        <x:v>DISPERSED</x:v>
      </x:c>
      <x:c r="E102" s="15" t="str">
        <x:v>ER-09 anchor</x:v>
      </x:c>
      <x:c r="F102" s="15" t="n">
        <x:v>2</x:v>
      </x:c>
      <x:c r="G102" s="15" t="n">
        <x:v>500</x:v>
      </x:c>
      <x:c r="H102" s="15" t="n">
        <x:v>24</x:v>
      </x:c>
      <x:c r="I102" s="15" t="n">
        <x:v>6.25</x:v>
      </x:c>
      <x:c r="J102" s="15" t="str">
        <x:v>SEALED</x:v>
      </x:c>
      <x:c r="K102" s="15" t="str">
        <x:v>OPEN</x:v>
      </x:c>
    </x:row>
    <x:row r="103">
      <x:c r="A103" s="14" t="str">
        <x:v>MC-099</x:v>
      </x:c>
      <x:c r="B103" s="14" t="str">
        <x:v>PGR-48</x:v>
      </x:c>
      <x:c r="C103" s="14" t="str">
        <x:v>SPS-48</x:v>
      </x:c>
      <x:c r="D103" s="14" t="str">
        <x:v>DISPERSED</x:v>
      </x:c>
      <x:c r="E103" s="14" t="str">
        <x:v>ER-09 anchor</x:v>
      </x:c>
      <x:c r="F103" s="14" t="n">
        <x:v>3</x:v>
      </x:c>
      <x:c r="G103" s="14" t="n">
        <x:v>500</x:v>
      </x:c>
      <x:c r="H103" s="14" t="n">
        <x:v>24</x:v>
      </x:c>
      <x:c r="I103" s="14" t="n">
        <x:v>6.25</x:v>
      </x:c>
      <x:c r="J103" s="14" t="str">
        <x:v>SEALED</x:v>
      </x:c>
      <x:c r="K103" s="14" t="str">
        <x:v>OPEN</x:v>
      </x:c>
    </x:row>
    <x:row r="104">
      <x:c r="A104" s="15" t="str">
        <x:v>MC-100</x:v>
      </x:c>
      <x:c r="B104" s="15" t="str">
        <x:v>PGR-48</x:v>
      </x:c>
      <x:c r="C104" s="15" t="str">
        <x:v>SPS-48</x:v>
      </x:c>
      <x:c r="D104" s="15" t="str">
        <x:v>DISPERSED</x:v>
      </x:c>
      <x:c r="E104" s="15" t="str">
        <x:v>ER-09 anchor</x:v>
      </x:c>
      <x:c r="F104" s="15" t="n">
        <x:v>4</x:v>
      </x:c>
      <x:c r="G104" s="15" t="n">
        <x:v>500</x:v>
      </x:c>
      <x:c r="H104" s="15" t="n">
        <x:v>24</x:v>
      </x:c>
      <x:c r="I104" s="15" t="n">
        <x:v>6.25</x:v>
      </x:c>
      <x:c r="J104" s="15" t="str">
        <x:v>SEALED</x:v>
      </x:c>
      <x:c r="K104" s="15" t="str">
        <x:v>OPEN</x:v>
      </x:c>
    </x:row>
    <x:row r="105">
      <x:c r="A105" s="14" t="str">
        <x:v>MC-101</x:v>
      </x:c>
      <x:c r="B105" s="14" t="str">
        <x:v>PGR-48</x:v>
      </x:c>
      <x:c r="C105" s="14" t="str">
        <x:v>SPS-48</x:v>
      </x:c>
      <x:c r="D105" s="14" t="str">
        <x:v>DISPERSED</x:v>
      </x:c>
      <x:c r="E105" s="14" t="str">
        <x:v>Expanded half-water</x:v>
      </x:c>
      <x:c r="F105" s="14" t="n">
        <x:v>1</x:v>
      </x:c>
      <x:c r="G105" s="14" t="n">
        <x:v>500</x:v>
      </x:c>
      <x:c r="H105" s="14" t="n">
        <x:v>24</x:v>
      </x:c>
      <x:c r="I105" s="14" t="n">
        <x:v>25</x:v>
      </x:c>
      <x:c r="J105" s="14" t="str">
        <x:v>SEALED</x:v>
      </x:c>
      <x:c r="K105" s="14" t="str">
        <x:v>OPEN</x:v>
      </x:c>
    </x:row>
    <x:row r="106">
      <x:c r="A106" s="15" t="str">
        <x:v>MC-102</x:v>
      </x:c>
      <x:c r="B106" s="15" t="str">
        <x:v>PGR-48</x:v>
      </x:c>
      <x:c r="C106" s="15" t="str">
        <x:v>SPS-48</x:v>
      </x:c>
      <x:c r="D106" s="15" t="str">
        <x:v>DISPERSED</x:v>
      </x:c>
      <x:c r="E106" s="15" t="str">
        <x:v>Expanded half-water</x:v>
      </x:c>
      <x:c r="F106" s="15" t="n">
        <x:v>2</x:v>
      </x:c>
      <x:c r="G106" s="15" t="n">
        <x:v>500</x:v>
      </x:c>
      <x:c r="H106" s="15" t="n">
        <x:v>24</x:v>
      </x:c>
      <x:c r="I106" s="15" t="n">
        <x:v>25</x:v>
      </x:c>
      <x:c r="J106" s="15" t="str">
        <x:v>SEALED</x:v>
      </x:c>
      <x:c r="K106" s="15" t="str">
        <x:v>OPEN</x:v>
      </x:c>
    </x:row>
    <x:row r="107">
      <x:c r="A107" s="14" t="str">
        <x:v>MC-103</x:v>
      </x:c>
      <x:c r="B107" s="14" t="str">
        <x:v>PGR-48</x:v>
      </x:c>
      <x:c r="C107" s="14" t="str">
        <x:v>SPS-48</x:v>
      </x:c>
      <x:c r="D107" s="14" t="str">
        <x:v>DISPERSED</x:v>
      </x:c>
      <x:c r="E107" s="14" t="str">
        <x:v>Expanded half-water</x:v>
      </x:c>
      <x:c r="F107" s="14" t="n">
        <x:v>3</x:v>
      </x:c>
      <x:c r="G107" s="14" t="n">
        <x:v>500</x:v>
      </x:c>
      <x:c r="H107" s="14" t="n">
        <x:v>24</x:v>
      </x:c>
      <x:c r="I107" s="14" t="n">
        <x:v>25</x:v>
      </x:c>
      <x:c r="J107" s="14" t="str">
        <x:v>SEALED</x:v>
      </x:c>
      <x:c r="K107" s="14" t="str">
        <x:v>OPEN</x:v>
      </x:c>
    </x:row>
    <x:row r="108">
      <x:c r="A108" s="15" t="str">
        <x:v>MC-104</x:v>
      </x:c>
      <x:c r="B108" s="15" t="str">
        <x:v>PGR-48</x:v>
      </x:c>
      <x:c r="C108" s="15" t="str">
        <x:v>SPS-48</x:v>
      </x:c>
      <x:c r="D108" s="15" t="str">
        <x:v>DISPERSED</x:v>
      </x:c>
      <x:c r="E108" s="15" t="str">
        <x:v>Expanded half-water</x:v>
      </x:c>
      <x:c r="F108" s="15" t="n">
        <x:v>4</x:v>
      </x:c>
      <x:c r="G108" s="15" t="n">
        <x:v>500</x:v>
      </x:c>
      <x:c r="H108" s="15" t="n">
        <x:v>24</x:v>
      </x:c>
      <x:c r="I108" s="15" t="n">
        <x:v>25</x:v>
      </x:c>
      <x:c r="J108" s="15" t="str">
        <x:v>SEALED</x:v>
      </x:c>
      <x:c r="K108" s="15" t="str">
        <x:v>OPEN</x:v>
      </x:c>
    </x:row>
    <x:row r="109">
      <x:c r="A109" s="14" t="str">
        <x:v>MC-105</x:v>
      </x:c>
      <x:c r="B109" s="14" t="str">
        <x:v>PGR-48</x:v>
      </x:c>
      <x:c r="C109" s="14" t="str">
        <x:v>SPS-48</x:v>
      </x:c>
      <x:c r="D109" s="14" t="str">
        <x:v>DISPERSED</x:v>
      </x:c>
      <x:c r="E109" s="14" t="str">
        <x:v>Exact casualty</x:v>
      </x:c>
      <x:c r="F109" s="14" t="n">
        <x:v>1</x:v>
      </x:c>
      <x:c r="G109" s="14" t="n">
        <x:v>500</x:v>
      </x:c>
      <x:c r="H109" s="14" t="n">
        <x:v>48</x:v>
      </x:c>
      <x:c r="I109" s="14" t="n">
        <x:v>25</x:v>
      </x:c>
      <x:c r="J109" s="14" t="str">
        <x:v>SEALED</x:v>
      </x:c>
      <x:c r="K109" s="14" t="str">
        <x:v>OPEN</x:v>
      </x:c>
    </x:row>
    <x:row r="110">
      <x:c r="A110" s="15" t="str">
        <x:v>MC-106</x:v>
      </x:c>
      <x:c r="B110" s="15" t="str">
        <x:v>PGR-48</x:v>
      </x:c>
      <x:c r="C110" s="15" t="str">
        <x:v>SPS-48</x:v>
      </x:c>
      <x:c r="D110" s="15" t="str">
        <x:v>DISPERSED</x:v>
      </x:c>
      <x:c r="E110" s="15" t="str">
        <x:v>Exact casualty</x:v>
      </x:c>
      <x:c r="F110" s="15" t="n">
        <x:v>2</x:v>
      </x:c>
      <x:c r="G110" s="15" t="n">
        <x:v>500</x:v>
      </x:c>
      <x:c r="H110" s="15" t="n">
        <x:v>48</x:v>
      </x:c>
      <x:c r="I110" s="15" t="n">
        <x:v>25</x:v>
      </x:c>
      <x:c r="J110" s="15" t="str">
        <x:v>SEALED</x:v>
      </x:c>
      <x:c r="K110" s="15" t="str">
        <x:v>OPEN</x:v>
      </x:c>
    </x:row>
    <x:row r="111">
      <x:c r="A111" s="14" t="str">
        <x:v>MC-107</x:v>
      </x:c>
      <x:c r="B111" s="14" t="str">
        <x:v>PGR-48</x:v>
      </x:c>
      <x:c r="C111" s="14" t="str">
        <x:v>SPS-48</x:v>
      </x:c>
      <x:c r="D111" s="14" t="str">
        <x:v>DISPERSED</x:v>
      </x:c>
      <x:c r="E111" s="14" t="str">
        <x:v>Exact casualty</x:v>
      </x:c>
      <x:c r="F111" s="14" t="n">
        <x:v>3</x:v>
      </x:c>
      <x:c r="G111" s="14" t="n">
        <x:v>500</x:v>
      </x:c>
      <x:c r="H111" s="14" t="n">
        <x:v>48</x:v>
      </x:c>
      <x:c r="I111" s="14" t="n">
        <x:v>25</x:v>
      </x:c>
      <x:c r="J111" s="14" t="str">
        <x:v>SEALED</x:v>
      </x:c>
      <x:c r="K111" s="14" t="str">
        <x:v>OPEN</x:v>
      </x:c>
    </x:row>
    <x:row r="112">
      <x:c r="A112" s="15" t="str">
        <x:v>MC-108</x:v>
      </x:c>
      <x:c r="B112" s="15" t="str">
        <x:v>PGR-48</x:v>
      </x:c>
      <x:c r="C112" s="15" t="str">
        <x:v>SPS-48</x:v>
      </x:c>
      <x:c r="D112" s="15" t="str">
        <x:v>DISPERSED</x:v>
      </x:c>
      <x:c r="E112" s="15" t="str">
        <x:v>Exact casualty</x:v>
      </x:c>
      <x:c r="F112" s="15" t="n">
        <x:v>4</x:v>
      </x:c>
      <x:c r="G112" s="15" t="n">
        <x:v>500</x:v>
      </x:c>
      <x:c r="H112" s="15" t="n">
        <x:v>48</x:v>
      </x:c>
      <x:c r="I112" s="15" t="n">
        <x:v>25</x:v>
      </x:c>
      <x:c r="J112" s="15" t="str">
        <x:v>SEALED</x:v>
      </x:c>
      <x:c r="K112" s="15" t="str">
        <x:v>OPEN</x:v>
      </x:c>
    </x:row>
    <x:row r="113">
      <x:c r="A113" s="14" t="str">
        <x:v>MC-109</x:v>
      </x:c>
      <x:c r="B113" s="14" t="str">
        <x:v>PGR-48</x:v>
      </x:c>
      <x:c r="C113" s="14" t="str">
        <x:v>SPS-48</x:v>
      </x:c>
      <x:c r="D113" s="14" t="str">
        <x:v>DISPERSED</x:v>
      </x:c>
      <x:c r="E113" s="14" t="str">
        <x:v>Compound loss</x:v>
      </x:c>
      <x:c r="F113" s="14" t="n">
        <x:v>1</x:v>
      </x:c>
      <x:c r="G113" s="14" t="n">
        <x:v>500</x:v>
      </x:c>
      <x:c r="H113" s="14" t="n">
        <x:v>48</x:v>
      </x:c>
      <x:c r="I113" s="14" t="n">
        <x:v>25</x:v>
      </x:c>
      <x:c r="J113" s="14" t="str">
        <x:v>SEALED</x:v>
      </x:c>
      <x:c r="K113" s="14" t="str">
        <x:v>OPEN</x:v>
      </x:c>
    </x:row>
    <x:row r="114">
      <x:c r="A114" s="15" t="str">
        <x:v>MC-110</x:v>
      </x:c>
      <x:c r="B114" s="15" t="str">
        <x:v>PGR-48</x:v>
      </x:c>
      <x:c r="C114" s="15" t="str">
        <x:v>SPS-48</x:v>
      </x:c>
      <x:c r="D114" s="15" t="str">
        <x:v>DISPERSED</x:v>
      </x:c>
      <x:c r="E114" s="15" t="str">
        <x:v>Compound loss</x:v>
      </x:c>
      <x:c r="F114" s="15" t="n">
        <x:v>2</x:v>
      </x:c>
      <x:c r="G114" s="15" t="n">
        <x:v>500</x:v>
      </x:c>
      <x:c r="H114" s="15" t="n">
        <x:v>48</x:v>
      </x:c>
      <x:c r="I114" s="15" t="n">
        <x:v>25</x:v>
      </x:c>
      <x:c r="J114" s="15" t="str">
        <x:v>SEALED</x:v>
      </x:c>
      <x:c r="K114" s="15" t="str">
        <x:v>OPEN</x:v>
      </x:c>
    </x:row>
    <x:row r="115">
      <x:c r="A115" s="14" t="str">
        <x:v>MC-111</x:v>
      </x:c>
      <x:c r="B115" s="14" t="str">
        <x:v>PGR-48</x:v>
      </x:c>
      <x:c r="C115" s="14" t="str">
        <x:v>SPS-48</x:v>
      </x:c>
      <x:c r="D115" s="14" t="str">
        <x:v>DISPERSED</x:v>
      </x:c>
      <x:c r="E115" s="14" t="str">
        <x:v>Compound loss</x:v>
      </x:c>
      <x:c r="F115" s="14" t="n">
        <x:v>3</x:v>
      </x:c>
      <x:c r="G115" s="14" t="n">
        <x:v>500</x:v>
      </x:c>
      <x:c r="H115" s="14" t="n">
        <x:v>48</x:v>
      </x:c>
      <x:c r="I115" s="14" t="n">
        <x:v>25</x:v>
      </x:c>
      <x:c r="J115" s="14" t="str">
        <x:v>SEALED</x:v>
      </x:c>
      <x:c r="K115" s="14" t="str">
        <x:v>OPEN</x:v>
      </x:c>
    </x:row>
    <x:row r="116">
      <x:c r="A116" s="15" t="str">
        <x:v>MC-112</x:v>
      </x:c>
      <x:c r="B116" s="15" t="str">
        <x:v>PGR-48</x:v>
      </x:c>
      <x:c r="C116" s="15" t="str">
        <x:v>SPS-48</x:v>
      </x:c>
      <x:c r="D116" s="15" t="str">
        <x:v>DISPERSED</x:v>
      </x:c>
      <x:c r="E116" s="15" t="str">
        <x:v>Compound loss</x:v>
      </x:c>
      <x:c r="F116" s="15" t="n">
        <x:v>4</x:v>
      </x:c>
      <x:c r="G116" s="15" t="n">
        <x:v>500</x:v>
      </x:c>
      <x:c r="H116" s="15" t="n">
        <x:v>48</x:v>
      </x:c>
      <x:c r="I116" s="15" t="n">
        <x:v>25</x:v>
      </x:c>
      <x:c r="J116" s="15" t="str">
        <x:v>SEALED</x:v>
      </x:c>
      <x:c r="K116" s="15" t="str">
        <x:v>OPEN</x:v>
      </x:c>
    </x:row>
    <x:row r="117">
      <x:c r="A117" s="14" t="str">
        <x:v>MC-113</x:v>
      </x:c>
      <x:c r="B117" s="14" t="str">
        <x:v>PGR-48</x:v>
      </x:c>
      <x:c r="C117" s="14" t="str">
        <x:v>SPS-48</x:v>
      </x:c>
      <x:c r="D117" s="14" t="str">
        <x:v>COHERENT</x:v>
      </x:c>
      <x:c r="E117" s="14" t="str">
        <x:v>ER-09 anchor</x:v>
      </x:c>
      <x:c r="F117" s="14" t="n">
        <x:v>1</x:v>
      </x:c>
      <x:c r="G117" s="14" t="n">
        <x:v>500</x:v>
      </x:c>
      <x:c r="H117" s="14" t="n">
        <x:v>24</x:v>
      </x:c>
      <x:c r="I117" s="14" t="n">
        <x:v>6.25</x:v>
      </x:c>
      <x:c r="J117" s="14" t="str">
        <x:v>SEALED</x:v>
      </x:c>
      <x:c r="K117" s="14" t="str">
        <x:v>OPEN</x:v>
      </x:c>
    </x:row>
    <x:row r="118">
      <x:c r="A118" s="15" t="str">
        <x:v>MC-114</x:v>
      </x:c>
      <x:c r="B118" s="15" t="str">
        <x:v>PGR-48</x:v>
      </x:c>
      <x:c r="C118" s="15" t="str">
        <x:v>SPS-48</x:v>
      </x:c>
      <x:c r="D118" s="15" t="str">
        <x:v>COHERENT</x:v>
      </x:c>
      <x:c r="E118" s="15" t="str">
        <x:v>ER-09 anchor</x:v>
      </x:c>
      <x:c r="F118" s="15" t="n">
        <x:v>2</x:v>
      </x:c>
      <x:c r="G118" s="15" t="n">
        <x:v>500</x:v>
      </x:c>
      <x:c r="H118" s="15" t="n">
        <x:v>24</x:v>
      </x:c>
      <x:c r="I118" s="15" t="n">
        <x:v>6.25</x:v>
      </x:c>
      <x:c r="J118" s="15" t="str">
        <x:v>SEALED</x:v>
      </x:c>
      <x:c r="K118" s="15" t="str">
        <x:v>OPEN</x:v>
      </x:c>
    </x:row>
    <x:row r="119">
      <x:c r="A119" s="14" t="str">
        <x:v>MC-115</x:v>
      </x:c>
      <x:c r="B119" s="14" t="str">
        <x:v>PGR-48</x:v>
      </x:c>
      <x:c r="C119" s="14" t="str">
        <x:v>SPS-48</x:v>
      </x:c>
      <x:c r="D119" s="14" t="str">
        <x:v>COHERENT</x:v>
      </x:c>
      <x:c r="E119" s="14" t="str">
        <x:v>ER-09 anchor</x:v>
      </x:c>
      <x:c r="F119" s="14" t="n">
        <x:v>3</x:v>
      </x:c>
      <x:c r="G119" s="14" t="n">
        <x:v>500</x:v>
      </x:c>
      <x:c r="H119" s="14" t="n">
        <x:v>24</x:v>
      </x:c>
      <x:c r="I119" s="14" t="n">
        <x:v>6.25</x:v>
      </x:c>
      <x:c r="J119" s="14" t="str">
        <x:v>SEALED</x:v>
      </x:c>
      <x:c r="K119" s="14" t="str">
        <x:v>OPEN</x:v>
      </x:c>
    </x:row>
    <x:row r="120">
      <x:c r="A120" s="15" t="str">
        <x:v>MC-116</x:v>
      </x:c>
      <x:c r="B120" s="15" t="str">
        <x:v>PGR-48</x:v>
      </x:c>
      <x:c r="C120" s="15" t="str">
        <x:v>SPS-48</x:v>
      </x:c>
      <x:c r="D120" s="15" t="str">
        <x:v>COHERENT</x:v>
      </x:c>
      <x:c r="E120" s="15" t="str">
        <x:v>ER-09 anchor</x:v>
      </x:c>
      <x:c r="F120" s="15" t="n">
        <x:v>4</x:v>
      </x:c>
      <x:c r="G120" s="15" t="n">
        <x:v>500</x:v>
      </x:c>
      <x:c r="H120" s="15" t="n">
        <x:v>24</x:v>
      </x:c>
      <x:c r="I120" s="15" t="n">
        <x:v>6.25</x:v>
      </x:c>
      <x:c r="J120" s="15" t="str">
        <x:v>SEALED</x:v>
      </x:c>
      <x:c r="K120" s="15" t="str">
        <x:v>OPEN</x:v>
      </x:c>
    </x:row>
    <x:row r="121">
      <x:c r="A121" s="14" t="str">
        <x:v>MC-117</x:v>
      </x:c>
      <x:c r="B121" s="14" t="str">
        <x:v>PGR-48</x:v>
      </x:c>
      <x:c r="C121" s="14" t="str">
        <x:v>SPS-48</x:v>
      </x:c>
      <x:c r="D121" s="14" t="str">
        <x:v>COHERENT</x:v>
      </x:c>
      <x:c r="E121" s="14" t="str">
        <x:v>Expanded half-water</x:v>
      </x:c>
      <x:c r="F121" s="14" t="n">
        <x:v>1</x:v>
      </x:c>
      <x:c r="G121" s="14" t="n">
        <x:v>500</x:v>
      </x:c>
      <x:c r="H121" s="14" t="n">
        <x:v>24</x:v>
      </x:c>
      <x:c r="I121" s="14" t="n">
        <x:v>25</x:v>
      </x:c>
      <x:c r="J121" s="14" t="str">
        <x:v>SEALED</x:v>
      </x:c>
      <x:c r="K121" s="14" t="str">
        <x:v>OPEN</x:v>
      </x:c>
    </x:row>
    <x:row r="122">
      <x:c r="A122" s="15" t="str">
        <x:v>MC-118</x:v>
      </x:c>
      <x:c r="B122" s="15" t="str">
        <x:v>PGR-48</x:v>
      </x:c>
      <x:c r="C122" s="15" t="str">
        <x:v>SPS-48</x:v>
      </x:c>
      <x:c r="D122" s="15" t="str">
        <x:v>COHERENT</x:v>
      </x:c>
      <x:c r="E122" s="15" t="str">
        <x:v>Expanded half-water</x:v>
      </x:c>
      <x:c r="F122" s="15" t="n">
        <x:v>2</x:v>
      </x:c>
      <x:c r="G122" s="15" t="n">
        <x:v>500</x:v>
      </x:c>
      <x:c r="H122" s="15" t="n">
        <x:v>24</x:v>
      </x:c>
      <x:c r="I122" s="15" t="n">
        <x:v>25</x:v>
      </x:c>
      <x:c r="J122" s="15" t="str">
        <x:v>SEALED</x:v>
      </x:c>
      <x:c r="K122" s="15" t="str">
        <x:v>OPEN</x:v>
      </x:c>
    </x:row>
    <x:row r="123">
      <x:c r="A123" s="14" t="str">
        <x:v>MC-119</x:v>
      </x:c>
      <x:c r="B123" s="14" t="str">
        <x:v>PGR-48</x:v>
      </x:c>
      <x:c r="C123" s="14" t="str">
        <x:v>SPS-48</x:v>
      </x:c>
      <x:c r="D123" s="14" t="str">
        <x:v>COHERENT</x:v>
      </x:c>
      <x:c r="E123" s="14" t="str">
        <x:v>Expanded half-water</x:v>
      </x:c>
      <x:c r="F123" s="14" t="n">
        <x:v>3</x:v>
      </x:c>
      <x:c r="G123" s="14" t="n">
        <x:v>500</x:v>
      </x:c>
      <x:c r="H123" s="14" t="n">
        <x:v>24</x:v>
      </x:c>
      <x:c r="I123" s="14" t="n">
        <x:v>25</x:v>
      </x:c>
      <x:c r="J123" s="14" t="str">
        <x:v>SEALED</x:v>
      </x:c>
      <x:c r="K123" s="14" t="str">
        <x:v>OPEN</x:v>
      </x:c>
    </x:row>
    <x:row r="124">
      <x:c r="A124" s="15" t="str">
        <x:v>MC-120</x:v>
      </x:c>
      <x:c r="B124" s="15" t="str">
        <x:v>PGR-48</x:v>
      </x:c>
      <x:c r="C124" s="15" t="str">
        <x:v>SPS-48</x:v>
      </x:c>
      <x:c r="D124" s="15" t="str">
        <x:v>COHERENT</x:v>
      </x:c>
      <x:c r="E124" s="15" t="str">
        <x:v>Expanded half-water</x:v>
      </x:c>
      <x:c r="F124" s="15" t="n">
        <x:v>4</x:v>
      </x:c>
      <x:c r="G124" s="15" t="n">
        <x:v>500</x:v>
      </x:c>
      <x:c r="H124" s="15" t="n">
        <x:v>24</x:v>
      </x:c>
      <x:c r="I124" s="15" t="n">
        <x:v>25</x:v>
      </x:c>
      <x:c r="J124" s="15" t="str">
        <x:v>SEALED</x:v>
      </x:c>
      <x:c r="K124" s="15" t="str">
        <x:v>OPEN</x:v>
      </x:c>
    </x:row>
    <x:row r="125">
      <x:c r="A125" s="14" t="str">
        <x:v>MC-121</x:v>
      </x:c>
      <x:c r="B125" s="14" t="str">
        <x:v>PGR-48</x:v>
      </x:c>
      <x:c r="C125" s="14" t="str">
        <x:v>SPS-48</x:v>
      </x:c>
      <x:c r="D125" s="14" t="str">
        <x:v>COHERENT</x:v>
      </x:c>
      <x:c r="E125" s="14" t="str">
        <x:v>Exact casualty</x:v>
      </x:c>
      <x:c r="F125" s="14" t="n">
        <x:v>1</x:v>
      </x:c>
      <x:c r="G125" s="14" t="n">
        <x:v>500</x:v>
      </x:c>
      <x:c r="H125" s="14" t="n">
        <x:v>48</x:v>
      </x:c>
      <x:c r="I125" s="14" t="n">
        <x:v>25</x:v>
      </x:c>
      <x:c r="J125" s="14" t="str">
        <x:v>SEALED</x:v>
      </x:c>
      <x:c r="K125" s="14" t="str">
        <x:v>OPEN</x:v>
      </x:c>
    </x:row>
    <x:row r="126">
      <x:c r="A126" s="15" t="str">
        <x:v>MC-122</x:v>
      </x:c>
      <x:c r="B126" s="15" t="str">
        <x:v>PGR-48</x:v>
      </x:c>
      <x:c r="C126" s="15" t="str">
        <x:v>SPS-48</x:v>
      </x:c>
      <x:c r="D126" s="15" t="str">
        <x:v>COHERENT</x:v>
      </x:c>
      <x:c r="E126" s="15" t="str">
        <x:v>Exact casualty</x:v>
      </x:c>
      <x:c r="F126" s="15" t="n">
        <x:v>2</x:v>
      </x:c>
      <x:c r="G126" s="15" t="n">
        <x:v>500</x:v>
      </x:c>
      <x:c r="H126" s="15" t="n">
        <x:v>48</x:v>
      </x:c>
      <x:c r="I126" s="15" t="n">
        <x:v>25</x:v>
      </x:c>
      <x:c r="J126" s="15" t="str">
        <x:v>SEALED</x:v>
      </x:c>
      <x:c r="K126" s="15" t="str">
        <x:v>OPEN</x:v>
      </x:c>
    </x:row>
    <x:row r="127">
      <x:c r="A127" s="14" t="str">
        <x:v>MC-123</x:v>
      </x:c>
      <x:c r="B127" s="14" t="str">
        <x:v>PGR-48</x:v>
      </x:c>
      <x:c r="C127" s="14" t="str">
        <x:v>SPS-48</x:v>
      </x:c>
      <x:c r="D127" s="14" t="str">
        <x:v>COHERENT</x:v>
      </x:c>
      <x:c r="E127" s="14" t="str">
        <x:v>Exact casualty</x:v>
      </x:c>
      <x:c r="F127" s="14" t="n">
        <x:v>3</x:v>
      </x:c>
      <x:c r="G127" s="14" t="n">
        <x:v>500</x:v>
      </x:c>
      <x:c r="H127" s="14" t="n">
        <x:v>48</x:v>
      </x:c>
      <x:c r="I127" s="14" t="n">
        <x:v>25</x:v>
      </x:c>
      <x:c r="J127" s="14" t="str">
        <x:v>SEALED</x:v>
      </x:c>
      <x:c r="K127" s="14" t="str">
        <x:v>OPEN</x:v>
      </x:c>
    </x:row>
    <x:row r="128">
      <x:c r="A128" s="15" t="str">
        <x:v>MC-124</x:v>
      </x:c>
      <x:c r="B128" s="15" t="str">
        <x:v>PGR-48</x:v>
      </x:c>
      <x:c r="C128" s="15" t="str">
        <x:v>SPS-48</x:v>
      </x:c>
      <x:c r="D128" s="15" t="str">
        <x:v>COHERENT</x:v>
      </x:c>
      <x:c r="E128" s="15" t="str">
        <x:v>Exact casualty</x:v>
      </x:c>
      <x:c r="F128" s="15" t="n">
        <x:v>4</x:v>
      </x:c>
      <x:c r="G128" s="15" t="n">
        <x:v>500</x:v>
      </x:c>
      <x:c r="H128" s="15" t="n">
        <x:v>48</x:v>
      </x:c>
      <x:c r="I128" s="15" t="n">
        <x:v>25</x:v>
      </x:c>
      <x:c r="J128" s="15" t="str">
        <x:v>SEALED</x:v>
      </x:c>
      <x:c r="K128" s="15" t="str">
        <x:v>OPEN</x:v>
      </x:c>
    </x:row>
    <x:row r="129">
      <x:c r="A129" s="14" t="str">
        <x:v>MC-125</x:v>
      </x:c>
      <x:c r="B129" s="14" t="str">
        <x:v>PGR-48</x:v>
      </x:c>
      <x:c r="C129" s="14" t="str">
        <x:v>SPS-48</x:v>
      </x:c>
      <x:c r="D129" s="14" t="str">
        <x:v>COHERENT</x:v>
      </x:c>
      <x:c r="E129" s="14" t="str">
        <x:v>Compound loss</x:v>
      </x:c>
      <x:c r="F129" s="14" t="n">
        <x:v>1</x:v>
      </x:c>
      <x:c r="G129" s="14" t="n">
        <x:v>500</x:v>
      </x:c>
      <x:c r="H129" s="14" t="n">
        <x:v>48</x:v>
      </x:c>
      <x:c r="I129" s="14" t="n">
        <x:v>25</x:v>
      </x:c>
      <x:c r="J129" s="14" t="str">
        <x:v>SEALED</x:v>
      </x:c>
      <x:c r="K129" s="14" t="str">
        <x:v>OPEN</x:v>
      </x:c>
    </x:row>
    <x:row r="130">
      <x:c r="A130" s="15" t="str">
        <x:v>MC-126</x:v>
      </x:c>
      <x:c r="B130" s="15" t="str">
        <x:v>PGR-48</x:v>
      </x:c>
      <x:c r="C130" s="15" t="str">
        <x:v>SPS-48</x:v>
      </x:c>
      <x:c r="D130" s="15" t="str">
        <x:v>COHERENT</x:v>
      </x:c>
      <x:c r="E130" s="15" t="str">
        <x:v>Compound loss</x:v>
      </x:c>
      <x:c r="F130" s="15" t="n">
        <x:v>2</x:v>
      </x:c>
      <x:c r="G130" s="15" t="n">
        <x:v>500</x:v>
      </x:c>
      <x:c r="H130" s="15" t="n">
        <x:v>48</x:v>
      </x:c>
      <x:c r="I130" s="15" t="n">
        <x:v>25</x:v>
      </x:c>
      <x:c r="J130" s="15" t="str">
        <x:v>SEALED</x:v>
      </x:c>
      <x:c r="K130" s="15" t="str">
        <x:v>OPEN</x:v>
      </x:c>
    </x:row>
    <x:row r="131">
      <x:c r="A131" s="14" t="str">
        <x:v>MC-127</x:v>
      </x:c>
      <x:c r="B131" s="14" t="str">
        <x:v>PGR-48</x:v>
      </x:c>
      <x:c r="C131" s="14" t="str">
        <x:v>SPS-48</x:v>
      </x:c>
      <x:c r="D131" s="14" t="str">
        <x:v>COHERENT</x:v>
      </x:c>
      <x:c r="E131" s="14" t="str">
        <x:v>Compound loss</x:v>
      </x:c>
      <x:c r="F131" s="14" t="n">
        <x:v>3</x:v>
      </x:c>
      <x:c r="G131" s="14" t="n">
        <x:v>500</x:v>
      </x:c>
      <x:c r="H131" s="14" t="n">
        <x:v>48</x:v>
      </x:c>
      <x:c r="I131" s="14" t="n">
        <x:v>25</x:v>
      </x:c>
      <x:c r="J131" s="14" t="str">
        <x:v>SEALED</x:v>
      </x:c>
      <x:c r="K131" s="14" t="str">
        <x:v>OPEN</x:v>
      </x:c>
    </x:row>
    <x:row r="132">
      <x:c r="A132" s="15" t="str">
        <x:v>MC-128</x:v>
      </x:c>
      <x:c r="B132" s="15" t="str">
        <x:v>PGR-48</x:v>
      </x:c>
      <x:c r="C132" s="15" t="str">
        <x:v>SPS-48</x:v>
      </x:c>
      <x:c r="D132" s="15" t="str">
        <x:v>COHERENT</x:v>
      </x:c>
      <x:c r="E132" s="15" t="str">
        <x:v>Compound loss</x:v>
      </x:c>
      <x:c r="F132" s="15" t="n">
        <x:v>4</x:v>
      </x:c>
      <x:c r="G132" s="15" t="n">
        <x:v>500</x:v>
      </x:c>
      <x:c r="H132" s="15" t="n">
        <x:v>48</x:v>
      </x:c>
      <x:c r="I132" s="15" t="n">
        <x:v>25</x:v>
      </x:c>
      <x:c r="J132" s="15" t="str">
        <x:v>SEALED</x:v>
      </x:c>
      <x:c r="K132" s="15" t="str">
        <x:v>OPEN</x:v>
      </x:c>
    </x:row>
    <x:row r="133">
      <x:c r="A133" s="14" t="str">
        <x:v>MC-129</x:v>
      </x:c>
      <x:c r="B133" s="14" t="str">
        <x:v>PGR-48</x:v>
      </x:c>
      <x:c r="C133" s="14" t="str">
        <x:v>AMR-48</x:v>
      </x:c>
      <x:c r="D133" s="14" t="str">
        <x:v>DISPERSED</x:v>
      </x:c>
      <x:c r="E133" s="14" t="str">
        <x:v>ER-09 anchor</x:v>
      </x:c>
      <x:c r="F133" s="14" t="n">
        <x:v>1</x:v>
      </x:c>
      <x:c r="G133" s="14" t="n">
        <x:v>500</x:v>
      </x:c>
      <x:c r="H133" s="14" t="n">
        <x:v>24</x:v>
      </x:c>
      <x:c r="I133" s="14" t="n">
        <x:v>6.25</x:v>
      </x:c>
      <x:c r="J133" s="14" t="str">
        <x:v>SEALED</x:v>
      </x:c>
      <x:c r="K133" s="14" t="str">
        <x:v>OPEN</x:v>
      </x:c>
    </x:row>
    <x:row r="134">
      <x:c r="A134" s="15" t="str">
        <x:v>MC-130</x:v>
      </x:c>
      <x:c r="B134" s="15" t="str">
        <x:v>PGR-48</x:v>
      </x:c>
      <x:c r="C134" s="15" t="str">
        <x:v>AMR-48</x:v>
      </x:c>
      <x:c r="D134" s="15" t="str">
        <x:v>DISPERSED</x:v>
      </x:c>
      <x:c r="E134" s="15" t="str">
        <x:v>ER-09 anchor</x:v>
      </x:c>
      <x:c r="F134" s="15" t="n">
        <x:v>2</x:v>
      </x:c>
      <x:c r="G134" s="15" t="n">
        <x:v>500</x:v>
      </x:c>
      <x:c r="H134" s="15" t="n">
        <x:v>24</x:v>
      </x:c>
      <x:c r="I134" s="15" t="n">
        <x:v>6.25</x:v>
      </x:c>
      <x:c r="J134" s="15" t="str">
        <x:v>SEALED</x:v>
      </x:c>
      <x:c r="K134" s="15" t="str">
        <x:v>OPEN</x:v>
      </x:c>
    </x:row>
    <x:row r="135">
      <x:c r="A135" s="14" t="str">
        <x:v>MC-131</x:v>
      </x:c>
      <x:c r="B135" s="14" t="str">
        <x:v>PGR-48</x:v>
      </x:c>
      <x:c r="C135" s="14" t="str">
        <x:v>AMR-48</x:v>
      </x:c>
      <x:c r="D135" s="14" t="str">
        <x:v>DISPERSED</x:v>
      </x:c>
      <x:c r="E135" s="14" t="str">
        <x:v>ER-09 anchor</x:v>
      </x:c>
      <x:c r="F135" s="14" t="n">
        <x:v>3</x:v>
      </x:c>
      <x:c r="G135" s="14" t="n">
        <x:v>500</x:v>
      </x:c>
      <x:c r="H135" s="14" t="n">
        <x:v>24</x:v>
      </x:c>
      <x:c r="I135" s="14" t="n">
        <x:v>6.25</x:v>
      </x:c>
      <x:c r="J135" s="14" t="str">
        <x:v>SEALED</x:v>
      </x:c>
      <x:c r="K135" s="14" t="str">
        <x:v>OPEN</x:v>
      </x:c>
    </x:row>
    <x:row r="136">
      <x:c r="A136" s="15" t="str">
        <x:v>MC-132</x:v>
      </x:c>
      <x:c r="B136" s="15" t="str">
        <x:v>PGR-48</x:v>
      </x:c>
      <x:c r="C136" s="15" t="str">
        <x:v>AMR-48</x:v>
      </x:c>
      <x:c r="D136" s="15" t="str">
        <x:v>DISPERSED</x:v>
      </x:c>
      <x:c r="E136" s="15" t="str">
        <x:v>ER-09 anchor</x:v>
      </x:c>
      <x:c r="F136" s="15" t="n">
        <x:v>4</x:v>
      </x:c>
      <x:c r="G136" s="15" t="n">
        <x:v>500</x:v>
      </x:c>
      <x:c r="H136" s="15" t="n">
        <x:v>24</x:v>
      </x:c>
      <x:c r="I136" s="15" t="n">
        <x:v>6.25</x:v>
      </x:c>
      <x:c r="J136" s="15" t="str">
        <x:v>SEALED</x:v>
      </x:c>
      <x:c r="K136" s="15" t="str">
        <x:v>OPEN</x:v>
      </x:c>
    </x:row>
    <x:row r="137">
      <x:c r="A137" s="14" t="str">
        <x:v>MC-133</x:v>
      </x:c>
      <x:c r="B137" s="14" t="str">
        <x:v>PGR-48</x:v>
      </x:c>
      <x:c r="C137" s="14" t="str">
        <x:v>AMR-48</x:v>
      </x:c>
      <x:c r="D137" s="14" t="str">
        <x:v>DISPERSED</x:v>
      </x:c>
      <x:c r="E137" s="14" t="str">
        <x:v>Expanded half-water</x:v>
      </x:c>
      <x:c r="F137" s="14" t="n">
        <x:v>1</x:v>
      </x:c>
      <x:c r="G137" s="14" t="n">
        <x:v>500</x:v>
      </x:c>
      <x:c r="H137" s="14" t="n">
        <x:v>24</x:v>
      </x:c>
      <x:c r="I137" s="14" t="n">
        <x:v>25</x:v>
      </x:c>
      <x:c r="J137" s="14" t="str">
        <x:v>SEALED</x:v>
      </x:c>
      <x:c r="K137" s="14" t="str">
        <x:v>OPEN</x:v>
      </x:c>
    </x:row>
    <x:row r="138">
      <x:c r="A138" s="15" t="str">
        <x:v>MC-134</x:v>
      </x:c>
      <x:c r="B138" s="15" t="str">
        <x:v>PGR-48</x:v>
      </x:c>
      <x:c r="C138" s="15" t="str">
        <x:v>AMR-48</x:v>
      </x:c>
      <x:c r="D138" s="15" t="str">
        <x:v>DISPERSED</x:v>
      </x:c>
      <x:c r="E138" s="15" t="str">
        <x:v>Expanded half-water</x:v>
      </x:c>
      <x:c r="F138" s="15" t="n">
        <x:v>2</x:v>
      </x:c>
      <x:c r="G138" s="15" t="n">
        <x:v>500</x:v>
      </x:c>
      <x:c r="H138" s="15" t="n">
        <x:v>24</x:v>
      </x:c>
      <x:c r="I138" s="15" t="n">
        <x:v>25</x:v>
      </x:c>
      <x:c r="J138" s="15" t="str">
        <x:v>SEALED</x:v>
      </x:c>
      <x:c r="K138" s="15" t="str">
        <x:v>OPEN</x:v>
      </x:c>
    </x:row>
    <x:row r="139">
      <x:c r="A139" s="14" t="str">
        <x:v>MC-135</x:v>
      </x:c>
      <x:c r="B139" s="14" t="str">
        <x:v>PGR-48</x:v>
      </x:c>
      <x:c r="C139" s="14" t="str">
        <x:v>AMR-48</x:v>
      </x:c>
      <x:c r="D139" s="14" t="str">
        <x:v>DISPERSED</x:v>
      </x:c>
      <x:c r="E139" s="14" t="str">
        <x:v>Expanded half-water</x:v>
      </x:c>
      <x:c r="F139" s="14" t="n">
        <x:v>3</x:v>
      </x:c>
      <x:c r="G139" s="14" t="n">
        <x:v>500</x:v>
      </x:c>
      <x:c r="H139" s="14" t="n">
        <x:v>24</x:v>
      </x:c>
      <x:c r="I139" s="14" t="n">
        <x:v>25</x:v>
      </x:c>
      <x:c r="J139" s="14" t="str">
        <x:v>SEALED</x:v>
      </x:c>
      <x:c r="K139" s="14" t="str">
        <x:v>OPEN</x:v>
      </x:c>
    </x:row>
    <x:row r="140">
      <x:c r="A140" s="15" t="str">
        <x:v>MC-136</x:v>
      </x:c>
      <x:c r="B140" s="15" t="str">
        <x:v>PGR-48</x:v>
      </x:c>
      <x:c r="C140" s="15" t="str">
        <x:v>AMR-48</x:v>
      </x:c>
      <x:c r="D140" s="15" t="str">
        <x:v>DISPERSED</x:v>
      </x:c>
      <x:c r="E140" s="15" t="str">
        <x:v>Expanded half-water</x:v>
      </x:c>
      <x:c r="F140" s="15" t="n">
        <x:v>4</x:v>
      </x:c>
      <x:c r="G140" s="15" t="n">
        <x:v>500</x:v>
      </x:c>
      <x:c r="H140" s="15" t="n">
        <x:v>24</x:v>
      </x:c>
      <x:c r="I140" s="15" t="n">
        <x:v>25</x:v>
      </x:c>
      <x:c r="J140" s="15" t="str">
        <x:v>SEALED</x:v>
      </x:c>
      <x:c r="K140" s="15" t="str">
        <x:v>OPEN</x:v>
      </x:c>
    </x:row>
    <x:row r="141">
      <x:c r="A141" s="14" t="str">
        <x:v>MC-137</x:v>
      </x:c>
      <x:c r="B141" s="14" t="str">
        <x:v>PGR-48</x:v>
      </x:c>
      <x:c r="C141" s="14" t="str">
        <x:v>AMR-48</x:v>
      </x:c>
      <x:c r="D141" s="14" t="str">
        <x:v>DISPERSED</x:v>
      </x:c>
      <x:c r="E141" s="14" t="str">
        <x:v>Exact casualty</x:v>
      </x:c>
      <x:c r="F141" s="14" t="n">
        <x:v>1</x:v>
      </x:c>
      <x:c r="G141" s="14" t="n">
        <x:v>500</x:v>
      </x:c>
      <x:c r="H141" s="14" t="n">
        <x:v>48</x:v>
      </x:c>
      <x:c r="I141" s="14" t="n">
        <x:v>25</x:v>
      </x:c>
      <x:c r="J141" s="14" t="str">
        <x:v>SEALED</x:v>
      </x:c>
      <x:c r="K141" s="14" t="str">
        <x:v>OPEN</x:v>
      </x:c>
    </x:row>
    <x:row r="142">
      <x:c r="A142" s="15" t="str">
        <x:v>MC-138</x:v>
      </x:c>
      <x:c r="B142" s="15" t="str">
        <x:v>PGR-48</x:v>
      </x:c>
      <x:c r="C142" s="15" t="str">
        <x:v>AMR-48</x:v>
      </x:c>
      <x:c r="D142" s="15" t="str">
        <x:v>DISPERSED</x:v>
      </x:c>
      <x:c r="E142" s="15" t="str">
        <x:v>Exact casualty</x:v>
      </x:c>
      <x:c r="F142" s="15" t="n">
        <x:v>2</x:v>
      </x:c>
      <x:c r="G142" s="15" t="n">
        <x:v>500</x:v>
      </x:c>
      <x:c r="H142" s="15" t="n">
        <x:v>48</x:v>
      </x:c>
      <x:c r="I142" s="15" t="n">
        <x:v>25</x:v>
      </x:c>
      <x:c r="J142" s="15" t="str">
        <x:v>SEALED</x:v>
      </x:c>
      <x:c r="K142" s="15" t="str">
        <x:v>OPEN</x:v>
      </x:c>
    </x:row>
    <x:row r="143">
      <x:c r="A143" s="14" t="str">
        <x:v>MC-139</x:v>
      </x:c>
      <x:c r="B143" s="14" t="str">
        <x:v>PGR-48</x:v>
      </x:c>
      <x:c r="C143" s="14" t="str">
        <x:v>AMR-48</x:v>
      </x:c>
      <x:c r="D143" s="14" t="str">
        <x:v>DISPERSED</x:v>
      </x:c>
      <x:c r="E143" s="14" t="str">
        <x:v>Exact casualty</x:v>
      </x:c>
      <x:c r="F143" s="14" t="n">
        <x:v>3</x:v>
      </x:c>
      <x:c r="G143" s="14" t="n">
        <x:v>500</x:v>
      </x:c>
      <x:c r="H143" s="14" t="n">
        <x:v>48</x:v>
      </x:c>
      <x:c r="I143" s="14" t="n">
        <x:v>25</x:v>
      </x:c>
      <x:c r="J143" s="14" t="str">
        <x:v>SEALED</x:v>
      </x:c>
      <x:c r="K143" s="14" t="str">
        <x:v>OPEN</x:v>
      </x:c>
    </x:row>
    <x:row r="144">
      <x:c r="A144" s="15" t="str">
        <x:v>MC-140</x:v>
      </x:c>
      <x:c r="B144" s="15" t="str">
        <x:v>PGR-48</x:v>
      </x:c>
      <x:c r="C144" s="15" t="str">
        <x:v>AMR-48</x:v>
      </x:c>
      <x:c r="D144" s="15" t="str">
        <x:v>DISPERSED</x:v>
      </x:c>
      <x:c r="E144" s="15" t="str">
        <x:v>Exact casualty</x:v>
      </x:c>
      <x:c r="F144" s="15" t="n">
        <x:v>4</x:v>
      </x:c>
      <x:c r="G144" s="15" t="n">
        <x:v>500</x:v>
      </x:c>
      <x:c r="H144" s="15" t="n">
        <x:v>48</x:v>
      </x:c>
      <x:c r="I144" s="15" t="n">
        <x:v>25</x:v>
      </x:c>
      <x:c r="J144" s="15" t="str">
        <x:v>SEALED</x:v>
      </x:c>
      <x:c r="K144" s="15" t="str">
        <x:v>OPEN</x:v>
      </x:c>
    </x:row>
    <x:row r="145">
      <x:c r="A145" s="14" t="str">
        <x:v>MC-141</x:v>
      </x:c>
      <x:c r="B145" s="14" t="str">
        <x:v>PGR-48</x:v>
      </x:c>
      <x:c r="C145" s="14" t="str">
        <x:v>AMR-48</x:v>
      </x:c>
      <x:c r="D145" s="14" t="str">
        <x:v>DISPERSED</x:v>
      </x:c>
      <x:c r="E145" s="14" t="str">
        <x:v>Compound loss</x:v>
      </x:c>
      <x:c r="F145" s="14" t="n">
        <x:v>1</x:v>
      </x:c>
      <x:c r="G145" s="14" t="n">
        <x:v>500</x:v>
      </x:c>
      <x:c r="H145" s="14" t="n">
        <x:v>48</x:v>
      </x:c>
      <x:c r="I145" s="14" t="n">
        <x:v>25</x:v>
      </x:c>
      <x:c r="J145" s="14" t="str">
        <x:v>SEALED</x:v>
      </x:c>
      <x:c r="K145" s="14" t="str">
        <x:v>OPEN</x:v>
      </x:c>
    </x:row>
    <x:row r="146">
      <x:c r="A146" s="15" t="str">
        <x:v>MC-142</x:v>
      </x:c>
      <x:c r="B146" s="15" t="str">
        <x:v>PGR-48</x:v>
      </x:c>
      <x:c r="C146" s="15" t="str">
        <x:v>AMR-48</x:v>
      </x:c>
      <x:c r="D146" s="15" t="str">
        <x:v>DISPERSED</x:v>
      </x:c>
      <x:c r="E146" s="15" t="str">
        <x:v>Compound loss</x:v>
      </x:c>
      <x:c r="F146" s="15" t="n">
        <x:v>2</x:v>
      </x:c>
      <x:c r="G146" s="15" t="n">
        <x:v>500</x:v>
      </x:c>
      <x:c r="H146" s="15" t="n">
        <x:v>48</x:v>
      </x:c>
      <x:c r="I146" s="15" t="n">
        <x:v>25</x:v>
      </x:c>
      <x:c r="J146" s="15" t="str">
        <x:v>SEALED</x:v>
      </x:c>
      <x:c r="K146" s="15" t="str">
        <x:v>OPEN</x:v>
      </x:c>
    </x:row>
    <x:row r="147">
      <x:c r="A147" s="14" t="str">
        <x:v>MC-143</x:v>
      </x:c>
      <x:c r="B147" s="14" t="str">
        <x:v>PGR-48</x:v>
      </x:c>
      <x:c r="C147" s="14" t="str">
        <x:v>AMR-48</x:v>
      </x:c>
      <x:c r="D147" s="14" t="str">
        <x:v>DISPERSED</x:v>
      </x:c>
      <x:c r="E147" s="14" t="str">
        <x:v>Compound loss</x:v>
      </x:c>
      <x:c r="F147" s="14" t="n">
        <x:v>3</x:v>
      </x:c>
      <x:c r="G147" s="14" t="n">
        <x:v>500</x:v>
      </x:c>
      <x:c r="H147" s="14" t="n">
        <x:v>48</x:v>
      </x:c>
      <x:c r="I147" s="14" t="n">
        <x:v>25</x:v>
      </x:c>
      <x:c r="J147" s="14" t="str">
        <x:v>SEALED</x:v>
      </x:c>
      <x:c r="K147" s="14" t="str">
        <x:v>OPEN</x:v>
      </x:c>
    </x:row>
    <x:row r="148">
      <x:c r="A148" s="15" t="str">
        <x:v>MC-144</x:v>
      </x:c>
      <x:c r="B148" s="15" t="str">
        <x:v>PGR-48</x:v>
      </x:c>
      <x:c r="C148" s="15" t="str">
        <x:v>AMR-48</x:v>
      </x:c>
      <x:c r="D148" s="15" t="str">
        <x:v>DISPERSED</x:v>
      </x:c>
      <x:c r="E148" s="15" t="str">
        <x:v>Compound loss</x:v>
      </x:c>
      <x:c r="F148" s="15" t="n">
        <x:v>4</x:v>
      </x:c>
      <x:c r="G148" s="15" t="n">
        <x:v>500</x:v>
      </x:c>
      <x:c r="H148" s="15" t="n">
        <x:v>48</x:v>
      </x:c>
      <x:c r="I148" s="15" t="n">
        <x:v>25</x:v>
      </x:c>
      <x:c r="J148" s="15" t="str">
        <x:v>SEALED</x:v>
      </x:c>
      <x:c r="K148" s="15" t="str">
        <x:v>OPEN</x:v>
      </x:c>
    </x:row>
    <x:row r="149">
      <x:c r="A149" s="14" t="str">
        <x:v>MC-145</x:v>
      </x:c>
      <x:c r="B149" s="14" t="str">
        <x:v>PGR-48</x:v>
      </x:c>
      <x:c r="C149" s="14" t="str">
        <x:v>AMR-48</x:v>
      </x:c>
      <x:c r="D149" s="14" t="str">
        <x:v>COHERENT</x:v>
      </x:c>
      <x:c r="E149" s="14" t="str">
        <x:v>ER-09 anchor</x:v>
      </x:c>
      <x:c r="F149" s="14" t="n">
        <x:v>1</x:v>
      </x:c>
      <x:c r="G149" s="14" t="n">
        <x:v>500</x:v>
      </x:c>
      <x:c r="H149" s="14" t="n">
        <x:v>24</x:v>
      </x:c>
      <x:c r="I149" s="14" t="n">
        <x:v>6.25</x:v>
      </x:c>
      <x:c r="J149" s="14" t="str">
        <x:v>SEALED</x:v>
      </x:c>
      <x:c r="K149" s="14" t="str">
        <x:v>OPEN</x:v>
      </x:c>
    </x:row>
    <x:row r="150">
      <x:c r="A150" s="15" t="str">
        <x:v>MC-146</x:v>
      </x:c>
      <x:c r="B150" s="15" t="str">
        <x:v>PGR-48</x:v>
      </x:c>
      <x:c r="C150" s="15" t="str">
        <x:v>AMR-48</x:v>
      </x:c>
      <x:c r="D150" s="15" t="str">
        <x:v>COHERENT</x:v>
      </x:c>
      <x:c r="E150" s="15" t="str">
        <x:v>ER-09 anchor</x:v>
      </x:c>
      <x:c r="F150" s="15" t="n">
        <x:v>2</x:v>
      </x:c>
      <x:c r="G150" s="15" t="n">
        <x:v>500</x:v>
      </x:c>
      <x:c r="H150" s="15" t="n">
        <x:v>24</x:v>
      </x:c>
      <x:c r="I150" s="15" t="n">
        <x:v>6.25</x:v>
      </x:c>
      <x:c r="J150" s="15" t="str">
        <x:v>SEALED</x:v>
      </x:c>
      <x:c r="K150" s="15" t="str">
        <x:v>OPEN</x:v>
      </x:c>
    </x:row>
    <x:row r="151">
      <x:c r="A151" s="14" t="str">
        <x:v>MC-147</x:v>
      </x:c>
      <x:c r="B151" s="14" t="str">
        <x:v>PGR-48</x:v>
      </x:c>
      <x:c r="C151" s="14" t="str">
        <x:v>AMR-48</x:v>
      </x:c>
      <x:c r="D151" s="14" t="str">
        <x:v>COHERENT</x:v>
      </x:c>
      <x:c r="E151" s="14" t="str">
        <x:v>ER-09 anchor</x:v>
      </x:c>
      <x:c r="F151" s="14" t="n">
        <x:v>3</x:v>
      </x:c>
      <x:c r="G151" s="14" t="n">
        <x:v>500</x:v>
      </x:c>
      <x:c r="H151" s="14" t="n">
        <x:v>24</x:v>
      </x:c>
      <x:c r="I151" s="14" t="n">
        <x:v>6.25</x:v>
      </x:c>
      <x:c r="J151" s="14" t="str">
        <x:v>SEALED</x:v>
      </x:c>
      <x:c r="K151" s="14" t="str">
        <x:v>OPEN</x:v>
      </x:c>
    </x:row>
    <x:row r="152">
      <x:c r="A152" s="15" t="str">
        <x:v>MC-148</x:v>
      </x:c>
      <x:c r="B152" s="15" t="str">
        <x:v>PGR-48</x:v>
      </x:c>
      <x:c r="C152" s="15" t="str">
        <x:v>AMR-48</x:v>
      </x:c>
      <x:c r="D152" s="15" t="str">
        <x:v>COHERENT</x:v>
      </x:c>
      <x:c r="E152" s="15" t="str">
        <x:v>ER-09 anchor</x:v>
      </x:c>
      <x:c r="F152" s="15" t="n">
        <x:v>4</x:v>
      </x:c>
      <x:c r="G152" s="15" t="n">
        <x:v>500</x:v>
      </x:c>
      <x:c r="H152" s="15" t="n">
        <x:v>24</x:v>
      </x:c>
      <x:c r="I152" s="15" t="n">
        <x:v>6.25</x:v>
      </x:c>
      <x:c r="J152" s="15" t="str">
        <x:v>SEALED</x:v>
      </x:c>
      <x:c r="K152" s="15" t="str">
        <x:v>OPEN</x:v>
      </x:c>
    </x:row>
    <x:row r="153">
      <x:c r="A153" s="14" t="str">
        <x:v>MC-149</x:v>
      </x:c>
      <x:c r="B153" s="14" t="str">
        <x:v>PGR-48</x:v>
      </x:c>
      <x:c r="C153" s="14" t="str">
        <x:v>AMR-48</x:v>
      </x:c>
      <x:c r="D153" s="14" t="str">
        <x:v>COHERENT</x:v>
      </x:c>
      <x:c r="E153" s="14" t="str">
        <x:v>Expanded half-water</x:v>
      </x:c>
      <x:c r="F153" s="14" t="n">
        <x:v>1</x:v>
      </x:c>
      <x:c r="G153" s="14" t="n">
        <x:v>500</x:v>
      </x:c>
      <x:c r="H153" s="14" t="n">
        <x:v>24</x:v>
      </x:c>
      <x:c r="I153" s="14" t="n">
        <x:v>25</x:v>
      </x:c>
      <x:c r="J153" s="14" t="str">
        <x:v>SEALED</x:v>
      </x:c>
      <x:c r="K153" s="14" t="str">
        <x:v>OPEN</x:v>
      </x:c>
    </x:row>
    <x:row r="154">
      <x:c r="A154" s="15" t="str">
        <x:v>MC-150</x:v>
      </x:c>
      <x:c r="B154" s="15" t="str">
        <x:v>PGR-48</x:v>
      </x:c>
      <x:c r="C154" s="15" t="str">
        <x:v>AMR-48</x:v>
      </x:c>
      <x:c r="D154" s="15" t="str">
        <x:v>COHERENT</x:v>
      </x:c>
      <x:c r="E154" s="15" t="str">
        <x:v>Expanded half-water</x:v>
      </x:c>
      <x:c r="F154" s="15" t="n">
        <x:v>2</x:v>
      </x:c>
      <x:c r="G154" s="15" t="n">
        <x:v>500</x:v>
      </x:c>
      <x:c r="H154" s="15" t="n">
        <x:v>24</x:v>
      </x:c>
      <x:c r="I154" s="15" t="n">
        <x:v>25</x:v>
      </x:c>
      <x:c r="J154" s="15" t="str">
        <x:v>SEALED</x:v>
      </x:c>
      <x:c r="K154" s="15" t="str">
        <x:v>OPEN</x:v>
      </x:c>
    </x:row>
    <x:row r="155">
      <x:c r="A155" s="14" t="str">
        <x:v>MC-151</x:v>
      </x:c>
      <x:c r="B155" s="14" t="str">
        <x:v>PGR-48</x:v>
      </x:c>
      <x:c r="C155" s="14" t="str">
        <x:v>AMR-48</x:v>
      </x:c>
      <x:c r="D155" s="14" t="str">
        <x:v>COHERENT</x:v>
      </x:c>
      <x:c r="E155" s="14" t="str">
        <x:v>Expanded half-water</x:v>
      </x:c>
      <x:c r="F155" s="14" t="n">
        <x:v>3</x:v>
      </x:c>
      <x:c r="G155" s="14" t="n">
        <x:v>500</x:v>
      </x:c>
      <x:c r="H155" s="14" t="n">
        <x:v>24</x:v>
      </x:c>
      <x:c r="I155" s="14" t="n">
        <x:v>25</x:v>
      </x:c>
      <x:c r="J155" s="14" t="str">
        <x:v>SEALED</x:v>
      </x:c>
      <x:c r="K155" s="14" t="str">
        <x:v>OPEN</x:v>
      </x:c>
    </x:row>
    <x:row r="156">
      <x:c r="A156" s="15" t="str">
        <x:v>MC-152</x:v>
      </x:c>
      <x:c r="B156" s="15" t="str">
        <x:v>PGR-48</x:v>
      </x:c>
      <x:c r="C156" s="15" t="str">
        <x:v>AMR-48</x:v>
      </x:c>
      <x:c r="D156" s="15" t="str">
        <x:v>COHERENT</x:v>
      </x:c>
      <x:c r="E156" s="15" t="str">
        <x:v>Expanded half-water</x:v>
      </x:c>
      <x:c r="F156" s="15" t="n">
        <x:v>4</x:v>
      </x:c>
      <x:c r="G156" s="15" t="n">
        <x:v>500</x:v>
      </x:c>
      <x:c r="H156" s="15" t="n">
        <x:v>24</x:v>
      </x:c>
      <x:c r="I156" s="15" t="n">
        <x:v>25</x:v>
      </x:c>
      <x:c r="J156" s="15" t="str">
        <x:v>SEALED</x:v>
      </x:c>
      <x:c r="K156" s="15" t="str">
        <x:v>OPEN</x:v>
      </x:c>
    </x:row>
    <x:row r="157">
      <x:c r="A157" s="14" t="str">
        <x:v>MC-153</x:v>
      </x:c>
      <x:c r="B157" s="14" t="str">
        <x:v>PGR-48</x:v>
      </x:c>
      <x:c r="C157" s="14" t="str">
        <x:v>AMR-48</x:v>
      </x:c>
      <x:c r="D157" s="14" t="str">
        <x:v>COHERENT</x:v>
      </x:c>
      <x:c r="E157" s="14" t="str">
        <x:v>Exact casualty</x:v>
      </x:c>
      <x:c r="F157" s="14" t="n">
        <x:v>1</x:v>
      </x:c>
      <x:c r="G157" s="14" t="n">
        <x:v>500</x:v>
      </x:c>
      <x:c r="H157" s="14" t="n">
        <x:v>48</x:v>
      </x:c>
      <x:c r="I157" s="14" t="n">
        <x:v>25</x:v>
      </x:c>
      <x:c r="J157" s="14" t="str">
        <x:v>SEALED</x:v>
      </x:c>
      <x:c r="K157" s="14" t="str">
        <x:v>OPEN</x:v>
      </x:c>
    </x:row>
    <x:row r="158">
      <x:c r="A158" s="15" t="str">
        <x:v>MC-154</x:v>
      </x:c>
      <x:c r="B158" s="15" t="str">
        <x:v>PGR-48</x:v>
      </x:c>
      <x:c r="C158" s="15" t="str">
        <x:v>AMR-48</x:v>
      </x:c>
      <x:c r="D158" s="15" t="str">
        <x:v>COHERENT</x:v>
      </x:c>
      <x:c r="E158" s="15" t="str">
        <x:v>Exact casualty</x:v>
      </x:c>
      <x:c r="F158" s="15" t="n">
        <x:v>2</x:v>
      </x:c>
      <x:c r="G158" s="15" t="n">
        <x:v>500</x:v>
      </x:c>
      <x:c r="H158" s="15" t="n">
        <x:v>48</x:v>
      </x:c>
      <x:c r="I158" s="15" t="n">
        <x:v>25</x:v>
      </x:c>
      <x:c r="J158" s="15" t="str">
        <x:v>SEALED</x:v>
      </x:c>
      <x:c r="K158" s="15" t="str">
        <x:v>OPEN</x:v>
      </x:c>
    </x:row>
    <x:row r="159">
      <x:c r="A159" s="14" t="str">
        <x:v>MC-155</x:v>
      </x:c>
      <x:c r="B159" s="14" t="str">
        <x:v>PGR-48</x:v>
      </x:c>
      <x:c r="C159" s="14" t="str">
        <x:v>AMR-48</x:v>
      </x:c>
      <x:c r="D159" s="14" t="str">
        <x:v>COHERENT</x:v>
      </x:c>
      <x:c r="E159" s="14" t="str">
        <x:v>Exact casualty</x:v>
      </x:c>
      <x:c r="F159" s="14" t="n">
        <x:v>3</x:v>
      </x:c>
      <x:c r="G159" s="14" t="n">
        <x:v>500</x:v>
      </x:c>
      <x:c r="H159" s="14" t="n">
        <x:v>48</x:v>
      </x:c>
      <x:c r="I159" s="14" t="n">
        <x:v>25</x:v>
      </x:c>
      <x:c r="J159" s="14" t="str">
        <x:v>SEALED</x:v>
      </x:c>
      <x:c r="K159" s="14" t="str">
        <x:v>OPEN</x:v>
      </x:c>
    </x:row>
    <x:row r="160">
      <x:c r="A160" s="15" t="str">
        <x:v>MC-156</x:v>
      </x:c>
      <x:c r="B160" s="15" t="str">
        <x:v>PGR-48</x:v>
      </x:c>
      <x:c r="C160" s="15" t="str">
        <x:v>AMR-48</x:v>
      </x:c>
      <x:c r="D160" s="15" t="str">
        <x:v>COHERENT</x:v>
      </x:c>
      <x:c r="E160" s="15" t="str">
        <x:v>Exact casualty</x:v>
      </x:c>
      <x:c r="F160" s="15" t="n">
        <x:v>4</x:v>
      </x:c>
      <x:c r="G160" s="15" t="n">
        <x:v>500</x:v>
      </x:c>
      <x:c r="H160" s="15" t="n">
        <x:v>48</x:v>
      </x:c>
      <x:c r="I160" s="15" t="n">
        <x:v>25</x:v>
      </x:c>
      <x:c r="J160" s="15" t="str">
        <x:v>SEALED</x:v>
      </x:c>
      <x:c r="K160" s="15" t="str">
        <x:v>OPEN</x:v>
      </x:c>
    </x:row>
    <x:row r="161">
      <x:c r="A161" s="14" t="str">
        <x:v>MC-157</x:v>
      </x:c>
      <x:c r="B161" s="14" t="str">
        <x:v>PGR-48</x:v>
      </x:c>
      <x:c r="C161" s="14" t="str">
        <x:v>AMR-48</x:v>
      </x:c>
      <x:c r="D161" s="14" t="str">
        <x:v>COHERENT</x:v>
      </x:c>
      <x:c r="E161" s="14" t="str">
        <x:v>Compound loss</x:v>
      </x:c>
      <x:c r="F161" s="14" t="n">
        <x:v>1</x:v>
      </x:c>
      <x:c r="G161" s="14" t="n">
        <x:v>500</x:v>
      </x:c>
      <x:c r="H161" s="14" t="n">
        <x:v>48</x:v>
      </x:c>
      <x:c r="I161" s="14" t="n">
        <x:v>25</x:v>
      </x:c>
      <x:c r="J161" s="14" t="str">
        <x:v>SEALED</x:v>
      </x:c>
      <x:c r="K161" s="14" t="str">
        <x:v>OPEN</x:v>
      </x:c>
    </x:row>
    <x:row r="162">
      <x:c r="A162" s="15" t="str">
        <x:v>MC-158</x:v>
      </x:c>
      <x:c r="B162" s="15" t="str">
        <x:v>PGR-48</x:v>
      </x:c>
      <x:c r="C162" s="15" t="str">
        <x:v>AMR-48</x:v>
      </x:c>
      <x:c r="D162" s="15" t="str">
        <x:v>COHERENT</x:v>
      </x:c>
      <x:c r="E162" s="15" t="str">
        <x:v>Compound loss</x:v>
      </x:c>
      <x:c r="F162" s="15" t="n">
        <x:v>2</x:v>
      </x:c>
      <x:c r="G162" s="15" t="n">
        <x:v>500</x:v>
      </x:c>
      <x:c r="H162" s="15" t="n">
        <x:v>48</x:v>
      </x:c>
      <x:c r="I162" s="15" t="n">
        <x:v>25</x:v>
      </x:c>
      <x:c r="J162" s="15" t="str">
        <x:v>SEALED</x:v>
      </x:c>
      <x:c r="K162" s="15" t="str">
        <x:v>OPEN</x:v>
      </x:c>
    </x:row>
    <x:row r="163">
      <x:c r="A163" s="14" t="str">
        <x:v>MC-159</x:v>
      </x:c>
      <x:c r="B163" s="14" t="str">
        <x:v>PGR-48</x:v>
      </x:c>
      <x:c r="C163" s="14" t="str">
        <x:v>AMR-48</x:v>
      </x:c>
      <x:c r="D163" s="14" t="str">
        <x:v>COHERENT</x:v>
      </x:c>
      <x:c r="E163" s="14" t="str">
        <x:v>Compound loss</x:v>
      </x:c>
      <x:c r="F163" s="14" t="n">
        <x:v>3</x:v>
      </x:c>
      <x:c r="G163" s="14" t="n">
        <x:v>500</x:v>
      </x:c>
      <x:c r="H163" s="14" t="n">
        <x:v>48</x:v>
      </x:c>
      <x:c r="I163" s="14" t="n">
        <x:v>25</x:v>
      </x:c>
      <x:c r="J163" s="14" t="str">
        <x:v>SEALED</x:v>
      </x:c>
      <x:c r="K163" s="14" t="str">
        <x:v>OPEN</x:v>
      </x:c>
    </x:row>
    <x:row r="164">
      <x:c r="A164" s="15" t="str">
        <x:v>MC-160</x:v>
      </x:c>
      <x:c r="B164" s="15" t="str">
        <x:v>PGR-48</x:v>
      </x:c>
      <x:c r="C164" s="15" t="str">
        <x:v>AMR-48</x:v>
      </x:c>
      <x:c r="D164" s="15" t="str">
        <x:v>COHERENT</x:v>
      </x:c>
      <x:c r="E164" s="15" t="str">
        <x:v>Compound loss</x:v>
      </x:c>
      <x:c r="F164" s="15" t="n">
        <x:v>4</x:v>
      </x:c>
      <x:c r="G164" s="15" t="n">
        <x:v>500</x:v>
      </x:c>
      <x:c r="H164" s="15" t="n">
        <x:v>48</x:v>
      </x:c>
      <x:c r="I164" s="15" t="n">
        <x:v>25</x:v>
      </x:c>
      <x:c r="J164" s="15" t="str">
        <x:v>SEALED</x:v>
      </x:c>
      <x:c r="K164" s="15" t="str">
        <x:v>OPEN</x:v>
      </x:c>
    </x:row>
    <x:row r="165">
      <x:c r="A165" s="14" t="str">
        <x:v>MC-161</x:v>
      </x:c>
      <x:c r="B165" s="14" t="str">
        <x:v>SPS-48</x:v>
      </x:c>
      <x:c r="C165" s="14" t="str">
        <x:v>AMR-48</x:v>
      </x:c>
      <x:c r="D165" s="14" t="str">
        <x:v>DISPERSED</x:v>
      </x:c>
      <x:c r="E165" s="14" t="str">
        <x:v>ER-09 anchor</x:v>
      </x:c>
      <x:c r="F165" s="14" t="n">
        <x:v>1</x:v>
      </x:c>
      <x:c r="G165" s="14" t="n">
        <x:v>500</x:v>
      </x:c>
      <x:c r="H165" s="14" t="n">
        <x:v>24</x:v>
      </x:c>
      <x:c r="I165" s="14" t="n">
        <x:v>6.25</x:v>
      </x:c>
      <x:c r="J165" s="14" t="str">
        <x:v>SEALED</x:v>
      </x:c>
      <x:c r="K165" s="14" t="str">
        <x:v>OPEN</x:v>
      </x:c>
    </x:row>
    <x:row r="166">
      <x:c r="A166" s="15" t="str">
        <x:v>MC-162</x:v>
      </x:c>
      <x:c r="B166" s="15" t="str">
        <x:v>SPS-48</x:v>
      </x:c>
      <x:c r="C166" s="15" t="str">
        <x:v>AMR-48</x:v>
      </x:c>
      <x:c r="D166" s="15" t="str">
        <x:v>DISPERSED</x:v>
      </x:c>
      <x:c r="E166" s="15" t="str">
        <x:v>ER-09 anchor</x:v>
      </x:c>
      <x:c r="F166" s="15" t="n">
        <x:v>2</x:v>
      </x:c>
      <x:c r="G166" s="15" t="n">
        <x:v>500</x:v>
      </x:c>
      <x:c r="H166" s="15" t="n">
        <x:v>24</x:v>
      </x:c>
      <x:c r="I166" s="15" t="n">
        <x:v>6.25</x:v>
      </x:c>
      <x:c r="J166" s="15" t="str">
        <x:v>SEALED</x:v>
      </x:c>
      <x:c r="K166" s="15" t="str">
        <x:v>OPEN</x:v>
      </x:c>
    </x:row>
    <x:row r="167">
      <x:c r="A167" s="14" t="str">
        <x:v>MC-163</x:v>
      </x:c>
      <x:c r="B167" s="14" t="str">
        <x:v>SPS-48</x:v>
      </x:c>
      <x:c r="C167" s="14" t="str">
        <x:v>AMR-48</x:v>
      </x:c>
      <x:c r="D167" s="14" t="str">
        <x:v>DISPERSED</x:v>
      </x:c>
      <x:c r="E167" s="14" t="str">
        <x:v>ER-09 anchor</x:v>
      </x:c>
      <x:c r="F167" s="14" t="n">
        <x:v>3</x:v>
      </x:c>
      <x:c r="G167" s="14" t="n">
        <x:v>500</x:v>
      </x:c>
      <x:c r="H167" s="14" t="n">
        <x:v>24</x:v>
      </x:c>
      <x:c r="I167" s="14" t="n">
        <x:v>6.25</x:v>
      </x:c>
      <x:c r="J167" s="14" t="str">
        <x:v>SEALED</x:v>
      </x:c>
      <x:c r="K167" s="14" t="str">
        <x:v>OPEN</x:v>
      </x:c>
    </x:row>
    <x:row r="168">
      <x:c r="A168" s="15" t="str">
        <x:v>MC-164</x:v>
      </x:c>
      <x:c r="B168" s="15" t="str">
        <x:v>SPS-48</x:v>
      </x:c>
      <x:c r="C168" s="15" t="str">
        <x:v>AMR-48</x:v>
      </x:c>
      <x:c r="D168" s="15" t="str">
        <x:v>DISPERSED</x:v>
      </x:c>
      <x:c r="E168" s="15" t="str">
        <x:v>ER-09 anchor</x:v>
      </x:c>
      <x:c r="F168" s="15" t="n">
        <x:v>4</x:v>
      </x:c>
      <x:c r="G168" s="15" t="n">
        <x:v>500</x:v>
      </x:c>
      <x:c r="H168" s="15" t="n">
        <x:v>24</x:v>
      </x:c>
      <x:c r="I168" s="15" t="n">
        <x:v>6.25</x:v>
      </x:c>
      <x:c r="J168" s="15" t="str">
        <x:v>SEALED</x:v>
      </x:c>
      <x:c r="K168" s="15" t="str">
        <x:v>OPEN</x:v>
      </x:c>
    </x:row>
    <x:row r="169">
      <x:c r="A169" s="14" t="str">
        <x:v>MC-165</x:v>
      </x:c>
      <x:c r="B169" s="14" t="str">
        <x:v>SPS-48</x:v>
      </x:c>
      <x:c r="C169" s="14" t="str">
        <x:v>AMR-48</x:v>
      </x:c>
      <x:c r="D169" s="14" t="str">
        <x:v>DISPERSED</x:v>
      </x:c>
      <x:c r="E169" s="14" t="str">
        <x:v>Expanded half-water</x:v>
      </x:c>
      <x:c r="F169" s="14" t="n">
        <x:v>1</x:v>
      </x:c>
      <x:c r="G169" s="14" t="n">
        <x:v>500</x:v>
      </x:c>
      <x:c r="H169" s="14" t="n">
        <x:v>24</x:v>
      </x:c>
      <x:c r="I169" s="14" t="n">
        <x:v>25</x:v>
      </x:c>
      <x:c r="J169" s="14" t="str">
        <x:v>SEALED</x:v>
      </x:c>
      <x:c r="K169" s="14" t="str">
        <x:v>OPEN</x:v>
      </x:c>
    </x:row>
    <x:row r="170">
      <x:c r="A170" s="15" t="str">
        <x:v>MC-166</x:v>
      </x:c>
      <x:c r="B170" s="15" t="str">
        <x:v>SPS-48</x:v>
      </x:c>
      <x:c r="C170" s="15" t="str">
        <x:v>AMR-48</x:v>
      </x:c>
      <x:c r="D170" s="15" t="str">
        <x:v>DISPERSED</x:v>
      </x:c>
      <x:c r="E170" s="15" t="str">
        <x:v>Expanded half-water</x:v>
      </x:c>
      <x:c r="F170" s="15" t="n">
        <x:v>2</x:v>
      </x:c>
      <x:c r="G170" s="15" t="n">
        <x:v>500</x:v>
      </x:c>
      <x:c r="H170" s="15" t="n">
        <x:v>24</x:v>
      </x:c>
      <x:c r="I170" s="15" t="n">
        <x:v>25</x:v>
      </x:c>
      <x:c r="J170" s="15" t="str">
        <x:v>SEALED</x:v>
      </x:c>
      <x:c r="K170" s="15" t="str">
        <x:v>OPEN</x:v>
      </x:c>
    </x:row>
    <x:row r="171">
      <x:c r="A171" s="14" t="str">
        <x:v>MC-167</x:v>
      </x:c>
      <x:c r="B171" s="14" t="str">
        <x:v>SPS-48</x:v>
      </x:c>
      <x:c r="C171" s="14" t="str">
        <x:v>AMR-48</x:v>
      </x:c>
      <x:c r="D171" s="14" t="str">
        <x:v>DISPERSED</x:v>
      </x:c>
      <x:c r="E171" s="14" t="str">
        <x:v>Expanded half-water</x:v>
      </x:c>
      <x:c r="F171" s="14" t="n">
        <x:v>3</x:v>
      </x:c>
      <x:c r="G171" s="14" t="n">
        <x:v>500</x:v>
      </x:c>
      <x:c r="H171" s="14" t="n">
        <x:v>24</x:v>
      </x:c>
      <x:c r="I171" s="14" t="n">
        <x:v>25</x:v>
      </x:c>
      <x:c r="J171" s="14" t="str">
        <x:v>SEALED</x:v>
      </x:c>
      <x:c r="K171" s="14" t="str">
        <x:v>OPEN</x:v>
      </x:c>
    </x:row>
    <x:row r="172">
      <x:c r="A172" s="15" t="str">
        <x:v>MC-168</x:v>
      </x:c>
      <x:c r="B172" s="15" t="str">
        <x:v>SPS-48</x:v>
      </x:c>
      <x:c r="C172" s="15" t="str">
        <x:v>AMR-48</x:v>
      </x:c>
      <x:c r="D172" s="15" t="str">
        <x:v>DISPERSED</x:v>
      </x:c>
      <x:c r="E172" s="15" t="str">
        <x:v>Expanded half-water</x:v>
      </x:c>
      <x:c r="F172" s="15" t="n">
        <x:v>4</x:v>
      </x:c>
      <x:c r="G172" s="15" t="n">
        <x:v>500</x:v>
      </x:c>
      <x:c r="H172" s="15" t="n">
        <x:v>24</x:v>
      </x:c>
      <x:c r="I172" s="15" t="n">
        <x:v>25</x:v>
      </x:c>
      <x:c r="J172" s="15" t="str">
        <x:v>SEALED</x:v>
      </x:c>
      <x:c r="K172" s="15" t="str">
        <x:v>OPEN</x:v>
      </x:c>
    </x:row>
    <x:row r="173">
      <x:c r="A173" s="14" t="str">
        <x:v>MC-169</x:v>
      </x:c>
      <x:c r="B173" s="14" t="str">
        <x:v>SPS-48</x:v>
      </x:c>
      <x:c r="C173" s="14" t="str">
        <x:v>AMR-48</x:v>
      </x:c>
      <x:c r="D173" s="14" t="str">
        <x:v>DISPERSED</x:v>
      </x:c>
      <x:c r="E173" s="14" t="str">
        <x:v>Exact casualty</x:v>
      </x:c>
      <x:c r="F173" s="14" t="n">
        <x:v>1</x:v>
      </x:c>
      <x:c r="G173" s="14" t="n">
        <x:v>500</x:v>
      </x:c>
      <x:c r="H173" s="14" t="n">
        <x:v>48</x:v>
      </x:c>
      <x:c r="I173" s="14" t="n">
        <x:v>25</x:v>
      </x:c>
      <x:c r="J173" s="14" t="str">
        <x:v>SEALED</x:v>
      </x:c>
      <x:c r="K173" s="14" t="str">
        <x:v>OPEN</x:v>
      </x:c>
    </x:row>
    <x:row r="174">
      <x:c r="A174" s="15" t="str">
        <x:v>MC-170</x:v>
      </x:c>
      <x:c r="B174" s="15" t="str">
        <x:v>SPS-48</x:v>
      </x:c>
      <x:c r="C174" s="15" t="str">
        <x:v>AMR-48</x:v>
      </x:c>
      <x:c r="D174" s="15" t="str">
        <x:v>DISPERSED</x:v>
      </x:c>
      <x:c r="E174" s="15" t="str">
        <x:v>Exact casualty</x:v>
      </x:c>
      <x:c r="F174" s="15" t="n">
        <x:v>2</x:v>
      </x:c>
      <x:c r="G174" s="15" t="n">
        <x:v>500</x:v>
      </x:c>
      <x:c r="H174" s="15" t="n">
        <x:v>48</x:v>
      </x:c>
      <x:c r="I174" s="15" t="n">
        <x:v>25</x:v>
      </x:c>
      <x:c r="J174" s="15" t="str">
        <x:v>SEALED</x:v>
      </x:c>
      <x:c r="K174" s="15" t="str">
        <x:v>OPEN</x:v>
      </x:c>
    </x:row>
    <x:row r="175">
      <x:c r="A175" s="14" t="str">
        <x:v>MC-171</x:v>
      </x:c>
      <x:c r="B175" s="14" t="str">
        <x:v>SPS-48</x:v>
      </x:c>
      <x:c r="C175" s="14" t="str">
        <x:v>AMR-48</x:v>
      </x:c>
      <x:c r="D175" s="14" t="str">
        <x:v>DISPERSED</x:v>
      </x:c>
      <x:c r="E175" s="14" t="str">
        <x:v>Exact casualty</x:v>
      </x:c>
      <x:c r="F175" s="14" t="n">
        <x:v>3</x:v>
      </x:c>
      <x:c r="G175" s="14" t="n">
        <x:v>500</x:v>
      </x:c>
      <x:c r="H175" s="14" t="n">
        <x:v>48</x:v>
      </x:c>
      <x:c r="I175" s="14" t="n">
        <x:v>25</x:v>
      </x:c>
      <x:c r="J175" s="14" t="str">
        <x:v>SEALED</x:v>
      </x:c>
      <x:c r="K175" s="14" t="str">
        <x:v>OPEN</x:v>
      </x:c>
    </x:row>
    <x:row r="176">
      <x:c r="A176" s="15" t="str">
        <x:v>MC-172</x:v>
      </x:c>
      <x:c r="B176" s="15" t="str">
        <x:v>SPS-48</x:v>
      </x:c>
      <x:c r="C176" s="15" t="str">
        <x:v>AMR-48</x:v>
      </x:c>
      <x:c r="D176" s="15" t="str">
        <x:v>DISPERSED</x:v>
      </x:c>
      <x:c r="E176" s="15" t="str">
        <x:v>Exact casualty</x:v>
      </x:c>
      <x:c r="F176" s="15" t="n">
        <x:v>4</x:v>
      </x:c>
      <x:c r="G176" s="15" t="n">
        <x:v>500</x:v>
      </x:c>
      <x:c r="H176" s="15" t="n">
        <x:v>48</x:v>
      </x:c>
      <x:c r="I176" s="15" t="n">
        <x:v>25</x:v>
      </x:c>
      <x:c r="J176" s="15" t="str">
        <x:v>SEALED</x:v>
      </x:c>
      <x:c r="K176" s="15" t="str">
        <x:v>OPEN</x:v>
      </x:c>
    </x:row>
    <x:row r="177">
      <x:c r="A177" s="14" t="str">
        <x:v>MC-173</x:v>
      </x:c>
      <x:c r="B177" s="14" t="str">
        <x:v>SPS-48</x:v>
      </x:c>
      <x:c r="C177" s="14" t="str">
        <x:v>AMR-48</x:v>
      </x:c>
      <x:c r="D177" s="14" t="str">
        <x:v>DISPERSED</x:v>
      </x:c>
      <x:c r="E177" s="14" t="str">
        <x:v>Compound loss</x:v>
      </x:c>
      <x:c r="F177" s="14" t="n">
        <x:v>1</x:v>
      </x:c>
      <x:c r="G177" s="14" t="n">
        <x:v>500</x:v>
      </x:c>
      <x:c r="H177" s="14" t="n">
        <x:v>48</x:v>
      </x:c>
      <x:c r="I177" s="14" t="n">
        <x:v>25</x:v>
      </x:c>
      <x:c r="J177" s="14" t="str">
        <x:v>SEALED</x:v>
      </x:c>
      <x:c r="K177" s="14" t="str">
        <x:v>OPEN</x:v>
      </x:c>
    </x:row>
    <x:row r="178">
      <x:c r="A178" s="15" t="str">
        <x:v>MC-174</x:v>
      </x:c>
      <x:c r="B178" s="15" t="str">
        <x:v>SPS-48</x:v>
      </x:c>
      <x:c r="C178" s="15" t="str">
        <x:v>AMR-48</x:v>
      </x:c>
      <x:c r="D178" s="15" t="str">
        <x:v>DISPERSED</x:v>
      </x:c>
      <x:c r="E178" s="15" t="str">
        <x:v>Compound loss</x:v>
      </x:c>
      <x:c r="F178" s="15" t="n">
        <x:v>2</x:v>
      </x:c>
      <x:c r="G178" s="15" t="n">
        <x:v>500</x:v>
      </x:c>
      <x:c r="H178" s="15" t="n">
        <x:v>48</x:v>
      </x:c>
      <x:c r="I178" s="15" t="n">
        <x:v>25</x:v>
      </x:c>
      <x:c r="J178" s="15" t="str">
        <x:v>SEALED</x:v>
      </x:c>
      <x:c r="K178" s="15" t="str">
        <x:v>OPEN</x:v>
      </x:c>
    </x:row>
    <x:row r="179">
      <x:c r="A179" s="14" t="str">
        <x:v>MC-175</x:v>
      </x:c>
      <x:c r="B179" s="14" t="str">
        <x:v>SPS-48</x:v>
      </x:c>
      <x:c r="C179" s="14" t="str">
        <x:v>AMR-48</x:v>
      </x:c>
      <x:c r="D179" s="14" t="str">
        <x:v>DISPERSED</x:v>
      </x:c>
      <x:c r="E179" s="14" t="str">
        <x:v>Compound loss</x:v>
      </x:c>
      <x:c r="F179" s="14" t="n">
        <x:v>3</x:v>
      </x:c>
      <x:c r="G179" s="14" t="n">
        <x:v>500</x:v>
      </x:c>
      <x:c r="H179" s="14" t="n">
        <x:v>48</x:v>
      </x:c>
      <x:c r="I179" s="14" t="n">
        <x:v>25</x:v>
      </x:c>
      <x:c r="J179" s="14" t="str">
        <x:v>SEALED</x:v>
      </x:c>
      <x:c r="K179" s="14" t="str">
        <x:v>OPEN</x:v>
      </x:c>
    </x:row>
    <x:row r="180">
      <x:c r="A180" s="15" t="str">
        <x:v>MC-176</x:v>
      </x:c>
      <x:c r="B180" s="15" t="str">
        <x:v>SPS-48</x:v>
      </x:c>
      <x:c r="C180" s="15" t="str">
        <x:v>AMR-48</x:v>
      </x:c>
      <x:c r="D180" s="15" t="str">
        <x:v>DISPERSED</x:v>
      </x:c>
      <x:c r="E180" s="15" t="str">
        <x:v>Compound loss</x:v>
      </x:c>
      <x:c r="F180" s="15" t="n">
        <x:v>4</x:v>
      </x:c>
      <x:c r="G180" s="15" t="n">
        <x:v>500</x:v>
      </x:c>
      <x:c r="H180" s="15" t="n">
        <x:v>48</x:v>
      </x:c>
      <x:c r="I180" s="15" t="n">
        <x:v>25</x:v>
      </x:c>
      <x:c r="J180" s="15" t="str">
        <x:v>SEALED</x:v>
      </x:c>
      <x:c r="K180" s="15" t="str">
        <x:v>OPEN</x:v>
      </x:c>
    </x:row>
    <x:row r="181">
      <x:c r="A181" s="14" t="str">
        <x:v>MC-177</x:v>
      </x:c>
      <x:c r="B181" s="14" t="str">
        <x:v>SPS-48</x:v>
      </x:c>
      <x:c r="C181" s="14" t="str">
        <x:v>AMR-48</x:v>
      </x:c>
      <x:c r="D181" s="14" t="str">
        <x:v>COHERENT</x:v>
      </x:c>
      <x:c r="E181" s="14" t="str">
        <x:v>ER-09 anchor</x:v>
      </x:c>
      <x:c r="F181" s="14" t="n">
        <x:v>1</x:v>
      </x:c>
      <x:c r="G181" s="14" t="n">
        <x:v>500</x:v>
      </x:c>
      <x:c r="H181" s="14" t="n">
        <x:v>24</x:v>
      </x:c>
      <x:c r="I181" s="14" t="n">
        <x:v>6.25</x:v>
      </x:c>
      <x:c r="J181" s="14" t="str">
        <x:v>SEALED</x:v>
      </x:c>
      <x:c r="K181" s="14" t="str">
        <x:v>OPEN</x:v>
      </x:c>
    </x:row>
    <x:row r="182">
      <x:c r="A182" s="15" t="str">
        <x:v>MC-178</x:v>
      </x:c>
      <x:c r="B182" s="15" t="str">
        <x:v>SPS-48</x:v>
      </x:c>
      <x:c r="C182" s="15" t="str">
        <x:v>AMR-48</x:v>
      </x:c>
      <x:c r="D182" s="15" t="str">
        <x:v>COHERENT</x:v>
      </x:c>
      <x:c r="E182" s="15" t="str">
        <x:v>ER-09 anchor</x:v>
      </x:c>
      <x:c r="F182" s="15" t="n">
        <x:v>2</x:v>
      </x:c>
      <x:c r="G182" s="15" t="n">
        <x:v>500</x:v>
      </x:c>
      <x:c r="H182" s="15" t="n">
        <x:v>24</x:v>
      </x:c>
      <x:c r="I182" s="15" t="n">
        <x:v>6.25</x:v>
      </x:c>
      <x:c r="J182" s="15" t="str">
        <x:v>SEALED</x:v>
      </x:c>
      <x:c r="K182" s="15" t="str">
        <x:v>OPEN</x:v>
      </x:c>
    </x:row>
    <x:row r="183">
      <x:c r="A183" s="14" t="str">
        <x:v>MC-179</x:v>
      </x:c>
      <x:c r="B183" s="14" t="str">
        <x:v>SPS-48</x:v>
      </x:c>
      <x:c r="C183" s="14" t="str">
        <x:v>AMR-48</x:v>
      </x:c>
      <x:c r="D183" s="14" t="str">
        <x:v>COHERENT</x:v>
      </x:c>
      <x:c r="E183" s="14" t="str">
        <x:v>ER-09 anchor</x:v>
      </x:c>
      <x:c r="F183" s="14" t="n">
        <x:v>3</x:v>
      </x:c>
      <x:c r="G183" s="14" t="n">
        <x:v>500</x:v>
      </x:c>
      <x:c r="H183" s="14" t="n">
        <x:v>24</x:v>
      </x:c>
      <x:c r="I183" s="14" t="n">
        <x:v>6.25</x:v>
      </x:c>
      <x:c r="J183" s="14" t="str">
        <x:v>SEALED</x:v>
      </x:c>
      <x:c r="K183" s="14" t="str">
        <x:v>OPEN</x:v>
      </x:c>
    </x:row>
    <x:row r="184">
      <x:c r="A184" s="15" t="str">
        <x:v>MC-180</x:v>
      </x:c>
      <x:c r="B184" s="15" t="str">
        <x:v>SPS-48</x:v>
      </x:c>
      <x:c r="C184" s="15" t="str">
        <x:v>AMR-48</x:v>
      </x:c>
      <x:c r="D184" s="15" t="str">
        <x:v>COHERENT</x:v>
      </x:c>
      <x:c r="E184" s="15" t="str">
        <x:v>ER-09 anchor</x:v>
      </x:c>
      <x:c r="F184" s="15" t="n">
        <x:v>4</x:v>
      </x:c>
      <x:c r="G184" s="15" t="n">
        <x:v>500</x:v>
      </x:c>
      <x:c r="H184" s="15" t="n">
        <x:v>24</x:v>
      </x:c>
      <x:c r="I184" s="15" t="n">
        <x:v>6.25</x:v>
      </x:c>
      <x:c r="J184" s="15" t="str">
        <x:v>SEALED</x:v>
      </x:c>
      <x:c r="K184" s="15" t="str">
        <x:v>OPEN</x:v>
      </x:c>
    </x:row>
    <x:row r="185">
      <x:c r="A185" s="14" t="str">
        <x:v>MC-181</x:v>
      </x:c>
      <x:c r="B185" s="14" t="str">
        <x:v>SPS-48</x:v>
      </x:c>
      <x:c r="C185" s="14" t="str">
        <x:v>AMR-48</x:v>
      </x:c>
      <x:c r="D185" s="14" t="str">
        <x:v>COHERENT</x:v>
      </x:c>
      <x:c r="E185" s="14" t="str">
        <x:v>Expanded half-water</x:v>
      </x:c>
      <x:c r="F185" s="14" t="n">
        <x:v>1</x:v>
      </x:c>
      <x:c r="G185" s="14" t="n">
        <x:v>500</x:v>
      </x:c>
      <x:c r="H185" s="14" t="n">
        <x:v>24</x:v>
      </x:c>
      <x:c r="I185" s="14" t="n">
        <x:v>25</x:v>
      </x:c>
      <x:c r="J185" s="14" t="str">
        <x:v>SEALED</x:v>
      </x:c>
      <x:c r="K185" s="14" t="str">
        <x:v>OPEN</x:v>
      </x:c>
    </x:row>
    <x:row r="186">
      <x:c r="A186" s="15" t="str">
        <x:v>MC-182</x:v>
      </x:c>
      <x:c r="B186" s="15" t="str">
        <x:v>SPS-48</x:v>
      </x:c>
      <x:c r="C186" s="15" t="str">
        <x:v>AMR-48</x:v>
      </x:c>
      <x:c r="D186" s="15" t="str">
        <x:v>COHERENT</x:v>
      </x:c>
      <x:c r="E186" s="15" t="str">
        <x:v>Expanded half-water</x:v>
      </x:c>
      <x:c r="F186" s="15" t="n">
        <x:v>2</x:v>
      </x:c>
      <x:c r="G186" s="15" t="n">
        <x:v>500</x:v>
      </x:c>
      <x:c r="H186" s="15" t="n">
        <x:v>24</x:v>
      </x:c>
      <x:c r="I186" s="15" t="n">
        <x:v>25</x:v>
      </x:c>
      <x:c r="J186" s="15" t="str">
        <x:v>SEALED</x:v>
      </x:c>
      <x:c r="K186" s="15" t="str">
        <x:v>OPEN</x:v>
      </x:c>
    </x:row>
    <x:row r="187">
      <x:c r="A187" s="14" t="str">
        <x:v>MC-183</x:v>
      </x:c>
      <x:c r="B187" s="14" t="str">
        <x:v>SPS-48</x:v>
      </x:c>
      <x:c r="C187" s="14" t="str">
        <x:v>AMR-48</x:v>
      </x:c>
      <x:c r="D187" s="14" t="str">
        <x:v>COHERENT</x:v>
      </x:c>
      <x:c r="E187" s="14" t="str">
        <x:v>Expanded half-water</x:v>
      </x:c>
      <x:c r="F187" s="14" t="n">
        <x:v>3</x:v>
      </x:c>
      <x:c r="G187" s="14" t="n">
        <x:v>500</x:v>
      </x:c>
      <x:c r="H187" s="14" t="n">
        <x:v>24</x:v>
      </x:c>
      <x:c r="I187" s="14" t="n">
        <x:v>25</x:v>
      </x:c>
      <x:c r="J187" s="14" t="str">
        <x:v>SEALED</x:v>
      </x:c>
      <x:c r="K187" s="14" t="str">
        <x:v>OPEN</x:v>
      </x:c>
    </x:row>
    <x:row r="188">
      <x:c r="A188" s="15" t="str">
        <x:v>MC-184</x:v>
      </x:c>
      <x:c r="B188" s="15" t="str">
        <x:v>SPS-48</x:v>
      </x:c>
      <x:c r="C188" s="15" t="str">
        <x:v>AMR-48</x:v>
      </x:c>
      <x:c r="D188" s="15" t="str">
        <x:v>COHERENT</x:v>
      </x:c>
      <x:c r="E188" s="15" t="str">
        <x:v>Expanded half-water</x:v>
      </x:c>
      <x:c r="F188" s="15" t="n">
        <x:v>4</x:v>
      </x:c>
      <x:c r="G188" s="15" t="n">
        <x:v>500</x:v>
      </x:c>
      <x:c r="H188" s="15" t="n">
        <x:v>24</x:v>
      </x:c>
      <x:c r="I188" s="15" t="n">
        <x:v>25</x:v>
      </x:c>
      <x:c r="J188" s="15" t="str">
        <x:v>SEALED</x:v>
      </x:c>
      <x:c r="K188" s="15" t="str">
        <x:v>OPEN</x:v>
      </x:c>
    </x:row>
    <x:row r="189">
      <x:c r="A189" s="14" t="str">
        <x:v>MC-185</x:v>
      </x:c>
      <x:c r="B189" s="14" t="str">
        <x:v>SPS-48</x:v>
      </x:c>
      <x:c r="C189" s="14" t="str">
        <x:v>AMR-48</x:v>
      </x:c>
      <x:c r="D189" s="14" t="str">
        <x:v>COHERENT</x:v>
      </x:c>
      <x:c r="E189" s="14" t="str">
        <x:v>Exact casualty</x:v>
      </x:c>
      <x:c r="F189" s="14" t="n">
        <x:v>1</x:v>
      </x:c>
      <x:c r="G189" s="14" t="n">
        <x:v>500</x:v>
      </x:c>
      <x:c r="H189" s="14" t="n">
        <x:v>48</x:v>
      </x:c>
      <x:c r="I189" s="14" t="n">
        <x:v>25</x:v>
      </x:c>
      <x:c r="J189" s="14" t="str">
        <x:v>SEALED</x:v>
      </x:c>
      <x:c r="K189" s="14" t="str">
        <x:v>OPEN</x:v>
      </x:c>
    </x:row>
    <x:row r="190">
      <x:c r="A190" s="15" t="str">
        <x:v>MC-186</x:v>
      </x:c>
      <x:c r="B190" s="15" t="str">
        <x:v>SPS-48</x:v>
      </x:c>
      <x:c r="C190" s="15" t="str">
        <x:v>AMR-48</x:v>
      </x:c>
      <x:c r="D190" s="15" t="str">
        <x:v>COHERENT</x:v>
      </x:c>
      <x:c r="E190" s="15" t="str">
        <x:v>Exact casualty</x:v>
      </x:c>
      <x:c r="F190" s="15" t="n">
        <x:v>2</x:v>
      </x:c>
      <x:c r="G190" s="15" t="n">
        <x:v>500</x:v>
      </x:c>
      <x:c r="H190" s="15" t="n">
        <x:v>48</x:v>
      </x:c>
      <x:c r="I190" s="15" t="n">
        <x:v>25</x:v>
      </x:c>
      <x:c r="J190" s="15" t="str">
        <x:v>SEALED</x:v>
      </x:c>
      <x:c r="K190" s="15" t="str">
        <x:v>OPEN</x:v>
      </x:c>
    </x:row>
    <x:row r="191">
      <x:c r="A191" s="14" t="str">
        <x:v>MC-187</x:v>
      </x:c>
      <x:c r="B191" s="14" t="str">
        <x:v>SPS-48</x:v>
      </x:c>
      <x:c r="C191" s="14" t="str">
        <x:v>AMR-48</x:v>
      </x:c>
      <x:c r="D191" s="14" t="str">
        <x:v>COHERENT</x:v>
      </x:c>
      <x:c r="E191" s="14" t="str">
        <x:v>Exact casualty</x:v>
      </x:c>
      <x:c r="F191" s="14" t="n">
        <x:v>3</x:v>
      </x:c>
      <x:c r="G191" s="14" t="n">
        <x:v>500</x:v>
      </x:c>
      <x:c r="H191" s="14" t="n">
        <x:v>48</x:v>
      </x:c>
      <x:c r="I191" s="14" t="n">
        <x:v>25</x:v>
      </x:c>
      <x:c r="J191" s="14" t="str">
        <x:v>SEALED</x:v>
      </x:c>
      <x:c r="K191" s="14" t="str">
        <x:v>OPEN</x:v>
      </x:c>
    </x:row>
    <x:row r="192">
      <x:c r="A192" s="15" t="str">
        <x:v>MC-188</x:v>
      </x:c>
      <x:c r="B192" s="15" t="str">
        <x:v>SPS-48</x:v>
      </x:c>
      <x:c r="C192" s="15" t="str">
        <x:v>AMR-48</x:v>
      </x:c>
      <x:c r="D192" s="15" t="str">
        <x:v>COHERENT</x:v>
      </x:c>
      <x:c r="E192" s="15" t="str">
        <x:v>Exact casualty</x:v>
      </x:c>
      <x:c r="F192" s="15" t="n">
        <x:v>4</x:v>
      </x:c>
      <x:c r="G192" s="15" t="n">
        <x:v>500</x:v>
      </x:c>
      <x:c r="H192" s="15" t="n">
        <x:v>48</x:v>
      </x:c>
      <x:c r="I192" s="15" t="n">
        <x:v>25</x:v>
      </x:c>
      <x:c r="J192" s="15" t="str">
        <x:v>SEALED</x:v>
      </x:c>
      <x:c r="K192" s="15" t="str">
        <x:v>OPEN</x:v>
      </x:c>
    </x:row>
    <x:row r="193">
      <x:c r="A193" s="14" t="str">
        <x:v>MC-189</x:v>
      </x:c>
      <x:c r="B193" s="14" t="str">
        <x:v>SPS-48</x:v>
      </x:c>
      <x:c r="C193" s="14" t="str">
        <x:v>AMR-48</x:v>
      </x:c>
      <x:c r="D193" s="14" t="str">
        <x:v>COHERENT</x:v>
      </x:c>
      <x:c r="E193" s="14" t="str">
        <x:v>Compound loss</x:v>
      </x:c>
      <x:c r="F193" s="14" t="n">
        <x:v>1</x:v>
      </x:c>
      <x:c r="G193" s="14" t="n">
        <x:v>500</x:v>
      </x:c>
      <x:c r="H193" s="14" t="n">
        <x:v>48</x:v>
      </x:c>
      <x:c r="I193" s="14" t="n">
        <x:v>25</x:v>
      </x:c>
      <x:c r="J193" s="14" t="str">
        <x:v>SEALED</x:v>
      </x:c>
      <x:c r="K193" s="14" t="str">
        <x:v>OPEN</x:v>
      </x:c>
    </x:row>
    <x:row r="194">
      <x:c r="A194" s="15" t="str">
        <x:v>MC-190</x:v>
      </x:c>
      <x:c r="B194" s="15" t="str">
        <x:v>SPS-48</x:v>
      </x:c>
      <x:c r="C194" s="15" t="str">
        <x:v>AMR-48</x:v>
      </x:c>
      <x:c r="D194" s="15" t="str">
        <x:v>COHERENT</x:v>
      </x:c>
      <x:c r="E194" s="15" t="str">
        <x:v>Compound loss</x:v>
      </x:c>
      <x:c r="F194" s="15" t="n">
        <x:v>2</x:v>
      </x:c>
      <x:c r="G194" s="15" t="n">
        <x:v>500</x:v>
      </x:c>
      <x:c r="H194" s="15" t="n">
        <x:v>48</x:v>
      </x:c>
      <x:c r="I194" s="15" t="n">
        <x:v>25</x:v>
      </x:c>
      <x:c r="J194" s="15" t="str">
        <x:v>SEALED</x:v>
      </x:c>
      <x:c r="K194" s="15" t="str">
        <x:v>OPEN</x:v>
      </x:c>
    </x:row>
    <x:row r="195">
      <x:c r="A195" s="14" t="str">
        <x:v>MC-191</x:v>
      </x:c>
      <x:c r="B195" s="14" t="str">
        <x:v>SPS-48</x:v>
      </x:c>
      <x:c r="C195" s="14" t="str">
        <x:v>AMR-48</x:v>
      </x:c>
      <x:c r="D195" s="14" t="str">
        <x:v>COHERENT</x:v>
      </x:c>
      <x:c r="E195" s="14" t="str">
        <x:v>Compound loss</x:v>
      </x:c>
      <x:c r="F195" s="14" t="n">
        <x:v>3</x:v>
      </x:c>
      <x:c r="G195" s="14" t="n">
        <x:v>500</x:v>
      </x:c>
      <x:c r="H195" s="14" t="n">
        <x:v>48</x:v>
      </x:c>
      <x:c r="I195" s="14" t="n">
        <x:v>25</x:v>
      </x:c>
      <x:c r="J195" s="14" t="str">
        <x:v>SEALED</x:v>
      </x:c>
      <x:c r="K195" s="14" t="str">
        <x:v>OPEN</x:v>
      </x:c>
    </x:row>
    <x:row r="196">
      <x:c r="A196" s="15" t="str">
        <x:v>MC-192</x:v>
      </x:c>
      <x:c r="B196" s="15" t="str">
        <x:v>SPS-48</x:v>
      </x:c>
      <x:c r="C196" s="15" t="str">
        <x:v>AMR-48</x:v>
      </x:c>
      <x:c r="D196" s="15" t="str">
        <x:v>COHERENT</x:v>
      </x:c>
      <x:c r="E196" s="15" t="str">
        <x:v>Compound loss</x:v>
      </x:c>
      <x:c r="F196" s="15" t="n">
        <x:v>4</x:v>
      </x:c>
      <x:c r="G196" s="15" t="n">
        <x:v>500</x:v>
      </x:c>
      <x:c r="H196" s="15" t="n">
        <x:v>48</x:v>
      </x:c>
      <x:c r="I196" s="15" t="n">
        <x:v>25</x:v>
      </x:c>
      <x:c r="J196" s="15" t="str">
        <x:v>SEALED</x:v>
      </x:c>
      <x:c r="K196" s="15" t="str">
        <x:v>OPEN</x:v>
      </x:c>
    </x:row>
  </x:sheetData>
  <x:mergeCells>
    <x:mergeCell ref="A1:K1"/>
    <x:mergeCell ref="A2:K2"/>
  </x:mergeCells>
  <x:pageMargins left="0.7" right="0.7" top="0.75" bottom="0.75" header="0.3" footer="0.3"/>
</x:worksheet>
</file>

<file path=xl/worksheets/sheet1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8" hidden="0" customWidth="1"/>
    <x:col min="2" max="2" width="14" hidden="0" customWidth="1"/>
    <x:col min="3" max="3" width="14" hidden="0" customWidth="1"/>
    <x:col min="4" max="4" width="14" hidden="0" customWidth="1"/>
    <x:col min="5" max="5" width="14" hidden="0" customWidth="1"/>
    <x:col min="6" max="6" width="46" hidden="0" customWidth="1"/>
  </x:cols>
  <x:sheetData>
    <x:row r="1" ht="26" customHeight="1">
      <x:c r="A1" s="43" t="str">
        <x:v>Conjunctive selection gates</x:v>
      </x:c>
      <x:c r="B1" s="35"/>
      <x:c r="C1" s="35"/>
      <x:c r="D1" s="35"/>
      <x:c r="E1" s="35"/>
      <x:c r="F1" s="35"/>
    </x:row>
    <x:row r="2" ht="32" customHeight="1">
      <x:c r="A2" s="7" t="str">
        <x:v>Cost and time order only candidates that pass every gate.</x:v>
      </x:c>
      <x:c r="B2" s="35"/>
      <x:c r="C2" s="35"/>
      <x:c r="D2" s="35"/>
      <x:c r="E2" s="35"/>
      <x:c r="F2" s="35"/>
    </x:row>
    <x:row r="3">
      <x:c r="A3" s="35"/>
      <x:c r="B3" s="35"/>
      <x:c r="C3" s="35"/>
      <x:c r="D3" s="35"/>
      <x:c r="E3" s="35"/>
      <x:c r="F3" s="35"/>
    </x:row>
    <x:row r="4" ht="28" customHeight="1">
      <x:c r="A4" s="11" t="str">
        <x:v>Gate</x:v>
      </x:c>
      <x:c r="B4" s="11" t="str">
        <x:v>CSM-48</x:v>
      </x:c>
      <x:c r="C4" s="11" t="str">
        <x:v>PGR-48</x:v>
      </x:c>
      <x:c r="D4" s="11" t="str">
        <x:v>SPS-48</x:v>
      </x:c>
      <x:c r="E4" s="11" t="str">
        <x:v>AMR-48</x:v>
      </x:c>
      <x:c r="F4" s="11" t="str">
        <x:v>Evidence required</x:v>
      </x:c>
    </x:row>
    <x:row r="5">
      <x:c r="A5" s="14" t="str">
        <x:v>Morphologies preserved</x:v>
      </x:c>
      <x:c r="B5" s="14" t="str">
        <x:v>OPEN</x:v>
      </x:c>
      <x:c r="C5" s="14" t="str">
        <x:v>OPEN</x:v>
      </x:c>
      <x:c r="D5" s="14" t="str">
        <x:v>OPEN</x:v>
      </x:c>
      <x:c r="E5" s="14" t="str">
        <x:v>OPEN</x:v>
      </x:c>
      <x:c r="F5" s="14" t="str">
        <x:v>Candidate and comparison records</x:v>
      </x:c>
    </x:row>
    <x:row r="6">
      <x:c r="A6" s="15" t="str">
        <x:v>25 m2 topology known</x:v>
      </x:c>
      <x:c r="B6" s="15" t="str">
        <x:v>OPEN</x:v>
      </x:c>
      <x:c r="C6" s="15" t="str">
        <x:v>OPEN</x:v>
      </x:c>
      <x:c r="D6" s="15" t="str">
        <x:v>OPEN</x:v>
      </x:c>
      <x:c r="E6" s="15" t="str">
        <x:v>OPEN</x:v>
      </x:c>
      <x:c r="F6" s="15" t="str">
        <x:v>Candidate and comparison records</x:v>
      </x:c>
    </x:row>
    <x:row r="7">
      <x:c r="A7" s="14" t="str">
        <x:v>Nine roots separately decidable</x:v>
      </x:c>
      <x:c r="B7" s="14" t="str">
        <x:v>OPEN</x:v>
      </x:c>
      <x:c r="C7" s="14" t="str">
        <x:v>OPEN</x:v>
      </x:c>
      <x:c r="D7" s="14" t="str">
        <x:v>OPEN</x:v>
      </x:c>
      <x:c r="E7" s="14" t="str">
        <x:v>OPEN</x:v>
      </x:c>
      <x:c r="F7" s="14" t="str">
        <x:v>Candidate and comparison records</x:v>
      </x:c>
    </x:row>
    <x:row r="8">
      <x:c r="A8" s="15" t="str">
        <x:v>Independent issue energy</x:v>
      </x:c>
      <x:c r="B8" s="15" t="str">
        <x:v>OPEN</x:v>
      </x:c>
      <x:c r="C8" s="15" t="str">
        <x:v>OPEN</x:v>
      </x:c>
      <x:c r="D8" s="15" t="str">
        <x:v>OPEN</x:v>
      </x:c>
      <x:c r="E8" s="15" t="str">
        <x:v>OPEN</x:v>
      </x:c>
      <x:c r="F8" s="15" t="str">
        <x:v>Candidate and comparison records</x:v>
      </x:c>
    </x:row>
    <x:row r="9">
      <x:c r="A9" s="14" t="str">
        <x:v>Compound host loss survived</x:v>
      </x:c>
      <x:c r="B9" s="14" t="str">
        <x:v>OPEN</x:v>
      </x:c>
      <x:c r="C9" s="14" t="str">
        <x:v>OPEN</x:v>
      </x:c>
      <x:c r="D9" s="14" t="str">
        <x:v>OPEN</x:v>
      </x:c>
      <x:c r="E9" s="14" t="str">
        <x:v>OPEN</x:v>
      </x:c>
      <x:c r="F9" s="14" t="str">
        <x:v>Candidate and comparison records</x:v>
      </x:c>
    </x:row>
    <x:row r="10">
      <x:c r="A10" s="15" t="str">
        <x:v>Receiver dynamics qualified</x:v>
      </x:c>
      <x:c r="B10" s="15" t="str">
        <x:v>OPEN</x:v>
      </x:c>
      <x:c r="C10" s="15" t="str">
        <x:v>OPEN</x:v>
      </x:c>
      <x:c r="D10" s="15" t="str">
        <x:v>OPEN</x:v>
      </x:c>
      <x:c r="E10" s="15" t="str">
        <x:v>OPEN</x:v>
      </x:c>
      <x:c r="F10" s="15" t="str">
        <x:v>Qualification predecessor</x:v>
      </x:c>
    </x:row>
    <x:row r="11">
      <x:c r="A11" s="14" t="str">
        <x:v>Terminal destinations closed</x:v>
      </x:c>
      <x:c r="B11" s="14" t="str">
        <x:v>OPEN</x:v>
      </x:c>
      <x:c r="C11" s="14" t="str">
        <x:v>OPEN</x:v>
      </x:c>
      <x:c r="D11" s="14" t="str">
        <x:v>OPEN</x:v>
      </x:c>
      <x:c r="E11" s="14" t="str">
        <x:v>OPEN</x:v>
      </x:c>
      <x:c r="F11" s="14" t="str">
        <x:v>Qualification predecessor</x:v>
      </x:c>
    </x:row>
    <x:row r="12">
      <x:c r="A12" s="15" t="str">
        <x:v>Public path independent</x:v>
      </x:c>
      <x:c r="B12" s="15" t="str">
        <x:v>OPEN</x:v>
      </x:c>
      <x:c r="C12" s="15" t="str">
        <x:v>OPEN</x:v>
      </x:c>
      <x:c r="D12" s="15" t="str">
        <x:v>OPEN</x:v>
      </x:c>
      <x:c r="E12" s="15" t="str">
        <x:v>OPEN</x:v>
      </x:c>
      <x:c r="F12" s="15" t="str">
        <x:v>Qualification predecessor</x:v>
      </x:c>
    </x:row>
    <x:row r="13">
      <x:c r="A13" s="14" t="str">
        <x:v>Four water classes separated</x:v>
      </x:c>
      <x:c r="B13" s="14" t="str">
        <x:v>OPEN</x:v>
      </x:c>
      <x:c r="C13" s="14" t="str">
        <x:v>OPEN</x:v>
      </x:c>
      <x:c r="D13" s="14" t="str">
        <x:v>OPEN</x:v>
      </x:c>
      <x:c r="E13" s="14" t="str">
        <x:v>OPEN</x:v>
      </x:c>
      <x:c r="F13" s="14" t="str">
        <x:v>Qualification predecessor</x:v>
      </x:c>
    </x:row>
    <x:row r="14">
      <x:c r="A14" s="15" t="str">
        <x:v>Forty-eight safeing paths</x:v>
      </x:c>
      <x:c r="B14" s="15" t="str">
        <x:v>OPEN</x:v>
      </x:c>
      <x:c r="C14" s="15" t="str">
        <x:v>OPEN</x:v>
      </x:c>
      <x:c r="D14" s="15" t="str">
        <x:v>OPEN</x:v>
      </x:c>
      <x:c r="E14" s="15" t="str">
        <x:v>OPEN</x:v>
      </x:c>
      <x:c r="F14" s="15" t="str">
        <x:v>Qualification predecessor</x:v>
      </x:c>
    </x:row>
    <x:row r="15">
      <x:c r="A15" s="14" t="str">
        <x:v>Three outside reconstructions</x:v>
      </x:c>
      <x:c r="B15" s="14" t="str">
        <x:v>OPEN</x:v>
      </x:c>
      <x:c r="C15" s="14" t="str">
        <x:v>OPEN</x:v>
      </x:c>
      <x:c r="D15" s="14" t="str">
        <x:v>OPEN</x:v>
      </x:c>
      <x:c r="E15" s="14" t="str">
        <x:v>OPEN</x:v>
      </x:c>
      <x:c r="F15" s="14" t="str">
        <x:v>Qualification predecessor</x:v>
      </x:c>
    </x:row>
    <x:row r="16">
      <x:c r="A16" s="15" t="str">
        <x:v>No origin service used</x:v>
      </x:c>
      <x:c r="B16" s="15" t="str">
        <x:v>OPEN</x:v>
      </x:c>
      <x:c r="C16" s="15" t="str">
        <x:v>OPEN</x:v>
      </x:c>
      <x:c r="D16" s="15" t="str">
        <x:v>OPEN</x:v>
      </x:c>
      <x:c r="E16" s="15" t="str">
        <x:v>OPEN</x:v>
      </x:c>
      <x:c r="F16" s="15" t="str">
        <x:v>Qualification predecessor</x:v>
      </x:c>
    </x:row>
    <x:row r="17">
      <x:c r="A17" s="14" t="str">
        <x:v>Disagreement preserved</x:v>
      </x:c>
      <x:c r="B17" s="14" t="str">
        <x:v>OPEN</x:v>
      </x:c>
      <x:c r="C17" s="14" t="str">
        <x:v>OPEN</x:v>
      </x:c>
      <x:c r="D17" s="14" t="str">
        <x:v>OPEN</x:v>
      </x:c>
      <x:c r="E17" s="14" t="str">
        <x:v>OPEN</x:v>
      </x:c>
      <x:c r="F17" s="14" t="str">
        <x:v>Qualification predecessor</x:v>
      </x:c>
    </x:row>
    <x:row r="18">
      <x:c r="A18" s="15" t="str">
        <x:v>Return complete</x:v>
      </x:c>
      <x:c r="B18" s="15" t="str">
        <x:v>OPEN</x:v>
      </x:c>
      <x:c r="C18" s="15" t="str">
        <x:v>OPEN</x:v>
      </x:c>
      <x:c r="D18" s="15" t="str">
        <x:v>OPEN</x:v>
      </x:c>
      <x:c r="E18" s="15" t="str">
        <x:v>OPEN</x:v>
      </x:c>
      <x:c r="F18" s="15" t="str">
        <x:v>Qualification predecessor</x:v>
      </x:c>
    </x:row>
    <x:row r="19">
      <x:c r="A19" s="14" t="str">
        <x:v>Parent authority available</x:v>
      </x:c>
      <x:c r="B19" s="14" t="str">
        <x:v>OPEN</x:v>
      </x:c>
      <x:c r="C19" s="14" t="str">
        <x:v>OPEN</x:v>
      </x:c>
      <x:c r="D19" s="14" t="str">
        <x:v>OPEN</x:v>
      </x:c>
      <x:c r="E19" s="14" t="str">
        <x:v>OPEN</x:v>
      </x:c>
      <x:c r="F19" s="14" t="str">
        <x:v>Qualification predecessor</x:v>
      </x:c>
    </x:row>
  </x:sheetData>
  <x:mergeCells>
    <x:mergeCell ref="A1:F1"/>
    <x:mergeCell ref="A2:F2"/>
  </x:mergeCells>
  <x:pageMargins left="0.7" right="0.7" top="0.75" bottom="0.75" header="0.3" footer="0.3"/>
</x:worksheet>
</file>

<file path=xl/worksheets/sheet1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6" hidden="0" customWidth="1"/>
    <x:col min="2" max="2" width="24" hidden="0" customWidth="1"/>
    <x:col min="3" max="3" width="12" hidden="0" customWidth="1"/>
    <x:col min="4" max="4" width="14" hidden="0" customWidth="1"/>
    <x:col min="5" max="5" width="18" hidden="0" customWidth="1"/>
    <x:col min="6" max="6" width="16" hidden="0" customWidth="1"/>
  </x:cols>
  <x:sheetData>
    <x:row r="1" ht="26" customHeight="1">
      <x:c r="A1" s="43" t="str">
        <x:v>CRC-48 module bank</x:v>
      </x:c>
      <x:c r="B1" s="35"/>
      <x:c r="C1" s="35"/>
      <x:c r="D1" s="35"/>
      <x:c r="E1" s="35"/>
      <x:c r="F1" s="35"/>
    </x:row>
    <x:row r="2" ht="32" customHeight="1">
      <x:c r="A2" s="7" t="str">
        <x:v>Twenty-four modules preserve exact cells, reserves, denial references and forensics.</x:v>
      </x:c>
      <x:c r="B2" s="35"/>
      <x:c r="C2" s="35"/>
      <x:c r="D2" s="35"/>
      <x:c r="E2" s="35"/>
      <x:c r="F2" s="35"/>
    </x:row>
    <x:row r="3">
      <x:c r="A3" s="35"/>
      <x:c r="B3" s="35"/>
      <x:c r="C3" s="35"/>
      <x:c r="D3" s="35"/>
      <x:c r="E3" s="35"/>
      <x:c r="F3" s="35"/>
    </x:row>
    <x:row r="4" ht="28" customHeight="1">
      <x:c r="A4" s="11" t="str">
        <x:v>Module</x:v>
      </x:c>
      <x:c r="B4" s="11" t="str">
        <x:v>Role</x:v>
      </x:c>
      <x:c r="C4" s="11" t="str">
        <x:v>Lineage</x:v>
      </x:c>
      <x:c r="D4" s="11" t="str">
        <x:v>Campus</x:v>
      </x:c>
      <x:c r="E4" s="11" t="str">
        <x:v>Initial state</x:v>
      </x:c>
      <x:c r="F4" s="11" t="str">
        <x:v>Acceptance</x:v>
      </x:c>
    </x:row>
    <x:row r="5">
      <x:c r="A5" s="14" t="str">
        <x:v>CRC-01</x:v>
      </x:c>
      <x:c r="B5" s="14" t="str">
        <x:v>ACTIVE</x:v>
      </x:c>
      <x:c r="C5" s="14" t="str">
        <x:v>L1</x:v>
      </x:c>
      <x:c r="D5" s="14" t="str">
        <x:v>NRC-A</x:v>
      </x:c>
      <x:c r="E5" s="14" t="str">
        <x:v>PLANNED</x:v>
      </x:c>
      <x:c r="F5" s="14" t="str">
        <x:v>OPEN</x:v>
      </x:c>
    </x:row>
    <x:row r="6">
      <x:c r="A6" s="15" t="str">
        <x:v>CRC-02</x:v>
      </x:c>
      <x:c r="B6" s="15" t="str">
        <x:v>ACTIVE</x:v>
      </x:c>
      <x:c r="C6" s="15" t="str">
        <x:v>L2</x:v>
      </x:c>
      <x:c r="D6" s="15" t="str">
        <x:v>NRC-B</x:v>
      </x:c>
      <x:c r="E6" s="15" t="str">
        <x:v>PLANNED</x:v>
      </x:c>
      <x:c r="F6" s="15" t="str">
        <x:v>OPEN</x:v>
      </x:c>
    </x:row>
    <x:row r="7">
      <x:c r="A7" s="14" t="str">
        <x:v>CRC-03</x:v>
      </x:c>
      <x:c r="B7" s="14" t="str">
        <x:v>ACTIVE</x:v>
      </x:c>
      <x:c r="C7" s="14" t="str">
        <x:v>L1</x:v>
      </x:c>
      <x:c r="D7" s="14" t="str">
        <x:v>NRC-C</x:v>
      </x:c>
      <x:c r="E7" s="14" t="str">
        <x:v>PLANNED</x:v>
      </x:c>
      <x:c r="F7" s="14" t="str">
        <x:v>OPEN</x:v>
      </x:c>
    </x:row>
    <x:row r="8">
      <x:c r="A8" s="15" t="str">
        <x:v>CRC-04</x:v>
      </x:c>
      <x:c r="B8" s="15" t="str">
        <x:v>ACTIVE</x:v>
      </x:c>
      <x:c r="C8" s="15" t="str">
        <x:v>L2</x:v>
      </x:c>
      <x:c r="D8" s="15" t="str">
        <x:v>NRC-A</x:v>
      </x:c>
      <x:c r="E8" s="15" t="str">
        <x:v>PLANNED</x:v>
      </x:c>
      <x:c r="F8" s="15" t="str">
        <x:v>OPEN</x:v>
      </x:c>
    </x:row>
    <x:row r="9">
      <x:c r="A9" s="14" t="str">
        <x:v>CRC-05</x:v>
      </x:c>
      <x:c r="B9" s="14" t="str">
        <x:v>ACTIVE</x:v>
      </x:c>
      <x:c r="C9" s="14" t="str">
        <x:v>L1</x:v>
      </x:c>
      <x:c r="D9" s="14" t="str">
        <x:v>NRC-B</x:v>
      </x:c>
      <x:c r="E9" s="14" t="str">
        <x:v>PLANNED</x:v>
      </x:c>
      <x:c r="F9" s="14" t="str">
        <x:v>OPEN</x:v>
      </x:c>
    </x:row>
    <x:row r="10">
      <x:c r="A10" s="15" t="str">
        <x:v>CRC-06</x:v>
      </x:c>
      <x:c r="B10" s="15" t="str">
        <x:v>ACTIVE</x:v>
      </x:c>
      <x:c r="C10" s="15" t="str">
        <x:v>L2</x:v>
      </x:c>
      <x:c r="D10" s="15" t="str">
        <x:v>NRC-C</x:v>
      </x:c>
      <x:c r="E10" s="15" t="str">
        <x:v>PLANNED</x:v>
      </x:c>
      <x:c r="F10" s="15" t="str">
        <x:v>OPEN</x:v>
      </x:c>
    </x:row>
    <x:row r="11">
      <x:c r="A11" s="14" t="str">
        <x:v>CRC-07</x:v>
      </x:c>
      <x:c r="B11" s="14" t="str">
        <x:v>ACTIVE</x:v>
      </x:c>
      <x:c r="C11" s="14" t="str">
        <x:v>L1</x:v>
      </x:c>
      <x:c r="D11" s="14" t="str">
        <x:v>NRC-A</x:v>
      </x:c>
      <x:c r="E11" s="14" t="str">
        <x:v>PLANNED</x:v>
      </x:c>
      <x:c r="F11" s="14" t="str">
        <x:v>OPEN</x:v>
      </x:c>
    </x:row>
    <x:row r="12">
      <x:c r="A12" s="15" t="str">
        <x:v>CRC-08</x:v>
      </x:c>
      <x:c r="B12" s="15" t="str">
        <x:v>ACTIVE</x:v>
      </x:c>
      <x:c r="C12" s="15" t="str">
        <x:v>L2</x:v>
      </x:c>
      <x:c r="D12" s="15" t="str">
        <x:v>NRC-B</x:v>
      </x:c>
      <x:c r="E12" s="15" t="str">
        <x:v>PLANNED</x:v>
      </x:c>
      <x:c r="F12" s="15" t="str">
        <x:v>OPEN</x:v>
      </x:c>
    </x:row>
    <x:row r="13">
      <x:c r="A13" s="14" t="str">
        <x:v>CRC-09</x:v>
      </x:c>
      <x:c r="B13" s="14" t="str">
        <x:v>ACTIVE</x:v>
      </x:c>
      <x:c r="C13" s="14" t="str">
        <x:v>L1</x:v>
      </x:c>
      <x:c r="D13" s="14" t="str">
        <x:v>NRC-C</x:v>
      </x:c>
      <x:c r="E13" s="14" t="str">
        <x:v>PLANNED</x:v>
      </x:c>
      <x:c r="F13" s="14" t="str">
        <x:v>OPEN</x:v>
      </x:c>
    </x:row>
    <x:row r="14">
      <x:c r="A14" s="15" t="str">
        <x:v>CRC-10</x:v>
      </x:c>
      <x:c r="B14" s="15" t="str">
        <x:v>ACTIVE</x:v>
      </x:c>
      <x:c r="C14" s="15" t="str">
        <x:v>L2</x:v>
      </x:c>
      <x:c r="D14" s="15" t="str">
        <x:v>NRC-A</x:v>
      </x:c>
      <x:c r="E14" s="15" t="str">
        <x:v>PLANNED</x:v>
      </x:c>
      <x:c r="F14" s="15" t="str">
        <x:v>OPEN</x:v>
      </x:c>
    </x:row>
    <x:row r="15">
      <x:c r="A15" s="14" t="str">
        <x:v>CRC-11</x:v>
      </x:c>
      <x:c r="B15" s="14" t="str">
        <x:v>ACTIVE</x:v>
      </x:c>
      <x:c r="C15" s="14" t="str">
        <x:v>L1</x:v>
      </x:c>
      <x:c r="D15" s="14" t="str">
        <x:v>NRC-B</x:v>
      </x:c>
      <x:c r="E15" s="14" t="str">
        <x:v>PLANNED</x:v>
      </x:c>
      <x:c r="F15" s="14" t="str">
        <x:v>OPEN</x:v>
      </x:c>
    </x:row>
    <x:row r="16">
      <x:c r="A16" s="15" t="str">
        <x:v>CRC-12</x:v>
      </x:c>
      <x:c r="B16" s="15" t="str">
        <x:v>ACTIVE</x:v>
      </x:c>
      <x:c r="C16" s="15" t="str">
        <x:v>L2</x:v>
      </x:c>
      <x:c r="D16" s="15" t="str">
        <x:v>NRC-C</x:v>
      </x:c>
      <x:c r="E16" s="15" t="str">
        <x:v>PLANNED</x:v>
      </x:c>
      <x:c r="F16" s="15" t="str">
        <x:v>OPEN</x:v>
      </x:c>
    </x:row>
    <x:row r="17">
      <x:c r="A17" s="14" t="str">
        <x:v>CRC-13</x:v>
      </x:c>
      <x:c r="B17" s="14" t="str">
        <x:v>OPERATIONAL SPARE</x:v>
      </x:c>
      <x:c r="C17" s="14" t="str">
        <x:v>L1</x:v>
      </x:c>
      <x:c r="D17" s="14" t="str">
        <x:v>NRC-A</x:v>
      </x:c>
      <x:c r="E17" s="14" t="str">
        <x:v>PLANNED</x:v>
      </x:c>
      <x:c r="F17" s="14" t="str">
        <x:v>OPEN</x:v>
      </x:c>
    </x:row>
    <x:row r="18">
      <x:c r="A18" s="15" t="str">
        <x:v>CRC-14</x:v>
      </x:c>
      <x:c r="B18" s="15" t="str">
        <x:v>OPERATIONAL SPARE</x:v>
      </x:c>
      <x:c r="C18" s="15" t="str">
        <x:v>L2</x:v>
      </x:c>
      <x:c r="D18" s="15" t="str">
        <x:v>NRC-B</x:v>
      </x:c>
      <x:c r="E18" s="15" t="str">
        <x:v>PLANNED</x:v>
      </x:c>
      <x:c r="F18" s="15" t="str">
        <x:v>OPEN</x:v>
      </x:c>
    </x:row>
    <x:row r="19">
      <x:c r="A19" s="14" t="str">
        <x:v>CRC-15</x:v>
      </x:c>
      <x:c r="B19" s="14" t="str">
        <x:v>OPERATIONAL SPARE</x:v>
      </x:c>
      <x:c r="C19" s="14" t="str">
        <x:v>L1</x:v>
      </x:c>
      <x:c r="D19" s="14" t="str">
        <x:v>NRC-C</x:v>
      </x:c>
      <x:c r="E19" s="14" t="str">
        <x:v>PLANNED</x:v>
      </x:c>
      <x:c r="F19" s="14" t="str">
        <x:v>OPEN</x:v>
      </x:c>
    </x:row>
    <x:row r="20">
      <x:c r="A20" s="15" t="str">
        <x:v>CRC-16</x:v>
      </x:c>
      <x:c r="B20" s="15" t="str">
        <x:v>OPERATIONAL SPARE</x:v>
      </x:c>
      <x:c r="C20" s="15" t="str">
        <x:v>L2</x:v>
      </x:c>
      <x:c r="D20" s="15" t="str">
        <x:v>NRC-A</x:v>
      </x:c>
      <x:c r="E20" s="15" t="str">
        <x:v>PLANNED</x:v>
      </x:c>
      <x:c r="F20" s="15" t="str">
        <x:v>OPEN</x:v>
      </x:c>
    </x:row>
    <x:row r="21">
      <x:c r="A21" s="14" t="str">
        <x:v>CRC-17</x:v>
      </x:c>
      <x:c r="B21" s="14" t="str">
        <x:v>OPERATIONAL SPARE</x:v>
      </x:c>
      <x:c r="C21" s="14" t="str">
        <x:v>L1</x:v>
      </x:c>
      <x:c r="D21" s="14" t="str">
        <x:v>NRC-B</x:v>
      </x:c>
      <x:c r="E21" s="14" t="str">
        <x:v>PLANNED</x:v>
      </x:c>
      <x:c r="F21" s="14" t="str">
        <x:v>OPEN</x:v>
      </x:c>
    </x:row>
    <x:row r="22">
      <x:c r="A22" s="15" t="str">
        <x:v>CRC-18</x:v>
      </x:c>
      <x:c r="B22" s="15" t="str">
        <x:v>OPERATIONAL SPARE</x:v>
      </x:c>
      <x:c r="C22" s="15" t="str">
        <x:v>L2</x:v>
      </x:c>
      <x:c r="D22" s="15" t="str">
        <x:v>NRC-C</x:v>
      </x:c>
      <x:c r="E22" s="15" t="str">
        <x:v>PLANNED</x:v>
      </x:c>
      <x:c r="F22" s="15" t="str">
        <x:v>OPEN</x:v>
      </x:c>
    </x:row>
    <x:row r="23">
      <x:c r="A23" s="14" t="str">
        <x:v>CRC-19</x:v>
      </x:c>
      <x:c r="B23" s="14" t="str">
        <x:v>DENIAL REFERENCE</x:v>
      </x:c>
      <x:c r="C23" s="14" t="str">
        <x:v>L1</x:v>
      </x:c>
      <x:c r="D23" s="14" t="str">
        <x:v>NRC-A</x:v>
      </x:c>
      <x:c r="E23" s="14" t="str">
        <x:v>PLANNED</x:v>
      </x:c>
      <x:c r="F23" s="14" t="str">
        <x:v>OPEN</x:v>
      </x:c>
    </x:row>
    <x:row r="24">
      <x:c r="A24" s="15" t="str">
        <x:v>CRC-20</x:v>
      </x:c>
      <x:c r="B24" s="15" t="str">
        <x:v>DENIAL REFERENCE</x:v>
      </x:c>
      <x:c r="C24" s="15" t="str">
        <x:v>L2</x:v>
      </x:c>
      <x:c r="D24" s="15" t="str">
        <x:v>NRC-B</x:v>
      </x:c>
      <x:c r="E24" s="15" t="str">
        <x:v>PLANNED</x:v>
      </x:c>
      <x:c r="F24" s="15" t="str">
        <x:v>OPEN</x:v>
      </x:c>
    </x:row>
    <x:row r="25">
      <x:c r="A25" s="14" t="str">
        <x:v>CRC-21</x:v>
      </x:c>
      <x:c r="B25" s="14" t="str">
        <x:v>DENIAL REFERENCE</x:v>
      </x:c>
      <x:c r="C25" s="14" t="str">
        <x:v>L1</x:v>
      </x:c>
      <x:c r="D25" s="14" t="str">
        <x:v>NRC-C</x:v>
      </x:c>
      <x:c r="E25" s="14" t="str">
        <x:v>PLANNED</x:v>
      </x:c>
      <x:c r="F25" s="14" t="str">
        <x:v>OPEN</x:v>
      </x:c>
    </x:row>
    <x:row r="26">
      <x:c r="A26" s="15" t="str">
        <x:v>CRC-22</x:v>
      </x:c>
      <x:c r="B26" s="15" t="str">
        <x:v>FORENSIC</x:v>
      </x:c>
      <x:c r="C26" s="15" t="str">
        <x:v>L2</x:v>
      </x:c>
      <x:c r="D26" s="15" t="str">
        <x:v>NRC-A</x:v>
      </x:c>
      <x:c r="E26" s="15" t="str">
        <x:v>SEALED</x:v>
      </x:c>
      <x:c r="F26" s="15" t="str">
        <x:v>OPEN</x:v>
      </x:c>
    </x:row>
    <x:row r="27">
      <x:c r="A27" s="14" t="str">
        <x:v>CRC-23</x:v>
      </x:c>
      <x:c r="B27" s="14" t="str">
        <x:v>FORENSIC</x:v>
      </x:c>
      <x:c r="C27" s="14" t="str">
        <x:v>L1</x:v>
      </x:c>
      <x:c r="D27" s="14" t="str">
        <x:v>NRC-B</x:v>
      </x:c>
      <x:c r="E27" s="14" t="str">
        <x:v>SEALED</x:v>
      </x:c>
      <x:c r="F27" s="14" t="str">
        <x:v>OPEN</x:v>
      </x:c>
    </x:row>
    <x:row r="28">
      <x:c r="A28" s="15" t="str">
        <x:v>CRC-24</x:v>
      </x:c>
      <x:c r="B28" s="15" t="str">
        <x:v>FORENSIC</x:v>
      </x:c>
      <x:c r="C28" s="15" t="str">
        <x:v>L2</x:v>
      </x:c>
      <x:c r="D28" s="15" t="str">
        <x:v>NRC-C</x:v>
      </x:c>
      <x:c r="E28" s="15" t="str">
        <x:v>SEALED</x:v>
      </x:c>
      <x:c r="F28" s="15" t="str">
        <x:v>OPEN</x:v>
      </x:c>
    </x:row>
  </x:sheetData>
  <x:mergeCells>
    <x:mergeCell ref="A1:F1"/>
    <x:mergeCell ref="A2:F2"/>
  </x:mergeCells>
  <x:pageMargins left="0.7" right="0.7" top="0.75" bottom="0.75" header="0.3" footer="0.3"/>
</x:worksheet>
</file>

<file path=xl/worksheets/sheet1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0" hidden="0" customWidth="1"/>
    <x:col min="4" max="4" width="13" hidden="0" customWidth="1"/>
    <x:col min="5" max="5" width="13" hidden="0" customWidth="1"/>
    <x:col min="6" max="6" width="12" hidden="0" customWidth="1"/>
    <x:col min="7" max="7" width="46" hidden="0" customWidth="1"/>
    <x:col min="8" max="8" width="14" hidden="0" customWidth="1"/>
    <x:col min="9" max="9" width="14" hidden="0" customWidth="1"/>
  </x:cols>
  <x:sheetData>
    <x:row r="1" ht="26" customHeight="1">
      <x:c r="A1" s="43" t="str">
        <x:v>Ten-state casualty qualification</x:v>
      </x:c>
      <x:c r="B1" s="35"/>
      <x:c r="C1" s="35"/>
      <x:c r="D1" s="35"/>
      <x:c r="E1" s="35"/>
      <x:c r="F1" s="35"/>
      <x:c r="G1" s="35"/>
      <x:c r="H1" s="35"/>
      <x:c r="I1" s="35"/>
    </x:row>
    <x:row r="2" ht="32" customHeight="1">
      <x:c r="A2" s="7" t="str">
        <x:v>180 energetic cycles. No cycle is pre-credited.</x:v>
      </x:c>
      <x:c r="B2" s="35"/>
      <x:c r="C2" s="35"/>
      <x:c r="D2" s="35"/>
      <x:c r="E2" s="35"/>
      <x:c r="F2" s="35"/>
      <x:c r="G2" s="35"/>
      <x:c r="H2" s="35"/>
      <x:c r="I2" s="35"/>
    </x:row>
    <x:row r="3">
      <x:c r="A3" s="35"/>
      <x:c r="B3" s="35"/>
      <x:c r="C3" s="35"/>
      <x:c r="D3" s="35"/>
      <x:c r="E3" s="35"/>
      <x:c r="F3" s="35"/>
      <x:c r="G3" s="35"/>
      <x:c r="H3" s="35"/>
      <x:c r="I3" s="35"/>
    </x:row>
    <x:row r="4" ht="28" customHeight="1">
      <x:c r="A4" s="11" t="str">
        <x:v>Cycle</x:v>
      </x:c>
      <x:c r="B4" s="11" t="str">
        <x:v>Module</x:v>
      </x:c>
      <x:c r="C4" s="11" t="str">
        <x:v>State</x:v>
      </x:c>
      <x:c r="D4" s="11" t="str">
        <x:v>Source kg</x:v>
      </x:c>
      <x:c r="E4" s="11" t="str">
        <x:v>Water m3</x:v>
      </x:c>
      <x:c r="F4" s="11" t="str">
        <x:v>Area m2</x:v>
      </x:c>
      <x:c r="G4" s="11" t="str">
        <x:v>Condition</x:v>
      </x:c>
      <x:c r="H4" s="11" t="str">
        <x:v>Return</x:v>
      </x:c>
      <x:c r="I4" s="11" t="str">
        <x:v>Disposition</x:v>
      </x:c>
    </x:row>
    <x:row r="5">
      <x:c r="A5" s="14" t="str">
        <x:v>QC-001</x:v>
      </x:c>
      <x:c r="B5" s="14" t="str">
        <x:v>CRC-01</x:v>
      </x:c>
      <x:c r="C5" s="14" t="str">
        <x:v>Q1</x:v>
      </x:c>
      <x:c r="D5" s="14" t="n">
        <x:v>500</x:v>
      </x:c>
      <x:c r="E5" s="14" t="n">
        <x:v>24</x:v>
      </x:c>
      <x:c r="F5" s="14" t="n">
        <x:v>6.25</x:v>
      </x:c>
      <x:c r="G5" s="14" t="str">
        <x:v>ER-09 anchor</x:v>
      </x:c>
      <x:c r="H5" s="14" t="str">
        <x:v>OPEN</x:v>
      </x:c>
      <x:c r="I5" s="14" t="str">
        <x:v>OPEN</x:v>
      </x:c>
    </x:row>
    <x:row r="6">
      <x:c r="A6" s="15" t="str">
        <x:v>QC-002</x:v>
      </x:c>
      <x:c r="B6" s="15" t="str">
        <x:v>CRC-01</x:v>
      </x:c>
      <x:c r="C6" s="15" t="str">
        <x:v>Q2</x:v>
      </x:c>
      <x:c r="D6" s="15" t="n">
        <x:v>500</x:v>
      </x:c>
      <x:c r="E6" s="15" t="n">
        <x:v>24</x:v>
      </x:c>
      <x:c r="F6" s="15" t="n">
        <x:v>25</x:v>
      </x:c>
      <x:c r="G6" s="15" t="str">
        <x:v>Area transition</x:v>
      </x:c>
      <x:c r="H6" s="15" t="str">
        <x:v>OPEN</x:v>
      </x:c>
      <x:c r="I6" s="15" t="str">
        <x:v>OPEN</x:v>
      </x:c>
    </x:row>
    <x:row r="7">
      <x:c r="A7" s="14" t="str">
        <x:v>QC-003</x:v>
      </x:c>
      <x:c r="B7" s="14" t="str">
        <x:v>CRC-01</x:v>
      </x:c>
      <x:c r="C7" s="14" t="str">
        <x:v>Q3</x:v>
      </x:c>
      <x:c r="D7" s="14" t="n">
        <x:v>500</x:v>
      </x:c>
      <x:c r="E7" s="14" t="n">
        <x:v>48</x:v>
      </x:c>
      <x:c r="F7" s="14" t="n">
        <x:v>6.25</x:v>
      </x:c>
      <x:c r="G7" s="14" t="str">
        <x:v>Water transition</x:v>
      </x:c>
      <x:c r="H7" s="14" t="str">
        <x:v>OPEN</x:v>
      </x:c>
      <x:c r="I7" s="14" t="str">
        <x:v>OPEN</x:v>
      </x:c>
    </x:row>
    <x:row r="8">
      <x:c r="A8" s="15" t="str">
        <x:v>QC-004</x:v>
      </x:c>
      <x:c r="B8" s="15" t="str">
        <x:v>CRC-01</x:v>
      </x:c>
      <x:c r="C8" s="15" t="str">
        <x:v>Q4</x:v>
      </x:c>
      <x:c r="D8" s="15" t="n">
        <x:v>500</x:v>
      </x:c>
      <x:c r="E8" s="15" t="n">
        <x:v>48</x:v>
      </x:c>
      <x:c r="F8" s="15" t="n">
        <x:v>25</x:v>
      </x:c>
      <x:c r="G8" s="15" t="str">
        <x:v>Exact casualty</x:v>
      </x:c>
      <x:c r="H8" s="15" t="str">
        <x:v>OPEN</x:v>
      </x:c>
      <x:c r="I8" s="15" t="str">
        <x:v>OPEN</x:v>
      </x:c>
    </x:row>
    <x:row r="9">
      <x:c r="A9" s="14" t="str">
        <x:v>QC-005</x:v>
      </x:c>
      <x:c r="B9" s="14" t="str">
        <x:v>CRC-01</x:v>
      </x:c>
      <x:c r="C9" s="14" t="str">
        <x:v>Q5</x:v>
      </x:c>
      <x:c r="D9" s="14" t="n">
        <x:v>500</x:v>
      </x:c>
      <x:c r="E9" s="14" t="n">
        <x:v>48</x:v>
      </x:c>
      <x:c r="F9" s="14" t="n">
        <x:v>25</x:v>
      </x:c>
      <x:c r="G9" s="14" t="str">
        <x:v>Host energy denied</x:v>
      </x:c>
      <x:c r="H9" s="14" t="str">
        <x:v>OPEN</x:v>
      </x:c>
      <x:c r="I9" s="14" t="str">
        <x:v>OPEN</x:v>
      </x:c>
    </x:row>
    <x:row r="10">
      <x:c r="A10" s="15" t="str">
        <x:v>QC-006</x:v>
      </x:c>
      <x:c r="B10" s="15" t="str">
        <x:v>CRC-01</x:v>
      </x:c>
      <x:c r="C10" s="15" t="str">
        <x:v>Q6</x:v>
      </x:c>
      <x:c r="D10" s="15" t="n">
        <x:v>500</x:v>
      </x:c>
      <x:c r="E10" s="15" t="n">
        <x:v>48</x:v>
      </x:c>
      <x:c r="F10" s="15" t="n">
        <x:v>25</x:v>
      </x:c>
      <x:c r="G10" s="15" t="str">
        <x:v>Host network denied</x:v>
      </x:c>
      <x:c r="H10" s="15" t="str">
        <x:v>OPEN</x:v>
      </x:c>
      <x:c r="I10" s="15" t="str">
        <x:v>OPEN</x:v>
      </x:c>
    </x:row>
    <x:row r="11">
      <x:c r="A11" s="14" t="str">
        <x:v>QC-007</x:v>
      </x:c>
      <x:c r="B11" s="14" t="str">
        <x:v>CRC-01</x:v>
      </x:c>
      <x:c r="C11" s="14" t="str">
        <x:v>Q7</x:v>
      </x:c>
      <x:c r="D11" s="14" t="n">
        <x:v>500</x:v>
      </x:c>
      <x:c r="E11" s="14" t="n">
        <x:v>48</x:v>
      </x:c>
      <x:c r="F11" s="14" t="n">
        <x:v>25</x:v>
      </x:c>
      <x:c r="G11" s="14" t="str">
        <x:v>Primary time denied</x:v>
      </x:c>
      <x:c r="H11" s="14" t="str">
        <x:v>OPEN</x:v>
      </x:c>
      <x:c r="I11" s="14" t="str">
        <x:v>OPEN</x:v>
      </x:c>
    </x:row>
    <x:row r="12">
      <x:c r="A12" s="15" t="str">
        <x:v>QC-008</x:v>
      </x:c>
      <x:c r="B12" s="15" t="str">
        <x:v>CRC-01</x:v>
      </x:c>
      <x:c r="C12" s="15" t="str">
        <x:v>Q8</x:v>
      </x:c>
      <x:c r="D12" s="15" t="n">
        <x:v>500</x:v>
      </x:c>
      <x:c r="E12" s="15" t="n">
        <x:v>48</x:v>
      </x:c>
      <x:c r="F12" s="15" t="n">
        <x:v>25</x:v>
      </x:c>
      <x:c r="G12" s="15" t="str">
        <x:v>Normal water and heat rejection denied</x:v>
      </x:c>
      <x:c r="H12" s="15" t="str">
        <x:v>OPEN</x:v>
      </x:c>
      <x:c r="I12" s="15" t="str">
        <x:v>OPEN</x:v>
      </x:c>
    </x:row>
    <x:row r="13">
      <x:c r="A13" s="14" t="str">
        <x:v>QC-009</x:v>
      </x:c>
      <x:c r="B13" s="14" t="str">
        <x:v>CRC-01</x:v>
      </x:c>
      <x:c r="C13" s="14" t="str">
        <x:v>Q9</x:v>
      </x:c>
      <x:c r="D13" s="14" t="n">
        <x:v>500</x:v>
      </x:c>
      <x:c r="E13" s="14" t="n">
        <x:v>48</x:v>
      </x:c>
      <x:c r="F13" s="14" t="n">
        <x:v>25</x:v>
      </x:c>
      <x:c r="G13" s="14" t="str">
        <x:v>Normal receiver and command denied</x:v>
      </x:c>
      <x:c r="H13" s="14" t="str">
        <x:v>OPEN</x:v>
      </x:c>
      <x:c r="I13" s="14" t="str">
        <x:v>OPEN</x:v>
      </x:c>
    </x:row>
    <x:row r="14">
      <x:c r="A14" s="15" t="str">
        <x:v>QC-010</x:v>
      </x:c>
      <x:c r="B14" s="15" t="str">
        <x:v>CRC-01</x:v>
      </x:c>
      <x:c r="C14" s="15" t="str">
        <x:v>Q10</x:v>
      </x:c>
      <x:c r="D14" s="15" t="n">
        <x:v>500</x:v>
      </x:c>
      <x:c r="E14" s="15" t="n">
        <x:v>48</x:v>
      </x:c>
      <x:c r="F14" s="15" t="n">
        <x:v>25</x:v>
      </x:c>
      <x:c r="G14" s="15" t="str">
        <x:v>Compound loss and outside reconstruction</x:v>
      </x:c>
      <x:c r="H14" s="15" t="str">
        <x:v>OPEN</x:v>
      </x:c>
      <x:c r="I14" s="15" t="str">
        <x:v>OPEN</x:v>
      </x:c>
    </x:row>
    <x:row r="15">
      <x:c r="A15" s="14" t="str">
        <x:v>QC-011</x:v>
      </x:c>
      <x:c r="B15" s="14" t="str">
        <x:v>CRC-02</x:v>
      </x:c>
      <x:c r="C15" s="14" t="str">
        <x:v>Q1</x:v>
      </x:c>
      <x:c r="D15" s="14" t="n">
        <x:v>500</x:v>
      </x:c>
      <x:c r="E15" s="14" t="n">
        <x:v>24</x:v>
      </x:c>
      <x:c r="F15" s="14" t="n">
        <x:v>6.25</x:v>
      </x:c>
      <x:c r="G15" s="14" t="str">
        <x:v>ER-09 anchor</x:v>
      </x:c>
      <x:c r="H15" s="14" t="str">
        <x:v>OPEN</x:v>
      </x:c>
      <x:c r="I15" s="14" t="str">
        <x:v>OPEN</x:v>
      </x:c>
    </x:row>
    <x:row r="16">
      <x:c r="A16" s="15" t="str">
        <x:v>QC-012</x:v>
      </x:c>
      <x:c r="B16" s="15" t="str">
        <x:v>CRC-02</x:v>
      </x:c>
      <x:c r="C16" s="15" t="str">
        <x:v>Q2</x:v>
      </x:c>
      <x:c r="D16" s="15" t="n">
        <x:v>500</x:v>
      </x:c>
      <x:c r="E16" s="15" t="n">
        <x:v>24</x:v>
      </x:c>
      <x:c r="F16" s="15" t="n">
        <x:v>25</x:v>
      </x:c>
      <x:c r="G16" s="15" t="str">
        <x:v>Area transition</x:v>
      </x:c>
      <x:c r="H16" s="15" t="str">
        <x:v>OPEN</x:v>
      </x:c>
      <x:c r="I16" s="15" t="str">
        <x:v>OPEN</x:v>
      </x:c>
    </x:row>
    <x:row r="17">
      <x:c r="A17" s="14" t="str">
        <x:v>QC-013</x:v>
      </x:c>
      <x:c r="B17" s="14" t="str">
        <x:v>CRC-02</x:v>
      </x:c>
      <x:c r="C17" s="14" t="str">
        <x:v>Q3</x:v>
      </x:c>
      <x:c r="D17" s="14" t="n">
        <x:v>500</x:v>
      </x:c>
      <x:c r="E17" s="14" t="n">
        <x:v>48</x:v>
      </x:c>
      <x:c r="F17" s="14" t="n">
        <x:v>6.25</x:v>
      </x:c>
      <x:c r="G17" s="14" t="str">
        <x:v>Water transition</x:v>
      </x:c>
      <x:c r="H17" s="14" t="str">
        <x:v>OPEN</x:v>
      </x:c>
      <x:c r="I17" s="14" t="str">
        <x:v>OPEN</x:v>
      </x:c>
    </x:row>
    <x:row r="18">
      <x:c r="A18" s="15" t="str">
        <x:v>QC-014</x:v>
      </x:c>
      <x:c r="B18" s="15" t="str">
        <x:v>CRC-02</x:v>
      </x:c>
      <x:c r="C18" s="15" t="str">
        <x:v>Q4</x:v>
      </x:c>
      <x:c r="D18" s="15" t="n">
        <x:v>500</x:v>
      </x:c>
      <x:c r="E18" s="15" t="n">
        <x:v>48</x:v>
      </x:c>
      <x:c r="F18" s="15" t="n">
        <x:v>25</x:v>
      </x:c>
      <x:c r="G18" s="15" t="str">
        <x:v>Exact casualty</x:v>
      </x:c>
      <x:c r="H18" s="15" t="str">
        <x:v>OPEN</x:v>
      </x:c>
      <x:c r="I18" s="15" t="str">
        <x:v>OPEN</x:v>
      </x:c>
    </x:row>
    <x:row r="19">
      <x:c r="A19" s="14" t="str">
        <x:v>QC-015</x:v>
      </x:c>
      <x:c r="B19" s="14" t="str">
        <x:v>CRC-02</x:v>
      </x:c>
      <x:c r="C19" s="14" t="str">
        <x:v>Q5</x:v>
      </x:c>
      <x:c r="D19" s="14" t="n">
        <x:v>500</x:v>
      </x:c>
      <x:c r="E19" s="14" t="n">
        <x:v>48</x:v>
      </x:c>
      <x:c r="F19" s="14" t="n">
        <x:v>25</x:v>
      </x:c>
      <x:c r="G19" s="14" t="str">
        <x:v>Host energy denied</x:v>
      </x:c>
      <x:c r="H19" s="14" t="str">
        <x:v>OPEN</x:v>
      </x:c>
      <x:c r="I19" s="14" t="str">
        <x:v>OPEN</x:v>
      </x:c>
    </x:row>
    <x:row r="20">
      <x:c r="A20" s="15" t="str">
        <x:v>QC-016</x:v>
      </x:c>
      <x:c r="B20" s="15" t="str">
        <x:v>CRC-02</x:v>
      </x:c>
      <x:c r="C20" s="15" t="str">
        <x:v>Q6</x:v>
      </x:c>
      <x:c r="D20" s="15" t="n">
        <x:v>500</x:v>
      </x:c>
      <x:c r="E20" s="15" t="n">
        <x:v>48</x:v>
      </x:c>
      <x:c r="F20" s="15" t="n">
        <x:v>25</x:v>
      </x:c>
      <x:c r="G20" s="15" t="str">
        <x:v>Host network denied</x:v>
      </x:c>
      <x:c r="H20" s="15" t="str">
        <x:v>OPEN</x:v>
      </x:c>
      <x:c r="I20" s="15" t="str">
        <x:v>OPEN</x:v>
      </x:c>
    </x:row>
    <x:row r="21">
      <x:c r="A21" s="14" t="str">
        <x:v>QC-017</x:v>
      </x:c>
      <x:c r="B21" s="14" t="str">
        <x:v>CRC-02</x:v>
      </x:c>
      <x:c r="C21" s="14" t="str">
        <x:v>Q7</x:v>
      </x:c>
      <x:c r="D21" s="14" t="n">
        <x:v>500</x:v>
      </x:c>
      <x:c r="E21" s="14" t="n">
        <x:v>48</x:v>
      </x:c>
      <x:c r="F21" s="14" t="n">
        <x:v>25</x:v>
      </x:c>
      <x:c r="G21" s="14" t="str">
        <x:v>Primary time denied</x:v>
      </x:c>
      <x:c r="H21" s="14" t="str">
        <x:v>OPEN</x:v>
      </x:c>
      <x:c r="I21" s="14" t="str">
        <x:v>OPEN</x:v>
      </x:c>
    </x:row>
    <x:row r="22">
      <x:c r="A22" s="15" t="str">
        <x:v>QC-018</x:v>
      </x:c>
      <x:c r="B22" s="15" t="str">
        <x:v>CRC-02</x:v>
      </x:c>
      <x:c r="C22" s="15" t="str">
        <x:v>Q8</x:v>
      </x:c>
      <x:c r="D22" s="15" t="n">
        <x:v>500</x:v>
      </x:c>
      <x:c r="E22" s="15" t="n">
        <x:v>48</x:v>
      </x:c>
      <x:c r="F22" s="15" t="n">
        <x:v>25</x:v>
      </x:c>
      <x:c r="G22" s="15" t="str">
        <x:v>Normal water and heat rejection denied</x:v>
      </x:c>
      <x:c r="H22" s="15" t="str">
        <x:v>OPEN</x:v>
      </x:c>
      <x:c r="I22" s="15" t="str">
        <x:v>OPEN</x:v>
      </x:c>
    </x:row>
    <x:row r="23">
      <x:c r="A23" s="14" t="str">
        <x:v>QC-019</x:v>
      </x:c>
      <x:c r="B23" s="14" t="str">
        <x:v>CRC-02</x:v>
      </x:c>
      <x:c r="C23" s="14" t="str">
        <x:v>Q9</x:v>
      </x:c>
      <x:c r="D23" s="14" t="n">
        <x:v>500</x:v>
      </x:c>
      <x:c r="E23" s="14" t="n">
        <x:v>48</x:v>
      </x:c>
      <x:c r="F23" s="14" t="n">
        <x:v>25</x:v>
      </x:c>
      <x:c r="G23" s="14" t="str">
        <x:v>Normal receiver and command denied</x:v>
      </x:c>
      <x:c r="H23" s="14" t="str">
        <x:v>OPEN</x:v>
      </x:c>
      <x:c r="I23" s="14" t="str">
        <x:v>OPEN</x:v>
      </x:c>
    </x:row>
    <x:row r="24">
      <x:c r="A24" s="15" t="str">
        <x:v>QC-020</x:v>
      </x:c>
      <x:c r="B24" s="15" t="str">
        <x:v>CRC-02</x:v>
      </x:c>
      <x:c r="C24" s="15" t="str">
        <x:v>Q10</x:v>
      </x:c>
      <x:c r="D24" s="15" t="n">
        <x:v>500</x:v>
      </x:c>
      <x:c r="E24" s="15" t="n">
        <x:v>48</x:v>
      </x:c>
      <x:c r="F24" s="15" t="n">
        <x:v>25</x:v>
      </x:c>
      <x:c r="G24" s="15" t="str">
        <x:v>Compound loss and outside reconstruction</x:v>
      </x:c>
      <x:c r="H24" s="15" t="str">
        <x:v>OPEN</x:v>
      </x:c>
      <x:c r="I24" s="15" t="str">
        <x:v>OPEN</x:v>
      </x:c>
    </x:row>
    <x:row r="25">
      <x:c r="A25" s="14" t="str">
        <x:v>QC-021</x:v>
      </x:c>
      <x:c r="B25" s="14" t="str">
        <x:v>CRC-03</x:v>
      </x:c>
      <x:c r="C25" s="14" t="str">
        <x:v>Q1</x:v>
      </x:c>
      <x:c r="D25" s="14" t="n">
        <x:v>500</x:v>
      </x:c>
      <x:c r="E25" s="14" t="n">
        <x:v>24</x:v>
      </x:c>
      <x:c r="F25" s="14" t="n">
        <x:v>6.25</x:v>
      </x:c>
      <x:c r="G25" s="14" t="str">
        <x:v>ER-09 anchor</x:v>
      </x:c>
      <x:c r="H25" s="14" t="str">
        <x:v>OPEN</x:v>
      </x:c>
      <x:c r="I25" s="14" t="str">
        <x:v>OPEN</x:v>
      </x:c>
    </x:row>
    <x:row r="26">
      <x:c r="A26" s="15" t="str">
        <x:v>QC-022</x:v>
      </x:c>
      <x:c r="B26" s="15" t="str">
        <x:v>CRC-03</x:v>
      </x:c>
      <x:c r="C26" s="15" t="str">
        <x:v>Q2</x:v>
      </x:c>
      <x:c r="D26" s="15" t="n">
        <x:v>500</x:v>
      </x:c>
      <x:c r="E26" s="15" t="n">
        <x:v>24</x:v>
      </x:c>
      <x:c r="F26" s="15" t="n">
        <x:v>25</x:v>
      </x:c>
      <x:c r="G26" s="15" t="str">
        <x:v>Area transition</x:v>
      </x:c>
      <x:c r="H26" s="15" t="str">
        <x:v>OPEN</x:v>
      </x:c>
      <x:c r="I26" s="15" t="str">
        <x:v>OPEN</x:v>
      </x:c>
    </x:row>
    <x:row r="27">
      <x:c r="A27" s="14" t="str">
        <x:v>QC-023</x:v>
      </x:c>
      <x:c r="B27" s="14" t="str">
        <x:v>CRC-03</x:v>
      </x:c>
      <x:c r="C27" s="14" t="str">
        <x:v>Q3</x:v>
      </x:c>
      <x:c r="D27" s="14" t="n">
        <x:v>500</x:v>
      </x:c>
      <x:c r="E27" s="14" t="n">
        <x:v>48</x:v>
      </x:c>
      <x:c r="F27" s="14" t="n">
        <x:v>6.25</x:v>
      </x:c>
      <x:c r="G27" s="14" t="str">
        <x:v>Water transition</x:v>
      </x:c>
      <x:c r="H27" s="14" t="str">
        <x:v>OPEN</x:v>
      </x:c>
      <x:c r="I27" s="14" t="str">
        <x:v>OPEN</x:v>
      </x:c>
    </x:row>
    <x:row r="28">
      <x:c r="A28" s="15" t="str">
        <x:v>QC-024</x:v>
      </x:c>
      <x:c r="B28" s="15" t="str">
        <x:v>CRC-03</x:v>
      </x:c>
      <x:c r="C28" s="15" t="str">
        <x:v>Q4</x:v>
      </x:c>
      <x:c r="D28" s="15" t="n">
        <x:v>500</x:v>
      </x:c>
      <x:c r="E28" s="15" t="n">
        <x:v>48</x:v>
      </x:c>
      <x:c r="F28" s="15" t="n">
        <x:v>25</x:v>
      </x:c>
      <x:c r="G28" s="15" t="str">
        <x:v>Exact casualty</x:v>
      </x:c>
      <x:c r="H28" s="15" t="str">
        <x:v>OPEN</x:v>
      </x:c>
      <x:c r="I28" s="15" t="str">
        <x:v>OPEN</x:v>
      </x:c>
    </x:row>
    <x:row r="29">
      <x:c r="A29" s="14" t="str">
        <x:v>QC-025</x:v>
      </x:c>
      <x:c r="B29" s="14" t="str">
        <x:v>CRC-03</x:v>
      </x:c>
      <x:c r="C29" s="14" t="str">
        <x:v>Q5</x:v>
      </x:c>
      <x:c r="D29" s="14" t="n">
        <x:v>500</x:v>
      </x:c>
      <x:c r="E29" s="14" t="n">
        <x:v>48</x:v>
      </x:c>
      <x:c r="F29" s="14" t="n">
        <x:v>25</x:v>
      </x:c>
      <x:c r="G29" s="14" t="str">
        <x:v>Host energy denied</x:v>
      </x:c>
      <x:c r="H29" s="14" t="str">
        <x:v>OPEN</x:v>
      </x:c>
      <x:c r="I29" s="14" t="str">
        <x:v>OPEN</x:v>
      </x:c>
    </x:row>
    <x:row r="30">
      <x:c r="A30" s="15" t="str">
        <x:v>QC-026</x:v>
      </x:c>
      <x:c r="B30" s="15" t="str">
        <x:v>CRC-03</x:v>
      </x:c>
      <x:c r="C30" s="15" t="str">
        <x:v>Q6</x:v>
      </x:c>
      <x:c r="D30" s="15" t="n">
        <x:v>500</x:v>
      </x:c>
      <x:c r="E30" s="15" t="n">
        <x:v>48</x:v>
      </x:c>
      <x:c r="F30" s="15" t="n">
        <x:v>25</x:v>
      </x:c>
      <x:c r="G30" s="15" t="str">
        <x:v>Host network denied</x:v>
      </x:c>
      <x:c r="H30" s="15" t="str">
        <x:v>OPEN</x:v>
      </x:c>
      <x:c r="I30" s="15" t="str">
        <x:v>OPEN</x:v>
      </x:c>
    </x:row>
    <x:row r="31">
      <x:c r="A31" s="14" t="str">
        <x:v>QC-027</x:v>
      </x:c>
      <x:c r="B31" s="14" t="str">
        <x:v>CRC-03</x:v>
      </x:c>
      <x:c r="C31" s="14" t="str">
        <x:v>Q7</x:v>
      </x:c>
      <x:c r="D31" s="14" t="n">
        <x:v>500</x:v>
      </x:c>
      <x:c r="E31" s="14" t="n">
        <x:v>48</x:v>
      </x:c>
      <x:c r="F31" s="14" t="n">
        <x:v>25</x:v>
      </x:c>
      <x:c r="G31" s="14" t="str">
        <x:v>Primary time denied</x:v>
      </x:c>
      <x:c r="H31" s="14" t="str">
        <x:v>OPEN</x:v>
      </x:c>
      <x:c r="I31" s="14" t="str">
        <x:v>OPEN</x:v>
      </x:c>
    </x:row>
    <x:row r="32">
      <x:c r="A32" s="15" t="str">
        <x:v>QC-028</x:v>
      </x:c>
      <x:c r="B32" s="15" t="str">
        <x:v>CRC-03</x:v>
      </x:c>
      <x:c r="C32" s="15" t="str">
        <x:v>Q8</x:v>
      </x:c>
      <x:c r="D32" s="15" t="n">
        <x:v>500</x:v>
      </x:c>
      <x:c r="E32" s="15" t="n">
        <x:v>48</x:v>
      </x:c>
      <x:c r="F32" s="15" t="n">
        <x:v>25</x:v>
      </x:c>
      <x:c r="G32" s="15" t="str">
        <x:v>Normal water and heat rejection denied</x:v>
      </x:c>
      <x:c r="H32" s="15" t="str">
        <x:v>OPEN</x:v>
      </x:c>
      <x:c r="I32" s="15" t="str">
        <x:v>OPEN</x:v>
      </x:c>
    </x:row>
    <x:row r="33">
      <x:c r="A33" s="14" t="str">
        <x:v>QC-029</x:v>
      </x:c>
      <x:c r="B33" s="14" t="str">
        <x:v>CRC-03</x:v>
      </x:c>
      <x:c r="C33" s="14" t="str">
        <x:v>Q9</x:v>
      </x:c>
      <x:c r="D33" s="14" t="n">
        <x:v>500</x:v>
      </x:c>
      <x:c r="E33" s="14" t="n">
        <x:v>48</x:v>
      </x:c>
      <x:c r="F33" s="14" t="n">
        <x:v>25</x:v>
      </x:c>
      <x:c r="G33" s="14" t="str">
        <x:v>Normal receiver and command denied</x:v>
      </x:c>
      <x:c r="H33" s="14" t="str">
        <x:v>OPEN</x:v>
      </x:c>
      <x:c r="I33" s="14" t="str">
        <x:v>OPEN</x:v>
      </x:c>
    </x:row>
    <x:row r="34">
      <x:c r="A34" s="15" t="str">
        <x:v>QC-030</x:v>
      </x:c>
      <x:c r="B34" s="15" t="str">
        <x:v>CRC-03</x:v>
      </x:c>
      <x:c r="C34" s="15" t="str">
        <x:v>Q10</x:v>
      </x:c>
      <x:c r="D34" s="15" t="n">
        <x:v>500</x:v>
      </x:c>
      <x:c r="E34" s="15" t="n">
        <x:v>48</x:v>
      </x:c>
      <x:c r="F34" s="15" t="n">
        <x:v>25</x:v>
      </x:c>
      <x:c r="G34" s="15" t="str">
        <x:v>Compound loss and outside reconstruction</x:v>
      </x:c>
      <x:c r="H34" s="15" t="str">
        <x:v>OPEN</x:v>
      </x:c>
      <x:c r="I34" s="15" t="str">
        <x:v>OPEN</x:v>
      </x:c>
    </x:row>
    <x:row r="35">
      <x:c r="A35" s="14" t="str">
        <x:v>QC-031</x:v>
      </x:c>
      <x:c r="B35" s="14" t="str">
        <x:v>CRC-04</x:v>
      </x:c>
      <x:c r="C35" s="14" t="str">
        <x:v>Q1</x:v>
      </x:c>
      <x:c r="D35" s="14" t="n">
        <x:v>500</x:v>
      </x:c>
      <x:c r="E35" s="14" t="n">
        <x:v>24</x:v>
      </x:c>
      <x:c r="F35" s="14" t="n">
        <x:v>6.25</x:v>
      </x:c>
      <x:c r="G35" s="14" t="str">
        <x:v>ER-09 anchor</x:v>
      </x:c>
      <x:c r="H35" s="14" t="str">
        <x:v>OPEN</x:v>
      </x:c>
      <x:c r="I35" s="14" t="str">
        <x:v>OPEN</x:v>
      </x:c>
    </x:row>
    <x:row r="36">
      <x:c r="A36" s="15" t="str">
        <x:v>QC-032</x:v>
      </x:c>
      <x:c r="B36" s="15" t="str">
        <x:v>CRC-04</x:v>
      </x:c>
      <x:c r="C36" s="15" t="str">
        <x:v>Q2</x:v>
      </x:c>
      <x:c r="D36" s="15" t="n">
        <x:v>500</x:v>
      </x:c>
      <x:c r="E36" s="15" t="n">
        <x:v>24</x:v>
      </x:c>
      <x:c r="F36" s="15" t="n">
        <x:v>25</x:v>
      </x:c>
      <x:c r="G36" s="15" t="str">
        <x:v>Area transition</x:v>
      </x:c>
      <x:c r="H36" s="15" t="str">
        <x:v>OPEN</x:v>
      </x:c>
      <x:c r="I36" s="15" t="str">
        <x:v>OPEN</x:v>
      </x:c>
    </x:row>
    <x:row r="37">
      <x:c r="A37" s="14" t="str">
        <x:v>QC-033</x:v>
      </x:c>
      <x:c r="B37" s="14" t="str">
        <x:v>CRC-04</x:v>
      </x:c>
      <x:c r="C37" s="14" t="str">
        <x:v>Q3</x:v>
      </x:c>
      <x:c r="D37" s="14" t="n">
        <x:v>500</x:v>
      </x:c>
      <x:c r="E37" s="14" t="n">
        <x:v>48</x:v>
      </x:c>
      <x:c r="F37" s="14" t="n">
        <x:v>6.25</x:v>
      </x:c>
      <x:c r="G37" s="14" t="str">
        <x:v>Water transition</x:v>
      </x:c>
      <x:c r="H37" s="14" t="str">
        <x:v>OPEN</x:v>
      </x:c>
      <x:c r="I37" s="14" t="str">
        <x:v>OPEN</x:v>
      </x:c>
    </x:row>
    <x:row r="38">
      <x:c r="A38" s="15" t="str">
        <x:v>QC-034</x:v>
      </x:c>
      <x:c r="B38" s="15" t="str">
        <x:v>CRC-04</x:v>
      </x:c>
      <x:c r="C38" s="15" t="str">
        <x:v>Q4</x:v>
      </x:c>
      <x:c r="D38" s="15" t="n">
        <x:v>500</x:v>
      </x:c>
      <x:c r="E38" s="15" t="n">
        <x:v>48</x:v>
      </x:c>
      <x:c r="F38" s="15" t="n">
        <x:v>25</x:v>
      </x:c>
      <x:c r="G38" s="15" t="str">
        <x:v>Exact casualty</x:v>
      </x:c>
      <x:c r="H38" s="15" t="str">
        <x:v>OPEN</x:v>
      </x:c>
      <x:c r="I38" s="15" t="str">
        <x:v>OPEN</x:v>
      </x:c>
    </x:row>
    <x:row r="39">
      <x:c r="A39" s="14" t="str">
        <x:v>QC-035</x:v>
      </x:c>
      <x:c r="B39" s="14" t="str">
        <x:v>CRC-04</x:v>
      </x:c>
      <x:c r="C39" s="14" t="str">
        <x:v>Q5</x:v>
      </x:c>
      <x:c r="D39" s="14" t="n">
        <x:v>500</x:v>
      </x:c>
      <x:c r="E39" s="14" t="n">
        <x:v>48</x:v>
      </x:c>
      <x:c r="F39" s="14" t="n">
        <x:v>25</x:v>
      </x:c>
      <x:c r="G39" s="14" t="str">
        <x:v>Host energy denied</x:v>
      </x:c>
      <x:c r="H39" s="14" t="str">
        <x:v>OPEN</x:v>
      </x:c>
      <x:c r="I39" s="14" t="str">
        <x:v>OPEN</x:v>
      </x:c>
    </x:row>
    <x:row r="40">
      <x:c r="A40" s="15" t="str">
        <x:v>QC-036</x:v>
      </x:c>
      <x:c r="B40" s="15" t="str">
        <x:v>CRC-04</x:v>
      </x:c>
      <x:c r="C40" s="15" t="str">
        <x:v>Q6</x:v>
      </x:c>
      <x:c r="D40" s="15" t="n">
        <x:v>500</x:v>
      </x:c>
      <x:c r="E40" s="15" t="n">
        <x:v>48</x:v>
      </x:c>
      <x:c r="F40" s="15" t="n">
        <x:v>25</x:v>
      </x:c>
      <x:c r="G40" s="15" t="str">
        <x:v>Host network denied</x:v>
      </x:c>
      <x:c r="H40" s="15" t="str">
        <x:v>OPEN</x:v>
      </x:c>
      <x:c r="I40" s="15" t="str">
        <x:v>OPEN</x:v>
      </x:c>
    </x:row>
    <x:row r="41">
      <x:c r="A41" s="14" t="str">
        <x:v>QC-037</x:v>
      </x:c>
      <x:c r="B41" s="14" t="str">
        <x:v>CRC-04</x:v>
      </x:c>
      <x:c r="C41" s="14" t="str">
        <x:v>Q7</x:v>
      </x:c>
      <x:c r="D41" s="14" t="n">
        <x:v>500</x:v>
      </x:c>
      <x:c r="E41" s="14" t="n">
        <x:v>48</x:v>
      </x:c>
      <x:c r="F41" s="14" t="n">
        <x:v>25</x:v>
      </x:c>
      <x:c r="G41" s="14" t="str">
        <x:v>Primary time denied</x:v>
      </x:c>
      <x:c r="H41" s="14" t="str">
        <x:v>OPEN</x:v>
      </x:c>
      <x:c r="I41" s="14" t="str">
        <x:v>OPEN</x:v>
      </x:c>
    </x:row>
    <x:row r="42">
      <x:c r="A42" s="15" t="str">
        <x:v>QC-038</x:v>
      </x:c>
      <x:c r="B42" s="15" t="str">
        <x:v>CRC-04</x:v>
      </x:c>
      <x:c r="C42" s="15" t="str">
        <x:v>Q8</x:v>
      </x:c>
      <x:c r="D42" s="15" t="n">
        <x:v>500</x:v>
      </x:c>
      <x:c r="E42" s="15" t="n">
        <x:v>48</x:v>
      </x:c>
      <x:c r="F42" s="15" t="n">
        <x:v>25</x:v>
      </x:c>
      <x:c r="G42" s="15" t="str">
        <x:v>Normal water and heat rejection denied</x:v>
      </x:c>
      <x:c r="H42" s="15" t="str">
        <x:v>OPEN</x:v>
      </x:c>
      <x:c r="I42" s="15" t="str">
        <x:v>OPEN</x:v>
      </x:c>
    </x:row>
    <x:row r="43">
      <x:c r="A43" s="14" t="str">
        <x:v>QC-039</x:v>
      </x:c>
      <x:c r="B43" s="14" t="str">
        <x:v>CRC-04</x:v>
      </x:c>
      <x:c r="C43" s="14" t="str">
        <x:v>Q9</x:v>
      </x:c>
      <x:c r="D43" s="14" t="n">
        <x:v>500</x:v>
      </x:c>
      <x:c r="E43" s="14" t="n">
        <x:v>48</x:v>
      </x:c>
      <x:c r="F43" s="14" t="n">
        <x:v>25</x:v>
      </x:c>
      <x:c r="G43" s="14" t="str">
        <x:v>Normal receiver and command denied</x:v>
      </x:c>
      <x:c r="H43" s="14" t="str">
        <x:v>OPEN</x:v>
      </x:c>
      <x:c r="I43" s="14" t="str">
        <x:v>OPEN</x:v>
      </x:c>
    </x:row>
    <x:row r="44">
      <x:c r="A44" s="15" t="str">
        <x:v>QC-040</x:v>
      </x:c>
      <x:c r="B44" s="15" t="str">
        <x:v>CRC-04</x:v>
      </x:c>
      <x:c r="C44" s="15" t="str">
        <x:v>Q10</x:v>
      </x:c>
      <x:c r="D44" s="15" t="n">
        <x:v>500</x:v>
      </x:c>
      <x:c r="E44" s="15" t="n">
        <x:v>48</x:v>
      </x:c>
      <x:c r="F44" s="15" t="n">
        <x:v>25</x:v>
      </x:c>
      <x:c r="G44" s="15" t="str">
        <x:v>Compound loss and outside reconstruction</x:v>
      </x:c>
      <x:c r="H44" s="15" t="str">
        <x:v>OPEN</x:v>
      </x:c>
      <x:c r="I44" s="15" t="str">
        <x:v>OPEN</x:v>
      </x:c>
    </x:row>
    <x:row r="45">
      <x:c r="A45" s="14" t="str">
        <x:v>QC-041</x:v>
      </x:c>
      <x:c r="B45" s="14" t="str">
        <x:v>CRC-05</x:v>
      </x:c>
      <x:c r="C45" s="14" t="str">
        <x:v>Q1</x:v>
      </x:c>
      <x:c r="D45" s="14" t="n">
        <x:v>500</x:v>
      </x:c>
      <x:c r="E45" s="14" t="n">
        <x:v>24</x:v>
      </x:c>
      <x:c r="F45" s="14" t="n">
        <x:v>6.25</x:v>
      </x:c>
      <x:c r="G45" s="14" t="str">
        <x:v>ER-09 anchor</x:v>
      </x:c>
      <x:c r="H45" s="14" t="str">
        <x:v>OPEN</x:v>
      </x:c>
      <x:c r="I45" s="14" t="str">
        <x:v>OPEN</x:v>
      </x:c>
    </x:row>
    <x:row r="46">
      <x:c r="A46" s="15" t="str">
        <x:v>QC-042</x:v>
      </x:c>
      <x:c r="B46" s="15" t="str">
        <x:v>CRC-05</x:v>
      </x:c>
      <x:c r="C46" s="15" t="str">
        <x:v>Q2</x:v>
      </x:c>
      <x:c r="D46" s="15" t="n">
        <x:v>500</x:v>
      </x:c>
      <x:c r="E46" s="15" t="n">
        <x:v>24</x:v>
      </x:c>
      <x:c r="F46" s="15" t="n">
        <x:v>25</x:v>
      </x:c>
      <x:c r="G46" s="15" t="str">
        <x:v>Area transition</x:v>
      </x:c>
      <x:c r="H46" s="15" t="str">
        <x:v>OPEN</x:v>
      </x:c>
      <x:c r="I46" s="15" t="str">
        <x:v>OPEN</x:v>
      </x:c>
    </x:row>
    <x:row r="47">
      <x:c r="A47" s="14" t="str">
        <x:v>QC-043</x:v>
      </x:c>
      <x:c r="B47" s="14" t="str">
        <x:v>CRC-05</x:v>
      </x:c>
      <x:c r="C47" s="14" t="str">
        <x:v>Q3</x:v>
      </x:c>
      <x:c r="D47" s="14" t="n">
        <x:v>500</x:v>
      </x:c>
      <x:c r="E47" s="14" t="n">
        <x:v>48</x:v>
      </x:c>
      <x:c r="F47" s="14" t="n">
        <x:v>6.25</x:v>
      </x:c>
      <x:c r="G47" s="14" t="str">
        <x:v>Water transition</x:v>
      </x:c>
      <x:c r="H47" s="14" t="str">
        <x:v>OPEN</x:v>
      </x:c>
      <x:c r="I47" s="14" t="str">
        <x:v>OPEN</x:v>
      </x:c>
    </x:row>
    <x:row r="48">
      <x:c r="A48" s="15" t="str">
        <x:v>QC-044</x:v>
      </x:c>
      <x:c r="B48" s="15" t="str">
        <x:v>CRC-05</x:v>
      </x:c>
      <x:c r="C48" s="15" t="str">
        <x:v>Q4</x:v>
      </x:c>
      <x:c r="D48" s="15" t="n">
        <x:v>500</x:v>
      </x:c>
      <x:c r="E48" s="15" t="n">
        <x:v>48</x:v>
      </x:c>
      <x:c r="F48" s="15" t="n">
        <x:v>25</x:v>
      </x:c>
      <x:c r="G48" s="15" t="str">
        <x:v>Exact casualty</x:v>
      </x:c>
      <x:c r="H48" s="15" t="str">
        <x:v>OPEN</x:v>
      </x:c>
      <x:c r="I48" s="15" t="str">
        <x:v>OPEN</x:v>
      </x:c>
    </x:row>
    <x:row r="49">
      <x:c r="A49" s="14" t="str">
        <x:v>QC-045</x:v>
      </x:c>
      <x:c r="B49" s="14" t="str">
        <x:v>CRC-05</x:v>
      </x:c>
      <x:c r="C49" s="14" t="str">
        <x:v>Q5</x:v>
      </x:c>
      <x:c r="D49" s="14" t="n">
        <x:v>500</x:v>
      </x:c>
      <x:c r="E49" s="14" t="n">
        <x:v>48</x:v>
      </x:c>
      <x:c r="F49" s="14" t="n">
        <x:v>25</x:v>
      </x:c>
      <x:c r="G49" s="14" t="str">
        <x:v>Host energy denied</x:v>
      </x:c>
      <x:c r="H49" s="14" t="str">
        <x:v>OPEN</x:v>
      </x:c>
      <x:c r="I49" s="14" t="str">
        <x:v>OPEN</x:v>
      </x:c>
    </x:row>
    <x:row r="50">
      <x:c r="A50" s="15" t="str">
        <x:v>QC-046</x:v>
      </x:c>
      <x:c r="B50" s="15" t="str">
        <x:v>CRC-05</x:v>
      </x:c>
      <x:c r="C50" s="15" t="str">
        <x:v>Q6</x:v>
      </x:c>
      <x:c r="D50" s="15" t="n">
        <x:v>500</x:v>
      </x:c>
      <x:c r="E50" s="15" t="n">
        <x:v>48</x:v>
      </x:c>
      <x:c r="F50" s="15" t="n">
        <x:v>25</x:v>
      </x:c>
      <x:c r="G50" s="15" t="str">
        <x:v>Host network denied</x:v>
      </x:c>
      <x:c r="H50" s="15" t="str">
        <x:v>OPEN</x:v>
      </x:c>
      <x:c r="I50" s="15" t="str">
        <x:v>OPEN</x:v>
      </x:c>
    </x:row>
    <x:row r="51">
      <x:c r="A51" s="14" t="str">
        <x:v>QC-047</x:v>
      </x:c>
      <x:c r="B51" s="14" t="str">
        <x:v>CRC-05</x:v>
      </x:c>
      <x:c r="C51" s="14" t="str">
        <x:v>Q7</x:v>
      </x:c>
      <x:c r="D51" s="14" t="n">
        <x:v>500</x:v>
      </x:c>
      <x:c r="E51" s="14" t="n">
        <x:v>48</x:v>
      </x:c>
      <x:c r="F51" s="14" t="n">
        <x:v>25</x:v>
      </x:c>
      <x:c r="G51" s="14" t="str">
        <x:v>Primary time denied</x:v>
      </x:c>
      <x:c r="H51" s="14" t="str">
        <x:v>OPEN</x:v>
      </x:c>
      <x:c r="I51" s="14" t="str">
        <x:v>OPEN</x:v>
      </x:c>
    </x:row>
    <x:row r="52">
      <x:c r="A52" s="15" t="str">
        <x:v>QC-048</x:v>
      </x:c>
      <x:c r="B52" s="15" t="str">
        <x:v>CRC-05</x:v>
      </x:c>
      <x:c r="C52" s="15" t="str">
        <x:v>Q8</x:v>
      </x:c>
      <x:c r="D52" s="15" t="n">
        <x:v>500</x:v>
      </x:c>
      <x:c r="E52" s="15" t="n">
        <x:v>48</x:v>
      </x:c>
      <x:c r="F52" s="15" t="n">
        <x:v>25</x:v>
      </x:c>
      <x:c r="G52" s="15" t="str">
        <x:v>Normal water and heat rejection denied</x:v>
      </x:c>
      <x:c r="H52" s="15" t="str">
        <x:v>OPEN</x:v>
      </x:c>
      <x:c r="I52" s="15" t="str">
        <x:v>OPEN</x:v>
      </x:c>
    </x:row>
    <x:row r="53">
      <x:c r="A53" s="14" t="str">
        <x:v>QC-049</x:v>
      </x:c>
      <x:c r="B53" s="14" t="str">
        <x:v>CRC-05</x:v>
      </x:c>
      <x:c r="C53" s="14" t="str">
        <x:v>Q9</x:v>
      </x:c>
      <x:c r="D53" s="14" t="n">
        <x:v>500</x:v>
      </x:c>
      <x:c r="E53" s="14" t="n">
        <x:v>48</x:v>
      </x:c>
      <x:c r="F53" s="14" t="n">
        <x:v>25</x:v>
      </x:c>
      <x:c r="G53" s="14" t="str">
        <x:v>Normal receiver and command denied</x:v>
      </x:c>
      <x:c r="H53" s="14" t="str">
        <x:v>OPEN</x:v>
      </x:c>
      <x:c r="I53" s="14" t="str">
        <x:v>OPEN</x:v>
      </x:c>
    </x:row>
    <x:row r="54">
      <x:c r="A54" s="15" t="str">
        <x:v>QC-050</x:v>
      </x:c>
      <x:c r="B54" s="15" t="str">
        <x:v>CRC-05</x:v>
      </x:c>
      <x:c r="C54" s="15" t="str">
        <x:v>Q10</x:v>
      </x:c>
      <x:c r="D54" s="15" t="n">
        <x:v>500</x:v>
      </x:c>
      <x:c r="E54" s="15" t="n">
        <x:v>48</x:v>
      </x:c>
      <x:c r="F54" s="15" t="n">
        <x:v>25</x:v>
      </x:c>
      <x:c r="G54" s="15" t="str">
        <x:v>Compound loss and outside reconstruction</x:v>
      </x:c>
      <x:c r="H54" s="15" t="str">
        <x:v>OPEN</x:v>
      </x:c>
      <x:c r="I54" s="15" t="str">
        <x:v>OPEN</x:v>
      </x:c>
    </x:row>
    <x:row r="55">
      <x:c r="A55" s="14" t="str">
        <x:v>QC-051</x:v>
      </x:c>
      <x:c r="B55" s="14" t="str">
        <x:v>CRC-06</x:v>
      </x:c>
      <x:c r="C55" s="14" t="str">
        <x:v>Q1</x:v>
      </x:c>
      <x:c r="D55" s="14" t="n">
        <x:v>500</x:v>
      </x:c>
      <x:c r="E55" s="14" t="n">
        <x:v>24</x:v>
      </x:c>
      <x:c r="F55" s="14" t="n">
        <x:v>6.25</x:v>
      </x:c>
      <x:c r="G55" s="14" t="str">
        <x:v>ER-09 anchor</x:v>
      </x:c>
      <x:c r="H55" s="14" t="str">
        <x:v>OPEN</x:v>
      </x:c>
      <x:c r="I55" s="14" t="str">
        <x:v>OPEN</x:v>
      </x:c>
    </x:row>
    <x:row r="56">
      <x:c r="A56" s="15" t="str">
        <x:v>QC-052</x:v>
      </x:c>
      <x:c r="B56" s="15" t="str">
        <x:v>CRC-06</x:v>
      </x:c>
      <x:c r="C56" s="15" t="str">
        <x:v>Q2</x:v>
      </x:c>
      <x:c r="D56" s="15" t="n">
        <x:v>500</x:v>
      </x:c>
      <x:c r="E56" s="15" t="n">
        <x:v>24</x:v>
      </x:c>
      <x:c r="F56" s="15" t="n">
        <x:v>25</x:v>
      </x:c>
      <x:c r="G56" s="15" t="str">
        <x:v>Area transition</x:v>
      </x:c>
      <x:c r="H56" s="15" t="str">
        <x:v>OPEN</x:v>
      </x:c>
      <x:c r="I56" s="15" t="str">
        <x:v>OPEN</x:v>
      </x:c>
    </x:row>
    <x:row r="57">
      <x:c r="A57" s="14" t="str">
        <x:v>QC-053</x:v>
      </x:c>
      <x:c r="B57" s="14" t="str">
        <x:v>CRC-06</x:v>
      </x:c>
      <x:c r="C57" s="14" t="str">
        <x:v>Q3</x:v>
      </x:c>
      <x:c r="D57" s="14" t="n">
        <x:v>500</x:v>
      </x:c>
      <x:c r="E57" s="14" t="n">
        <x:v>48</x:v>
      </x:c>
      <x:c r="F57" s="14" t="n">
        <x:v>6.25</x:v>
      </x:c>
      <x:c r="G57" s="14" t="str">
        <x:v>Water transition</x:v>
      </x:c>
      <x:c r="H57" s="14" t="str">
        <x:v>OPEN</x:v>
      </x:c>
      <x:c r="I57" s="14" t="str">
        <x:v>OPEN</x:v>
      </x:c>
    </x:row>
    <x:row r="58">
      <x:c r="A58" s="15" t="str">
        <x:v>QC-054</x:v>
      </x:c>
      <x:c r="B58" s="15" t="str">
        <x:v>CRC-06</x:v>
      </x:c>
      <x:c r="C58" s="15" t="str">
        <x:v>Q4</x:v>
      </x:c>
      <x:c r="D58" s="15" t="n">
        <x:v>500</x:v>
      </x:c>
      <x:c r="E58" s="15" t="n">
        <x:v>48</x:v>
      </x:c>
      <x:c r="F58" s="15" t="n">
        <x:v>25</x:v>
      </x:c>
      <x:c r="G58" s="15" t="str">
        <x:v>Exact casualty</x:v>
      </x:c>
      <x:c r="H58" s="15" t="str">
        <x:v>OPEN</x:v>
      </x:c>
      <x:c r="I58" s="15" t="str">
        <x:v>OPEN</x:v>
      </x:c>
    </x:row>
    <x:row r="59">
      <x:c r="A59" s="14" t="str">
        <x:v>QC-055</x:v>
      </x:c>
      <x:c r="B59" s="14" t="str">
        <x:v>CRC-06</x:v>
      </x:c>
      <x:c r="C59" s="14" t="str">
        <x:v>Q5</x:v>
      </x:c>
      <x:c r="D59" s="14" t="n">
        <x:v>500</x:v>
      </x:c>
      <x:c r="E59" s="14" t="n">
        <x:v>48</x:v>
      </x:c>
      <x:c r="F59" s="14" t="n">
        <x:v>25</x:v>
      </x:c>
      <x:c r="G59" s="14" t="str">
        <x:v>Host energy denied</x:v>
      </x:c>
      <x:c r="H59" s="14" t="str">
        <x:v>OPEN</x:v>
      </x:c>
      <x:c r="I59" s="14" t="str">
        <x:v>OPEN</x:v>
      </x:c>
    </x:row>
    <x:row r="60">
      <x:c r="A60" s="15" t="str">
        <x:v>QC-056</x:v>
      </x:c>
      <x:c r="B60" s="15" t="str">
        <x:v>CRC-06</x:v>
      </x:c>
      <x:c r="C60" s="15" t="str">
        <x:v>Q6</x:v>
      </x:c>
      <x:c r="D60" s="15" t="n">
        <x:v>500</x:v>
      </x:c>
      <x:c r="E60" s="15" t="n">
        <x:v>48</x:v>
      </x:c>
      <x:c r="F60" s="15" t="n">
        <x:v>25</x:v>
      </x:c>
      <x:c r="G60" s="15" t="str">
        <x:v>Host network denied</x:v>
      </x:c>
      <x:c r="H60" s="15" t="str">
        <x:v>OPEN</x:v>
      </x:c>
      <x:c r="I60" s="15" t="str">
        <x:v>OPEN</x:v>
      </x:c>
    </x:row>
    <x:row r="61">
      <x:c r="A61" s="14" t="str">
        <x:v>QC-057</x:v>
      </x:c>
      <x:c r="B61" s="14" t="str">
        <x:v>CRC-06</x:v>
      </x:c>
      <x:c r="C61" s="14" t="str">
        <x:v>Q7</x:v>
      </x:c>
      <x:c r="D61" s="14" t="n">
        <x:v>500</x:v>
      </x:c>
      <x:c r="E61" s="14" t="n">
        <x:v>48</x:v>
      </x:c>
      <x:c r="F61" s="14" t="n">
        <x:v>25</x:v>
      </x:c>
      <x:c r="G61" s="14" t="str">
        <x:v>Primary time denied</x:v>
      </x:c>
      <x:c r="H61" s="14" t="str">
        <x:v>OPEN</x:v>
      </x:c>
      <x:c r="I61" s="14" t="str">
        <x:v>OPEN</x:v>
      </x:c>
    </x:row>
    <x:row r="62">
      <x:c r="A62" s="15" t="str">
        <x:v>QC-058</x:v>
      </x:c>
      <x:c r="B62" s="15" t="str">
        <x:v>CRC-06</x:v>
      </x:c>
      <x:c r="C62" s="15" t="str">
        <x:v>Q8</x:v>
      </x:c>
      <x:c r="D62" s="15" t="n">
        <x:v>500</x:v>
      </x:c>
      <x:c r="E62" s="15" t="n">
        <x:v>48</x:v>
      </x:c>
      <x:c r="F62" s="15" t="n">
        <x:v>25</x:v>
      </x:c>
      <x:c r="G62" s="15" t="str">
        <x:v>Normal water and heat rejection denied</x:v>
      </x:c>
      <x:c r="H62" s="15" t="str">
        <x:v>OPEN</x:v>
      </x:c>
      <x:c r="I62" s="15" t="str">
        <x:v>OPEN</x:v>
      </x:c>
    </x:row>
    <x:row r="63">
      <x:c r="A63" s="14" t="str">
        <x:v>QC-059</x:v>
      </x:c>
      <x:c r="B63" s="14" t="str">
        <x:v>CRC-06</x:v>
      </x:c>
      <x:c r="C63" s="14" t="str">
        <x:v>Q9</x:v>
      </x:c>
      <x:c r="D63" s="14" t="n">
        <x:v>500</x:v>
      </x:c>
      <x:c r="E63" s="14" t="n">
        <x:v>48</x:v>
      </x:c>
      <x:c r="F63" s="14" t="n">
        <x:v>25</x:v>
      </x:c>
      <x:c r="G63" s="14" t="str">
        <x:v>Normal receiver and command denied</x:v>
      </x:c>
      <x:c r="H63" s="14" t="str">
        <x:v>OPEN</x:v>
      </x:c>
      <x:c r="I63" s="14" t="str">
        <x:v>OPEN</x:v>
      </x:c>
    </x:row>
    <x:row r="64">
      <x:c r="A64" s="15" t="str">
        <x:v>QC-060</x:v>
      </x:c>
      <x:c r="B64" s="15" t="str">
        <x:v>CRC-06</x:v>
      </x:c>
      <x:c r="C64" s="15" t="str">
        <x:v>Q10</x:v>
      </x:c>
      <x:c r="D64" s="15" t="n">
        <x:v>500</x:v>
      </x:c>
      <x:c r="E64" s="15" t="n">
        <x:v>48</x:v>
      </x:c>
      <x:c r="F64" s="15" t="n">
        <x:v>25</x:v>
      </x:c>
      <x:c r="G64" s="15" t="str">
        <x:v>Compound loss and outside reconstruction</x:v>
      </x:c>
      <x:c r="H64" s="15" t="str">
        <x:v>OPEN</x:v>
      </x:c>
      <x:c r="I64" s="15" t="str">
        <x:v>OPEN</x:v>
      </x:c>
    </x:row>
    <x:row r="65">
      <x:c r="A65" s="14" t="str">
        <x:v>QC-061</x:v>
      </x:c>
      <x:c r="B65" s="14" t="str">
        <x:v>CRC-07</x:v>
      </x:c>
      <x:c r="C65" s="14" t="str">
        <x:v>Q1</x:v>
      </x:c>
      <x:c r="D65" s="14" t="n">
        <x:v>500</x:v>
      </x:c>
      <x:c r="E65" s="14" t="n">
        <x:v>24</x:v>
      </x:c>
      <x:c r="F65" s="14" t="n">
        <x:v>6.25</x:v>
      </x:c>
      <x:c r="G65" s="14" t="str">
        <x:v>ER-09 anchor</x:v>
      </x:c>
      <x:c r="H65" s="14" t="str">
        <x:v>OPEN</x:v>
      </x:c>
      <x:c r="I65" s="14" t="str">
        <x:v>OPEN</x:v>
      </x:c>
    </x:row>
    <x:row r="66">
      <x:c r="A66" s="15" t="str">
        <x:v>QC-062</x:v>
      </x:c>
      <x:c r="B66" s="15" t="str">
        <x:v>CRC-07</x:v>
      </x:c>
      <x:c r="C66" s="15" t="str">
        <x:v>Q2</x:v>
      </x:c>
      <x:c r="D66" s="15" t="n">
        <x:v>500</x:v>
      </x:c>
      <x:c r="E66" s="15" t="n">
        <x:v>24</x:v>
      </x:c>
      <x:c r="F66" s="15" t="n">
        <x:v>25</x:v>
      </x:c>
      <x:c r="G66" s="15" t="str">
        <x:v>Area transition</x:v>
      </x:c>
      <x:c r="H66" s="15" t="str">
        <x:v>OPEN</x:v>
      </x:c>
      <x:c r="I66" s="15" t="str">
        <x:v>OPEN</x:v>
      </x:c>
    </x:row>
    <x:row r="67">
      <x:c r="A67" s="14" t="str">
        <x:v>QC-063</x:v>
      </x:c>
      <x:c r="B67" s="14" t="str">
        <x:v>CRC-07</x:v>
      </x:c>
      <x:c r="C67" s="14" t="str">
        <x:v>Q3</x:v>
      </x:c>
      <x:c r="D67" s="14" t="n">
        <x:v>500</x:v>
      </x:c>
      <x:c r="E67" s="14" t="n">
        <x:v>48</x:v>
      </x:c>
      <x:c r="F67" s="14" t="n">
        <x:v>6.25</x:v>
      </x:c>
      <x:c r="G67" s="14" t="str">
        <x:v>Water transition</x:v>
      </x:c>
      <x:c r="H67" s="14" t="str">
        <x:v>OPEN</x:v>
      </x:c>
      <x:c r="I67" s="14" t="str">
        <x:v>OPEN</x:v>
      </x:c>
    </x:row>
    <x:row r="68">
      <x:c r="A68" s="15" t="str">
        <x:v>QC-064</x:v>
      </x:c>
      <x:c r="B68" s="15" t="str">
        <x:v>CRC-07</x:v>
      </x:c>
      <x:c r="C68" s="15" t="str">
        <x:v>Q4</x:v>
      </x:c>
      <x:c r="D68" s="15" t="n">
        <x:v>500</x:v>
      </x:c>
      <x:c r="E68" s="15" t="n">
        <x:v>48</x:v>
      </x:c>
      <x:c r="F68" s="15" t="n">
        <x:v>25</x:v>
      </x:c>
      <x:c r="G68" s="15" t="str">
        <x:v>Exact casualty</x:v>
      </x:c>
      <x:c r="H68" s="15" t="str">
        <x:v>OPEN</x:v>
      </x:c>
      <x:c r="I68" s="15" t="str">
        <x:v>OPEN</x:v>
      </x:c>
    </x:row>
    <x:row r="69">
      <x:c r="A69" s="14" t="str">
        <x:v>QC-065</x:v>
      </x:c>
      <x:c r="B69" s="14" t="str">
        <x:v>CRC-07</x:v>
      </x:c>
      <x:c r="C69" s="14" t="str">
        <x:v>Q5</x:v>
      </x:c>
      <x:c r="D69" s="14" t="n">
        <x:v>500</x:v>
      </x:c>
      <x:c r="E69" s="14" t="n">
        <x:v>48</x:v>
      </x:c>
      <x:c r="F69" s="14" t="n">
        <x:v>25</x:v>
      </x:c>
      <x:c r="G69" s="14" t="str">
        <x:v>Host energy denied</x:v>
      </x:c>
      <x:c r="H69" s="14" t="str">
        <x:v>OPEN</x:v>
      </x:c>
      <x:c r="I69" s="14" t="str">
        <x:v>OPEN</x:v>
      </x:c>
    </x:row>
    <x:row r="70">
      <x:c r="A70" s="15" t="str">
        <x:v>QC-066</x:v>
      </x:c>
      <x:c r="B70" s="15" t="str">
        <x:v>CRC-07</x:v>
      </x:c>
      <x:c r="C70" s="15" t="str">
        <x:v>Q6</x:v>
      </x:c>
      <x:c r="D70" s="15" t="n">
        <x:v>500</x:v>
      </x:c>
      <x:c r="E70" s="15" t="n">
        <x:v>48</x:v>
      </x:c>
      <x:c r="F70" s="15" t="n">
        <x:v>25</x:v>
      </x:c>
      <x:c r="G70" s="15" t="str">
        <x:v>Host network denied</x:v>
      </x:c>
      <x:c r="H70" s="15" t="str">
        <x:v>OPEN</x:v>
      </x:c>
      <x:c r="I70" s="15" t="str">
        <x:v>OPEN</x:v>
      </x:c>
    </x:row>
    <x:row r="71">
      <x:c r="A71" s="14" t="str">
        <x:v>QC-067</x:v>
      </x:c>
      <x:c r="B71" s="14" t="str">
        <x:v>CRC-07</x:v>
      </x:c>
      <x:c r="C71" s="14" t="str">
        <x:v>Q7</x:v>
      </x:c>
      <x:c r="D71" s="14" t="n">
        <x:v>500</x:v>
      </x:c>
      <x:c r="E71" s="14" t="n">
        <x:v>48</x:v>
      </x:c>
      <x:c r="F71" s="14" t="n">
        <x:v>25</x:v>
      </x:c>
      <x:c r="G71" s="14" t="str">
        <x:v>Primary time denied</x:v>
      </x:c>
      <x:c r="H71" s="14" t="str">
        <x:v>OPEN</x:v>
      </x:c>
      <x:c r="I71" s="14" t="str">
        <x:v>OPEN</x:v>
      </x:c>
    </x:row>
    <x:row r="72">
      <x:c r="A72" s="15" t="str">
        <x:v>QC-068</x:v>
      </x:c>
      <x:c r="B72" s="15" t="str">
        <x:v>CRC-07</x:v>
      </x:c>
      <x:c r="C72" s="15" t="str">
        <x:v>Q8</x:v>
      </x:c>
      <x:c r="D72" s="15" t="n">
        <x:v>500</x:v>
      </x:c>
      <x:c r="E72" s="15" t="n">
        <x:v>48</x:v>
      </x:c>
      <x:c r="F72" s="15" t="n">
        <x:v>25</x:v>
      </x:c>
      <x:c r="G72" s="15" t="str">
        <x:v>Normal water and heat rejection denied</x:v>
      </x:c>
      <x:c r="H72" s="15" t="str">
        <x:v>OPEN</x:v>
      </x:c>
      <x:c r="I72" s="15" t="str">
        <x:v>OPEN</x:v>
      </x:c>
    </x:row>
    <x:row r="73">
      <x:c r="A73" s="14" t="str">
        <x:v>QC-069</x:v>
      </x:c>
      <x:c r="B73" s="14" t="str">
        <x:v>CRC-07</x:v>
      </x:c>
      <x:c r="C73" s="14" t="str">
        <x:v>Q9</x:v>
      </x:c>
      <x:c r="D73" s="14" t="n">
        <x:v>500</x:v>
      </x:c>
      <x:c r="E73" s="14" t="n">
        <x:v>48</x:v>
      </x:c>
      <x:c r="F73" s="14" t="n">
        <x:v>25</x:v>
      </x:c>
      <x:c r="G73" s="14" t="str">
        <x:v>Normal receiver and command denied</x:v>
      </x:c>
      <x:c r="H73" s="14" t="str">
        <x:v>OPEN</x:v>
      </x:c>
      <x:c r="I73" s="14" t="str">
        <x:v>OPEN</x:v>
      </x:c>
    </x:row>
    <x:row r="74">
      <x:c r="A74" s="15" t="str">
        <x:v>QC-070</x:v>
      </x:c>
      <x:c r="B74" s="15" t="str">
        <x:v>CRC-07</x:v>
      </x:c>
      <x:c r="C74" s="15" t="str">
        <x:v>Q10</x:v>
      </x:c>
      <x:c r="D74" s="15" t="n">
        <x:v>500</x:v>
      </x:c>
      <x:c r="E74" s="15" t="n">
        <x:v>48</x:v>
      </x:c>
      <x:c r="F74" s="15" t="n">
        <x:v>25</x:v>
      </x:c>
      <x:c r="G74" s="15" t="str">
        <x:v>Compound loss and outside reconstruction</x:v>
      </x:c>
      <x:c r="H74" s="15" t="str">
        <x:v>OPEN</x:v>
      </x:c>
      <x:c r="I74" s="15" t="str">
        <x:v>OPEN</x:v>
      </x:c>
    </x:row>
    <x:row r="75">
      <x:c r="A75" s="14" t="str">
        <x:v>QC-071</x:v>
      </x:c>
      <x:c r="B75" s="14" t="str">
        <x:v>CRC-08</x:v>
      </x:c>
      <x:c r="C75" s="14" t="str">
        <x:v>Q1</x:v>
      </x:c>
      <x:c r="D75" s="14" t="n">
        <x:v>500</x:v>
      </x:c>
      <x:c r="E75" s="14" t="n">
        <x:v>24</x:v>
      </x:c>
      <x:c r="F75" s="14" t="n">
        <x:v>6.25</x:v>
      </x:c>
      <x:c r="G75" s="14" t="str">
        <x:v>ER-09 anchor</x:v>
      </x:c>
      <x:c r="H75" s="14" t="str">
        <x:v>OPEN</x:v>
      </x:c>
      <x:c r="I75" s="14" t="str">
        <x:v>OPEN</x:v>
      </x:c>
    </x:row>
    <x:row r="76">
      <x:c r="A76" s="15" t="str">
        <x:v>QC-072</x:v>
      </x:c>
      <x:c r="B76" s="15" t="str">
        <x:v>CRC-08</x:v>
      </x:c>
      <x:c r="C76" s="15" t="str">
        <x:v>Q2</x:v>
      </x:c>
      <x:c r="D76" s="15" t="n">
        <x:v>500</x:v>
      </x:c>
      <x:c r="E76" s="15" t="n">
        <x:v>24</x:v>
      </x:c>
      <x:c r="F76" s="15" t="n">
        <x:v>25</x:v>
      </x:c>
      <x:c r="G76" s="15" t="str">
        <x:v>Area transition</x:v>
      </x:c>
      <x:c r="H76" s="15" t="str">
        <x:v>OPEN</x:v>
      </x:c>
      <x:c r="I76" s="15" t="str">
        <x:v>OPEN</x:v>
      </x:c>
    </x:row>
    <x:row r="77">
      <x:c r="A77" s="14" t="str">
        <x:v>QC-073</x:v>
      </x:c>
      <x:c r="B77" s="14" t="str">
        <x:v>CRC-08</x:v>
      </x:c>
      <x:c r="C77" s="14" t="str">
        <x:v>Q3</x:v>
      </x:c>
      <x:c r="D77" s="14" t="n">
        <x:v>500</x:v>
      </x:c>
      <x:c r="E77" s="14" t="n">
        <x:v>48</x:v>
      </x:c>
      <x:c r="F77" s="14" t="n">
        <x:v>6.25</x:v>
      </x:c>
      <x:c r="G77" s="14" t="str">
        <x:v>Water transition</x:v>
      </x:c>
      <x:c r="H77" s="14" t="str">
        <x:v>OPEN</x:v>
      </x:c>
      <x:c r="I77" s="14" t="str">
        <x:v>OPEN</x:v>
      </x:c>
    </x:row>
    <x:row r="78">
      <x:c r="A78" s="15" t="str">
        <x:v>QC-074</x:v>
      </x:c>
      <x:c r="B78" s="15" t="str">
        <x:v>CRC-08</x:v>
      </x:c>
      <x:c r="C78" s="15" t="str">
        <x:v>Q4</x:v>
      </x:c>
      <x:c r="D78" s="15" t="n">
        <x:v>500</x:v>
      </x:c>
      <x:c r="E78" s="15" t="n">
        <x:v>48</x:v>
      </x:c>
      <x:c r="F78" s="15" t="n">
        <x:v>25</x:v>
      </x:c>
      <x:c r="G78" s="15" t="str">
        <x:v>Exact casualty</x:v>
      </x:c>
      <x:c r="H78" s="15" t="str">
        <x:v>OPEN</x:v>
      </x:c>
      <x:c r="I78" s="15" t="str">
        <x:v>OPEN</x:v>
      </x:c>
    </x:row>
    <x:row r="79">
      <x:c r="A79" s="14" t="str">
        <x:v>QC-075</x:v>
      </x:c>
      <x:c r="B79" s="14" t="str">
        <x:v>CRC-08</x:v>
      </x:c>
      <x:c r="C79" s="14" t="str">
        <x:v>Q5</x:v>
      </x:c>
      <x:c r="D79" s="14" t="n">
        <x:v>500</x:v>
      </x:c>
      <x:c r="E79" s="14" t="n">
        <x:v>48</x:v>
      </x:c>
      <x:c r="F79" s="14" t="n">
        <x:v>25</x:v>
      </x:c>
      <x:c r="G79" s="14" t="str">
        <x:v>Host energy denied</x:v>
      </x:c>
      <x:c r="H79" s="14" t="str">
        <x:v>OPEN</x:v>
      </x:c>
      <x:c r="I79" s="14" t="str">
        <x:v>OPEN</x:v>
      </x:c>
    </x:row>
    <x:row r="80">
      <x:c r="A80" s="15" t="str">
        <x:v>QC-076</x:v>
      </x:c>
      <x:c r="B80" s="15" t="str">
        <x:v>CRC-08</x:v>
      </x:c>
      <x:c r="C80" s="15" t="str">
        <x:v>Q6</x:v>
      </x:c>
      <x:c r="D80" s="15" t="n">
        <x:v>500</x:v>
      </x:c>
      <x:c r="E80" s="15" t="n">
        <x:v>48</x:v>
      </x:c>
      <x:c r="F80" s="15" t="n">
        <x:v>25</x:v>
      </x:c>
      <x:c r="G80" s="15" t="str">
        <x:v>Host network denied</x:v>
      </x:c>
      <x:c r="H80" s="15" t="str">
        <x:v>OPEN</x:v>
      </x:c>
      <x:c r="I80" s="15" t="str">
        <x:v>OPEN</x:v>
      </x:c>
    </x:row>
    <x:row r="81">
      <x:c r="A81" s="14" t="str">
        <x:v>QC-077</x:v>
      </x:c>
      <x:c r="B81" s="14" t="str">
        <x:v>CRC-08</x:v>
      </x:c>
      <x:c r="C81" s="14" t="str">
        <x:v>Q7</x:v>
      </x:c>
      <x:c r="D81" s="14" t="n">
        <x:v>500</x:v>
      </x:c>
      <x:c r="E81" s="14" t="n">
        <x:v>48</x:v>
      </x:c>
      <x:c r="F81" s="14" t="n">
        <x:v>25</x:v>
      </x:c>
      <x:c r="G81" s="14" t="str">
        <x:v>Primary time denied</x:v>
      </x:c>
      <x:c r="H81" s="14" t="str">
        <x:v>OPEN</x:v>
      </x:c>
      <x:c r="I81" s="14" t="str">
        <x:v>OPEN</x:v>
      </x:c>
    </x:row>
    <x:row r="82">
      <x:c r="A82" s="15" t="str">
        <x:v>QC-078</x:v>
      </x:c>
      <x:c r="B82" s="15" t="str">
        <x:v>CRC-08</x:v>
      </x:c>
      <x:c r="C82" s="15" t="str">
        <x:v>Q8</x:v>
      </x:c>
      <x:c r="D82" s="15" t="n">
        <x:v>500</x:v>
      </x:c>
      <x:c r="E82" s="15" t="n">
        <x:v>48</x:v>
      </x:c>
      <x:c r="F82" s="15" t="n">
        <x:v>25</x:v>
      </x:c>
      <x:c r="G82" s="15" t="str">
        <x:v>Normal water and heat rejection denied</x:v>
      </x:c>
      <x:c r="H82" s="15" t="str">
        <x:v>OPEN</x:v>
      </x:c>
      <x:c r="I82" s="15" t="str">
        <x:v>OPEN</x:v>
      </x:c>
    </x:row>
    <x:row r="83">
      <x:c r="A83" s="14" t="str">
        <x:v>QC-079</x:v>
      </x:c>
      <x:c r="B83" s="14" t="str">
        <x:v>CRC-08</x:v>
      </x:c>
      <x:c r="C83" s="14" t="str">
        <x:v>Q9</x:v>
      </x:c>
      <x:c r="D83" s="14" t="n">
        <x:v>500</x:v>
      </x:c>
      <x:c r="E83" s="14" t="n">
        <x:v>48</x:v>
      </x:c>
      <x:c r="F83" s="14" t="n">
        <x:v>25</x:v>
      </x:c>
      <x:c r="G83" s="14" t="str">
        <x:v>Normal receiver and command denied</x:v>
      </x:c>
      <x:c r="H83" s="14" t="str">
        <x:v>OPEN</x:v>
      </x:c>
      <x:c r="I83" s="14" t="str">
        <x:v>OPEN</x:v>
      </x:c>
    </x:row>
    <x:row r="84">
      <x:c r="A84" s="15" t="str">
        <x:v>QC-080</x:v>
      </x:c>
      <x:c r="B84" s="15" t="str">
        <x:v>CRC-08</x:v>
      </x:c>
      <x:c r="C84" s="15" t="str">
        <x:v>Q10</x:v>
      </x:c>
      <x:c r="D84" s="15" t="n">
        <x:v>500</x:v>
      </x:c>
      <x:c r="E84" s="15" t="n">
        <x:v>48</x:v>
      </x:c>
      <x:c r="F84" s="15" t="n">
        <x:v>25</x:v>
      </x:c>
      <x:c r="G84" s="15" t="str">
        <x:v>Compound loss and outside reconstruction</x:v>
      </x:c>
      <x:c r="H84" s="15" t="str">
        <x:v>OPEN</x:v>
      </x:c>
      <x:c r="I84" s="15" t="str">
        <x:v>OPEN</x:v>
      </x:c>
    </x:row>
    <x:row r="85">
      <x:c r="A85" s="14" t="str">
        <x:v>QC-081</x:v>
      </x:c>
      <x:c r="B85" s="14" t="str">
        <x:v>CRC-09</x:v>
      </x:c>
      <x:c r="C85" s="14" t="str">
        <x:v>Q1</x:v>
      </x:c>
      <x:c r="D85" s="14" t="n">
        <x:v>500</x:v>
      </x:c>
      <x:c r="E85" s="14" t="n">
        <x:v>24</x:v>
      </x:c>
      <x:c r="F85" s="14" t="n">
        <x:v>6.25</x:v>
      </x:c>
      <x:c r="G85" s="14" t="str">
        <x:v>ER-09 anchor</x:v>
      </x:c>
      <x:c r="H85" s="14" t="str">
        <x:v>OPEN</x:v>
      </x:c>
      <x:c r="I85" s="14" t="str">
        <x:v>OPEN</x:v>
      </x:c>
    </x:row>
    <x:row r="86">
      <x:c r="A86" s="15" t="str">
        <x:v>QC-082</x:v>
      </x:c>
      <x:c r="B86" s="15" t="str">
        <x:v>CRC-09</x:v>
      </x:c>
      <x:c r="C86" s="15" t="str">
        <x:v>Q2</x:v>
      </x:c>
      <x:c r="D86" s="15" t="n">
        <x:v>500</x:v>
      </x:c>
      <x:c r="E86" s="15" t="n">
        <x:v>24</x:v>
      </x:c>
      <x:c r="F86" s="15" t="n">
        <x:v>25</x:v>
      </x:c>
      <x:c r="G86" s="15" t="str">
        <x:v>Area transition</x:v>
      </x:c>
      <x:c r="H86" s="15" t="str">
        <x:v>OPEN</x:v>
      </x:c>
      <x:c r="I86" s="15" t="str">
        <x:v>OPEN</x:v>
      </x:c>
    </x:row>
    <x:row r="87">
      <x:c r="A87" s="14" t="str">
        <x:v>QC-083</x:v>
      </x:c>
      <x:c r="B87" s="14" t="str">
        <x:v>CRC-09</x:v>
      </x:c>
      <x:c r="C87" s="14" t="str">
        <x:v>Q3</x:v>
      </x:c>
      <x:c r="D87" s="14" t="n">
        <x:v>500</x:v>
      </x:c>
      <x:c r="E87" s="14" t="n">
        <x:v>48</x:v>
      </x:c>
      <x:c r="F87" s="14" t="n">
        <x:v>6.25</x:v>
      </x:c>
      <x:c r="G87" s="14" t="str">
        <x:v>Water transition</x:v>
      </x:c>
      <x:c r="H87" s="14" t="str">
        <x:v>OPEN</x:v>
      </x:c>
      <x:c r="I87" s="14" t="str">
        <x:v>OPEN</x:v>
      </x:c>
    </x:row>
    <x:row r="88">
      <x:c r="A88" s="15" t="str">
        <x:v>QC-084</x:v>
      </x:c>
      <x:c r="B88" s="15" t="str">
        <x:v>CRC-09</x:v>
      </x:c>
      <x:c r="C88" s="15" t="str">
        <x:v>Q4</x:v>
      </x:c>
      <x:c r="D88" s="15" t="n">
        <x:v>500</x:v>
      </x:c>
      <x:c r="E88" s="15" t="n">
        <x:v>48</x:v>
      </x:c>
      <x:c r="F88" s="15" t="n">
        <x:v>25</x:v>
      </x:c>
      <x:c r="G88" s="15" t="str">
        <x:v>Exact casualty</x:v>
      </x:c>
      <x:c r="H88" s="15" t="str">
        <x:v>OPEN</x:v>
      </x:c>
      <x:c r="I88" s="15" t="str">
        <x:v>OPEN</x:v>
      </x:c>
    </x:row>
    <x:row r="89">
      <x:c r="A89" s="14" t="str">
        <x:v>QC-085</x:v>
      </x:c>
      <x:c r="B89" s="14" t="str">
        <x:v>CRC-09</x:v>
      </x:c>
      <x:c r="C89" s="14" t="str">
        <x:v>Q5</x:v>
      </x:c>
      <x:c r="D89" s="14" t="n">
        <x:v>500</x:v>
      </x:c>
      <x:c r="E89" s="14" t="n">
        <x:v>48</x:v>
      </x:c>
      <x:c r="F89" s="14" t="n">
        <x:v>25</x:v>
      </x:c>
      <x:c r="G89" s="14" t="str">
        <x:v>Host energy denied</x:v>
      </x:c>
      <x:c r="H89" s="14" t="str">
        <x:v>OPEN</x:v>
      </x:c>
      <x:c r="I89" s="14" t="str">
        <x:v>OPEN</x:v>
      </x:c>
    </x:row>
    <x:row r="90">
      <x:c r="A90" s="15" t="str">
        <x:v>QC-086</x:v>
      </x:c>
      <x:c r="B90" s="15" t="str">
        <x:v>CRC-09</x:v>
      </x:c>
      <x:c r="C90" s="15" t="str">
        <x:v>Q6</x:v>
      </x:c>
      <x:c r="D90" s="15" t="n">
        <x:v>500</x:v>
      </x:c>
      <x:c r="E90" s="15" t="n">
        <x:v>48</x:v>
      </x:c>
      <x:c r="F90" s="15" t="n">
        <x:v>25</x:v>
      </x:c>
      <x:c r="G90" s="15" t="str">
        <x:v>Host network denied</x:v>
      </x:c>
      <x:c r="H90" s="15" t="str">
        <x:v>OPEN</x:v>
      </x:c>
      <x:c r="I90" s="15" t="str">
        <x:v>OPEN</x:v>
      </x:c>
    </x:row>
    <x:row r="91">
      <x:c r="A91" s="14" t="str">
        <x:v>QC-087</x:v>
      </x:c>
      <x:c r="B91" s="14" t="str">
        <x:v>CRC-09</x:v>
      </x:c>
      <x:c r="C91" s="14" t="str">
        <x:v>Q7</x:v>
      </x:c>
      <x:c r="D91" s="14" t="n">
        <x:v>500</x:v>
      </x:c>
      <x:c r="E91" s="14" t="n">
        <x:v>48</x:v>
      </x:c>
      <x:c r="F91" s="14" t="n">
        <x:v>25</x:v>
      </x:c>
      <x:c r="G91" s="14" t="str">
        <x:v>Primary time denied</x:v>
      </x:c>
      <x:c r="H91" s="14" t="str">
        <x:v>OPEN</x:v>
      </x:c>
      <x:c r="I91" s="14" t="str">
        <x:v>OPEN</x:v>
      </x:c>
    </x:row>
    <x:row r="92">
      <x:c r="A92" s="15" t="str">
        <x:v>QC-088</x:v>
      </x:c>
      <x:c r="B92" s="15" t="str">
        <x:v>CRC-09</x:v>
      </x:c>
      <x:c r="C92" s="15" t="str">
        <x:v>Q8</x:v>
      </x:c>
      <x:c r="D92" s="15" t="n">
        <x:v>500</x:v>
      </x:c>
      <x:c r="E92" s="15" t="n">
        <x:v>48</x:v>
      </x:c>
      <x:c r="F92" s="15" t="n">
        <x:v>25</x:v>
      </x:c>
      <x:c r="G92" s="15" t="str">
        <x:v>Normal water and heat rejection denied</x:v>
      </x:c>
      <x:c r="H92" s="15" t="str">
        <x:v>OPEN</x:v>
      </x:c>
      <x:c r="I92" s="15" t="str">
        <x:v>OPEN</x:v>
      </x:c>
    </x:row>
    <x:row r="93">
      <x:c r="A93" s="14" t="str">
        <x:v>QC-089</x:v>
      </x:c>
      <x:c r="B93" s="14" t="str">
        <x:v>CRC-09</x:v>
      </x:c>
      <x:c r="C93" s="14" t="str">
        <x:v>Q9</x:v>
      </x:c>
      <x:c r="D93" s="14" t="n">
        <x:v>500</x:v>
      </x:c>
      <x:c r="E93" s="14" t="n">
        <x:v>48</x:v>
      </x:c>
      <x:c r="F93" s="14" t="n">
        <x:v>25</x:v>
      </x:c>
      <x:c r="G93" s="14" t="str">
        <x:v>Normal receiver and command denied</x:v>
      </x:c>
      <x:c r="H93" s="14" t="str">
        <x:v>OPEN</x:v>
      </x:c>
      <x:c r="I93" s="14" t="str">
        <x:v>OPEN</x:v>
      </x:c>
    </x:row>
    <x:row r="94">
      <x:c r="A94" s="15" t="str">
        <x:v>QC-090</x:v>
      </x:c>
      <x:c r="B94" s="15" t="str">
        <x:v>CRC-09</x:v>
      </x:c>
      <x:c r="C94" s="15" t="str">
        <x:v>Q10</x:v>
      </x:c>
      <x:c r="D94" s="15" t="n">
        <x:v>500</x:v>
      </x:c>
      <x:c r="E94" s="15" t="n">
        <x:v>48</x:v>
      </x:c>
      <x:c r="F94" s="15" t="n">
        <x:v>25</x:v>
      </x:c>
      <x:c r="G94" s="15" t="str">
        <x:v>Compound loss and outside reconstruction</x:v>
      </x:c>
      <x:c r="H94" s="15" t="str">
        <x:v>OPEN</x:v>
      </x:c>
      <x:c r="I94" s="15" t="str">
        <x:v>OPEN</x:v>
      </x:c>
    </x:row>
    <x:row r="95">
      <x:c r="A95" s="14" t="str">
        <x:v>QC-091</x:v>
      </x:c>
      <x:c r="B95" s="14" t="str">
        <x:v>CRC-10</x:v>
      </x:c>
      <x:c r="C95" s="14" t="str">
        <x:v>Q1</x:v>
      </x:c>
      <x:c r="D95" s="14" t="n">
        <x:v>500</x:v>
      </x:c>
      <x:c r="E95" s="14" t="n">
        <x:v>24</x:v>
      </x:c>
      <x:c r="F95" s="14" t="n">
        <x:v>6.25</x:v>
      </x:c>
      <x:c r="G95" s="14" t="str">
        <x:v>ER-09 anchor</x:v>
      </x:c>
      <x:c r="H95" s="14" t="str">
        <x:v>OPEN</x:v>
      </x:c>
      <x:c r="I95" s="14" t="str">
        <x:v>OPEN</x:v>
      </x:c>
    </x:row>
    <x:row r="96">
      <x:c r="A96" s="15" t="str">
        <x:v>QC-092</x:v>
      </x:c>
      <x:c r="B96" s="15" t="str">
        <x:v>CRC-10</x:v>
      </x:c>
      <x:c r="C96" s="15" t="str">
        <x:v>Q2</x:v>
      </x:c>
      <x:c r="D96" s="15" t="n">
        <x:v>500</x:v>
      </x:c>
      <x:c r="E96" s="15" t="n">
        <x:v>24</x:v>
      </x:c>
      <x:c r="F96" s="15" t="n">
        <x:v>25</x:v>
      </x:c>
      <x:c r="G96" s="15" t="str">
        <x:v>Area transition</x:v>
      </x:c>
      <x:c r="H96" s="15" t="str">
        <x:v>OPEN</x:v>
      </x:c>
      <x:c r="I96" s="15" t="str">
        <x:v>OPEN</x:v>
      </x:c>
    </x:row>
    <x:row r="97">
      <x:c r="A97" s="14" t="str">
        <x:v>QC-093</x:v>
      </x:c>
      <x:c r="B97" s="14" t="str">
        <x:v>CRC-10</x:v>
      </x:c>
      <x:c r="C97" s="14" t="str">
        <x:v>Q3</x:v>
      </x:c>
      <x:c r="D97" s="14" t="n">
        <x:v>500</x:v>
      </x:c>
      <x:c r="E97" s="14" t="n">
        <x:v>48</x:v>
      </x:c>
      <x:c r="F97" s="14" t="n">
        <x:v>6.25</x:v>
      </x:c>
      <x:c r="G97" s="14" t="str">
        <x:v>Water transition</x:v>
      </x:c>
      <x:c r="H97" s="14" t="str">
        <x:v>OPEN</x:v>
      </x:c>
      <x:c r="I97" s="14" t="str">
        <x:v>OPEN</x:v>
      </x:c>
    </x:row>
    <x:row r="98">
      <x:c r="A98" s="15" t="str">
        <x:v>QC-094</x:v>
      </x:c>
      <x:c r="B98" s="15" t="str">
        <x:v>CRC-10</x:v>
      </x:c>
      <x:c r="C98" s="15" t="str">
        <x:v>Q4</x:v>
      </x:c>
      <x:c r="D98" s="15" t="n">
        <x:v>500</x:v>
      </x:c>
      <x:c r="E98" s="15" t="n">
        <x:v>48</x:v>
      </x:c>
      <x:c r="F98" s="15" t="n">
        <x:v>25</x:v>
      </x:c>
      <x:c r="G98" s="15" t="str">
        <x:v>Exact casualty</x:v>
      </x:c>
      <x:c r="H98" s="15" t="str">
        <x:v>OPEN</x:v>
      </x:c>
      <x:c r="I98" s="15" t="str">
        <x:v>OPEN</x:v>
      </x:c>
    </x:row>
    <x:row r="99">
      <x:c r="A99" s="14" t="str">
        <x:v>QC-095</x:v>
      </x:c>
      <x:c r="B99" s="14" t="str">
        <x:v>CRC-10</x:v>
      </x:c>
      <x:c r="C99" s="14" t="str">
        <x:v>Q5</x:v>
      </x:c>
      <x:c r="D99" s="14" t="n">
        <x:v>500</x:v>
      </x:c>
      <x:c r="E99" s="14" t="n">
        <x:v>48</x:v>
      </x:c>
      <x:c r="F99" s="14" t="n">
        <x:v>25</x:v>
      </x:c>
      <x:c r="G99" s="14" t="str">
        <x:v>Host energy denied</x:v>
      </x:c>
      <x:c r="H99" s="14" t="str">
        <x:v>OPEN</x:v>
      </x:c>
      <x:c r="I99" s="14" t="str">
        <x:v>OPEN</x:v>
      </x:c>
    </x:row>
    <x:row r="100">
      <x:c r="A100" s="15" t="str">
        <x:v>QC-096</x:v>
      </x:c>
      <x:c r="B100" s="15" t="str">
        <x:v>CRC-10</x:v>
      </x:c>
      <x:c r="C100" s="15" t="str">
        <x:v>Q6</x:v>
      </x:c>
      <x:c r="D100" s="15" t="n">
        <x:v>500</x:v>
      </x:c>
      <x:c r="E100" s="15" t="n">
        <x:v>48</x:v>
      </x:c>
      <x:c r="F100" s="15" t="n">
        <x:v>25</x:v>
      </x:c>
      <x:c r="G100" s="15" t="str">
        <x:v>Host network denied</x:v>
      </x:c>
      <x:c r="H100" s="15" t="str">
        <x:v>OPEN</x:v>
      </x:c>
      <x:c r="I100" s="15" t="str">
        <x:v>OPEN</x:v>
      </x:c>
    </x:row>
    <x:row r="101">
      <x:c r="A101" s="14" t="str">
        <x:v>QC-097</x:v>
      </x:c>
      <x:c r="B101" s="14" t="str">
        <x:v>CRC-10</x:v>
      </x:c>
      <x:c r="C101" s="14" t="str">
        <x:v>Q7</x:v>
      </x:c>
      <x:c r="D101" s="14" t="n">
        <x:v>500</x:v>
      </x:c>
      <x:c r="E101" s="14" t="n">
        <x:v>48</x:v>
      </x:c>
      <x:c r="F101" s="14" t="n">
        <x:v>25</x:v>
      </x:c>
      <x:c r="G101" s="14" t="str">
        <x:v>Primary time denied</x:v>
      </x:c>
      <x:c r="H101" s="14" t="str">
        <x:v>OPEN</x:v>
      </x:c>
      <x:c r="I101" s="14" t="str">
        <x:v>OPEN</x:v>
      </x:c>
    </x:row>
    <x:row r="102">
      <x:c r="A102" s="15" t="str">
        <x:v>QC-098</x:v>
      </x:c>
      <x:c r="B102" s="15" t="str">
        <x:v>CRC-10</x:v>
      </x:c>
      <x:c r="C102" s="15" t="str">
        <x:v>Q8</x:v>
      </x:c>
      <x:c r="D102" s="15" t="n">
        <x:v>500</x:v>
      </x:c>
      <x:c r="E102" s="15" t="n">
        <x:v>48</x:v>
      </x:c>
      <x:c r="F102" s="15" t="n">
        <x:v>25</x:v>
      </x:c>
      <x:c r="G102" s="15" t="str">
        <x:v>Normal water and heat rejection denied</x:v>
      </x:c>
      <x:c r="H102" s="15" t="str">
        <x:v>OPEN</x:v>
      </x:c>
      <x:c r="I102" s="15" t="str">
        <x:v>OPEN</x:v>
      </x:c>
    </x:row>
    <x:row r="103">
      <x:c r="A103" s="14" t="str">
        <x:v>QC-099</x:v>
      </x:c>
      <x:c r="B103" s="14" t="str">
        <x:v>CRC-10</x:v>
      </x:c>
      <x:c r="C103" s="14" t="str">
        <x:v>Q9</x:v>
      </x:c>
      <x:c r="D103" s="14" t="n">
        <x:v>500</x:v>
      </x:c>
      <x:c r="E103" s="14" t="n">
        <x:v>48</x:v>
      </x:c>
      <x:c r="F103" s="14" t="n">
        <x:v>25</x:v>
      </x:c>
      <x:c r="G103" s="14" t="str">
        <x:v>Normal receiver and command denied</x:v>
      </x:c>
      <x:c r="H103" s="14" t="str">
        <x:v>OPEN</x:v>
      </x:c>
      <x:c r="I103" s="14" t="str">
        <x:v>OPEN</x:v>
      </x:c>
    </x:row>
    <x:row r="104">
      <x:c r="A104" s="15" t="str">
        <x:v>QC-100</x:v>
      </x:c>
      <x:c r="B104" s="15" t="str">
        <x:v>CRC-10</x:v>
      </x:c>
      <x:c r="C104" s="15" t="str">
        <x:v>Q10</x:v>
      </x:c>
      <x:c r="D104" s="15" t="n">
        <x:v>500</x:v>
      </x:c>
      <x:c r="E104" s="15" t="n">
        <x:v>48</x:v>
      </x:c>
      <x:c r="F104" s="15" t="n">
        <x:v>25</x:v>
      </x:c>
      <x:c r="G104" s="15" t="str">
        <x:v>Compound loss and outside reconstruction</x:v>
      </x:c>
      <x:c r="H104" s="15" t="str">
        <x:v>OPEN</x:v>
      </x:c>
      <x:c r="I104" s="15" t="str">
        <x:v>OPEN</x:v>
      </x:c>
    </x:row>
    <x:row r="105">
      <x:c r="A105" s="14" t="str">
        <x:v>QC-101</x:v>
      </x:c>
      <x:c r="B105" s="14" t="str">
        <x:v>CRC-11</x:v>
      </x:c>
      <x:c r="C105" s="14" t="str">
        <x:v>Q1</x:v>
      </x:c>
      <x:c r="D105" s="14" t="n">
        <x:v>500</x:v>
      </x:c>
      <x:c r="E105" s="14" t="n">
        <x:v>24</x:v>
      </x:c>
      <x:c r="F105" s="14" t="n">
        <x:v>6.25</x:v>
      </x:c>
      <x:c r="G105" s="14" t="str">
        <x:v>ER-09 anchor</x:v>
      </x:c>
      <x:c r="H105" s="14" t="str">
        <x:v>OPEN</x:v>
      </x:c>
      <x:c r="I105" s="14" t="str">
        <x:v>OPEN</x:v>
      </x:c>
    </x:row>
    <x:row r="106">
      <x:c r="A106" s="15" t="str">
        <x:v>QC-102</x:v>
      </x:c>
      <x:c r="B106" s="15" t="str">
        <x:v>CRC-11</x:v>
      </x:c>
      <x:c r="C106" s="15" t="str">
        <x:v>Q2</x:v>
      </x:c>
      <x:c r="D106" s="15" t="n">
        <x:v>500</x:v>
      </x:c>
      <x:c r="E106" s="15" t="n">
        <x:v>24</x:v>
      </x:c>
      <x:c r="F106" s="15" t="n">
        <x:v>25</x:v>
      </x:c>
      <x:c r="G106" s="15" t="str">
        <x:v>Area transition</x:v>
      </x:c>
      <x:c r="H106" s="15" t="str">
        <x:v>OPEN</x:v>
      </x:c>
      <x:c r="I106" s="15" t="str">
        <x:v>OPEN</x:v>
      </x:c>
    </x:row>
    <x:row r="107">
      <x:c r="A107" s="14" t="str">
        <x:v>QC-103</x:v>
      </x:c>
      <x:c r="B107" s="14" t="str">
        <x:v>CRC-11</x:v>
      </x:c>
      <x:c r="C107" s="14" t="str">
        <x:v>Q3</x:v>
      </x:c>
      <x:c r="D107" s="14" t="n">
        <x:v>500</x:v>
      </x:c>
      <x:c r="E107" s="14" t="n">
        <x:v>48</x:v>
      </x:c>
      <x:c r="F107" s="14" t="n">
        <x:v>6.25</x:v>
      </x:c>
      <x:c r="G107" s="14" t="str">
        <x:v>Water transition</x:v>
      </x:c>
      <x:c r="H107" s="14" t="str">
        <x:v>OPEN</x:v>
      </x:c>
      <x:c r="I107" s="14" t="str">
        <x:v>OPEN</x:v>
      </x:c>
    </x:row>
    <x:row r="108">
      <x:c r="A108" s="15" t="str">
        <x:v>QC-104</x:v>
      </x:c>
      <x:c r="B108" s="15" t="str">
        <x:v>CRC-11</x:v>
      </x:c>
      <x:c r="C108" s="15" t="str">
        <x:v>Q4</x:v>
      </x:c>
      <x:c r="D108" s="15" t="n">
        <x:v>500</x:v>
      </x:c>
      <x:c r="E108" s="15" t="n">
        <x:v>48</x:v>
      </x:c>
      <x:c r="F108" s="15" t="n">
        <x:v>25</x:v>
      </x:c>
      <x:c r="G108" s="15" t="str">
        <x:v>Exact casualty</x:v>
      </x:c>
      <x:c r="H108" s="15" t="str">
        <x:v>OPEN</x:v>
      </x:c>
      <x:c r="I108" s="15" t="str">
        <x:v>OPEN</x:v>
      </x:c>
    </x:row>
    <x:row r="109">
      <x:c r="A109" s="14" t="str">
        <x:v>QC-105</x:v>
      </x:c>
      <x:c r="B109" s="14" t="str">
        <x:v>CRC-11</x:v>
      </x:c>
      <x:c r="C109" s="14" t="str">
        <x:v>Q5</x:v>
      </x:c>
      <x:c r="D109" s="14" t="n">
        <x:v>500</x:v>
      </x:c>
      <x:c r="E109" s="14" t="n">
        <x:v>48</x:v>
      </x:c>
      <x:c r="F109" s="14" t="n">
        <x:v>25</x:v>
      </x:c>
      <x:c r="G109" s="14" t="str">
        <x:v>Host energy denied</x:v>
      </x:c>
      <x:c r="H109" s="14" t="str">
        <x:v>OPEN</x:v>
      </x:c>
      <x:c r="I109" s="14" t="str">
        <x:v>OPEN</x:v>
      </x:c>
    </x:row>
    <x:row r="110">
      <x:c r="A110" s="15" t="str">
        <x:v>QC-106</x:v>
      </x:c>
      <x:c r="B110" s="15" t="str">
        <x:v>CRC-11</x:v>
      </x:c>
      <x:c r="C110" s="15" t="str">
        <x:v>Q6</x:v>
      </x:c>
      <x:c r="D110" s="15" t="n">
        <x:v>500</x:v>
      </x:c>
      <x:c r="E110" s="15" t="n">
        <x:v>48</x:v>
      </x:c>
      <x:c r="F110" s="15" t="n">
        <x:v>25</x:v>
      </x:c>
      <x:c r="G110" s="15" t="str">
        <x:v>Host network denied</x:v>
      </x:c>
      <x:c r="H110" s="15" t="str">
        <x:v>OPEN</x:v>
      </x:c>
      <x:c r="I110" s="15" t="str">
        <x:v>OPEN</x:v>
      </x:c>
    </x:row>
    <x:row r="111">
      <x:c r="A111" s="14" t="str">
        <x:v>QC-107</x:v>
      </x:c>
      <x:c r="B111" s="14" t="str">
        <x:v>CRC-11</x:v>
      </x:c>
      <x:c r="C111" s="14" t="str">
        <x:v>Q7</x:v>
      </x:c>
      <x:c r="D111" s="14" t="n">
        <x:v>500</x:v>
      </x:c>
      <x:c r="E111" s="14" t="n">
        <x:v>48</x:v>
      </x:c>
      <x:c r="F111" s="14" t="n">
        <x:v>25</x:v>
      </x:c>
      <x:c r="G111" s="14" t="str">
        <x:v>Primary time denied</x:v>
      </x:c>
      <x:c r="H111" s="14" t="str">
        <x:v>OPEN</x:v>
      </x:c>
      <x:c r="I111" s="14" t="str">
        <x:v>OPEN</x:v>
      </x:c>
    </x:row>
    <x:row r="112">
      <x:c r="A112" s="15" t="str">
        <x:v>QC-108</x:v>
      </x:c>
      <x:c r="B112" s="15" t="str">
        <x:v>CRC-11</x:v>
      </x:c>
      <x:c r="C112" s="15" t="str">
        <x:v>Q8</x:v>
      </x:c>
      <x:c r="D112" s="15" t="n">
        <x:v>500</x:v>
      </x:c>
      <x:c r="E112" s="15" t="n">
        <x:v>48</x:v>
      </x:c>
      <x:c r="F112" s="15" t="n">
        <x:v>25</x:v>
      </x:c>
      <x:c r="G112" s="15" t="str">
        <x:v>Normal water and heat rejection denied</x:v>
      </x:c>
      <x:c r="H112" s="15" t="str">
        <x:v>OPEN</x:v>
      </x:c>
      <x:c r="I112" s="15" t="str">
        <x:v>OPEN</x:v>
      </x:c>
    </x:row>
    <x:row r="113">
      <x:c r="A113" s="14" t="str">
        <x:v>QC-109</x:v>
      </x:c>
      <x:c r="B113" s="14" t="str">
        <x:v>CRC-11</x:v>
      </x:c>
      <x:c r="C113" s="14" t="str">
        <x:v>Q9</x:v>
      </x:c>
      <x:c r="D113" s="14" t="n">
        <x:v>500</x:v>
      </x:c>
      <x:c r="E113" s="14" t="n">
        <x:v>48</x:v>
      </x:c>
      <x:c r="F113" s="14" t="n">
        <x:v>25</x:v>
      </x:c>
      <x:c r="G113" s="14" t="str">
        <x:v>Normal receiver and command denied</x:v>
      </x:c>
      <x:c r="H113" s="14" t="str">
        <x:v>OPEN</x:v>
      </x:c>
      <x:c r="I113" s="14" t="str">
        <x:v>OPEN</x:v>
      </x:c>
    </x:row>
    <x:row r="114">
      <x:c r="A114" s="15" t="str">
        <x:v>QC-110</x:v>
      </x:c>
      <x:c r="B114" s="15" t="str">
        <x:v>CRC-11</x:v>
      </x:c>
      <x:c r="C114" s="15" t="str">
        <x:v>Q10</x:v>
      </x:c>
      <x:c r="D114" s="15" t="n">
        <x:v>500</x:v>
      </x:c>
      <x:c r="E114" s="15" t="n">
        <x:v>48</x:v>
      </x:c>
      <x:c r="F114" s="15" t="n">
        <x:v>25</x:v>
      </x:c>
      <x:c r="G114" s="15" t="str">
        <x:v>Compound loss and outside reconstruction</x:v>
      </x:c>
      <x:c r="H114" s="15" t="str">
        <x:v>OPEN</x:v>
      </x:c>
      <x:c r="I114" s="15" t="str">
        <x:v>OPEN</x:v>
      </x:c>
    </x:row>
    <x:row r="115">
      <x:c r="A115" s="14" t="str">
        <x:v>QC-111</x:v>
      </x:c>
      <x:c r="B115" s="14" t="str">
        <x:v>CRC-12</x:v>
      </x:c>
      <x:c r="C115" s="14" t="str">
        <x:v>Q1</x:v>
      </x:c>
      <x:c r="D115" s="14" t="n">
        <x:v>500</x:v>
      </x:c>
      <x:c r="E115" s="14" t="n">
        <x:v>24</x:v>
      </x:c>
      <x:c r="F115" s="14" t="n">
        <x:v>6.25</x:v>
      </x:c>
      <x:c r="G115" s="14" t="str">
        <x:v>ER-09 anchor</x:v>
      </x:c>
      <x:c r="H115" s="14" t="str">
        <x:v>OPEN</x:v>
      </x:c>
      <x:c r="I115" s="14" t="str">
        <x:v>OPEN</x:v>
      </x:c>
    </x:row>
    <x:row r="116">
      <x:c r="A116" s="15" t="str">
        <x:v>QC-112</x:v>
      </x:c>
      <x:c r="B116" s="15" t="str">
        <x:v>CRC-12</x:v>
      </x:c>
      <x:c r="C116" s="15" t="str">
        <x:v>Q2</x:v>
      </x:c>
      <x:c r="D116" s="15" t="n">
        <x:v>500</x:v>
      </x:c>
      <x:c r="E116" s="15" t="n">
        <x:v>24</x:v>
      </x:c>
      <x:c r="F116" s="15" t="n">
        <x:v>25</x:v>
      </x:c>
      <x:c r="G116" s="15" t="str">
        <x:v>Area transition</x:v>
      </x:c>
      <x:c r="H116" s="15" t="str">
        <x:v>OPEN</x:v>
      </x:c>
      <x:c r="I116" s="15" t="str">
        <x:v>OPEN</x:v>
      </x:c>
    </x:row>
    <x:row r="117">
      <x:c r="A117" s="14" t="str">
        <x:v>QC-113</x:v>
      </x:c>
      <x:c r="B117" s="14" t="str">
        <x:v>CRC-12</x:v>
      </x:c>
      <x:c r="C117" s="14" t="str">
        <x:v>Q3</x:v>
      </x:c>
      <x:c r="D117" s="14" t="n">
        <x:v>500</x:v>
      </x:c>
      <x:c r="E117" s="14" t="n">
        <x:v>48</x:v>
      </x:c>
      <x:c r="F117" s="14" t="n">
        <x:v>6.25</x:v>
      </x:c>
      <x:c r="G117" s="14" t="str">
        <x:v>Water transition</x:v>
      </x:c>
      <x:c r="H117" s="14" t="str">
        <x:v>OPEN</x:v>
      </x:c>
      <x:c r="I117" s="14" t="str">
        <x:v>OPEN</x:v>
      </x:c>
    </x:row>
    <x:row r="118">
      <x:c r="A118" s="15" t="str">
        <x:v>QC-114</x:v>
      </x:c>
      <x:c r="B118" s="15" t="str">
        <x:v>CRC-12</x:v>
      </x:c>
      <x:c r="C118" s="15" t="str">
        <x:v>Q4</x:v>
      </x:c>
      <x:c r="D118" s="15" t="n">
        <x:v>500</x:v>
      </x:c>
      <x:c r="E118" s="15" t="n">
        <x:v>48</x:v>
      </x:c>
      <x:c r="F118" s="15" t="n">
        <x:v>25</x:v>
      </x:c>
      <x:c r="G118" s="15" t="str">
        <x:v>Exact casualty</x:v>
      </x:c>
      <x:c r="H118" s="15" t="str">
        <x:v>OPEN</x:v>
      </x:c>
      <x:c r="I118" s="15" t="str">
        <x:v>OPEN</x:v>
      </x:c>
    </x:row>
    <x:row r="119">
      <x:c r="A119" s="14" t="str">
        <x:v>QC-115</x:v>
      </x:c>
      <x:c r="B119" s="14" t="str">
        <x:v>CRC-12</x:v>
      </x:c>
      <x:c r="C119" s="14" t="str">
        <x:v>Q5</x:v>
      </x:c>
      <x:c r="D119" s="14" t="n">
        <x:v>500</x:v>
      </x:c>
      <x:c r="E119" s="14" t="n">
        <x:v>48</x:v>
      </x:c>
      <x:c r="F119" s="14" t="n">
        <x:v>25</x:v>
      </x:c>
      <x:c r="G119" s="14" t="str">
        <x:v>Host energy denied</x:v>
      </x:c>
      <x:c r="H119" s="14" t="str">
        <x:v>OPEN</x:v>
      </x:c>
      <x:c r="I119" s="14" t="str">
        <x:v>OPEN</x:v>
      </x:c>
    </x:row>
    <x:row r="120">
      <x:c r="A120" s="15" t="str">
        <x:v>QC-116</x:v>
      </x:c>
      <x:c r="B120" s="15" t="str">
        <x:v>CRC-12</x:v>
      </x:c>
      <x:c r="C120" s="15" t="str">
        <x:v>Q6</x:v>
      </x:c>
      <x:c r="D120" s="15" t="n">
        <x:v>500</x:v>
      </x:c>
      <x:c r="E120" s="15" t="n">
        <x:v>48</x:v>
      </x:c>
      <x:c r="F120" s="15" t="n">
        <x:v>25</x:v>
      </x:c>
      <x:c r="G120" s="15" t="str">
        <x:v>Host network denied</x:v>
      </x:c>
      <x:c r="H120" s="15" t="str">
        <x:v>OPEN</x:v>
      </x:c>
      <x:c r="I120" s="15" t="str">
        <x:v>OPEN</x:v>
      </x:c>
    </x:row>
    <x:row r="121">
      <x:c r="A121" s="14" t="str">
        <x:v>QC-117</x:v>
      </x:c>
      <x:c r="B121" s="14" t="str">
        <x:v>CRC-12</x:v>
      </x:c>
      <x:c r="C121" s="14" t="str">
        <x:v>Q7</x:v>
      </x:c>
      <x:c r="D121" s="14" t="n">
        <x:v>500</x:v>
      </x:c>
      <x:c r="E121" s="14" t="n">
        <x:v>48</x:v>
      </x:c>
      <x:c r="F121" s="14" t="n">
        <x:v>25</x:v>
      </x:c>
      <x:c r="G121" s="14" t="str">
        <x:v>Primary time denied</x:v>
      </x:c>
      <x:c r="H121" s="14" t="str">
        <x:v>OPEN</x:v>
      </x:c>
      <x:c r="I121" s="14" t="str">
        <x:v>OPEN</x:v>
      </x:c>
    </x:row>
    <x:row r="122">
      <x:c r="A122" s="15" t="str">
        <x:v>QC-118</x:v>
      </x:c>
      <x:c r="B122" s="15" t="str">
        <x:v>CRC-12</x:v>
      </x:c>
      <x:c r="C122" s="15" t="str">
        <x:v>Q8</x:v>
      </x:c>
      <x:c r="D122" s="15" t="n">
        <x:v>500</x:v>
      </x:c>
      <x:c r="E122" s="15" t="n">
        <x:v>48</x:v>
      </x:c>
      <x:c r="F122" s="15" t="n">
        <x:v>25</x:v>
      </x:c>
      <x:c r="G122" s="15" t="str">
        <x:v>Normal water and heat rejection denied</x:v>
      </x:c>
      <x:c r="H122" s="15" t="str">
        <x:v>OPEN</x:v>
      </x:c>
      <x:c r="I122" s="15" t="str">
        <x:v>OPEN</x:v>
      </x:c>
    </x:row>
    <x:row r="123">
      <x:c r="A123" s="14" t="str">
        <x:v>QC-119</x:v>
      </x:c>
      <x:c r="B123" s="14" t="str">
        <x:v>CRC-12</x:v>
      </x:c>
      <x:c r="C123" s="14" t="str">
        <x:v>Q9</x:v>
      </x:c>
      <x:c r="D123" s="14" t="n">
        <x:v>500</x:v>
      </x:c>
      <x:c r="E123" s="14" t="n">
        <x:v>48</x:v>
      </x:c>
      <x:c r="F123" s="14" t="n">
        <x:v>25</x:v>
      </x:c>
      <x:c r="G123" s="14" t="str">
        <x:v>Normal receiver and command denied</x:v>
      </x:c>
      <x:c r="H123" s="14" t="str">
        <x:v>OPEN</x:v>
      </x:c>
      <x:c r="I123" s="14" t="str">
        <x:v>OPEN</x:v>
      </x:c>
    </x:row>
    <x:row r="124">
      <x:c r="A124" s="15" t="str">
        <x:v>QC-120</x:v>
      </x:c>
      <x:c r="B124" s="15" t="str">
        <x:v>CRC-12</x:v>
      </x:c>
      <x:c r="C124" s="15" t="str">
        <x:v>Q10</x:v>
      </x:c>
      <x:c r="D124" s="15" t="n">
        <x:v>500</x:v>
      </x:c>
      <x:c r="E124" s="15" t="n">
        <x:v>48</x:v>
      </x:c>
      <x:c r="F124" s="15" t="n">
        <x:v>25</x:v>
      </x:c>
      <x:c r="G124" s="15" t="str">
        <x:v>Compound loss and outside reconstruction</x:v>
      </x:c>
      <x:c r="H124" s="15" t="str">
        <x:v>OPEN</x:v>
      </x:c>
      <x:c r="I124" s="15" t="str">
        <x:v>OPEN</x:v>
      </x:c>
    </x:row>
    <x:row r="125">
      <x:c r="A125" s="14" t="str">
        <x:v>QC-121</x:v>
      </x:c>
      <x:c r="B125" s="14" t="str">
        <x:v>CRC-13</x:v>
      </x:c>
      <x:c r="C125" s="14" t="str">
        <x:v>Q1</x:v>
      </x:c>
      <x:c r="D125" s="14" t="n">
        <x:v>500</x:v>
      </x:c>
      <x:c r="E125" s="14" t="n">
        <x:v>24</x:v>
      </x:c>
      <x:c r="F125" s="14" t="n">
        <x:v>6.25</x:v>
      </x:c>
      <x:c r="G125" s="14" t="str">
        <x:v>ER-09 anchor</x:v>
      </x:c>
      <x:c r="H125" s="14" t="str">
        <x:v>OPEN</x:v>
      </x:c>
      <x:c r="I125" s="14" t="str">
        <x:v>OPEN</x:v>
      </x:c>
    </x:row>
    <x:row r="126">
      <x:c r="A126" s="15" t="str">
        <x:v>QC-122</x:v>
      </x:c>
      <x:c r="B126" s="15" t="str">
        <x:v>CRC-13</x:v>
      </x:c>
      <x:c r="C126" s="15" t="str">
        <x:v>Q2</x:v>
      </x:c>
      <x:c r="D126" s="15" t="n">
        <x:v>500</x:v>
      </x:c>
      <x:c r="E126" s="15" t="n">
        <x:v>24</x:v>
      </x:c>
      <x:c r="F126" s="15" t="n">
        <x:v>25</x:v>
      </x:c>
      <x:c r="G126" s="15" t="str">
        <x:v>Area transition</x:v>
      </x:c>
      <x:c r="H126" s="15" t="str">
        <x:v>OPEN</x:v>
      </x:c>
      <x:c r="I126" s="15" t="str">
        <x:v>OPEN</x:v>
      </x:c>
    </x:row>
    <x:row r="127">
      <x:c r="A127" s="14" t="str">
        <x:v>QC-123</x:v>
      </x:c>
      <x:c r="B127" s="14" t="str">
        <x:v>CRC-13</x:v>
      </x:c>
      <x:c r="C127" s="14" t="str">
        <x:v>Q3</x:v>
      </x:c>
      <x:c r="D127" s="14" t="n">
        <x:v>500</x:v>
      </x:c>
      <x:c r="E127" s="14" t="n">
        <x:v>48</x:v>
      </x:c>
      <x:c r="F127" s="14" t="n">
        <x:v>6.25</x:v>
      </x:c>
      <x:c r="G127" s="14" t="str">
        <x:v>Water transition</x:v>
      </x:c>
      <x:c r="H127" s="14" t="str">
        <x:v>OPEN</x:v>
      </x:c>
      <x:c r="I127" s="14" t="str">
        <x:v>OPEN</x:v>
      </x:c>
    </x:row>
    <x:row r="128">
      <x:c r="A128" s="15" t="str">
        <x:v>QC-124</x:v>
      </x:c>
      <x:c r="B128" s="15" t="str">
        <x:v>CRC-13</x:v>
      </x:c>
      <x:c r="C128" s="15" t="str">
        <x:v>Q4</x:v>
      </x:c>
      <x:c r="D128" s="15" t="n">
        <x:v>500</x:v>
      </x:c>
      <x:c r="E128" s="15" t="n">
        <x:v>48</x:v>
      </x:c>
      <x:c r="F128" s="15" t="n">
        <x:v>25</x:v>
      </x:c>
      <x:c r="G128" s="15" t="str">
        <x:v>Exact casualty</x:v>
      </x:c>
      <x:c r="H128" s="15" t="str">
        <x:v>OPEN</x:v>
      </x:c>
      <x:c r="I128" s="15" t="str">
        <x:v>OPEN</x:v>
      </x:c>
    </x:row>
    <x:row r="129">
      <x:c r="A129" s="14" t="str">
        <x:v>QC-125</x:v>
      </x:c>
      <x:c r="B129" s="14" t="str">
        <x:v>CRC-13</x:v>
      </x:c>
      <x:c r="C129" s="14" t="str">
        <x:v>Q5</x:v>
      </x:c>
      <x:c r="D129" s="14" t="n">
        <x:v>500</x:v>
      </x:c>
      <x:c r="E129" s="14" t="n">
        <x:v>48</x:v>
      </x:c>
      <x:c r="F129" s="14" t="n">
        <x:v>25</x:v>
      </x:c>
      <x:c r="G129" s="14" t="str">
        <x:v>Host energy denied</x:v>
      </x:c>
      <x:c r="H129" s="14" t="str">
        <x:v>OPEN</x:v>
      </x:c>
      <x:c r="I129" s="14" t="str">
        <x:v>OPEN</x:v>
      </x:c>
    </x:row>
    <x:row r="130">
      <x:c r="A130" s="15" t="str">
        <x:v>QC-126</x:v>
      </x:c>
      <x:c r="B130" s="15" t="str">
        <x:v>CRC-13</x:v>
      </x:c>
      <x:c r="C130" s="15" t="str">
        <x:v>Q6</x:v>
      </x:c>
      <x:c r="D130" s="15" t="n">
        <x:v>500</x:v>
      </x:c>
      <x:c r="E130" s="15" t="n">
        <x:v>48</x:v>
      </x:c>
      <x:c r="F130" s="15" t="n">
        <x:v>25</x:v>
      </x:c>
      <x:c r="G130" s="15" t="str">
        <x:v>Host network denied</x:v>
      </x:c>
      <x:c r="H130" s="15" t="str">
        <x:v>OPEN</x:v>
      </x:c>
      <x:c r="I130" s="15" t="str">
        <x:v>OPEN</x:v>
      </x:c>
    </x:row>
    <x:row r="131">
      <x:c r="A131" s="14" t="str">
        <x:v>QC-127</x:v>
      </x:c>
      <x:c r="B131" s="14" t="str">
        <x:v>CRC-13</x:v>
      </x:c>
      <x:c r="C131" s="14" t="str">
        <x:v>Q7</x:v>
      </x:c>
      <x:c r="D131" s="14" t="n">
        <x:v>500</x:v>
      </x:c>
      <x:c r="E131" s="14" t="n">
        <x:v>48</x:v>
      </x:c>
      <x:c r="F131" s="14" t="n">
        <x:v>25</x:v>
      </x:c>
      <x:c r="G131" s="14" t="str">
        <x:v>Primary time denied</x:v>
      </x:c>
      <x:c r="H131" s="14" t="str">
        <x:v>OPEN</x:v>
      </x:c>
      <x:c r="I131" s="14" t="str">
        <x:v>OPEN</x:v>
      </x:c>
    </x:row>
    <x:row r="132">
      <x:c r="A132" s="15" t="str">
        <x:v>QC-128</x:v>
      </x:c>
      <x:c r="B132" s="15" t="str">
        <x:v>CRC-13</x:v>
      </x:c>
      <x:c r="C132" s="15" t="str">
        <x:v>Q8</x:v>
      </x:c>
      <x:c r="D132" s="15" t="n">
        <x:v>500</x:v>
      </x:c>
      <x:c r="E132" s="15" t="n">
        <x:v>48</x:v>
      </x:c>
      <x:c r="F132" s="15" t="n">
        <x:v>25</x:v>
      </x:c>
      <x:c r="G132" s="15" t="str">
        <x:v>Normal water and heat rejection denied</x:v>
      </x:c>
      <x:c r="H132" s="15" t="str">
        <x:v>OPEN</x:v>
      </x:c>
      <x:c r="I132" s="15" t="str">
        <x:v>OPEN</x:v>
      </x:c>
    </x:row>
    <x:row r="133">
      <x:c r="A133" s="14" t="str">
        <x:v>QC-129</x:v>
      </x:c>
      <x:c r="B133" s="14" t="str">
        <x:v>CRC-13</x:v>
      </x:c>
      <x:c r="C133" s="14" t="str">
        <x:v>Q9</x:v>
      </x:c>
      <x:c r="D133" s="14" t="n">
        <x:v>500</x:v>
      </x:c>
      <x:c r="E133" s="14" t="n">
        <x:v>48</x:v>
      </x:c>
      <x:c r="F133" s="14" t="n">
        <x:v>25</x:v>
      </x:c>
      <x:c r="G133" s="14" t="str">
        <x:v>Normal receiver and command denied</x:v>
      </x:c>
      <x:c r="H133" s="14" t="str">
        <x:v>OPEN</x:v>
      </x:c>
      <x:c r="I133" s="14" t="str">
        <x:v>OPEN</x:v>
      </x:c>
    </x:row>
    <x:row r="134">
      <x:c r="A134" s="15" t="str">
        <x:v>QC-130</x:v>
      </x:c>
      <x:c r="B134" s="15" t="str">
        <x:v>CRC-13</x:v>
      </x:c>
      <x:c r="C134" s="15" t="str">
        <x:v>Q10</x:v>
      </x:c>
      <x:c r="D134" s="15" t="n">
        <x:v>500</x:v>
      </x:c>
      <x:c r="E134" s="15" t="n">
        <x:v>48</x:v>
      </x:c>
      <x:c r="F134" s="15" t="n">
        <x:v>25</x:v>
      </x:c>
      <x:c r="G134" s="15" t="str">
        <x:v>Compound loss and outside reconstruction</x:v>
      </x:c>
      <x:c r="H134" s="15" t="str">
        <x:v>OPEN</x:v>
      </x:c>
      <x:c r="I134" s="15" t="str">
        <x:v>OPEN</x:v>
      </x:c>
    </x:row>
    <x:row r="135">
      <x:c r="A135" s="14" t="str">
        <x:v>QC-131</x:v>
      </x:c>
      <x:c r="B135" s="14" t="str">
        <x:v>CRC-14</x:v>
      </x:c>
      <x:c r="C135" s="14" t="str">
        <x:v>Q1</x:v>
      </x:c>
      <x:c r="D135" s="14" t="n">
        <x:v>500</x:v>
      </x:c>
      <x:c r="E135" s="14" t="n">
        <x:v>24</x:v>
      </x:c>
      <x:c r="F135" s="14" t="n">
        <x:v>6.25</x:v>
      </x:c>
      <x:c r="G135" s="14" t="str">
        <x:v>ER-09 anchor</x:v>
      </x:c>
      <x:c r="H135" s="14" t="str">
        <x:v>OPEN</x:v>
      </x:c>
      <x:c r="I135" s="14" t="str">
        <x:v>OPEN</x:v>
      </x:c>
    </x:row>
    <x:row r="136">
      <x:c r="A136" s="15" t="str">
        <x:v>QC-132</x:v>
      </x:c>
      <x:c r="B136" s="15" t="str">
        <x:v>CRC-14</x:v>
      </x:c>
      <x:c r="C136" s="15" t="str">
        <x:v>Q2</x:v>
      </x:c>
      <x:c r="D136" s="15" t="n">
        <x:v>500</x:v>
      </x:c>
      <x:c r="E136" s="15" t="n">
        <x:v>24</x:v>
      </x:c>
      <x:c r="F136" s="15" t="n">
        <x:v>25</x:v>
      </x:c>
      <x:c r="G136" s="15" t="str">
        <x:v>Area transition</x:v>
      </x:c>
      <x:c r="H136" s="15" t="str">
        <x:v>OPEN</x:v>
      </x:c>
      <x:c r="I136" s="15" t="str">
        <x:v>OPEN</x:v>
      </x:c>
    </x:row>
    <x:row r="137">
      <x:c r="A137" s="14" t="str">
        <x:v>QC-133</x:v>
      </x:c>
      <x:c r="B137" s="14" t="str">
        <x:v>CRC-14</x:v>
      </x:c>
      <x:c r="C137" s="14" t="str">
        <x:v>Q3</x:v>
      </x:c>
      <x:c r="D137" s="14" t="n">
        <x:v>500</x:v>
      </x:c>
      <x:c r="E137" s="14" t="n">
        <x:v>48</x:v>
      </x:c>
      <x:c r="F137" s="14" t="n">
        <x:v>6.25</x:v>
      </x:c>
      <x:c r="G137" s="14" t="str">
        <x:v>Water transition</x:v>
      </x:c>
      <x:c r="H137" s="14" t="str">
        <x:v>OPEN</x:v>
      </x:c>
      <x:c r="I137" s="14" t="str">
        <x:v>OPEN</x:v>
      </x:c>
    </x:row>
    <x:row r="138">
      <x:c r="A138" s="15" t="str">
        <x:v>QC-134</x:v>
      </x:c>
      <x:c r="B138" s="15" t="str">
        <x:v>CRC-14</x:v>
      </x:c>
      <x:c r="C138" s="15" t="str">
        <x:v>Q4</x:v>
      </x:c>
      <x:c r="D138" s="15" t="n">
        <x:v>500</x:v>
      </x:c>
      <x:c r="E138" s="15" t="n">
        <x:v>48</x:v>
      </x:c>
      <x:c r="F138" s="15" t="n">
        <x:v>25</x:v>
      </x:c>
      <x:c r="G138" s="15" t="str">
        <x:v>Exact casualty</x:v>
      </x:c>
      <x:c r="H138" s="15" t="str">
        <x:v>OPEN</x:v>
      </x:c>
      <x:c r="I138" s="15" t="str">
        <x:v>OPEN</x:v>
      </x:c>
    </x:row>
    <x:row r="139">
      <x:c r="A139" s="14" t="str">
        <x:v>QC-135</x:v>
      </x:c>
      <x:c r="B139" s="14" t="str">
        <x:v>CRC-14</x:v>
      </x:c>
      <x:c r="C139" s="14" t="str">
        <x:v>Q5</x:v>
      </x:c>
      <x:c r="D139" s="14" t="n">
        <x:v>500</x:v>
      </x:c>
      <x:c r="E139" s="14" t="n">
        <x:v>48</x:v>
      </x:c>
      <x:c r="F139" s="14" t="n">
        <x:v>25</x:v>
      </x:c>
      <x:c r="G139" s="14" t="str">
        <x:v>Host energy denied</x:v>
      </x:c>
      <x:c r="H139" s="14" t="str">
        <x:v>OPEN</x:v>
      </x:c>
      <x:c r="I139" s="14" t="str">
        <x:v>OPEN</x:v>
      </x:c>
    </x:row>
    <x:row r="140">
      <x:c r="A140" s="15" t="str">
        <x:v>QC-136</x:v>
      </x:c>
      <x:c r="B140" s="15" t="str">
        <x:v>CRC-14</x:v>
      </x:c>
      <x:c r="C140" s="15" t="str">
        <x:v>Q6</x:v>
      </x:c>
      <x:c r="D140" s="15" t="n">
        <x:v>500</x:v>
      </x:c>
      <x:c r="E140" s="15" t="n">
        <x:v>48</x:v>
      </x:c>
      <x:c r="F140" s="15" t="n">
        <x:v>25</x:v>
      </x:c>
      <x:c r="G140" s="15" t="str">
        <x:v>Host network denied</x:v>
      </x:c>
      <x:c r="H140" s="15" t="str">
        <x:v>OPEN</x:v>
      </x:c>
      <x:c r="I140" s="15" t="str">
        <x:v>OPEN</x:v>
      </x:c>
    </x:row>
    <x:row r="141">
      <x:c r="A141" s="14" t="str">
        <x:v>QC-137</x:v>
      </x:c>
      <x:c r="B141" s="14" t="str">
        <x:v>CRC-14</x:v>
      </x:c>
      <x:c r="C141" s="14" t="str">
        <x:v>Q7</x:v>
      </x:c>
      <x:c r="D141" s="14" t="n">
        <x:v>500</x:v>
      </x:c>
      <x:c r="E141" s="14" t="n">
        <x:v>48</x:v>
      </x:c>
      <x:c r="F141" s="14" t="n">
        <x:v>25</x:v>
      </x:c>
      <x:c r="G141" s="14" t="str">
        <x:v>Primary time denied</x:v>
      </x:c>
      <x:c r="H141" s="14" t="str">
        <x:v>OPEN</x:v>
      </x:c>
      <x:c r="I141" s="14" t="str">
        <x:v>OPEN</x:v>
      </x:c>
    </x:row>
    <x:row r="142">
      <x:c r="A142" s="15" t="str">
        <x:v>QC-138</x:v>
      </x:c>
      <x:c r="B142" s="15" t="str">
        <x:v>CRC-14</x:v>
      </x:c>
      <x:c r="C142" s="15" t="str">
        <x:v>Q8</x:v>
      </x:c>
      <x:c r="D142" s="15" t="n">
        <x:v>500</x:v>
      </x:c>
      <x:c r="E142" s="15" t="n">
        <x:v>48</x:v>
      </x:c>
      <x:c r="F142" s="15" t="n">
        <x:v>25</x:v>
      </x:c>
      <x:c r="G142" s="15" t="str">
        <x:v>Normal water and heat rejection denied</x:v>
      </x:c>
      <x:c r="H142" s="15" t="str">
        <x:v>OPEN</x:v>
      </x:c>
      <x:c r="I142" s="15" t="str">
        <x:v>OPEN</x:v>
      </x:c>
    </x:row>
    <x:row r="143">
      <x:c r="A143" s="14" t="str">
        <x:v>QC-139</x:v>
      </x:c>
      <x:c r="B143" s="14" t="str">
        <x:v>CRC-14</x:v>
      </x:c>
      <x:c r="C143" s="14" t="str">
        <x:v>Q9</x:v>
      </x:c>
      <x:c r="D143" s="14" t="n">
        <x:v>500</x:v>
      </x:c>
      <x:c r="E143" s="14" t="n">
        <x:v>48</x:v>
      </x:c>
      <x:c r="F143" s="14" t="n">
        <x:v>25</x:v>
      </x:c>
      <x:c r="G143" s="14" t="str">
        <x:v>Normal receiver and command denied</x:v>
      </x:c>
      <x:c r="H143" s="14" t="str">
        <x:v>OPEN</x:v>
      </x:c>
      <x:c r="I143" s="14" t="str">
        <x:v>OPEN</x:v>
      </x:c>
    </x:row>
    <x:row r="144">
      <x:c r="A144" s="15" t="str">
        <x:v>QC-140</x:v>
      </x:c>
      <x:c r="B144" s="15" t="str">
        <x:v>CRC-14</x:v>
      </x:c>
      <x:c r="C144" s="15" t="str">
        <x:v>Q10</x:v>
      </x:c>
      <x:c r="D144" s="15" t="n">
        <x:v>500</x:v>
      </x:c>
      <x:c r="E144" s="15" t="n">
        <x:v>48</x:v>
      </x:c>
      <x:c r="F144" s="15" t="n">
        <x:v>25</x:v>
      </x:c>
      <x:c r="G144" s="15" t="str">
        <x:v>Compound loss and outside reconstruction</x:v>
      </x:c>
      <x:c r="H144" s="15" t="str">
        <x:v>OPEN</x:v>
      </x:c>
      <x:c r="I144" s="15" t="str">
        <x:v>OPEN</x:v>
      </x:c>
    </x:row>
    <x:row r="145">
      <x:c r="A145" s="14" t="str">
        <x:v>QC-141</x:v>
      </x:c>
      <x:c r="B145" s="14" t="str">
        <x:v>CRC-15</x:v>
      </x:c>
      <x:c r="C145" s="14" t="str">
        <x:v>Q1</x:v>
      </x:c>
      <x:c r="D145" s="14" t="n">
        <x:v>500</x:v>
      </x:c>
      <x:c r="E145" s="14" t="n">
        <x:v>24</x:v>
      </x:c>
      <x:c r="F145" s="14" t="n">
        <x:v>6.25</x:v>
      </x:c>
      <x:c r="G145" s="14" t="str">
        <x:v>ER-09 anchor</x:v>
      </x:c>
      <x:c r="H145" s="14" t="str">
        <x:v>OPEN</x:v>
      </x:c>
      <x:c r="I145" s="14" t="str">
        <x:v>OPEN</x:v>
      </x:c>
    </x:row>
    <x:row r="146">
      <x:c r="A146" s="15" t="str">
        <x:v>QC-142</x:v>
      </x:c>
      <x:c r="B146" s="15" t="str">
        <x:v>CRC-15</x:v>
      </x:c>
      <x:c r="C146" s="15" t="str">
        <x:v>Q2</x:v>
      </x:c>
      <x:c r="D146" s="15" t="n">
        <x:v>500</x:v>
      </x:c>
      <x:c r="E146" s="15" t="n">
        <x:v>24</x:v>
      </x:c>
      <x:c r="F146" s="15" t="n">
        <x:v>25</x:v>
      </x:c>
      <x:c r="G146" s="15" t="str">
        <x:v>Area transition</x:v>
      </x:c>
      <x:c r="H146" s="15" t="str">
        <x:v>OPEN</x:v>
      </x:c>
      <x:c r="I146" s="15" t="str">
        <x:v>OPEN</x:v>
      </x:c>
    </x:row>
    <x:row r="147">
      <x:c r="A147" s="14" t="str">
        <x:v>QC-143</x:v>
      </x:c>
      <x:c r="B147" s="14" t="str">
        <x:v>CRC-15</x:v>
      </x:c>
      <x:c r="C147" s="14" t="str">
        <x:v>Q3</x:v>
      </x:c>
      <x:c r="D147" s="14" t="n">
        <x:v>500</x:v>
      </x:c>
      <x:c r="E147" s="14" t="n">
        <x:v>48</x:v>
      </x:c>
      <x:c r="F147" s="14" t="n">
        <x:v>6.25</x:v>
      </x:c>
      <x:c r="G147" s="14" t="str">
        <x:v>Water transition</x:v>
      </x:c>
      <x:c r="H147" s="14" t="str">
        <x:v>OPEN</x:v>
      </x:c>
      <x:c r="I147" s="14" t="str">
        <x:v>OPEN</x:v>
      </x:c>
    </x:row>
    <x:row r="148">
      <x:c r="A148" s="15" t="str">
        <x:v>QC-144</x:v>
      </x:c>
      <x:c r="B148" s="15" t="str">
        <x:v>CRC-15</x:v>
      </x:c>
      <x:c r="C148" s="15" t="str">
        <x:v>Q4</x:v>
      </x:c>
      <x:c r="D148" s="15" t="n">
        <x:v>500</x:v>
      </x:c>
      <x:c r="E148" s="15" t="n">
        <x:v>48</x:v>
      </x:c>
      <x:c r="F148" s="15" t="n">
        <x:v>25</x:v>
      </x:c>
      <x:c r="G148" s="15" t="str">
        <x:v>Exact casualty</x:v>
      </x:c>
      <x:c r="H148" s="15" t="str">
        <x:v>OPEN</x:v>
      </x:c>
      <x:c r="I148" s="15" t="str">
        <x:v>OPEN</x:v>
      </x:c>
    </x:row>
    <x:row r="149">
      <x:c r="A149" s="14" t="str">
        <x:v>QC-145</x:v>
      </x:c>
      <x:c r="B149" s="14" t="str">
        <x:v>CRC-15</x:v>
      </x:c>
      <x:c r="C149" s="14" t="str">
        <x:v>Q5</x:v>
      </x:c>
      <x:c r="D149" s="14" t="n">
        <x:v>500</x:v>
      </x:c>
      <x:c r="E149" s="14" t="n">
        <x:v>48</x:v>
      </x:c>
      <x:c r="F149" s="14" t="n">
        <x:v>25</x:v>
      </x:c>
      <x:c r="G149" s="14" t="str">
        <x:v>Host energy denied</x:v>
      </x:c>
      <x:c r="H149" s="14" t="str">
        <x:v>OPEN</x:v>
      </x:c>
      <x:c r="I149" s="14" t="str">
        <x:v>OPEN</x:v>
      </x:c>
    </x:row>
    <x:row r="150">
      <x:c r="A150" s="15" t="str">
        <x:v>QC-146</x:v>
      </x:c>
      <x:c r="B150" s="15" t="str">
        <x:v>CRC-15</x:v>
      </x:c>
      <x:c r="C150" s="15" t="str">
        <x:v>Q6</x:v>
      </x:c>
      <x:c r="D150" s="15" t="n">
        <x:v>500</x:v>
      </x:c>
      <x:c r="E150" s="15" t="n">
        <x:v>48</x:v>
      </x:c>
      <x:c r="F150" s="15" t="n">
        <x:v>25</x:v>
      </x:c>
      <x:c r="G150" s="15" t="str">
        <x:v>Host network denied</x:v>
      </x:c>
      <x:c r="H150" s="15" t="str">
        <x:v>OPEN</x:v>
      </x:c>
      <x:c r="I150" s="15" t="str">
        <x:v>OPEN</x:v>
      </x:c>
    </x:row>
    <x:row r="151">
      <x:c r="A151" s="14" t="str">
        <x:v>QC-147</x:v>
      </x:c>
      <x:c r="B151" s="14" t="str">
        <x:v>CRC-15</x:v>
      </x:c>
      <x:c r="C151" s="14" t="str">
        <x:v>Q7</x:v>
      </x:c>
      <x:c r="D151" s="14" t="n">
        <x:v>500</x:v>
      </x:c>
      <x:c r="E151" s="14" t="n">
        <x:v>48</x:v>
      </x:c>
      <x:c r="F151" s="14" t="n">
        <x:v>25</x:v>
      </x:c>
      <x:c r="G151" s="14" t="str">
        <x:v>Primary time denied</x:v>
      </x:c>
      <x:c r="H151" s="14" t="str">
        <x:v>OPEN</x:v>
      </x:c>
      <x:c r="I151" s="14" t="str">
        <x:v>OPEN</x:v>
      </x:c>
    </x:row>
    <x:row r="152">
      <x:c r="A152" s="15" t="str">
        <x:v>QC-148</x:v>
      </x:c>
      <x:c r="B152" s="15" t="str">
        <x:v>CRC-15</x:v>
      </x:c>
      <x:c r="C152" s="15" t="str">
        <x:v>Q8</x:v>
      </x:c>
      <x:c r="D152" s="15" t="n">
        <x:v>500</x:v>
      </x:c>
      <x:c r="E152" s="15" t="n">
        <x:v>48</x:v>
      </x:c>
      <x:c r="F152" s="15" t="n">
        <x:v>25</x:v>
      </x:c>
      <x:c r="G152" s="15" t="str">
        <x:v>Normal water and heat rejection denied</x:v>
      </x:c>
      <x:c r="H152" s="15" t="str">
        <x:v>OPEN</x:v>
      </x:c>
      <x:c r="I152" s="15" t="str">
        <x:v>OPEN</x:v>
      </x:c>
    </x:row>
    <x:row r="153">
      <x:c r="A153" s="14" t="str">
        <x:v>QC-149</x:v>
      </x:c>
      <x:c r="B153" s="14" t="str">
        <x:v>CRC-15</x:v>
      </x:c>
      <x:c r="C153" s="14" t="str">
        <x:v>Q9</x:v>
      </x:c>
      <x:c r="D153" s="14" t="n">
        <x:v>500</x:v>
      </x:c>
      <x:c r="E153" s="14" t="n">
        <x:v>48</x:v>
      </x:c>
      <x:c r="F153" s="14" t="n">
        <x:v>25</x:v>
      </x:c>
      <x:c r="G153" s="14" t="str">
        <x:v>Normal receiver and command denied</x:v>
      </x:c>
      <x:c r="H153" s="14" t="str">
        <x:v>OPEN</x:v>
      </x:c>
      <x:c r="I153" s="14" t="str">
        <x:v>OPEN</x:v>
      </x:c>
    </x:row>
    <x:row r="154">
      <x:c r="A154" s="15" t="str">
        <x:v>QC-150</x:v>
      </x:c>
      <x:c r="B154" s="15" t="str">
        <x:v>CRC-15</x:v>
      </x:c>
      <x:c r="C154" s="15" t="str">
        <x:v>Q10</x:v>
      </x:c>
      <x:c r="D154" s="15" t="n">
        <x:v>500</x:v>
      </x:c>
      <x:c r="E154" s="15" t="n">
        <x:v>48</x:v>
      </x:c>
      <x:c r="F154" s="15" t="n">
        <x:v>25</x:v>
      </x:c>
      <x:c r="G154" s="15" t="str">
        <x:v>Compound loss and outside reconstruction</x:v>
      </x:c>
      <x:c r="H154" s="15" t="str">
        <x:v>OPEN</x:v>
      </x:c>
      <x:c r="I154" s="15" t="str">
        <x:v>OPEN</x:v>
      </x:c>
    </x:row>
    <x:row r="155">
      <x:c r="A155" s="14" t="str">
        <x:v>QC-151</x:v>
      </x:c>
      <x:c r="B155" s="14" t="str">
        <x:v>CRC-16</x:v>
      </x:c>
      <x:c r="C155" s="14" t="str">
        <x:v>Q1</x:v>
      </x:c>
      <x:c r="D155" s="14" t="n">
        <x:v>500</x:v>
      </x:c>
      <x:c r="E155" s="14" t="n">
        <x:v>24</x:v>
      </x:c>
      <x:c r="F155" s="14" t="n">
        <x:v>6.25</x:v>
      </x:c>
      <x:c r="G155" s="14" t="str">
        <x:v>ER-09 anchor</x:v>
      </x:c>
      <x:c r="H155" s="14" t="str">
        <x:v>OPEN</x:v>
      </x:c>
      <x:c r="I155" s="14" t="str">
        <x:v>OPEN</x:v>
      </x:c>
    </x:row>
    <x:row r="156">
      <x:c r="A156" s="15" t="str">
        <x:v>QC-152</x:v>
      </x:c>
      <x:c r="B156" s="15" t="str">
        <x:v>CRC-16</x:v>
      </x:c>
      <x:c r="C156" s="15" t="str">
        <x:v>Q2</x:v>
      </x:c>
      <x:c r="D156" s="15" t="n">
        <x:v>500</x:v>
      </x:c>
      <x:c r="E156" s="15" t="n">
        <x:v>24</x:v>
      </x:c>
      <x:c r="F156" s="15" t="n">
        <x:v>25</x:v>
      </x:c>
      <x:c r="G156" s="15" t="str">
        <x:v>Area transition</x:v>
      </x:c>
      <x:c r="H156" s="15" t="str">
        <x:v>OPEN</x:v>
      </x:c>
      <x:c r="I156" s="15" t="str">
        <x:v>OPEN</x:v>
      </x:c>
    </x:row>
    <x:row r="157">
      <x:c r="A157" s="14" t="str">
        <x:v>QC-153</x:v>
      </x:c>
      <x:c r="B157" s="14" t="str">
        <x:v>CRC-16</x:v>
      </x:c>
      <x:c r="C157" s="14" t="str">
        <x:v>Q3</x:v>
      </x:c>
      <x:c r="D157" s="14" t="n">
        <x:v>500</x:v>
      </x:c>
      <x:c r="E157" s="14" t="n">
        <x:v>48</x:v>
      </x:c>
      <x:c r="F157" s="14" t="n">
        <x:v>6.25</x:v>
      </x:c>
      <x:c r="G157" s="14" t="str">
        <x:v>Water transition</x:v>
      </x:c>
      <x:c r="H157" s="14" t="str">
        <x:v>OPEN</x:v>
      </x:c>
      <x:c r="I157" s="14" t="str">
        <x:v>OPEN</x:v>
      </x:c>
    </x:row>
    <x:row r="158">
      <x:c r="A158" s="15" t="str">
        <x:v>QC-154</x:v>
      </x:c>
      <x:c r="B158" s="15" t="str">
        <x:v>CRC-16</x:v>
      </x:c>
      <x:c r="C158" s="15" t="str">
        <x:v>Q4</x:v>
      </x:c>
      <x:c r="D158" s="15" t="n">
        <x:v>500</x:v>
      </x:c>
      <x:c r="E158" s="15" t="n">
        <x:v>48</x:v>
      </x:c>
      <x:c r="F158" s="15" t="n">
        <x:v>25</x:v>
      </x:c>
      <x:c r="G158" s="15" t="str">
        <x:v>Exact casualty</x:v>
      </x:c>
      <x:c r="H158" s="15" t="str">
        <x:v>OPEN</x:v>
      </x:c>
      <x:c r="I158" s="15" t="str">
        <x:v>OPEN</x:v>
      </x:c>
    </x:row>
    <x:row r="159">
      <x:c r="A159" s="14" t="str">
        <x:v>QC-155</x:v>
      </x:c>
      <x:c r="B159" s="14" t="str">
        <x:v>CRC-16</x:v>
      </x:c>
      <x:c r="C159" s="14" t="str">
        <x:v>Q5</x:v>
      </x:c>
      <x:c r="D159" s="14" t="n">
        <x:v>500</x:v>
      </x:c>
      <x:c r="E159" s="14" t="n">
        <x:v>48</x:v>
      </x:c>
      <x:c r="F159" s="14" t="n">
        <x:v>25</x:v>
      </x:c>
      <x:c r="G159" s="14" t="str">
        <x:v>Host energy denied</x:v>
      </x:c>
      <x:c r="H159" s="14" t="str">
        <x:v>OPEN</x:v>
      </x:c>
      <x:c r="I159" s="14" t="str">
        <x:v>OPEN</x:v>
      </x:c>
    </x:row>
    <x:row r="160">
      <x:c r="A160" s="15" t="str">
        <x:v>QC-156</x:v>
      </x:c>
      <x:c r="B160" s="15" t="str">
        <x:v>CRC-16</x:v>
      </x:c>
      <x:c r="C160" s="15" t="str">
        <x:v>Q6</x:v>
      </x:c>
      <x:c r="D160" s="15" t="n">
        <x:v>500</x:v>
      </x:c>
      <x:c r="E160" s="15" t="n">
        <x:v>48</x:v>
      </x:c>
      <x:c r="F160" s="15" t="n">
        <x:v>25</x:v>
      </x:c>
      <x:c r="G160" s="15" t="str">
        <x:v>Host network denied</x:v>
      </x:c>
      <x:c r="H160" s="15" t="str">
        <x:v>OPEN</x:v>
      </x:c>
      <x:c r="I160" s="15" t="str">
        <x:v>OPEN</x:v>
      </x:c>
    </x:row>
    <x:row r="161">
      <x:c r="A161" s="14" t="str">
        <x:v>QC-157</x:v>
      </x:c>
      <x:c r="B161" s="14" t="str">
        <x:v>CRC-16</x:v>
      </x:c>
      <x:c r="C161" s="14" t="str">
        <x:v>Q7</x:v>
      </x:c>
      <x:c r="D161" s="14" t="n">
        <x:v>500</x:v>
      </x:c>
      <x:c r="E161" s="14" t="n">
        <x:v>48</x:v>
      </x:c>
      <x:c r="F161" s="14" t="n">
        <x:v>25</x:v>
      </x:c>
      <x:c r="G161" s="14" t="str">
        <x:v>Primary time denied</x:v>
      </x:c>
      <x:c r="H161" s="14" t="str">
        <x:v>OPEN</x:v>
      </x:c>
      <x:c r="I161" s="14" t="str">
        <x:v>OPEN</x:v>
      </x:c>
    </x:row>
    <x:row r="162">
      <x:c r="A162" s="15" t="str">
        <x:v>QC-158</x:v>
      </x:c>
      <x:c r="B162" s="15" t="str">
        <x:v>CRC-16</x:v>
      </x:c>
      <x:c r="C162" s="15" t="str">
        <x:v>Q8</x:v>
      </x:c>
      <x:c r="D162" s="15" t="n">
        <x:v>500</x:v>
      </x:c>
      <x:c r="E162" s="15" t="n">
        <x:v>48</x:v>
      </x:c>
      <x:c r="F162" s="15" t="n">
        <x:v>25</x:v>
      </x:c>
      <x:c r="G162" s="15" t="str">
        <x:v>Normal water and heat rejection denied</x:v>
      </x:c>
      <x:c r="H162" s="15" t="str">
        <x:v>OPEN</x:v>
      </x:c>
      <x:c r="I162" s="15" t="str">
        <x:v>OPEN</x:v>
      </x:c>
    </x:row>
    <x:row r="163">
      <x:c r="A163" s="14" t="str">
        <x:v>QC-159</x:v>
      </x:c>
      <x:c r="B163" s="14" t="str">
        <x:v>CRC-16</x:v>
      </x:c>
      <x:c r="C163" s="14" t="str">
        <x:v>Q9</x:v>
      </x:c>
      <x:c r="D163" s="14" t="n">
        <x:v>500</x:v>
      </x:c>
      <x:c r="E163" s="14" t="n">
        <x:v>48</x:v>
      </x:c>
      <x:c r="F163" s="14" t="n">
        <x:v>25</x:v>
      </x:c>
      <x:c r="G163" s="14" t="str">
        <x:v>Normal receiver and command denied</x:v>
      </x:c>
      <x:c r="H163" s="14" t="str">
        <x:v>OPEN</x:v>
      </x:c>
      <x:c r="I163" s="14" t="str">
        <x:v>OPEN</x:v>
      </x:c>
    </x:row>
    <x:row r="164">
      <x:c r="A164" s="15" t="str">
        <x:v>QC-160</x:v>
      </x:c>
      <x:c r="B164" s="15" t="str">
        <x:v>CRC-16</x:v>
      </x:c>
      <x:c r="C164" s="15" t="str">
        <x:v>Q10</x:v>
      </x:c>
      <x:c r="D164" s="15" t="n">
        <x:v>500</x:v>
      </x:c>
      <x:c r="E164" s="15" t="n">
        <x:v>48</x:v>
      </x:c>
      <x:c r="F164" s="15" t="n">
        <x:v>25</x:v>
      </x:c>
      <x:c r="G164" s="15" t="str">
        <x:v>Compound loss and outside reconstruction</x:v>
      </x:c>
      <x:c r="H164" s="15" t="str">
        <x:v>OPEN</x:v>
      </x:c>
      <x:c r="I164" s="15" t="str">
        <x:v>OPEN</x:v>
      </x:c>
    </x:row>
    <x:row r="165">
      <x:c r="A165" s="14" t="str">
        <x:v>QC-161</x:v>
      </x:c>
      <x:c r="B165" s="14" t="str">
        <x:v>CRC-17</x:v>
      </x:c>
      <x:c r="C165" s="14" t="str">
        <x:v>Q1</x:v>
      </x:c>
      <x:c r="D165" s="14" t="n">
        <x:v>500</x:v>
      </x:c>
      <x:c r="E165" s="14" t="n">
        <x:v>24</x:v>
      </x:c>
      <x:c r="F165" s="14" t="n">
        <x:v>6.25</x:v>
      </x:c>
      <x:c r="G165" s="14" t="str">
        <x:v>ER-09 anchor</x:v>
      </x:c>
      <x:c r="H165" s="14" t="str">
        <x:v>OPEN</x:v>
      </x:c>
      <x:c r="I165" s="14" t="str">
        <x:v>OPEN</x:v>
      </x:c>
    </x:row>
    <x:row r="166">
      <x:c r="A166" s="15" t="str">
        <x:v>QC-162</x:v>
      </x:c>
      <x:c r="B166" s="15" t="str">
        <x:v>CRC-17</x:v>
      </x:c>
      <x:c r="C166" s="15" t="str">
        <x:v>Q2</x:v>
      </x:c>
      <x:c r="D166" s="15" t="n">
        <x:v>500</x:v>
      </x:c>
      <x:c r="E166" s="15" t="n">
        <x:v>24</x:v>
      </x:c>
      <x:c r="F166" s="15" t="n">
        <x:v>25</x:v>
      </x:c>
      <x:c r="G166" s="15" t="str">
        <x:v>Area transition</x:v>
      </x:c>
      <x:c r="H166" s="15" t="str">
        <x:v>OPEN</x:v>
      </x:c>
      <x:c r="I166" s="15" t="str">
        <x:v>OPEN</x:v>
      </x:c>
    </x:row>
    <x:row r="167">
      <x:c r="A167" s="14" t="str">
        <x:v>QC-163</x:v>
      </x:c>
      <x:c r="B167" s="14" t="str">
        <x:v>CRC-17</x:v>
      </x:c>
      <x:c r="C167" s="14" t="str">
        <x:v>Q3</x:v>
      </x:c>
      <x:c r="D167" s="14" t="n">
        <x:v>500</x:v>
      </x:c>
      <x:c r="E167" s="14" t="n">
        <x:v>48</x:v>
      </x:c>
      <x:c r="F167" s="14" t="n">
        <x:v>6.25</x:v>
      </x:c>
      <x:c r="G167" s="14" t="str">
        <x:v>Water transition</x:v>
      </x:c>
      <x:c r="H167" s="14" t="str">
        <x:v>OPEN</x:v>
      </x:c>
      <x:c r="I167" s="14" t="str">
        <x:v>OPEN</x:v>
      </x:c>
    </x:row>
    <x:row r="168">
      <x:c r="A168" s="15" t="str">
        <x:v>QC-164</x:v>
      </x:c>
      <x:c r="B168" s="15" t="str">
        <x:v>CRC-17</x:v>
      </x:c>
      <x:c r="C168" s="15" t="str">
        <x:v>Q4</x:v>
      </x:c>
      <x:c r="D168" s="15" t="n">
        <x:v>500</x:v>
      </x:c>
      <x:c r="E168" s="15" t="n">
        <x:v>48</x:v>
      </x:c>
      <x:c r="F168" s="15" t="n">
        <x:v>25</x:v>
      </x:c>
      <x:c r="G168" s="15" t="str">
        <x:v>Exact casualty</x:v>
      </x:c>
      <x:c r="H168" s="15" t="str">
        <x:v>OPEN</x:v>
      </x:c>
      <x:c r="I168" s="15" t="str">
        <x:v>OPEN</x:v>
      </x:c>
    </x:row>
    <x:row r="169">
      <x:c r="A169" s="14" t="str">
        <x:v>QC-165</x:v>
      </x:c>
      <x:c r="B169" s="14" t="str">
        <x:v>CRC-17</x:v>
      </x:c>
      <x:c r="C169" s="14" t="str">
        <x:v>Q5</x:v>
      </x:c>
      <x:c r="D169" s="14" t="n">
        <x:v>500</x:v>
      </x:c>
      <x:c r="E169" s="14" t="n">
        <x:v>48</x:v>
      </x:c>
      <x:c r="F169" s="14" t="n">
        <x:v>25</x:v>
      </x:c>
      <x:c r="G169" s="14" t="str">
        <x:v>Host energy denied</x:v>
      </x:c>
      <x:c r="H169" s="14" t="str">
        <x:v>OPEN</x:v>
      </x:c>
      <x:c r="I169" s="14" t="str">
        <x:v>OPEN</x:v>
      </x:c>
    </x:row>
    <x:row r="170">
      <x:c r="A170" s="15" t="str">
        <x:v>QC-166</x:v>
      </x:c>
      <x:c r="B170" s="15" t="str">
        <x:v>CRC-17</x:v>
      </x:c>
      <x:c r="C170" s="15" t="str">
        <x:v>Q6</x:v>
      </x:c>
      <x:c r="D170" s="15" t="n">
        <x:v>500</x:v>
      </x:c>
      <x:c r="E170" s="15" t="n">
        <x:v>48</x:v>
      </x:c>
      <x:c r="F170" s="15" t="n">
        <x:v>25</x:v>
      </x:c>
      <x:c r="G170" s="15" t="str">
        <x:v>Host network denied</x:v>
      </x:c>
      <x:c r="H170" s="15" t="str">
        <x:v>OPEN</x:v>
      </x:c>
      <x:c r="I170" s="15" t="str">
        <x:v>OPEN</x:v>
      </x:c>
    </x:row>
    <x:row r="171">
      <x:c r="A171" s="14" t="str">
        <x:v>QC-167</x:v>
      </x:c>
      <x:c r="B171" s="14" t="str">
        <x:v>CRC-17</x:v>
      </x:c>
      <x:c r="C171" s="14" t="str">
        <x:v>Q7</x:v>
      </x:c>
      <x:c r="D171" s="14" t="n">
        <x:v>500</x:v>
      </x:c>
      <x:c r="E171" s="14" t="n">
        <x:v>48</x:v>
      </x:c>
      <x:c r="F171" s="14" t="n">
        <x:v>25</x:v>
      </x:c>
      <x:c r="G171" s="14" t="str">
        <x:v>Primary time denied</x:v>
      </x:c>
      <x:c r="H171" s="14" t="str">
        <x:v>OPEN</x:v>
      </x:c>
      <x:c r="I171" s="14" t="str">
        <x:v>OPEN</x:v>
      </x:c>
    </x:row>
    <x:row r="172">
      <x:c r="A172" s="15" t="str">
        <x:v>QC-168</x:v>
      </x:c>
      <x:c r="B172" s="15" t="str">
        <x:v>CRC-17</x:v>
      </x:c>
      <x:c r="C172" s="15" t="str">
        <x:v>Q8</x:v>
      </x:c>
      <x:c r="D172" s="15" t="n">
        <x:v>500</x:v>
      </x:c>
      <x:c r="E172" s="15" t="n">
        <x:v>48</x:v>
      </x:c>
      <x:c r="F172" s="15" t="n">
        <x:v>25</x:v>
      </x:c>
      <x:c r="G172" s="15" t="str">
        <x:v>Normal water and heat rejection denied</x:v>
      </x:c>
      <x:c r="H172" s="15" t="str">
        <x:v>OPEN</x:v>
      </x:c>
      <x:c r="I172" s="15" t="str">
        <x:v>OPEN</x:v>
      </x:c>
    </x:row>
    <x:row r="173">
      <x:c r="A173" s="14" t="str">
        <x:v>QC-169</x:v>
      </x:c>
      <x:c r="B173" s="14" t="str">
        <x:v>CRC-17</x:v>
      </x:c>
      <x:c r="C173" s="14" t="str">
        <x:v>Q9</x:v>
      </x:c>
      <x:c r="D173" s="14" t="n">
        <x:v>500</x:v>
      </x:c>
      <x:c r="E173" s="14" t="n">
        <x:v>48</x:v>
      </x:c>
      <x:c r="F173" s="14" t="n">
        <x:v>25</x:v>
      </x:c>
      <x:c r="G173" s="14" t="str">
        <x:v>Normal receiver and command denied</x:v>
      </x:c>
      <x:c r="H173" s="14" t="str">
        <x:v>OPEN</x:v>
      </x:c>
      <x:c r="I173" s="14" t="str">
        <x:v>OPEN</x:v>
      </x:c>
    </x:row>
    <x:row r="174">
      <x:c r="A174" s="15" t="str">
        <x:v>QC-170</x:v>
      </x:c>
      <x:c r="B174" s="15" t="str">
        <x:v>CRC-17</x:v>
      </x:c>
      <x:c r="C174" s="15" t="str">
        <x:v>Q10</x:v>
      </x:c>
      <x:c r="D174" s="15" t="n">
        <x:v>500</x:v>
      </x:c>
      <x:c r="E174" s="15" t="n">
        <x:v>48</x:v>
      </x:c>
      <x:c r="F174" s="15" t="n">
        <x:v>25</x:v>
      </x:c>
      <x:c r="G174" s="15" t="str">
        <x:v>Compound loss and outside reconstruction</x:v>
      </x:c>
      <x:c r="H174" s="15" t="str">
        <x:v>OPEN</x:v>
      </x:c>
      <x:c r="I174" s="15" t="str">
        <x:v>OPEN</x:v>
      </x:c>
    </x:row>
    <x:row r="175">
      <x:c r="A175" s="14" t="str">
        <x:v>QC-171</x:v>
      </x:c>
      <x:c r="B175" s="14" t="str">
        <x:v>CRC-18</x:v>
      </x:c>
      <x:c r="C175" s="14" t="str">
        <x:v>Q1</x:v>
      </x:c>
      <x:c r="D175" s="14" t="n">
        <x:v>500</x:v>
      </x:c>
      <x:c r="E175" s="14" t="n">
        <x:v>24</x:v>
      </x:c>
      <x:c r="F175" s="14" t="n">
        <x:v>6.25</x:v>
      </x:c>
      <x:c r="G175" s="14" t="str">
        <x:v>ER-09 anchor</x:v>
      </x:c>
      <x:c r="H175" s="14" t="str">
        <x:v>OPEN</x:v>
      </x:c>
      <x:c r="I175" s="14" t="str">
        <x:v>OPEN</x:v>
      </x:c>
    </x:row>
    <x:row r="176">
      <x:c r="A176" s="15" t="str">
        <x:v>QC-172</x:v>
      </x:c>
      <x:c r="B176" s="15" t="str">
        <x:v>CRC-18</x:v>
      </x:c>
      <x:c r="C176" s="15" t="str">
        <x:v>Q2</x:v>
      </x:c>
      <x:c r="D176" s="15" t="n">
        <x:v>500</x:v>
      </x:c>
      <x:c r="E176" s="15" t="n">
        <x:v>24</x:v>
      </x:c>
      <x:c r="F176" s="15" t="n">
        <x:v>25</x:v>
      </x:c>
      <x:c r="G176" s="15" t="str">
        <x:v>Area transition</x:v>
      </x:c>
      <x:c r="H176" s="15" t="str">
        <x:v>OPEN</x:v>
      </x:c>
      <x:c r="I176" s="15" t="str">
        <x:v>OPEN</x:v>
      </x:c>
    </x:row>
    <x:row r="177">
      <x:c r="A177" s="14" t="str">
        <x:v>QC-173</x:v>
      </x:c>
      <x:c r="B177" s="14" t="str">
        <x:v>CRC-18</x:v>
      </x:c>
      <x:c r="C177" s="14" t="str">
        <x:v>Q3</x:v>
      </x:c>
      <x:c r="D177" s="14" t="n">
        <x:v>500</x:v>
      </x:c>
      <x:c r="E177" s="14" t="n">
        <x:v>48</x:v>
      </x:c>
      <x:c r="F177" s="14" t="n">
        <x:v>6.25</x:v>
      </x:c>
      <x:c r="G177" s="14" t="str">
        <x:v>Water transition</x:v>
      </x:c>
      <x:c r="H177" s="14" t="str">
        <x:v>OPEN</x:v>
      </x:c>
      <x:c r="I177" s="14" t="str">
        <x:v>OPEN</x:v>
      </x:c>
    </x:row>
    <x:row r="178">
      <x:c r="A178" s="15" t="str">
        <x:v>QC-174</x:v>
      </x:c>
      <x:c r="B178" s="15" t="str">
        <x:v>CRC-18</x:v>
      </x:c>
      <x:c r="C178" s="15" t="str">
        <x:v>Q4</x:v>
      </x:c>
      <x:c r="D178" s="15" t="n">
        <x:v>500</x:v>
      </x:c>
      <x:c r="E178" s="15" t="n">
        <x:v>48</x:v>
      </x:c>
      <x:c r="F178" s="15" t="n">
        <x:v>25</x:v>
      </x:c>
      <x:c r="G178" s="15" t="str">
        <x:v>Exact casualty</x:v>
      </x:c>
      <x:c r="H178" s="15" t="str">
        <x:v>OPEN</x:v>
      </x:c>
      <x:c r="I178" s="15" t="str">
        <x:v>OPEN</x:v>
      </x:c>
    </x:row>
    <x:row r="179">
      <x:c r="A179" s="14" t="str">
        <x:v>QC-175</x:v>
      </x:c>
      <x:c r="B179" s="14" t="str">
        <x:v>CRC-18</x:v>
      </x:c>
      <x:c r="C179" s="14" t="str">
        <x:v>Q5</x:v>
      </x:c>
      <x:c r="D179" s="14" t="n">
        <x:v>500</x:v>
      </x:c>
      <x:c r="E179" s="14" t="n">
        <x:v>48</x:v>
      </x:c>
      <x:c r="F179" s="14" t="n">
        <x:v>25</x:v>
      </x:c>
      <x:c r="G179" s="14" t="str">
        <x:v>Host energy denied</x:v>
      </x:c>
      <x:c r="H179" s="14" t="str">
        <x:v>OPEN</x:v>
      </x:c>
      <x:c r="I179" s="14" t="str">
        <x:v>OPEN</x:v>
      </x:c>
    </x:row>
    <x:row r="180">
      <x:c r="A180" s="15" t="str">
        <x:v>QC-176</x:v>
      </x:c>
      <x:c r="B180" s="15" t="str">
        <x:v>CRC-18</x:v>
      </x:c>
      <x:c r="C180" s="15" t="str">
        <x:v>Q6</x:v>
      </x:c>
      <x:c r="D180" s="15" t="n">
        <x:v>500</x:v>
      </x:c>
      <x:c r="E180" s="15" t="n">
        <x:v>48</x:v>
      </x:c>
      <x:c r="F180" s="15" t="n">
        <x:v>25</x:v>
      </x:c>
      <x:c r="G180" s="15" t="str">
        <x:v>Host network denied</x:v>
      </x:c>
      <x:c r="H180" s="15" t="str">
        <x:v>OPEN</x:v>
      </x:c>
      <x:c r="I180" s="15" t="str">
        <x:v>OPEN</x:v>
      </x:c>
    </x:row>
    <x:row r="181">
      <x:c r="A181" s="14" t="str">
        <x:v>QC-177</x:v>
      </x:c>
      <x:c r="B181" s="14" t="str">
        <x:v>CRC-18</x:v>
      </x:c>
      <x:c r="C181" s="14" t="str">
        <x:v>Q7</x:v>
      </x:c>
      <x:c r="D181" s="14" t="n">
        <x:v>500</x:v>
      </x:c>
      <x:c r="E181" s="14" t="n">
        <x:v>48</x:v>
      </x:c>
      <x:c r="F181" s="14" t="n">
        <x:v>25</x:v>
      </x:c>
      <x:c r="G181" s="14" t="str">
        <x:v>Primary time denied</x:v>
      </x:c>
      <x:c r="H181" s="14" t="str">
        <x:v>OPEN</x:v>
      </x:c>
      <x:c r="I181" s="14" t="str">
        <x:v>OPEN</x:v>
      </x:c>
    </x:row>
    <x:row r="182">
      <x:c r="A182" s="15" t="str">
        <x:v>QC-178</x:v>
      </x:c>
      <x:c r="B182" s="15" t="str">
        <x:v>CRC-18</x:v>
      </x:c>
      <x:c r="C182" s="15" t="str">
        <x:v>Q8</x:v>
      </x:c>
      <x:c r="D182" s="15" t="n">
        <x:v>500</x:v>
      </x:c>
      <x:c r="E182" s="15" t="n">
        <x:v>48</x:v>
      </x:c>
      <x:c r="F182" s="15" t="n">
        <x:v>25</x:v>
      </x:c>
      <x:c r="G182" s="15" t="str">
        <x:v>Normal water and heat rejection denied</x:v>
      </x:c>
      <x:c r="H182" s="15" t="str">
        <x:v>OPEN</x:v>
      </x:c>
      <x:c r="I182" s="15" t="str">
        <x:v>OPEN</x:v>
      </x:c>
    </x:row>
    <x:row r="183">
      <x:c r="A183" s="14" t="str">
        <x:v>QC-179</x:v>
      </x:c>
      <x:c r="B183" s="14" t="str">
        <x:v>CRC-18</x:v>
      </x:c>
      <x:c r="C183" s="14" t="str">
        <x:v>Q9</x:v>
      </x:c>
      <x:c r="D183" s="14" t="n">
        <x:v>500</x:v>
      </x:c>
      <x:c r="E183" s="14" t="n">
        <x:v>48</x:v>
      </x:c>
      <x:c r="F183" s="14" t="n">
        <x:v>25</x:v>
      </x:c>
      <x:c r="G183" s="14" t="str">
        <x:v>Normal receiver and command denied</x:v>
      </x:c>
      <x:c r="H183" s="14" t="str">
        <x:v>OPEN</x:v>
      </x:c>
      <x:c r="I183" s="14" t="str">
        <x:v>OPEN</x:v>
      </x:c>
    </x:row>
    <x:row r="184">
      <x:c r="A184" s="15" t="str">
        <x:v>QC-180</x:v>
      </x:c>
      <x:c r="B184" s="15" t="str">
        <x:v>CRC-18</x:v>
      </x:c>
      <x:c r="C184" s="15" t="str">
        <x:v>Q10</x:v>
      </x:c>
      <x:c r="D184" s="15" t="n">
        <x:v>500</x:v>
      </x:c>
      <x:c r="E184" s="15" t="n">
        <x:v>48</x:v>
      </x:c>
      <x:c r="F184" s="15" t="n">
        <x:v>25</x:v>
      </x:c>
      <x:c r="G184" s="15" t="str">
        <x:v>Compound loss and outside reconstruction</x:v>
      </x:c>
      <x:c r="H184" s="15" t="str">
        <x:v>OPEN</x:v>
      </x:c>
      <x:c r="I184" s="15" t="str">
        <x:v>OPEN</x:v>
      </x:c>
    </x:row>
  </x:sheetData>
  <x:mergeCells>
    <x:mergeCell ref="A1:I1"/>
    <x:mergeCell ref="A2:I2"/>
  </x:mergeCells>
  <x:pageMargins left="0.7" right="0.7" top="0.75" bottom="0.75" header="0.3" footer="0.3"/>
</x:worksheet>
</file>

<file path=xl/worksheets/sheet1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2" hidden="0" customWidth="1"/>
    <x:col min="3" max="3" width="12" hidden="0" customWidth="1"/>
    <x:col min="4" max="4" width="54" hidden="0" customWidth="1"/>
    <x:col min="5" max="5" width="16" hidden="0" customWidth="1"/>
  </x:cols>
  <x:sheetData>
    <x:row r="1" ht="26" customHeight="1">
      <x:c r="A1" s="43" t="str">
        <x:v>Required scale contrasts</x:v>
      </x:c>
      <x:c r="B1" s="35"/>
      <x:c r="C1" s="35"/>
      <x:c r="D1" s="35"/>
      <x:c r="E1" s="35"/>
    </x:row>
    <x:row r="2" ht="32" customHeight="1">
      <x:c r="A2" s="7" t="str">
        <x:v>Qualification separates area, water, exact state and service independence.</x:v>
      </x:c>
      <x:c r="B2" s="35"/>
      <x:c r="C2" s="35"/>
      <x:c r="D2" s="35"/>
      <x:c r="E2" s="35"/>
    </x:row>
    <x:row r="3">
      <x:c r="A3" s="35"/>
      <x:c r="B3" s="35"/>
      <x:c r="C3" s="35"/>
      <x:c r="D3" s="35"/>
      <x:c r="E3" s="35"/>
    </x:row>
    <x:row r="4" ht="28" customHeight="1">
      <x:c r="A4" s="11" t="str">
        <x:v>Contrast</x:v>
      </x:c>
      <x:c r="B4" s="11" t="str">
        <x:v>From</x:v>
      </x:c>
      <x:c r="C4" s="11" t="str">
        <x:v>To</x:v>
      </x:c>
      <x:c r="D4" s="11" t="str">
        <x:v>Question</x:v>
      </x:c>
      <x:c r="E4" s="11" t="str">
        <x:v>Required cycles</x:v>
      </x:c>
    </x:row>
    <x:row r="5">
      <x:c r="A5" s="14" t="str">
        <x:v>C1</x:v>
      </x:c>
      <x:c r="B5" s="14" t="str">
        <x:v>Q1</x:v>
      </x:c>
      <x:c r="C5" s="14" t="str">
        <x:v>Q2</x:v>
      </x:c>
      <x:c r="D5" s="14" t="str">
        <x:v>Effect of fourfold area at half water</x:v>
      </x:c>
      <x:c r="E5" s="14" t="n">
        <x:v>18</x:v>
      </x:c>
    </x:row>
    <x:row r="6">
      <x:c r="A6" s="15" t="str">
        <x:v>C2</x:v>
      </x:c>
      <x:c r="B6" s="15" t="str">
        <x:v>Q1</x:v>
      </x:c>
      <x:c r="C6" s="15" t="str">
        <x:v>Q3</x:v>
      </x:c>
      <x:c r="D6" s="15" t="str">
        <x:v>Effect of doubled water at nominal area</x:v>
      </x:c>
      <x:c r="E6" s="15" t="n">
        <x:v>18</x:v>
      </x:c>
    </x:row>
    <x:row r="7">
      <x:c r="A7" s="14" t="str">
        <x:v>C3</x:v>
      </x:c>
      <x:c r="B7" s="14" t="str">
        <x:v>Q2</x:v>
      </x:c>
      <x:c r="C7" s="14" t="str">
        <x:v>Q4</x:v>
      </x:c>
      <x:c r="D7" s="14" t="str">
        <x:v>Effect of doubled water at casualty area</x:v>
      </x:c>
      <x:c r="E7" s="14" t="n">
        <x:v>18</x:v>
      </x:c>
    </x:row>
    <x:row r="8">
      <x:c r="A8" s="15" t="str">
        <x:v>C4</x:v>
      </x:c>
      <x:c r="B8" s="15" t="str">
        <x:v>Q3</x:v>
      </x:c>
      <x:c r="C8" s="15" t="str">
        <x:v>Q4</x:v>
      </x:c>
      <x:c r="D8" s="15" t="str">
        <x:v>Effect of fourfold area at full water</x:v>
      </x:c>
      <x:c r="E8" s="15" t="n">
        <x:v>18</x:v>
      </x:c>
    </x:row>
    <x:row r="9">
      <x:c r="A9" s="14" t="str">
        <x:v>C5</x:v>
      </x:c>
      <x:c r="B9" s="14" t="str">
        <x:v>Q4</x:v>
      </x:c>
      <x:c r="C9" s="14" t="str">
        <x:v>Q5-Q9</x:v>
      </x:c>
      <x:c r="D9" s="14" t="str">
        <x:v>Each service loss versus exact state</x:v>
      </x:c>
      <x:c r="E9" s="14" t="n">
        <x:v>90</x:v>
      </x:c>
    </x:row>
    <x:row r="10">
      <x:c r="A10" s="15" t="str">
        <x:v>C6</x:v>
      </x:c>
      <x:c r="B10" s="15" t="str">
        <x:v>Q4</x:v>
      </x:c>
      <x:c r="C10" s="15" t="str">
        <x:v>Q10</x:v>
      </x:c>
      <x:c r="D10" s="15" t="str">
        <x:v>Compound loss and external reconstruction</x:v>
      </x:c>
      <x:c r="E10" s="15" t="n">
        <x:v>18</x:v>
      </x:c>
    </x:row>
  </x:sheetData>
  <x:mergeCells>
    <x:mergeCell ref="A1:E1"/>
    <x:mergeCell ref="A2:E2"/>
  </x:mergeCells>
  <x:pageMargins left="0.7" right="0.7" top="0.75" bottom="0.75" header="0.3" footer="0.3"/>
</x:worksheet>
</file>

<file path=xl/worksheets/sheet1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2" hidden="0" customWidth="1"/>
    <x:col min="2" max="2" width="40" hidden="0" customWidth="1"/>
    <x:col min="3" max="3" width="56" hidden="0" customWidth="1"/>
    <x:col min="4" max="4" width="18" hidden="0" customWidth="1"/>
  </x:cols>
  <x:sheetData>
    <x:row r="1" ht="26" customHeight="1">
      <x:c r="A1" s="43" t="str">
        <x:v>Exact-class denial worlds</x:v>
      </x:c>
      <x:c r="B1" s="35"/>
      <x:c r="C1" s="35"/>
      <x:c r="D1" s="35"/>
    </x:row>
    <x:row r="2" ht="32" customHeight="1">
      <x:c r="A2" s="7" t="str">
        <x:v>Loss is present before decisive event observations.</x:v>
      </x:c>
      <x:c r="B2" s="35"/>
      <x:c r="C2" s="35"/>
      <x:c r="D2" s="35"/>
    </x:row>
    <x:row r="3">
      <x:c r="A3" s="35"/>
      <x:c r="B3" s="35"/>
      <x:c r="C3" s="35"/>
      <x:c r="D3" s="35"/>
    </x:row>
    <x:row r="4" ht="28" customHeight="1">
      <x:c r="A4" s="11" t="str">
        <x:v>World</x:v>
      </x:c>
      <x:c r="B4" s="11" t="str">
        <x:v>Services absent</x:v>
      </x:c>
      <x:c r="C4" s="11" t="str">
        <x:v>Reconstruction condition</x:v>
      </x:c>
      <x:c r="D4" s="11" t="str">
        <x:v>Coverage</x:v>
      </x:c>
    </x:row>
    <x:row r="5">
      <x:c r="A5" s="14" t="str">
        <x:v>D1</x:v>
      </x:c>
      <x:c r="B5" s="14" t="str">
        <x:v>Grid; network; primary time</x:v>
      </x:c>
      <x:c r="C5" s="14" t="str">
        <x:v>Remote campuses A and B</x:v>
      </x:c>
      <x:c r="D5" s="14" t="str">
        <x:v>Two morphologies</x:v>
      </x:c>
    </x:row>
    <x:row r="6">
      <x:c r="A6" s="15" t="str">
        <x:v>D2</x:v>
      </x:c>
      <x:c r="B6" s="15" t="str">
        <x:v>Normal water; heat rejection</x:v>
      </x:c>
      <x:c r="C6" s="15" t="str">
        <x:v>Deployable detachment owns energy and thermal account</x:v>
      </x:c>
      <x:c r="D6" s="15" t="str">
        <x:v>Two morphologies</x:v>
      </x:c>
    </x:row>
    <x:row r="7">
      <x:c r="A7" s="14" t="str">
        <x:v>D3</x:v>
      </x:c>
      <x:c r="B7" s="14" t="str">
        <x:v>Normal receiver; host command</x:v>
      </x:c>
      <x:c r="C7" s="14" t="str">
        <x:v>Sector originals rebuild terminal custody</x:v>
      </x:c>
      <x:c r="D7" s="14" t="str">
        <x:v>Two morphologies</x:v>
      </x:c>
    </x:row>
    <x:row r="8">
      <x:c r="A8" s="15" t="str">
        <x:v>D4</x:v>
      </x:c>
      <x:c r="B8" s="15" t="str">
        <x:v>Origin analyst; primary reader; one store</x:v>
      </x:c>
      <x:c r="C8" s="15" t="str">
        <x:v>No origin computation or interpretation</x:v>
      </x:c>
      <x:c r="D8" s="15" t="str">
        <x:v>Two morphologies</x:v>
      </x:c>
    </x:row>
    <x:row r="9">
      <x:c r="A9" s="14" t="str">
        <x:v>D5</x:v>
      </x:c>
      <x:c r="B9" s="14" t="str">
        <x:v>Primary environment family; normal display</x:v>
      </x:c>
      <x:c r="C9" s="14" t="str">
        <x:v>Alternate environment truth and blind operator record</x:v>
      </x:c>
      <x:c r="D9" s="14" t="str">
        <x:v>Two morphologies</x:v>
      </x:c>
    </x:row>
    <x:row r="10">
      <x:c r="A10" s="15" t="str">
        <x:v>D6</x:v>
      </x:c>
      <x:c r="B10" s="15" t="str">
        <x:v>D1 + D2 + D3</x:v>
      </x:c>
      <x:c r="C10" s="15" t="str">
        <x:v>All three decisions before origin unseal</x:v>
      </x:c>
      <x:c r="D10" s="15" t="str">
        <x:v>Two morphologies</x:v>
      </x:c>
    </x:row>
  </x:sheetData>
  <x:mergeCells>
    <x:mergeCell ref="A1:D1"/>
    <x:mergeCell ref="A2:D2"/>
  </x:mergeCells>
  <x:pageMargins left="0.7" right="0.7" top="0.75" bottom="0.75" header="0.3" footer="0.3"/>
</x:worksheet>
</file>

<file path=xl/worksheets/sheet1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4" hidden="0" customWidth="1"/>
    <x:col min="2" max="2" width="50" hidden="0" customWidth="1"/>
    <x:col min="3" max="3" width="48" hidden="0" customWidth="1"/>
    <x:col min="4" max="4" width="14" hidden="0" customWidth="1"/>
  </x:cols>
  <x:sheetData>
    <x:row r="1" ht="26" customHeight="1">
      <x:c r="A1" s="43" t="str">
        <x:v>Six independent service islands</x:v>
      </x:c>
      <x:c r="B1" s="35"/>
      <x:c r="C1" s="35"/>
      <x:c r="D1" s="35"/>
    </x:row>
    <x:row r="2" ht="32" customHeight="1">
      <x:c r="A2" s="7" t="str">
        <x:v>Declared exchanges are measured. Hidden dependencies invalidate the event.</x:v>
      </x:c>
      <x:c r="B2" s="35"/>
      <x:c r="C2" s="35"/>
      <x:c r="D2" s="35"/>
    </x:row>
    <x:row r="3">
      <x:c r="A3" s="35"/>
      <x:c r="B3" s="35"/>
      <x:c r="C3" s="35"/>
      <x:c r="D3" s="35"/>
    </x:row>
    <x:row r="4" ht="28" customHeight="1">
      <x:c r="A4" s="11" t="str">
        <x:v>Island</x:v>
      </x:c>
      <x:c r="B4" s="11" t="str">
        <x:v>Independent content</x:v>
      </x:c>
      <x:c r="C4" s="11" t="str">
        <x:v>Forbidden dependency</x:v>
      </x:c>
      <x:c r="D4" s="11" t="str">
        <x:v>State</x:v>
      </x:c>
    </x:row>
    <x:row r="5">
      <x:c r="A5" s="14" t="str">
        <x:v>Energy</x:v>
      </x:c>
      <x:c r="B5" s="14" t="str">
        <x:v>Stored source; conversion; distribution; protection</x:v>
      </x:c>
      <x:c r="C5" s="14" t="str">
        <x:v>Host grid or common switchgear</x:v>
      </x:c>
      <x:c r="D5" s="14" t="str">
        <x:v>OPEN</x:v>
      </x:c>
    </x:row>
    <x:row r="6">
      <x:c r="A6" s="15" t="str">
        <x:v>Hydraulic</x:v>
      </x:c>
      <x:c r="B6" s="15" t="str">
        <x:v>Stored water; issue energy; morphology; isolation</x:v>
      </x:c>
      <x:c r="C6" s="15" t="str">
        <x:v>Normal water or campus pump control</x:v>
      </x:c>
      <x:c r="D6" s="15" t="str">
        <x:v>OPEN</x:v>
      </x:c>
    </x:row>
    <x:row r="7">
      <x:c r="A7" s="14" t="str">
        <x:v>Thermal</x:v>
      </x:c>
      <x:c r="B7" s="14" t="str">
        <x:v>Local cooling; exhaust; condensate; safe rejection</x:v>
      </x:c>
      <x:c r="C7" s="14" t="str">
        <x:v>Normal heat-rejection loop</x:v>
      </x:c>
      <x:c r="D7" s="14" t="str">
        <x:v>OPEN</x:v>
      </x:c>
    </x:row>
    <x:row r="8">
      <x:c r="A8" s="15" t="str">
        <x:v>Command</x:v>
      </x:c>
      <x:c r="B8" s="15" t="str">
        <x:v>Local state machine; human authority; hardwired safeing</x:v>
      </x:c>
      <x:c r="C8" s="15" t="str">
        <x:v>Campus network or remote coordinator</x:v>
      </x:c>
      <x:c r="D8" s="15" t="str">
        <x:v>OPEN</x:v>
      </x:c>
    </x:row>
    <x:row r="9">
      <x:c r="A9" s="14" t="str">
        <x:v>Time and evidence</x:v>
      </x:c>
      <x:c r="B9" s="14" t="str">
        <x:v>Local clocks; two stores; signing; custody</x:v>
      </x:c>
      <x:c r="C9" s="14" t="str">
        <x:v>Primary time, cloud, central key or origin reader</x:v>
      </x:c>
      <x:c r="D9" s="14" t="str">
        <x:v>OPEN</x:v>
      </x:c>
    </x:row>
    <x:row r="10">
      <x:c r="A10" s="15" t="str">
        <x:v>Receiver and environment</x:v>
      </x:c>
      <x:c r="B10" s="15" t="str">
        <x:v>Zoned capture; overflow; samples; terminal custody</x:v>
      </x:c>
      <x:c r="C10" s="15" t="str">
        <x:v>Normal receiver or common drain</x:v>
      </x:c>
      <x:c r="D10" s="15" t="str">
        <x:v>OPEN</x:v>
      </x:c>
    </x:row>
  </x:sheetData>
  <x:mergeCells>
    <x:mergeCell ref="A1:D1"/>
    <x:mergeCell ref="A2:D2"/>
  </x:mergeCells>
  <x:pageMargins left="0.7" right="0.7" top="0.75" bottom="0.75" header="0.3" footer="0.3"/>
</x:worksheet>
</file>

<file path=xl/worksheets/sheet1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0" hidden="0" customWidth="1"/>
    <x:col min="2" max="2" width="26" hidden="0" customWidth="1"/>
    <x:col min="3" max="3" width="14" hidden="0" customWidth="1"/>
    <x:col min="4" max="4" width="48" hidden="0" customWidth="1"/>
    <x:col min="5" max="5" width="14" hidden="0" customWidth="1"/>
  </x:cols>
  <x:sheetData>
    <x:row r="1" ht="26" customHeight="1">
      <x:c r="A1" s="43" t="str">
        <x:v>Independent energy register</x:v>
      </x:c>
      <x:c r="B1" s="35"/>
      <x:c r="C1" s="35"/>
      <x:c r="D1" s="35"/>
      <x:c r="E1" s="35"/>
    </x:row>
    <x:row r="2" ht="32" customHeight="1">
      <x:c r="A2" s="7" t="str">
        <x:v>Every energy path closes from stored source to terminal state.</x:v>
      </x:c>
      <x:c r="B2" s="35"/>
      <x:c r="C2" s="35"/>
      <x:c r="D2" s="35"/>
      <x:c r="E2" s="35"/>
    </x:row>
    <x:row r="3">
      <x:c r="A3" s="35"/>
      <x:c r="B3" s="35"/>
      <x:c r="C3" s="35"/>
      <x:c r="D3" s="35"/>
      <x:c r="E3" s="35"/>
    </x:row>
    <x:row r="4" ht="28" customHeight="1">
      <x:c r="A4" s="11" t="str">
        <x:v>Path</x:v>
      </x:c>
      <x:c r="B4" s="11" t="str">
        <x:v>Required capacity</x:v>
      </x:c>
      <x:c r="C4" s="11" t="str">
        <x:v>State</x:v>
      </x:c>
      <x:c r="D4" s="11" t="str">
        <x:v>Native evidence</x:v>
      </x:c>
      <x:c r="E4" s="11" t="str">
        <x:v>Acceptance</x:v>
      </x:c>
    </x:row>
    <x:row r="5">
      <x:c r="A5" s="14" t="str">
        <x:v>Water issue</x:v>
      </x:c>
      <x:c r="B5" s="14" t="str">
        <x:v>0.4 m3/s for 120 s</x:v>
      </x:c>
      <x:c r="C5" s="14" t="str">
        <x:v>OPEN</x:v>
      </x:c>
      <x:c r="D5" s="14" t="str">
        <x:v>Input energy and water history</x:v>
      </x:c>
      <x:c r="E5" s="14" t="str">
        <x:v>OPEN</x:v>
      </x:c>
    </x:row>
    <x:row r="6">
      <x:c r="A6" s="15" t="str">
        <x:v>Diversion and receiver</x:v>
      </x:c>
      <x:c r="B6" s="15" t="str">
        <x:v>Peak issue plus recovery</x:v>
      </x:c>
      <x:c r="C6" s="15" t="str">
        <x:v>OPEN</x:v>
      </x:c>
      <x:c r="D6" s="15" t="str">
        <x:v>Valve, level, sector and energy originals</x:v>
      </x:c>
      <x:c r="E6" s="15" t="str">
        <x:v>OPEN</x:v>
      </x:c>
    </x:row>
    <x:row r="7">
      <x:c r="A7" s="14" t="str">
        <x:v>Thermal and atmosphere</x:v>
      </x:c>
      <x:c r="B7" s="14" t="str">
        <x:v>Through terminal safe state</x:v>
      </x:c>
      <x:c r="C7" s="14" t="str">
        <x:v>OPEN</x:v>
      </x:c>
      <x:c r="D7" s="14" t="str">
        <x:v>Heat rejection and exhaust account</x:v>
      </x:c>
      <x:c r="E7" s="14" t="str">
        <x:v>OPEN</x:v>
      </x:c>
    </x:row>
    <x:row r="8">
      <x:c r="A8" s="15" t="str">
        <x:v>Evidence and clocks</x:v>
      </x:c>
      <x:c r="B8" s="15" t="str">
        <x:v>Through packet seal</x:v>
      </x:c>
      <x:c r="C8" s="15" t="str">
        <x:v>OPEN</x:v>
      </x:c>
      <x:c r="D8" s="15" t="str">
        <x:v>Local time and two native stores</x:v>
      </x:c>
      <x:c r="E8" s="15" t="str">
        <x:v>OPEN</x:v>
      </x:c>
    </x:row>
    <x:row r="9">
      <x:c r="A9" s="14" t="str">
        <x:v>Safeing</x:v>
      </x:c>
      <x:c r="B9" s="14" t="str">
        <x:v>After both active paths fail</x:v>
      </x:c>
      <x:c r="C9" s="14" t="str">
        <x:v>OPEN</x:v>
      </x:c>
      <x:c r="D9" s="14" t="str">
        <x:v>Passive physical-state witness</x:v>
      </x:c>
      <x:c r="E9" s="14" t="str">
        <x:v>OPEN</x:v>
      </x:c>
    </x:row>
    <x:row r="10">
      <x:c r="A10" s="15" t="str">
        <x:v>Recovery</x:v>
      </x:c>
      <x:c r="B10" s="15" t="str">
        <x:v>Through remote sample custody</x:v>
      </x:c>
      <x:c r="C10" s="15" t="str">
        <x:v>OPEN</x:v>
      </x:c>
      <x:c r="D10" s="15" t="str">
        <x:v>Robotics and terminal energy account</x:v>
      </x:c>
      <x:c r="E10" s="15" t="str">
        <x:v>OPEN</x:v>
      </x:c>
    </x:row>
  </x:sheetData>
  <x:mergeCells>
    <x:mergeCell ref="A1:E1"/>
    <x:mergeCell ref="A2:E2"/>
  </x:mergeCells>
  <x:pageMargins left="0.7" right="0.7" top="0.75" bottom="0.75" header="0.3" footer="0.3"/>
</x:worksheet>
</file>

<file path=xl/worksheets/sheet1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4" hidden="0" customWidth="1"/>
    <x:col min="2" max="2" width="34" hidden="0" customWidth="1"/>
    <x:col min="3" max="3" width="34" hidden="0" customWidth="1"/>
    <x:col min="4" max="4" width="36" hidden="0" customWidth="1"/>
    <x:col min="5" max="5" width="14" hidden="0" customWidth="1"/>
  </x:cols>
  <x:sheetData>
    <x:row r="1" ht="26" customHeight="1">
      <x:c r="A1" s="43" t="str">
        <x:v>Local control and state-machine register</x:v>
      </x:c>
      <x:c r="B1" s="35"/>
      <x:c r="C1" s="35"/>
      <x:c r="D1" s="35"/>
      <x:c r="E1" s="35"/>
    </x:row>
    <x:row r="2" ht="32" customHeight="1">
      <x:c r="A2" s="7" t="str">
        <x:v>The casualty system operates without campus networks or remote computation.</x:v>
      </x:c>
      <x:c r="B2" s="35"/>
      <x:c r="C2" s="35"/>
      <x:c r="D2" s="35"/>
      <x:c r="E2" s="35"/>
    </x:row>
    <x:row r="3">
      <x:c r="A3" s="35"/>
      <x:c r="B3" s="35"/>
      <x:c r="C3" s="35"/>
      <x:c r="D3" s="35"/>
      <x:c r="E3" s="35"/>
    </x:row>
    <x:row r="4" ht="28" customHeight="1">
      <x:c r="A4" s="11" t="str">
        <x:v>Function</x:v>
      </x:c>
      <x:c r="B4" s="11" t="str">
        <x:v>Local authority</x:v>
      </x:c>
      <x:c r="C4" s="11" t="str">
        <x:v>Human role</x:v>
      </x:c>
      <x:c r="D4" s="11" t="str">
        <x:v>Denied dependency</x:v>
      </x:c>
      <x:c r="E4" s="11" t="str">
        <x:v>State</x:v>
      </x:c>
    </x:row>
    <x:row r="5">
      <x:c r="A5" s="14" t="str">
        <x:v>Issue</x:v>
      </x:c>
      <x:c r="B5" s="14" t="str">
        <x:v>Registered local state machine</x:v>
      </x:c>
      <x:c r="C5" s="14" t="str">
        <x:v>Authorize start and stop</x:v>
      </x:c>
      <x:c r="D5" s="14" t="str">
        <x:v>Remote coordinator</x:v>
      </x:c>
      <x:c r="E5" s="14" t="str">
        <x:v>OPEN</x:v>
      </x:c>
    </x:row>
    <x:row r="6">
      <x:c r="A6" s="15" t="str">
        <x:v>Morphology</x:v>
      </x:c>
      <x:c r="B6" s="15" t="str">
        <x:v>Hardware-bound controller</x:v>
      </x:c>
      <x:c r="C6" s="15" t="str">
        <x:v>Verify bracket</x:v>
      </x:c>
      <x:c r="D6" s="15" t="str">
        <x:v>Cloud estimator</x:v>
      </x:c>
      <x:c r="E6" s="15" t="str">
        <x:v>OPEN</x:v>
      </x:c>
    </x:row>
    <x:row r="7">
      <x:c r="A7" s="14" t="str">
        <x:v>Diversion</x:v>
      </x:c>
      <x:c r="B7" s="14" t="str">
        <x:v>Sector-local logic</x:v>
      </x:c>
      <x:c r="C7" s="14" t="str">
        <x:v>Override to safer state</x:v>
      </x:c>
      <x:c r="D7" s="14" t="str">
        <x:v>Common receiver controller</x:v>
      </x:c>
      <x:c r="E7" s="14" t="str">
        <x:v>OPEN</x:v>
      </x:c>
    </x:row>
    <x:row r="8">
      <x:c r="A8" s="15" t="str">
        <x:v>Safeing</x:v>
      </x:c>
      <x:c r="B8" s="15" t="str">
        <x:v>Unlike local paths</x:v>
      </x:c>
      <x:c r="C8" s="15" t="str">
        <x:v>Independent physical actuation</x:v>
      </x:c>
      <x:c r="D8" s="15" t="str">
        <x:v>Single software lineage</x:v>
      </x:c>
      <x:c r="E8" s="15" t="str">
        <x:v>OPEN</x:v>
      </x:c>
    </x:row>
    <x:row r="9">
      <x:c r="A9" s="14" t="str">
        <x:v>Evidence</x:v>
      </x:c>
      <x:c r="B9" s="14" t="str">
        <x:v>Two native recorders</x:v>
      </x:c>
      <x:c r="C9" s="14" t="str">
        <x:v>Seal and transfer custody</x:v>
      </x:c>
      <x:c r="D9" s="14" t="str">
        <x:v>Central store</x:v>
      </x:c>
      <x:c r="E9" s="14" t="str">
        <x:v>OPEN</x:v>
      </x:c>
    </x:row>
    <x:row r="10">
      <x:c r="A10" s="15" t="str">
        <x:v>Public action</x:v>
      </x:c>
      <x:c r="B10" s="15" t="str">
        <x:v>Public chain</x:v>
      </x:c>
      <x:c r="C10" s="15" t="str">
        <x:v>Unconditional intervention</x:v>
      </x:c>
      <x:c r="D10" s="15" t="str">
        <x:v>Candidate permission</x:v>
      </x:c>
      <x:c r="E10" s="15" t="str">
        <x:v>OPEN</x:v>
      </x:c>
    </x:row>
  </x:sheetData>
  <x:mergeCells>
    <x:mergeCell ref="A1:E1"/>
    <x:mergeCell ref="A2:E2"/>
  </x:mergeCells>
  <x:pageMargins left="0.7" right="0.7" top="0.75" bottom="0.75" header="0.3" footer="0.3"/>
</x:worksheet>
</file>

<file path=xl/worksheets/sheet1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24" hidden="0" customWidth="1"/>
    <x:col min="3" max="3" width="42" hidden="0" customWidth="1"/>
    <x:col min="4" max="4" width="38" hidden="0" customWidth="1"/>
    <x:col min="5" max="5" width="16" hidden="0" customWidth="1"/>
    <x:col min="6" max="6" width="14" hidden="0" customWidth="1"/>
  </x:cols>
  <x:sheetData>
    <x:row r="1" ht="26" customHeight="1">
      <x:c r="A1" s="43" t="str">
        <x:v>Outside reconstruction constitution</x:v>
      </x:c>
      <x:c r="B1" s="35"/>
      <x:c r="C1" s="35"/>
      <x:c r="D1" s="35"/>
      <x:c r="E1" s="35"/>
      <x:c r="F1" s="35"/>
    </x:row>
    <x:row r="2" ht="32" customHeight="1">
      <x:c r="A2" s="7" t="str">
        <x:v>Origin conclusion remains sealed until all three external decisions are signed.</x:v>
      </x:c>
      <x:c r="B2" s="35"/>
      <x:c r="C2" s="35"/>
      <x:c r="D2" s="35"/>
      <x:c r="E2" s="35"/>
      <x:c r="F2" s="35"/>
    </x:row>
    <x:row r="3">
      <x:c r="A3" s="35"/>
      <x:c r="B3" s="35"/>
      <x:c r="C3" s="35"/>
      <x:c r="D3" s="35"/>
      <x:c r="E3" s="35"/>
      <x:c r="F3" s="35"/>
    </x:row>
    <x:row r="4" ht="28" customHeight="1">
      <x:c r="A4" s="11" t="str">
        <x:v>Authority</x:v>
      </x:c>
      <x:c r="B4" s="11" t="str">
        <x:v>Executor</x:v>
      </x:c>
      <x:c r="C4" s="11" t="str">
        <x:v>Independent estate</x:v>
      </x:c>
      <x:c r="D4" s="11" t="str">
        <x:v>Prohibited input</x:v>
      </x:c>
      <x:c r="E4" s="11" t="str">
        <x:v>Deadline h</x:v>
      </x:c>
      <x:c r="F4" s="11" t="str">
        <x:v>State</x:v>
      </x:c>
    </x:row>
    <x:row r="5">
      <x:c r="A5" s="14" t="str">
        <x:v>XR-A</x:v>
      </x:c>
      <x:c r="B5" s="14" t="str">
        <x:v>Remote campus 1</x:v>
      </x:c>
      <x:c r="C5" s="14" t="str">
        <x:v>Own people, compute, clocks and readers</x:v>
      </x:c>
      <x:c r="D5" s="14" t="str">
        <x:v>Origin services and conclusion</x:v>
      </x:c>
      <x:c r="E5" s="14" t="n">
        <x:v>168</x:v>
      </x:c>
      <x:c r="F5" s="14" t="str">
        <x:v>OPEN</x:v>
      </x:c>
    </x:row>
    <x:row r="6">
      <x:c r="A6" s="15" t="str">
        <x:v>XR-B</x:v>
      </x:c>
      <x:c r="B6" s="15" t="str">
        <x:v>Remote campus 2</x:v>
      </x:c>
      <x:c r="C6" s="15" t="str">
        <x:v>Different reconstruction lineage</x:v>
      </x:c>
      <x:c r="D6" s="15" t="str">
        <x:v>Origin code and intermediates</x:v>
      </x:c>
      <x:c r="E6" s="15" t="n">
        <x:v>168</x:v>
      </x:c>
      <x:c r="F6" s="15" t="str">
        <x:v>OPEN</x:v>
      </x:c>
    </x:row>
    <x:row r="7">
      <x:c r="A7" s="14" t="str">
        <x:v>XR-C</x:v>
      </x:c>
      <x:c r="B7" s="14" t="str">
        <x:v>Deployable detachment</x:v>
      </x:c>
      <x:c r="C7" s="14" t="str">
        <x:v>Own power, offline methods and references</x:v>
      </x:c>
      <x:c r="D7" s="14" t="str">
        <x:v>Campus services</x:v>
      </x:c>
      <x:c r="E7" s="14" t="n">
        <x:v>168</x:v>
      </x:c>
      <x:c r="F7" s="14" t="str">
        <x:v>OPEN</x:v>
      </x:c>
    </x:row>
  </x:sheetData>
  <x:mergeCells>
    <x:mergeCell ref="A1:F1"/>
    <x:mergeCell ref="A2:F2"/>
  </x:mergeCells>
  <x:pageMargins left="0.7" right="0.7" top="0.75" bottom="0.75" header="0.3" footer="0.3"/>
</x:worksheet>
</file>

<file path=xl/worksheets/sheet2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4" hidden="0" customWidth="1"/>
    <x:col min="4" max="4" width="16" hidden="0" customWidth="1"/>
    <x:col min="5" max="5" width="18" hidden="0" customWidth="1"/>
    <x:col min="6" max="6" width="18" hidden="0" customWidth="1"/>
    <x:col min="7" max="7" width="16" hidden="0" customWidth="1"/>
  </x:cols>
  <x:sheetData>
    <x:row r="1" ht="26" customHeight="1">
      <x:c r="A1" s="43" t="str">
        <x:v>Thirty-six external reconstruction cases</x:v>
      </x:c>
      <x:c r="B1" s="35"/>
      <x:c r="C1" s="35"/>
      <x:c r="D1" s="35"/>
      <x:c r="E1" s="35"/>
      <x:c r="F1" s="35"/>
      <x:c r="G1" s="35"/>
    </x:row>
    <x:row r="2" ht="32" customHeight="1">
      <x:c r="A2" s="7" t="str">
        <x:v>Every case rebuilds clocks, accounts, nine roots, uncertainty and disposition.</x:v>
      </x:c>
      <x:c r="B2" s="35"/>
      <x:c r="C2" s="35"/>
      <x:c r="D2" s="35"/>
      <x:c r="E2" s="35"/>
      <x:c r="F2" s="35"/>
      <x:c r="G2" s="35"/>
    </x:row>
    <x:row r="3">
      <x:c r="A3" s="35"/>
      <x:c r="B3" s="35"/>
      <x:c r="C3" s="35"/>
      <x:c r="D3" s="35"/>
      <x:c r="E3" s="35"/>
      <x:c r="F3" s="35"/>
      <x:c r="G3" s="35"/>
    </x:row>
    <x:row r="4" ht="28" customHeight="1">
      <x:c r="A4" s="11" t="str">
        <x:v>Case</x:v>
      </x:c>
      <x:c r="B4" s="11" t="str">
        <x:v>Event</x:v>
      </x:c>
      <x:c r="C4" s="11" t="str">
        <x:v>Authority</x:v>
      </x:c>
      <x:c r="D4" s="11" t="str">
        <x:v>Packet</x:v>
      </x:c>
      <x:c r="E4" s="11" t="str">
        <x:v>Clock rebuild</x:v>
      </x:c>
      <x:c r="F4" s="11" t="str">
        <x:v>Root decisions</x:v>
      </x:c>
      <x:c r="G4" s="11" t="str">
        <x:v>Disposition</x:v>
      </x:c>
    </x:row>
    <x:row r="5">
      <x:c r="A5" s="14" t="str">
        <x:v>RC-01</x:v>
      </x:c>
      <x:c r="B5" s="14" t="str">
        <x:v>ER10-01</x:v>
      </x:c>
      <x:c r="C5" s="14" t="str">
        <x:v>XR-A</x:v>
      </x:c>
      <x:c r="D5" s="14" t="str">
        <x:v>NOT ISSUED</x:v>
      </x:c>
      <x:c r="E5" s="14" t="str">
        <x:v>OPEN</x:v>
      </x:c>
      <x:c r="F5" s="14" t="str">
        <x:v>OPEN</x:v>
      </x:c>
      <x:c r="G5" s="14" t="str">
        <x:v>OPEN</x:v>
      </x:c>
    </x:row>
    <x:row r="6">
      <x:c r="A6" s="15" t="str">
        <x:v>RC-02</x:v>
      </x:c>
      <x:c r="B6" s="15" t="str">
        <x:v>ER10-01</x:v>
      </x:c>
      <x:c r="C6" s="15" t="str">
        <x:v>XR-B</x:v>
      </x:c>
      <x:c r="D6" s="15" t="str">
        <x:v>NOT ISSUED</x:v>
      </x:c>
      <x:c r="E6" s="15" t="str">
        <x:v>OPEN</x:v>
      </x:c>
      <x:c r="F6" s="15" t="str">
        <x:v>OPEN</x:v>
      </x:c>
      <x:c r="G6" s="15" t="str">
        <x:v>OPEN</x:v>
      </x:c>
    </x:row>
    <x:row r="7">
      <x:c r="A7" s="14" t="str">
        <x:v>RC-03</x:v>
      </x:c>
      <x:c r="B7" s="14" t="str">
        <x:v>ER10-01</x:v>
      </x:c>
      <x:c r="C7" s="14" t="str">
        <x:v>XR-C</x:v>
      </x:c>
      <x:c r="D7" s="14" t="str">
        <x:v>NOT ISSUED</x:v>
      </x:c>
      <x:c r="E7" s="14" t="str">
        <x:v>OPEN</x:v>
      </x:c>
      <x:c r="F7" s="14" t="str">
        <x:v>OPEN</x:v>
      </x:c>
      <x:c r="G7" s="14" t="str">
        <x:v>OPEN</x:v>
      </x:c>
    </x:row>
    <x:row r="8">
      <x:c r="A8" s="15" t="str">
        <x:v>RC-04</x:v>
      </x:c>
      <x:c r="B8" s="15" t="str">
        <x:v>ER10-02</x:v>
      </x:c>
      <x:c r="C8" s="15" t="str">
        <x:v>XR-A</x:v>
      </x:c>
      <x:c r="D8" s="15" t="str">
        <x:v>NOT ISSUED</x:v>
      </x:c>
      <x:c r="E8" s="15" t="str">
        <x:v>OPEN</x:v>
      </x:c>
      <x:c r="F8" s="15" t="str">
        <x:v>OPEN</x:v>
      </x:c>
      <x:c r="G8" s="15" t="str">
        <x:v>OPEN</x:v>
      </x:c>
    </x:row>
    <x:row r="9">
      <x:c r="A9" s="14" t="str">
        <x:v>RC-05</x:v>
      </x:c>
      <x:c r="B9" s="14" t="str">
        <x:v>ER10-02</x:v>
      </x:c>
      <x:c r="C9" s="14" t="str">
        <x:v>XR-B</x:v>
      </x:c>
      <x:c r="D9" s="14" t="str">
        <x:v>NOT ISSUED</x:v>
      </x:c>
      <x:c r="E9" s="14" t="str">
        <x:v>OPEN</x:v>
      </x:c>
      <x:c r="F9" s="14" t="str">
        <x:v>OPEN</x:v>
      </x:c>
      <x:c r="G9" s="14" t="str">
        <x:v>OPEN</x:v>
      </x:c>
    </x:row>
    <x:row r="10">
      <x:c r="A10" s="15" t="str">
        <x:v>RC-06</x:v>
      </x:c>
      <x:c r="B10" s="15" t="str">
        <x:v>ER10-02</x:v>
      </x:c>
      <x:c r="C10" s="15" t="str">
        <x:v>XR-C</x:v>
      </x:c>
      <x:c r="D10" s="15" t="str">
        <x:v>NOT ISSUED</x:v>
      </x:c>
      <x:c r="E10" s="15" t="str">
        <x:v>OPEN</x:v>
      </x:c>
      <x:c r="F10" s="15" t="str">
        <x:v>OPEN</x:v>
      </x:c>
      <x:c r="G10" s="15" t="str">
        <x:v>OPEN</x:v>
      </x:c>
    </x:row>
    <x:row r="11">
      <x:c r="A11" s="14" t="str">
        <x:v>RC-07</x:v>
      </x:c>
      <x:c r="B11" s="14" t="str">
        <x:v>ER10-03</x:v>
      </x:c>
      <x:c r="C11" s="14" t="str">
        <x:v>XR-A</x:v>
      </x:c>
      <x:c r="D11" s="14" t="str">
        <x:v>NOT ISSUED</x:v>
      </x:c>
      <x:c r="E11" s="14" t="str">
        <x:v>OPEN</x:v>
      </x:c>
      <x:c r="F11" s="14" t="str">
        <x:v>OPEN</x:v>
      </x:c>
      <x:c r="G11" s="14" t="str">
        <x:v>OPEN</x:v>
      </x:c>
    </x:row>
    <x:row r="12">
      <x:c r="A12" s="15" t="str">
        <x:v>RC-08</x:v>
      </x:c>
      <x:c r="B12" s="15" t="str">
        <x:v>ER10-03</x:v>
      </x:c>
      <x:c r="C12" s="15" t="str">
        <x:v>XR-B</x:v>
      </x:c>
      <x:c r="D12" s="15" t="str">
        <x:v>NOT ISSUED</x:v>
      </x:c>
      <x:c r="E12" s="15" t="str">
        <x:v>OPEN</x:v>
      </x:c>
      <x:c r="F12" s="15" t="str">
        <x:v>OPEN</x:v>
      </x:c>
      <x:c r="G12" s="15" t="str">
        <x:v>OPEN</x:v>
      </x:c>
    </x:row>
    <x:row r="13">
      <x:c r="A13" s="14" t="str">
        <x:v>RC-09</x:v>
      </x:c>
      <x:c r="B13" s="14" t="str">
        <x:v>ER10-03</x:v>
      </x:c>
      <x:c r="C13" s="14" t="str">
        <x:v>XR-C</x:v>
      </x:c>
      <x:c r="D13" s="14" t="str">
        <x:v>NOT ISSUED</x:v>
      </x:c>
      <x:c r="E13" s="14" t="str">
        <x:v>OPEN</x:v>
      </x:c>
      <x:c r="F13" s="14" t="str">
        <x:v>OPEN</x:v>
      </x:c>
      <x:c r="G13" s="14" t="str">
        <x:v>OPEN</x:v>
      </x:c>
    </x:row>
    <x:row r="14">
      <x:c r="A14" s="15" t="str">
        <x:v>RC-10</x:v>
      </x:c>
      <x:c r="B14" s="15" t="str">
        <x:v>ER10-04</x:v>
      </x:c>
      <x:c r="C14" s="15" t="str">
        <x:v>XR-A</x:v>
      </x:c>
      <x:c r="D14" s="15" t="str">
        <x:v>NOT ISSUED</x:v>
      </x:c>
      <x:c r="E14" s="15" t="str">
        <x:v>OPEN</x:v>
      </x:c>
      <x:c r="F14" s="15" t="str">
        <x:v>OPEN</x:v>
      </x:c>
      <x:c r="G14" s="15" t="str">
        <x:v>OPEN</x:v>
      </x:c>
    </x:row>
    <x:row r="15">
      <x:c r="A15" s="14" t="str">
        <x:v>RC-11</x:v>
      </x:c>
      <x:c r="B15" s="14" t="str">
        <x:v>ER10-04</x:v>
      </x:c>
      <x:c r="C15" s="14" t="str">
        <x:v>XR-B</x:v>
      </x:c>
      <x:c r="D15" s="14" t="str">
        <x:v>NOT ISSUED</x:v>
      </x:c>
      <x:c r="E15" s="14" t="str">
        <x:v>OPEN</x:v>
      </x:c>
      <x:c r="F15" s="14" t="str">
        <x:v>OPEN</x:v>
      </x:c>
      <x:c r="G15" s="14" t="str">
        <x:v>OPEN</x:v>
      </x:c>
    </x:row>
    <x:row r="16">
      <x:c r="A16" s="15" t="str">
        <x:v>RC-12</x:v>
      </x:c>
      <x:c r="B16" s="15" t="str">
        <x:v>ER10-04</x:v>
      </x:c>
      <x:c r="C16" s="15" t="str">
        <x:v>XR-C</x:v>
      </x:c>
      <x:c r="D16" s="15" t="str">
        <x:v>NOT ISSUED</x:v>
      </x:c>
      <x:c r="E16" s="15" t="str">
        <x:v>OPEN</x:v>
      </x:c>
      <x:c r="F16" s="15" t="str">
        <x:v>OPEN</x:v>
      </x:c>
      <x:c r="G16" s="15" t="str">
        <x:v>OPEN</x:v>
      </x:c>
    </x:row>
    <x:row r="17">
      <x:c r="A17" s="14" t="str">
        <x:v>RC-13</x:v>
      </x:c>
      <x:c r="B17" s="14" t="str">
        <x:v>ER10-05</x:v>
      </x:c>
      <x:c r="C17" s="14" t="str">
        <x:v>XR-A</x:v>
      </x:c>
      <x:c r="D17" s="14" t="str">
        <x:v>NOT ISSUED</x:v>
      </x:c>
      <x:c r="E17" s="14" t="str">
        <x:v>OPEN</x:v>
      </x:c>
      <x:c r="F17" s="14" t="str">
        <x:v>OPEN</x:v>
      </x:c>
      <x:c r="G17" s="14" t="str">
        <x:v>OPEN</x:v>
      </x:c>
    </x:row>
    <x:row r="18">
      <x:c r="A18" s="15" t="str">
        <x:v>RC-14</x:v>
      </x:c>
      <x:c r="B18" s="15" t="str">
        <x:v>ER10-05</x:v>
      </x:c>
      <x:c r="C18" s="15" t="str">
        <x:v>XR-B</x:v>
      </x:c>
      <x:c r="D18" s="15" t="str">
        <x:v>NOT ISSUED</x:v>
      </x:c>
      <x:c r="E18" s="15" t="str">
        <x:v>OPEN</x:v>
      </x:c>
      <x:c r="F18" s="15" t="str">
        <x:v>OPEN</x:v>
      </x:c>
      <x:c r="G18" s="15" t="str">
        <x:v>OPEN</x:v>
      </x:c>
    </x:row>
    <x:row r="19">
      <x:c r="A19" s="14" t="str">
        <x:v>RC-15</x:v>
      </x:c>
      <x:c r="B19" s="14" t="str">
        <x:v>ER10-05</x:v>
      </x:c>
      <x:c r="C19" s="14" t="str">
        <x:v>XR-C</x:v>
      </x:c>
      <x:c r="D19" s="14" t="str">
        <x:v>NOT ISSUED</x:v>
      </x:c>
      <x:c r="E19" s="14" t="str">
        <x:v>OPEN</x:v>
      </x:c>
      <x:c r="F19" s="14" t="str">
        <x:v>OPEN</x:v>
      </x:c>
      <x:c r="G19" s="14" t="str">
        <x:v>OPEN</x:v>
      </x:c>
    </x:row>
    <x:row r="20">
      <x:c r="A20" s="15" t="str">
        <x:v>RC-16</x:v>
      </x:c>
      <x:c r="B20" s="15" t="str">
        <x:v>ER10-06</x:v>
      </x:c>
      <x:c r="C20" s="15" t="str">
        <x:v>XR-A</x:v>
      </x:c>
      <x:c r="D20" s="15" t="str">
        <x:v>NOT ISSUED</x:v>
      </x:c>
      <x:c r="E20" s="15" t="str">
        <x:v>OPEN</x:v>
      </x:c>
      <x:c r="F20" s="15" t="str">
        <x:v>OPEN</x:v>
      </x:c>
      <x:c r="G20" s="15" t="str">
        <x:v>OPEN</x:v>
      </x:c>
    </x:row>
    <x:row r="21">
      <x:c r="A21" s="14" t="str">
        <x:v>RC-17</x:v>
      </x:c>
      <x:c r="B21" s="14" t="str">
        <x:v>ER10-06</x:v>
      </x:c>
      <x:c r="C21" s="14" t="str">
        <x:v>XR-B</x:v>
      </x:c>
      <x:c r="D21" s="14" t="str">
        <x:v>NOT ISSUED</x:v>
      </x:c>
      <x:c r="E21" s="14" t="str">
        <x:v>OPEN</x:v>
      </x:c>
      <x:c r="F21" s="14" t="str">
        <x:v>OPEN</x:v>
      </x:c>
      <x:c r="G21" s="14" t="str">
        <x:v>OPEN</x:v>
      </x:c>
    </x:row>
    <x:row r="22">
      <x:c r="A22" s="15" t="str">
        <x:v>RC-18</x:v>
      </x:c>
      <x:c r="B22" s="15" t="str">
        <x:v>ER10-06</x:v>
      </x:c>
      <x:c r="C22" s="15" t="str">
        <x:v>XR-C</x:v>
      </x:c>
      <x:c r="D22" s="15" t="str">
        <x:v>NOT ISSUED</x:v>
      </x:c>
      <x:c r="E22" s="15" t="str">
        <x:v>OPEN</x:v>
      </x:c>
      <x:c r="F22" s="15" t="str">
        <x:v>OPEN</x:v>
      </x:c>
      <x:c r="G22" s="15" t="str">
        <x:v>OPEN</x:v>
      </x:c>
    </x:row>
    <x:row r="23">
      <x:c r="A23" s="14" t="str">
        <x:v>RC-19</x:v>
      </x:c>
      <x:c r="B23" s="14" t="str">
        <x:v>ER10-07</x:v>
      </x:c>
      <x:c r="C23" s="14" t="str">
        <x:v>XR-A</x:v>
      </x:c>
      <x:c r="D23" s="14" t="str">
        <x:v>NOT ISSUED</x:v>
      </x:c>
      <x:c r="E23" s="14" t="str">
        <x:v>OPEN</x:v>
      </x:c>
      <x:c r="F23" s="14" t="str">
        <x:v>OPEN</x:v>
      </x:c>
      <x:c r="G23" s="14" t="str">
        <x:v>OPEN</x:v>
      </x:c>
    </x:row>
    <x:row r="24">
      <x:c r="A24" s="15" t="str">
        <x:v>RC-20</x:v>
      </x:c>
      <x:c r="B24" s="15" t="str">
        <x:v>ER10-07</x:v>
      </x:c>
      <x:c r="C24" s="15" t="str">
        <x:v>XR-B</x:v>
      </x:c>
      <x:c r="D24" s="15" t="str">
        <x:v>NOT ISSUED</x:v>
      </x:c>
      <x:c r="E24" s="15" t="str">
        <x:v>OPEN</x:v>
      </x:c>
      <x:c r="F24" s="15" t="str">
        <x:v>OPEN</x:v>
      </x:c>
      <x:c r="G24" s="15" t="str">
        <x:v>OPEN</x:v>
      </x:c>
    </x:row>
    <x:row r="25">
      <x:c r="A25" s="14" t="str">
        <x:v>RC-21</x:v>
      </x:c>
      <x:c r="B25" s="14" t="str">
        <x:v>ER10-07</x:v>
      </x:c>
      <x:c r="C25" s="14" t="str">
        <x:v>XR-C</x:v>
      </x:c>
      <x:c r="D25" s="14" t="str">
        <x:v>NOT ISSUED</x:v>
      </x:c>
      <x:c r="E25" s="14" t="str">
        <x:v>OPEN</x:v>
      </x:c>
      <x:c r="F25" s="14" t="str">
        <x:v>OPEN</x:v>
      </x:c>
      <x:c r="G25" s="14" t="str">
        <x:v>OPEN</x:v>
      </x:c>
    </x:row>
    <x:row r="26">
      <x:c r="A26" s="15" t="str">
        <x:v>RC-22</x:v>
      </x:c>
      <x:c r="B26" s="15" t="str">
        <x:v>ER10-08</x:v>
      </x:c>
      <x:c r="C26" s="15" t="str">
        <x:v>XR-A</x:v>
      </x:c>
      <x:c r="D26" s="15" t="str">
        <x:v>NOT ISSUED</x:v>
      </x:c>
      <x:c r="E26" s="15" t="str">
        <x:v>OPEN</x:v>
      </x:c>
      <x:c r="F26" s="15" t="str">
        <x:v>OPEN</x:v>
      </x:c>
      <x:c r="G26" s="15" t="str">
        <x:v>OPEN</x:v>
      </x:c>
    </x:row>
    <x:row r="27">
      <x:c r="A27" s="14" t="str">
        <x:v>RC-23</x:v>
      </x:c>
      <x:c r="B27" s="14" t="str">
        <x:v>ER10-08</x:v>
      </x:c>
      <x:c r="C27" s="14" t="str">
        <x:v>XR-B</x:v>
      </x:c>
      <x:c r="D27" s="14" t="str">
        <x:v>NOT ISSUED</x:v>
      </x:c>
      <x:c r="E27" s="14" t="str">
        <x:v>OPEN</x:v>
      </x:c>
      <x:c r="F27" s="14" t="str">
        <x:v>OPEN</x:v>
      </x:c>
      <x:c r="G27" s="14" t="str">
        <x:v>OPEN</x:v>
      </x:c>
    </x:row>
    <x:row r="28">
      <x:c r="A28" s="15" t="str">
        <x:v>RC-24</x:v>
      </x:c>
      <x:c r="B28" s="15" t="str">
        <x:v>ER10-08</x:v>
      </x:c>
      <x:c r="C28" s="15" t="str">
        <x:v>XR-C</x:v>
      </x:c>
      <x:c r="D28" s="15" t="str">
        <x:v>NOT ISSUED</x:v>
      </x:c>
      <x:c r="E28" s="15" t="str">
        <x:v>OPEN</x:v>
      </x:c>
      <x:c r="F28" s="15" t="str">
        <x:v>OPEN</x:v>
      </x:c>
      <x:c r="G28" s="15" t="str">
        <x:v>OPEN</x:v>
      </x:c>
    </x:row>
    <x:row r="29">
      <x:c r="A29" s="14" t="str">
        <x:v>RC-25</x:v>
      </x:c>
      <x:c r="B29" s="14" t="str">
        <x:v>ER10-09</x:v>
      </x:c>
      <x:c r="C29" s="14" t="str">
        <x:v>XR-A</x:v>
      </x:c>
      <x:c r="D29" s="14" t="str">
        <x:v>NOT ISSUED</x:v>
      </x:c>
      <x:c r="E29" s="14" t="str">
        <x:v>OPEN</x:v>
      </x:c>
      <x:c r="F29" s="14" t="str">
        <x:v>OPEN</x:v>
      </x:c>
      <x:c r="G29" s="14" t="str">
        <x:v>OPEN</x:v>
      </x:c>
    </x:row>
    <x:row r="30">
      <x:c r="A30" s="15" t="str">
        <x:v>RC-26</x:v>
      </x:c>
      <x:c r="B30" s="15" t="str">
        <x:v>ER10-09</x:v>
      </x:c>
      <x:c r="C30" s="15" t="str">
        <x:v>XR-B</x:v>
      </x:c>
      <x:c r="D30" s="15" t="str">
        <x:v>NOT ISSUED</x:v>
      </x:c>
      <x:c r="E30" s="15" t="str">
        <x:v>OPEN</x:v>
      </x:c>
      <x:c r="F30" s="15" t="str">
        <x:v>OPEN</x:v>
      </x:c>
      <x:c r="G30" s="15" t="str">
        <x:v>OPEN</x:v>
      </x:c>
    </x:row>
    <x:row r="31">
      <x:c r="A31" s="14" t="str">
        <x:v>RC-27</x:v>
      </x:c>
      <x:c r="B31" s="14" t="str">
        <x:v>ER10-09</x:v>
      </x:c>
      <x:c r="C31" s="14" t="str">
        <x:v>XR-C</x:v>
      </x:c>
      <x:c r="D31" s="14" t="str">
        <x:v>NOT ISSUED</x:v>
      </x:c>
      <x:c r="E31" s="14" t="str">
        <x:v>OPEN</x:v>
      </x:c>
      <x:c r="F31" s="14" t="str">
        <x:v>OPEN</x:v>
      </x:c>
      <x:c r="G31" s="14" t="str">
        <x:v>OPEN</x:v>
      </x:c>
    </x:row>
    <x:row r="32">
      <x:c r="A32" s="15" t="str">
        <x:v>RC-28</x:v>
      </x:c>
      <x:c r="B32" s="15" t="str">
        <x:v>ER10-10</x:v>
      </x:c>
      <x:c r="C32" s="15" t="str">
        <x:v>XR-A</x:v>
      </x:c>
      <x:c r="D32" s="15" t="str">
        <x:v>NOT ISSUED</x:v>
      </x:c>
      <x:c r="E32" s="15" t="str">
        <x:v>OPEN</x:v>
      </x:c>
      <x:c r="F32" s="15" t="str">
        <x:v>OPEN</x:v>
      </x:c>
      <x:c r="G32" s="15" t="str">
        <x:v>OPEN</x:v>
      </x:c>
    </x:row>
    <x:row r="33">
      <x:c r="A33" s="14" t="str">
        <x:v>RC-29</x:v>
      </x:c>
      <x:c r="B33" s="14" t="str">
        <x:v>ER10-10</x:v>
      </x:c>
      <x:c r="C33" s="14" t="str">
        <x:v>XR-B</x:v>
      </x:c>
      <x:c r="D33" s="14" t="str">
        <x:v>NOT ISSUED</x:v>
      </x:c>
      <x:c r="E33" s="14" t="str">
        <x:v>OPEN</x:v>
      </x:c>
      <x:c r="F33" s="14" t="str">
        <x:v>OPEN</x:v>
      </x:c>
      <x:c r="G33" s="14" t="str">
        <x:v>OPEN</x:v>
      </x:c>
    </x:row>
    <x:row r="34">
      <x:c r="A34" s="15" t="str">
        <x:v>RC-30</x:v>
      </x:c>
      <x:c r="B34" s="15" t="str">
        <x:v>ER10-10</x:v>
      </x:c>
      <x:c r="C34" s="15" t="str">
        <x:v>XR-C</x:v>
      </x:c>
      <x:c r="D34" s="15" t="str">
        <x:v>NOT ISSUED</x:v>
      </x:c>
      <x:c r="E34" s="15" t="str">
        <x:v>OPEN</x:v>
      </x:c>
      <x:c r="F34" s="15" t="str">
        <x:v>OPEN</x:v>
      </x:c>
      <x:c r="G34" s="15" t="str">
        <x:v>OPEN</x:v>
      </x:c>
    </x:row>
    <x:row r="35">
      <x:c r="A35" s="14" t="str">
        <x:v>RC-31</x:v>
      </x:c>
      <x:c r="B35" s="14" t="str">
        <x:v>ER10-11</x:v>
      </x:c>
      <x:c r="C35" s="14" t="str">
        <x:v>XR-A</x:v>
      </x:c>
      <x:c r="D35" s="14" t="str">
        <x:v>NOT ISSUED</x:v>
      </x:c>
      <x:c r="E35" s="14" t="str">
        <x:v>OPEN</x:v>
      </x:c>
      <x:c r="F35" s="14" t="str">
        <x:v>OPEN</x:v>
      </x:c>
      <x:c r="G35" s="14" t="str">
        <x:v>OPEN</x:v>
      </x:c>
    </x:row>
    <x:row r="36">
      <x:c r="A36" s="15" t="str">
        <x:v>RC-32</x:v>
      </x:c>
      <x:c r="B36" s="15" t="str">
        <x:v>ER10-11</x:v>
      </x:c>
      <x:c r="C36" s="15" t="str">
        <x:v>XR-B</x:v>
      </x:c>
      <x:c r="D36" s="15" t="str">
        <x:v>NOT ISSUED</x:v>
      </x:c>
      <x:c r="E36" s="15" t="str">
        <x:v>OPEN</x:v>
      </x:c>
      <x:c r="F36" s="15" t="str">
        <x:v>OPEN</x:v>
      </x:c>
      <x:c r="G36" s="15" t="str">
        <x:v>OPEN</x:v>
      </x:c>
    </x:row>
    <x:row r="37">
      <x:c r="A37" s="14" t="str">
        <x:v>RC-33</x:v>
      </x:c>
      <x:c r="B37" s="14" t="str">
        <x:v>ER10-11</x:v>
      </x:c>
      <x:c r="C37" s="14" t="str">
        <x:v>XR-C</x:v>
      </x:c>
      <x:c r="D37" s="14" t="str">
        <x:v>NOT ISSUED</x:v>
      </x:c>
      <x:c r="E37" s="14" t="str">
        <x:v>OPEN</x:v>
      </x:c>
      <x:c r="F37" s="14" t="str">
        <x:v>OPEN</x:v>
      </x:c>
      <x:c r="G37" s="14" t="str">
        <x:v>OPEN</x:v>
      </x:c>
    </x:row>
    <x:row r="38">
      <x:c r="A38" s="15" t="str">
        <x:v>RC-34</x:v>
      </x:c>
      <x:c r="B38" s="15" t="str">
        <x:v>ER10-12</x:v>
      </x:c>
      <x:c r="C38" s="15" t="str">
        <x:v>XR-A</x:v>
      </x:c>
      <x:c r="D38" s="15" t="str">
        <x:v>NOT ISSUED</x:v>
      </x:c>
      <x:c r="E38" s="15" t="str">
        <x:v>OPEN</x:v>
      </x:c>
      <x:c r="F38" s="15" t="str">
        <x:v>OPEN</x:v>
      </x:c>
      <x:c r="G38" s="15" t="str">
        <x:v>OPEN</x:v>
      </x:c>
    </x:row>
    <x:row r="39">
      <x:c r="A39" s="14" t="str">
        <x:v>RC-35</x:v>
      </x:c>
      <x:c r="B39" s="14" t="str">
        <x:v>ER10-12</x:v>
      </x:c>
      <x:c r="C39" s="14" t="str">
        <x:v>XR-B</x:v>
      </x:c>
      <x:c r="D39" s="14" t="str">
        <x:v>NOT ISSUED</x:v>
      </x:c>
      <x:c r="E39" s="14" t="str">
        <x:v>OPEN</x:v>
      </x:c>
      <x:c r="F39" s="14" t="str">
        <x:v>OPEN</x:v>
      </x:c>
      <x:c r="G39" s="14" t="str">
        <x:v>OPEN</x:v>
      </x:c>
    </x:row>
    <x:row r="40">
      <x:c r="A40" s="15" t="str">
        <x:v>RC-36</x:v>
      </x:c>
      <x:c r="B40" s="15" t="str">
        <x:v>ER10-12</x:v>
      </x:c>
      <x:c r="C40" s="15" t="str">
        <x:v>XR-C</x:v>
      </x:c>
      <x:c r="D40" s="15" t="str">
        <x:v>NOT ISSUED</x:v>
      </x:c>
      <x:c r="E40" s="15" t="str">
        <x:v>OPEN</x:v>
      </x:c>
      <x:c r="F40" s="15" t="str">
        <x:v>OPEN</x:v>
      </x:c>
      <x:c r="G40" s="15" t="str">
        <x:v>OPEN</x:v>
      </x:c>
    </x:row>
  </x:sheetData>
  <x:mergeCells>
    <x:mergeCell ref="A1:G1"/>
    <x:mergeCell ref="A2:G2"/>
  </x:mergeCells>
  <x:pageMargins left="0.7" right="0.7" top="0.75" bottom="0.75" header="0.3" footer="0.3"/>
</x:worksheet>
</file>

<file path=xl/worksheets/sheet2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8" hidden="0" customWidth="1"/>
    <x:col min="2" max="2" width="34" hidden="0" customWidth="1"/>
    <x:col min="3" max="3" width="34" hidden="0" customWidth="1"/>
    <x:col min="4" max="4" width="38" hidden="0" customWidth="1"/>
  </x:cols>
  <x:sheetData>
    <x:row r="1" ht="26" customHeight="1">
      <x:c r="A1" s="43" t="str">
        <x:v>Nine physical truth roots</x:v>
      </x:c>
      <x:c r="B1" s="35"/>
      <x:c r="C1" s="35"/>
      <x:c r="D1" s="35"/>
    </x:row>
    <x:row r="2" ht="32" customHeight="1">
      <x:c r="A2" s="7" t="str">
        <x:v>Each root retains native observation, calibration, estimator, uncertainty and outside decision.</x:v>
      </x:c>
      <x:c r="B2" s="35"/>
      <x:c r="C2" s="35"/>
      <x:c r="D2" s="35"/>
    </x:row>
    <x:row r="3">
      <x:c r="A3" s="35"/>
      <x:c r="B3" s="35"/>
      <x:c r="C3" s="35"/>
      <x:c r="D3" s="35"/>
    </x:row>
    <x:row r="4" ht="28" customHeight="1">
      <x:c r="A4" s="11" t="str">
        <x:v>Root</x:v>
      </x:c>
      <x:c r="B4" s="11" t="str">
        <x:v>Decisive object</x:v>
      </x:c>
      <x:c r="C4" s="11" t="str">
        <x:v>Native family</x:v>
      </x:c>
      <x:c r="D4" s="11" t="str">
        <x:v>Prohibited substitute</x:v>
      </x:c>
    </x:row>
    <x:row r="5">
      <x:c r="A5" s="14" t="str">
        <x:v>PHO-500C</x:v>
      </x:c>
      <x:c r="B5" s="14" t="str">
        <x:v>Optical field</x:v>
      </x:c>
      <x:c r="C5" s="14" t="str">
        <x:v>Photon native family</x:v>
      </x:c>
      <x:c r="D5" s="14" t="str">
        <x:v>ION or thermal label</x:v>
      </x:c>
    </x:row>
    <x:row r="6">
      <x:c r="A6" s="15" t="str">
        <x:v>ION-500C</x:v>
      </x:c>
      <x:c r="B6" s="15" t="str">
        <x:v>Reaction-zone state</x:v>
      </x:c>
      <x:c r="C6" s="15" t="str">
        <x:v>Ion native family</x:v>
      </x:c>
      <x:c r="D6" s="15" t="str">
        <x:v>Photon or product label</x:v>
      </x:c>
    </x:row>
    <x:row r="7">
      <x:c r="A7" s="14" t="str">
        <x:v>TOP-500C</x:v>
      </x:c>
      <x:c r="B7" s="14" t="str">
        <x:v>Source topology</x:v>
      </x:c>
      <x:c r="C7" s="14" t="str">
        <x:v>Geometric and material family</x:v>
      </x:c>
      <x:c r="D7" s="14" t="str">
        <x:v>Average mass</x:v>
      </x:c>
    </x:row>
    <x:row r="8">
      <x:c r="A8" s="15" t="str">
        <x:v>MOL-500C</x:v>
      </x:c>
      <x:c r="B8" s="15" t="str">
        <x:v>Transformation species</x:v>
      </x:c>
      <x:c r="C8" s="15" t="str">
        <x:v>Chemical native family</x:v>
      </x:c>
      <x:c r="D8" s="15" t="str">
        <x:v>Flame or temperature</x:v>
      </x:c>
    </x:row>
    <x:row r="9">
      <x:c r="A9" s="14" t="str">
        <x:v>CAL-500C</x:v>
      </x:c>
      <x:c r="B9" s="14" t="str">
        <x:v>Energy destinations</x:v>
      </x:c>
      <x:c r="C9" s="14" t="str">
        <x:v>Calorimetric family</x:v>
      </x:c>
      <x:c r="D9" s="14" t="str">
        <x:v>Temperature decline</x:v>
      </x:c>
    </x:row>
    <x:row r="10">
      <x:c r="A10" s="15" t="str">
        <x:v>AQU-48</x:v>
      </x:c>
      <x:c r="B10" s="15" t="str">
        <x:v>Water field</x:v>
      </x:c>
      <x:c r="C10" s="15" t="str">
        <x:v>Hydraulic and occupancy family</x:v>
      </x:c>
      <x:c r="D10" s="15" t="str">
        <x:v>Command or tank depletion</x:v>
      </x:c>
    </x:row>
    <x:row r="11">
      <x:c r="A11" s="14" t="str">
        <x:v>COU-500C</x:v>
      </x:c>
      <x:c r="B11" s="14" t="str">
        <x:v>Source-water contact</x:v>
      </x:c>
      <x:c r="C11" s="14" t="str">
        <x:v>Contact-native family</x:v>
      </x:c>
      <x:c r="D11" s="14" t="str">
        <x:v>Either parent alone</x:v>
      </x:c>
    </x:row>
    <x:row r="12">
      <x:c r="A12" s="15" t="str">
        <x:v>DIV-48</x:v>
      </x:c>
      <x:c r="B12" s="15" t="str">
        <x:v>Diversion and receiver</x:v>
      </x:c>
      <x:c r="C12" s="15" t="str">
        <x:v>Sector arrival and receiver family</x:v>
      </x:c>
      <x:c r="D12" s="15" t="str">
        <x:v>Valve state or total level</x:v>
      </x:c>
    </x:row>
    <x:row r="13">
      <x:c r="A13" s="14" t="str">
        <x:v>PUB-48</x:v>
      </x:c>
      <x:c r="B13" s="14" t="str">
        <x:v>Public action and effect</x:v>
      </x:c>
      <x:c r="C13" s="14" t="str">
        <x:v>Independent intervention family</x:v>
      </x:c>
      <x:c r="D13" s="14" t="str">
        <x:v>Candidate action</x:v>
      </x:c>
    </x:row>
  </x:sheetData>
  <x:mergeCells>
    <x:mergeCell ref="A1:D1"/>
    <x:mergeCell ref="A2:D2"/>
  </x:mergeCells>
  <x:pageMargins left="0.7" right="0.7" top="0.75" bottom="0.75" header="0.3" footer="0.3"/>
</x:worksheet>
</file>

<file path=xl/worksheets/sheet2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52" hidden="0" customWidth="1"/>
    <x:col min="3" max="3" width="16" hidden="0" customWidth="1"/>
    <x:col min="4" max="4" width="14" hidden="0" customWidth="1"/>
  </x:cols>
  <x:sheetData>
    <x:row r="1" ht="26" customHeight="1">
      <x:c r="A1" s="43" t="str">
        <x:v>DIV-48 root obligations</x:v>
      </x:c>
      <x:c r="B1" s="35"/>
      <x:c r="C1" s="35"/>
      <x:c r="D1" s="35"/>
    </x:row>
    <x:row r="2" ht="32" customHeight="1">
      <x:c r="A2" s="7" t="str">
        <x:v>Diversion and receiver truth becomes independent at casualty scale.</x:v>
      </x:c>
      <x:c r="B2" s="35"/>
      <x:c r="C2" s="35"/>
      <x:c r="D2" s="35"/>
    </x:row>
    <x:row r="3">
      <x:c r="A3" s="35"/>
      <x:c r="B3" s="35"/>
      <x:c r="C3" s="35"/>
      <x:c r="D3" s="35"/>
    </x:row>
    <x:row r="4" ht="28" customHeight="1">
      <x:c r="A4" s="11" t="str">
        <x:v>Obligation</x:v>
      </x:c>
      <x:c r="B4" s="11" t="str">
        <x:v>Observation</x:v>
      </x:c>
      <x:c r="C4" s="11" t="str">
        <x:v>Unit</x:v>
      </x:c>
      <x:c r="D4" s="11" t="str">
        <x:v>State</x:v>
      </x:c>
    </x:row>
    <x:row r="5">
      <x:c r="A5" s="14" t="str">
        <x:v>Initial free volume</x:v>
      </x:c>
      <x:c r="B5" s="14" t="str">
        <x:v>Surveyed usable volume</x:v>
      </x:c>
      <x:c r="C5" s="14" t="str">
        <x:v>m3</x:v>
      </x:c>
      <x:c r="D5" s="14" t="str">
        <x:v>OPEN</x:v>
      </x:c>
    </x:row>
    <x:row r="6">
      <x:c r="A6" s="15" t="str">
        <x:v>Sector arrival</x:v>
      </x:c>
      <x:c r="B6" s="15" t="str">
        <x:v>Time-varying arrival by zone</x:v>
      </x:c>
      <x:c r="C6" s="15" t="str">
        <x:v>m3/s</x:v>
      </x:c>
      <x:c r="D6" s="15" t="str">
        <x:v>OPEN</x:v>
      </x:c>
    </x:row>
    <x:row r="7">
      <x:c r="A7" s="14" t="str">
        <x:v>Gas displacement</x:v>
      </x:c>
      <x:c r="B7" s="14" t="str">
        <x:v>Vent and retained gas state</x:v>
      </x:c>
      <x:c r="C7" s="14" t="str">
        <x:v>kg/s</x:v>
      </x:c>
      <x:c r="D7" s="14" t="str">
        <x:v>OPEN</x:v>
      </x:c>
    </x:row>
    <x:row r="8">
      <x:c r="A8" s="15" t="str">
        <x:v>Peak occupancy</x:v>
      </x:c>
      <x:c r="B8" s="15" t="str">
        <x:v>Liquid, foam, debris and source</x:v>
      </x:c>
      <x:c r="C8" s="15" t="str">
        <x:v>m3</x:v>
      </x:c>
      <x:c r="D8" s="15" t="str">
        <x:v>OPEN</x:v>
      </x:c>
    </x:row>
    <x:row r="9">
      <x:c r="A9" s="14" t="str">
        <x:v>Separation</x:v>
      </x:c>
      <x:c r="B9" s="14" t="str">
        <x:v>Water and source terminal layers</x:v>
      </x:c>
      <x:c r="C9" s="14" t="str">
        <x:v>kg and m3</x:v>
      </x:c>
      <x:c r="D9" s="14" t="str">
        <x:v>OPEN</x:v>
      </x:c>
    </x:row>
    <x:row r="10">
      <x:c r="A10" s="15" t="str">
        <x:v>Passive overflow</x:v>
      </x:c>
      <x:c r="B10" s="15" t="str">
        <x:v>Physical destination under total service loss</x:v>
      </x:c>
      <x:c r="C10" s="15" t="str">
        <x:v>m3</x:v>
      </x:c>
      <x:c r="D10" s="15" t="str">
        <x:v>OPEN</x:v>
      </x:c>
    </x:row>
    <x:row r="11">
      <x:c r="A11" s="14" t="str">
        <x:v>Terminal custody</x:v>
      </x:c>
      <x:c r="B11" s="14" t="str">
        <x:v>Every liquid and solid destination</x:v>
      </x:c>
      <x:c r="C11" s="14" t="str">
        <x:v>account</x:v>
      </x:c>
      <x:c r="D11" s="14" t="str">
        <x:v>OPEN</x:v>
      </x:c>
    </x:row>
  </x:sheetData>
  <x:mergeCells>
    <x:mergeCell ref="A1:D1"/>
    <x:mergeCell ref="A2:D2"/>
  </x:mergeCells>
  <x:pageMargins left="0.7" right="0.7" top="0.75" bottom="0.75" header="0.3" footer="0.3"/>
</x:worksheet>
</file>

<file path=xl/worksheets/sheet2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54" hidden="0" customWidth="1"/>
    <x:col min="3" max="3" width="30" hidden="0" customWidth="1"/>
    <x:col min="4" max="4" width="14" hidden="0" customWidth="1"/>
  </x:cols>
  <x:sheetData>
    <x:row r="1" ht="26" customHeight="1">
      <x:c r="A1" s="43" t="str">
        <x:v>PUB-48 root obligations</x:v>
      </x:c>
      <x:c r="B1" s="35"/>
      <x:c r="C1" s="35"/>
      <x:c r="D1" s="35"/>
    </x:row>
    <x:row r="2" ht="32" customHeight="1">
      <x:c r="A2" s="7" t="str">
        <x:v>Public rescue acts without candidate permission and never improves candidate credit.</x:v>
      </x:c>
      <x:c r="B2" s="35"/>
      <x:c r="C2" s="35"/>
      <x:c r="D2" s="35"/>
    </x:row>
    <x:row r="3">
      <x:c r="A3" s="35"/>
      <x:c r="B3" s="35"/>
      <x:c r="C3" s="35"/>
      <x:c r="D3" s="35"/>
    </x:row>
    <x:row r="4" ht="28" customHeight="1">
      <x:c r="A4" s="11" t="str">
        <x:v>Obligation</x:v>
      </x:c>
      <x:c r="B4" s="11" t="str">
        <x:v>Required record</x:v>
      </x:c>
      <x:c r="C4" s="11" t="str">
        <x:v>Disposition set</x:v>
      </x:c>
      <x:c r="D4" s="11" t="str">
        <x:v>State</x:v>
      </x:c>
    </x:row>
    <x:row r="5">
      <x:c r="A5" s="14" t="str">
        <x:v>Authority</x:v>
      </x:c>
      <x:c r="B5" s="14" t="str">
        <x:v>Named public chain and trigger</x:v>
      </x:c>
      <x:c r="C5" s="14" t="str">
        <x:v>VALID or INVALID</x:v>
      </x:c>
      <x:c r="D5" s="14" t="str">
        <x:v>OPEN</x:v>
      </x:c>
    </x:row>
    <x:row r="6">
      <x:c r="A6" s="15" t="str">
        <x:v>First action</x:v>
      </x:c>
      <x:c r="B6" s="15" t="str">
        <x:v>Command and physical-action clocks</x:v>
      </x:c>
      <x:c r="C6" s="15" t="str">
        <x:v>OBSERVED or UNKNOWN</x:v>
      </x:c>
      <x:c r="D6" s="15" t="str">
        <x:v>OPEN</x:v>
      </x:c>
    </x:row>
    <x:row r="7">
      <x:c r="A7" s="14" t="str">
        <x:v>Introduced material</x:v>
      </x:c>
      <x:c r="B7" s="14" t="str">
        <x:v>Independent lot and quantity</x:v>
      </x:c>
      <x:c r="C7" s="14" t="str">
        <x:v>CLOSED or OPEN</x:v>
      </x:c>
      <x:c r="D7" s="14" t="str">
        <x:v>OPEN</x:v>
      </x:c>
    </x:row>
    <x:row r="8">
      <x:c r="A8" s="15" t="str">
        <x:v>Contact</x:v>
      </x:c>
      <x:c r="B8" s="15" t="str">
        <x:v>Space-time intersection</x:v>
      </x:c>
      <x:c r="C8" s="15" t="str">
        <x:v>SUPPORTED or INDETERMINATE</x:v>
      </x:c>
      <x:c r="D8" s="15" t="str">
        <x:v>OPEN</x:v>
      </x:c>
    </x:row>
    <x:row r="9">
      <x:c r="A9" s="14" t="str">
        <x:v>Causal effect</x:v>
      </x:c>
      <x:c r="B9" s="14" t="str">
        <x:v>Separate public and candidate effects</x:v>
      </x:c>
      <x:c r="C9" s="14" t="str">
        <x:v>SUPPORTED, ADVERSE or INDETERMINATE</x:v>
      </x:c>
      <x:c r="D9" s="14" t="str">
        <x:v>OPEN</x:v>
      </x:c>
    </x:row>
    <x:row r="10">
      <x:c r="A10" s="15" t="str">
        <x:v>Terminal custody</x:v>
      </x:c>
      <x:c r="B10" s="15" t="str">
        <x:v>Material, samples and waste</x:v>
      </x:c>
      <x:c r="C10" s="15" t="str">
        <x:v>CLOSED or OPEN</x:v>
      </x:c>
      <x:c r="D10" s="15" t="str">
        <x:v>OPEN</x:v>
      </x:c>
    </x:row>
    <x:row r="11">
      <x:c r="A11" s="14" t="str">
        <x:v>Candidate credit</x:v>
      </x:c>
      <x:c r="B11" s="14" t="str">
        <x:v>No favorable substitution</x:v>
      </x:c>
      <x:c r="C11" s="14" t="str">
        <x:v>SEPARATE or INVALID</x:v>
      </x:c>
      <x:c r="D11" s="14" t="str">
        <x:v>OPEN</x:v>
      </x:c>
    </x:row>
  </x:sheetData>
  <x:mergeCells>
    <x:mergeCell ref="A1:D1"/>
    <x:mergeCell ref="A2:D2"/>
  </x:mergeCells>
  <x:pageMargins left="0.7" right="0.7" top="0.75" bottom="0.75" header="0.3" footer="0.3"/>
</x:worksheet>
</file>

<file path=xl/worksheets/sheet2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2" hidden="0" customWidth="1"/>
    <x:col min="4" max="4" width="12" hidden="0" customWidth="1"/>
    <x:col min="5" max="5" width="10" hidden="0" customWidth="1"/>
    <x:col min="6" max="6" width="13" hidden="0" customWidth="1"/>
    <x:col min="7" max="7" width="13" hidden="0" customWidth="1"/>
    <x:col min="8" max="8" width="12" hidden="0" customWidth="1"/>
    <x:col min="9" max="9" width="18" hidden="0" customWidth="1"/>
    <x:col min="10" max="10" width="16" hidden="0" customWidth="1"/>
  </x:cols>
  <x:sheetData>
    <x:row r="1" ht="26" customHeight="1">
      <x:c r="A1" s="43" t="str">
        <x:v>Twelve exact ER-10 cells</x:v>
      </x:c>
      <x:c r="B1" s="35"/>
      <x:c r="C1" s="35"/>
      <x:c r="D1" s="35"/>
      <x:c r="E1" s="35"/>
      <x:c r="F1" s="35"/>
      <x:c r="G1" s="35"/>
      <x:c r="H1" s="35"/>
      <x:c r="I1" s="35"/>
      <x:c r="J1" s="35"/>
    </x:row>
    <x:row r="2" ht="32" customHeight="1">
      <x:c r="A2" s="7" t="str">
        <x:v>Campus, lineage and root references rotate under sealed assignment.</x:v>
      </x:c>
      <x:c r="B2" s="35"/>
      <x:c r="C2" s="35"/>
      <x:c r="D2" s="35"/>
      <x:c r="E2" s="35"/>
      <x:c r="F2" s="35"/>
      <x:c r="G2" s="35"/>
      <x:c r="H2" s="35"/>
      <x:c r="I2" s="35"/>
      <x:c r="J2" s="35"/>
    </x:row>
    <x:row r="3">
      <x:c r="A3" s="35"/>
      <x:c r="B3" s="35"/>
      <x:c r="C3" s="35"/>
      <x:c r="D3" s="35"/>
      <x:c r="E3" s="35"/>
      <x:c r="F3" s="35"/>
      <x:c r="G3" s="35"/>
      <x:c r="H3" s="35"/>
      <x:c r="I3" s="35"/>
      <x:c r="J3" s="35"/>
    </x:row>
    <x:row r="4" ht="28" customHeight="1">
      <x:c r="A4" s="11" t="str">
        <x:v>Event</x:v>
      </x:c>
      <x:c r="B4" s="11" t="str">
        <x:v>Morphology</x:v>
      </x:c>
      <x:c r="C4" s="11" t="str">
        <x:v>Denial</x:v>
      </x:c>
      <x:c r="D4" s="11" t="str">
        <x:v>Campus</x:v>
      </x:c>
      <x:c r="E4" s="11" t="str">
        <x:v>Lineage</x:v>
      </x:c>
      <x:c r="F4" s="11" t="str">
        <x:v>Source kg</x:v>
      </x:c>
      <x:c r="G4" s="11" t="str">
        <x:v>Water m3</x:v>
      </x:c>
      <x:c r="H4" s="11" t="str">
        <x:v>Area m2</x:v>
      </x:c>
      <x:c r="I4" s="11" t="str">
        <x:v>External decisions</x:v>
      </x:c>
      <x:c r="J4" s="11" t="str">
        <x:v>Disposition</x:v>
      </x:c>
    </x:row>
    <x:row r="5">
      <x:c r="A5" s="14" t="str">
        <x:v>ER10-01</x:v>
      </x:c>
      <x:c r="B5" s="14" t="str">
        <x:v>DISPERSED</x:v>
      </x:c>
      <x:c r="C5" s="14" t="str">
        <x:v>D1</x:v>
      </x:c>
      <x:c r="D5" s="14" t="str">
        <x:v>NRC-A</x:v>
      </x:c>
      <x:c r="E5" s="14" t="str">
        <x:v>L1</x:v>
      </x:c>
      <x:c r="F5" s="14" t="n">
        <x:v>500</x:v>
      </x:c>
      <x:c r="G5" s="14" t="n">
        <x:v>48</x:v>
      </x:c>
      <x:c r="H5" s="14" t="n">
        <x:v>25</x:v>
      </x:c>
      <x:c r="I5" s="14" t="n">
        <x:v>3</x:v>
      </x:c>
      <x:c r="J5" s="14" t="str">
        <x:v>OPEN</x:v>
      </x:c>
    </x:row>
    <x:row r="6">
      <x:c r="A6" s="15" t="str">
        <x:v>ER10-02</x:v>
      </x:c>
      <x:c r="B6" s="15" t="str">
        <x:v>DISPERSED</x:v>
      </x:c>
      <x:c r="C6" s="15" t="str">
        <x:v>D2</x:v>
      </x:c>
      <x:c r="D6" s="15" t="str">
        <x:v>NRC-B</x:v>
      </x:c>
      <x:c r="E6" s="15" t="str">
        <x:v>L2</x:v>
      </x:c>
      <x:c r="F6" s="15" t="n">
        <x:v>500</x:v>
      </x:c>
      <x:c r="G6" s="15" t="n">
        <x:v>48</x:v>
      </x:c>
      <x:c r="H6" s="15" t="n">
        <x:v>25</x:v>
      </x:c>
      <x:c r="I6" s="15" t="n">
        <x:v>3</x:v>
      </x:c>
      <x:c r="J6" s="15" t="str">
        <x:v>OPEN</x:v>
      </x:c>
    </x:row>
    <x:row r="7">
      <x:c r="A7" s="14" t="str">
        <x:v>ER10-03</x:v>
      </x:c>
      <x:c r="B7" s="14" t="str">
        <x:v>DISPERSED</x:v>
      </x:c>
      <x:c r="C7" s="14" t="str">
        <x:v>D3</x:v>
      </x:c>
      <x:c r="D7" s="14" t="str">
        <x:v>NRC-C</x:v>
      </x:c>
      <x:c r="E7" s="14" t="str">
        <x:v>L1</x:v>
      </x:c>
      <x:c r="F7" s="14" t="n">
        <x:v>500</x:v>
      </x:c>
      <x:c r="G7" s="14" t="n">
        <x:v>48</x:v>
      </x:c>
      <x:c r="H7" s="14" t="n">
        <x:v>25</x:v>
      </x:c>
      <x:c r="I7" s="14" t="n">
        <x:v>3</x:v>
      </x:c>
      <x:c r="J7" s="14" t="str">
        <x:v>OPEN</x:v>
      </x:c>
    </x:row>
    <x:row r="8">
      <x:c r="A8" s="15" t="str">
        <x:v>ER10-04</x:v>
      </x:c>
      <x:c r="B8" s="15" t="str">
        <x:v>DISPERSED</x:v>
      </x:c>
      <x:c r="C8" s="15" t="str">
        <x:v>D4</x:v>
      </x:c>
      <x:c r="D8" s="15" t="str">
        <x:v>NRC-A</x:v>
      </x:c>
      <x:c r="E8" s="15" t="str">
        <x:v>L2</x:v>
      </x:c>
      <x:c r="F8" s="15" t="n">
        <x:v>500</x:v>
      </x:c>
      <x:c r="G8" s="15" t="n">
        <x:v>48</x:v>
      </x:c>
      <x:c r="H8" s="15" t="n">
        <x:v>25</x:v>
      </x:c>
      <x:c r="I8" s="15" t="n">
        <x:v>3</x:v>
      </x:c>
      <x:c r="J8" s="15" t="str">
        <x:v>OPEN</x:v>
      </x:c>
    </x:row>
    <x:row r="9">
      <x:c r="A9" s="14" t="str">
        <x:v>ER10-05</x:v>
      </x:c>
      <x:c r="B9" s="14" t="str">
        <x:v>DISPERSED</x:v>
      </x:c>
      <x:c r="C9" s="14" t="str">
        <x:v>D5</x:v>
      </x:c>
      <x:c r="D9" s="14" t="str">
        <x:v>NRC-B</x:v>
      </x:c>
      <x:c r="E9" s="14" t="str">
        <x:v>L1</x:v>
      </x:c>
      <x:c r="F9" s="14" t="n">
        <x:v>500</x:v>
      </x:c>
      <x:c r="G9" s="14" t="n">
        <x:v>48</x:v>
      </x:c>
      <x:c r="H9" s="14" t="n">
        <x:v>25</x:v>
      </x:c>
      <x:c r="I9" s="14" t="n">
        <x:v>3</x:v>
      </x:c>
      <x:c r="J9" s="14" t="str">
        <x:v>OPEN</x:v>
      </x:c>
    </x:row>
    <x:row r="10">
      <x:c r="A10" s="15" t="str">
        <x:v>ER10-06</x:v>
      </x:c>
      <x:c r="B10" s="15" t="str">
        <x:v>DISPERSED</x:v>
      </x:c>
      <x:c r="C10" s="15" t="str">
        <x:v>D6</x:v>
      </x:c>
      <x:c r="D10" s="15" t="str">
        <x:v>NRC-C</x:v>
      </x:c>
      <x:c r="E10" s="15" t="str">
        <x:v>L2</x:v>
      </x:c>
      <x:c r="F10" s="15" t="n">
        <x:v>500</x:v>
      </x:c>
      <x:c r="G10" s="15" t="n">
        <x:v>48</x:v>
      </x:c>
      <x:c r="H10" s="15" t="n">
        <x:v>25</x:v>
      </x:c>
      <x:c r="I10" s="15" t="n">
        <x:v>3</x:v>
      </x:c>
      <x:c r="J10" s="15" t="str">
        <x:v>OPEN</x:v>
      </x:c>
    </x:row>
    <x:row r="11">
      <x:c r="A11" s="14" t="str">
        <x:v>ER10-07</x:v>
      </x:c>
      <x:c r="B11" s="14" t="str">
        <x:v>COHERENT</x:v>
      </x:c>
      <x:c r="C11" s="14" t="str">
        <x:v>D1</x:v>
      </x:c>
      <x:c r="D11" s="14" t="str">
        <x:v>NRC-A</x:v>
      </x:c>
      <x:c r="E11" s="14" t="str">
        <x:v>L1</x:v>
      </x:c>
      <x:c r="F11" s="14" t="n">
        <x:v>500</x:v>
      </x:c>
      <x:c r="G11" s="14" t="n">
        <x:v>48</x:v>
      </x:c>
      <x:c r="H11" s="14" t="n">
        <x:v>25</x:v>
      </x:c>
      <x:c r="I11" s="14" t="n">
        <x:v>3</x:v>
      </x:c>
      <x:c r="J11" s="14" t="str">
        <x:v>OPEN</x:v>
      </x:c>
    </x:row>
    <x:row r="12">
      <x:c r="A12" s="15" t="str">
        <x:v>ER10-08</x:v>
      </x:c>
      <x:c r="B12" s="15" t="str">
        <x:v>COHERENT</x:v>
      </x:c>
      <x:c r="C12" s="15" t="str">
        <x:v>D2</x:v>
      </x:c>
      <x:c r="D12" s="15" t="str">
        <x:v>NRC-B</x:v>
      </x:c>
      <x:c r="E12" s="15" t="str">
        <x:v>L2</x:v>
      </x:c>
      <x:c r="F12" s="15" t="n">
        <x:v>500</x:v>
      </x:c>
      <x:c r="G12" s="15" t="n">
        <x:v>48</x:v>
      </x:c>
      <x:c r="H12" s="15" t="n">
        <x:v>25</x:v>
      </x:c>
      <x:c r="I12" s="15" t="n">
        <x:v>3</x:v>
      </x:c>
      <x:c r="J12" s="15" t="str">
        <x:v>OPEN</x:v>
      </x:c>
    </x:row>
    <x:row r="13">
      <x:c r="A13" s="14" t="str">
        <x:v>ER10-09</x:v>
      </x:c>
      <x:c r="B13" s="14" t="str">
        <x:v>COHERENT</x:v>
      </x:c>
      <x:c r="C13" s="14" t="str">
        <x:v>D3</x:v>
      </x:c>
      <x:c r="D13" s="14" t="str">
        <x:v>NRC-C</x:v>
      </x:c>
      <x:c r="E13" s="14" t="str">
        <x:v>L1</x:v>
      </x:c>
      <x:c r="F13" s="14" t="n">
        <x:v>500</x:v>
      </x:c>
      <x:c r="G13" s="14" t="n">
        <x:v>48</x:v>
      </x:c>
      <x:c r="H13" s="14" t="n">
        <x:v>25</x:v>
      </x:c>
      <x:c r="I13" s="14" t="n">
        <x:v>3</x:v>
      </x:c>
      <x:c r="J13" s="14" t="str">
        <x:v>OPEN</x:v>
      </x:c>
    </x:row>
    <x:row r="14">
      <x:c r="A14" s="15" t="str">
        <x:v>ER10-10</x:v>
      </x:c>
      <x:c r="B14" s="15" t="str">
        <x:v>COHERENT</x:v>
      </x:c>
      <x:c r="C14" s="15" t="str">
        <x:v>D4</x:v>
      </x:c>
      <x:c r="D14" s="15" t="str">
        <x:v>NRC-A</x:v>
      </x:c>
      <x:c r="E14" s="15" t="str">
        <x:v>L2</x:v>
      </x:c>
      <x:c r="F14" s="15" t="n">
        <x:v>500</x:v>
      </x:c>
      <x:c r="G14" s="15" t="n">
        <x:v>48</x:v>
      </x:c>
      <x:c r="H14" s="15" t="n">
        <x:v>25</x:v>
      </x:c>
      <x:c r="I14" s="15" t="n">
        <x:v>3</x:v>
      </x:c>
      <x:c r="J14" s="15" t="str">
        <x:v>OPEN</x:v>
      </x:c>
    </x:row>
    <x:row r="15">
      <x:c r="A15" s="14" t="str">
        <x:v>ER10-11</x:v>
      </x:c>
      <x:c r="B15" s="14" t="str">
        <x:v>COHERENT</x:v>
      </x:c>
      <x:c r="C15" s="14" t="str">
        <x:v>D5</x:v>
      </x:c>
      <x:c r="D15" s="14" t="str">
        <x:v>NRC-B</x:v>
      </x:c>
      <x:c r="E15" s="14" t="str">
        <x:v>L1</x:v>
      </x:c>
      <x:c r="F15" s="14" t="n">
        <x:v>500</x:v>
      </x:c>
      <x:c r="G15" s="14" t="n">
        <x:v>48</x:v>
      </x:c>
      <x:c r="H15" s="14" t="n">
        <x:v>25</x:v>
      </x:c>
      <x:c r="I15" s="14" t="n">
        <x:v>3</x:v>
      </x:c>
      <x:c r="J15" s="14" t="str">
        <x:v>OPEN</x:v>
      </x:c>
    </x:row>
    <x:row r="16">
      <x:c r="A16" s="15" t="str">
        <x:v>ER10-12</x:v>
      </x:c>
      <x:c r="B16" s="15" t="str">
        <x:v>COHERENT</x:v>
      </x:c>
      <x:c r="C16" s="15" t="str">
        <x:v>D6</x:v>
      </x:c>
      <x:c r="D16" s="15" t="str">
        <x:v>NRC-C</x:v>
      </x:c>
      <x:c r="E16" s="15" t="str">
        <x:v>L2</x:v>
      </x:c>
      <x:c r="F16" s="15" t="n">
        <x:v>500</x:v>
      </x:c>
      <x:c r="G16" s="15" t="n">
        <x:v>48</x:v>
      </x:c>
      <x:c r="H16" s="15" t="n">
        <x:v>25</x:v>
      </x:c>
      <x:c r="I16" s="15" t="n">
        <x:v>3</x:v>
      </x:c>
      <x:c r="J16" s="15" t="str">
        <x:v>OPEN</x:v>
      </x:c>
    </x:row>
  </x:sheetData>
  <x:mergeCells>
    <x:mergeCell ref="A1:J1"/>
    <x:mergeCell ref="A2:J2"/>
  </x:mergeCells>
  <x:pageMargins left="0.7" right="0.7" top="0.75" bottom="0.75" header="0.3" footer="0.3"/>
</x:worksheet>
</file>

<file path=xl/worksheets/sheet2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6" hidden="0" customWidth="1"/>
    <x:col min="3" max="3" width="18" hidden="0" customWidth="1"/>
    <x:col min="4" max="4" width="12" hidden="0" customWidth="1"/>
    <x:col min="5" max="5" width="16" hidden="0" customWidth="1"/>
    <x:col min="6" max="6" width="14" hidden="0" customWidth="1"/>
  </x:cols>
  <x:sheetData>
    <x:row r="1" ht="26" customHeight="1">
      <x:c r="A1" s="43" t="str">
        <x:v>Four invalid-attempt reserves</x:v>
      </x:c>
      <x:c r="B1" s="35"/>
      <x:c r="C1" s="35"/>
      <x:c r="D1" s="35"/>
      <x:c r="E1" s="35"/>
      <x:c r="F1" s="35"/>
    </x:row>
    <x:row r="2" ht="32" customHeight="1">
      <x:c r="A2" s="7" t="str">
        <x:v>A reserve remains bound to morphology, denial family, campus draw and lineage.</x:v>
      </x:c>
      <x:c r="B2" s="35"/>
      <x:c r="C2" s="35"/>
      <x:c r="D2" s="35"/>
      <x:c r="E2" s="35"/>
      <x:c r="F2" s="35"/>
    </x:row>
    <x:row r="3">
      <x:c r="A3" s="35"/>
      <x:c r="B3" s="35"/>
      <x:c r="C3" s="35"/>
      <x:c r="D3" s="35"/>
      <x:c r="E3" s="35"/>
      <x:c r="F3" s="35"/>
    </x:row>
    <x:row r="4" ht="28" customHeight="1">
      <x:c r="A4" s="11" t="str">
        <x:v>Token</x:v>
      </x:c>
      <x:c r="B4" s="11" t="str">
        <x:v>Morphology</x:v>
      </x:c>
      <x:c r="C4" s="11" t="str">
        <x:v>Denial family</x:v>
      </x:c>
      <x:c r="D4" s="11" t="str">
        <x:v>Lineage</x:v>
      </x:c>
      <x:c r="E4" s="11" t="str">
        <x:v>Assignment</x:v>
      </x:c>
      <x:c r="F4" s="11" t="str">
        <x:v>State</x:v>
      </x:c>
    </x:row>
    <x:row r="5">
      <x:c r="A5" s="14" t="str">
        <x:v>RSV-1</x:v>
      </x:c>
      <x:c r="B5" s="14" t="str">
        <x:v>DISPERSED</x:v>
      </x:c>
      <x:c r="C5" s="14" t="str">
        <x:v>D1-D3</x:v>
      </x:c>
      <x:c r="D5" s="14" t="str">
        <x:v>L1</x:v>
      </x:c>
      <x:c r="E5" s="14" t="str">
        <x:v>SEALED</x:v>
      </x:c>
      <x:c r="F5" s="14" t="str">
        <x:v>OPEN</x:v>
      </x:c>
    </x:row>
    <x:row r="6">
      <x:c r="A6" s="15" t="str">
        <x:v>RSV-2</x:v>
      </x:c>
      <x:c r="B6" s="15" t="str">
        <x:v>DISPERSED</x:v>
      </x:c>
      <x:c r="C6" s="15" t="str">
        <x:v>D4-D6</x:v>
      </x:c>
      <x:c r="D6" s="15" t="str">
        <x:v>L2</x:v>
      </x:c>
      <x:c r="E6" s="15" t="str">
        <x:v>SEALED</x:v>
      </x:c>
      <x:c r="F6" s="15" t="str">
        <x:v>OPEN</x:v>
      </x:c>
    </x:row>
    <x:row r="7">
      <x:c r="A7" s="14" t="str">
        <x:v>RSV-3</x:v>
      </x:c>
      <x:c r="B7" s="14" t="str">
        <x:v>COHERENT</x:v>
      </x:c>
      <x:c r="C7" s="14" t="str">
        <x:v>D1-D3</x:v>
      </x:c>
      <x:c r="D7" s="14" t="str">
        <x:v>L1</x:v>
      </x:c>
      <x:c r="E7" s="14" t="str">
        <x:v>SEALED</x:v>
      </x:c>
      <x:c r="F7" s="14" t="str">
        <x:v>OPEN</x:v>
      </x:c>
    </x:row>
    <x:row r="8">
      <x:c r="A8" s="15" t="str">
        <x:v>RSV-4</x:v>
      </x:c>
      <x:c r="B8" s="15" t="str">
        <x:v>COHERENT</x:v>
      </x:c>
      <x:c r="C8" s="15" t="str">
        <x:v>D4-D6</x:v>
      </x:c>
      <x:c r="D8" s="15" t="str">
        <x:v>L2</x:v>
      </x:c>
      <x:c r="E8" s="15" t="str">
        <x:v>SEALED</x:v>
      </x:c>
      <x:c r="F8" s="15" t="str">
        <x:v>OPEN</x:v>
      </x:c>
    </x:row>
  </x:sheetData>
  <x:mergeCells>
    <x:mergeCell ref="A1:F1"/>
    <x:mergeCell ref="A2:F2"/>
  </x:mergeCells>
  <x:pageMargins left="0.7" right="0.7" top="0.75" bottom="0.75" header="0.3" footer="0.3"/>
</x:worksheet>
</file>

<file path=xl/worksheets/sheet2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9" hidden="0" customWidth="1"/>
    <x:col min="2" max="2" width="34" hidden="0" customWidth="1"/>
    <x:col min="3" max="3" width="42" hidden="0" customWidth="1"/>
    <x:col min="4" max="4" width="42" hidden="0" customWidth="1"/>
    <x:col min="5" max="5" width="14" hidden="0" customWidth="1"/>
  </x:cols>
  <x:sheetData>
    <x:row r="1" ht="26" customHeight="1">
      <x:c r="A1" s="43" t="str">
        <x:v>Twenty-two proposition contract</x:v>
      </x:c>
      <x:c r="B1" s="35"/>
      <x:c r="C1" s="35"/>
      <x:c r="D1" s="35"/>
      <x:c r="E1" s="35"/>
    </x:row>
    <x:row r="2" ht="32" customHeight="1">
      <x:c r="A2" s="7" t="str">
        <x:v>Every proposition receives an independent disposition.</x:v>
      </x:c>
      <x:c r="B2" s="35"/>
      <x:c r="C2" s="35"/>
      <x:c r="D2" s="35"/>
      <x:c r="E2" s="35"/>
    </x:row>
    <x:row r="3">
      <x:c r="A3" s="35"/>
      <x:c r="B3" s="35"/>
      <x:c r="C3" s="35"/>
      <x:c r="D3" s="35"/>
      <x:c r="E3" s="35"/>
    </x:row>
    <x:row r="4" ht="28" customHeight="1">
      <x:c r="A4" s="11" t="str">
        <x:v>No.</x:v>
      </x:c>
      <x:c r="B4" s="11" t="str">
        <x:v>Proposition</x:v>
      </x:c>
      <x:c r="C4" s="11" t="str">
        <x:v>Decisive authority</x:v>
      </x:c>
      <x:c r="D4" s="11" t="str">
        <x:v>Allowed result</x:v>
      </x:c>
      <x:c r="E4" s="11" t="str">
        <x:v>State</x:v>
      </x:c>
    </x:row>
    <x:row r="5">
      <x:c r="A5" s="14" t="n">
        <x:v>1</x:v>
      </x:c>
      <x:c r="B5" s="14" t="str">
        <x:v>Complete source</x:v>
      </x:c>
      <x:c r="C5" s="14" t="str">
        <x:v>Root or account authority</x:v>
      </x:c>
      <x:c r="D5" s="14" t="str">
        <x:v>SUPPORTED / ADVERSE / INDETERMINATE / INVALID</x:v>
      </x:c>
      <x:c r="E5" s="14" t="str">
        <x:v>OPEN</x:v>
      </x:c>
    </x:row>
    <x:row r="6">
      <x:c r="A6" s="15" t="n">
        <x:v>2</x:v>
      </x:c>
      <x:c r="B6" s="15" t="str">
        <x:v>25 m2 topology</x:v>
      </x:c>
      <x:c r="C6" s="15" t="str">
        <x:v>Root or account authority</x:v>
      </x:c>
      <x:c r="D6" s="15" t="str">
        <x:v>SUPPORTED / ADVERSE / INDETERMINATE / INVALID</x:v>
      </x:c>
      <x:c r="E6" s="15" t="str">
        <x:v>OPEN</x:v>
      </x:c>
    </x:row>
    <x:row r="7">
      <x:c r="A7" s="14" t="n">
        <x:v>3</x:v>
      </x:c>
      <x:c r="B7" s="14" t="str">
        <x:v>Ignition opportunity</x:v>
      </x:c>
      <x:c r="C7" s="14" t="str">
        <x:v>Root or account authority</x:v>
      </x:c>
      <x:c r="D7" s="14" t="str">
        <x:v>SUPPORTED / ADVERSE / INDETERMINATE / INVALID</x:v>
      </x:c>
      <x:c r="E7" s="14" t="str">
        <x:v>OPEN</x:v>
      </x:c>
    </x:row>
    <x:row r="8">
      <x:c r="A8" s="15" t="n">
        <x:v>4</x:v>
      </x:c>
      <x:c r="B8" s="15" t="str">
        <x:v>PHO</x:v>
      </x:c>
      <x:c r="C8" s="15" t="str">
        <x:v>Root or account authority</x:v>
      </x:c>
      <x:c r="D8" s="15" t="str">
        <x:v>SUPPORTED / ADVERSE / INDETERMINATE / INVALID</x:v>
      </x:c>
      <x:c r="E8" s="15" t="str">
        <x:v>OPEN</x:v>
      </x:c>
    </x:row>
    <x:row r="9">
      <x:c r="A9" s="14" t="n">
        <x:v>5</x:v>
      </x:c>
      <x:c r="B9" s="14" t="str">
        <x:v>ION</x:v>
      </x:c>
      <x:c r="C9" s="14" t="str">
        <x:v>Root or account authority</x:v>
      </x:c>
      <x:c r="D9" s="14" t="str">
        <x:v>SUPPORTED / ADVERSE / INDETERMINATE / INVALID</x:v>
      </x:c>
      <x:c r="E9" s="14" t="str">
        <x:v>OPEN</x:v>
      </x:c>
    </x:row>
    <x:row r="10">
      <x:c r="A10" s="15" t="n">
        <x:v>6</x:v>
      </x:c>
      <x:c r="B10" s="15" t="str">
        <x:v>TOP</x:v>
      </x:c>
      <x:c r="C10" s="15" t="str">
        <x:v>Root or account authority</x:v>
      </x:c>
      <x:c r="D10" s="15" t="str">
        <x:v>SUPPORTED / ADVERSE / INDETERMINATE / INVALID</x:v>
      </x:c>
      <x:c r="E10" s="15" t="str">
        <x:v>OPEN</x:v>
      </x:c>
    </x:row>
    <x:row r="11">
      <x:c r="A11" s="14" t="n">
        <x:v>7</x:v>
      </x:c>
      <x:c r="B11" s="14" t="str">
        <x:v>MOL</x:v>
      </x:c>
      <x:c r="C11" s="14" t="str">
        <x:v>Root or account authority</x:v>
      </x:c>
      <x:c r="D11" s="14" t="str">
        <x:v>SUPPORTED / ADVERSE / INDETERMINATE / INVALID</x:v>
      </x:c>
      <x:c r="E11" s="14" t="str">
        <x:v>OPEN</x:v>
      </x:c>
    </x:row>
    <x:row r="12">
      <x:c r="A12" s="15" t="n">
        <x:v>8</x:v>
      </x:c>
      <x:c r="B12" s="15" t="str">
        <x:v>CAL</x:v>
      </x:c>
      <x:c r="C12" s="15" t="str">
        <x:v>Root or account authority</x:v>
      </x:c>
      <x:c r="D12" s="15" t="str">
        <x:v>SUPPORTED / ADVERSE / INDETERMINATE / INVALID</x:v>
      </x:c>
      <x:c r="E12" s="15" t="str">
        <x:v>OPEN</x:v>
      </x:c>
    </x:row>
    <x:row r="13">
      <x:c r="A13" s="14" t="n">
        <x:v>9</x:v>
      </x:c>
      <x:c r="B13" s="14" t="str">
        <x:v>Complete water</x:v>
      </x:c>
      <x:c r="C13" s="14" t="str">
        <x:v>Root or account authority</x:v>
      </x:c>
      <x:c r="D13" s="14" t="str">
        <x:v>SUPPORTED / ADVERSE / INDETERMINATE / INVALID</x:v>
      </x:c>
      <x:c r="E13" s="14" t="str">
        <x:v>OPEN</x:v>
      </x:c>
    </x:row>
    <x:row r="14">
      <x:c r="A14" s="15" t="n">
        <x:v>10</x:v>
      </x:c>
      <x:c r="B14" s="15" t="str">
        <x:v>Water morphology</x:v>
      </x:c>
      <x:c r="C14" s="15" t="str">
        <x:v>Root or account authority</x:v>
      </x:c>
      <x:c r="D14" s="15" t="str">
        <x:v>SUPPORTED / ADVERSE / INDETERMINATE / INVALID</x:v>
      </x:c>
      <x:c r="E14" s="15" t="str">
        <x:v>OPEN</x:v>
      </x:c>
    </x:row>
    <x:row r="15">
      <x:c r="A15" s="14" t="n">
        <x:v>11</x:v>
      </x:c>
      <x:c r="B15" s="14" t="str">
        <x:v>Water field</x:v>
      </x:c>
      <x:c r="C15" s="14" t="str">
        <x:v>Root or account authority</x:v>
      </x:c>
      <x:c r="D15" s="14" t="str">
        <x:v>SUPPORTED / ADVERSE / INDETERMINATE / INVALID</x:v>
      </x:c>
      <x:c r="E15" s="14" t="str">
        <x:v>OPEN</x:v>
      </x:c>
    </x:row>
    <x:row r="16">
      <x:c r="A16" s="15" t="n">
        <x:v>12</x:v>
      </x:c>
      <x:c r="B16" s="15" t="str">
        <x:v>Source-water contact</x:v>
      </x:c>
      <x:c r="C16" s="15" t="str">
        <x:v>Root or account authority</x:v>
      </x:c>
      <x:c r="D16" s="15" t="str">
        <x:v>SUPPORTED / ADVERSE / INDETERMINATE / INVALID</x:v>
      </x:c>
      <x:c r="E16" s="15" t="str">
        <x:v>OPEN</x:v>
      </x:c>
    </x:row>
    <x:row r="17">
      <x:c r="A17" s="14" t="n">
        <x:v>13</x:v>
      </x:c>
      <x:c r="B17" s="14" t="str">
        <x:v>Displacement and entrainment</x:v>
      </x:c>
      <x:c r="C17" s="14" t="str">
        <x:v>Root or account authority</x:v>
      </x:c>
      <x:c r="D17" s="14" t="str">
        <x:v>SUPPORTED / ADVERSE / INDETERMINATE / INVALID</x:v>
      </x:c>
      <x:c r="E17" s="14" t="str">
        <x:v>OPEN</x:v>
      </x:c>
    </x:row>
    <x:row r="18">
      <x:c r="A18" s="15" t="n">
        <x:v>14</x:v>
      </x:c>
      <x:c r="B18" s="15" t="str">
        <x:v>Diversion</x:v>
      </x:c>
      <x:c r="C18" s="15" t="str">
        <x:v>Root or account authority</x:v>
      </x:c>
      <x:c r="D18" s="15" t="str">
        <x:v>SUPPORTED / ADVERSE / INDETERMINATE / INVALID</x:v>
      </x:c>
      <x:c r="E18" s="15" t="str">
        <x:v>OPEN</x:v>
      </x:c>
    </x:row>
    <x:row r="19">
      <x:c r="A19" s="14" t="n">
        <x:v>15</x:v>
      </x:c>
      <x:c r="B19" s="14" t="str">
        <x:v>Receiver occupancy</x:v>
      </x:c>
      <x:c r="C19" s="14" t="str">
        <x:v>Root or account authority</x:v>
      </x:c>
      <x:c r="D19" s="14" t="str">
        <x:v>SUPPORTED / ADVERSE / INDETERMINATE / INVALID</x:v>
      </x:c>
      <x:c r="E19" s="14" t="str">
        <x:v>OPEN</x:v>
      </x:c>
    </x:row>
    <x:row r="20">
      <x:c r="A20" s="15" t="n">
        <x:v>16</x:v>
      </x:c>
      <x:c r="B20" s="15" t="str">
        <x:v>Terminal accounts</x:v>
      </x:c>
      <x:c r="C20" s="15" t="str">
        <x:v>Root or account authority</x:v>
      </x:c>
      <x:c r="D20" s="15" t="str">
        <x:v>SUPPORTED / ADVERSE / INDETERMINATE / INVALID</x:v>
      </x:c>
      <x:c r="E20" s="15" t="str">
        <x:v>OPEN</x:v>
      </x:c>
    </x:row>
    <x:row r="21">
      <x:c r="A21" s="14" t="n">
        <x:v>17</x:v>
      </x:c>
      <x:c r="B21" s="14" t="str">
        <x:v>Public action</x:v>
      </x:c>
      <x:c r="C21" s="14" t="str">
        <x:v>Independent public or service authority</x:v>
      </x:c>
      <x:c r="D21" s="14" t="str">
        <x:v>SUPPORTED / ADVERSE / INDETERMINATE / INVALID</x:v>
      </x:c>
      <x:c r="E21" s="14" t="str">
        <x:v>OPEN</x:v>
      </x:c>
    </x:row>
    <x:row r="22">
      <x:c r="A22" s="15" t="n">
        <x:v>18</x:v>
      </x:c>
      <x:c r="B22" s="15" t="str">
        <x:v>Safety states</x:v>
      </x:c>
      <x:c r="C22" s="15" t="str">
        <x:v>Independent public or service authority</x:v>
      </x:c>
      <x:c r="D22" s="15" t="str">
        <x:v>SUPPORTED / ADVERSE / INDETERMINATE / INVALID</x:v>
      </x:c>
      <x:c r="E22" s="15" t="str">
        <x:v>OPEN</x:v>
      </x:c>
    </x:row>
    <x:row r="23">
      <x:c r="A23" s="14" t="n">
        <x:v>19</x:v>
      </x:c>
      <x:c r="B23" s="14" t="str">
        <x:v>Denial survival</x:v>
      </x:c>
      <x:c r="C23" s="14" t="str">
        <x:v>Independent public or service authority</x:v>
      </x:c>
      <x:c r="D23" s="14" t="str">
        <x:v>SUPPORTED / ADVERSE / INDETERMINATE / INVALID</x:v>
      </x:c>
      <x:c r="E23" s="14" t="str">
        <x:v>OPEN</x:v>
      </x:c>
    </x:row>
    <x:row r="24">
      <x:c r="A24" s="15" t="n">
        <x:v>20</x:v>
      </x:c>
      <x:c r="B24" s="15" t="str">
        <x:v>Three external reconstructions</x:v>
      </x:c>
      <x:c r="C24" s="15" t="str">
        <x:v>Independent public or service authority</x:v>
      </x:c>
      <x:c r="D24" s="15" t="str">
        <x:v>SUPPORTED / ADVERSE / INDETERMINATE / INVALID</x:v>
      </x:c>
      <x:c r="E24" s="15" t="str">
        <x:v>OPEN</x:v>
      </x:c>
    </x:row>
    <x:row r="25">
      <x:c r="A25" s="14" t="n">
        <x:v>21</x:v>
      </x:c>
      <x:c r="B25" s="14" t="str">
        <x:v>Module return</x:v>
      </x:c>
      <x:c r="C25" s="14" t="str">
        <x:v>Return authority</x:v>
      </x:c>
      <x:c r="D25" s="14" t="str">
        <x:v>SUPPORTED / ADVERSE / INDETERMINATE / INVALID</x:v>
      </x:c>
      <x:c r="E25" s="14" t="str">
        <x:v>OPEN</x:v>
      </x:c>
    </x:row>
    <x:row r="26">
      <x:c r="A26" s="15" t="n">
        <x:v>22</x:v>
      </x:c>
      <x:c r="B26" s="15" t="str">
        <x:v>Site recovery</x:v>
      </x:c>
      <x:c r="C26" s="15" t="str">
        <x:v>Return authority</x:v>
      </x:c>
      <x:c r="D26" s="15" t="str">
        <x:v>SUPPORTED / ADVERSE / INDETERMINATE / INVALID</x:v>
      </x:c>
      <x:c r="E26" s="15" t="str">
        <x:v>OPEN</x:v>
      </x:c>
    </x:row>
  </x:sheetData>
  <x:mergeCells>
    <x:mergeCell ref="A1:E1"/>
    <x:mergeCell ref="A2:E2"/>
  </x:mergeCells>
  <x:pageMargins left="0.7" right="0.7" top="0.75" bottom="0.75" header="0.3" footer="0.3"/>
</x:worksheet>
</file>

<file path=xl/worksheets/sheet2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8" hidden="0" customWidth="1"/>
    <x:col min="2" max="2" width="30" hidden="0" customWidth="1"/>
    <x:col min="3" max="3" width="60" hidden="0" customWidth="1"/>
    <x:col min="4" max="4" width="34" hidden="0" customWidth="1"/>
  </x:cols>
  <x:sheetData>
    <x:row r="1" ht="26" customHeight="1">
      <x:c r="A1" s="43" t="str">
        <x:v>Event and class dispositions</x:v>
      </x:c>
      <x:c r="B1" s="35"/>
      <x:c r="C1" s="35"/>
      <x:c r="D1" s="35"/>
    </x:row>
    <x:row r="2" ht="32" customHeight="1">
      <x:c r="A2" s="7" t="str">
        <x:v>A safety stop or real mission never becomes class credit.</x:v>
      </x:c>
      <x:c r="B2" s="35"/>
      <x:c r="C2" s="35"/>
      <x:c r="D2" s="35"/>
    </x:row>
    <x:row r="3">
      <x:c r="A3" s="35"/>
      <x:c r="B3" s="35"/>
      <x:c r="C3" s="35"/>
      <x:c r="D3" s="35"/>
    </x:row>
    <x:row r="4" ht="28" customHeight="1">
      <x:c r="A4" s="11" t="str">
        <x:v>Level</x:v>
      </x:c>
      <x:c r="B4" s="11" t="str">
        <x:v>Code</x:v>
      </x:c>
      <x:c r="C4" s="11" t="str">
        <x:v>Meaning</x:v>
      </x:c>
      <x:c r="D4" s="11" t="str">
        <x:v>Class effect</x:v>
      </x:c>
    </x:row>
    <x:row r="5">
      <x:c r="A5" s="14" t="str">
        <x:v>Proposition</x:v>
      </x:c>
      <x:c r="B5" s="14" t="str">
        <x:v>SUPPORTED</x:v>
      </x:c>
      <x:c r="C5" s="14" t="str">
        <x:v>Registered statement supported</x:v>
      </x:c>
      <x:c r="D5" s="14" t="str">
        <x:v>Eligible</x:v>
      </x:c>
    </x:row>
    <x:row r="6">
      <x:c r="A6" s="15" t="str">
        <x:v>Proposition</x:v>
      </x:c>
      <x:c r="B6" s="15" t="str">
        <x:v>ADVERSE</x:v>
      </x:c>
      <x:c r="C6" s="15" t="str">
        <x:v>Valid evidence contradicts statement</x:v>
      </x:c>
      <x:c r="D6" s="15" t="str">
        <x:v>No proposition credit</x:v>
      </x:c>
    </x:row>
    <x:row r="7">
      <x:c r="A7" s="14" t="str">
        <x:v>Proposition</x:v>
      </x:c>
      <x:c r="B7" s="14" t="str">
        <x:v>INDETERMINATE</x:v>
      </x:c>
      <x:c r="C7" s="14" t="str">
        <x:v>Valid event cannot decide statement</x:v>
      </x:c>
      <x:c r="D7" s="14" t="str">
        <x:v>Open</x:v>
      </x:c>
    </x:row>
    <x:row r="8">
      <x:c r="A8" s="15" t="str">
        <x:v>Attempt</x:v>
      </x:c>
      <x:c r="B8" s="15" t="str">
        <x:v>INVALID_RANGE</x:v>
      </x:c>
      <x:c r="C8" s="15" t="str">
        <x:v>Range cause prevents inference</x:v>
      </x:c>
      <x:c r="D8" s="15" t="str">
        <x:v>Consumes token</x:v>
      </x:c>
    </x:row>
    <x:row r="9">
      <x:c r="A9" s="14" t="str">
        <x:v>Attempt</x:v>
      </x:c>
      <x:c r="B9" s="14" t="str">
        <x:v>INVALID_ARTICLE</x:v>
      </x:c>
      <x:c r="C9" s="14" t="str">
        <x:v>Article cause prevents inference</x:v>
      </x:c>
      <x:c r="D9" s="14" t="str">
        <x:v>Consumes token</x:v>
      </x:c>
    </x:row>
    <x:row r="10">
      <x:c r="A10" s="15" t="str">
        <x:v>Attempt</x:v>
      </x:c>
      <x:c r="B10" s="15" t="str">
        <x:v>SAFETY_STOP</x:v>
      </x:c>
      <x:c r="C10" s="15" t="str">
        <x:v>Safety authority ended exposure</x:v>
      </x:c>
      <x:c r="D10" s="15" t="str">
        <x:v>No credit</x:v>
      </x:c>
    </x:row>
    <x:row r="11">
      <x:c r="A11" s="14" t="str">
        <x:v>Attempt</x:v>
      </x:c>
      <x:c r="B11" s="14" t="str">
        <x:v>REAL_MISSION_CONVERSION</x:v>
      </x:c>
      <x:c r="C11" s="14" t="str">
        <x:v>Public emergency superseded trial</x:v>
      </x:c>
      <x:c r="D11" s="14" t="str">
        <x:v>No credit</x:v>
      </x:c>
    </x:row>
    <x:row r="12">
      <x:c r="A12" s="15" t="str">
        <x:v>Class</x:v>
      </x:c>
      <x:c r="B12" s="15" t="str">
        <x:v>ER-10-QUALIFIED</x:v>
      </x:c>
      <x:c r="C12" s="15" t="str">
        <x:v>All required cells and returns accepted</x:v>
      </x:c>
      <x:c r="D12" s="15" t="str">
        <x:v>Whole-ladder closure eligible</x:v>
      </x:c>
    </x:row>
    <x:row r="13">
      <x:c r="A13" s="14" t="str">
        <x:v>Class</x:v>
      </x:c>
      <x:c r="B13" s="14" t="str">
        <x:v>ER-10-BOUNDED-ADVERSE</x:v>
      </x:c>
      <x:c r="C13" s="14" t="str">
        <x:v>Complete valid adverse class</x:v>
      </x:c>
      <x:c r="D13" s="14" t="str">
        <x:v>Learning retained; no qualification</x:v>
      </x:c>
    </x:row>
    <x:row r="14">
      <x:c r="A14" s="15" t="str">
        <x:v>Class</x:v>
      </x:c>
      <x:c r="B14" s="15" t="str">
        <x:v>ER-10-INDETERMINATE</x:v>
      </x:c>
      <x:c r="C14" s="15" t="str">
        <x:v>Required truth remains unresolved</x:v>
      </x:c>
      <x:c r="D14" s="15" t="str">
        <x:v>No qualification</x:v>
      </x:c>
    </x:row>
    <x:row r="15">
      <x:c r="A15" s="14" t="str">
        <x:v>Class</x:v>
      </x:c>
      <x:c r="B15" s="14" t="str">
        <x:v>ER-10-INCOMPLETE</x:v>
      </x:c>
      <x:c r="C15" s="14" t="str">
        <x:v>Population or return incomplete</x:v>
      </x:c>
      <x:c r="D15" s="14" t="str">
        <x:v>No qualification</x:v>
      </x:c>
    </x:row>
  </x:sheetData>
  <x:mergeCells>
    <x:mergeCell ref="A1:D1"/>
    <x:mergeCell ref="A2:D2"/>
  </x:mergeCells>
  <x:pageMargins left="0.7" right="0.7" top="0.75" bottom="0.75" header="0.3" footer="0.3"/>
</x:worksheet>
</file>

<file path=xl/worksheets/sheet2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9" hidden="0" customWidth="1"/>
    <x:col min="2" max="2" width="38" hidden="0" customWidth="1"/>
    <x:col min="3" max="3" width="50" hidden="0" customWidth="1"/>
    <x:col min="4" max="4" width="14" hidden="0" customWidth="1"/>
    <x:col min="5" max="5" width="14" hidden="0" customWidth="1"/>
    <x:col min="6" max="6" width="14" hidden="0" customWidth="1"/>
  </x:cols>
  <x:sheetData>
    <x:row r="1" ht="26" customHeight="1">
      <x:c r="A1" s="43" t="str">
        <x:v>Twenty-phase event clock</x:v>
      </x:c>
      <x:c r="B1" s="35"/>
      <x:c r="C1" s="35"/>
      <x:c r="D1" s="35"/>
      <x:c r="E1" s="35"/>
      <x:c r="F1" s="35"/>
    </x:row>
    <x:row r="2" ht="32" customHeight="1">
      <x:c r="A2" s="7" t="str">
        <x:v>Planned time and observed time remain separate.</x:v>
      </x:c>
      <x:c r="B2" s="35"/>
      <x:c r="C2" s="35"/>
      <x:c r="D2" s="35"/>
      <x:c r="E2" s="35"/>
      <x:c r="F2" s="35"/>
    </x:row>
    <x:row r="3">
      <x:c r="A3" s="35"/>
      <x:c r="B3" s="35"/>
      <x:c r="C3" s="35"/>
      <x:c r="D3" s="35"/>
      <x:c r="E3" s="35"/>
      <x:c r="F3" s="35"/>
    </x:row>
    <x:row r="4" ht="28" customHeight="1">
      <x:c r="A4" s="11" t="str">
        <x:v>Phase</x:v>
      </x:c>
      <x:c r="B4" s="11" t="str">
        <x:v>Boundary</x:v>
      </x:c>
      <x:c r="C4" s="11" t="str">
        <x:v>Required terminal evidence</x:v>
      </x:c>
      <x:c r="D4" s="11" t="str">
        <x:v>Planned</x:v>
      </x:c>
      <x:c r="E4" s="11" t="str">
        <x:v>Observed</x:v>
      </x:c>
      <x:c r="F4" s="11" t="str">
        <x:v>State</x:v>
      </x:c>
    </x:row>
    <x:row r="5">
      <x:c r="A5" s="14" t="n">
        <x:v>1</x:v>
      </x:c>
      <x:c r="B5" s="14" t="str">
        <x:v>Branch and denial reveal</x:v>
      </x:c>
      <x:c r="C5" s="14" t="str">
        <x:v>Registered phase packet</x:v>
      </x:c>
      <x:c r="D5" s="14" t="str">
        <x:v>OPEN</x:v>
      </x:c>
      <x:c r="E5" s="14" t="str"/>
      <x:c r="F5" s="14" t="str">
        <x:v>OPEN</x:v>
      </x:c>
    </x:row>
    <x:row r="6">
      <x:c r="A6" s="15" t="n">
        <x:v>2</x:v>
      </x:c>
      <x:c r="B6" s="15" t="str">
        <x:v>Island activation</x:v>
      </x:c>
      <x:c r="C6" s="15" t="str">
        <x:v>Registered phase packet</x:v>
      </x:c>
      <x:c r="D6" s="15" t="str">
        <x:v>OPEN</x:v>
      </x:c>
      <x:c r="E6" s="15" t="str"/>
      <x:c r="F6" s="15" t="str">
        <x:v>OPEN</x:v>
      </x:c>
    </x:row>
    <x:row r="7">
      <x:c r="A7" s="14" t="n">
        <x:v>3</x:v>
      </x:c>
      <x:c r="B7" s="14" t="str">
        <x:v>Article and module receipt</x:v>
      </x:c>
      <x:c r="C7" s="14" t="str">
        <x:v>Registered phase packet</x:v>
      </x:c>
      <x:c r="D7" s="14" t="str">
        <x:v>OPEN</x:v>
      </x:c>
      <x:c r="E7" s="14" t="str"/>
      <x:c r="F7" s="14" t="str">
        <x:v>OPEN</x:v>
      </x:c>
    </x:row>
    <x:row r="8">
      <x:c r="A8" s="15" t="n">
        <x:v>4</x:v>
      </x:c>
      <x:c r="B8" s="15" t="str">
        <x:v>Field survey</x:v>
      </x:c>
      <x:c r="C8" s="15" t="str">
        <x:v>Registered phase packet</x:v>
      </x:c>
      <x:c r="D8" s="15" t="str">
        <x:v>OPEN</x:v>
      </x:c>
      <x:c r="E8" s="15" t="str"/>
      <x:c r="F8" s="15" t="str">
        <x:v>OPEN</x:v>
      </x:c>
    </x:row>
    <x:row r="9">
      <x:c r="A9" s="14" t="n">
        <x:v>5</x:v>
      </x:c>
      <x:c r="B9" s="14" t="str">
        <x:v>Source custody</x:v>
      </x:c>
      <x:c r="C9" s="14" t="str">
        <x:v>Registered phase packet</x:v>
      </x:c>
      <x:c r="D9" s="14" t="str">
        <x:v>OPEN</x:v>
      </x:c>
      <x:c r="E9" s="14" t="str"/>
      <x:c r="F9" s="14" t="str">
        <x:v>OPEN</x:v>
      </x:c>
    </x:row>
    <x:row r="10">
      <x:c r="A10" s="15" t="n">
        <x:v>6</x:v>
      </x:c>
      <x:c r="B10" s="15" t="str">
        <x:v>Water custody</x:v>
      </x:c>
      <x:c r="C10" s="15" t="str">
        <x:v>Registered phase packet</x:v>
      </x:c>
      <x:c r="D10" s="15" t="str">
        <x:v>OPEN</x:v>
      </x:c>
      <x:c r="E10" s="15" t="str"/>
      <x:c r="F10" s="15" t="str">
        <x:v>OPEN</x:v>
      </x:c>
    </x:row>
    <x:row r="11">
      <x:c r="A11" s="14" t="n">
        <x:v>7</x:v>
      </x:c>
      <x:c r="B11" s="14" t="str">
        <x:v>Receiver survey</x:v>
      </x:c>
      <x:c r="C11" s="14" t="str">
        <x:v>Registered phase packet</x:v>
      </x:c>
      <x:c r="D11" s="14" t="str">
        <x:v>OPEN</x:v>
      </x:c>
      <x:c r="E11" s="14" t="str"/>
      <x:c r="F11" s="14" t="str">
        <x:v>OPEN</x:v>
      </x:c>
    </x:row>
    <x:row r="12">
      <x:c r="A12" s="15" t="n">
        <x:v>8</x:v>
      </x:c>
      <x:c r="B12" s="15" t="str">
        <x:v>Root calibration</x:v>
      </x:c>
      <x:c r="C12" s="15" t="str">
        <x:v>Registered phase packet</x:v>
      </x:c>
      <x:c r="D12" s="15" t="str">
        <x:v>OPEN</x:v>
      </x:c>
      <x:c r="E12" s="15" t="str"/>
      <x:c r="F12" s="15" t="str">
        <x:v>OPEN</x:v>
      </x:c>
    </x:row>
    <x:row r="13">
      <x:c r="A13" s="14" t="n">
        <x:v>9</x:v>
      </x:c>
      <x:c r="B13" s="14" t="str">
        <x:v>Public path readiness</x:v>
      </x:c>
      <x:c r="C13" s="14" t="str">
        <x:v>Registered phase packet</x:v>
      </x:c>
      <x:c r="D13" s="14" t="str">
        <x:v>OPEN</x:v>
      </x:c>
      <x:c r="E13" s="14" t="str"/>
      <x:c r="F13" s="14" t="str">
        <x:v>OPEN</x:v>
      </x:c>
    </x:row>
    <x:row r="14">
      <x:c r="A14" s="15" t="n">
        <x:v>10</x:v>
      </x:c>
      <x:c r="B14" s="15" t="str">
        <x:v>Safeing readiness</x:v>
      </x:c>
      <x:c r="C14" s="15" t="str">
        <x:v>Registered phase packet</x:v>
      </x:c>
      <x:c r="D14" s="15" t="str">
        <x:v>OPEN</x:v>
      </x:c>
      <x:c r="E14" s="15" t="str"/>
      <x:c r="F14" s="15" t="str">
        <x:v>OPEN</x:v>
      </x:c>
    </x:row>
    <x:row r="15">
      <x:c r="A15" s="14" t="n">
        <x:v>11</x:v>
      </x:c>
      <x:c r="B15" s="14" t="str">
        <x:v>Source placement</x:v>
      </x:c>
      <x:c r="C15" s="14" t="str">
        <x:v>Registered phase packet</x:v>
      </x:c>
      <x:c r="D15" s="14" t="str">
        <x:v>OPEN</x:v>
      </x:c>
      <x:c r="E15" s="14" t="str"/>
      <x:c r="F15" s="14" t="str">
        <x:v>OPEN</x:v>
      </x:c>
    </x:row>
    <x:row r="16">
      <x:c r="A16" s="15" t="n">
        <x:v>12</x:v>
      </x:c>
      <x:c r="B16" s="15" t="str">
        <x:v>Ignition opportunity</x:v>
      </x:c>
      <x:c r="C16" s="15" t="str">
        <x:v>Registered phase packet</x:v>
      </x:c>
      <x:c r="D16" s="15" t="str">
        <x:v>OPEN</x:v>
      </x:c>
      <x:c r="E16" s="15" t="str"/>
      <x:c r="F16" s="15" t="str">
        <x:v>OPEN</x:v>
      </x:c>
    </x:row>
    <x:row r="17">
      <x:c r="A17" s="14" t="n">
        <x:v>13</x:v>
      </x:c>
      <x:c r="B17" s="14" t="str">
        <x:v>Water issue</x:v>
      </x:c>
      <x:c r="C17" s="14" t="str">
        <x:v>Morphology and issue history</x:v>
      </x:c>
      <x:c r="D17" s="14" t="str">
        <x:v>OPEN</x:v>
      </x:c>
      <x:c r="E17" s="14" t="str"/>
      <x:c r="F17" s="14" t="str">
        <x:v>OPEN</x:v>
      </x:c>
    </x:row>
    <x:row r="18">
      <x:c r="A18" s="15" t="n">
        <x:v>14</x:v>
      </x:c>
      <x:c r="B18" s="15" t="str">
        <x:v>Active casualty field</x:v>
      </x:c>
      <x:c r="C18" s="15" t="str">
        <x:v>Registered phase packet</x:v>
      </x:c>
      <x:c r="D18" s="15" t="str">
        <x:v>OPEN</x:v>
      </x:c>
      <x:c r="E18" s="15" t="str"/>
      <x:c r="F18" s="15" t="str">
        <x:v>OPEN</x:v>
      </x:c>
    </x:row>
    <x:row r="19">
      <x:c r="A19" s="14" t="n">
        <x:v>15</x:v>
      </x:c>
      <x:c r="B19" s="14" t="str">
        <x:v>Public intervention if required</x:v>
      </x:c>
      <x:c r="C19" s="14" t="str">
        <x:v>Registered phase packet</x:v>
      </x:c>
      <x:c r="D19" s="14" t="str">
        <x:v>OPEN</x:v>
      </x:c>
      <x:c r="E19" s="14" t="str"/>
      <x:c r="F19" s="14" t="str">
        <x:v>OPEN</x:v>
      </x:c>
    </x:row>
    <x:row r="20">
      <x:c r="A20" s="15" t="n">
        <x:v>16</x:v>
      </x:c>
      <x:c r="B20" s="15" t="str">
        <x:v>Diversion and capture</x:v>
      </x:c>
      <x:c r="C20" s="15" t="str">
        <x:v>Registered phase packet</x:v>
      </x:c>
      <x:c r="D20" s="15" t="str">
        <x:v>OPEN</x:v>
      </x:c>
      <x:c r="E20" s="15" t="str"/>
      <x:c r="F20" s="15" t="str">
        <x:v>OPEN</x:v>
      </x:c>
    </x:row>
    <x:row r="21">
      <x:c r="A21" s="14" t="n">
        <x:v>17</x:v>
      </x:c>
      <x:c r="B21" s="14" t="str">
        <x:v>Terminal safe state</x:v>
      </x:c>
      <x:c r="C21" s="14" t="str">
        <x:v>Registered phase packet</x:v>
      </x:c>
      <x:c r="D21" s="14" t="str">
        <x:v>OPEN</x:v>
      </x:c>
      <x:c r="E21" s="14" t="str"/>
      <x:c r="F21" s="14" t="str">
        <x:v>OPEN</x:v>
      </x:c>
    </x:row>
    <x:row r="22">
      <x:c r="A22" s="15" t="n">
        <x:v>18</x:v>
      </x:c>
      <x:c r="B22" s="15" t="str">
        <x:v>Recovery and sampling</x:v>
      </x:c>
      <x:c r="C22" s="15" t="str">
        <x:v>Registered phase packet</x:v>
      </x:c>
      <x:c r="D22" s="15" t="str">
        <x:v>OPEN</x:v>
      </x:c>
      <x:c r="E22" s="15" t="str"/>
      <x:c r="F22" s="15" t="str">
        <x:v>OPEN</x:v>
      </x:c>
    </x:row>
    <x:row r="23">
      <x:c r="A23" s="14" t="n">
        <x:v>19</x:v>
      </x:c>
      <x:c r="B23" s="14" t="str">
        <x:v>Outside reconstruction</x:v>
      </x:c>
      <x:c r="C23" s="14" t="str">
        <x:v>Three sealed decisions</x:v>
      </x:c>
      <x:c r="D23" s="14" t="str">
        <x:v>OPEN</x:v>
      </x:c>
      <x:c r="E23" s="14" t="str"/>
      <x:c r="F23" s="14" t="str">
        <x:v>OPEN</x:v>
      </x:c>
    </x:row>
    <x:row r="24">
      <x:c r="A24" s="15" t="n">
        <x:v>20</x:v>
      </x:c>
      <x:c r="B24" s="15" t="str">
        <x:v>Return and site recovery</x:v>
      </x:c>
      <x:c r="C24" s="15" t="str">
        <x:v>Registered phase packet</x:v>
      </x:c>
      <x:c r="D24" s="15" t="str">
        <x:v>OPEN</x:v>
      </x:c>
      <x:c r="E24" s="15" t="str"/>
      <x:c r="F24" s="15" t="str">
        <x:v>OPEN</x:v>
      </x:c>
    </x:row>
  </x:sheetData>
  <x:mergeCells>
    <x:mergeCell ref="A1:F1"/>
    <x:mergeCell ref="A2:F2"/>
  </x:mergeCells>
  <x:pageMargins left="0.7" right="0.7" top="0.75" bottom="0.75" header="0.3" footer="0.3"/>
</x:worksheet>
</file>

<file path=xl/worksheets/sheet2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20" hidden="0" customWidth="1"/>
    <x:col min="4" max="4" width="20" hidden="0" customWidth="1"/>
    <x:col min="5" max="5" width="14" hidden="0" customWidth="1"/>
  </x:cols>
  <x:sheetData>
    <x:row r="1" ht="26" customHeight="1">
      <x:c r="A1" s="43" t="str">
        <x:v>Two hundred event gates</x:v>
      </x:c>
      <x:c r="B1" s="35"/>
      <x:c r="C1" s="35"/>
      <x:c r="D1" s="35"/>
      <x:c r="E1" s="35"/>
    </x:row>
    <x:row r="2" ht="32" customHeight="1">
      <x:c r="A2" s="7" t="str">
        <x:v>Twenty phases cross ten domains. Gates do not self-certify.</x:v>
      </x:c>
      <x:c r="B2" s="35"/>
      <x:c r="C2" s="35"/>
      <x:c r="D2" s="35"/>
      <x:c r="E2" s="35"/>
    </x:row>
    <x:row r="3">
      <x:c r="A3" s="35"/>
      <x:c r="B3" s="35"/>
      <x:c r="C3" s="35"/>
      <x:c r="D3" s="35"/>
      <x:c r="E3" s="35"/>
    </x:row>
    <x:row r="4" ht="28" customHeight="1">
      <x:c r="A4" s="11" t="str">
        <x:v>Gate</x:v>
      </x:c>
      <x:c r="B4" s="11" t="str">
        <x:v>Phase</x:v>
      </x:c>
      <x:c r="C4" s="11" t="str">
        <x:v>Domain</x:v>
      </x:c>
      <x:c r="D4" s="11" t="str">
        <x:v>Predecessor</x:v>
      </x:c>
      <x:c r="E4" s="11" t="str">
        <x:v>State</x:v>
      </x:c>
    </x:row>
    <x:row r="5">
      <x:c r="A5" s="14" t="str">
        <x:v>G-001</x:v>
      </x:c>
      <x:c r="B5" s="14" t="n">
        <x:v>1</x:v>
      </x:c>
      <x:c r="C5" s="14" t="str">
        <x:v>Configuration</x:v>
      </x:c>
      <x:c r="D5" s="14" t="str">
        <x:v>OPEN</x:v>
      </x:c>
      <x:c r="E5" s="14" t="str">
        <x:v>OPEN</x:v>
      </x:c>
    </x:row>
    <x:row r="6">
      <x:c r="A6" s="15" t="str">
        <x:v>G-002</x:v>
      </x:c>
      <x:c r="B6" s="15" t="n">
        <x:v>1</x:v>
      </x:c>
      <x:c r="C6" s="15" t="str">
        <x:v>Source</x:v>
      </x:c>
      <x:c r="D6" s="15" t="str">
        <x:v>OPEN</x:v>
      </x:c>
      <x:c r="E6" s="15" t="str">
        <x:v>OPEN</x:v>
      </x:c>
    </x:row>
    <x:row r="7">
      <x:c r="A7" s="14" t="str">
        <x:v>G-003</x:v>
      </x:c>
      <x:c r="B7" s="14" t="n">
        <x:v>1</x:v>
      </x:c>
      <x:c r="C7" s="14" t="str">
        <x:v>Water</x:v>
      </x:c>
      <x:c r="D7" s="14" t="str">
        <x:v>OPEN</x:v>
      </x:c>
      <x:c r="E7" s="14" t="str">
        <x:v>OPEN</x:v>
      </x:c>
    </x:row>
    <x:row r="8">
      <x:c r="A8" s="15" t="str">
        <x:v>G-004</x:v>
      </x:c>
      <x:c r="B8" s="15" t="n">
        <x:v>1</x:v>
      </x:c>
      <x:c r="C8" s="15" t="str">
        <x:v>Thermal</x:v>
      </x:c>
      <x:c r="D8" s="15" t="str">
        <x:v>OPEN</x:v>
      </x:c>
      <x:c r="E8" s="15" t="str">
        <x:v>OPEN</x:v>
      </x:c>
    </x:row>
    <x:row r="9">
      <x:c r="A9" s="14" t="str">
        <x:v>G-005</x:v>
      </x:c>
      <x:c r="B9" s="14" t="n">
        <x:v>1</x:v>
      </x:c>
      <x:c r="C9" s="14" t="str">
        <x:v>Atmosphere</x:v>
      </x:c>
      <x:c r="D9" s="14" t="str">
        <x:v>OPEN</x:v>
      </x:c>
      <x:c r="E9" s="14" t="str">
        <x:v>OPEN</x:v>
      </x:c>
    </x:row>
    <x:row r="10">
      <x:c r="A10" s="15" t="str">
        <x:v>G-006</x:v>
      </x:c>
      <x:c r="B10" s="15" t="n">
        <x:v>1</x:v>
      </x:c>
      <x:c r="C10" s="15" t="str">
        <x:v>Topology</x:v>
      </x:c>
      <x:c r="D10" s="15" t="str">
        <x:v>OPEN</x:v>
      </x:c>
      <x:c r="E10" s="15" t="str">
        <x:v>OPEN</x:v>
      </x:c>
    </x:row>
    <x:row r="11">
      <x:c r="A11" s="14" t="str">
        <x:v>G-007</x:v>
      </x:c>
      <x:c r="B11" s="14" t="n">
        <x:v>1</x:v>
      </x:c>
      <x:c r="C11" s="14" t="str">
        <x:v>Coupling</x:v>
      </x:c>
      <x:c r="D11" s="14" t="str">
        <x:v>OPEN</x:v>
      </x:c>
      <x:c r="E11" s="14" t="str">
        <x:v>OPEN</x:v>
      </x:c>
    </x:row>
    <x:row r="12">
      <x:c r="A12" s="15" t="str">
        <x:v>G-008</x:v>
      </x:c>
      <x:c r="B12" s="15" t="n">
        <x:v>1</x:v>
      </x:c>
      <x:c r="C12" s="15" t="str">
        <x:v>Diversion</x:v>
      </x:c>
      <x:c r="D12" s="15" t="str">
        <x:v>OPEN</x:v>
      </x:c>
      <x:c r="E12" s="15" t="str">
        <x:v>OPEN</x:v>
      </x:c>
    </x:row>
    <x:row r="13">
      <x:c r="A13" s="14" t="str">
        <x:v>G-009</x:v>
      </x:c>
      <x:c r="B13" s="14" t="n">
        <x:v>1</x:v>
      </x:c>
      <x:c r="C13" s="14" t="str">
        <x:v>Public action</x:v>
      </x:c>
      <x:c r="D13" s="14" t="str">
        <x:v>OPEN</x:v>
      </x:c>
      <x:c r="E13" s="14" t="str">
        <x:v>OPEN</x:v>
      </x:c>
    </x:row>
    <x:row r="14">
      <x:c r="A14" s="15" t="str">
        <x:v>G-010</x:v>
      </x:c>
      <x:c r="B14" s="15" t="n">
        <x:v>1</x:v>
      </x:c>
      <x:c r="C14" s="15" t="str">
        <x:v>Evidence</x:v>
      </x:c>
      <x:c r="D14" s="15" t="str">
        <x:v>OPEN</x:v>
      </x:c>
      <x:c r="E14" s="15" t="str">
        <x:v>OPEN</x:v>
      </x:c>
    </x:row>
    <x:row r="15">
      <x:c r="A15" s="14" t="str">
        <x:v>G-011</x:v>
      </x:c>
      <x:c r="B15" s="14" t="n">
        <x:v>2</x:v>
      </x:c>
      <x:c r="C15" s="14" t="str">
        <x:v>Configuration</x:v>
      </x:c>
      <x:c r="D15" s="14" t="str">
        <x:v>OPEN</x:v>
      </x:c>
      <x:c r="E15" s="14" t="str">
        <x:v>OPEN</x:v>
      </x:c>
    </x:row>
    <x:row r="16">
      <x:c r="A16" s="15" t="str">
        <x:v>G-012</x:v>
      </x:c>
      <x:c r="B16" s="15" t="n">
        <x:v>2</x:v>
      </x:c>
      <x:c r="C16" s="15" t="str">
        <x:v>Source</x:v>
      </x:c>
      <x:c r="D16" s="15" t="str">
        <x:v>OPEN</x:v>
      </x:c>
      <x:c r="E16" s="15" t="str">
        <x:v>OPEN</x:v>
      </x:c>
    </x:row>
    <x:row r="17">
      <x:c r="A17" s="14" t="str">
        <x:v>G-013</x:v>
      </x:c>
      <x:c r="B17" s="14" t="n">
        <x:v>2</x:v>
      </x:c>
      <x:c r="C17" s="14" t="str">
        <x:v>Water</x:v>
      </x:c>
      <x:c r="D17" s="14" t="str">
        <x:v>OPEN</x:v>
      </x:c>
      <x:c r="E17" s="14" t="str">
        <x:v>OPEN</x:v>
      </x:c>
    </x:row>
    <x:row r="18">
      <x:c r="A18" s="15" t="str">
        <x:v>G-014</x:v>
      </x:c>
      <x:c r="B18" s="15" t="n">
        <x:v>2</x:v>
      </x:c>
      <x:c r="C18" s="15" t="str">
        <x:v>Thermal</x:v>
      </x:c>
      <x:c r="D18" s="15" t="str">
        <x:v>OPEN</x:v>
      </x:c>
      <x:c r="E18" s="15" t="str">
        <x:v>OPEN</x:v>
      </x:c>
    </x:row>
    <x:row r="19">
      <x:c r="A19" s="14" t="str">
        <x:v>G-015</x:v>
      </x:c>
      <x:c r="B19" s="14" t="n">
        <x:v>2</x:v>
      </x:c>
      <x:c r="C19" s="14" t="str">
        <x:v>Atmosphere</x:v>
      </x:c>
      <x:c r="D19" s="14" t="str">
        <x:v>OPEN</x:v>
      </x:c>
      <x:c r="E19" s="14" t="str">
        <x:v>OPEN</x:v>
      </x:c>
    </x:row>
    <x:row r="20">
      <x:c r="A20" s="15" t="str">
        <x:v>G-016</x:v>
      </x:c>
      <x:c r="B20" s="15" t="n">
        <x:v>2</x:v>
      </x:c>
      <x:c r="C20" s="15" t="str">
        <x:v>Topology</x:v>
      </x:c>
      <x:c r="D20" s="15" t="str">
        <x:v>OPEN</x:v>
      </x:c>
      <x:c r="E20" s="15" t="str">
        <x:v>OPEN</x:v>
      </x:c>
    </x:row>
    <x:row r="21">
      <x:c r="A21" s="14" t="str">
        <x:v>G-017</x:v>
      </x:c>
      <x:c r="B21" s="14" t="n">
        <x:v>2</x:v>
      </x:c>
      <x:c r="C21" s="14" t="str">
        <x:v>Coupling</x:v>
      </x:c>
      <x:c r="D21" s="14" t="str">
        <x:v>OPEN</x:v>
      </x:c>
      <x:c r="E21" s="14" t="str">
        <x:v>OPEN</x:v>
      </x:c>
    </x:row>
    <x:row r="22">
      <x:c r="A22" s="15" t="str">
        <x:v>G-018</x:v>
      </x:c>
      <x:c r="B22" s="15" t="n">
        <x:v>2</x:v>
      </x:c>
      <x:c r="C22" s="15" t="str">
        <x:v>Diversion</x:v>
      </x:c>
      <x:c r="D22" s="15" t="str">
        <x:v>OPEN</x:v>
      </x:c>
      <x:c r="E22" s="15" t="str">
        <x:v>OPEN</x:v>
      </x:c>
    </x:row>
    <x:row r="23">
      <x:c r="A23" s="14" t="str">
        <x:v>G-019</x:v>
      </x:c>
      <x:c r="B23" s="14" t="n">
        <x:v>2</x:v>
      </x:c>
      <x:c r="C23" s="14" t="str">
        <x:v>Public action</x:v>
      </x:c>
      <x:c r="D23" s="14" t="str">
        <x:v>OPEN</x:v>
      </x:c>
      <x:c r="E23" s="14" t="str">
        <x:v>OPEN</x:v>
      </x:c>
    </x:row>
    <x:row r="24">
      <x:c r="A24" s="15" t="str">
        <x:v>G-020</x:v>
      </x:c>
      <x:c r="B24" s="15" t="n">
        <x:v>2</x:v>
      </x:c>
      <x:c r="C24" s="15" t="str">
        <x:v>Evidence</x:v>
      </x:c>
      <x:c r="D24" s="15" t="str">
        <x:v>OPEN</x:v>
      </x:c>
      <x:c r="E24" s="15" t="str">
        <x:v>OPEN</x:v>
      </x:c>
    </x:row>
    <x:row r="25">
      <x:c r="A25" s="14" t="str">
        <x:v>G-021</x:v>
      </x:c>
      <x:c r="B25" s="14" t="n">
        <x:v>3</x:v>
      </x:c>
      <x:c r="C25" s="14" t="str">
        <x:v>Configuration</x:v>
      </x:c>
      <x:c r="D25" s="14" t="str">
        <x:v>OPEN</x:v>
      </x:c>
      <x:c r="E25" s="14" t="str">
        <x:v>OPEN</x:v>
      </x:c>
    </x:row>
    <x:row r="26">
      <x:c r="A26" s="15" t="str">
        <x:v>G-022</x:v>
      </x:c>
      <x:c r="B26" s="15" t="n">
        <x:v>3</x:v>
      </x:c>
      <x:c r="C26" s="15" t="str">
        <x:v>Source</x:v>
      </x:c>
      <x:c r="D26" s="15" t="str">
        <x:v>OPEN</x:v>
      </x:c>
      <x:c r="E26" s="15" t="str">
        <x:v>OPEN</x:v>
      </x:c>
    </x:row>
    <x:row r="27">
      <x:c r="A27" s="14" t="str">
        <x:v>G-023</x:v>
      </x:c>
      <x:c r="B27" s="14" t="n">
        <x:v>3</x:v>
      </x:c>
      <x:c r="C27" s="14" t="str">
        <x:v>Water</x:v>
      </x:c>
      <x:c r="D27" s="14" t="str">
        <x:v>OPEN</x:v>
      </x:c>
      <x:c r="E27" s="14" t="str">
        <x:v>OPEN</x:v>
      </x:c>
    </x:row>
    <x:row r="28">
      <x:c r="A28" s="15" t="str">
        <x:v>G-024</x:v>
      </x:c>
      <x:c r="B28" s="15" t="n">
        <x:v>3</x:v>
      </x:c>
      <x:c r="C28" s="15" t="str">
        <x:v>Thermal</x:v>
      </x:c>
      <x:c r="D28" s="15" t="str">
        <x:v>OPEN</x:v>
      </x:c>
      <x:c r="E28" s="15" t="str">
        <x:v>OPEN</x:v>
      </x:c>
    </x:row>
    <x:row r="29">
      <x:c r="A29" s="14" t="str">
        <x:v>G-025</x:v>
      </x:c>
      <x:c r="B29" s="14" t="n">
        <x:v>3</x:v>
      </x:c>
      <x:c r="C29" s="14" t="str">
        <x:v>Atmosphere</x:v>
      </x:c>
      <x:c r="D29" s="14" t="str">
        <x:v>OPEN</x:v>
      </x:c>
      <x:c r="E29" s="14" t="str">
        <x:v>OPEN</x:v>
      </x:c>
    </x:row>
    <x:row r="30">
      <x:c r="A30" s="15" t="str">
        <x:v>G-026</x:v>
      </x:c>
      <x:c r="B30" s="15" t="n">
        <x:v>3</x:v>
      </x:c>
      <x:c r="C30" s="15" t="str">
        <x:v>Topology</x:v>
      </x:c>
      <x:c r="D30" s="15" t="str">
        <x:v>OPEN</x:v>
      </x:c>
      <x:c r="E30" s="15" t="str">
        <x:v>OPEN</x:v>
      </x:c>
    </x:row>
    <x:row r="31">
      <x:c r="A31" s="14" t="str">
        <x:v>G-027</x:v>
      </x:c>
      <x:c r="B31" s="14" t="n">
        <x:v>3</x:v>
      </x:c>
      <x:c r="C31" s="14" t="str">
        <x:v>Coupling</x:v>
      </x:c>
      <x:c r="D31" s="14" t="str">
        <x:v>OPEN</x:v>
      </x:c>
      <x:c r="E31" s="14" t="str">
        <x:v>OPEN</x:v>
      </x:c>
    </x:row>
    <x:row r="32">
      <x:c r="A32" s="15" t="str">
        <x:v>G-028</x:v>
      </x:c>
      <x:c r="B32" s="15" t="n">
        <x:v>3</x:v>
      </x:c>
      <x:c r="C32" s="15" t="str">
        <x:v>Diversion</x:v>
      </x:c>
      <x:c r="D32" s="15" t="str">
        <x:v>OPEN</x:v>
      </x:c>
      <x:c r="E32" s="15" t="str">
        <x:v>OPEN</x:v>
      </x:c>
    </x:row>
    <x:row r="33">
      <x:c r="A33" s="14" t="str">
        <x:v>G-029</x:v>
      </x:c>
      <x:c r="B33" s="14" t="n">
        <x:v>3</x:v>
      </x:c>
      <x:c r="C33" s="14" t="str">
        <x:v>Public action</x:v>
      </x:c>
      <x:c r="D33" s="14" t="str">
        <x:v>OPEN</x:v>
      </x:c>
      <x:c r="E33" s="14" t="str">
        <x:v>OPEN</x:v>
      </x:c>
    </x:row>
    <x:row r="34">
      <x:c r="A34" s="15" t="str">
        <x:v>G-030</x:v>
      </x:c>
      <x:c r="B34" s="15" t="n">
        <x:v>3</x:v>
      </x:c>
      <x:c r="C34" s="15" t="str">
        <x:v>Evidence</x:v>
      </x:c>
      <x:c r="D34" s="15" t="str">
        <x:v>OPEN</x:v>
      </x:c>
      <x:c r="E34" s="15" t="str">
        <x:v>OPEN</x:v>
      </x:c>
    </x:row>
    <x:row r="35">
      <x:c r="A35" s="14" t="str">
        <x:v>G-031</x:v>
      </x:c>
      <x:c r="B35" s="14" t="n">
        <x:v>4</x:v>
      </x:c>
      <x:c r="C35" s="14" t="str">
        <x:v>Configuration</x:v>
      </x:c>
      <x:c r="D35" s="14" t="str">
        <x:v>OPEN</x:v>
      </x:c>
      <x:c r="E35" s="14" t="str">
        <x:v>OPEN</x:v>
      </x:c>
    </x:row>
    <x:row r="36">
      <x:c r="A36" s="15" t="str">
        <x:v>G-032</x:v>
      </x:c>
      <x:c r="B36" s="15" t="n">
        <x:v>4</x:v>
      </x:c>
      <x:c r="C36" s="15" t="str">
        <x:v>Source</x:v>
      </x:c>
      <x:c r="D36" s="15" t="str">
        <x:v>OPEN</x:v>
      </x:c>
      <x:c r="E36" s="15" t="str">
        <x:v>OPEN</x:v>
      </x:c>
    </x:row>
    <x:row r="37">
      <x:c r="A37" s="14" t="str">
        <x:v>G-033</x:v>
      </x:c>
      <x:c r="B37" s="14" t="n">
        <x:v>4</x:v>
      </x:c>
      <x:c r="C37" s="14" t="str">
        <x:v>Water</x:v>
      </x:c>
      <x:c r="D37" s="14" t="str">
        <x:v>OPEN</x:v>
      </x:c>
      <x:c r="E37" s="14" t="str">
        <x:v>OPEN</x:v>
      </x:c>
    </x:row>
    <x:row r="38">
      <x:c r="A38" s="15" t="str">
        <x:v>G-034</x:v>
      </x:c>
      <x:c r="B38" s="15" t="n">
        <x:v>4</x:v>
      </x:c>
      <x:c r="C38" s="15" t="str">
        <x:v>Thermal</x:v>
      </x:c>
      <x:c r="D38" s="15" t="str">
        <x:v>OPEN</x:v>
      </x:c>
      <x:c r="E38" s="15" t="str">
        <x:v>OPEN</x:v>
      </x:c>
    </x:row>
    <x:row r="39">
      <x:c r="A39" s="14" t="str">
        <x:v>G-035</x:v>
      </x:c>
      <x:c r="B39" s="14" t="n">
        <x:v>4</x:v>
      </x:c>
      <x:c r="C39" s="14" t="str">
        <x:v>Atmosphere</x:v>
      </x:c>
      <x:c r="D39" s="14" t="str">
        <x:v>OPEN</x:v>
      </x:c>
      <x:c r="E39" s="14" t="str">
        <x:v>OPEN</x:v>
      </x:c>
    </x:row>
    <x:row r="40">
      <x:c r="A40" s="15" t="str">
        <x:v>G-036</x:v>
      </x:c>
      <x:c r="B40" s="15" t="n">
        <x:v>4</x:v>
      </x:c>
      <x:c r="C40" s="15" t="str">
        <x:v>Topology</x:v>
      </x:c>
      <x:c r="D40" s="15" t="str">
        <x:v>OPEN</x:v>
      </x:c>
      <x:c r="E40" s="15" t="str">
        <x:v>OPEN</x:v>
      </x:c>
    </x:row>
    <x:row r="41">
      <x:c r="A41" s="14" t="str">
        <x:v>G-037</x:v>
      </x:c>
      <x:c r="B41" s="14" t="n">
        <x:v>4</x:v>
      </x:c>
      <x:c r="C41" s="14" t="str">
        <x:v>Coupling</x:v>
      </x:c>
      <x:c r="D41" s="14" t="str">
        <x:v>OPEN</x:v>
      </x:c>
      <x:c r="E41" s="14" t="str">
        <x:v>OPEN</x:v>
      </x:c>
    </x:row>
    <x:row r="42">
      <x:c r="A42" s="15" t="str">
        <x:v>G-038</x:v>
      </x:c>
      <x:c r="B42" s="15" t="n">
        <x:v>4</x:v>
      </x:c>
      <x:c r="C42" s="15" t="str">
        <x:v>Diversion</x:v>
      </x:c>
      <x:c r="D42" s="15" t="str">
        <x:v>OPEN</x:v>
      </x:c>
      <x:c r="E42" s="15" t="str">
        <x:v>OPEN</x:v>
      </x:c>
    </x:row>
    <x:row r="43">
      <x:c r="A43" s="14" t="str">
        <x:v>G-039</x:v>
      </x:c>
      <x:c r="B43" s="14" t="n">
        <x:v>4</x:v>
      </x:c>
      <x:c r="C43" s="14" t="str">
        <x:v>Public action</x:v>
      </x:c>
      <x:c r="D43" s="14" t="str">
        <x:v>OPEN</x:v>
      </x:c>
      <x:c r="E43" s="14" t="str">
        <x:v>OPEN</x:v>
      </x:c>
    </x:row>
    <x:row r="44">
      <x:c r="A44" s="15" t="str">
        <x:v>G-040</x:v>
      </x:c>
      <x:c r="B44" s="15" t="n">
        <x:v>4</x:v>
      </x:c>
      <x:c r="C44" s="15" t="str">
        <x:v>Evidence</x:v>
      </x:c>
      <x:c r="D44" s="15" t="str">
        <x:v>OPEN</x:v>
      </x:c>
      <x:c r="E44" s="15" t="str">
        <x:v>OPEN</x:v>
      </x:c>
    </x:row>
    <x:row r="45">
      <x:c r="A45" s="14" t="str">
        <x:v>G-041</x:v>
      </x:c>
      <x:c r="B45" s="14" t="n">
        <x:v>5</x:v>
      </x:c>
      <x:c r="C45" s="14" t="str">
        <x:v>Configuration</x:v>
      </x:c>
      <x:c r="D45" s="14" t="str">
        <x:v>OPEN</x:v>
      </x:c>
      <x:c r="E45" s="14" t="str">
        <x:v>OPEN</x:v>
      </x:c>
    </x:row>
    <x:row r="46">
      <x:c r="A46" s="15" t="str">
        <x:v>G-042</x:v>
      </x:c>
      <x:c r="B46" s="15" t="n">
        <x:v>5</x:v>
      </x:c>
      <x:c r="C46" s="15" t="str">
        <x:v>Source</x:v>
      </x:c>
      <x:c r="D46" s="15" t="str">
        <x:v>OPEN</x:v>
      </x:c>
      <x:c r="E46" s="15" t="str">
        <x:v>OPEN</x:v>
      </x:c>
    </x:row>
    <x:row r="47">
      <x:c r="A47" s="14" t="str">
        <x:v>G-043</x:v>
      </x:c>
      <x:c r="B47" s="14" t="n">
        <x:v>5</x:v>
      </x:c>
      <x:c r="C47" s="14" t="str">
        <x:v>Water</x:v>
      </x:c>
      <x:c r="D47" s="14" t="str">
        <x:v>OPEN</x:v>
      </x:c>
      <x:c r="E47" s="14" t="str">
        <x:v>OPEN</x:v>
      </x:c>
    </x:row>
    <x:row r="48">
      <x:c r="A48" s="15" t="str">
        <x:v>G-044</x:v>
      </x:c>
      <x:c r="B48" s="15" t="n">
        <x:v>5</x:v>
      </x:c>
      <x:c r="C48" s="15" t="str">
        <x:v>Thermal</x:v>
      </x:c>
      <x:c r="D48" s="15" t="str">
        <x:v>OPEN</x:v>
      </x:c>
      <x:c r="E48" s="15" t="str">
        <x:v>OPEN</x:v>
      </x:c>
    </x:row>
    <x:row r="49">
      <x:c r="A49" s="14" t="str">
        <x:v>G-045</x:v>
      </x:c>
      <x:c r="B49" s="14" t="n">
        <x:v>5</x:v>
      </x:c>
      <x:c r="C49" s="14" t="str">
        <x:v>Atmosphere</x:v>
      </x:c>
      <x:c r="D49" s="14" t="str">
        <x:v>OPEN</x:v>
      </x:c>
      <x:c r="E49" s="14" t="str">
        <x:v>OPEN</x:v>
      </x:c>
    </x:row>
    <x:row r="50">
      <x:c r="A50" s="15" t="str">
        <x:v>G-046</x:v>
      </x:c>
      <x:c r="B50" s="15" t="n">
        <x:v>5</x:v>
      </x:c>
      <x:c r="C50" s="15" t="str">
        <x:v>Topology</x:v>
      </x:c>
      <x:c r="D50" s="15" t="str">
        <x:v>OPEN</x:v>
      </x:c>
      <x:c r="E50" s="15" t="str">
        <x:v>OPEN</x:v>
      </x:c>
    </x:row>
    <x:row r="51">
      <x:c r="A51" s="14" t="str">
        <x:v>G-047</x:v>
      </x:c>
      <x:c r="B51" s="14" t="n">
        <x:v>5</x:v>
      </x:c>
      <x:c r="C51" s="14" t="str">
        <x:v>Coupling</x:v>
      </x:c>
      <x:c r="D51" s="14" t="str">
        <x:v>OPEN</x:v>
      </x:c>
      <x:c r="E51" s="14" t="str">
        <x:v>OPEN</x:v>
      </x:c>
    </x:row>
    <x:row r="52">
      <x:c r="A52" s="15" t="str">
        <x:v>G-048</x:v>
      </x:c>
      <x:c r="B52" s="15" t="n">
        <x:v>5</x:v>
      </x:c>
      <x:c r="C52" s="15" t="str">
        <x:v>Diversion</x:v>
      </x:c>
      <x:c r="D52" s="15" t="str">
        <x:v>OPEN</x:v>
      </x:c>
      <x:c r="E52" s="15" t="str">
        <x:v>OPEN</x:v>
      </x:c>
    </x:row>
    <x:row r="53">
      <x:c r="A53" s="14" t="str">
        <x:v>G-049</x:v>
      </x:c>
      <x:c r="B53" s="14" t="n">
        <x:v>5</x:v>
      </x:c>
      <x:c r="C53" s="14" t="str">
        <x:v>Public action</x:v>
      </x:c>
      <x:c r="D53" s="14" t="str">
        <x:v>OPEN</x:v>
      </x:c>
      <x:c r="E53" s="14" t="str">
        <x:v>OPEN</x:v>
      </x:c>
    </x:row>
    <x:row r="54">
      <x:c r="A54" s="15" t="str">
        <x:v>G-050</x:v>
      </x:c>
      <x:c r="B54" s="15" t="n">
        <x:v>5</x:v>
      </x:c>
      <x:c r="C54" s="15" t="str">
        <x:v>Evidence</x:v>
      </x:c>
      <x:c r="D54" s="15" t="str">
        <x:v>OPEN</x:v>
      </x:c>
      <x:c r="E54" s="15" t="str">
        <x:v>OPEN</x:v>
      </x:c>
    </x:row>
    <x:row r="55">
      <x:c r="A55" s="14" t="str">
        <x:v>G-051</x:v>
      </x:c>
      <x:c r="B55" s="14" t="n">
        <x:v>6</x:v>
      </x:c>
      <x:c r="C55" s="14" t="str">
        <x:v>Configuration</x:v>
      </x:c>
      <x:c r="D55" s="14" t="str">
        <x:v>OPEN</x:v>
      </x:c>
      <x:c r="E55" s="14" t="str">
        <x:v>OPEN</x:v>
      </x:c>
    </x:row>
    <x:row r="56">
      <x:c r="A56" s="15" t="str">
        <x:v>G-052</x:v>
      </x:c>
      <x:c r="B56" s="15" t="n">
        <x:v>6</x:v>
      </x:c>
      <x:c r="C56" s="15" t="str">
        <x:v>Source</x:v>
      </x:c>
      <x:c r="D56" s="15" t="str">
        <x:v>OPEN</x:v>
      </x:c>
      <x:c r="E56" s="15" t="str">
        <x:v>OPEN</x:v>
      </x:c>
    </x:row>
    <x:row r="57">
      <x:c r="A57" s="14" t="str">
        <x:v>G-053</x:v>
      </x:c>
      <x:c r="B57" s="14" t="n">
        <x:v>6</x:v>
      </x:c>
      <x:c r="C57" s="14" t="str">
        <x:v>Water</x:v>
      </x:c>
      <x:c r="D57" s="14" t="str">
        <x:v>OPEN</x:v>
      </x:c>
      <x:c r="E57" s="14" t="str">
        <x:v>OPEN</x:v>
      </x:c>
    </x:row>
    <x:row r="58">
      <x:c r="A58" s="15" t="str">
        <x:v>G-054</x:v>
      </x:c>
      <x:c r="B58" s="15" t="n">
        <x:v>6</x:v>
      </x:c>
      <x:c r="C58" s="15" t="str">
        <x:v>Thermal</x:v>
      </x:c>
      <x:c r="D58" s="15" t="str">
        <x:v>OPEN</x:v>
      </x:c>
      <x:c r="E58" s="15" t="str">
        <x:v>OPEN</x:v>
      </x:c>
    </x:row>
    <x:row r="59">
      <x:c r="A59" s="14" t="str">
        <x:v>G-055</x:v>
      </x:c>
      <x:c r="B59" s="14" t="n">
        <x:v>6</x:v>
      </x:c>
      <x:c r="C59" s="14" t="str">
        <x:v>Atmosphere</x:v>
      </x:c>
      <x:c r="D59" s="14" t="str">
        <x:v>OPEN</x:v>
      </x:c>
      <x:c r="E59" s="14" t="str">
        <x:v>OPEN</x:v>
      </x:c>
    </x:row>
    <x:row r="60">
      <x:c r="A60" s="15" t="str">
        <x:v>G-056</x:v>
      </x:c>
      <x:c r="B60" s="15" t="n">
        <x:v>6</x:v>
      </x:c>
      <x:c r="C60" s="15" t="str">
        <x:v>Topology</x:v>
      </x:c>
      <x:c r="D60" s="15" t="str">
        <x:v>OPEN</x:v>
      </x:c>
      <x:c r="E60" s="15" t="str">
        <x:v>OPEN</x:v>
      </x:c>
    </x:row>
    <x:row r="61">
      <x:c r="A61" s="14" t="str">
        <x:v>G-057</x:v>
      </x:c>
      <x:c r="B61" s="14" t="n">
        <x:v>6</x:v>
      </x:c>
      <x:c r="C61" s="14" t="str">
        <x:v>Coupling</x:v>
      </x:c>
      <x:c r="D61" s="14" t="str">
        <x:v>OPEN</x:v>
      </x:c>
      <x:c r="E61" s="14" t="str">
        <x:v>OPEN</x:v>
      </x:c>
    </x:row>
    <x:row r="62">
      <x:c r="A62" s="15" t="str">
        <x:v>G-058</x:v>
      </x:c>
      <x:c r="B62" s="15" t="n">
        <x:v>6</x:v>
      </x:c>
      <x:c r="C62" s="15" t="str">
        <x:v>Diversion</x:v>
      </x:c>
      <x:c r="D62" s="15" t="str">
        <x:v>OPEN</x:v>
      </x:c>
      <x:c r="E62" s="15" t="str">
        <x:v>OPEN</x:v>
      </x:c>
    </x:row>
    <x:row r="63">
      <x:c r="A63" s="14" t="str">
        <x:v>G-059</x:v>
      </x:c>
      <x:c r="B63" s="14" t="n">
        <x:v>6</x:v>
      </x:c>
      <x:c r="C63" s="14" t="str">
        <x:v>Public action</x:v>
      </x:c>
      <x:c r="D63" s="14" t="str">
        <x:v>OPEN</x:v>
      </x:c>
      <x:c r="E63" s="14" t="str">
        <x:v>OPEN</x:v>
      </x:c>
    </x:row>
    <x:row r="64">
      <x:c r="A64" s="15" t="str">
        <x:v>G-060</x:v>
      </x:c>
      <x:c r="B64" s="15" t="n">
        <x:v>6</x:v>
      </x:c>
      <x:c r="C64" s="15" t="str">
        <x:v>Evidence</x:v>
      </x:c>
      <x:c r="D64" s="15" t="str">
        <x:v>OPEN</x:v>
      </x:c>
      <x:c r="E64" s="15" t="str">
        <x:v>OPEN</x:v>
      </x:c>
    </x:row>
    <x:row r="65">
      <x:c r="A65" s="14" t="str">
        <x:v>G-061</x:v>
      </x:c>
      <x:c r="B65" s="14" t="n">
        <x:v>7</x:v>
      </x:c>
      <x:c r="C65" s="14" t="str">
        <x:v>Configuration</x:v>
      </x:c>
      <x:c r="D65" s="14" t="str">
        <x:v>OPEN</x:v>
      </x:c>
      <x:c r="E65" s="14" t="str">
        <x:v>OPEN</x:v>
      </x:c>
    </x:row>
    <x:row r="66">
      <x:c r="A66" s="15" t="str">
        <x:v>G-062</x:v>
      </x:c>
      <x:c r="B66" s="15" t="n">
        <x:v>7</x:v>
      </x:c>
      <x:c r="C66" s="15" t="str">
        <x:v>Source</x:v>
      </x:c>
      <x:c r="D66" s="15" t="str">
        <x:v>OPEN</x:v>
      </x:c>
      <x:c r="E66" s="15" t="str">
        <x:v>OPEN</x:v>
      </x:c>
    </x:row>
    <x:row r="67">
      <x:c r="A67" s="14" t="str">
        <x:v>G-063</x:v>
      </x:c>
      <x:c r="B67" s="14" t="n">
        <x:v>7</x:v>
      </x:c>
      <x:c r="C67" s="14" t="str">
        <x:v>Water</x:v>
      </x:c>
      <x:c r="D67" s="14" t="str">
        <x:v>OPEN</x:v>
      </x:c>
      <x:c r="E67" s="14" t="str">
        <x:v>OPEN</x:v>
      </x:c>
    </x:row>
    <x:row r="68">
      <x:c r="A68" s="15" t="str">
        <x:v>G-064</x:v>
      </x:c>
      <x:c r="B68" s="15" t="n">
        <x:v>7</x:v>
      </x:c>
      <x:c r="C68" s="15" t="str">
        <x:v>Thermal</x:v>
      </x:c>
      <x:c r="D68" s="15" t="str">
        <x:v>OPEN</x:v>
      </x:c>
      <x:c r="E68" s="15" t="str">
        <x:v>OPEN</x:v>
      </x:c>
    </x:row>
    <x:row r="69">
      <x:c r="A69" s="14" t="str">
        <x:v>G-065</x:v>
      </x:c>
      <x:c r="B69" s="14" t="n">
        <x:v>7</x:v>
      </x:c>
      <x:c r="C69" s="14" t="str">
        <x:v>Atmosphere</x:v>
      </x:c>
      <x:c r="D69" s="14" t="str">
        <x:v>OPEN</x:v>
      </x:c>
      <x:c r="E69" s="14" t="str">
        <x:v>OPEN</x:v>
      </x:c>
    </x:row>
    <x:row r="70">
      <x:c r="A70" s="15" t="str">
        <x:v>G-066</x:v>
      </x:c>
      <x:c r="B70" s="15" t="n">
        <x:v>7</x:v>
      </x:c>
      <x:c r="C70" s="15" t="str">
        <x:v>Topology</x:v>
      </x:c>
      <x:c r="D70" s="15" t="str">
        <x:v>OPEN</x:v>
      </x:c>
      <x:c r="E70" s="15" t="str">
        <x:v>OPEN</x:v>
      </x:c>
    </x:row>
    <x:row r="71">
      <x:c r="A71" s="14" t="str">
        <x:v>G-067</x:v>
      </x:c>
      <x:c r="B71" s="14" t="n">
        <x:v>7</x:v>
      </x:c>
      <x:c r="C71" s="14" t="str">
        <x:v>Coupling</x:v>
      </x:c>
      <x:c r="D71" s="14" t="str">
        <x:v>OPEN</x:v>
      </x:c>
      <x:c r="E71" s="14" t="str">
        <x:v>OPEN</x:v>
      </x:c>
    </x:row>
    <x:row r="72">
      <x:c r="A72" s="15" t="str">
        <x:v>G-068</x:v>
      </x:c>
      <x:c r="B72" s="15" t="n">
        <x:v>7</x:v>
      </x:c>
      <x:c r="C72" s="15" t="str">
        <x:v>Diversion</x:v>
      </x:c>
      <x:c r="D72" s="15" t="str">
        <x:v>OPEN</x:v>
      </x:c>
      <x:c r="E72" s="15" t="str">
        <x:v>OPEN</x:v>
      </x:c>
    </x:row>
    <x:row r="73">
      <x:c r="A73" s="14" t="str">
        <x:v>G-069</x:v>
      </x:c>
      <x:c r="B73" s="14" t="n">
        <x:v>7</x:v>
      </x:c>
      <x:c r="C73" s="14" t="str">
        <x:v>Public action</x:v>
      </x:c>
      <x:c r="D73" s="14" t="str">
        <x:v>OPEN</x:v>
      </x:c>
      <x:c r="E73" s="14" t="str">
        <x:v>OPEN</x:v>
      </x:c>
    </x:row>
    <x:row r="74">
      <x:c r="A74" s="15" t="str">
        <x:v>G-070</x:v>
      </x:c>
      <x:c r="B74" s="15" t="n">
        <x:v>7</x:v>
      </x:c>
      <x:c r="C74" s="15" t="str">
        <x:v>Evidence</x:v>
      </x:c>
      <x:c r="D74" s="15" t="str">
        <x:v>OPEN</x:v>
      </x:c>
      <x:c r="E74" s="15" t="str">
        <x:v>OPEN</x:v>
      </x:c>
    </x:row>
    <x:row r="75">
      <x:c r="A75" s="14" t="str">
        <x:v>G-071</x:v>
      </x:c>
      <x:c r="B75" s="14" t="n">
        <x:v>8</x:v>
      </x:c>
      <x:c r="C75" s="14" t="str">
        <x:v>Configuration</x:v>
      </x:c>
      <x:c r="D75" s="14" t="str">
        <x:v>OPEN</x:v>
      </x:c>
      <x:c r="E75" s="14" t="str">
        <x:v>OPEN</x:v>
      </x:c>
    </x:row>
    <x:row r="76">
      <x:c r="A76" s="15" t="str">
        <x:v>G-072</x:v>
      </x:c>
      <x:c r="B76" s="15" t="n">
        <x:v>8</x:v>
      </x:c>
      <x:c r="C76" s="15" t="str">
        <x:v>Source</x:v>
      </x:c>
      <x:c r="D76" s="15" t="str">
        <x:v>OPEN</x:v>
      </x:c>
      <x:c r="E76" s="15" t="str">
        <x:v>OPEN</x:v>
      </x:c>
    </x:row>
    <x:row r="77">
      <x:c r="A77" s="14" t="str">
        <x:v>G-073</x:v>
      </x:c>
      <x:c r="B77" s="14" t="n">
        <x:v>8</x:v>
      </x:c>
      <x:c r="C77" s="14" t="str">
        <x:v>Water</x:v>
      </x:c>
      <x:c r="D77" s="14" t="str">
        <x:v>OPEN</x:v>
      </x:c>
      <x:c r="E77" s="14" t="str">
        <x:v>OPEN</x:v>
      </x:c>
    </x:row>
    <x:row r="78">
      <x:c r="A78" s="15" t="str">
        <x:v>G-074</x:v>
      </x:c>
      <x:c r="B78" s="15" t="n">
        <x:v>8</x:v>
      </x:c>
      <x:c r="C78" s="15" t="str">
        <x:v>Thermal</x:v>
      </x:c>
      <x:c r="D78" s="15" t="str">
        <x:v>OPEN</x:v>
      </x:c>
      <x:c r="E78" s="15" t="str">
        <x:v>OPEN</x:v>
      </x:c>
    </x:row>
    <x:row r="79">
      <x:c r="A79" s="14" t="str">
        <x:v>G-075</x:v>
      </x:c>
      <x:c r="B79" s="14" t="n">
        <x:v>8</x:v>
      </x:c>
      <x:c r="C79" s="14" t="str">
        <x:v>Atmosphere</x:v>
      </x:c>
      <x:c r="D79" s="14" t="str">
        <x:v>OPEN</x:v>
      </x:c>
      <x:c r="E79" s="14" t="str">
        <x:v>OPEN</x:v>
      </x:c>
    </x:row>
    <x:row r="80">
      <x:c r="A80" s="15" t="str">
        <x:v>G-076</x:v>
      </x:c>
      <x:c r="B80" s="15" t="n">
        <x:v>8</x:v>
      </x:c>
      <x:c r="C80" s="15" t="str">
        <x:v>Topology</x:v>
      </x:c>
      <x:c r="D80" s="15" t="str">
        <x:v>OPEN</x:v>
      </x:c>
      <x:c r="E80" s="15" t="str">
        <x:v>OPEN</x:v>
      </x:c>
    </x:row>
    <x:row r="81">
      <x:c r="A81" s="14" t="str">
        <x:v>G-077</x:v>
      </x:c>
      <x:c r="B81" s="14" t="n">
        <x:v>8</x:v>
      </x:c>
      <x:c r="C81" s="14" t="str">
        <x:v>Coupling</x:v>
      </x:c>
      <x:c r="D81" s="14" t="str">
        <x:v>OPEN</x:v>
      </x:c>
      <x:c r="E81" s="14" t="str">
        <x:v>OPEN</x:v>
      </x:c>
    </x:row>
    <x:row r="82">
      <x:c r="A82" s="15" t="str">
        <x:v>G-078</x:v>
      </x:c>
      <x:c r="B82" s="15" t="n">
        <x:v>8</x:v>
      </x:c>
      <x:c r="C82" s="15" t="str">
        <x:v>Diversion</x:v>
      </x:c>
      <x:c r="D82" s="15" t="str">
        <x:v>OPEN</x:v>
      </x:c>
      <x:c r="E82" s="15" t="str">
        <x:v>OPEN</x:v>
      </x:c>
    </x:row>
    <x:row r="83">
      <x:c r="A83" s="14" t="str">
        <x:v>G-079</x:v>
      </x:c>
      <x:c r="B83" s="14" t="n">
        <x:v>8</x:v>
      </x:c>
      <x:c r="C83" s="14" t="str">
        <x:v>Public action</x:v>
      </x:c>
      <x:c r="D83" s="14" t="str">
        <x:v>OPEN</x:v>
      </x:c>
      <x:c r="E83" s="14" t="str">
        <x:v>OPEN</x:v>
      </x:c>
    </x:row>
    <x:row r="84">
      <x:c r="A84" s="15" t="str">
        <x:v>G-080</x:v>
      </x:c>
      <x:c r="B84" s="15" t="n">
        <x:v>8</x:v>
      </x:c>
      <x:c r="C84" s="15" t="str">
        <x:v>Evidence</x:v>
      </x:c>
      <x:c r="D84" s="15" t="str">
        <x:v>OPEN</x:v>
      </x:c>
      <x:c r="E84" s="15" t="str">
        <x:v>OPEN</x:v>
      </x:c>
    </x:row>
    <x:row r="85">
      <x:c r="A85" s="14" t="str">
        <x:v>G-081</x:v>
      </x:c>
      <x:c r="B85" s="14" t="n">
        <x:v>9</x:v>
      </x:c>
      <x:c r="C85" s="14" t="str">
        <x:v>Configuration</x:v>
      </x:c>
      <x:c r="D85" s="14" t="str">
        <x:v>OPEN</x:v>
      </x:c>
      <x:c r="E85" s="14" t="str">
        <x:v>OPEN</x:v>
      </x:c>
    </x:row>
    <x:row r="86">
      <x:c r="A86" s="15" t="str">
        <x:v>G-082</x:v>
      </x:c>
      <x:c r="B86" s="15" t="n">
        <x:v>9</x:v>
      </x:c>
      <x:c r="C86" s="15" t="str">
        <x:v>Source</x:v>
      </x:c>
      <x:c r="D86" s="15" t="str">
        <x:v>OPEN</x:v>
      </x:c>
      <x:c r="E86" s="15" t="str">
        <x:v>OPEN</x:v>
      </x:c>
    </x:row>
    <x:row r="87">
      <x:c r="A87" s="14" t="str">
        <x:v>G-083</x:v>
      </x:c>
      <x:c r="B87" s="14" t="n">
        <x:v>9</x:v>
      </x:c>
      <x:c r="C87" s="14" t="str">
        <x:v>Water</x:v>
      </x:c>
      <x:c r="D87" s="14" t="str">
        <x:v>OPEN</x:v>
      </x:c>
      <x:c r="E87" s="14" t="str">
        <x:v>OPEN</x:v>
      </x:c>
    </x:row>
    <x:row r="88">
      <x:c r="A88" s="15" t="str">
        <x:v>G-084</x:v>
      </x:c>
      <x:c r="B88" s="15" t="n">
        <x:v>9</x:v>
      </x:c>
      <x:c r="C88" s="15" t="str">
        <x:v>Thermal</x:v>
      </x:c>
      <x:c r="D88" s="15" t="str">
        <x:v>OPEN</x:v>
      </x:c>
      <x:c r="E88" s="15" t="str">
        <x:v>OPEN</x:v>
      </x:c>
    </x:row>
    <x:row r="89">
      <x:c r="A89" s="14" t="str">
        <x:v>G-085</x:v>
      </x:c>
      <x:c r="B89" s="14" t="n">
        <x:v>9</x:v>
      </x:c>
      <x:c r="C89" s="14" t="str">
        <x:v>Atmosphere</x:v>
      </x:c>
      <x:c r="D89" s="14" t="str">
        <x:v>OPEN</x:v>
      </x:c>
      <x:c r="E89" s="14" t="str">
        <x:v>OPEN</x:v>
      </x:c>
    </x:row>
    <x:row r="90">
      <x:c r="A90" s="15" t="str">
        <x:v>G-086</x:v>
      </x:c>
      <x:c r="B90" s="15" t="n">
        <x:v>9</x:v>
      </x:c>
      <x:c r="C90" s="15" t="str">
        <x:v>Topology</x:v>
      </x:c>
      <x:c r="D90" s="15" t="str">
        <x:v>OPEN</x:v>
      </x:c>
      <x:c r="E90" s="15" t="str">
        <x:v>OPEN</x:v>
      </x:c>
    </x:row>
    <x:row r="91">
      <x:c r="A91" s="14" t="str">
        <x:v>G-087</x:v>
      </x:c>
      <x:c r="B91" s="14" t="n">
        <x:v>9</x:v>
      </x:c>
      <x:c r="C91" s="14" t="str">
        <x:v>Coupling</x:v>
      </x:c>
      <x:c r="D91" s="14" t="str">
        <x:v>OPEN</x:v>
      </x:c>
      <x:c r="E91" s="14" t="str">
        <x:v>OPEN</x:v>
      </x:c>
    </x:row>
    <x:row r="92">
      <x:c r="A92" s="15" t="str">
        <x:v>G-088</x:v>
      </x:c>
      <x:c r="B92" s="15" t="n">
        <x:v>9</x:v>
      </x:c>
      <x:c r="C92" s="15" t="str">
        <x:v>Diversion</x:v>
      </x:c>
      <x:c r="D92" s="15" t="str">
        <x:v>OPEN</x:v>
      </x:c>
      <x:c r="E92" s="15" t="str">
        <x:v>OPEN</x:v>
      </x:c>
    </x:row>
    <x:row r="93">
      <x:c r="A93" s="14" t="str">
        <x:v>G-089</x:v>
      </x:c>
      <x:c r="B93" s="14" t="n">
        <x:v>9</x:v>
      </x:c>
      <x:c r="C93" s="14" t="str">
        <x:v>Public action</x:v>
      </x:c>
      <x:c r="D93" s="14" t="str">
        <x:v>OPEN</x:v>
      </x:c>
      <x:c r="E93" s="14" t="str">
        <x:v>OPEN</x:v>
      </x:c>
    </x:row>
    <x:row r="94">
      <x:c r="A94" s="15" t="str">
        <x:v>G-090</x:v>
      </x:c>
      <x:c r="B94" s="15" t="n">
        <x:v>9</x:v>
      </x:c>
      <x:c r="C94" s="15" t="str">
        <x:v>Evidence</x:v>
      </x:c>
      <x:c r="D94" s="15" t="str">
        <x:v>OPEN</x:v>
      </x:c>
      <x:c r="E94" s="15" t="str">
        <x:v>OPEN</x:v>
      </x:c>
    </x:row>
    <x:row r="95">
      <x:c r="A95" s="14" t="str">
        <x:v>G-091</x:v>
      </x:c>
      <x:c r="B95" s="14" t="n">
        <x:v>10</x:v>
      </x:c>
      <x:c r="C95" s="14" t="str">
        <x:v>Configuration</x:v>
      </x:c>
      <x:c r="D95" s="14" t="str">
        <x:v>OPEN</x:v>
      </x:c>
      <x:c r="E95" s="14" t="str">
        <x:v>OPEN</x:v>
      </x:c>
    </x:row>
    <x:row r="96">
      <x:c r="A96" s="15" t="str">
        <x:v>G-092</x:v>
      </x:c>
      <x:c r="B96" s="15" t="n">
        <x:v>10</x:v>
      </x:c>
      <x:c r="C96" s="15" t="str">
        <x:v>Source</x:v>
      </x:c>
      <x:c r="D96" s="15" t="str">
        <x:v>OPEN</x:v>
      </x:c>
      <x:c r="E96" s="15" t="str">
        <x:v>OPEN</x:v>
      </x:c>
    </x:row>
    <x:row r="97">
      <x:c r="A97" s="14" t="str">
        <x:v>G-093</x:v>
      </x:c>
      <x:c r="B97" s="14" t="n">
        <x:v>10</x:v>
      </x:c>
      <x:c r="C97" s="14" t="str">
        <x:v>Water</x:v>
      </x:c>
      <x:c r="D97" s="14" t="str">
        <x:v>OPEN</x:v>
      </x:c>
      <x:c r="E97" s="14" t="str">
        <x:v>OPEN</x:v>
      </x:c>
    </x:row>
    <x:row r="98">
      <x:c r="A98" s="15" t="str">
        <x:v>G-094</x:v>
      </x:c>
      <x:c r="B98" s="15" t="n">
        <x:v>10</x:v>
      </x:c>
      <x:c r="C98" s="15" t="str">
        <x:v>Thermal</x:v>
      </x:c>
      <x:c r="D98" s="15" t="str">
        <x:v>OPEN</x:v>
      </x:c>
      <x:c r="E98" s="15" t="str">
        <x:v>OPEN</x:v>
      </x:c>
    </x:row>
    <x:row r="99">
      <x:c r="A99" s="14" t="str">
        <x:v>G-095</x:v>
      </x:c>
      <x:c r="B99" s="14" t="n">
        <x:v>10</x:v>
      </x:c>
      <x:c r="C99" s="14" t="str">
        <x:v>Atmosphere</x:v>
      </x:c>
      <x:c r="D99" s="14" t="str">
        <x:v>OPEN</x:v>
      </x:c>
      <x:c r="E99" s="14" t="str">
        <x:v>OPEN</x:v>
      </x:c>
    </x:row>
    <x:row r="100">
      <x:c r="A100" s="15" t="str">
        <x:v>G-096</x:v>
      </x:c>
      <x:c r="B100" s="15" t="n">
        <x:v>10</x:v>
      </x:c>
      <x:c r="C100" s="15" t="str">
        <x:v>Topology</x:v>
      </x:c>
      <x:c r="D100" s="15" t="str">
        <x:v>OPEN</x:v>
      </x:c>
      <x:c r="E100" s="15" t="str">
        <x:v>OPEN</x:v>
      </x:c>
    </x:row>
    <x:row r="101">
      <x:c r="A101" s="14" t="str">
        <x:v>G-097</x:v>
      </x:c>
      <x:c r="B101" s="14" t="n">
        <x:v>10</x:v>
      </x:c>
      <x:c r="C101" s="14" t="str">
        <x:v>Coupling</x:v>
      </x:c>
      <x:c r="D101" s="14" t="str">
        <x:v>OPEN</x:v>
      </x:c>
      <x:c r="E101" s="14" t="str">
        <x:v>OPEN</x:v>
      </x:c>
    </x:row>
    <x:row r="102">
      <x:c r="A102" s="15" t="str">
        <x:v>G-098</x:v>
      </x:c>
      <x:c r="B102" s="15" t="n">
        <x:v>10</x:v>
      </x:c>
      <x:c r="C102" s="15" t="str">
        <x:v>Diversion</x:v>
      </x:c>
      <x:c r="D102" s="15" t="str">
        <x:v>OPEN</x:v>
      </x:c>
      <x:c r="E102" s="15" t="str">
        <x:v>OPEN</x:v>
      </x:c>
    </x:row>
    <x:row r="103">
      <x:c r="A103" s="14" t="str">
        <x:v>G-099</x:v>
      </x:c>
      <x:c r="B103" s="14" t="n">
        <x:v>10</x:v>
      </x:c>
      <x:c r="C103" s="14" t="str">
        <x:v>Public action</x:v>
      </x:c>
      <x:c r="D103" s="14" t="str">
        <x:v>OPEN</x:v>
      </x:c>
      <x:c r="E103" s="14" t="str">
        <x:v>OPEN</x:v>
      </x:c>
    </x:row>
    <x:row r="104">
      <x:c r="A104" s="15" t="str">
        <x:v>G-100</x:v>
      </x:c>
      <x:c r="B104" s="15" t="n">
        <x:v>10</x:v>
      </x:c>
      <x:c r="C104" s="15" t="str">
        <x:v>Evidence</x:v>
      </x:c>
      <x:c r="D104" s="15" t="str">
        <x:v>OPEN</x:v>
      </x:c>
      <x:c r="E104" s="15" t="str">
        <x:v>OPEN</x:v>
      </x:c>
    </x:row>
    <x:row r="105">
      <x:c r="A105" s="14" t="str">
        <x:v>G-101</x:v>
      </x:c>
      <x:c r="B105" s="14" t="n">
        <x:v>11</x:v>
      </x:c>
      <x:c r="C105" s="14" t="str">
        <x:v>Configuration</x:v>
      </x:c>
      <x:c r="D105" s="14" t="str">
        <x:v>OPEN</x:v>
      </x:c>
      <x:c r="E105" s="14" t="str">
        <x:v>OPEN</x:v>
      </x:c>
    </x:row>
    <x:row r="106">
      <x:c r="A106" s="15" t="str">
        <x:v>G-102</x:v>
      </x:c>
      <x:c r="B106" s="15" t="n">
        <x:v>11</x:v>
      </x:c>
      <x:c r="C106" s="15" t="str">
        <x:v>Source</x:v>
      </x:c>
      <x:c r="D106" s="15" t="str">
        <x:v>OPEN</x:v>
      </x:c>
      <x:c r="E106" s="15" t="str">
        <x:v>OPEN</x:v>
      </x:c>
    </x:row>
    <x:row r="107">
      <x:c r="A107" s="14" t="str">
        <x:v>G-103</x:v>
      </x:c>
      <x:c r="B107" s="14" t="n">
        <x:v>11</x:v>
      </x:c>
      <x:c r="C107" s="14" t="str">
        <x:v>Water</x:v>
      </x:c>
      <x:c r="D107" s="14" t="str">
        <x:v>OPEN</x:v>
      </x:c>
      <x:c r="E107" s="14" t="str">
        <x:v>OPEN</x:v>
      </x:c>
    </x:row>
    <x:row r="108">
      <x:c r="A108" s="15" t="str">
        <x:v>G-104</x:v>
      </x:c>
      <x:c r="B108" s="15" t="n">
        <x:v>11</x:v>
      </x:c>
      <x:c r="C108" s="15" t="str">
        <x:v>Thermal</x:v>
      </x:c>
      <x:c r="D108" s="15" t="str">
        <x:v>OPEN</x:v>
      </x:c>
      <x:c r="E108" s="15" t="str">
        <x:v>OPEN</x:v>
      </x:c>
    </x:row>
    <x:row r="109">
      <x:c r="A109" s="14" t="str">
        <x:v>G-105</x:v>
      </x:c>
      <x:c r="B109" s="14" t="n">
        <x:v>11</x:v>
      </x:c>
      <x:c r="C109" s="14" t="str">
        <x:v>Atmosphere</x:v>
      </x:c>
      <x:c r="D109" s="14" t="str">
        <x:v>OPEN</x:v>
      </x:c>
      <x:c r="E109" s="14" t="str">
        <x:v>OPEN</x:v>
      </x:c>
    </x:row>
    <x:row r="110">
      <x:c r="A110" s="15" t="str">
        <x:v>G-106</x:v>
      </x:c>
      <x:c r="B110" s="15" t="n">
        <x:v>11</x:v>
      </x:c>
      <x:c r="C110" s="15" t="str">
        <x:v>Topology</x:v>
      </x:c>
      <x:c r="D110" s="15" t="str">
        <x:v>OPEN</x:v>
      </x:c>
      <x:c r="E110" s="15" t="str">
        <x:v>OPEN</x:v>
      </x:c>
    </x:row>
    <x:row r="111">
      <x:c r="A111" s="14" t="str">
        <x:v>G-107</x:v>
      </x:c>
      <x:c r="B111" s="14" t="n">
        <x:v>11</x:v>
      </x:c>
      <x:c r="C111" s="14" t="str">
        <x:v>Coupling</x:v>
      </x:c>
      <x:c r="D111" s="14" t="str">
        <x:v>OPEN</x:v>
      </x:c>
      <x:c r="E111" s="14" t="str">
        <x:v>OPEN</x:v>
      </x:c>
    </x:row>
    <x:row r="112">
      <x:c r="A112" s="15" t="str">
        <x:v>G-108</x:v>
      </x:c>
      <x:c r="B112" s="15" t="n">
        <x:v>11</x:v>
      </x:c>
      <x:c r="C112" s="15" t="str">
        <x:v>Diversion</x:v>
      </x:c>
      <x:c r="D112" s="15" t="str">
        <x:v>OPEN</x:v>
      </x:c>
      <x:c r="E112" s="15" t="str">
        <x:v>OPEN</x:v>
      </x:c>
    </x:row>
    <x:row r="113">
      <x:c r="A113" s="14" t="str">
        <x:v>G-109</x:v>
      </x:c>
      <x:c r="B113" s="14" t="n">
        <x:v>11</x:v>
      </x:c>
      <x:c r="C113" s="14" t="str">
        <x:v>Public action</x:v>
      </x:c>
      <x:c r="D113" s="14" t="str">
        <x:v>OPEN</x:v>
      </x:c>
      <x:c r="E113" s="14" t="str">
        <x:v>OPEN</x:v>
      </x:c>
    </x:row>
    <x:row r="114">
      <x:c r="A114" s="15" t="str">
        <x:v>G-110</x:v>
      </x:c>
      <x:c r="B114" s="15" t="n">
        <x:v>11</x:v>
      </x:c>
      <x:c r="C114" s="15" t="str">
        <x:v>Evidence</x:v>
      </x:c>
      <x:c r="D114" s="15" t="str">
        <x:v>OPEN</x:v>
      </x:c>
      <x:c r="E114" s="15" t="str">
        <x:v>OPEN</x:v>
      </x:c>
    </x:row>
    <x:row r="115">
      <x:c r="A115" s="14" t="str">
        <x:v>G-111</x:v>
      </x:c>
      <x:c r="B115" s="14" t="n">
        <x:v>12</x:v>
      </x:c>
      <x:c r="C115" s="14" t="str">
        <x:v>Configuration</x:v>
      </x:c>
      <x:c r="D115" s="14" t="str">
        <x:v>OPEN</x:v>
      </x:c>
      <x:c r="E115" s="14" t="str">
        <x:v>OPEN</x:v>
      </x:c>
    </x:row>
    <x:row r="116">
      <x:c r="A116" s="15" t="str">
        <x:v>G-112</x:v>
      </x:c>
      <x:c r="B116" s="15" t="n">
        <x:v>12</x:v>
      </x:c>
      <x:c r="C116" s="15" t="str">
        <x:v>Source</x:v>
      </x:c>
      <x:c r="D116" s="15" t="str">
        <x:v>OPEN</x:v>
      </x:c>
      <x:c r="E116" s="15" t="str">
        <x:v>OPEN</x:v>
      </x:c>
    </x:row>
    <x:row r="117">
      <x:c r="A117" s="14" t="str">
        <x:v>G-113</x:v>
      </x:c>
      <x:c r="B117" s="14" t="n">
        <x:v>12</x:v>
      </x:c>
      <x:c r="C117" s="14" t="str">
        <x:v>Water</x:v>
      </x:c>
      <x:c r="D117" s="14" t="str">
        <x:v>OPEN</x:v>
      </x:c>
      <x:c r="E117" s="14" t="str">
        <x:v>OPEN</x:v>
      </x:c>
    </x:row>
    <x:row r="118">
      <x:c r="A118" s="15" t="str">
        <x:v>G-114</x:v>
      </x:c>
      <x:c r="B118" s="15" t="n">
        <x:v>12</x:v>
      </x:c>
      <x:c r="C118" s="15" t="str">
        <x:v>Thermal</x:v>
      </x:c>
      <x:c r="D118" s="15" t="str">
        <x:v>OPEN</x:v>
      </x:c>
      <x:c r="E118" s="15" t="str">
        <x:v>OPEN</x:v>
      </x:c>
    </x:row>
    <x:row r="119">
      <x:c r="A119" s="14" t="str">
        <x:v>G-115</x:v>
      </x:c>
      <x:c r="B119" s="14" t="n">
        <x:v>12</x:v>
      </x:c>
      <x:c r="C119" s="14" t="str">
        <x:v>Atmosphere</x:v>
      </x:c>
      <x:c r="D119" s="14" t="str">
        <x:v>OPEN</x:v>
      </x:c>
      <x:c r="E119" s="14" t="str">
        <x:v>OPEN</x:v>
      </x:c>
    </x:row>
    <x:row r="120">
      <x:c r="A120" s="15" t="str">
        <x:v>G-116</x:v>
      </x:c>
      <x:c r="B120" s="15" t="n">
        <x:v>12</x:v>
      </x:c>
      <x:c r="C120" s="15" t="str">
        <x:v>Topology</x:v>
      </x:c>
      <x:c r="D120" s="15" t="str">
        <x:v>OPEN</x:v>
      </x:c>
      <x:c r="E120" s="15" t="str">
        <x:v>OPEN</x:v>
      </x:c>
    </x:row>
    <x:row r="121">
      <x:c r="A121" s="14" t="str">
        <x:v>G-117</x:v>
      </x:c>
      <x:c r="B121" s="14" t="n">
        <x:v>12</x:v>
      </x:c>
      <x:c r="C121" s="14" t="str">
        <x:v>Coupling</x:v>
      </x:c>
      <x:c r="D121" s="14" t="str">
        <x:v>OPEN</x:v>
      </x:c>
      <x:c r="E121" s="14" t="str">
        <x:v>OPEN</x:v>
      </x:c>
    </x:row>
    <x:row r="122">
      <x:c r="A122" s="15" t="str">
        <x:v>G-118</x:v>
      </x:c>
      <x:c r="B122" s="15" t="n">
        <x:v>12</x:v>
      </x:c>
      <x:c r="C122" s="15" t="str">
        <x:v>Diversion</x:v>
      </x:c>
      <x:c r="D122" s="15" t="str">
        <x:v>OPEN</x:v>
      </x:c>
      <x:c r="E122" s="15" t="str">
        <x:v>OPEN</x:v>
      </x:c>
    </x:row>
    <x:row r="123">
      <x:c r="A123" s="14" t="str">
        <x:v>G-119</x:v>
      </x:c>
      <x:c r="B123" s="14" t="n">
        <x:v>12</x:v>
      </x:c>
      <x:c r="C123" s="14" t="str">
        <x:v>Public action</x:v>
      </x:c>
      <x:c r="D123" s="14" t="str">
        <x:v>OPEN</x:v>
      </x:c>
      <x:c r="E123" s="14" t="str">
        <x:v>OPEN</x:v>
      </x:c>
    </x:row>
    <x:row r="124">
      <x:c r="A124" s="15" t="str">
        <x:v>G-120</x:v>
      </x:c>
      <x:c r="B124" s="15" t="n">
        <x:v>12</x:v>
      </x:c>
      <x:c r="C124" s="15" t="str">
        <x:v>Evidence</x:v>
      </x:c>
      <x:c r="D124" s="15" t="str">
        <x:v>OPEN</x:v>
      </x:c>
      <x:c r="E124" s="15" t="str">
        <x:v>OPEN</x:v>
      </x:c>
    </x:row>
    <x:row r="125">
      <x:c r="A125" s="14" t="str">
        <x:v>G-121</x:v>
      </x:c>
      <x:c r="B125" s="14" t="n">
        <x:v>13</x:v>
      </x:c>
      <x:c r="C125" s="14" t="str">
        <x:v>Configuration</x:v>
      </x:c>
      <x:c r="D125" s="14" t="str">
        <x:v>OPEN</x:v>
      </x:c>
      <x:c r="E125" s="14" t="str">
        <x:v>OPEN</x:v>
      </x:c>
    </x:row>
    <x:row r="126">
      <x:c r="A126" s="15" t="str">
        <x:v>G-122</x:v>
      </x:c>
      <x:c r="B126" s="15" t="n">
        <x:v>13</x:v>
      </x:c>
      <x:c r="C126" s="15" t="str">
        <x:v>Source</x:v>
      </x:c>
      <x:c r="D126" s="15" t="str">
        <x:v>OPEN</x:v>
      </x:c>
      <x:c r="E126" s="15" t="str">
        <x:v>OPEN</x:v>
      </x:c>
    </x:row>
    <x:row r="127">
      <x:c r="A127" s="14" t="str">
        <x:v>G-123</x:v>
      </x:c>
      <x:c r="B127" s="14" t="n">
        <x:v>13</x:v>
      </x:c>
      <x:c r="C127" s="14" t="str">
        <x:v>Water</x:v>
      </x:c>
      <x:c r="D127" s="14" t="str">
        <x:v>OPEN</x:v>
      </x:c>
      <x:c r="E127" s="14" t="str">
        <x:v>OPEN</x:v>
      </x:c>
    </x:row>
    <x:row r="128">
      <x:c r="A128" s="15" t="str">
        <x:v>G-124</x:v>
      </x:c>
      <x:c r="B128" s="15" t="n">
        <x:v>13</x:v>
      </x:c>
      <x:c r="C128" s="15" t="str">
        <x:v>Thermal</x:v>
      </x:c>
      <x:c r="D128" s="15" t="str">
        <x:v>OPEN</x:v>
      </x:c>
      <x:c r="E128" s="15" t="str">
        <x:v>OPEN</x:v>
      </x:c>
    </x:row>
    <x:row r="129">
      <x:c r="A129" s="14" t="str">
        <x:v>G-125</x:v>
      </x:c>
      <x:c r="B129" s="14" t="n">
        <x:v>13</x:v>
      </x:c>
      <x:c r="C129" s="14" t="str">
        <x:v>Atmosphere</x:v>
      </x:c>
      <x:c r="D129" s="14" t="str">
        <x:v>OPEN</x:v>
      </x:c>
      <x:c r="E129" s="14" t="str">
        <x:v>OPEN</x:v>
      </x:c>
    </x:row>
    <x:row r="130">
      <x:c r="A130" s="15" t="str">
        <x:v>G-126</x:v>
      </x:c>
      <x:c r="B130" s="15" t="n">
        <x:v>13</x:v>
      </x:c>
      <x:c r="C130" s="15" t="str">
        <x:v>Topology</x:v>
      </x:c>
      <x:c r="D130" s="15" t="str">
        <x:v>OPEN</x:v>
      </x:c>
      <x:c r="E130" s="15" t="str">
        <x:v>OPEN</x:v>
      </x:c>
    </x:row>
    <x:row r="131">
      <x:c r="A131" s="14" t="str">
        <x:v>G-127</x:v>
      </x:c>
      <x:c r="B131" s="14" t="n">
        <x:v>13</x:v>
      </x:c>
      <x:c r="C131" s="14" t="str">
        <x:v>Coupling</x:v>
      </x:c>
      <x:c r="D131" s="14" t="str">
        <x:v>OPEN</x:v>
      </x:c>
      <x:c r="E131" s="14" t="str">
        <x:v>OPEN</x:v>
      </x:c>
    </x:row>
    <x:row r="132">
      <x:c r="A132" s="15" t="str">
        <x:v>G-128</x:v>
      </x:c>
      <x:c r="B132" s="15" t="n">
        <x:v>13</x:v>
      </x:c>
      <x:c r="C132" s="15" t="str">
        <x:v>Diversion</x:v>
      </x:c>
      <x:c r="D132" s="15" t="str">
        <x:v>OPEN</x:v>
      </x:c>
      <x:c r="E132" s="15" t="str">
        <x:v>OPEN</x:v>
      </x:c>
    </x:row>
    <x:row r="133">
      <x:c r="A133" s="14" t="str">
        <x:v>G-129</x:v>
      </x:c>
      <x:c r="B133" s="14" t="n">
        <x:v>13</x:v>
      </x:c>
      <x:c r="C133" s="14" t="str">
        <x:v>Public action</x:v>
      </x:c>
      <x:c r="D133" s="14" t="str">
        <x:v>OPEN</x:v>
      </x:c>
      <x:c r="E133" s="14" t="str">
        <x:v>OPEN</x:v>
      </x:c>
    </x:row>
    <x:row r="134">
      <x:c r="A134" s="15" t="str">
        <x:v>G-130</x:v>
      </x:c>
      <x:c r="B134" s="15" t="n">
        <x:v>13</x:v>
      </x:c>
      <x:c r="C134" s="15" t="str">
        <x:v>Evidence</x:v>
      </x:c>
      <x:c r="D134" s="15" t="str">
        <x:v>OPEN</x:v>
      </x:c>
      <x:c r="E134" s="15" t="str">
        <x:v>OPEN</x:v>
      </x:c>
    </x:row>
    <x:row r="135">
      <x:c r="A135" s="14" t="str">
        <x:v>G-131</x:v>
      </x:c>
      <x:c r="B135" s="14" t="n">
        <x:v>14</x:v>
      </x:c>
      <x:c r="C135" s="14" t="str">
        <x:v>Configuration</x:v>
      </x:c>
      <x:c r="D135" s="14" t="str">
        <x:v>OPEN</x:v>
      </x:c>
      <x:c r="E135" s="14" t="str">
        <x:v>OPEN</x:v>
      </x:c>
    </x:row>
    <x:row r="136">
      <x:c r="A136" s="15" t="str">
        <x:v>G-132</x:v>
      </x:c>
      <x:c r="B136" s="15" t="n">
        <x:v>14</x:v>
      </x:c>
      <x:c r="C136" s="15" t="str">
        <x:v>Source</x:v>
      </x:c>
      <x:c r="D136" s="15" t="str">
        <x:v>OPEN</x:v>
      </x:c>
      <x:c r="E136" s="15" t="str">
        <x:v>OPEN</x:v>
      </x:c>
    </x:row>
    <x:row r="137">
      <x:c r="A137" s="14" t="str">
        <x:v>G-133</x:v>
      </x:c>
      <x:c r="B137" s="14" t="n">
        <x:v>14</x:v>
      </x:c>
      <x:c r="C137" s="14" t="str">
        <x:v>Water</x:v>
      </x:c>
      <x:c r="D137" s="14" t="str">
        <x:v>OPEN</x:v>
      </x:c>
      <x:c r="E137" s="14" t="str">
        <x:v>OPEN</x:v>
      </x:c>
    </x:row>
    <x:row r="138">
      <x:c r="A138" s="15" t="str">
        <x:v>G-134</x:v>
      </x:c>
      <x:c r="B138" s="15" t="n">
        <x:v>14</x:v>
      </x:c>
      <x:c r="C138" s="15" t="str">
        <x:v>Thermal</x:v>
      </x:c>
      <x:c r="D138" s="15" t="str">
        <x:v>OPEN</x:v>
      </x:c>
      <x:c r="E138" s="15" t="str">
        <x:v>OPEN</x:v>
      </x:c>
    </x:row>
    <x:row r="139">
      <x:c r="A139" s="14" t="str">
        <x:v>G-135</x:v>
      </x:c>
      <x:c r="B139" s="14" t="n">
        <x:v>14</x:v>
      </x:c>
      <x:c r="C139" s="14" t="str">
        <x:v>Atmosphere</x:v>
      </x:c>
      <x:c r="D139" s="14" t="str">
        <x:v>OPEN</x:v>
      </x:c>
      <x:c r="E139" s="14" t="str">
        <x:v>OPEN</x:v>
      </x:c>
    </x:row>
    <x:row r="140">
      <x:c r="A140" s="15" t="str">
        <x:v>G-136</x:v>
      </x:c>
      <x:c r="B140" s="15" t="n">
        <x:v>14</x:v>
      </x:c>
      <x:c r="C140" s="15" t="str">
        <x:v>Topology</x:v>
      </x:c>
      <x:c r="D140" s="15" t="str">
        <x:v>OPEN</x:v>
      </x:c>
      <x:c r="E140" s="15" t="str">
        <x:v>OPEN</x:v>
      </x:c>
    </x:row>
    <x:row r="141">
      <x:c r="A141" s="14" t="str">
        <x:v>G-137</x:v>
      </x:c>
      <x:c r="B141" s="14" t="n">
        <x:v>14</x:v>
      </x:c>
      <x:c r="C141" s="14" t="str">
        <x:v>Coupling</x:v>
      </x:c>
      <x:c r="D141" s="14" t="str">
        <x:v>OPEN</x:v>
      </x:c>
      <x:c r="E141" s="14" t="str">
        <x:v>OPEN</x:v>
      </x:c>
    </x:row>
    <x:row r="142">
      <x:c r="A142" s="15" t="str">
        <x:v>G-138</x:v>
      </x:c>
      <x:c r="B142" s="15" t="n">
        <x:v>14</x:v>
      </x:c>
      <x:c r="C142" s="15" t="str">
        <x:v>Diversion</x:v>
      </x:c>
      <x:c r="D142" s="15" t="str">
        <x:v>OPEN</x:v>
      </x:c>
      <x:c r="E142" s="15" t="str">
        <x:v>OPEN</x:v>
      </x:c>
    </x:row>
    <x:row r="143">
      <x:c r="A143" s="14" t="str">
        <x:v>G-139</x:v>
      </x:c>
      <x:c r="B143" s="14" t="n">
        <x:v>14</x:v>
      </x:c>
      <x:c r="C143" s="14" t="str">
        <x:v>Public action</x:v>
      </x:c>
      <x:c r="D143" s="14" t="str">
        <x:v>OPEN</x:v>
      </x:c>
      <x:c r="E143" s="14" t="str">
        <x:v>OPEN</x:v>
      </x:c>
    </x:row>
    <x:row r="144">
      <x:c r="A144" s="15" t="str">
        <x:v>G-140</x:v>
      </x:c>
      <x:c r="B144" s="15" t="n">
        <x:v>14</x:v>
      </x:c>
      <x:c r="C144" s="15" t="str">
        <x:v>Evidence</x:v>
      </x:c>
      <x:c r="D144" s="15" t="str">
        <x:v>OPEN</x:v>
      </x:c>
      <x:c r="E144" s="15" t="str">
        <x:v>OPEN</x:v>
      </x:c>
    </x:row>
    <x:row r="145">
      <x:c r="A145" s="14" t="str">
        <x:v>G-141</x:v>
      </x:c>
      <x:c r="B145" s="14" t="n">
        <x:v>15</x:v>
      </x:c>
      <x:c r="C145" s="14" t="str">
        <x:v>Configuration</x:v>
      </x:c>
      <x:c r="D145" s="14" t="str">
        <x:v>OPEN</x:v>
      </x:c>
      <x:c r="E145" s="14" t="str">
        <x:v>OPEN</x:v>
      </x:c>
    </x:row>
    <x:row r="146">
      <x:c r="A146" s="15" t="str">
        <x:v>G-142</x:v>
      </x:c>
      <x:c r="B146" s="15" t="n">
        <x:v>15</x:v>
      </x:c>
      <x:c r="C146" s="15" t="str">
        <x:v>Source</x:v>
      </x:c>
      <x:c r="D146" s="15" t="str">
        <x:v>OPEN</x:v>
      </x:c>
      <x:c r="E146" s="15" t="str">
        <x:v>OPEN</x:v>
      </x:c>
    </x:row>
    <x:row r="147">
      <x:c r="A147" s="14" t="str">
        <x:v>G-143</x:v>
      </x:c>
      <x:c r="B147" s="14" t="n">
        <x:v>15</x:v>
      </x:c>
      <x:c r="C147" s="14" t="str">
        <x:v>Water</x:v>
      </x:c>
      <x:c r="D147" s="14" t="str">
        <x:v>OPEN</x:v>
      </x:c>
      <x:c r="E147" s="14" t="str">
        <x:v>OPEN</x:v>
      </x:c>
    </x:row>
    <x:row r="148">
      <x:c r="A148" s="15" t="str">
        <x:v>G-144</x:v>
      </x:c>
      <x:c r="B148" s="15" t="n">
        <x:v>15</x:v>
      </x:c>
      <x:c r="C148" s="15" t="str">
        <x:v>Thermal</x:v>
      </x:c>
      <x:c r="D148" s="15" t="str">
        <x:v>OPEN</x:v>
      </x:c>
      <x:c r="E148" s="15" t="str">
        <x:v>OPEN</x:v>
      </x:c>
    </x:row>
    <x:row r="149">
      <x:c r="A149" s="14" t="str">
        <x:v>G-145</x:v>
      </x:c>
      <x:c r="B149" s="14" t="n">
        <x:v>15</x:v>
      </x:c>
      <x:c r="C149" s="14" t="str">
        <x:v>Atmosphere</x:v>
      </x:c>
      <x:c r="D149" s="14" t="str">
        <x:v>OPEN</x:v>
      </x:c>
      <x:c r="E149" s="14" t="str">
        <x:v>OPEN</x:v>
      </x:c>
    </x:row>
    <x:row r="150">
      <x:c r="A150" s="15" t="str">
        <x:v>G-146</x:v>
      </x:c>
      <x:c r="B150" s="15" t="n">
        <x:v>15</x:v>
      </x:c>
      <x:c r="C150" s="15" t="str">
        <x:v>Topology</x:v>
      </x:c>
      <x:c r="D150" s="15" t="str">
        <x:v>OPEN</x:v>
      </x:c>
      <x:c r="E150" s="15" t="str">
        <x:v>OPEN</x:v>
      </x:c>
    </x:row>
    <x:row r="151">
      <x:c r="A151" s="14" t="str">
        <x:v>G-147</x:v>
      </x:c>
      <x:c r="B151" s="14" t="n">
        <x:v>15</x:v>
      </x:c>
      <x:c r="C151" s="14" t="str">
        <x:v>Coupling</x:v>
      </x:c>
      <x:c r="D151" s="14" t="str">
        <x:v>OPEN</x:v>
      </x:c>
      <x:c r="E151" s="14" t="str">
        <x:v>OPEN</x:v>
      </x:c>
    </x:row>
    <x:row r="152">
      <x:c r="A152" s="15" t="str">
        <x:v>G-148</x:v>
      </x:c>
      <x:c r="B152" s="15" t="n">
        <x:v>15</x:v>
      </x:c>
      <x:c r="C152" s="15" t="str">
        <x:v>Diversion</x:v>
      </x:c>
      <x:c r="D152" s="15" t="str">
        <x:v>OPEN</x:v>
      </x:c>
      <x:c r="E152" s="15" t="str">
        <x:v>OPEN</x:v>
      </x:c>
    </x:row>
    <x:row r="153">
      <x:c r="A153" s="14" t="str">
        <x:v>G-149</x:v>
      </x:c>
      <x:c r="B153" s="14" t="n">
        <x:v>15</x:v>
      </x:c>
      <x:c r="C153" s="14" t="str">
        <x:v>Public action</x:v>
      </x:c>
      <x:c r="D153" s="14" t="str">
        <x:v>OPEN</x:v>
      </x:c>
      <x:c r="E153" s="14" t="str">
        <x:v>OPEN</x:v>
      </x:c>
    </x:row>
    <x:row r="154">
      <x:c r="A154" s="15" t="str">
        <x:v>G-150</x:v>
      </x:c>
      <x:c r="B154" s="15" t="n">
        <x:v>15</x:v>
      </x:c>
      <x:c r="C154" s="15" t="str">
        <x:v>Evidence</x:v>
      </x:c>
      <x:c r="D154" s="15" t="str">
        <x:v>OPEN</x:v>
      </x:c>
      <x:c r="E154" s="15" t="str">
        <x:v>OPEN</x:v>
      </x:c>
    </x:row>
    <x:row r="155">
      <x:c r="A155" s="14" t="str">
        <x:v>G-151</x:v>
      </x:c>
      <x:c r="B155" s="14" t="n">
        <x:v>16</x:v>
      </x:c>
      <x:c r="C155" s="14" t="str">
        <x:v>Configuration</x:v>
      </x:c>
      <x:c r="D155" s="14" t="str">
        <x:v>OPEN</x:v>
      </x:c>
      <x:c r="E155" s="14" t="str">
        <x:v>OPEN</x:v>
      </x:c>
    </x:row>
    <x:row r="156">
      <x:c r="A156" s="15" t="str">
        <x:v>G-152</x:v>
      </x:c>
      <x:c r="B156" s="15" t="n">
        <x:v>16</x:v>
      </x:c>
      <x:c r="C156" s="15" t="str">
        <x:v>Source</x:v>
      </x:c>
      <x:c r="D156" s="15" t="str">
        <x:v>OPEN</x:v>
      </x:c>
      <x:c r="E156" s="15" t="str">
        <x:v>OPEN</x:v>
      </x:c>
    </x:row>
    <x:row r="157">
      <x:c r="A157" s="14" t="str">
        <x:v>G-153</x:v>
      </x:c>
      <x:c r="B157" s="14" t="n">
        <x:v>16</x:v>
      </x:c>
      <x:c r="C157" s="14" t="str">
        <x:v>Water</x:v>
      </x:c>
      <x:c r="D157" s="14" t="str">
        <x:v>OPEN</x:v>
      </x:c>
      <x:c r="E157" s="14" t="str">
        <x:v>OPEN</x:v>
      </x:c>
    </x:row>
    <x:row r="158">
      <x:c r="A158" s="15" t="str">
        <x:v>G-154</x:v>
      </x:c>
      <x:c r="B158" s="15" t="n">
        <x:v>16</x:v>
      </x:c>
      <x:c r="C158" s="15" t="str">
        <x:v>Thermal</x:v>
      </x:c>
      <x:c r="D158" s="15" t="str">
        <x:v>OPEN</x:v>
      </x:c>
      <x:c r="E158" s="15" t="str">
        <x:v>OPEN</x:v>
      </x:c>
    </x:row>
    <x:row r="159">
      <x:c r="A159" s="14" t="str">
        <x:v>G-155</x:v>
      </x:c>
      <x:c r="B159" s="14" t="n">
        <x:v>16</x:v>
      </x:c>
      <x:c r="C159" s="14" t="str">
        <x:v>Atmosphere</x:v>
      </x:c>
      <x:c r="D159" s="14" t="str">
        <x:v>OPEN</x:v>
      </x:c>
      <x:c r="E159" s="14" t="str">
        <x:v>OPEN</x:v>
      </x:c>
    </x:row>
    <x:row r="160">
      <x:c r="A160" s="15" t="str">
        <x:v>G-156</x:v>
      </x:c>
      <x:c r="B160" s="15" t="n">
        <x:v>16</x:v>
      </x:c>
      <x:c r="C160" s="15" t="str">
        <x:v>Topology</x:v>
      </x:c>
      <x:c r="D160" s="15" t="str">
        <x:v>OPEN</x:v>
      </x:c>
      <x:c r="E160" s="15" t="str">
        <x:v>OPEN</x:v>
      </x:c>
    </x:row>
    <x:row r="161">
      <x:c r="A161" s="14" t="str">
        <x:v>G-157</x:v>
      </x:c>
      <x:c r="B161" s="14" t="n">
        <x:v>16</x:v>
      </x:c>
      <x:c r="C161" s="14" t="str">
        <x:v>Coupling</x:v>
      </x:c>
      <x:c r="D161" s="14" t="str">
        <x:v>OPEN</x:v>
      </x:c>
      <x:c r="E161" s="14" t="str">
        <x:v>OPEN</x:v>
      </x:c>
    </x:row>
    <x:row r="162">
      <x:c r="A162" s="15" t="str">
        <x:v>G-158</x:v>
      </x:c>
      <x:c r="B162" s="15" t="n">
        <x:v>16</x:v>
      </x:c>
      <x:c r="C162" s="15" t="str">
        <x:v>Diversion</x:v>
      </x:c>
      <x:c r="D162" s="15" t="str">
        <x:v>OPEN</x:v>
      </x:c>
      <x:c r="E162" s="15" t="str">
        <x:v>OPEN</x:v>
      </x:c>
    </x:row>
    <x:row r="163">
      <x:c r="A163" s="14" t="str">
        <x:v>G-159</x:v>
      </x:c>
      <x:c r="B163" s="14" t="n">
        <x:v>16</x:v>
      </x:c>
      <x:c r="C163" s="14" t="str">
        <x:v>Public action</x:v>
      </x:c>
      <x:c r="D163" s="14" t="str">
        <x:v>OPEN</x:v>
      </x:c>
      <x:c r="E163" s="14" t="str">
        <x:v>OPEN</x:v>
      </x:c>
    </x:row>
    <x:row r="164">
      <x:c r="A164" s="15" t="str">
        <x:v>G-160</x:v>
      </x:c>
      <x:c r="B164" s="15" t="n">
        <x:v>16</x:v>
      </x:c>
      <x:c r="C164" s="15" t="str">
        <x:v>Evidence</x:v>
      </x:c>
      <x:c r="D164" s="15" t="str">
        <x:v>OPEN</x:v>
      </x:c>
      <x:c r="E164" s="15" t="str">
        <x:v>OPEN</x:v>
      </x:c>
    </x:row>
    <x:row r="165">
      <x:c r="A165" s="14" t="str">
        <x:v>G-161</x:v>
      </x:c>
      <x:c r="B165" s="14" t="n">
        <x:v>17</x:v>
      </x:c>
      <x:c r="C165" s="14" t="str">
        <x:v>Configuration</x:v>
      </x:c>
      <x:c r="D165" s="14" t="str">
        <x:v>OPEN</x:v>
      </x:c>
      <x:c r="E165" s="14" t="str">
        <x:v>OPEN</x:v>
      </x:c>
    </x:row>
    <x:row r="166">
      <x:c r="A166" s="15" t="str">
        <x:v>G-162</x:v>
      </x:c>
      <x:c r="B166" s="15" t="n">
        <x:v>17</x:v>
      </x:c>
      <x:c r="C166" s="15" t="str">
        <x:v>Source</x:v>
      </x:c>
      <x:c r="D166" s="15" t="str">
        <x:v>OPEN</x:v>
      </x:c>
      <x:c r="E166" s="15" t="str">
        <x:v>OPEN</x:v>
      </x:c>
    </x:row>
    <x:row r="167">
      <x:c r="A167" s="14" t="str">
        <x:v>G-163</x:v>
      </x:c>
      <x:c r="B167" s="14" t="n">
        <x:v>17</x:v>
      </x:c>
      <x:c r="C167" s="14" t="str">
        <x:v>Water</x:v>
      </x:c>
      <x:c r="D167" s="14" t="str">
        <x:v>OPEN</x:v>
      </x:c>
      <x:c r="E167" s="14" t="str">
        <x:v>OPEN</x:v>
      </x:c>
    </x:row>
    <x:row r="168">
      <x:c r="A168" s="15" t="str">
        <x:v>G-164</x:v>
      </x:c>
      <x:c r="B168" s="15" t="n">
        <x:v>17</x:v>
      </x:c>
      <x:c r="C168" s="15" t="str">
        <x:v>Thermal</x:v>
      </x:c>
      <x:c r="D168" s="15" t="str">
        <x:v>OPEN</x:v>
      </x:c>
      <x:c r="E168" s="15" t="str">
        <x:v>OPEN</x:v>
      </x:c>
    </x:row>
    <x:row r="169">
      <x:c r="A169" s="14" t="str">
        <x:v>G-165</x:v>
      </x:c>
      <x:c r="B169" s="14" t="n">
        <x:v>17</x:v>
      </x:c>
      <x:c r="C169" s="14" t="str">
        <x:v>Atmosphere</x:v>
      </x:c>
      <x:c r="D169" s="14" t="str">
        <x:v>OPEN</x:v>
      </x:c>
      <x:c r="E169" s="14" t="str">
        <x:v>OPEN</x:v>
      </x:c>
    </x:row>
    <x:row r="170">
      <x:c r="A170" s="15" t="str">
        <x:v>G-166</x:v>
      </x:c>
      <x:c r="B170" s="15" t="n">
        <x:v>17</x:v>
      </x:c>
      <x:c r="C170" s="15" t="str">
        <x:v>Topology</x:v>
      </x:c>
      <x:c r="D170" s="15" t="str">
        <x:v>OPEN</x:v>
      </x:c>
      <x:c r="E170" s="15" t="str">
        <x:v>OPEN</x:v>
      </x:c>
    </x:row>
    <x:row r="171">
      <x:c r="A171" s="14" t="str">
        <x:v>G-167</x:v>
      </x:c>
      <x:c r="B171" s="14" t="n">
        <x:v>17</x:v>
      </x:c>
      <x:c r="C171" s="14" t="str">
        <x:v>Coupling</x:v>
      </x:c>
      <x:c r="D171" s="14" t="str">
        <x:v>OPEN</x:v>
      </x:c>
      <x:c r="E171" s="14" t="str">
        <x:v>OPEN</x:v>
      </x:c>
    </x:row>
    <x:row r="172">
      <x:c r="A172" s="15" t="str">
        <x:v>G-168</x:v>
      </x:c>
      <x:c r="B172" s="15" t="n">
        <x:v>17</x:v>
      </x:c>
      <x:c r="C172" s="15" t="str">
        <x:v>Diversion</x:v>
      </x:c>
      <x:c r="D172" s="15" t="str">
        <x:v>OPEN</x:v>
      </x:c>
      <x:c r="E172" s="15" t="str">
        <x:v>OPEN</x:v>
      </x:c>
    </x:row>
    <x:row r="173">
      <x:c r="A173" s="14" t="str">
        <x:v>G-169</x:v>
      </x:c>
      <x:c r="B173" s="14" t="n">
        <x:v>17</x:v>
      </x:c>
      <x:c r="C173" s="14" t="str">
        <x:v>Public action</x:v>
      </x:c>
      <x:c r="D173" s="14" t="str">
        <x:v>OPEN</x:v>
      </x:c>
      <x:c r="E173" s="14" t="str">
        <x:v>OPEN</x:v>
      </x:c>
    </x:row>
    <x:row r="174">
      <x:c r="A174" s="15" t="str">
        <x:v>G-170</x:v>
      </x:c>
      <x:c r="B174" s="15" t="n">
        <x:v>17</x:v>
      </x:c>
      <x:c r="C174" s="15" t="str">
        <x:v>Evidence</x:v>
      </x:c>
      <x:c r="D174" s="15" t="str">
        <x:v>OPEN</x:v>
      </x:c>
      <x:c r="E174" s="15" t="str">
        <x:v>OPEN</x:v>
      </x:c>
    </x:row>
    <x:row r="175">
      <x:c r="A175" s="14" t="str">
        <x:v>G-171</x:v>
      </x:c>
      <x:c r="B175" s="14" t="n">
        <x:v>18</x:v>
      </x:c>
      <x:c r="C175" s="14" t="str">
        <x:v>Configuration</x:v>
      </x:c>
      <x:c r="D175" s="14" t="str">
        <x:v>OPEN</x:v>
      </x:c>
      <x:c r="E175" s="14" t="str">
        <x:v>OPEN</x:v>
      </x:c>
    </x:row>
    <x:row r="176">
      <x:c r="A176" s="15" t="str">
        <x:v>G-172</x:v>
      </x:c>
      <x:c r="B176" s="15" t="n">
        <x:v>18</x:v>
      </x:c>
      <x:c r="C176" s="15" t="str">
        <x:v>Source</x:v>
      </x:c>
      <x:c r="D176" s="15" t="str">
        <x:v>OPEN</x:v>
      </x:c>
      <x:c r="E176" s="15" t="str">
        <x:v>OPEN</x:v>
      </x:c>
    </x:row>
    <x:row r="177">
      <x:c r="A177" s="14" t="str">
        <x:v>G-173</x:v>
      </x:c>
      <x:c r="B177" s="14" t="n">
        <x:v>18</x:v>
      </x:c>
      <x:c r="C177" s="14" t="str">
        <x:v>Water</x:v>
      </x:c>
      <x:c r="D177" s="14" t="str">
        <x:v>OPEN</x:v>
      </x:c>
      <x:c r="E177" s="14" t="str">
        <x:v>OPEN</x:v>
      </x:c>
    </x:row>
    <x:row r="178">
      <x:c r="A178" s="15" t="str">
        <x:v>G-174</x:v>
      </x:c>
      <x:c r="B178" s="15" t="n">
        <x:v>18</x:v>
      </x:c>
      <x:c r="C178" s="15" t="str">
        <x:v>Thermal</x:v>
      </x:c>
      <x:c r="D178" s="15" t="str">
        <x:v>OPEN</x:v>
      </x:c>
      <x:c r="E178" s="15" t="str">
        <x:v>OPEN</x:v>
      </x:c>
    </x:row>
    <x:row r="179">
      <x:c r="A179" s="14" t="str">
        <x:v>G-175</x:v>
      </x:c>
      <x:c r="B179" s="14" t="n">
        <x:v>18</x:v>
      </x:c>
      <x:c r="C179" s="14" t="str">
        <x:v>Atmosphere</x:v>
      </x:c>
      <x:c r="D179" s="14" t="str">
        <x:v>OPEN</x:v>
      </x:c>
      <x:c r="E179" s="14" t="str">
        <x:v>OPEN</x:v>
      </x:c>
    </x:row>
    <x:row r="180">
      <x:c r="A180" s="15" t="str">
        <x:v>G-176</x:v>
      </x:c>
      <x:c r="B180" s="15" t="n">
        <x:v>18</x:v>
      </x:c>
      <x:c r="C180" s="15" t="str">
        <x:v>Topology</x:v>
      </x:c>
      <x:c r="D180" s="15" t="str">
        <x:v>OPEN</x:v>
      </x:c>
      <x:c r="E180" s="15" t="str">
        <x:v>OPEN</x:v>
      </x:c>
    </x:row>
    <x:row r="181">
      <x:c r="A181" s="14" t="str">
        <x:v>G-177</x:v>
      </x:c>
      <x:c r="B181" s="14" t="n">
        <x:v>18</x:v>
      </x:c>
      <x:c r="C181" s="14" t="str">
        <x:v>Coupling</x:v>
      </x:c>
      <x:c r="D181" s="14" t="str">
        <x:v>OPEN</x:v>
      </x:c>
      <x:c r="E181" s="14" t="str">
        <x:v>OPEN</x:v>
      </x:c>
    </x:row>
    <x:row r="182">
      <x:c r="A182" s="15" t="str">
        <x:v>G-178</x:v>
      </x:c>
      <x:c r="B182" s="15" t="n">
        <x:v>18</x:v>
      </x:c>
      <x:c r="C182" s="15" t="str">
        <x:v>Diversion</x:v>
      </x:c>
      <x:c r="D182" s="15" t="str">
        <x:v>OPEN</x:v>
      </x:c>
      <x:c r="E182" s="15" t="str">
        <x:v>OPEN</x:v>
      </x:c>
    </x:row>
    <x:row r="183">
      <x:c r="A183" s="14" t="str">
        <x:v>G-179</x:v>
      </x:c>
      <x:c r="B183" s="14" t="n">
        <x:v>18</x:v>
      </x:c>
      <x:c r="C183" s="14" t="str">
        <x:v>Public action</x:v>
      </x:c>
      <x:c r="D183" s="14" t="str">
        <x:v>OPEN</x:v>
      </x:c>
      <x:c r="E183" s="14" t="str">
        <x:v>OPEN</x:v>
      </x:c>
    </x:row>
    <x:row r="184">
      <x:c r="A184" s="15" t="str">
        <x:v>G-180</x:v>
      </x:c>
      <x:c r="B184" s="15" t="n">
        <x:v>18</x:v>
      </x:c>
      <x:c r="C184" s="15" t="str">
        <x:v>Evidence</x:v>
      </x:c>
      <x:c r="D184" s="15" t="str">
        <x:v>OPEN</x:v>
      </x:c>
      <x:c r="E184" s="15" t="str">
        <x:v>OPEN</x:v>
      </x:c>
    </x:row>
    <x:row r="185">
      <x:c r="A185" s="14" t="str">
        <x:v>G-181</x:v>
      </x:c>
      <x:c r="B185" s="14" t="n">
        <x:v>19</x:v>
      </x:c>
      <x:c r="C185" s="14" t="str">
        <x:v>Configuration</x:v>
      </x:c>
      <x:c r="D185" s="14" t="str">
        <x:v>OPEN</x:v>
      </x:c>
      <x:c r="E185" s="14" t="str">
        <x:v>OPEN</x:v>
      </x:c>
    </x:row>
    <x:row r="186">
      <x:c r="A186" s="15" t="str">
        <x:v>G-182</x:v>
      </x:c>
      <x:c r="B186" s="15" t="n">
        <x:v>19</x:v>
      </x:c>
      <x:c r="C186" s="15" t="str">
        <x:v>Source</x:v>
      </x:c>
      <x:c r="D186" s="15" t="str">
        <x:v>OPEN</x:v>
      </x:c>
      <x:c r="E186" s="15" t="str">
        <x:v>OPEN</x:v>
      </x:c>
    </x:row>
    <x:row r="187">
      <x:c r="A187" s="14" t="str">
        <x:v>G-183</x:v>
      </x:c>
      <x:c r="B187" s="14" t="n">
        <x:v>19</x:v>
      </x:c>
      <x:c r="C187" s="14" t="str">
        <x:v>Water</x:v>
      </x:c>
      <x:c r="D187" s="14" t="str">
        <x:v>OPEN</x:v>
      </x:c>
      <x:c r="E187" s="14" t="str">
        <x:v>OPEN</x:v>
      </x:c>
    </x:row>
    <x:row r="188">
      <x:c r="A188" s="15" t="str">
        <x:v>G-184</x:v>
      </x:c>
      <x:c r="B188" s="15" t="n">
        <x:v>19</x:v>
      </x:c>
      <x:c r="C188" s="15" t="str">
        <x:v>Thermal</x:v>
      </x:c>
      <x:c r="D188" s="15" t="str">
        <x:v>OPEN</x:v>
      </x:c>
      <x:c r="E188" s="15" t="str">
        <x:v>OPEN</x:v>
      </x:c>
    </x:row>
    <x:row r="189">
      <x:c r="A189" s="14" t="str">
        <x:v>G-185</x:v>
      </x:c>
      <x:c r="B189" s="14" t="n">
        <x:v>19</x:v>
      </x:c>
      <x:c r="C189" s="14" t="str">
        <x:v>Atmosphere</x:v>
      </x:c>
      <x:c r="D189" s="14" t="str">
        <x:v>OPEN</x:v>
      </x:c>
      <x:c r="E189" s="14" t="str">
        <x:v>OPEN</x:v>
      </x:c>
    </x:row>
    <x:row r="190">
      <x:c r="A190" s="15" t="str">
        <x:v>G-186</x:v>
      </x:c>
      <x:c r="B190" s="15" t="n">
        <x:v>19</x:v>
      </x:c>
      <x:c r="C190" s="15" t="str">
        <x:v>Topology</x:v>
      </x:c>
      <x:c r="D190" s="15" t="str">
        <x:v>OPEN</x:v>
      </x:c>
      <x:c r="E190" s="15" t="str">
        <x:v>OPEN</x:v>
      </x:c>
    </x:row>
    <x:row r="191">
      <x:c r="A191" s="14" t="str">
        <x:v>G-187</x:v>
      </x:c>
      <x:c r="B191" s="14" t="n">
        <x:v>19</x:v>
      </x:c>
      <x:c r="C191" s="14" t="str">
        <x:v>Coupling</x:v>
      </x:c>
      <x:c r="D191" s="14" t="str">
        <x:v>OPEN</x:v>
      </x:c>
      <x:c r="E191" s="14" t="str">
        <x:v>OPEN</x:v>
      </x:c>
    </x:row>
    <x:row r="192">
      <x:c r="A192" s="15" t="str">
        <x:v>G-188</x:v>
      </x:c>
      <x:c r="B192" s="15" t="n">
        <x:v>19</x:v>
      </x:c>
      <x:c r="C192" s="15" t="str">
        <x:v>Diversion</x:v>
      </x:c>
      <x:c r="D192" s="15" t="str">
        <x:v>OPEN</x:v>
      </x:c>
      <x:c r="E192" s="15" t="str">
        <x:v>OPEN</x:v>
      </x:c>
    </x:row>
    <x:row r="193">
      <x:c r="A193" s="14" t="str">
        <x:v>G-189</x:v>
      </x:c>
      <x:c r="B193" s="14" t="n">
        <x:v>19</x:v>
      </x:c>
      <x:c r="C193" s="14" t="str">
        <x:v>Public action</x:v>
      </x:c>
      <x:c r="D193" s="14" t="str">
        <x:v>OPEN</x:v>
      </x:c>
      <x:c r="E193" s="14" t="str">
        <x:v>OPEN</x:v>
      </x:c>
    </x:row>
    <x:row r="194">
      <x:c r="A194" s="15" t="str">
        <x:v>G-190</x:v>
      </x:c>
      <x:c r="B194" s="15" t="n">
        <x:v>19</x:v>
      </x:c>
      <x:c r="C194" s="15" t="str">
        <x:v>Evidence</x:v>
      </x:c>
      <x:c r="D194" s="15" t="str">
        <x:v>OPEN</x:v>
      </x:c>
      <x:c r="E194" s="15" t="str">
        <x:v>OPEN</x:v>
      </x:c>
    </x:row>
    <x:row r="195">
      <x:c r="A195" s="14" t="str">
        <x:v>G-191</x:v>
      </x:c>
      <x:c r="B195" s="14" t="n">
        <x:v>20</x:v>
      </x:c>
      <x:c r="C195" s="14" t="str">
        <x:v>Configuration</x:v>
      </x:c>
      <x:c r="D195" s="14" t="str">
        <x:v>OPEN</x:v>
      </x:c>
      <x:c r="E195" s="14" t="str">
        <x:v>OPEN</x:v>
      </x:c>
    </x:row>
    <x:row r="196">
      <x:c r="A196" s="15" t="str">
        <x:v>G-192</x:v>
      </x:c>
      <x:c r="B196" s="15" t="n">
        <x:v>20</x:v>
      </x:c>
      <x:c r="C196" s="15" t="str">
        <x:v>Source</x:v>
      </x:c>
      <x:c r="D196" s="15" t="str">
        <x:v>OPEN</x:v>
      </x:c>
      <x:c r="E196" s="15" t="str">
        <x:v>OPEN</x:v>
      </x:c>
    </x:row>
    <x:row r="197">
      <x:c r="A197" s="14" t="str">
        <x:v>G-193</x:v>
      </x:c>
      <x:c r="B197" s="14" t="n">
        <x:v>20</x:v>
      </x:c>
      <x:c r="C197" s="14" t="str">
        <x:v>Water</x:v>
      </x:c>
      <x:c r="D197" s="14" t="str">
        <x:v>OPEN</x:v>
      </x:c>
      <x:c r="E197" s="14" t="str">
        <x:v>OPEN</x:v>
      </x:c>
    </x:row>
    <x:row r="198">
      <x:c r="A198" s="15" t="str">
        <x:v>G-194</x:v>
      </x:c>
      <x:c r="B198" s="15" t="n">
        <x:v>20</x:v>
      </x:c>
      <x:c r="C198" s="15" t="str">
        <x:v>Thermal</x:v>
      </x:c>
      <x:c r="D198" s="15" t="str">
        <x:v>OPEN</x:v>
      </x:c>
      <x:c r="E198" s="15" t="str">
        <x:v>OPEN</x:v>
      </x:c>
    </x:row>
    <x:row r="199">
      <x:c r="A199" s="14" t="str">
        <x:v>G-195</x:v>
      </x:c>
      <x:c r="B199" s="14" t="n">
        <x:v>20</x:v>
      </x:c>
      <x:c r="C199" s="14" t="str">
        <x:v>Atmosphere</x:v>
      </x:c>
      <x:c r="D199" s="14" t="str">
        <x:v>OPEN</x:v>
      </x:c>
      <x:c r="E199" s="14" t="str">
        <x:v>OPEN</x:v>
      </x:c>
    </x:row>
    <x:row r="200">
      <x:c r="A200" s="15" t="str">
        <x:v>G-196</x:v>
      </x:c>
      <x:c r="B200" s="15" t="n">
        <x:v>20</x:v>
      </x:c>
      <x:c r="C200" s="15" t="str">
        <x:v>Topology</x:v>
      </x:c>
      <x:c r="D200" s="15" t="str">
        <x:v>OPEN</x:v>
      </x:c>
      <x:c r="E200" s="15" t="str">
        <x:v>OPEN</x:v>
      </x:c>
    </x:row>
    <x:row r="201">
      <x:c r="A201" s="14" t="str">
        <x:v>G-197</x:v>
      </x:c>
      <x:c r="B201" s="14" t="n">
        <x:v>20</x:v>
      </x:c>
      <x:c r="C201" s="14" t="str">
        <x:v>Coupling</x:v>
      </x:c>
      <x:c r="D201" s="14" t="str">
        <x:v>OPEN</x:v>
      </x:c>
      <x:c r="E201" s="14" t="str">
        <x:v>OPEN</x:v>
      </x:c>
    </x:row>
    <x:row r="202">
      <x:c r="A202" s="15" t="str">
        <x:v>G-198</x:v>
      </x:c>
      <x:c r="B202" s="15" t="n">
        <x:v>20</x:v>
      </x:c>
      <x:c r="C202" s="15" t="str">
        <x:v>Diversion</x:v>
      </x:c>
      <x:c r="D202" s="15" t="str">
        <x:v>OPEN</x:v>
      </x:c>
      <x:c r="E202" s="15" t="str">
        <x:v>OPEN</x:v>
      </x:c>
    </x:row>
    <x:row r="203">
      <x:c r="A203" s="14" t="str">
        <x:v>G-199</x:v>
      </x:c>
      <x:c r="B203" s="14" t="n">
        <x:v>20</x:v>
      </x:c>
      <x:c r="C203" s="14" t="str">
        <x:v>Public action</x:v>
      </x:c>
      <x:c r="D203" s="14" t="str">
        <x:v>OPEN</x:v>
      </x:c>
      <x:c r="E203" s="14" t="str">
        <x:v>OPEN</x:v>
      </x:c>
    </x:row>
    <x:row r="204">
      <x:c r="A204" s="15" t="str">
        <x:v>G-200</x:v>
      </x:c>
      <x:c r="B204" s="15" t="n">
        <x:v>20</x:v>
      </x:c>
      <x:c r="C204" s="15" t="str">
        <x:v>Evidence</x:v>
      </x:c>
      <x:c r="D204" s="15" t="str">
        <x:v>OPEN</x:v>
      </x:c>
      <x:c r="E204" s="15" t="str">
        <x:v>OPEN</x:v>
      </x:c>
    </x:row>
  </x:sheetData>
  <x:mergeCells>
    <x:mergeCell ref="A1:E1"/>
    <x:mergeCell ref="A2:E2"/>
  </x:mergeCells>
  <x:pageMargins left="0.7" right="0.7" top="0.75" bottom="0.75" header="0.3" footer="0.3"/>
</x:worksheet>
</file>

<file path=xl/worksheets/sheet3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8" hidden="0" customWidth="1"/>
    <x:col min="4" max="4" width="18" hidden="0" customWidth="1"/>
    <x:col min="5" max="5" width="16" hidden="0" customWidth="1"/>
  </x:cols>
  <x:sheetData>
    <x:row r="1" ht="26" customHeight="1">
      <x:c r="A1" s="43" t="str">
        <x:v>Eight hundred bound evidence records</x:v>
      </x:c>
      <x:c r="B1" s="35"/>
      <x:c r="C1" s="35"/>
      <x:c r="D1" s="35"/>
      <x:c r="E1" s="35"/>
    </x:row>
    <x:row r="2" ht="32" customHeight="1">
      <x:c r="A2" s="7" t="str">
        <x:v>Four record types bind every gate.</x:v>
      </x:c>
      <x:c r="B2" s="35"/>
      <x:c r="C2" s="35"/>
      <x:c r="D2" s="35"/>
      <x:c r="E2" s="35"/>
    </x:row>
    <x:row r="3">
      <x:c r="A3" s="35"/>
      <x:c r="B3" s="35"/>
      <x:c r="C3" s="35"/>
      <x:c r="D3" s="35"/>
      <x:c r="E3" s="35"/>
    </x:row>
    <x:row r="4" ht="28" customHeight="1">
      <x:c r="A4" s="11" t="str">
        <x:v>Record</x:v>
      </x:c>
      <x:c r="B4" s="11" t="str">
        <x:v>Gate</x:v>
      </x:c>
      <x:c r="C4" s="11" t="str">
        <x:v>Type</x:v>
      </x:c>
      <x:c r="D4" s="11" t="str">
        <x:v>Object state</x:v>
      </x:c>
      <x:c r="E4" s="11" t="str">
        <x:v>Disposition</x:v>
      </x:c>
    </x:row>
    <x:row r="5">
      <x:c r="A5" s="14" t="str">
        <x:v>E-001</x:v>
      </x:c>
      <x:c r="B5" s="14" t="str">
        <x:v>G-001</x:v>
      </x:c>
      <x:c r="C5" s="14" t="str">
        <x:v>native</x:v>
      </x:c>
      <x:c r="D5" s="14" t="str">
        <x:v>NOT CREATED</x:v>
      </x:c>
      <x:c r="E5" s="14" t="str">
        <x:v>OPEN</x:v>
      </x:c>
    </x:row>
    <x:row r="6">
      <x:c r="A6" s="15" t="str">
        <x:v>E-002</x:v>
      </x:c>
      <x:c r="B6" s="15" t="str">
        <x:v>G-001</x:v>
      </x:c>
      <x:c r="C6" s="15" t="str">
        <x:v>calibration</x:v>
      </x:c>
      <x:c r="D6" s="15" t="str">
        <x:v>NOT CREATED</x:v>
      </x:c>
      <x:c r="E6" s="15" t="str">
        <x:v>OPEN</x:v>
      </x:c>
    </x:row>
    <x:row r="7">
      <x:c r="A7" s="14" t="str">
        <x:v>E-003</x:v>
      </x:c>
      <x:c r="B7" s="14" t="str">
        <x:v>G-001</x:v>
      </x:c>
      <x:c r="C7" s="14" t="str">
        <x:v>custody</x:v>
      </x:c>
      <x:c r="D7" s="14" t="str">
        <x:v>NOT CREATED</x:v>
      </x:c>
      <x:c r="E7" s="14" t="str">
        <x:v>OPEN</x:v>
      </x:c>
    </x:row>
    <x:row r="8">
      <x:c r="A8" s="15" t="str">
        <x:v>E-004</x:v>
      </x:c>
      <x:c r="B8" s="15" t="str">
        <x:v>G-001</x:v>
      </x:c>
      <x:c r="C8" s="15" t="str">
        <x:v>decision</x:v>
      </x:c>
      <x:c r="D8" s="15" t="str">
        <x:v>NOT CREATED</x:v>
      </x:c>
      <x:c r="E8" s="15" t="str">
        <x:v>OPEN</x:v>
      </x:c>
    </x:row>
    <x:row r="9">
      <x:c r="A9" s="14" t="str">
        <x:v>E-005</x:v>
      </x:c>
      <x:c r="B9" s="14" t="str">
        <x:v>G-002</x:v>
      </x:c>
      <x:c r="C9" s="14" t="str">
        <x:v>native</x:v>
      </x:c>
      <x:c r="D9" s="14" t="str">
        <x:v>NOT CREATED</x:v>
      </x:c>
      <x:c r="E9" s="14" t="str">
        <x:v>OPEN</x:v>
      </x:c>
    </x:row>
    <x:row r="10">
      <x:c r="A10" s="15" t="str">
        <x:v>E-006</x:v>
      </x:c>
      <x:c r="B10" s="15" t="str">
        <x:v>G-002</x:v>
      </x:c>
      <x:c r="C10" s="15" t="str">
        <x:v>calibration</x:v>
      </x:c>
      <x:c r="D10" s="15" t="str">
        <x:v>NOT CREATED</x:v>
      </x:c>
      <x:c r="E10" s="15" t="str">
        <x:v>OPEN</x:v>
      </x:c>
    </x:row>
    <x:row r="11">
      <x:c r="A11" s="14" t="str">
        <x:v>E-007</x:v>
      </x:c>
      <x:c r="B11" s="14" t="str">
        <x:v>G-002</x:v>
      </x:c>
      <x:c r="C11" s="14" t="str">
        <x:v>custody</x:v>
      </x:c>
      <x:c r="D11" s="14" t="str">
        <x:v>NOT CREATED</x:v>
      </x:c>
      <x:c r="E11" s="14" t="str">
        <x:v>OPEN</x:v>
      </x:c>
    </x:row>
    <x:row r="12">
      <x:c r="A12" s="15" t="str">
        <x:v>E-008</x:v>
      </x:c>
      <x:c r="B12" s="15" t="str">
        <x:v>G-002</x:v>
      </x:c>
      <x:c r="C12" s="15" t="str">
        <x:v>decision</x:v>
      </x:c>
      <x:c r="D12" s="15" t="str">
        <x:v>NOT CREATED</x:v>
      </x:c>
      <x:c r="E12" s="15" t="str">
        <x:v>OPEN</x:v>
      </x:c>
    </x:row>
    <x:row r="13">
      <x:c r="A13" s="14" t="str">
        <x:v>E-009</x:v>
      </x:c>
      <x:c r="B13" s="14" t="str">
        <x:v>G-003</x:v>
      </x:c>
      <x:c r="C13" s="14" t="str">
        <x:v>native</x:v>
      </x:c>
      <x:c r="D13" s="14" t="str">
        <x:v>NOT CREATED</x:v>
      </x:c>
      <x:c r="E13" s="14" t="str">
        <x:v>OPEN</x:v>
      </x:c>
    </x:row>
    <x:row r="14">
      <x:c r="A14" s="15" t="str">
        <x:v>E-010</x:v>
      </x:c>
      <x:c r="B14" s="15" t="str">
        <x:v>G-003</x:v>
      </x:c>
      <x:c r="C14" s="15" t="str">
        <x:v>calibration</x:v>
      </x:c>
      <x:c r="D14" s="15" t="str">
        <x:v>NOT CREATED</x:v>
      </x:c>
      <x:c r="E14" s="15" t="str">
        <x:v>OPEN</x:v>
      </x:c>
    </x:row>
    <x:row r="15">
      <x:c r="A15" s="14" t="str">
        <x:v>E-011</x:v>
      </x:c>
      <x:c r="B15" s="14" t="str">
        <x:v>G-003</x:v>
      </x:c>
      <x:c r="C15" s="14" t="str">
        <x:v>custody</x:v>
      </x:c>
      <x:c r="D15" s="14" t="str">
        <x:v>NOT CREATED</x:v>
      </x:c>
      <x:c r="E15" s="14" t="str">
        <x:v>OPEN</x:v>
      </x:c>
    </x:row>
    <x:row r="16">
      <x:c r="A16" s="15" t="str">
        <x:v>E-012</x:v>
      </x:c>
      <x:c r="B16" s="15" t="str">
        <x:v>G-003</x:v>
      </x:c>
      <x:c r="C16" s="15" t="str">
        <x:v>decision</x:v>
      </x:c>
      <x:c r="D16" s="15" t="str">
        <x:v>NOT CREATED</x:v>
      </x:c>
      <x:c r="E16" s="15" t="str">
        <x:v>OPEN</x:v>
      </x:c>
    </x:row>
    <x:row r="17">
      <x:c r="A17" s="14" t="str">
        <x:v>E-013</x:v>
      </x:c>
      <x:c r="B17" s="14" t="str">
        <x:v>G-004</x:v>
      </x:c>
      <x:c r="C17" s="14" t="str">
        <x:v>native</x:v>
      </x:c>
      <x:c r="D17" s="14" t="str">
        <x:v>NOT CREATED</x:v>
      </x:c>
      <x:c r="E17" s="14" t="str">
        <x:v>OPEN</x:v>
      </x:c>
    </x:row>
    <x:row r="18">
      <x:c r="A18" s="15" t="str">
        <x:v>E-014</x:v>
      </x:c>
      <x:c r="B18" s="15" t="str">
        <x:v>G-004</x:v>
      </x:c>
      <x:c r="C18" s="15" t="str">
        <x:v>calibration</x:v>
      </x:c>
      <x:c r="D18" s="15" t="str">
        <x:v>NOT CREATED</x:v>
      </x:c>
      <x:c r="E18" s="15" t="str">
        <x:v>OPEN</x:v>
      </x:c>
    </x:row>
    <x:row r="19">
      <x:c r="A19" s="14" t="str">
        <x:v>E-015</x:v>
      </x:c>
      <x:c r="B19" s="14" t="str">
        <x:v>G-004</x:v>
      </x:c>
      <x:c r="C19" s="14" t="str">
        <x:v>custody</x:v>
      </x:c>
      <x:c r="D19" s="14" t="str">
        <x:v>NOT CREATED</x:v>
      </x:c>
      <x:c r="E19" s="14" t="str">
        <x:v>OPEN</x:v>
      </x:c>
    </x:row>
    <x:row r="20">
      <x:c r="A20" s="15" t="str">
        <x:v>E-016</x:v>
      </x:c>
      <x:c r="B20" s="15" t="str">
        <x:v>G-004</x:v>
      </x:c>
      <x:c r="C20" s="15" t="str">
        <x:v>decision</x:v>
      </x:c>
      <x:c r="D20" s="15" t="str">
        <x:v>NOT CREATED</x:v>
      </x:c>
      <x:c r="E20" s="15" t="str">
        <x:v>OPEN</x:v>
      </x:c>
    </x:row>
    <x:row r="21">
      <x:c r="A21" s="14" t="str">
        <x:v>E-017</x:v>
      </x:c>
      <x:c r="B21" s="14" t="str">
        <x:v>G-005</x:v>
      </x:c>
      <x:c r="C21" s="14" t="str">
        <x:v>native</x:v>
      </x:c>
      <x:c r="D21" s="14" t="str">
        <x:v>NOT CREATED</x:v>
      </x:c>
      <x:c r="E21" s="14" t="str">
        <x:v>OPEN</x:v>
      </x:c>
    </x:row>
    <x:row r="22">
      <x:c r="A22" s="15" t="str">
        <x:v>E-018</x:v>
      </x:c>
      <x:c r="B22" s="15" t="str">
        <x:v>G-005</x:v>
      </x:c>
      <x:c r="C22" s="15" t="str">
        <x:v>calibration</x:v>
      </x:c>
      <x:c r="D22" s="15" t="str">
        <x:v>NOT CREATED</x:v>
      </x:c>
      <x:c r="E22" s="15" t="str">
        <x:v>OPEN</x:v>
      </x:c>
    </x:row>
    <x:row r="23">
      <x:c r="A23" s="14" t="str">
        <x:v>E-019</x:v>
      </x:c>
      <x:c r="B23" s="14" t="str">
        <x:v>G-005</x:v>
      </x:c>
      <x:c r="C23" s="14" t="str">
        <x:v>custody</x:v>
      </x:c>
      <x:c r="D23" s="14" t="str">
        <x:v>NOT CREATED</x:v>
      </x:c>
      <x:c r="E23" s="14" t="str">
        <x:v>OPEN</x:v>
      </x:c>
    </x:row>
    <x:row r="24">
      <x:c r="A24" s="15" t="str">
        <x:v>E-020</x:v>
      </x:c>
      <x:c r="B24" s="15" t="str">
        <x:v>G-005</x:v>
      </x:c>
      <x:c r="C24" s="15" t="str">
        <x:v>decision</x:v>
      </x:c>
      <x:c r="D24" s="15" t="str">
        <x:v>NOT CREATED</x:v>
      </x:c>
      <x:c r="E24" s="15" t="str">
        <x:v>OPEN</x:v>
      </x:c>
    </x:row>
    <x:row r="25">
      <x:c r="A25" s="14" t="str">
        <x:v>E-021</x:v>
      </x:c>
      <x:c r="B25" s="14" t="str">
        <x:v>G-006</x:v>
      </x:c>
      <x:c r="C25" s="14" t="str">
        <x:v>native</x:v>
      </x:c>
      <x:c r="D25" s="14" t="str">
        <x:v>NOT CREATED</x:v>
      </x:c>
      <x:c r="E25" s="14" t="str">
        <x:v>OPEN</x:v>
      </x:c>
    </x:row>
    <x:row r="26">
      <x:c r="A26" s="15" t="str">
        <x:v>E-022</x:v>
      </x:c>
      <x:c r="B26" s="15" t="str">
        <x:v>G-006</x:v>
      </x:c>
      <x:c r="C26" s="15" t="str">
        <x:v>calibration</x:v>
      </x:c>
      <x:c r="D26" s="15" t="str">
        <x:v>NOT CREATED</x:v>
      </x:c>
      <x:c r="E26" s="15" t="str">
        <x:v>OPEN</x:v>
      </x:c>
    </x:row>
    <x:row r="27">
      <x:c r="A27" s="14" t="str">
        <x:v>E-023</x:v>
      </x:c>
      <x:c r="B27" s="14" t="str">
        <x:v>G-006</x:v>
      </x:c>
      <x:c r="C27" s="14" t="str">
        <x:v>custody</x:v>
      </x:c>
      <x:c r="D27" s="14" t="str">
        <x:v>NOT CREATED</x:v>
      </x:c>
      <x:c r="E27" s="14" t="str">
        <x:v>OPEN</x:v>
      </x:c>
    </x:row>
    <x:row r="28">
      <x:c r="A28" s="15" t="str">
        <x:v>E-024</x:v>
      </x:c>
      <x:c r="B28" s="15" t="str">
        <x:v>G-006</x:v>
      </x:c>
      <x:c r="C28" s="15" t="str">
        <x:v>decision</x:v>
      </x:c>
      <x:c r="D28" s="15" t="str">
        <x:v>NOT CREATED</x:v>
      </x:c>
      <x:c r="E28" s="15" t="str">
        <x:v>OPEN</x:v>
      </x:c>
    </x:row>
    <x:row r="29">
      <x:c r="A29" s="14" t="str">
        <x:v>E-025</x:v>
      </x:c>
      <x:c r="B29" s="14" t="str">
        <x:v>G-007</x:v>
      </x:c>
      <x:c r="C29" s="14" t="str">
        <x:v>native</x:v>
      </x:c>
      <x:c r="D29" s="14" t="str">
        <x:v>NOT CREATED</x:v>
      </x:c>
      <x:c r="E29" s="14" t="str">
        <x:v>OPEN</x:v>
      </x:c>
    </x:row>
    <x:row r="30">
      <x:c r="A30" s="15" t="str">
        <x:v>E-026</x:v>
      </x:c>
      <x:c r="B30" s="15" t="str">
        <x:v>G-007</x:v>
      </x:c>
      <x:c r="C30" s="15" t="str">
        <x:v>calibration</x:v>
      </x:c>
      <x:c r="D30" s="15" t="str">
        <x:v>NOT CREATED</x:v>
      </x:c>
      <x:c r="E30" s="15" t="str">
        <x:v>OPEN</x:v>
      </x:c>
    </x:row>
    <x:row r="31">
      <x:c r="A31" s="14" t="str">
        <x:v>E-027</x:v>
      </x:c>
      <x:c r="B31" s="14" t="str">
        <x:v>G-007</x:v>
      </x:c>
      <x:c r="C31" s="14" t="str">
        <x:v>custody</x:v>
      </x:c>
      <x:c r="D31" s="14" t="str">
        <x:v>NOT CREATED</x:v>
      </x:c>
      <x:c r="E31" s="14" t="str">
        <x:v>OPEN</x:v>
      </x:c>
    </x:row>
    <x:row r="32">
      <x:c r="A32" s="15" t="str">
        <x:v>E-028</x:v>
      </x:c>
      <x:c r="B32" s="15" t="str">
        <x:v>G-007</x:v>
      </x:c>
      <x:c r="C32" s="15" t="str">
        <x:v>decision</x:v>
      </x:c>
      <x:c r="D32" s="15" t="str">
        <x:v>NOT CREATED</x:v>
      </x:c>
      <x:c r="E32" s="15" t="str">
        <x:v>OPEN</x:v>
      </x:c>
    </x:row>
    <x:row r="33">
      <x:c r="A33" s="14" t="str">
        <x:v>E-029</x:v>
      </x:c>
      <x:c r="B33" s="14" t="str">
        <x:v>G-008</x:v>
      </x:c>
      <x:c r="C33" s="14" t="str">
        <x:v>native</x:v>
      </x:c>
      <x:c r="D33" s="14" t="str">
        <x:v>NOT CREATED</x:v>
      </x:c>
      <x:c r="E33" s="14" t="str">
        <x:v>OPEN</x:v>
      </x:c>
    </x:row>
    <x:row r="34">
      <x:c r="A34" s="15" t="str">
        <x:v>E-030</x:v>
      </x:c>
      <x:c r="B34" s="15" t="str">
        <x:v>G-008</x:v>
      </x:c>
      <x:c r="C34" s="15" t="str">
        <x:v>calibration</x:v>
      </x:c>
      <x:c r="D34" s="15" t="str">
        <x:v>NOT CREATED</x:v>
      </x:c>
      <x:c r="E34" s="15" t="str">
        <x:v>OPEN</x:v>
      </x:c>
    </x:row>
    <x:row r="35">
      <x:c r="A35" s="14" t="str">
        <x:v>E-031</x:v>
      </x:c>
      <x:c r="B35" s="14" t="str">
        <x:v>G-008</x:v>
      </x:c>
      <x:c r="C35" s="14" t="str">
        <x:v>custody</x:v>
      </x:c>
      <x:c r="D35" s="14" t="str">
        <x:v>NOT CREATED</x:v>
      </x:c>
      <x:c r="E35" s="14" t="str">
        <x:v>OPEN</x:v>
      </x:c>
    </x:row>
    <x:row r="36">
      <x:c r="A36" s="15" t="str">
        <x:v>E-032</x:v>
      </x:c>
      <x:c r="B36" s="15" t="str">
        <x:v>G-008</x:v>
      </x:c>
      <x:c r="C36" s="15" t="str">
        <x:v>decision</x:v>
      </x:c>
      <x:c r="D36" s="15" t="str">
        <x:v>NOT CREATED</x:v>
      </x:c>
      <x:c r="E36" s="15" t="str">
        <x:v>OPEN</x:v>
      </x:c>
    </x:row>
    <x:row r="37">
      <x:c r="A37" s="14" t="str">
        <x:v>E-033</x:v>
      </x:c>
      <x:c r="B37" s="14" t="str">
        <x:v>G-009</x:v>
      </x:c>
      <x:c r="C37" s="14" t="str">
        <x:v>native</x:v>
      </x:c>
      <x:c r="D37" s="14" t="str">
        <x:v>NOT CREATED</x:v>
      </x:c>
      <x:c r="E37" s="14" t="str">
        <x:v>OPEN</x:v>
      </x:c>
    </x:row>
    <x:row r="38">
      <x:c r="A38" s="15" t="str">
        <x:v>E-034</x:v>
      </x:c>
      <x:c r="B38" s="15" t="str">
        <x:v>G-009</x:v>
      </x:c>
      <x:c r="C38" s="15" t="str">
        <x:v>calibration</x:v>
      </x:c>
      <x:c r="D38" s="15" t="str">
        <x:v>NOT CREATED</x:v>
      </x:c>
      <x:c r="E38" s="15" t="str">
        <x:v>OPEN</x:v>
      </x:c>
    </x:row>
    <x:row r="39">
      <x:c r="A39" s="14" t="str">
        <x:v>E-035</x:v>
      </x:c>
      <x:c r="B39" s="14" t="str">
        <x:v>G-009</x:v>
      </x:c>
      <x:c r="C39" s="14" t="str">
        <x:v>custody</x:v>
      </x:c>
      <x:c r="D39" s="14" t="str">
        <x:v>NOT CREATED</x:v>
      </x:c>
      <x:c r="E39" s="14" t="str">
        <x:v>OPEN</x:v>
      </x:c>
    </x:row>
    <x:row r="40">
      <x:c r="A40" s="15" t="str">
        <x:v>E-036</x:v>
      </x:c>
      <x:c r="B40" s="15" t="str">
        <x:v>G-009</x:v>
      </x:c>
      <x:c r="C40" s="15" t="str">
        <x:v>decision</x:v>
      </x:c>
      <x:c r="D40" s="15" t="str">
        <x:v>NOT CREATED</x:v>
      </x:c>
      <x:c r="E40" s="15" t="str">
        <x:v>OPEN</x:v>
      </x:c>
    </x:row>
    <x:row r="41">
      <x:c r="A41" s="14" t="str">
        <x:v>E-037</x:v>
      </x:c>
      <x:c r="B41" s="14" t="str">
        <x:v>G-010</x:v>
      </x:c>
      <x:c r="C41" s="14" t="str">
        <x:v>native</x:v>
      </x:c>
      <x:c r="D41" s="14" t="str">
        <x:v>NOT CREATED</x:v>
      </x:c>
      <x:c r="E41" s="14" t="str">
        <x:v>OPEN</x:v>
      </x:c>
    </x:row>
    <x:row r="42">
      <x:c r="A42" s="15" t="str">
        <x:v>E-038</x:v>
      </x:c>
      <x:c r="B42" s="15" t="str">
        <x:v>G-010</x:v>
      </x:c>
      <x:c r="C42" s="15" t="str">
        <x:v>calibration</x:v>
      </x:c>
      <x:c r="D42" s="15" t="str">
        <x:v>NOT CREATED</x:v>
      </x:c>
      <x:c r="E42" s="15" t="str">
        <x:v>OPEN</x:v>
      </x:c>
    </x:row>
    <x:row r="43">
      <x:c r="A43" s="14" t="str">
        <x:v>E-039</x:v>
      </x:c>
      <x:c r="B43" s="14" t="str">
        <x:v>G-010</x:v>
      </x:c>
      <x:c r="C43" s="14" t="str">
        <x:v>custody</x:v>
      </x:c>
      <x:c r="D43" s="14" t="str">
        <x:v>NOT CREATED</x:v>
      </x:c>
      <x:c r="E43" s="14" t="str">
        <x:v>OPEN</x:v>
      </x:c>
    </x:row>
    <x:row r="44">
      <x:c r="A44" s="15" t="str">
        <x:v>E-040</x:v>
      </x:c>
      <x:c r="B44" s="15" t="str">
        <x:v>G-010</x:v>
      </x:c>
      <x:c r="C44" s="15" t="str">
        <x:v>decision</x:v>
      </x:c>
      <x:c r="D44" s="15" t="str">
        <x:v>NOT CREATED</x:v>
      </x:c>
      <x:c r="E44" s="15" t="str">
        <x:v>OPEN</x:v>
      </x:c>
    </x:row>
    <x:row r="45">
      <x:c r="A45" s="14" t="str">
        <x:v>E-041</x:v>
      </x:c>
      <x:c r="B45" s="14" t="str">
        <x:v>G-011</x:v>
      </x:c>
      <x:c r="C45" s="14" t="str">
        <x:v>native</x:v>
      </x:c>
      <x:c r="D45" s="14" t="str">
        <x:v>NOT CREATED</x:v>
      </x:c>
      <x:c r="E45" s="14" t="str">
        <x:v>OPEN</x:v>
      </x:c>
    </x:row>
    <x:row r="46">
      <x:c r="A46" s="15" t="str">
        <x:v>E-042</x:v>
      </x:c>
      <x:c r="B46" s="15" t="str">
        <x:v>G-011</x:v>
      </x:c>
      <x:c r="C46" s="15" t="str">
        <x:v>calibration</x:v>
      </x:c>
      <x:c r="D46" s="15" t="str">
        <x:v>NOT CREATED</x:v>
      </x:c>
      <x:c r="E46" s="15" t="str">
        <x:v>OPEN</x:v>
      </x:c>
    </x:row>
    <x:row r="47">
      <x:c r="A47" s="14" t="str">
        <x:v>E-043</x:v>
      </x:c>
      <x:c r="B47" s="14" t="str">
        <x:v>G-011</x:v>
      </x:c>
      <x:c r="C47" s="14" t="str">
        <x:v>custody</x:v>
      </x:c>
      <x:c r="D47" s="14" t="str">
        <x:v>NOT CREATED</x:v>
      </x:c>
      <x:c r="E47" s="14" t="str">
        <x:v>OPEN</x:v>
      </x:c>
    </x:row>
    <x:row r="48">
      <x:c r="A48" s="15" t="str">
        <x:v>E-044</x:v>
      </x:c>
      <x:c r="B48" s="15" t="str">
        <x:v>G-011</x:v>
      </x:c>
      <x:c r="C48" s="15" t="str">
        <x:v>decision</x:v>
      </x:c>
      <x:c r="D48" s="15" t="str">
        <x:v>NOT CREATED</x:v>
      </x:c>
      <x:c r="E48" s="15" t="str">
        <x:v>OPEN</x:v>
      </x:c>
    </x:row>
    <x:row r="49">
      <x:c r="A49" s="14" t="str">
        <x:v>E-045</x:v>
      </x:c>
      <x:c r="B49" s="14" t="str">
        <x:v>G-012</x:v>
      </x:c>
      <x:c r="C49" s="14" t="str">
        <x:v>native</x:v>
      </x:c>
      <x:c r="D49" s="14" t="str">
        <x:v>NOT CREATED</x:v>
      </x:c>
      <x:c r="E49" s="14" t="str">
        <x:v>OPEN</x:v>
      </x:c>
    </x:row>
    <x:row r="50">
      <x:c r="A50" s="15" t="str">
        <x:v>E-046</x:v>
      </x:c>
      <x:c r="B50" s="15" t="str">
        <x:v>G-012</x:v>
      </x:c>
      <x:c r="C50" s="15" t="str">
        <x:v>calibration</x:v>
      </x:c>
      <x:c r="D50" s="15" t="str">
        <x:v>NOT CREATED</x:v>
      </x:c>
      <x:c r="E50" s="15" t="str">
        <x:v>OPEN</x:v>
      </x:c>
    </x:row>
    <x:row r="51">
      <x:c r="A51" s="14" t="str">
        <x:v>E-047</x:v>
      </x:c>
      <x:c r="B51" s="14" t="str">
        <x:v>G-012</x:v>
      </x:c>
      <x:c r="C51" s="14" t="str">
        <x:v>custody</x:v>
      </x:c>
      <x:c r="D51" s="14" t="str">
        <x:v>NOT CREATED</x:v>
      </x:c>
      <x:c r="E51" s="14" t="str">
        <x:v>OPEN</x:v>
      </x:c>
    </x:row>
    <x:row r="52">
      <x:c r="A52" s="15" t="str">
        <x:v>E-048</x:v>
      </x:c>
      <x:c r="B52" s="15" t="str">
        <x:v>G-012</x:v>
      </x:c>
      <x:c r="C52" s="15" t="str">
        <x:v>decision</x:v>
      </x:c>
      <x:c r="D52" s="15" t="str">
        <x:v>NOT CREATED</x:v>
      </x:c>
      <x:c r="E52" s="15" t="str">
        <x:v>OPEN</x:v>
      </x:c>
    </x:row>
    <x:row r="53">
      <x:c r="A53" s="14" t="str">
        <x:v>E-049</x:v>
      </x:c>
      <x:c r="B53" s="14" t="str">
        <x:v>G-013</x:v>
      </x:c>
      <x:c r="C53" s="14" t="str">
        <x:v>native</x:v>
      </x:c>
      <x:c r="D53" s="14" t="str">
        <x:v>NOT CREATED</x:v>
      </x:c>
      <x:c r="E53" s="14" t="str">
        <x:v>OPEN</x:v>
      </x:c>
    </x:row>
    <x:row r="54">
      <x:c r="A54" s="15" t="str">
        <x:v>E-050</x:v>
      </x:c>
      <x:c r="B54" s="15" t="str">
        <x:v>G-013</x:v>
      </x:c>
      <x:c r="C54" s="15" t="str">
        <x:v>calibration</x:v>
      </x:c>
      <x:c r="D54" s="15" t="str">
        <x:v>NOT CREATED</x:v>
      </x:c>
      <x:c r="E54" s="15" t="str">
        <x:v>OPEN</x:v>
      </x:c>
    </x:row>
    <x:row r="55">
      <x:c r="A55" s="14" t="str">
        <x:v>E-051</x:v>
      </x:c>
      <x:c r="B55" s="14" t="str">
        <x:v>G-013</x:v>
      </x:c>
      <x:c r="C55" s="14" t="str">
        <x:v>custody</x:v>
      </x:c>
      <x:c r="D55" s="14" t="str">
        <x:v>NOT CREATED</x:v>
      </x:c>
      <x:c r="E55" s="14" t="str">
        <x:v>OPEN</x:v>
      </x:c>
    </x:row>
    <x:row r="56">
      <x:c r="A56" s="15" t="str">
        <x:v>E-052</x:v>
      </x:c>
      <x:c r="B56" s="15" t="str">
        <x:v>G-013</x:v>
      </x:c>
      <x:c r="C56" s="15" t="str">
        <x:v>decision</x:v>
      </x:c>
      <x:c r="D56" s="15" t="str">
        <x:v>NOT CREATED</x:v>
      </x:c>
      <x:c r="E56" s="15" t="str">
        <x:v>OPEN</x:v>
      </x:c>
    </x:row>
    <x:row r="57">
      <x:c r="A57" s="14" t="str">
        <x:v>E-053</x:v>
      </x:c>
      <x:c r="B57" s="14" t="str">
        <x:v>G-014</x:v>
      </x:c>
      <x:c r="C57" s="14" t="str">
        <x:v>native</x:v>
      </x:c>
      <x:c r="D57" s="14" t="str">
        <x:v>NOT CREATED</x:v>
      </x:c>
      <x:c r="E57" s="14" t="str">
        <x:v>OPEN</x:v>
      </x:c>
    </x:row>
    <x:row r="58">
      <x:c r="A58" s="15" t="str">
        <x:v>E-054</x:v>
      </x:c>
      <x:c r="B58" s="15" t="str">
        <x:v>G-014</x:v>
      </x:c>
      <x:c r="C58" s="15" t="str">
        <x:v>calibration</x:v>
      </x:c>
      <x:c r="D58" s="15" t="str">
        <x:v>NOT CREATED</x:v>
      </x:c>
      <x:c r="E58" s="15" t="str">
        <x:v>OPEN</x:v>
      </x:c>
    </x:row>
    <x:row r="59">
      <x:c r="A59" s="14" t="str">
        <x:v>E-055</x:v>
      </x:c>
      <x:c r="B59" s="14" t="str">
        <x:v>G-014</x:v>
      </x:c>
      <x:c r="C59" s="14" t="str">
        <x:v>custody</x:v>
      </x:c>
      <x:c r="D59" s="14" t="str">
        <x:v>NOT CREATED</x:v>
      </x:c>
      <x:c r="E59" s="14" t="str">
        <x:v>OPEN</x:v>
      </x:c>
    </x:row>
    <x:row r="60">
      <x:c r="A60" s="15" t="str">
        <x:v>E-056</x:v>
      </x:c>
      <x:c r="B60" s="15" t="str">
        <x:v>G-014</x:v>
      </x:c>
      <x:c r="C60" s="15" t="str">
        <x:v>decision</x:v>
      </x:c>
      <x:c r="D60" s="15" t="str">
        <x:v>NOT CREATED</x:v>
      </x:c>
      <x:c r="E60" s="15" t="str">
        <x:v>OPEN</x:v>
      </x:c>
    </x:row>
    <x:row r="61">
      <x:c r="A61" s="14" t="str">
        <x:v>E-057</x:v>
      </x:c>
      <x:c r="B61" s="14" t="str">
        <x:v>G-015</x:v>
      </x:c>
      <x:c r="C61" s="14" t="str">
        <x:v>native</x:v>
      </x:c>
      <x:c r="D61" s="14" t="str">
        <x:v>NOT CREATED</x:v>
      </x:c>
      <x:c r="E61" s="14" t="str">
        <x:v>OPEN</x:v>
      </x:c>
    </x:row>
    <x:row r="62">
      <x:c r="A62" s="15" t="str">
        <x:v>E-058</x:v>
      </x:c>
      <x:c r="B62" s="15" t="str">
        <x:v>G-015</x:v>
      </x:c>
      <x:c r="C62" s="15" t="str">
        <x:v>calibration</x:v>
      </x:c>
      <x:c r="D62" s="15" t="str">
        <x:v>NOT CREATED</x:v>
      </x:c>
      <x:c r="E62" s="15" t="str">
        <x:v>OPEN</x:v>
      </x:c>
    </x:row>
    <x:row r="63">
      <x:c r="A63" s="14" t="str">
        <x:v>E-059</x:v>
      </x:c>
      <x:c r="B63" s="14" t="str">
        <x:v>G-015</x:v>
      </x:c>
      <x:c r="C63" s="14" t="str">
        <x:v>custody</x:v>
      </x:c>
      <x:c r="D63" s="14" t="str">
        <x:v>NOT CREATED</x:v>
      </x:c>
      <x:c r="E63" s="14" t="str">
        <x:v>OPEN</x:v>
      </x:c>
    </x:row>
    <x:row r="64">
      <x:c r="A64" s="15" t="str">
        <x:v>E-060</x:v>
      </x:c>
      <x:c r="B64" s="15" t="str">
        <x:v>G-015</x:v>
      </x:c>
      <x:c r="C64" s="15" t="str">
        <x:v>decision</x:v>
      </x:c>
      <x:c r="D64" s="15" t="str">
        <x:v>NOT CREATED</x:v>
      </x:c>
      <x:c r="E64" s="15" t="str">
        <x:v>OPEN</x:v>
      </x:c>
    </x:row>
    <x:row r="65">
      <x:c r="A65" s="14" t="str">
        <x:v>E-061</x:v>
      </x:c>
      <x:c r="B65" s="14" t="str">
        <x:v>G-016</x:v>
      </x:c>
      <x:c r="C65" s="14" t="str">
        <x:v>native</x:v>
      </x:c>
      <x:c r="D65" s="14" t="str">
        <x:v>NOT CREATED</x:v>
      </x:c>
      <x:c r="E65" s="14" t="str">
        <x:v>OPEN</x:v>
      </x:c>
    </x:row>
    <x:row r="66">
      <x:c r="A66" s="15" t="str">
        <x:v>E-062</x:v>
      </x:c>
      <x:c r="B66" s="15" t="str">
        <x:v>G-016</x:v>
      </x:c>
      <x:c r="C66" s="15" t="str">
        <x:v>calibration</x:v>
      </x:c>
      <x:c r="D66" s="15" t="str">
        <x:v>NOT CREATED</x:v>
      </x:c>
      <x:c r="E66" s="15" t="str">
        <x:v>OPEN</x:v>
      </x:c>
    </x:row>
    <x:row r="67">
      <x:c r="A67" s="14" t="str">
        <x:v>E-063</x:v>
      </x:c>
      <x:c r="B67" s="14" t="str">
        <x:v>G-016</x:v>
      </x:c>
      <x:c r="C67" s="14" t="str">
        <x:v>custody</x:v>
      </x:c>
      <x:c r="D67" s="14" t="str">
        <x:v>NOT CREATED</x:v>
      </x:c>
      <x:c r="E67" s="14" t="str">
        <x:v>OPEN</x:v>
      </x:c>
    </x:row>
    <x:row r="68">
      <x:c r="A68" s="15" t="str">
        <x:v>E-064</x:v>
      </x:c>
      <x:c r="B68" s="15" t="str">
        <x:v>G-016</x:v>
      </x:c>
      <x:c r="C68" s="15" t="str">
        <x:v>decision</x:v>
      </x:c>
      <x:c r="D68" s="15" t="str">
        <x:v>NOT CREATED</x:v>
      </x:c>
      <x:c r="E68" s="15" t="str">
        <x:v>OPEN</x:v>
      </x:c>
    </x:row>
    <x:row r="69">
      <x:c r="A69" s="14" t="str">
        <x:v>E-065</x:v>
      </x:c>
      <x:c r="B69" s="14" t="str">
        <x:v>G-017</x:v>
      </x:c>
      <x:c r="C69" s="14" t="str">
        <x:v>native</x:v>
      </x:c>
      <x:c r="D69" s="14" t="str">
        <x:v>NOT CREATED</x:v>
      </x:c>
      <x:c r="E69" s="14" t="str">
        <x:v>OPEN</x:v>
      </x:c>
    </x:row>
    <x:row r="70">
      <x:c r="A70" s="15" t="str">
        <x:v>E-066</x:v>
      </x:c>
      <x:c r="B70" s="15" t="str">
        <x:v>G-017</x:v>
      </x:c>
      <x:c r="C70" s="15" t="str">
        <x:v>calibration</x:v>
      </x:c>
      <x:c r="D70" s="15" t="str">
        <x:v>NOT CREATED</x:v>
      </x:c>
      <x:c r="E70" s="15" t="str">
        <x:v>OPEN</x:v>
      </x:c>
    </x:row>
    <x:row r="71">
      <x:c r="A71" s="14" t="str">
        <x:v>E-067</x:v>
      </x:c>
      <x:c r="B71" s="14" t="str">
        <x:v>G-017</x:v>
      </x:c>
      <x:c r="C71" s="14" t="str">
        <x:v>custody</x:v>
      </x:c>
      <x:c r="D71" s="14" t="str">
        <x:v>NOT CREATED</x:v>
      </x:c>
      <x:c r="E71" s="14" t="str">
        <x:v>OPEN</x:v>
      </x:c>
    </x:row>
    <x:row r="72">
      <x:c r="A72" s="15" t="str">
        <x:v>E-068</x:v>
      </x:c>
      <x:c r="B72" s="15" t="str">
        <x:v>G-017</x:v>
      </x:c>
      <x:c r="C72" s="15" t="str">
        <x:v>decision</x:v>
      </x:c>
      <x:c r="D72" s="15" t="str">
        <x:v>NOT CREATED</x:v>
      </x:c>
      <x:c r="E72" s="15" t="str">
        <x:v>OPEN</x:v>
      </x:c>
    </x:row>
    <x:row r="73">
      <x:c r="A73" s="14" t="str">
        <x:v>E-069</x:v>
      </x:c>
      <x:c r="B73" s="14" t="str">
        <x:v>G-018</x:v>
      </x:c>
      <x:c r="C73" s="14" t="str">
        <x:v>native</x:v>
      </x:c>
      <x:c r="D73" s="14" t="str">
        <x:v>NOT CREATED</x:v>
      </x:c>
      <x:c r="E73" s="14" t="str">
        <x:v>OPEN</x:v>
      </x:c>
    </x:row>
    <x:row r="74">
      <x:c r="A74" s="15" t="str">
        <x:v>E-070</x:v>
      </x:c>
      <x:c r="B74" s="15" t="str">
        <x:v>G-018</x:v>
      </x:c>
      <x:c r="C74" s="15" t="str">
        <x:v>calibration</x:v>
      </x:c>
      <x:c r="D74" s="15" t="str">
        <x:v>NOT CREATED</x:v>
      </x:c>
      <x:c r="E74" s="15" t="str">
        <x:v>OPEN</x:v>
      </x:c>
    </x:row>
    <x:row r="75">
      <x:c r="A75" s="14" t="str">
        <x:v>E-071</x:v>
      </x:c>
      <x:c r="B75" s="14" t="str">
        <x:v>G-018</x:v>
      </x:c>
      <x:c r="C75" s="14" t="str">
        <x:v>custody</x:v>
      </x:c>
      <x:c r="D75" s="14" t="str">
        <x:v>NOT CREATED</x:v>
      </x:c>
      <x:c r="E75" s="14" t="str">
        <x:v>OPEN</x:v>
      </x:c>
    </x:row>
    <x:row r="76">
      <x:c r="A76" s="15" t="str">
        <x:v>E-072</x:v>
      </x:c>
      <x:c r="B76" s="15" t="str">
        <x:v>G-018</x:v>
      </x:c>
      <x:c r="C76" s="15" t="str">
        <x:v>decision</x:v>
      </x:c>
      <x:c r="D76" s="15" t="str">
        <x:v>NOT CREATED</x:v>
      </x:c>
      <x:c r="E76" s="15" t="str">
        <x:v>OPEN</x:v>
      </x:c>
    </x:row>
    <x:row r="77">
      <x:c r="A77" s="14" t="str">
        <x:v>E-073</x:v>
      </x:c>
      <x:c r="B77" s="14" t="str">
        <x:v>G-019</x:v>
      </x:c>
      <x:c r="C77" s="14" t="str">
        <x:v>native</x:v>
      </x:c>
      <x:c r="D77" s="14" t="str">
        <x:v>NOT CREATED</x:v>
      </x:c>
      <x:c r="E77" s="14" t="str">
        <x:v>OPEN</x:v>
      </x:c>
    </x:row>
    <x:row r="78">
      <x:c r="A78" s="15" t="str">
        <x:v>E-074</x:v>
      </x:c>
      <x:c r="B78" s="15" t="str">
        <x:v>G-019</x:v>
      </x:c>
      <x:c r="C78" s="15" t="str">
        <x:v>calibration</x:v>
      </x:c>
      <x:c r="D78" s="15" t="str">
        <x:v>NOT CREATED</x:v>
      </x:c>
      <x:c r="E78" s="15" t="str">
        <x:v>OPEN</x:v>
      </x:c>
    </x:row>
    <x:row r="79">
      <x:c r="A79" s="14" t="str">
        <x:v>E-075</x:v>
      </x:c>
      <x:c r="B79" s="14" t="str">
        <x:v>G-019</x:v>
      </x:c>
      <x:c r="C79" s="14" t="str">
        <x:v>custody</x:v>
      </x:c>
      <x:c r="D79" s="14" t="str">
        <x:v>NOT CREATED</x:v>
      </x:c>
      <x:c r="E79" s="14" t="str">
        <x:v>OPEN</x:v>
      </x:c>
    </x:row>
    <x:row r="80">
      <x:c r="A80" s="15" t="str">
        <x:v>E-076</x:v>
      </x:c>
      <x:c r="B80" s="15" t="str">
        <x:v>G-019</x:v>
      </x:c>
      <x:c r="C80" s="15" t="str">
        <x:v>decision</x:v>
      </x:c>
      <x:c r="D80" s="15" t="str">
        <x:v>NOT CREATED</x:v>
      </x:c>
      <x:c r="E80" s="15" t="str">
        <x:v>OPEN</x:v>
      </x:c>
    </x:row>
    <x:row r="81">
      <x:c r="A81" s="14" t="str">
        <x:v>E-077</x:v>
      </x:c>
      <x:c r="B81" s="14" t="str">
        <x:v>G-020</x:v>
      </x:c>
      <x:c r="C81" s="14" t="str">
        <x:v>native</x:v>
      </x:c>
      <x:c r="D81" s="14" t="str">
        <x:v>NOT CREATED</x:v>
      </x:c>
      <x:c r="E81" s="14" t="str">
        <x:v>OPEN</x:v>
      </x:c>
    </x:row>
    <x:row r="82">
      <x:c r="A82" s="15" t="str">
        <x:v>E-078</x:v>
      </x:c>
      <x:c r="B82" s="15" t="str">
        <x:v>G-020</x:v>
      </x:c>
      <x:c r="C82" s="15" t="str">
        <x:v>calibration</x:v>
      </x:c>
      <x:c r="D82" s="15" t="str">
        <x:v>NOT CREATED</x:v>
      </x:c>
      <x:c r="E82" s="15" t="str">
        <x:v>OPEN</x:v>
      </x:c>
    </x:row>
    <x:row r="83">
      <x:c r="A83" s="14" t="str">
        <x:v>E-079</x:v>
      </x:c>
      <x:c r="B83" s="14" t="str">
        <x:v>G-020</x:v>
      </x:c>
      <x:c r="C83" s="14" t="str">
        <x:v>custody</x:v>
      </x:c>
      <x:c r="D83" s="14" t="str">
        <x:v>NOT CREATED</x:v>
      </x:c>
      <x:c r="E83" s="14" t="str">
        <x:v>OPEN</x:v>
      </x:c>
    </x:row>
    <x:row r="84">
      <x:c r="A84" s="15" t="str">
        <x:v>E-080</x:v>
      </x:c>
      <x:c r="B84" s="15" t="str">
        <x:v>G-020</x:v>
      </x:c>
      <x:c r="C84" s="15" t="str">
        <x:v>decision</x:v>
      </x:c>
      <x:c r="D84" s="15" t="str">
        <x:v>NOT CREATED</x:v>
      </x:c>
      <x:c r="E84" s="15" t="str">
        <x:v>OPEN</x:v>
      </x:c>
    </x:row>
    <x:row r="85">
      <x:c r="A85" s="14" t="str">
        <x:v>E-081</x:v>
      </x:c>
      <x:c r="B85" s="14" t="str">
        <x:v>G-021</x:v>
      </x:c>
      <x:c r="C85" s="14" t="str">
        <x:v>native</x:v>
      </x:c>
      <x:c r="D85" s="14" t="str">
        <x:v>NOT CREATED</x:v>
      </x:c>
      <x:c r="E85" s="14" t="str">
        <x:v>OPEN</x:v>
      </x:c>
    </x:row>
    <x:row r="86">
      <x:c r="A86" s="15" t="str">
        <x:v>E-082</x:v>
      </x:c>
      <x:c r="B86" s="15" t="str">
        <x:v>G-021</x:v>
      </x:c>
      <x:c r="C86" s="15" t="str">
        <x:v>calibration</x:v>
      </x:c>
      <x:c r="D86" s="15" t="str">
        <x:v>NOT CREATED</x:v>
      </x:c>
      <x:c r="E86" s="15" t="str">
        <x:v>OPEN</x:v>
      </x:c>
    </x:row>
    <x:row r="87">
      <x:c r="A87" s="14" t="str">
        <x:v>E-083</x:v>
      </x:c>
      <x:c r="B87" s="14" t="str">
        <x:v>G-021</x:v>
      </x:c>
      <x:c r="C87" s="14" t="str">
        <x:v>custody</x:v>
      </x:c>
      <x:c r="D87" s="14" t="str">
        <x:v>NOT CREATED</x:v>
      </x:c>
      <x:c r="E87" s="14" t="str">
        <x:v>OPEN</x:v>
      </x:c>
    </x:row>
    <x:row r="88">
      <x:c r="A88" s="15" t="str">
        <x:v>E-084</x:v>
      </x:c>
      <x:c r="B88" s="15" t="str">
        <x:v>G-021</x:v>
      </x:c>
      <x:c r="C88" s="15" t="str">
        <x:v>decision</x:v>
      </x:c>
      <x:c r="D88" s="15" t="str">
        <x:v>NOT CREATED</x:v>
      </x:c>
      <x:c r="E88" s="15" t="str">
        <x:v>OPEN</x:v>
      </x:c>
    </x:row>
    <x:row r="89">
      <x:c r="A89" s="14" t="str">
        <x:v>E-085</x:v>
      </x:c>
      <x:c r="B89" s="14" t="str">
        <x:v>G-022</x:v>
      </x:c>
      <x:c r="C89" s="14" t="str">
        <x:v>native</x:v>
      </x:c>
      <x:c r="D89" s="14" t="str">
        <x:v>NOT CREATED</x:v>
      </x:c>
      <x:c r="E89" s="14" t="str">
        <x:v>OPEN</x:v>
      </x:c>
    </x:row>
    <x:row r="90">
      <x:c r="A90" s="15" t="str">
        <x:v>E-086</x:v>
      </x:c>
      <x:c r="B90" s="15" t="str">
        <x:v>G-022</x:v>
      </x:c>
      <x:c r="C90" s="15" t="str">
        <x:v>calibration</x:v>
      </x:c>
      <x:c r="D90" s="15" t="str">
        <x:v>NOT CREATED</x:v>
      </x:c>
      <x:c r="E90" s="15" t="str">
        <x:v>OPEN</x:v>
      </x:c>
    </x:row>
    <x:row r="91">
      <x:c r="A91" s="14" t="str">
        <x:v>E-087</x:v>
      </x:c>
      <x:c r="B91" s="14" t="str">
        <x:v>G-022</x:v>
      </x:c>
      <x:c r="C91" s="14" t="str">
        <x:v>custody</x:v>
      </x:c>
      <x:c r="D91" s="14" t="str">
        <x:v>NOT CREATED</x:v>
      </x:c>
      <x:c r="E91" s="14" t="str">
        <x:v>OPEN</x:v>
      </x:c>
    </x:row>
    <x:row r="92">
      <x:c r="A92" s="15" t="str">
        <x:v>E-088</x:v>
      </x:c>
      <x:c r="B92" s="15" t="str">
        <x:v>G-022</x:v>
      </x:c>
      <x:c r="C92" s="15" t="str">
        <x:v>decision</x:v>
      </x:c>
      <x:c r="D92" s="15" t="str">
        <x:v>NOT CREATED</x:v>
      </x:c>
      <x:c r="E92" s="15" t="str">
        <x:v>OPEN</x:v>
      </x:c>
    </x:row>
    <x:row r="93">
      <x:c r="A93" s="14" t="str">
        <x:v>E-089</x:v>
      </x:c>
      <x:c r="B93" s="14" t="str">
        <x:v>G-023</x:v>
      </x:c>
      <x:c r="C93" s="14" t="str">
        <x:v>native</x:v>
      </x:c>
      <x:c r="D93" s="14" t="str">
        <x:v>NOT CREATED</x:v>
      </x:c>
      <x:c r="E93" s="14" t="str">
        <x:v>OPEN</x:v>
      </x:c>
    </x:row>
    <x:row r="94">
      <x:c r="A94" s="15" t="str">
        <x:v>E-090</x:v>
      </x:c>
      <x:c r="B94" s="15" t="str">
        <x:v>G-023</x:v>
      </x:c>
      <x:c r="C94" s="15" t="str">
        <x:v>calibration</x:v>
      </x:c>
      <x:c r="D94" s="15" t="str">
        <x:v>NOT CREATED</x:v>
      </x:c>
      <x:c r="E94" s="15" t="str">
        <x:v>OPEN</x:v>
      </x:c>
    </x:row>
    <x:row r="95">
      <x:c r="A95" s="14" t="str">
        <x:v>E-091</x:v>
      </x:c>
      <x:c r="B95" s="14" t="str">
        <x:v>G-023</x:v>
      </x:c>
      <x:c r="C95" s="14" t="str">
        <x:v>custody</x:v>
      </x:c>
      <x:c r="D95" s="14" t="str">
        <x:v>NOT CREATED</x:v>
      </x:c>
      <x:c r="E95" s="14" t="str">
        <x:v>OPEN</x:v>
      </x:c>
    </x:row>
    <x:row r="96">
      <x:c r="A96" s="15" t="str">
        <x:v>E-092</x:v>
      </x:c>
      <x:c r="B96" s="15" t="str">
        <x:v>G-023</x:v>
      </x:c>
      <x:c r="C96" s="15" t="str">
        <x:v>decision</x:v>
      </x:c>
      <x:c r="D96" s="15" t="str">
        <x:v>NOT CREATED</x:v>
      </x:c>
      <x:c r="E96" s="15" t="str">
        <x:v>OPEN</x:v>
      </x:c>
    </x:row>
    <x:row r="97">
      <x:c r="A97" s="14" t="str">
        <x:v>E-093</x:v>
      </x:c>
      <x:c r="B97" s="14" t="str">
        <x:v>G-024</x:v>
      </x:c>
      <x:c r="C97" s="14" t="str">
        <x:v>native</x:v>
      </x:c>
      <x:c r="D97" s="14" t="str">
        <x:v>NOT CREATED</x:v>
      </x:c>
      <x:c r="E97" s="14" t="str">
        <x:v>OPEN</x:v>
      </x:c>
    </x:row>
    <x:row r="98">
      <x:c r="A98" s="15" t="str">
        <x:v>E-094</x:v>
      </x:c>
      <x:c r="B98" s="15" t="str">
        <x:v>G-024</x:v>
      </x:c>
      <x:c r="C98" s="15" t="str">
        <x:v>calibration</x:v>
      </x:c>
      <x:c r="D98" s="15" t="str">
        <x:v>NOT CREATED</x:v>
      </x:c>
      <x:c r="E98" s="15" t="str">
        <x:v>OPEN</x:v>
      </x:c>
    </x:row>
    <x:row r="99">
      <x:c r="A99" s="14" t="str">
        <x:v>E-095</x:v>
      </x:c>
      <x:c r="B99" s="14" t="str">
        <x:v>G-024</x:v>
      </x:c>
      <x:c r="C99" s="14" t="str">
        <x:v>custody</x:v>
      </x:c>
      <x:c r="D99" s="14" t="str">
        <x:v>NOT CREATED</x:v>
      </x:c>
      <x:c r="E99" s="14" t="str">
        <x:v>OPEN</x:v>
      </x:c>
    </x:row>
    <x:row r="100">
      <x:c r="A100" s="15" t="str">
        <x:v>E-096</x:v>
      </x:c>
      <x:c r="B100" s="15" t="str">
        <x:v>G-024</x:v>
      </x:c>
      <x:c r="C100" s="15" t="str">
        <x:v>decision</x:v>
      </x:c>
      <x:c r="D100" s="15" t="str">
        <x:v>NOT CREATED</x:v>
      </x:c>
      <x:c r="E100" s="15" t="str">
        <x:v>OPEN</x:v>
      </x:c>
    </x:row>
    <x:row r="101">
      <x:c r="A101" s="14" t="str">
        <x:v>E-097</x:v>
      </x:c>
      <x:c r="B101" s="14" t="str">
        <x:v>G-025</x:v>
      </x:c>
      <x:c r="C101" s="14" t="str">
        <x:v>native</x:v>
      </x:c>
      <x:c r="D101" s="14" t="str">
        <x:v>NOT CREATED</x:v>
      </x:c>
      <x:c r="E101" s="14" t="str">
        <x:v>OPEN</x:v>
      </x:c>
    </x:row>
    <x:row r="102">
      <x:c r="A102" s="15" t="str">
        <x:v>E-098</x:v>
      </x:c>
      <x:c r="B102" s="15" t="str">
        <x:v>G-025</x:v>
      </x:c>
      <x:c r="C102" s="15" t="str">
        <x:v>calibration</x:v>
      </x:c>
      <x:c r="D102" s="15" t="str">
        <x:v>NOT CREATED</x:v>
      </x:c>
      <x:c r="E102" s="15" t="str">
        <x:v>OPEN</x:v>
      </x:c>
    </x:row>
    <x:row r="103">
      <x:c r="A103" s="14" t="str">
        <x:v>E-099</x:v>
      </x:c>
      <x:c r="B103" s="14" t="str">
        <x:v>G-025</x:v>
      </x:c>
      <x:c r="C103" s="14" t="str">
        <x:v>custody</x:v>
      </x:c>
      <x:c r="D103" s="14" t="str">
        <x:v>NOT CREATED</x:v>
      </x:c>
      <x:c r="E103" s="14" t="str">
        <x:v>OPEN</x:v>
      </x:c>
    </x:row>
    <x:row r="104">
      <x:c r="A104" s="15" t="str">
        <x:v>E-100</x:v>
      </x:c>
      <x:c r="B104" s="15" t="str">
        <x:v>G-025</x:v>
      </x:c>
      <x:c r="C104" s="15" t="str">
        <x:v>decision</x:v>
      </x:c>
      <x:c r="D104" s="15" t="str">
        <x:v>NOT CREATED</x:v>
      </x:c>
      <x:c r="E104" s="15" t="str">
        <x:v>OPEN</x:v>
      </x:c>
    </x:row>
    <x:row r="105">
      <x:c r="A105" s="14" t="str">
        <x:v>E-101</x:v>
      </x:c>
      <x:c r="B105" s="14" t="str">
        <x:v>G-026</x:v>
      </x:c>
      <x:c r="C105" s="14" t="str">
        <x:v>native</x:v>
      </x:c>
      <x:c r="D105" s="14" t="str">
        <x:v>NOT CREATED</x:v>
      </x:c>
      <x:c r="E105" s="14" t="str">
        <x:v>OPEN</x:v>
      </x:c>
    </x:row>
    <x:row r="106">
      <x:c r="A106" s="15" t="str">
        <x:v>E-102</x:v>
      </x:c>
      <x:c r="B106" s="15" t="str">
        <x:v>G-026</x:v>
      </x:c>
      <x:c r="C106" s="15" t="str">
        <x:v>calibration</x:v>
      </x:c>
      <x:c r="D106" s="15" t="str">
        <x:v>NOT CREATED</x:v>
      </x:c>
      <x:c r="E106" s="15" t="str">
        <x:v>OPEN</x:v>
      </x:c>
    </x:row>
    <x:row r="107">
      <x:c r="A107" s="14" t="str">
        <x:v>E-103</x:v>
      </x:c>
      <x:c r="B107" s="14" t="str">
        <x:v>G-026</x:v>
      </x:c>
      <x:c r="C107" s="14" t="str">
        <x:v>custody</x:v>
      </x:c>
      <x:c r="D107" s="14" t="str">
        <x:v>NOT CREATED</x:v>
      </x:c>
      <x:c r="E107" s="14" t="str">
        <x:v>OPEN</x:v>
      </x:c>
    </x:row>
    <x:row r="108">
      <x:c r="A108" s="15" t="str">
        <x:v>E-104</x:v>
      </x:c>
      <x:c r="B108" s="15" t="str">
        <x:v>G-026</x:v>
      </x:c>
      <x:c r="C108" s="15" t="str">
        <x:v>decision</x:v>
      </x:c>
      <x:c r="D108" s="15" t="str">
        <x:v>NOT CREATED</x:v>
      </x:c>
      <x:c r="E108" s="15" t="str">
        <x:v>OPEN</x:v>
      </x:c>
    </x:row>
    <x:row r="109">
      <x:c r="A109" s="14" t="str">
        <x:v>E-105</x:v>
      </x:c>
      <x:c r="B109" s="14" t="str">
        <x:v>G-027</x:v>
      </x:c>
      <x:c r="C109" s="14" t="str">
        <x:v>native</x:v>
      </x:c>
      <x:c r="D109" s="14" t="str">
        <x:v>NOT CREATED</x:v>
      </x:c>
      <x:c r="E109" s="14" t="str">
        <x:v>OPEN</x:v>
      </x:c>
    </x:row>
    <x:row r="110">
      <x:c r="A110" s="15" t="str">
        <x:v>E-106</x:v>
      </x:c>
      <x:c r="B110" s="15" t="str">
        <x:v>G-027</x:v>
      </x:c>
      <x:c r="C110" s="15" t="str">
        <x:v>calibration</x:v>
      </x:c>
      <x:c r="D110" s="15" t="str">
        <x:v>NOT CREATED</x:v>
      </x:c>
      <x:c r="E110" s="15" t="str">
        <x:v>OPEN</x:v>
      </x:c>
    </x:row>
    <x:row r="111">
      <x:c r="A111" s="14" t="str">
        <x:v>E-107</x:v>
      </x:c>
      <x:c r="B111" s="14" t="str">
        <x:v>G-027</x:v>
      </x:c>
      <x:c r="C111" s="14" t="str">
        <x:v>custody</x:v>
      </x:c>
      <x:c r="D111" s="14" t="str">
        <x:v>NOT CREATED</x:v>
      </x:c>
      <x:c r="E111" s="14" t="str">
        <x:v>OPEN</x:v>
      </x:c>
    </x:row>
    <x:row r="112">
      <x:c r="A112" s="15" t="str">
        <x:v>E-108</x:v>
      </x:c>
      <x:c r="B112" s="15" t="str">
        <x:v>G-027</x:v>
      </x:c>
      <x:c r="C112" s="15" t="str">
        <x:v>decision</x:v>
      </x:c>
      <x:c r="D112" s="15" t="str">
        <x:v>NOT CREATED</x:v>
      </x:c>
      <x:c r="E112" s="15" t="str">
        <x:v>OPEN</x:v>
      </x:c>
    </x:row>
    <x:row r="113">
      <x:c r="A113" s="14" t="str">
        <x:v>E-109</x:v>
      </x:c>
      <x:c r="B113" s="14" t="str">
        <x:v>G-028</x:v>
      </x:c>
      <x:c r="C113" s="14" t="str">
        <x:v>native</x:v>
      </x:c>
      <x:c r="D113" s="14" t="str">
        <x:v>NOT CREATED</x:v>
      </x:c>
      <x:c r="E113" s="14" t="str">
        <x:v>OPEN</x:v>
      </x:c>
    </x:row>
    <x:row r="114">
      <x:c r="A114" s="15" t="str">
        <x:v>E-110</x:v>
      </x:c>
      <x:c r="B114" s="15" t="str">
        <x:v>G-028</x:v>
      </x:c>
      <x:c r="C114" s="15" t="str">
        <x:v>calibration</x:v>
      </x:c>
      <x:c r="D114" s="15" t="str">
        <x:v>NOT CREATED</x:v>
      </x:c>
      <x:c r="E114" s="15" t="str">
        <x:v>OPEN</x:v>
      </x:c>
    </x:row>
    <x:row r="115">
      <x:c r="A115" s="14" t="str">
        <x:v>E-111</x:v>
      </x:c>
      <x:c r="B115" s="14" t="str">
        <x:v>G-028</x:v>
      </x:c>
      <x:c r="C115" s="14" t="str">
        <x:v>custody</x:v>
      </x:c>
      <x:c r="D115" s="14" t="str">
        <x:v>NOT CREATED</x:v>
      </x:c>
      <x:c r="E115" s="14" t="str">
        <x:v>OPEN</x:v>
      </x:c>
    </x:row>
    <x:row r="116">
      <x:c r="A116" s="15" t="str">
        <x:v>E-112</x:v>
      </x:c>
      <x:c r="B116" s="15" t="str">
        <x:v>G-028</x:v>
      </x:c>
      <x:c r="C116" s="15" t="str">
        <x:v>decision</x:v>
      </x:c>
      <x:c r="D116" s="15" t="str">
        <x:v>NOT CREATED</x:v>
      </x:c>
      <x:c r="E116" s="15" t="str">
        <x:v>OPEN</x:v>
      </x:c>
    </x:row>
    <x:row r="117">
      <x:c r="A117" s="14" t="str">
        <x:v>E-113</x:v>
      </x:c>
      <x:c r="B117" s="14" t="str">
        <x:v>G-029</x:v>
      </x:c>
      <x:c r="C117" s="14" t="str">
        <x:v>native</x:v>
      </x:c>
      <x:c r="D117" s="14" t="str">
        <x:v>NOT CREATED</x:v>
      </x:c>
      <x:c r="E117" s="14" t="str">
        <x:v>OPEN</x:v>
      </x:c>
    </x:row>
    <x:row r="118">
      <x:c r="A118" s="15" t="str">
        <x:v>E-114</x:v>
      </x:c>
      <x:c r="B118" s="15" t="str">
        <x:v>G-029</x:v>
      </x:c>
      <x:c r="C118" s="15" t="str">
        <x:v>calibration</x:v>
      </x:c>
      <x:c r="D118" s="15" t="str">
        <x:v>NOT CREATED</x:v>
      </x:c>
      <x:c r="E118" s="15" t="str">
        <x:v>OPEN</x:v>
      </x:c>
    </x:row>
    <x:row r="119">
      <x:c r="A119" s="14" t="str">
        <x:v>E-115</x:v>
      </x:c>
      <x:c r="B119" s="14" t="str">
        <x:v>G-029</x:v>
      </x:c>
      <x:c r="C119" s="14" t="str">
        <x:v>custody</x:v>
      </x:c>
      <x:c r="D119" s="14" t="str">
        <x:v>NOT CREATED</x:v>
      </x:c>
      <x:c r="E119" s="14" t="str">
        <x:v>OPEN</x:v>
      </x:c>
    </x:row>
    <x:row r="120">
      <x:c r="A120" s="15" t="str">
        <x:v>E-116</x:v>
      </x:c>
      <x:c r="B120" s="15" t="str">
        <x:v>G-029</x:v>
      </x:c>
      <x:c r="C120" s="15" t="str">
        <x:v>decision</x:v>
      </x:c>
      <x:c r="D120" s="15" t="str">
        <x:v>NOT CREATED</x:v>
      </x:c>
      <x:c r="E120" s="15" t="str">
        <x:v>OPEN</x:v>
      </x:c>
    </x:row>
    <x:row r="121">
      <x:c r="A121" s="14" t="str">
        <x:v>E-117</x:v>
      </x:c>
      <x:c r="B121" s="14" t="str">
        <x:v>G-030</x:v>
      </x:c>
      <x:c r="C121" s="14" t="str">
        <x:v>native</x:v>
      </x:c>
      <x:c r="D121" s="14" t="str">
        <x:v>NOT CREATED</x:v>
      </x:c>
      <x:c r="E121" s="14" t="str">
        <x:v>OPEN</x:v>
      </x:c>
    </x:row>
    <x:row r="122">
      <x:c r="A122" s="15" t="str">
        <x:v>E-118</x:v>
      </x:c>
      <x:c r="B122" s="15" t="str">
        <x:v>G-030</x:v>
      </x:c>
      <x:c r="C122" s="15" t="str">
        <x:v>calibration</x:v>
      </x:c>
      <x:c r="D122" s="15" t="str">
        <x:v>NOT CREATED</x:v>
      </x:c>
      <x:c r="E122" s="15" t="str">
        <x:v>OPEN</x:v>
      </x:c>
    </x:row>
    <x:row r="123">
      <x:c r="A123" s="14" t="str">
        <x:v>E-119</x:v>
      </x:c>
      <x:c r="B123" s="14" t="str">
        <x:v>G-030</x:v>
      </x:c>
      <x:c r="C123" s="14" t="str">
        <x:v>custody</x:v>
      </x:c>
      <x:c r="D123" s="14" t="str">
        <x:v>NOT CREATED</x:v>
      </x:c>
      <x:c r="E123" s="14" t="str">
        <x:v>OPEN</x:v>
      </x:c>
    </x:row>
    <x:row r="124">
      <x:c r="A124" s="15" t="str">
        <x:v>E-120</x:v>
      </x:c>
      <x:c r="B124" s="15" t="str">
        <x:v>G-030</x:v>
      </x:c>
      <x:c r="C124" s="15" t="str">
        <x:v>decision</x:v>
      </x:c>
      <x:c r="D124" s="15" t="str">
        <x:v>NOT CREATED</x:v>
      </x:c>
      <x:c r="E124" s="15" t="str">
        <x:v>OPEN</x:v>
      </x:c>
    </x:row>
    <x:row r="125">
      <x:c r="A125" s="14" t="str">
        <x:v>E-121</x:v>
      </x:c>
      <x:c r="B125" s="14" t="str">
        <x:v>G-031</x:v>
      </x:c>
      <x:c r="C125" s="14" t="str">
        <x:v>native</x:v>
      </x:c>
      <x:c r="D125" s="14" t="str">
        <x:v>NOT CREATED</x:v>
      </x:c>
      <x:c r="E125" s="14" t="str">
        <x:v>OPEN</x:v>
      </x:c>
    </x:row>
    <x:row r="126">
      <x:c r="A126" s="15" t="str">
        <x:v>E-122</x:v>
      </x:c>
      <x:c r="B126" s="15" t="str">
        <x:v>G-031</x:v>
      </x:c>
      <x:c r="C126" s="15" t="str">
        <x:v>calibration</x:v>
      </x:c>
      <x:c r="D126" s="15" t="str">
        <x:v>NOT CREATED</x:v>
      </x:c>
      <x:c r="E126" s="15" t="str">
        <x:v>OPEN</x:v>
      </x:c>
    </x:row>
    <x:row r="127">
      <x:c r="A127" s="14" t="str">
        <x:v>E-123</x:v>
      </x:c>
      <x:c r="B127" s="14" t="str">
        <x:v>G-031</x:v>
      </x:c>
      <x:c r="C127" s="14" t="str">
        <x:v>custody</x:v>
      </x:c>
      <x:c r="D127" s="14" t="str">
        <x:v>NOT CREATED</x:v>
      </x:c>
      <x:c r="E127" s="14" t="str">
        <x:v>OPEN</x:v>
      </x:c>
    </x:row>
    <x:row r="128">
      <x:c r="A128" s="15" t="str">
        <x:v>E-124</x:v>
      </x:c>
      <x:c r="B128" s="15" t="str">
        <x:v>G-031</x:v>
      </x:c>
      <x:c r="C128" s="15" t="str">
        <x:v>decision</x:v>
      </x:c>
      <x:c r="D128" s="15" t="str">
        <x:v>NOT CREATED</x:v>
      </x:c>
      <x:c r="E128" s="15" t="str">
        <x:v>OPEN</x:v>
      </x:c>
    </x:row>
    <x:row r="129">
      <x:c r="A129" s="14" t="str">
        <x:v>E-125</x:v>
      </x:c>
      <x:c r="B129" s="14" t="str">
        <x:v>G-032</x:v>
      </x:c>
      <x:c r="C129" s="14" t="str">
        <x:v>native</x:v>
      </x:c>
      <x:c r="D129" s="14" t="str">
        <x:v>NOT CREATED</x:v>
      </x:c>
      <x:c r="E129" s="14" t="str">
        <x:v>OPEN</x:v>
      </x:c>
    </x:row>
    <x:row r="130">
      <x:c r="A130" s="15" t="str">
        <x:v>E-126</x:v>
      </x:c>
      <x:c r="B130" s="15" t="str">
        <x:v>G-032</x:v>
      </x:c>
      <x:c r="C130" s="15" t="str">
        <x:v>calibration</x:v>
      </x:c>
      <x:c r="D130" s="15" t="str">
        <x:v>NOT CREATED</x:v>
      </x:c>
      <x:c r="E130" s="15" t="str">
        <x:v>OPEN</x:v>
      </x:c>
    </x:row>
    <x:row r="131">
      <x:c r="A131" s="14" t="str">
        <x:v>E-127</x:v>
      </x:c>
      <x:c r="B131" s="14" t="str">
        <x:v>G-032</x:v>
      </x:c>
      <x:c r="C131" s="14" t="str">
        <x:v>custody</x:v>
      </x:c>
      <x:c r="D131" s="14" t="str">
        <x:v>NOT CREATED</x:v>
      </x:c>
      <x:c r="E131" s="14" t="str">
        <x:v>OPEN</x:v>
      </x:c>
    </x:row>
    <x:row r="132">
      <x:c r="A132" s="15" t="str">
        <x:v>E-128</x:v>
      </x:c>
      <x:c r="B132" s="15" t="str">
        <x:v>G-032</x:v>
      </x:c>
      <x:c r="C132" s="15" t="str">
        <x:v>decision</x:v>
      </x:c>
      <x:c r="D132" s="15" t="str">
        <x:v>NOT CREATED</x:v>
      </x:c>
      <x:c r="E132" s="15" t="str">
        <x:v>OPEN</x:v>
      </x:c>
    </x:row>
    <x:row r="133">
      <x:c r="A133" s="14" t="str">
        <x:v>E-129</x:v>
      </x:c>
      <x:c r="B133" s="14" t="str">
        <x:v>G-033</x:v>
      </x:c>
      <x:c r="C133" s="14" t="str">
        <x:v>native</x:v>
      </x:c>
      <x:c r="D133" s="14" t="str">
        <x:v>NOT CREATED</x:v>
      </x:c>
      <x:c r="E133" s="14" t="str">
        <x:v>OPEN</x:v>
      </x:c>
    </x:row>
    <x:row r="134">
      <x:c r="A134" s="15" t="str">
        <x:v>E-130</x:v>
      </x:c>
      <x:c r="B134" s="15" t="str">
        <x:v>G-033</x:v>
      </x:c>
      <x:c r="C134" s="15" t="str">
        <x:v>calibration</x:v>
      </x:c>
      <x:c r="D134" s="15" t="str">
        <x:v>NOT CREATED</x:v>
      </x:c>
      <x:c r="E134" s="15" t="str">
        <x:v>OPEN</x:v>
      </x:c>
    </x:row>
    <x:row r="135">
      <x:c r="A135" s="14" t="str">
        <x:v>E-131</x:v>
      </x:c>
      <x:c r="B135" s="14" t="str">
        <x:v>G-033</x:v>
      </x:c>
      <x:c r="C135" s="14" t="str">
        <x:v>custody</x:v>
      </x:c>
      <x:c r="D135" s="14" t="str">
        <x:v>NOT CREATED</x:v>
      </x:c>
      <x:c r="E135" s="14" t="str">
        <x:v>OPEN</x:v>
      </x:c>
    </x:row>
    <x:row r="136">
      <x:c r="A136" s="15" t="str">
        <x:v>E-132</x:v>
      </x:c>
      <x:c r="B136" s="15" t="str">
        <x:v>G-033</x:v>
      </x:c>
      <x:c r="C136" s="15" t="str">
        <x:v>decision</x:v>
      </x:c>
      <x:c r="D136" s="15" t="str">
        <x:v>NOT CREATED</x:v>
      </x:c>
      <x:c r="E136" s="15" t="str">
        <x:v>OPEN</x:v>
      </x:c>
    </x:row>
    <x:row r="137">
      <x:c r="A137" s="14" t="str">
        <x:v>E-133</x:v>
      </x:c>
      <x:c r="B137" s="14" t="str">
        <x:v>G-034</x:v>
      </x:c>
      <x:c r="C137" s="14" t="str">
        <x:v>native</x:v>
      </x:c>
      <x:c r="D137" s="14" t="str">
        <x:v>NOT CREATED</x:v>
      </x:c>
      <x:c r="E137" s="14" t="str">
        <x:v>OPEN</x:v>
      </x:c>
    </x:row>
    <x:row r="138">
      <x:c r="A138" s="15" t="str">
        <x:v>E-134</x:v>
      </x:c>
      <x:c r="B138" s="15" t="str">
        <x:v>G-034</x:v>
      </x:c>
      <x:c r="C138" s="15" t="str">
        <x:v>calibration</x:v>
      </x:c>
      <x:c r="D138" s="15" t="str">
        <x:v>NOT CREATED</x:v>
      </x:c>
      <x:c r="E138" s="15" t="str">
        <x:v>OPEN</x:v>
      </x:c>
    </x:row>
    <x:row r="139">
      <x:c r="A139" s="14" t="str">
        <x:v>E-135</x:v>
      </x:c>
      <x:c r="B139" s="14" t="str">
        <x:v>G-034</x:v>
      </x:c>
      <x:c r="C139" s="14" t="str">
        <x:v>custody</x:v>
      </x:c>
      <x:c r="D139" s="14" t="str">
        <x:v>NOT CREATED</x:v>
      </x:c>
      <x:c r="E139" s="14" t="str">
        <x:v>OPEN</x:v>
      </x:c>
    </x:row>
    <x:row r="140">
      <x:c r="A140" s="15" t="str">
        <x:v>E-136</x:v>
      </x:c>
      <x:c r="B140" s="15" t="str">
        <x:v>G-034</x:v>
      </x:c>
      <x:c r="C140" s="15" t="str">
        <x:v>decision</x:v>
      </x:c>
      <x:c r="D140" s="15" t="str">
        <x:v>NOT CREATED</x:v>
      </x:c>
      <x:c r="E140" s="15" t="str">
        <x:v>OPEN</x:v>
      </x:c>
    </x:row>
    <x:row r="141">
      <x:c r="A141" s="14" t="str">
        <x:v>E-137</x:v>
      </x:c>
      <x:c r="B141" s="14" t="str">
        <x:v>G-035</x:v>
      </x:c>
      <x:c r="C141" s="14" t="str">
        <x:v>native</x:v>
      </x:c>
      <x:c r="D141" s="14" t="str">
        <x:v>NOT CREATED</x:v>
      </x:c>
      <x:c r="E141" s="14" t="str">
        <x:v>OPEN</x:v>
      </x:c>
    </x:row>
    <x:row r="142">
      <x:c r="A142" s="15" t="str">
        <x:v>E-138</x:v>
      </x:c>
      <x:c r="B142" s="15" t="str">
        <x:v>G-035</x:v>
      </x:c>
      <x:c r="C142" s="15" t="str">
        <x:v>calibration</x:v>
      </x:c>
      <x:c r="D142" s="15" t="str">
        <x:v>NOT CREATED</x:v>
      </x:c>
      <x:c r="E142" s="15" t="str">
        <x:v>OPEN</x:v>
      </x:c>
    </x:row>
    <x:row r="143">
      <x:c r="A143" s="14" t="str">
        <x:v>E-139</x:v>
      </x:c>
      <x:c r="B143" s="14" t="str">
        <x:v>G-035</x:v>
      </x:c>
      <x:c r="C143" s="14" t="str">
        <x:v>custody</x:v>
      </x:c>
      <x:c r="D143" s="14" t="str">
        <x:v>NOT CREATED</x:v>
      </x:c>
      <x:c r="E143" s="14" t="str">
        <x:v>OPEN</x:v>
      </x:c>
    </x:row>
    <x:row r="144">
      <x:c r="A144" s="15" t="str">
        <x:v>E-140</x:v>
      </x:c>
      <x:c r="B144" s="15" t="str">
        <x:v>G-035</x:v>
      </x:c>
      <x:c r="C144" s="15" t="str">
        <x:v>decision</x:v>
      </x:c>
      <x:c r="D144" s="15" t="str">
        <x:v>NOT CREATED</x:v>
      </x:c>
      <x:c r="E144" s="15" t="str">
        <x:v>OPEN</x:v>
      </x:c>
    </x:row>
    <x:row r="145">
      <x:c r="A145" s="14" t="str">
        <x:v>E-141</x:v>
      </x:c>
      <x:c r="B145" s="14" t="str">
        <x:v>G-036</x:v>
      </x:c>
      <x:c r="C145" s="14" t="str">
        <x:v>native</x:v>
      </x:c>
      <x:c r="D145" s="14" t="str">
        <x:v>NOT CREATED</x:v>
      </x:c>
      <x:c r="E145" s="14" t="str">
        <x:v>OPEN</x:v>
      </x:c>
    </x:row>
    <x:row r="146">
      <x:c r="A146" s="15" t="str">
        <x:v>E-142</x:v>
      </x:c>
      <x:c r="B146" s="15" t="str">
        <x:v>G-036</x:v>
      </x:c>
      <x:c r="C146" s="15" t="str">
        <x:v>calibration</x:v>
      </x:c>
      <x:c r="D146" s="15" t="str">
        <x:v>NOT CREATED</x:v>
      </x:c>
      <x:c r="E146" s="15" t="str">
        <x:v>OPEN</x:v>
      </x:c>
    </x:row>
    <x:row r="147">
      <x:c r="A147" s="14" t="str">
        <x:v>E-143</x:v>
      </x:c>
      <x:c r="B147" s="14" t="str">
        <x:v>G-036</x:v>
      </x:c>
      <x:c r="C147" s="14" t="str">
        <x:v>custody</x:v>
      </x:c>
      <x:c r="D147" s="14" t="str">
        <x:v>NOT CREATED</x:v>
      </x:c>
      <x:c r="E147" s="14" t="str">
        <x:v>OPEN</x:v>
      </x:c>
    </x:row>
    <x:row r="148">
      <x:c r="A148" s="15" t="str">
        <x:v>E-144</x:v>
      </x:c>
      <x:c r="B148" s="15" t="str">
        <x:v>G-036</x:v>
      </x:c>
      <x:c r="C148" s="15" t="str">
        <x:v>decision</x:v>
      </x:c>
      <x:c r="D148" s="15" t="str">
        <x:v>NOT CREATED</x:v>
      </x:c>
      <x:c r="E148" s="15" t="str">
        <x:v>OPEN</x:v>
      </x:c>
    </x:row>
    <x:row r="149">
      <x:c r="A149" s="14" t="str">
        <x:v>E-145</x:v>
      </x:c>
      <x:c r="B149" s="14" t="str">
        <x:v>G-037</x:v>
      </x:c>
      <x:c r="C149" s="14" t="str">
        <x:v>native</x:v>
      </x:c>
      <x:c r="D149" s="14" t="str">
        <x:v>NOT CREATED</x:v>
      </x:c>
      <x:c r="E149" s="14" t="str">
        <x:v>OPEN</x:v>
      </x:c>
    </x:row>
    <x:row r="150">
      <x:c r="A150" s="15" t="str">
        <x:v>E-146</x:v>
      </x:c>
      <x:c r="B150" s="15" t="str">
        <x:v>G-037</x:v>
      </x:c>
      <x:c r="C150" s="15" t="str">
        <x:v>calibration</x:v>
      </x:c>
      <x:c r="D150" s="15" t="str">
        <x:v>NOT CREATED</x:v>
      </x:c>
      <x:c r="E150" s="15" t="str">
        <x:v>OPEN</x:v>
      </x:c>
    </x:row>
    <x:row r="151">
      <x:c r="A151" s="14" t="str">
        <x:v>E-147</x:v>
      </x:c>
      <x:c r="B151" s="14" t="str">
        <x:v>G-037</x:v>
      </x:c>
      <x:c r="C151" s="14" t="str">
        <x:v>custody</x:v>
      </x:c>
      <x:c r="D151" s="14" t="str">
        <x:v>NOT CREATED</x:v>
      </x:c>
      <x:c r="E151" s="14" t="str">
        <x:v>OPEN</x:v>
      </x:c>
    </x:row>
    <x:row r="152">
      <x:c r="A152" s="15" t="str">
        <x:v>E-148</x:v>
      </x:c>
      <x:c r="B152" s="15" t="str">
        <x:v>G-037</x:v>
      </x:c>
      <x:c r="C152" s="15" t="str">
        <x:v>decision</x:v>
      </x:c>
      <x:c r="D152" s="15" t="str">
        <x:v>NOT CREATED</x:v>
      </x:c>
      <x:c r="E152" s="15" t="str">
        <x:v>OPEN</x:v>
      </x:c>
    </x:row>
    <x:row r="153">
      <x:c r="A153" s="14" t="str">
        <x:v>E-149</x:v>
      </x:c>
      <x:c r="B153" s="14" t="str">
        <x:v>G-038</x:v>
      </x:c>
      <x:c r="C153" s="14" t="str">
        <x:v>native</x:v>
      </x:c>
      <x:c r="D153" s="14" t="str">
        <x:v>NOT CREATED</x:v>
      </x:c>
      <x:c r="E153" s="14" t="str">
        <x:v>OPEN</x:v>
      </x:c>
    </x:row>
    <x:row r="154">
      <x:c r="A154" s="15" t="str">
        <x:v>E-150</x:v>
      </x:c>
      <x:c r="B154" s="15" t="str">
        <x:v>G-038</x:v>
      </x:c>
      <x:c r="C154" s="15" t="str">
        <x:v>calibration</x:v>
      </x:c>
      <x:c r="D154" s="15" t="str">
        <x:v>NOT CREATED</x:v>
      </x:c>
      <x:c r="E154" s="15" t="str">
        <x:v>OPEN</x:v>
      </x:c>
    </x:row>
    <x:row r="155">
      <x:c r="A155" s="14" t="str">
        <x:v>E-151</x:v>
      </x:c>
      <x:c r="B155" s="14" t="str">
        <x:v>G-038</x:v>
      </x:c>
      <x:c r="C155" s="14" t="str">
        <x:v>custody</x:v>
      </x:c>
      <x:c r="D155" s="14" t="str">
        <x:v>NOT CREATED</x:v>
      </x:c>
      <x:c r="E155" s="14" t="str">
        <x:v>OPEN</x:v>
      </x:c>
    </x:row>
    <x:row r="156">
      <x:c r="A156" s="15" t="str">
        <x:v>E-152</x:v>
      </x:c>
      <x:c r="B156" s="15" t="str">
        <x:v>G-038</x:v>
      </x:c>
      <x:c r="C156" s="15" t="str">
        <x:v>decision</x:v>
      </x:c>
      <x:c r="D156" s="15" t="str">
        <x:v>NOT CREATED</x:v>
      </x:c>
      <x:c r="E156" s="15" t="str">
        <x:v>OPEN</x:v>
      </x:c>
    </x:row>
    <x:row r="157">
      <x:c r="A157" s="14" t="str">
        <x:v>E-153</x:v>
      </x:c>
      <x:c r="B157" s="14" t="str">
        <x:v>G-039</x:v>
      </x:c>
      <x:c r="C157" s="14" t="str">
        <x:v>native</x:v>
      </x:c>
      <x:c r="D157" s="14" t="str">
        <x:v>NOT CREATED</x:v>
      </x:c>
      <x:c r="E157" s="14" t="str">
        <x:v>OPEN</x:v>
      </x:c>
    </x:row>
    <x:row r="158">
      <x:c r="A158" s="15" t="str">
        <x:v>E-154</x:v>
      </x:c>
      <x:c r="B158" s="15" t="str">
        <x:v>G-039</x:v>
      </x:c>
      <x:c r="C158" s="15" t="str">
        <x:v>calibration</x:v>
      </x:c>
      <x:c r="D158" s="15" t="str">
        <x:v>NOT CREATED</x:v>
      </x:c>
      <x:c r="E158" s="15" t="str">
        <x:v>OPEN</x:v>
      </x:c>
    </x:row>
    <x:row r="159">
      <x:c r="A159" s="14" t="str">
        <x:v>E-155</x:v>
      </x:c>
      <x:c r="B159" s="14" t="str">
        <x:v>G-039</x:v>
      </x:c>
      <x:c r="C159" s="14" t="str">
        <x:v>custody</x:v>
      </x:c>
      <x:c r="D159" s="14" t="str">
        <x:v>NOT CREATED</x:v>
      </x:c>
      <x:c r="E159" s="14" t="str">
        <x:v>OPEN</x:v>
      </x:c>
    </x:row>
    <x:row r="160">
      <x:c r="A160" s="15" t="str">
        <x:v>E-156</x:v>
      </x:c>
      <x:c r="B160" s="15" t="str">
        <x:v>G-039</x:v>
      </x:c>
      <x:c r="C160" s="15" t="str">
        <x:v>decision</x:v>
      </x:c>
      <x:c r="D160" s="15" t="str">
        <x:v>NOT CREATED</x:v>
      </x:c>
      <x:c r="E160" s="15" t="str">
        <x:v>OPEN</x:v>
      </x:c>
    </x:row>
    <x:row r="161">
      <x:c r="A161" s="14" t="str">
        <x:v>E-157</x:v>
      </x:c>
      <x:c r="B161" s="14" t="str">
        <x:v>G-040</x:v>
      </x:c>
      <x:c r="C161" s="14" t="str">
        <x:v>native</x:v>
      </x:c>
      <x:c r="D161" s="14" t="str">
        <x:v>NOT CREATED</x:v>
      </x:c>
      <x:c r="E161" s="14" t="str">
        <x:v>OPEN</x:v>
      </x:c>
    </x:row>
    <x:row r="162">
      <x:c r="A162" s="15" t="str">
        <x:v>E-158</x:v>
      </x:c>
      <x:c r="B162" s="15" t="str">
        <x:v>G-040</x:v>
      </x:c>
      <x:c r="C162" s="15" t="str">
        <x:v>calibration</x:v>
      </x:c>
      <x:c r="D162" s="15" t="str">
        <x:v>NOT CREATED</x:v>
      </x:c>
      <x:c r="E162" s="15" t="str">
        <x:v>OPEN</x:v>
      </x:c>
    </x:row>
    <x:row r="163">
      <x:c r="A163" s="14" t="str">
        <x:v>E-159</x:v>
      </x:c>
      <x:c r="B163" s="14" t="str">
        <x:v>G-040</x:v>
      </x:c>
      <x:c r="C163" s="14" t="str">
        <x:v>custody</x:v>
      </x:c>
      <x:c r="D163" s="14" t="str">
        <x:v>NOT CREATED</x:v>
      </x:c>
      <x:c r="E163" s="14" t="str">
        <x:v>OPEN</x:v>
      </x:c>
    </x:row>
    <x:row r="164">
      <x:c r="A164" s="15" t="str">
        <x:v>E-160</x:v>
      </x:c>
      <x:c r="B164" s="15" t="str">
        <x:v>G-040</x:v>
      </x:c>
      <x:c r="C164" s="15" t="str">
        <x:v>decision</x:v>
      </x:c>
      <x:c r="D164" s="15" t="str">
        <x:v>NOT CREATED</x:v>
      </x:c>
      <x:c r="E164" s="15" t="str">
        <x:v>OPEN</x:v>
      </x:c>
    </x:row>
    <x:row r="165">
      <x:c r="A165" s="14" t="str">
        <x:v>E-161</x:v>
      </x:c>
      <x:c r="B165" s="14" t="str">
        <x:v>G-041</x:v>
      </x:c>
      <x:c r="C165" s="14" t="str">
        <x:v>native</x:v>
      </x:c>
      <x:c r="D165" s="14" t="str">
        <x:v>NOT CREATED</x:v>
      </x:c>
      <x:c r="E165" s="14" t="str">
        <x:v>OPEN</x:v>
      </x:c>
    </x:row>
    <x:row r="166">
      <x:c r="A166" s="15" t="str">
        <x:v>E-162</x:v>
      </x:c>
      <x:c r="B166" s="15" t="str">
        <x:v>G-041</x:v>
      </x:c>
      <x:c r="C166" s="15" t="str">
        <x:v>calibration</x:v>
      </x:c>
      <x:c r="D166" s="15" t="str">
        <x:v>NOT CREATED</x:v>
      </x:c>
      <x:c r="E166" s="15" t="str">
        <x:v>OPEN</x:v>
      </x:c>
    </x:row>
    <x:row r="167">
      <x:c r="A167" s="14" t="str">
        <x:v>E-163</x:v>
      </x:c>
      <x:c r="B167" s="14" t="str">
        <x:v>G-041</x:v>
      </x:c>
      <x:c r="C167" s="14" t="str">
        <x:v>custody</x:v>
      </x:c>
      <x:c r="D167" s="14" t="str">
        <x:v>NOT CREATED</x:v>
      </x:c>
      <x:c r="E167" s="14" t="str">
        <x:v>OPEN</x:v>
      </x:c>
    </x:row>
    <x:row r="168">
      <x:c r="A168" s="15" t="str">
        <x:v>E-164</x:v>
      </x:c>
      <x:c r="B168" s="15" t="str">
        <x:v>G-041</x:v>
      </x:c>
      <x:c r="C168" s="15" t="str">
        <x:v>decision</x:v>
      </x:c>
      <x:c r="D168" s="15" t="str">
        <x:v>NOT CREATED</x:v>
      </x:c>
      <x:c r="E168" s="15" t="str">
        <x:v>OPEN</x:v>
      </x:c>
    </x:row>
    <x:row r="169">
      <x:c r="A169" s="14" t="str">
        <x:v>E-165</x:v>
      </x:c>
      <x:c r="B169" s="14" t="str">
        <x:v>G-042</x:v>
      </x:c>
      <x:c r="C169" s="14" t="str">
        <x:v>native</x:v>
      </x:c>
      <x:c r="D169" s="14" t="str">
        <x:v>NOT CREATED</x:v>
      </x:c>
      <x:c r="E169" s="14" t="str">
        <x:v>OPEN</x:v>
      </x:c>
    </x:row>
    <x:row r="170">
      <x:c r="A170" s="15" t="str">
        <x:v>E-166</x:v>
      </x:c>
      <x:c r="B170" s="15" t="str">
        <x:v>G-042</x:v>
      </x:c>
      <x:c r="C170" s="15" t="str">
        <x:v>calibration</x:v>
      </x:c>
      <x:c r="D170" s="15" t="str">
        <x:v>NOT CREATED</x:v>
      </x:c>
      <x:c r="E170" s="15" t="str">
        <x:v>OPEN</x:v>
      </x:c>
    </x:row>
    <x:row r="171">
      <x:c r="A171" s="14" t="str">
        <x:v>E-167</x:v>
      </x:c>
      <x:c r="B171" s="14" t="str">
        <x:v>G-042</x:v>
      </x:c>
      <x:c r="C171" s="14" t="str">
        <x:v>custody</x:v>
      </x:c>
      <x:c r="D171" s="14" t="str">
        <x:v>NOT CREATED</x:v>
      </x:c>
      <x:c r="E171" s="14" t="str">
        <x:v>OPEN</x:v>
      </x:c>
    </x:row>
    <x:row r="172">
      <x:c r="A172" s="15" t="str">
        <x:v>E-168</x:v>
      </x:c>
      <x:c r="B172" s="15" t="str">
        <x:v>G-042</x:v>
      </x:c>
      <x:c r="C172" s="15" t="str">
        <x:v>decision</x:v>
      </x:c>
      <x:c r="D172" s="15" t="str">
        <x:v>NOT CREATED</x:v>
      </x:c>
      <x:c r="E172" s="15" t="str">
        <x:v>OPEN</x:v>
      </x:c>
    </x:row>
    <x:row r="173">
      <x:c r="A173" s="14" t="str">
        <x:v>E-169</x:v>
      </x:c>
      <x:c r="B173" s="14" t="str">
        <x:v>G-043</x:v>
      </x:c>
      <x:c r="C173" s="14" t="str">
        <x:v>native</x:v>
      </x:c>
      <x:c r="D173" s="14" t="str">
        <x:v>NOT CREATED</x:v>
      </x:c>
      <x:c r="E173" s="14" t="str">
        <x:v>OPEN</x:v>
      </x:c>
    </x:row>
    <x:row r="174">
      <x:c r="A174" s="15" t="str">
        <x:v>E-170</x:v>
      </x:c>
      <x:c r="B174" s="15" t="str">
        <x:v>G-043</x:v>
      </x:c>
      <x:c r="C174" s="15" t="str">
        <x:v>calibration</x:v>
      </x:c>
      <x:c r="D174" s="15" t="str">
        <x:v>NOT CREATED</x:v>
      </x:c>
      <x:c r="E174" s="15" t="str">
        <x:v>OPEN</x:v>
      </x:c>
    </x:row>
    <x:row r="175">
      <x:c r="A175" s="14" t="str">
        <x:v>E-171</x:v>
      </x:c>
      <x:c r="B175" s="14" t="str">
        <x:v>G-043</x:v>
      </x:c>
      <x:c r="C175" s="14" t="str">
        <x:v>custody</x:v>
      </x:c>
      <x:c r="D175" s="14" t="str">
        <x:v>NOT CREATED</x:v>
      </x:c>
      <x:c r="E175" s="14" t="str">
        <x:v>OPEN</x:v>
      </x:c>
    </x:row>
    <x:row r="176">
      <x:c r="A176" s="15" t="str">
        <x:v>E-172</x:v>
      </x:c>
      <x:c r="B176" s="15" t="str">
        <x:v>G-043</x:v>
      </x:c>
      <x:c r="C176" s="15" t="str">
        <x:v>decision</x:v>
      </x:c>
      <x:c r="D176" s="15" t="str">
        <x:v>NOT CREATED</x:v>
      </x:c>
      <x:c r="E176" s="15" t="str">
        <x:v>OPEN</x:v>
      </x:c>
    </x:row>
    <x:row r="177">
      <x:c r="A177" s="14" t="str">
        <x:v>E-173</x:v>
      </x:c>
      <x:c r="B177" s="14" t="str">
        <x:v>G-044</x:v>
      </x:c>
      <x:c r="C177" s="14" t="str">
        <x:v>native</x:v>
      </x:c>
      <x:c r="D177" s="14" t="str">
        <x:v>NOT CREATED</x:v>
      </x:c>
      <x:c r="E177" s="14" t="str">
        <x:v>OPEN</x:v>
      </x:c>
    </x:row>
    <x:row r="178">
      <x:c r="A178" s="15" t="str">
        <x:v>E-174</x:v>
      </x:c>
      <x:c r="B178" s="15" t="str">
        <x:v>G-044</x:v>
      </x:c>
      <x:c r="C178" s="15" t="str">
        <x:v>calibration</x:v>
      </x:c>
      <x:c r="D178" s="15" t="str">
        <x:v>NOT CREATED</x:v>
      </x:c>
      <x:c r="E178" s="15" t="str">
        <x:v>OPEN</x:v>
      </x:c>
    </x:row>
    <x:row r="179">
      <x:c r="A179" s="14" t="str">
        <x:v>E-175</x:v>
      </x:c>
      <x:c r="B179" s="14" t="str">
        <x:v>G-044</x:v>
      </x:c>
      <x:c r="C179" s="14" t="str">
        <x:v>custody</x:v>
      </x:c>
      <x:c r="D179" s="14" t="str">
        <x:v>NOT CREATED</x:v>
      </x:c>
      <x:c r="E179" s="14" t="str">
        <x:v>OPEN</x:v>
      </x:c>
    </x:row>
    <x:row r="180">
      <x:c r="A180" s="15" t="str">
        <x:v>E-176</x:v>
      </x:c>
      <x:c r="B180" s="15" t="str">
        <x:v>G-044</x:v>
      </x:c>
      <x:c r="C180" s="15" t="str">
        <x:v>decision</x:v>
      </x:c>
      <x:c r="D180" s="15" t="str">
        <x:v>NOT CREATED</x:v>
      </x:c>
      <x:c r="E180" s="15" t="str">
        <x:v>OPEN</x:v>
      </x:c>
    </x:row>
    <x:row r="181">
      <x:c r="A181" s="14" t="str">
        <x:v>E-177</x:v>
      </x:c>
      <x:c r="B181" s="14" t="str">
        <x:v>G-045</x:v>
      </x:c>
      <x:c r="C181" s="14" t="str">
        <x:v>native</x:v>
      </x:c>
      <x:c r="D181" s="14" t="str">
        <x:v>NOT CREATED</x:v>
      </x:c>
      <x:c r="E181" s="14" t="str">
        <x:v>OPEN</x:v>
      </x:c>
    </x:row>
    <x:row r="182">
      <x:c r="A182" s="15" t="str">
        <x:v>E-178</x:v>
      </x:c>
      <x:c r="B182" s="15" t="str">
        <x:v>G-045</x:v>
      </x:c>
      <x:c r="C182" s="15" t="str">
        <x:v>calibration</x:v>
      </x:c>
      <x:c r="D182" s="15" t="str">
        <x:v>NOT CREATED</x:v>
      </x:c>
      <x:c r="E182" s="15" t="str">
        <x:v>OPEN</x:v>
      </x:c>
    </x:row>
    <x:row r="183">
      <x:c r="A183" s="14" t="str">
        <x:v>E-179</x:v>
      </x:c>
      <x:c r="B183" s="14" t="str">
        <x:v>G-045</x:v>
      </x:c>
      <x:c r="C183" s="14" t="str">
        <x:v>custody</x:v>
      </x:c>
      <x:c r="D183" s="14" t="str">
        <x:v>NOT CREATED</x:v>
      </x:c>
      <x:c r="E183" s="14" t="str">
        <x:v>OPEN</x:v>
      </x:c>
    </x:row>
    <x:row r="184">
      <x:c r="A184" s="15" t="str">
        <x:v>E-180</x:v>
      </x:c>
      <x:c r="B184" s="15" t="str">
        <x:v>G-045</x:v>
      </x:c>
      <x:c r="C184" s="15" t="str">
        <x:v>decision</x:v>
      </x:c>
      <x:c r="D184" s="15" t="str">
        <x:v>NOT CREATED</x:v>
      </x:c>
      <x:c r="E184" s="15" t="str">
        <x:v>OPEN</x:v>
      </x:c>
    </x:row>
    <x:row r="185">
      <x:c r="A185" s="14" t="str">
        <x:v>E-181</x:v>
      </x:c>
      <x:c r="B185" s="14" t="str">
        <x:v>G-046</x:v>
      </x:c>
      <x:c r="C185" s="14" t="str">
        <x:v>native</x:v>
      </x:c>
      <x:c r="D185" s="14" t="str">
        <x:v>NOT CREATED</x:v>
      </x:c>
      <x:c r="E185" s="14" t="str">
        <x:v>OPEN</x:v>
      </x:c>
    </x:row>
    <x:row r="186">
      <x:c r="A186" s="15" t="str">
        <x:v>E-182</x:v>
      </x:c>
      <x:c r="B186" s="15" t="str">
        <x:v>G-046</x:v>
      </x:c>
      <x:c r="C186" s="15" t="str">
        <x:v>calibration</x:v>
      </x:c>
      <x:c r="D186" s="15" t="str">
        <x:v>NOT CREATED</x:v>
      </x:c>
      <x:c r="E186" s="15" t="str">
        <x:v>OPEN</x:v>
      </x:c>
    </x:row>
    <x:row r="187">
      <x:c r="A187" s="14" t="str">
        <x:v>E-183</x:v>
      </x:c>
      <x:c r="B187" s="14" t="str">
        <x:v>G-046</x:v>
      </x:c>
      <x:c r="C187" s="14" t="str">
        <x:v>custody</x:v>
      </x:c>
      <x:c r="D187" s="14" t="str">
        <x:v>NOT CREATED</x:v>
      </x:c>
      <x:c r="E187" s="14" t="str">
        <x:v>OPEN</x:v>
      </x:c>
    </x:row>
    <x:row r="188">
      <x:c r="A188" s="15" t="str">
        <x:v>E-184</x:v>
      </x:c>
      <x:c r="B188" s="15" t="str">
        <x:v>G-046</x:v>
      </x:c>
      <x:c r="C188" s="15" t="str">
        <x:v>decision</x:v>
      </x:c>
      <x:c r="D188" s="15" t="str">
        <x:v>NOT CREATED</x:v>
      </x:c>
      <x:c r="E188" s="15" t="str">
        <x:v>OPEN</x:v>
      </x:c>
    </x:row>
    <x:row r="189">
      <x:c r="A189" s="14" t="str">
        <x:v>E-185</x:v>
      </x:c>
      <x:c r="B189" s="14" t="str">
        <x:v>G-047</x:v>
      </x:c>
      <x:c r="C189" s="14" t="str">
        <x:v>native</x:v>
      </x:c>
      <x:c r="D189" s="14" t="str">
        <x:v>NOT CREATED</x:v>
      </x:c>
      <x:c r="E189" s="14" t="str">
        <x:v>OPEN</x:v>
      </x:c>
    </x:row>
    <x:row r="190">
      <x:c r="A190" s="15" t="str">
        <x:v>E-186</x:v>
      </x:c>
      <x:c r="B190" s="15" t="str">
        <x:v>G-047</x:v>
      </x:c>
      <x:c r="C190" s="15" t="str">
        <x:v>calibration</x:v>
      </x:c>
      <x:c r="D190" s="15" t="str">
        <x:v>NOT CREATED</x:v>
      </x:c>
      <x:c r="E190" s="15" t="str">
        <x:v>OPEN</x:v>
      </x:c>
    </x:row>
    <x:row r="191">
      <x:c r="A191" s="14" t="str">
        <x:v>E-187</x:v>
      </x:c>
      <x:c r="B191" s="14" t="str">
        <x:v>G-047</x:v>
      </x:c>
      <x:c r="C191" s="14" t="str">
        <x:v>custody</x:v>
      </x:c>
      <x:c r="D191" s="14" t="str">
        <x:v>NOT CREATED</x:v>
      </x:c>
      <x:c r="E191" s="14" t="str">
        <x:v>OPEN</x:v>
      </x:c>
    </x:row>
    <x:row r="192">
      <x:c r="A192" s="15" t="str">
        <x:v>E-188</x:v>
      </x:c>
      <x:c r="B192" s="15" t="str">
        <x:v>G-047</x:v>
      </x:c>
      <x:c r="C192" s="15" t="str">
        <x:v>decision</x:v>
      </x:c>
      <x:c r="D192" s="15" t="str">
        <x:v>NOT CREATED</x:v>
      </x:c>
      <x:c r="E192" s="15" t="str">
        <x:v>OPEN</x:v>
      </x:c>
    </x:row>
    <x:row r="193">
      <x:c r="A193" s="14" t="str">
        <x:v>E-189</x:v>
      </x:c>
      <x:c r="B193" s="14" t="str">
        <x:v>G-048</x:v>
      </x:c>
      <x:c r="C193" s="14" t="str">
        <x:v>native</x:v>
      </x:c>
      <x:c r="D193" s="14" t="str">
        <x:v>NOT CREATED</x:v>
      </x:c>
      <x:c r="E193" s="14" t="str">
        <x:v>OPEN</x:v>
      </x:c>
    </x:row>
    <x:row r="194">
      <x:c r="A194" s="15" t="str">
        <x:v>E-190</x:v>
      </x:c>
      <x:c r="B194" s="15" t="str">
        <x:v>G-048</x:v>
      </x:c>
      <x:c r="C194" s="15" t="str">
        <x:v>calibration</x:v>
      </x:c>
      <x:c r="D194" s="15" t="str">
        <x:v>NOT CREATED</x:v>
      </x:c>
      <x:c r="E194" s="15" t="str">
        <x:v>OPEN</x:v>
      </x:c>
    </x:row>
    <x:row r="195">
      <x:c r="A195" s="14" t="str">
        <x:v>E-191</x:v>
      </x:c>
      <x:c r="B195" s="14" t="str">
        <x:v>G-048</x:v>
      </x:c>
      <x:c r="C195" s="14" t="str">
        <x:v>custody</x:v>
      </x:c>
      <x:c r="D195" s="14" t="str">
        <x:v>NOT CREATED</x:v>
      </x:c>
      <x:c r="E195" s="14" t="str">
        <x:v>OPEN</x:v>
      </x:c>
    </x:row>
    <x:row r="196">
      <x:c r="A196" s="15" t="str">
        <x:v>E-192</x:v>
      </x:c>
      <x:c r="B196" s="15" t="str">
        <x:v>G-048</x:v>
      </x:c>
      <x:c r="C196" s="15" t="str">
        <x:v>decision</x:v>
      </x:c>
      <x:c r="D196" s="15" t="str">
        <x:v>NOT CREATED</x:v>
      </x:c>
      <x:c r="E196" s="15" t="str">
        <x:v>OPEN</x:v>
      </x:c>
    </x:row>
    <x:row r="197">
      <x:c r="A197" s="14" t="str">
        <x:v>E-193</x:v>
      </x:c>
      <x:c r="B197" s="14" t="str">
        <x:v>G-049</x:v>
      </x:c>
      <x:c r="C197" s="14" t="str">
        <x:v>native</x:v>
      </x:c>
      <x:c r="D197" s="14" t="str">
        <x:v>NOT CREATED</x:v>
      </x:c>
      <x:c r="E197" s="14" t="str">
        <x:v>OPEN</x:v>
      </x:c>
    </x:row>
    <x:row r="198">
      <x:c r="A198" s="15" t="str">
        <x:v>E-194</x:v>
      </x:c>
      <x:c r="B198" s="15" t="str">
        <x:v>G-049</x:v>
      </x:c>
      <x:c r="C198" s="15" t="str">
        <x:v>calibration</x:v>
      </x:c>
      <x:c r="D198" s="15" t="str">
        <x:v>NOT CREATED</x:v>
      </x:c>
      <x:c r="E198" s="15" t="str">
        <x:v>OPEN</x:v>
      </x:c>
    </x:row>
    <x:row r="199">
      <x:c r="A199" s="14" t="str">
        <x:v>E-195</x:v>
      </x:c>
      <x:c r="B199" s="14" t="str">
        <x:v>G-049</x:v>
      </x:c>
      <x:c r="C199" s="14" t="str">
        <x:v>custody</x:v>
      </x:c>
      <x:c r="D199" s="14" t="str">
        <x:v>NOT CREATED</x:v>
      </x:c>
      <x:c r="E199" s="14" t="str">
        <x:v>OPEN</x:v>
      </x:c>
    </x:row>
    <x:row r="200">
      <x:c r="A200" s="15" t="str">
        <x:v>E-196</x:v>
      </x:c>
      <x:c r="B200" s="15" t="str">
        <x:v>G-049</x:v>
      </x:c>
      <x:c r="C200" s="15" t="str">
        <x:v>decision</x:v>
      </x:c>
      <x:c r="D200" s="15" t="str">
        <x:v>NOT CREATED</x:v>
      </x:c>
      <x:c r="E200" s="15" t="str">
        <x:v>OPEN</x:v>
      </x:c>
    </x:row>
    <x:row r="201">
      <x:c r="A201" s="14" t="str">
        <x:v>E-197</x:v>
      </x:c>
      <x:c r="B201" s="14" t="str">
        <x:v>G-050</x:v>
      </x:c>
      <x:c r="C201" s="14" t="str">
        <x:v>native</x:v>
      </x:c>
      <x:c r="D201" s="14" t="str">
        <x:v>NOT CREATED</x:v>
      </x:c>
      <x:c r="E201" s="14" t="str">
        <x:v>OPEN</x:v>
      </x:c>
    </x:row>
    <x:row r="202">
      <x:c r="A202" s="15" t="str">
        <x:v>E-198</x:v>
      </x:c>
      <x:c r="B202" s="15" t="str">
        <x:v>G-050</x:v>
      </x:c>
      <x:c r="C202" s="15" t="str">
        <x:v>calibration</x:v>
      </x:c>
      <x:c r="D202" s="15" t="str">
        <x:v>NOT CREATED</x:v>
      </x:c>
      <x:c r="E202" s="15" t="str">
        <x:v>OPEN</x:v>
      </x:c>
    </x:row>
    <x:row r="203">
      <x:c r="A203" s="14" t="str">
        <x:v>E-199</x:v>
      </x:c>
      <x:c r="B203" s="14" t="str">
        <x:v>G-050</x:v>
      </x:c>
      <x:c r="C203" s="14" t="str">
        <x:v>custody</x:v>
      </x:c>
      <x:c r="D203" s="14" t="str">
        <x:v>NOT CREATED</x:v>
      </x:c>
      <x:c r="E203" s="14" t="str">
        <x:v>OPEN</x:v>
      </x:c>
    </x:row>
    <x:row r="204">
      <x:c r="A204" s="15" t="str">
        <x:v>E-200</x:v>
      </x:c>
      <x:c r="B204" s="15" t="str">
        <x:v>G-050</x:v>
      </x:c>
      <x:c r="C204" s="15" t="str">
        <x:v>decision</x:v>
      </x:c>
      <x:c r="D204" s="15" t="str">
        <x:v>NOT CREATED</x:v>
      </x:c>
      <x:c r="E204" s="15" t="str">
        <x:v>OPEN</x:v>
      </x:c>
    </x:row>
    <x:row r="205">
      <x:c r="A205" s="14" t="str">
        <x:v>E-201</x:v>
      </x:c>
      <x:c r="B205" s="14" t="str">
        <x:v>G-051</x:v>
      </x:c>
      <x:c r="C205" s="14" t="str">
        <x:v>native</x:v>
      </x:c>
      <x:c r="D205" s="14" t="str">
        <x:v>NOT CREATED</x:v>
      </x:c>
      <x:c r="E205" s="14" t="str">
        <x:v>OPEN</x:v>
      </x:c>
    </x:row>
    <x:row r="206">
      <x:c r="A206" s="15" t="str">
        <x:v>E-202</x:v>
      </x:c>
      <x:c r="B206" s="15" t="str">
        <x:v>G-051</x:v>
      </x:c>
      <x:c r="C206" s="15" t="str">
        <x:v>calibration</x:v>
      </x:c>
      <x:c r="D206" s="15" t="str">
        <x:v>NOT CREATED</x:v>
      </x:c>
      <x:c r="E206" s="15" t="str">
        <x:v>OPEN</x:v>
      </x:c>
    </x:row>
    <x:row r="207">
      <x:c r="A207" s="14" t="str">
        <x:v>E-203</x:v>
      </x:c>
      <x:c r="B207" s="14" t="str">
        <x:v>G-051</x:v>
      </x:c>
      <x:c r="C207" s="14" t="str">
        <x:v>custody</x:v>
      </x:c>
      <x:c r="D207" s="14" t="str">
        <x:v>NOT CREATED</x:v>
      </x:c>
      <x:c r="E207" s="14" t="str">
        <x:v>OPEN</x:v>
      </x:c>
    </x:row>
    <x:row r="208">
      <x:c r="A208" s="15" t="str">
        <x:v>E-204</x:v>
      </x:c>
      <x:c r="B208" s="15" t="str">
        <x:v>G-051</x:v>
      </x:c>
      <x:c r="C208" s="15" t="str">
        <x:v>decision</x:v>
      </x:c>
      <x:c r="D208" s="15" t="str">
        <x:v>NOT CREATED</x:v>
      </x:c>
      <x:c r="E208" s="15" t="str">
        <x:v>OPEN</x:v>
      </x:c>
    </x:row>
    <x:row r="209">
      <x:c r="A209" s="14" t="str">
        <x:v>E-205</x:v>
      </x:c>
      <x:c r="B209" s="14" t="str">
        <x:v>G-052</x:v>
      </x:c>
      <x:c r="C209" s="14" t="str">
        <x:v>native</x:v>
      </x:c>
      <x:c r="D209" s="14" t="str">
        <x:v>NOT CREATED</x:v>
      </x:c>
      <x:c r="E209" s="14" t="str">
        <x:v>OPEN</x:v>
      </x:c>
    </x:row>
    <x:row r="210">
      <x:c r="A210" s="15" t="str">
        <x:v>E-206</x:v>
      </x:c>
      <x:c r="B210" s="15" t="str">
        <x:v>G-052</x:v>
      </x:c>
      <x:c r="C210" s="15" t="str">
        <x:v>calibration</x:v>
      </x:c>
      <x:c r="D210" s="15" t="str">
        <x:v>NOT CREATED</x:v>
      </x:c>
      <x:c r="E210" s="15" t="str">
        <x:v>OPEN</x:v>
      </x:c>
    </x:row>
    <x:row r="211">
      <x:c r="A211" s="14" t="str">
        <x:v>E-207</x:v>
      </x:c>
      <x:c r="B211" s="14" t="str">
        <x:v>G-052</x:v>
      </x:c>
      <x:c r="C211" s="14" t="str">
        <x:v>custody</x:v>
      </x:c>
      <x:c r="D211" s="14" t="str">
        <x:v>NOT CREATED</x:v>
      </x:c>
      <x:c r="E211" s="14" t="str">
        <x:v>OPEN</x:v>
      </x:c>
    </x:row>
    <x:row r="212">
      <x:c r="A212" s="15" t="str">
        <x:v>E-208</x:v>
      </x:c>
      <x:c r="B212" s="15" t="str">
        <x:v>G-052</x:v>
      </x:c>
      <x:c r="C212" s="15" t="str">
        <x:v>decision</x:v>
      </x:c>
      <x:c r="D212" s="15" t="str">
        <x:v>NOT CREATED</x:v>
      </x:c>
      <x:c r="E212" s="15" t="str">
        <x:v>OPEN</x:v>
      </x:c>
    </x:row>
    <x:row r="213">
      <x:c r="A213" s="14" t="str">
        <x:v>E-209</x:v>
      </x:c>
      <x:c r="B213" s="14" t="str">
        <x:v>G-053</x:v>
      </x:c>
      <x:c r="C213" s="14" t="str">
        <x:v>native</x:v>
      </x:c>
      <x:c r="D213" s="14" t="str">
        <x:v>NOT CREATED</x:v>
      </x:c>
      <x:c r="E213" s="14" t="str">
        <x:v>OPEN</x:v>
      </x:c>
    </x:row>
    <x:row r="214">
      <x:c r="A214" s="15" t="str">
        <x:v>E-210</x:v>
      </x:c>
      <x:c r="B214" s="15" t="str">
        <x:v>G-053</x:v>
      </x:c>
      <x:c r="C214" s="15" t="str">
        <x:v>calibration</x:v>
      </x:c>
      <x:c r="D214" s="15" t="str">
        <x:v>NOT CREATED</x:v>
      </x:c>
      <x:c r="E214" s="15" t="str">
        <x:v>OPEN</x:v>
      </x:c>
    </x:row>
    <x:row r="215">
      <x:c r="A215" s="14" t="str">
        <x:v>E-211</x:v>
      </x:c>
      <x:c r="B215" s="14" t="str">
        <x:v>G-053</x:v>
      </x:c>
      <x:c r="C215" s="14" t="str">
        <x:v>custody</x:v>
      </x:c>
      <x:c r="D215" s="14" t="str">
        <x:v>NOT CREATED</x:v>
      </x:c>
      <x:c r="E215" s="14" t="str">
        <x:v>OPEN</x:v>
      </x:c>
    </x:row>
    <x:row r="216">
      <x:c r="A216" s="15" t="str">
        <x:v>E-212</x:v>
      </x:c>
      <x:c r="B216" s="15" t="str">
        <x:v>G-053</x:v>
      </x:c>
      <x:c r="C216" s="15" t="str">
        <x:v>decision</x:v>
      </x:c>
      <x:c r="D216" s="15" t="str">
        <x:v>NOT CREATED</x:v>
      </x:c>
      <x:c r="E216" s="15" t="str">
        <x:v>OPEN</x:v>
      </x:c>
    </x:row>
    <x:row r="217">
      <x:c r="A217" s="14" t="str">
        <x:v>E-213</x:v>
      </x:c>
      <x:c r="B217" s="14" t="str">
        <x:v>G-054</x:v>
      </x:c>
      <x:c r="C217" s="14" t="str">
        <x:v>native</x:v>
      </x:c>
      <x:c r="D217" s="14" t="str">
        <x:v>NOT CREATED</x:v>
      </x:c>
      <x:c r="E217" s="14" t="str">
        <x:v>OPEN</x:v>
      </x:c>
    </x:row>
    <x:row r="218">
      <x:c r="A218" s="15" t="str">
        <x:v>E-214</x:v>
      </x:c>
      <x:c r="B218" s="15" t="str">
        <x:v>G-054</x:v>
      </x:c>
      <x:c r="C218" s="15" t="str">
        <x:v>calibration</x:v>
      </x:c>
      <x:c r="D218" s="15" t="str">
        <x:v>NOT CREATED</x:v>
      </x:c>
      <x:c r="E218" s="15" t="str">
        <x:v>OPEN</x:v>
      </x:c>
    </x:row>
    <x:row r="219">
      <x:c r="A219" s="14" t="str">
        <x:v>E-215</x:v>
      </x:c>
      <x:c r="B219" s="14" t="str">
        <x:v>G-054</x:v>
      </x:c>
      <x:c r="C219" s="14" t="str">
        <x:v>custody</x:v>
      </x:c>
      <x:c r="D219" s="14" t="str">
        <x:v>NOT CREATED</x:v>
      </x:c>
      <x:c r="E219" s="14" t="str">
        <x:v>OPEN</x:v>
      </x:c>
    </x:row>
    <x:row r="220">
      <x:c r="A220" s="15" t="str">
        <x:v>E-216</x:v>
      </x:c>
      <x:c r="B220" s="15" t="str">
        <x:v>G-054</x:v>
      </x:c>
      <x:c r="C220" s="15" t="str">
        <x:v>decision</x:v>
      </x:c>
      <x:c r="D220" s="15" t="str">
        <x:v>NOT CREATED</x:v>
      </x:c>
      <x:c r="E220" s="15" t="str">
        <x:v>OPEN</x:v>
      </x:c>
    </x:row>
    <x:row r="221">
      <x:c r="A221" s="14" t="str">
        <x:v>E-217</x:v>
      </x:c>
      <x:c r="B221" s="14" t="str">
        <x:v>G-055</x:v>
      </x:c>
      <x:c r="C221" s="14" t="str">
        <x:v>native</x:v>
      </x:c>
      <x:c r="D221" s="14" t="str">
        <x:v>NOT CREATED</x:v>
      </x:c>
      <x:c r="E221" s="14" t="str">
        <x:v>OPEN</x:v>
      </x:c>
    </x:row>
    <x:row r="222">
      <x:c r="A222" s="15" t="str">
        <x:v>E-218</x:v>
      </x:c>
      <x:c r="B222" s="15" t="str">
        <x:v>G-055</x:v>
      </x:c>
      <x:c r="C222" s="15" t="str">
        <x:v>calibration</x:v>
      </x:c>
      <x:c r="D222" s="15" t="str">
        <x:v>NOT CREATED</x:v>
      </x:c>
      <x:c r="E222" s="15" t="str">
        <x:v>OPEN</x:v>
      </x:c>
    </x:row>
    <x:row r="223">
      <x:c r="A223" s="14" t="str">
        <x:v>E-219</x:v>
      </x:c>
      <x:c r="B223" s="14" t="str">
        <x:v>G-055</x:v>
      </x:c>
      <x:c r="C223" s="14" t="str">
        <x:v>custody</x:v>
      </x:c>
      <x:c r="D223" s="14" t="str">
        <x:v>NOT CREATED</x:v>
      </x:c>
      <x:c r="E223" s="14" t="str">
        <x:v>OPEN</x:v>
      </x:c>
    </x:row>
    <x:row r="224">
      <x:c r="A224" s="15" t="str">
        <x:v>E-220</x:v>
      </x:c>
      <x:c r="B224" s="15" t="str">
        <x:v>G-055</x:v>
      </x:c>
      <x:c r="C224" s="15" t="str">
        <x:v>decision</x:v>
      </x:c>
      <x:c r="D224" s="15" t="str">
        <x:v>NOT CREATED</x:v>
      </x:c>
      <x:c r="E224" s="15" t="str">
        <x:v>OPEN</x:v>
      </x:c>
    </x:row>
    <x:row r="225">
      <x:c r="A225" s="14" t="str">
        <x:v>E-221</x:v>
      </x:c>
      <x:c r="B225" s="14" t="str">
        <x:v>G-056</x:v>
      </x:c>
      <x:c r="C225" s="14" t="str">
        <x:v>native</x:v>
      </x:c>
      <x:c r="D225" s="14" t="str">
        <x:v>NOT CREATED</x:v>
      </x:c>
      <x:c r="E225" s="14" t="str">
        <x:v>OPEN</x:v>
      </x:c>
    </x:row>
    <x:row r="226">
      <x:c r="A226" s="15" t="str">
        <x:v>E-222</x:v>
      </x:c>
      <x:c r="B226" s="15" t="str">
        <x:v>G-056</x:v>
      </x:c>
      <x:c r="C226" s="15" t="str">
        <x:v>calibration</x:v>
      </x:c>
      <x:c r="D226" s="15" t="str">
        <x:v>NOT CREATED</x:v>
      </x:c>
      <x:c r="E226" s="15" t="str">
        <x:v>OPEN</x:v>
      </x:c>
    </x:row>
    <x:row r="227">
      <x:c r="A227" s="14" t="str">
        <x:v>E-223</x:v>
      </x:c>
      <x:c r="B227" s="14" t="str">
        <x:v>G-056</x:v>
      </x:c>
      <x:c r="C227" s="14" t="str">
        <x:v>custody</x:v>
      </x:c>
      <x:c r="D227" s="14" t="str">
        <x:v>NOT CREATED</x:v>
      </x:c>
      <x:c r="E227" s="14" t="str">
        <x:v>OPEN</x:v>
      </x:c>
    </x:row>
    <x:row r="228">
      <x:c r="A228" s="15" t="str">
        <x:v>E-224</x:v>
      </x:c>
      <x:c r="B228" s="15" t="str">
        <x:v>G-056</x:v>
      </x:c>
      <x:c r="C228" s="15" t="str">
        <x:v>decision</x:v>
      </x:c>
      <x:c r="D228" s="15" t="str">
        <x:v>NOT CREATED</x:v>
      </x:c>
      <x:c r="E228" s="15" t="str">
        <x:v>OPEN</x:v>
      </x:c>
    </x:row>
    <x:row r="229">
      <x:c r="A229" s="14" t="str">
        <x:v>E-225</x:v>
      </x:c>
      <x:c r="B229" s="14" t="str">
        <x:v>G-057</x:v>
      </x:c>
      <x:c r="C229" s="14" t="str">
        <x:v>native</x:v>
      </x:c>
      <x:c r="D229" s="14" t="str">
        <x:v>NOT CREATED</x:v>
      </x:c>
      <x:c r="E229" s="14" t="str">
        <x:v>OPEN</x:v>
      </x:c>
    </x:row>
    <x:row r="230">
      <x:c r="A230" s="15" t="str">
        <x:v>E-226</x:v>
      </x:c>
      <x:c r="B230" s="15" t="str">
        <x:v>G-057</x:v>
      </x:c>
      <x:c r="C230" s="15" t="str">
        <x:v>calibration</x:v>
      </x:c>
      <x:c r="D230" s="15" t="str">
        <x:v>NOT CREATED</x:v>
      </x:c>
      <x:c r="E230" s="15" t="str">
        <x:v>OPEN</x:v>
      </x:c>
    </x:row>
    <x:row r="231">
      <x:c r="A231" s="14" t="str">
        <x:v>E-227</x:v>
      </x:c>
      <x:c r="B231" s="14" t="str">
        <x:v>G-057</x:v>
      </x:c>
      <x:c r="C231" s="14" t="str">
        <x:v>custody</x:v>
      </x:c>
      <x:c r="D231" s="14" t="str">
        <x:v>NOT CREATED</x:v>
      </x:c>
      <x:c r="E231" s="14" t="str">
        <x:v>OPEN</x:v>
      </x:c>
    </x:row>
    <x:row r="232">
      <x:c r="A232" s="15" t="str">
        <x:v>E-228</x:v>
      </x:c>
      <x:c r="B232" s="15" t="str">
        <x:v>G-057</x:v>
      </x:c>
      <x:c r="C232" s="15" t="str">
        <x:v>decision</x:v>
      </x:c>
      <x:c r="D232" s="15" t="str">
        <x:v>NOT CREATED</x:v>
      </x:c>
      <x:c r="E232" s="15" t="str">
        <x:v>OPEN</x:v>
      </x:c>
    </x:row>
    <x:row r="233">
      <x:c r="A233" s="14" t="str">
        <x:v>E-229</x:v>
      </x:c>
      <x:c r="B233" s="14" t="str">
        <x:v>G-058</x:v>
      </x:c>
      <x:c r="C233" s="14" t="str">
        <x:v>native</x:v>
      </x:c>
      <x:c r="D233" s="14" t="str">
        <x:v>NOT CREATED</x:v>
      </x:c>
      <x:c r="E233" s="14" t="str">
        <x:v>OPEN</x:v>
      </x:c>
    </x:row>
    <x:row r="234">
      <x:c r="A234" s="15" t="str">
        <x:v>E-230</x:v>
      </x:c>
      <x:c r="B234" s="15" t="str">
        <x:v>G-058</x:v>
      </x:c>
      <x:c r="C234" s="15" t="str">
        <x:v>calibration</x:v>
      </x:c>
      <x:c r="D234" s="15" t="str">
        <x:v>NOT CREATED</x:v>
      </x:c>
      <x:c r="E234" s="15" t="str">
        <x:v>OPEN</x:v>
      </x:c>
    </x:row>
    <x:row r="235">
      <x:c r="A235" s="14" t="str">
        <x:v>E-231</x:v>
      </x:c>
      <x:c r="B235" s="14" t="str">
        <x:v>G-058</x:v>
      </x:c>
      <x:c r="C235" s="14" t="str">
        <x:v>custody</x:v>
      </x:c>
      <x:c r="D235" s="14" t="str">
        <x:v>NOT CREATED</x:v>
      </x:c>
      <x:c r="E235" s="14" t="str">
        <x:v>OPEN</x:v>
      </x:c>
    </x:row>
    <x:row r="236">
      <x:c r="A236" s="15" t="str">
        <x:v>E-232</x:v>
      </x:c>
      <x:c r="B236" s="15" t="str">
        <x:v>G-058</x:v>
      </x:c>
      <x:c r="C236" s="15" t="str">
        <x:v>decision</x:v>
      </x:c>
      <x:c r="D236" s="15" t="str">
        <x:v>NOT CREATED</x:v>
      </x:c>
      <x:c r="E236" s="15" t="str">
        <x:v>OPEN</x:v>
      </x:c>
    </x:row>
    <x:row r="237">
      <x:c r="A237" s="14" t="str">
        <x:v>E-233</x:v>
      </x:c>
      <x:c r="B237" s="14" t="str">
        <x:v>G-059</x:v>
      </x:c>
      <x:c r="C237" s="14" t="str">
        <x:v>native</x:v>
      </x:c>
      <x:c r="D237" s="14" t="str">
        <x:v>NOT CREATED</x:v>
      </x:c>
      <x:c r="E237" s="14" t="str">
        <x:v>OPEN</x:v>
      </x:c>
    </x:row>
    <x:row r="238">
      <x:c r="A238" s="15" t="str">
        <x:v>E-234</x:v>
      </x:c>
      <x:c r="B238" s="15" t="str">
        <x:v>G-059</x:v>
      </x:c>
      <x:c r="C238" s="15" t="str">
        <x:v>calibration</x:v>
      </x:c>
      <x:c r="D238" s="15" t="str">
        <x:v>NOT CREATED</x:v>
      </x:c>
      <x:c r="E238" s="15" t="str">
        <x:v>OPEN</x:v>
      </x:c>
    </x:row>
    <x:row r="239">
      <x:c r="A239" s="14" t="str">
        <x:v>E-235</x:v>
      </x:c>
      <x:c r="B239" s="14" t="str">
        <x:v>G-059</x:v>
      </x:c>
      <x:c r="C239" s="14" t="str">
        <x:v>custody</x:v>
      </x:c>
      <x:c r="D239" s="14" t="str">
        <x:v>NOT CREATED</x:v>
      </x:c>
      <x:c r="E239" s="14" t="str">
        <x:v>OPEN</x:v>
      </x:c>
    </x:row>
    <x:row r="240">
      <x:c r="A240" s="15" t="str">
        <x:v>E-236</x:v>
      </x:c>
      <x:c r="B240" s="15" t="str">
        <x:v>G-059</x:v>
      </x:c>
      <x:c r="C240" s="15" t="str">
        <x:v>decision</x:v>
      </x:c>
      <x:c r="D240" s="15" t="str">
        <x:v>NOT CREATED</x:v>
      </x:c>
      <x:c r="E240" s="15" t="str">
        <x:v>OPEN</x:v>
      </x:c>
    </x:row>
    <x:row r="241">
      <x:c r="A241" s="14" t="str">
        <x:v>E-237</x:v>
      </x:c>
      <x:c r="B241" s="14" t="str">
        <x:v>G-060</x:v>
      </x:c>
      <x:c r="C241" s="14" t="str">
        <x:v>native</x:v>
      </x:c>
      <x:c r="D241" s="14" t="str">
        <x:v>NOT CREATED</x:v>
      </x:c>
      <x:c r="E241" s="14" t="str">
        <x:v>OPEN</x:v>
      </x:c>
    </x:row>
    <x:row r="242">
      <x:c r="A242" s="15" t="str">
        <x:v>E-238</x:v>
      </x:c>
      <x:c r="B242" s="15" t="str">
        <x:v>G-060</x:v>
      </x:c>
      <x:c r="C242" s="15" t="str">
        <x:v>calibration</x:v>
      </x:c>
      <x:c r="D242" s="15" t="str">
        <x:v>NOT CREATED</x:v>
      </x:c>
      <x:c r="E242" s="15" t="str">
        <x:v>OPEN</x:v>
      </x:c>
    </x:row>
    <x:row r="243">
      <x:c r="A243" s="14" t="str">
        <x:v>E-239</x:v>
      </x:c>
      <x:c r="B243" s="14" t="str">
        <x:v>G-060</x:v>
      </x:c>
      <x:c r="C243" s="14" t="str">
        <x:v>custody</x:v>
      </x:c>
      <x:c r="D243" s="14" t="str">
        <x:v>NOT CREATED</x:v>
      </x:c>
      <x:c r="E243" s="14" t="str">
        <x:v>OPEN</x:v>
      </x:c>
    </x:row>
    <x:row r="244">
      <x:c r="A244" s="15" t="str">
        <x:v>E-240</x:v>
      </x:c>
      <x:c r="B244" s="15" t="str">
        <x:v>G-060</x:v>
      </x:c>
      <x:c r="C244" s="15" t="str">
        <x:v>decision</x:v>
      </x:c>
      <x:c r="D244" s="15" t="str">
        <x:v>NOT CREATED</x:v>
      </x:c>
      <x:c r="E244" s="15" t="str">
        <x:v>OPEN</x:v>
      </x:c>
    </x:row>
    <x:row r="245">
      <x:c r="A245" s="14" t="str">
        <x:v>E-241</x:v>
      </x:c>
      <x:c r="B245" s="14" t="str">
        <x:v>G-061</x:v>
      </x:c>
      <x:c r="C245" s="14" t="str">
        <x:v>native</x:v>
      </x:c>
      <x:c r="D245" s="14" t="str">
        <x:v>NOT CREATED</x:v>
      </x:c>
      <x:c r="E245" s="14" t="str">
        <x:v>OPEN</x:v>
      </x:c>
    </x:row>
    <x:row r="246">
      <x:c r="A246" s="15" t="str">
        <x:v>E-242</x:v>
      </x:c>
      <x:c r="B246" s="15" t="str">
        <x:v>G-061</x:v>
      </x:c>
      <x:c r="C246" s="15" t="str">
        <x:v>calibration</x:v>
      </x:c>
      <x:c r="D246" s="15" t="str">
        <x:v>NOT CREATED</x:v>
      </x:c>
      <x:c r="E246" s="15" t="str">
        <x:v>OPEN</x:v>
      </x:c>
    </x:row>
    <x:row r="247">
      <x:c r="A247" s="14" t="str">
        <x:v>E-243</x:v>
      </x:c>
      <x:c r="B247" s="14" t="str">
        <x:v>G-061</x:v>
      </x:c>
      <x:c r="C247" s="14" t="str">
        <x:v>custody</x:v>
      </x:c>
      <x:c r="D247" s="14" t="str">
        <x:v>NOT CREATED</x:v>
      </x:c>
      <x:c r="E247" s="14" t="str">
        <x:v>OPEN</x:v>
      </x:c>
    </x:row>
    <x:row r="248">
      <x:c r="A248" s="15" t="str">
        <x:v>E-244</x:v>
      </x:c>
      <x:c r="B248" s="15" t="str">
        <x:v>G-061</x:v>
      </x:c>
      <x:c r="C248" s="15" t="str">
        <x:v>decision</x:v>
      </x:c>
      <x:c r="D248" s="15" t="str">
        <x:v>NOT CREATED</x:v>
      </x:c>
      <x:c r="E248" s="15" t="str">
        <x:v>OPEN</x:v>
      </x:c>
    </x:row>
    <x:row r="249">
      <x:c r="A249" s="14" t="str">
        <x:v>E-245</x:v>
      </x:c>
      <x:c r="B249" s="14" t="str">
        <x:v>G-062</x:v>
      </x:c>
      <x:c r="C249" s="14" t="str">
        <x:v>native</x:v>
      </x:c>
      <x:c r="D249" s="14" t="str">
        <x:v>NOT CREATED</x:v>
      </x:c>
      <x:c r="E249" s="14" t="str">
        <x:v>OPEN</x:v>
      </x:c>
    </x:row>
    <x:row r="250">
      <x:c r="A250" s="15" t="str">
        <x:v>E-246</x:v>
      </x:c>
      <x:c r="B250" s="15" t="str">
        <x:v>G-062</x:v>
      </x:c>
      <x:c r="C250" s="15" t="str">
        <x:v>calibration</x:v>
      </x:c>
      <x:c r="D250" s="15" t="str">
        <x:v>NOT CREATED</x:v>
      </x:c>
      <x:c r="E250" s="15" t="str">
        <x:v>OPEN</x:v>
      </x:c>
    </x:row>
    <x:row r="251">
      <x:c r="A251" s="14" t="str">
        <x:v>E-247</x:v>
      </x:c>
      <x:c r="B251" s="14" t="str">
        <x:v>G-062</x:v>
      </x:c>
      <x:c r="C251" s="14" t="str">
        <x:v>custody</x:v>
      </x:c>
      <x:c r="D251" s="14" t="str">
        <x:v>NOT CREATED</x:v>
      </x:c>
      <x:c r="E251" s="14" t="str">
        <x:v>OPEN</x:v>
      </x:c>
    </x:row>
    <x:row r="252">
      <x:c r="A252" s="15" t="str">
        <x:v>E-248</x:v>
      </x:c>
      <x:c r="B252" s="15" t="str">
        <x:v>G-062</x:v>
      </x:c>
      <x:c r="C252" s="15" t="str">
        <x:v>decision</x:v>
      </x:c>
      <x:c r="D252" s="15" t="str">
        <x:v>NOT CREATED</x:v>
      </x:c>
      <x:c r="E252" s="15" t="str">
        <x:v>OPEN</x:v>
      </x:c>
    </x:row>
    <x:row r="253">
      <x:c r="A253" s="14" t="str">
        <x:v>E-249</x:v>
      </x:c>
      <x:c r="B253" s="14" t="str">
        <x:v>G-063</x:v>
      </x:c>
      <x:c r="C253" s="14" t="str">
        <x:v>native</x:v>
      </x:c>
      <x:c r="D253" s="14" t="str">
        <x:v>NOT CREATED</x:v>
      </x:c>
      <x:c r="E253" s="14" t="str">
        <x:v>OPEN</x:v>
      </x:c>
    </x:row>
    <x:row r="254">
      <x:c r="A254" s="15" t="str">
        <x:v>E-250</x:v>
      </x:c>
      <x:c r="B254" s="15" t="str">
        <x:v>G-063</x:v>
      </x:c>
      <x:c r="C254" s="15" t="str">
        <x:v>calibration</x:v>
      </x:c>
      <x:c r="D254" s="15" t="str">
        <x:v>NOT CREATED</x:v>
      </x:c>
      <x:c r="E254" s="15" t="str">
        <x:v>OPEN</x:v>
      </x:c>
    </x:row>
    <x:row r="255">
      <x:c r="A255" s="14" t="str">
        <x:v>E-251</x:v>
      </x:c>
      <x:c r="B255" s="14" t="str">
        <x:v>G-063</x:v>
      </x:c>
      <x:c r="C255" s="14" t="str">
        <x:v>custody</x:v>
      </x:c>
      <x:c r="D255" s="14" t="str">
        <x:v>NOT CREATED</x:v>
      </x:c>
      <x:c r="E255" s="14" t="str">
        <x:v>OPEN</x:v>
      </x:c>
    </x:row>
    <x:row r="256">
      <x:c r="A256" s="15" t="str">
        <x:v>E-252</x:v>
      </x:c>
      <x:c r="B256" s="15" t="str">
        <x:v>G-063</x:v>
      </x:c>
      <x:c r="C256" s="15" t="str">
        <x:v>decision</x:v>
      </x:c>
      <x:c r="D256" s="15" t="str">
        <x:v>NOT CREATED</x:v>
      </x:c>
      <x:c r="E256" s="15" t="str">
        <x:v>OPEN</x:v>
      </x:c>
    </x:row>
    <x:row r="257">
      <x:c r="A257" s="14" t="str">
        <x:v>E-253</x:v>
      </x:c>
      <x:c r="B257" s="14" t="str">
        <x:v>G-064</x:v>
      </x:c>
      <x:c r="C257" s="14" t="str">
        <x:v>native</x:v>
      </x:c>
      <x:c r="D257" s="14" t="str">
        <x:v>NOT CREATED</x:v>
      </x:c>
      <x:c r="E257" s="14" t="str">
        <x:v>OPEN</x:v>
      </x:c>
    </x:row>
    <x:row r="258">
      <x:c r="A258" s="15" t="str">
        <x:v>E-254</x:v>
      </x:c>
      <x:c r="B258" s="15" t="str">
        <x:v>G-064</x:v>
      </x:c>
      <x:c r="C258" s="15" t="str">
        <x:v>calibration</x:v>
      </x:c>
      <x:c r="D258" s="15" t="str">
        <x:v>NOT CREATED</x:v>
      </x:c>
      <x:c r="E258" s="15" t="str">
        <x:v>OPEN</x:v>
      </x:c>
    </x:row>
    <x:row r="259">
      <x:c r="A259" s="14" t="str">
        <x:v>E-255</x:v>
      </x:c>
      <x:c r="B259" s="14" t="str">
        <x:v>G-064</x:v>
      </x:c>
      <x:c r="C259" s="14" t="str">
        <x:v>custody</x:v>
      </x:c>
      <x:c r="D259" s="14" t="str">
        <x:v>NOT CREATED</x:v>
      </x:c>
      <x:c r="E259" s="14" t="str">
        <x:v>OPEN</x:v>
      </x:c>
    </x:row>
    <x:row r="260">
      <x:c r="A260" s="15" t="str">
        <x:v>E-256</x:v>
      </x:c>
      <x:c r="B260" s="15" t="str">
        <x:v>G-064</x:v>
      </x:c>
      <x:c r="C260" s="15" t="str">
        <x:v>decision</x:v>
      </x:c>
      <x:c r="D260" s="15" t="str">
        <x:v>NOT CREATED</x:v>
      </x:c>
      <x:c r="E260" s="15" t="str">
        <x:v>OPEN</x:v>
      </x:c>
    </x:row>
    <x:row r="261">
      <x:c r="A261" s="14" t="str">
        <x:v>E-257</x:v>
      </x:c>
      <x:c r="B261" s="14" t="str">
        <x:v>G-065</x:v>
      </x:c>
      <x:c r="C261" s="14" t="str">
        <x:v>native</x:v>
      </x:c>
      <x:c r="D261" s="14" t="str">
        <x:v>NOT CREATED</x:v>
      </x:c>
      <x:c r="E261" s="14" t="str">
        <x:v>OPEN</x:v>
      </x:c>
    </x:row>
    <x:row r="262">
      <x:c r="A262" s="15" t="str">
        <x:v>E-258</x:v>
      </x:c>
      <x:c r="B262" s="15" t="str">
        <x:v>G-065</x:v>
      </x:c>
      <x:c r="C262" s="15" t="str">
        <x:v>calibration</x:v>
      </x:c>
      <x:c r="D262" s="15" t="str">
        <x:v>NOT CREATED</x:v>
      </x:c>
      <x:c r="E262" s="15" t="str">
        <x:v>OPEN</x:v>
      </x:c>
    </x:row>
    <x:row r="263">
      <x:c r="A263" s="14" t="str">
        <x:v>E-259</x:v>
      </x:c>
      <x:c r="B263" s="14" t="str">
        <x:v>G-065</x:v>
      </x:c>
      <x:c r="C263" s="14" t="str">
        <x:v>custody</x:v>
      </x:c>
      <x:c r="D263" s="14" t="str">
        <x:v>NOT CREATED</x:v>
      </x:c>
      <x:c r="E263" s="14" t="str">
        <x:v>OPEN</x:v>
      </x:c>
    </x:row>
    <x:row r="264">
      <x:c r="A264" s="15" t="str">
        <x:v>E-260</x:v>
      </x:c>
      <x:c r="B264" s="15" t="str">
        <x:v>G-065</x:v>
      </x:c>
      <x:c r="C264" s="15" t="str">
        <x:v>decision</x:v>
      </x:c>
      <x:c r="D264" s="15" t="str">
        <x:v>NOT CREATED</x:v>
      </x:c>
      <x:c r="E264" s="15" t="str">
        <x:v>OPEN</x:v>
      </x:c>
    </x:row>
    <x:row r="265">
      <x:c r="A265" s="14" t="str">
        <x:v>E-261</x:v>
      </x:c>
      <x:c r="B265" s="14" t="str">
        <x:v>G-066</x:v>
      </x:c>
      <x:c r="C265" s="14" t="str">
        <x:v>native</x:v>
      </x:c>
      <x:c r="D265" s="14" t="str">
        <x:v>NOT CREATED</x:v>
      </x:c>
      <x:c r="E265" s="14" t="str">
        <x:v>OPEN</x:v>
      </x:c>
    </x:row>
    <x:row r="266">
      <x:c r="A266" s="15" t="str">
        <x:v>E-262</x:v>
      </x:c>
      <x:c r="B266" s="15" t="str">
        <x:v>G-066</x:v>
      </x:c>
      <x:c r="C266" s="15" t="str">
        <x:v>calibration</x:v>
      </x:c>
      <x:c r="D266" s="15" t="str">
        <x:v>NOT CREATED</x:v>
      </x:c>
      <x:c r="E266" s="15" t="str">
        <x:v>OPEN</x:v>
      </x:c>
    </x:row>
    <x:row r="267">
      <x:c r="A267" s="14" t="str">
        <x:v>E-263</x:v>
      </x:c>
      <x:c r="B267" s="14" t="str">
        <x:v>G-066</x:v>
      </x:c>
      <x:c r="C267" s="14" t="str">
        <x:v>custody</x:v>
      </x:c>
      <x:c r="D267" s="14" t="str">
        <x:v>NOT CREATED</x:v>
      </x:c>
      <x:c r="E267" s="14" t="str">
        <x:v>OPEN</x:v>
      </x:c>
    </x:row>
    <x:row r="268">
      <x:c r="A268" s="15" t="str">
        <x:v>E-264</x:v>
      </x:c>
      <x:c r="B268" s="15" t="str">
        <x:v>G-066</x:v>
      </x:c>
      <x:c r="C268" s="15" t="str">
        <x:v>decision</x:v>
      </x:c>
      <x:c r="D268" s="15" t="str">
        <x:v>NOT CREATED</x:v>
      </x:c>
      <x:c r="E268" s="15" t="str">
        <x:v>OPEN</x:v>
      </x:c>
    </x:row>
    <x:row r="269">
      <x:c r="A269" s="14" t="str">
        <x:v>E-265</x:v>
      </x:c>
      <x:c r="B269" s="14" t="str">
        <x:v>G-067</x:v>
      </x:c>
      <x:c r="C269" s="14" t="str">
        <x:v>native</x:v>
      </x:c>
      <x:c r="D269" s="14" t="str">
        <x:v>NOT CREATED</x:v>
      </x:c>
      <x:c r="E269" s="14" t="str">
        <x:v>OPEN</x:v>
      </x:c>
    </x:row>
    <x:row r="270">
      <x:c r="A270" s="15" t="str">
        <x:v>E-266</x:v>
      </x:c>
      <x:c r="B270" s="15" t="str">
        <x:v>G-067</x:v>
      </x:c>
      <x:c r="C270" s="15" t="str">
        <x:v>calibration</x:v>
      </x:c>
      <x:c r="D270" s="15" t="str">
        <x:v>NOT CREATED</x:v>
      </x:c>
      <x:c r="E270" s="15" t="str">
        <x:v>OPEN</x:v>
      </x:c>
    </x:row>
    <x:row r="271">
      <x:c r="A271" s="14" t="str">
        <x:v>E-267</x:v>
      </x:c>
      <x:c r="B271" s="14" t="str">
        <x:v>G-067</x:v>
      </x:c>
      <x:c r="C271" s="14" t="str">
        <x:v>custody</x:v>
      </x:c>
      <x:c r="D271" s="14" t="str">
        <x:v>NOT CREATED</x:v>
      </x:c>
      <x:c r="E271" s="14" t="str">
        <x:v>OPEN</x:v>
      </x:c>
    </x:row>
    <x:row r="272">
      <x:c r="A272" s="15" t="str">
        <x:v>E-268</x:v>
      </x:c>
      <x:c r="B272" s="15" t="str">
        <x:v>G-067</x:v>
      </x:c>
      <x:c r="C272" s="15" t="str">
        <x:v>decision</x:v>
      </x:c>
      <x:c r="D272" s="15" t="str">
        <x:v>NOT CREATED</x:v>
      </x:c>
      <x:c r="E272" s="15" t="str">
        <x:v>OPEN</x:v>
      </x:c>
    </x:row>
    <x:row r="273">
      <x:c r="A273" s="14" t="str">
        <x:v>E-269</x:v>
      </x:c>
      <x:c r="B273" s="14" t="str">
        <x:v>G-068</x:v>
      </x:c>
      <x:c r="C273" s="14" t="str">
        <x:v>native</x:v>
      </x:c>
      <x:c r="D273" s="14" t="str">
        <x:v>NOT CREATED</x:v>
      </x:c>
      <x:c r="E273" s="14" t="str">
        <x:v>OPEN</x:v>
      </x:c>
    </x:row>
    <x:row r="274">
      <x:c r="A274" s="15" t="str">
        <x:v>E-270</x:v>
      </x:c>
      <x:c r="B274" s="15" t="str">
        <x:v>G-068</x:v>
      </x:c>
      <x:c r="C274" s="15" t="str">
        <x:v>calibration</x:v>
      </x:c>
      <x:c r="D274" s="15" t="str">
        <x:v>NOT CREATED</x:v>
      </x:c>
      <x:c r="E274" s="15" t="str">
        <x:v>OPEN</x:v>
      </x:c>
    </x:row>
    <x:row r="275">
      <x:c r="A275" s="14" t="str">
        <x:v>E-271</x:v>
      </x:c>
      <x:c r="B275" s="14" t="str">
        <x:v>G-068</x:v>
      </x:c>
      <x:c r="C275" s="14" t="str">
        <x:v>custody</x:v>
      </x:c>
      <x:c r="D275" s="14" t="str">
        <x:v>NOT CREATED</x:v>
      </x:c>
      <x:c r="E275" s="14" t="str">
        <x:v>OPEN</x:v>
      </x:c>
    </x:row>
    <x:row r="276">
      <x:c r="A276" s="15" t="str">
        <x:v>E-272</x:v>
      </x:c>
      <x:c r="B276" s="15" t="str">
        <x:v>G-068</x:v>
      </x:c>
      <x:c r="C276" s="15" t="str">
        <x:v>decision</x:v>
      </x:c>
      <x:c r="D276" s="15" t="str">
        <x:v>NOT CREATED</x:v>
      </x:c>
      <x:c r="E276" s="15" t="str">
        <x:v>OPEN</x:v>
      </x:c>
    </x:row>
    <x:row r="277">
      <x:c r="A277" s="14" t="str">
        <x:v>E-273</x:v>
      </x:c>
      <x:c r="B277" s="14" t="str">
        <x:v>G-069</x:v>
      </x:c>
      <x:c r="C277" s="14" t="str">
        <x:v>native</x:v>
      </x:c>
      <x:c r="D277" s="14" t="str">
        <x:v>NOT CREATED</x:v>
      </x:c>
      <x:c r="E277" s="14" t="str">
        <x:v>OPEN</x:v>
      </x:c>
    </x:row>
    <x:row r="278">
      <x:c r="A278" s="15" t="str">
        <x:v>E-274</x:v>
      </x:c>
      <x:c r="B278" s="15" t="str">
        <x:v>G-069</x:v>
      </x:c>
      <x:c r="C278" s="15" t="str">
        <x:v>calibration</x:v>
      </x:c>
      <x:c r="D278" s="15" t="str">
        <x:v>NOT CREATED</x:v>
      </x:c>
      <x:c r="E278" s="15" t="str">
        <x:v>OPEN</x:v>
      </x:c>
    </x:row>
    <x:row r="279">
      <x:c r="A279" s="14" t="str">
        <x:v>E-275</x:v>
      </x:c>
      <x:c r="B279" s="14" t="str">
        <x:v>G-069</x:v>
      </x:c>
      <x:c r="C279" s="14" t="str">
        <x:v>custody</x:v>
      </x:c>
      <x:c r="D279" s="14" t="str">
        <x:v>NOT CREATED</x:v>
      </x:c>
      <x:c r="E279" s="14" t="str">
        <x:v>OPEN</x:v>
      </x:c>
    </x:row>
    <x:row r="280">
      <x:c r="A280" s="15" t="str">
        <x:v>E-276</x:v>
      </x:c>
      <x:c r="B280" s="15" t="str">
        <x:v>G-069</x:v>
      </x:c>
      <x:c r="C280" s="15" t="str">
        <x:v>decision</x:v>
      </x:c>
      <x:c r="D280" s="15" t="str">
        <x:v>NOT CREATED</x:v>
      </x:c>
      <x:c r="E280" s="15" t="str">
        <x:v>OPEN</x:v>
      </x:c>
    </x:row>
    <x:row r="281">
      <x:c r="A281" s="14" t="str">
        <x:v>E-277</x:v>
      </x:c>
      <x:c r="B281" s="14" t="str">
        <x:v>G-070</x:v>
      </x:c>
      <x:c r="C281" s="14" t="str">
        <x:v>native</x:v>
      </x:c>
      <x:c r="D281" s="14" t="str">
        <x:v>NOT CREATED</x:v>
      </x:c>
      <x:c r="E281" s="14" t="str">
        <x:v>OPEN</x:v>
      </x:c>
    </x:row>
    <x:row r="282">
      <x:c r="A282" s="15" t="str">
        <x:v>E-278</x:v>
      </x:c>
      <x:c r="B282" s="15" t="str">
        <x:v>G-070</x:v>
      </x:c>
      <x:c r="C282" s="15" t="str">
        <x:v>calibration</x:v>
      </x:c>
      <x:c r="D282" s="15" t="str">
        <x:v>NOT CREATED</x:v>
      </x:c>
      <x:c r="E282" s="15" t="str">
        <x:v>OPEN</x:v>
      </x:c>
    </x:row>
    <x:row r="283">
      <x:c r="A283" s="14" t="str">
        <x:v>E-279</x:v>
      </x:c>
      <x:c r="B283" s="14" t="str">
        <x:v>G-070</x:v>
      </x:c>
      <x:c r="C283" s="14" t="str">
        <x:v>custody</x:v>
      </x:c>
      <x:c r="D283" s="14" t="str">
        <x:v>NOT CREATED</x:v>
      </x:c>
      <x:c r="E283" s="14" t="str">
        <x:v>OPEN</x:v>
      </x:c>
    </x:row>
    <x:row r="284">
      <x:c r="A284" s="15" t="str">
        <x:v>E-280</x:v>
      </x:c>
      <x:c r="B284" s="15" t="str">
        <x:v>G-070</x:v>
      </x:c>
      <x:c r="C284" s="15" t="str">
        <x:v>decision</x:v>
      </x:c>
      <x:c r="D284" s="15" t="str">
        <x:v>NOT CREATED</x:v>
      </x:c>
      <x:c r="E284" s="15" t="str">
        <x:v>OPEN</x:v>
      </x:c>
    </x:row>
    <x:row r="285">
      <x:c r="A285" s="14" t="str">
        <x:v>E-281</x:v>
      </x:c>
      <x:c r="B285" s="14" t="str">
        <x:v>G-071</x:v>
      </x:c>
      <x:c r="C285" s="14" t="str">
        <x:v>native</x:v>
      </x:c>
      <x:c r="D285" s="14" t="str">
        <x:v>NOT CREATED</x:v>
      </x:c>
      <x:c r="E285" s="14" t="str">
        <x:v>OPEN</x:v>
      </x:c>
    </x:row>
    <x:row r="286">
      <x:c r="A286" s="15" t="str">
        <x:v>E-282</x:v>
      </x:c>
      <x:c r="B286" s="15" t="str">
        <x:v>G-071</x:v>
      </x:c>
      <x:c r="C286" s="15" t="str">
        <x:v>calibration</x:v>
      </x:c>
      <x:c r="D286" s="15" t="str">
        <x:v>NOT CREATED</x:v>
      </x:c>
      <x:c r="E286" s="15" t="str">
        <x:v>OPEN</x:v>
      </x:c>
    </x:row>
    <x:row r="287">
      <x:c r="A287" s="14" t="str">
        <x:v>E-283</x:v>
      </x:c>
      <x:c r="B287" s="14" t="str">
        <x:v>G-071</x:v>
      </x:c>
      <x:c r="C287" s="14" t="str">
        <x:v>custody</x:v>
      </x:c>
      <x:c r="D287" s="14" t="str">
        <x:v>NOT CREATED</x:v>
      </x:c>
      <x:c r="E287" s="14" t="str">
        <x:v>OPEN</x:v>
      </x:c>
    </x:row>
    <x:row r="288">
      <x:c r="A288" s="15" t="str">
        <x:v>E-284</x:v>
      </x:c>
      <x:c r="B288" s="15" t="str">
        <x:v>G-071</x:v>
      </x:c>
      <x:c r="C288" s="15" t="str">
        <x:v>decision</x:v>
      </x:c>
      <x:c r="D288" s="15" t="str">
        <x:v>NOT CREATED</x:v>
      </x:c>
      <x:c r="E288" s="15" t="str">
        <x:v>OPEN</x:v>
      </x:c>
    </x:row>
    <x:row r="289">
      <x:c r="A289" s="14" t="str">
        <x:v>E-285</x:v>
      </x:c>
      <x:c r="B289" s="14" t="str">
        <x:v>G-072</x:v>
      </x:c>
      <x:c r="C289" s="14" t="str">
        <x:v>native</x:v>
      </x:c>
      <x:c r="D289" s="14" t="str">
        <x:v>NOT CREATED</x:v>
      </x:c>
      <x:c r="E289" s="14" t="str">
        <x:v>OPEN</x:v>
      </x:c>
    </x:row>
    <x:row r="290">
      <x:c r="A290" s="15" t="str">
        <x:v>E-286</x:v>
      </x:c>
      <x:c r="B290" s="15" t="str">
        <x:v>G-072</x:v>
      </x:c>
      <x:c r="C290" s="15" t="str">
        <x:v>calibration</x:v>
      </x:c>
      <x:c r="D290" s="15" t="str">
        <x:v>NOT CREATED</x:v>
      </x:c>
      <x:c r="E290" s="15" t="str">
        <x:v>OPEN</x:v>
      </x:c>
    </x:row>
    <x:row r="291">
      <x:c r="A291" s="14" t="str">
        <x:v>E-287</x:v>
      </x:c>
      <x:c r="B291" s="14" t="str">
        <x:v>G-072</x:v>
      </x:c>
      <x:c r="C291" s="14" t="str">
        <x:v>custody</x:v>
      </x:c>
      <x:c r="D291" s="14" t="str">
        <x:v>NOT CREATED</x:v>
      </x:c>
      <x:c r="E291" s="14" t="str">
        <x:v>OPEN</x:v>
      </x:c>
    </x:row>
    <x:row r="292">
      <x:c r="A292" s="15" t="str">
        <x:v>E-288</x:v>
      </x:c>
      <x:c r="B292" s="15" t="str">
        <x:v>G-072</x:v>
      </x:c>
      <x:c r="C292" s="15" t="str">
        <x:v>decision</x:v>
      </x:c>
      <x:c r="D292" s="15" t="str">
        <x:v>NOT CREATED</x:v>
      </x:c>
      <x:c r="E292" s="15" t="str">
        <x:v>OPEN</x:v>
      </x:c>
    </x:row>
    <x:row r="293">
      <x:c r="A293" s="14" t="str">
        <x:v>E-289</x:v>
      </x:c>
      <x:c r="B293" s="14" t="str">
        <x:v>G-073</x:v>
      </x:c>
      <x:c r="C293" s="14" t="str">
        <x:v>native</x:v>
      </x:c>
      <x:c r="D293" s="14" t="str">
        <x:v>NOT CREATED</x:v>
      </x:c>
      <x:c r="E293" s="14" t="str">
        <x:v>OPEN</x:v>
      </x:c>
    </x:row>
    <x:row r="294">
      <x:c r="A294" s="15" t="str">
        <x:v>E-290</x:v>
      </x:c>
      <x:c r="B294" s="15" t="str">
        <x:v>G-073</x:v>
      </x:c>
      <x:c r="C294" s="15" t="str">
        <x:v>calibration</x:v>
      </x:c>
      <x:c r="D294" s="15" t="str">
        <x:v>NOT CREATED</x:v>
      </x:c>
      <x:c r="E294" s="15" t="str">
        <x:v>OPEN</x:v>
      </x:c>
    </x:row>
    <x:row r="295">
      <x:c r="A295" s="14" t="str">
        <x:v>E-291</x:v>
      </x:c>
      <x:c r="B295" s="14" t="str">
        <x:v>G-073</x:v>
      </x:c>
      <x:c r="C295" s="14" t="str">
        <x:v>custody</x:v>
      </x:c>
      <x:c r="D295" s="14" t="str">
        <x:v>NOT CREATED</x:v>
      </x:c>
      <x:c r="E295" s="14" t="str">
        <x:v>OPEN</x:v>
      </x:c>
    </x:row>
    <x:row r="296">
      <x:c r="A296" s="15" t="str">
        <x:v>E-292</x:v>
      </x:c>
      <x:c r="B296" s="15" t="str">
        <x:v>G-073</x:v>
      </x:c>
      <x:c r="C296" s="15" t="str">
        <x:v>decision</x:v>
      </x:c>
      <x:c r="D296" s="15" t="str">
        <x:v>NOT CREATED</x:v>
      </x:c>
      <x:c r="E296" s="15" t="str">
        <x:v>OPEN</x:v>
      </x:c>
    </x:row>
    <x:row r="297">
      <x:c r="A297" s="14" t="str">
        <x:v>E-293</x:v>
      </x:c>
      <x:c r="B297" s="14" t="str">
        <x:v>G-074</x:v>
      </x:c>
      <x:c r="C297" s="14" t="str">
        <x:v>native</x:v>
      </x:c>
      <x:c r="D297" s="14" t="str">
        <x:v>NOT CREATED</x:v>
      </x:c>
      <x:c r="E297" s="14" t="str">
        <x:v>OPEN</x:v>
      </x:c>
    </x:row>
    <x:row r="298">
      <x:c r="A298" s="15" t="str">
        <x:v>E-294</x:v>
      </x:c>
      <x:c r="B298" s="15" t="str">
        <x:v>G-074</x:v>
      </x:c>
      <x:c r="C298" s="15" t="str">
        <x:v>calibration</x:v>
      </x:c>
      <x:c r="D298" s="15" t="str">
        <x:v>NOT CREATED</x:v>
      </x:c>
      <x:c r="E298" s="15" t="str">
        <x:v>OPEN</x:v>
      </x:c>
    </x:row>
    <x:row r="299">
      <x:c r="A299" s="14" t="str">
        <x:v>E-295</x:v>
      </x:c>
      <x:c r="B299" s="14" t="str">
        <x:v>G-074</x:v>
      </x:c>
      <x:c r="C299" s="14" t="str">
        <x:v>custody</x:v>
      </x:c>
      <x:c r="D299" s="14" t="str">
        <x:v>NOT CREATED</x:v>
      </x:c>
      <x:c r="E299" s="14" t="str">
        <x:v>OPEN</x:v>
      </x:c>
    </x:row>
    <x:row r="300">
      <x:c r="A300" s="15" t="str">
        <x:v>E-296</x:v>
      </x:c>
      <x:c r="B300" s="15" t="str">
        <x:v>G-074</x:v>
      </x:c>
      <x:c r="C300" s="15" t="str">
        <x:v>decision</x:v>
      </x:c>
      <x:c r="D300" s="15" t="str">
        <x:v>NOT CREATED</x:v>
      </x:c>
      <x:c r="E300" s="15" t="str">
        <x:v>OPEN</x:v>
      </x:c>
    </x:row>
    <x:row r="301">
      <x:c r="A301" s="14" t="str">
        <x:v>E-297</x:v>
      </x:c>
      <x:c r="B301" s="14" t="str">
        <x:v>G-075</x:v>
      </x:c>
      <x:c r="C301" s="14" t="str">
        <x:v>native</x:v>
      </x:c>
      <x:c r="D301" s="14" t="str">
        <x:v>NOT CREATED</x:v>
      </x:c>
      <x:c r="E301" s="14" t="str">
        <x:v>OPEN</x:v>
      </x:c>
    </x:row>
    <x:row r="302">
      <x:c r="A302" s="15" t="str">
        <x:v>E-298</x:v>
      </x:c>
      <x:c r="B302" s="15" t="str">
        <x:v>G-075</x:v>
      </x:c>
      <x:c r="C302" s="15" t="str">
        <x:v>calibration</x:v>
      </x:c>
      <x:c r="D302" s="15" t="str">
        <x:v>NOT CREATED</x:v>
      </x:c>
      <x:c r="E302" s="15" t="str">
        <x:v>OPEN</x:v>
      </x:c>
    </x:row>
    <x:row r="303">
      <x:c r="A303" s="14" t="str">
        <x:v>E-299</x:v>
      </x:c>
      <x:c r="B303" s="14" t="str">
        <x:v>G-075</x:v>
      </x:c>
      <x:c r="C303" s="14" t="str">
        <x:v>custody</x:v>
      </x:c>
      <x:c r="D303" s="14" t="str">
        <x:v>NOT CREATED</x:v>
      </x:c>
      <x:c r="E303" s="14" t="str">
        <x:v>OPEN</x:v>
      </x:c>
    </x:row>
    <x:row r="304">
      <x:c r="A304" s="15" t="str">
        <x:v>E-300</x:v>
      </x:c>
      <x:c r="B304" s="15" t="str">
        <x:v>G-075</x:v>
      </x:c>
      <x:c r="C304" s="15" t="str">
        <x:v>decision</x:v>
      </x:c>
      <x:c r="D304" s="15" t="str">
        <x:v>NOT CREATED</x:v>
      </x:c>
      <x:c r="E304" s="15" t="str">
        <x:v>OPEN</x:v>
      </x:c>
    </x:row>
    <x:row r="305">
      <x:c r="A305" s="14" t="str">
        <x:v>E-301</x:v>
      </x:c>
      <x:c r="B305" s="14" t="str">
        <x:v>G-076</x:v>
      </x:c>
      <x:c r="C305" s="14" t="str">
        <x:v>native</x:v>
      </x:c>
      <x:c r="D305" s="14" t="str">
        <x:v>NOT CREATED</x:v>
      </x:c>
      <x:c r="E305" s="14" t="str">
        <x:v>OPEN</x:v>
      </x:c>
    </x:row>
    <x:row r="306">
      <x:c r="A306" s="15" t="str">
        <x:v>E-302</x:v>
      </x:c>
      <x:c r="B306" s="15" t="str">
        <x:v>G-076</x:v>
      </x:c>
      <x:c r="C306" s="15" t="str">
        <x:v>calibration</x:v>
      </x:c>
      <x:c r="D306" s="15" t="str">
        <x:v>NOT CREATED</x:v>
      </x:c>
      <x:c r="E306" s="15" t="str">
        <x:v>OPEN</x:v>
      </x:c>
    </x:row>
    <x:row r="307">
      <x:c r="A307" s="14" t="str">
        <x:v>E-303</x:v>
      </x:c>
      <x:c r="B307" s="14" t="str">
        <x:v>G-076</x:v>
      </x:c>
      <x:c r="C307" s="14" t="str">
        <x:v>custody</x:v>
      </x:c>
      <x:c r="D307" s="14" t="str">
        <x:v>NOT CREATED</x:v>
      </x:c>
      <x:c r="E307" s="14" t="str">
        <x:v>OPEN</x:v>
      </x:c>
    </x:row>
    <x:row r="308">
      <x:c r="A308" s="15" t="str">
        <x:v>E-304</x:v>
      </x:c>
      <x:c r="B308" s="15" t="str">
        <x:v>G-076</x:v>
      </x:c>
      <x:c r="C308" s="15" t="str">
        <x:v>decision</x:v>
      </x:c>
      <x:c r="D308" s="15" t="str">
        <x:v>NOT CREATED</x:v>
      </x:c>
      <x:c r="E308" s="15" t="str">
        <x:v>OPEN</x:v>
      </x:c>
    </x:row>
    <x:row r="309">
      <x:c r="A309" s="14" t="str">
        <x:v>E-305</x:v>
      </x:c>
      <x:c r="B309" s="14" t="str">
        <x:v>G-077</x:v>
      </x:c>
      <x:c r="C309" s="14" t="str">
        <x:v>native</x:v>
      </x:c>
      <x:c r="D309" s="14" t="str">
        <x:v>NOT CREATED</x:v>
      </x:c>
      <x:c r="E309" s="14" t="str">
        <x:v>OPEN</x:v>
      </x:c>
    </x:row>
    <x:row r="310">
      <x:c r="A310" s="15" t="str">
        <x:v>E-306</x:v>
      </x:c>
      <x:c r="B310" s="15" t="str">
        <x:v>G-077</x:v>
      </x:c>
      <x:c r="C310" s="15" t="str">
        <x:v>calibration</x:v>
      </x:c>
      <x:c r="D310" s="15" t="str">
        <x:v>NOT CREATED</x:v>
      </x:c>
      <x:c r="E310" s="15" t="str">
        <x:v>OPEN</x:v>
      </x:c>
    </x:row>
    <x:row r="311">
      <x:c r="A311" s="14" t="str">
        <x:v>E-307</x:v>
      </x:c>
      <x:c r="B311" s="14" t="str">
        <x:v>G-077</x:v>
      </x:c>
      <x:c r="C311" s="14" t="str">
        <x:v>custody</x:v>
      </x:c>
      <x:c r="D311" s="14" t="str">
        <x:v>NOT CREATED</x:v>
      </x:c>
      <x:c r="E311" s="14" t="str">
        <x:v>OPEN</x:v>
      </x:c>
    </x:row>
    <x:row r="312">
      <x:c r="A312" s="15" t="str">
        <x:v>E-308</x:v>
      </x:c>
      <x:c r="B312" s="15" t="str">
        <x:v>G-077</x:v>
      </x:c>
      <x:c r="C312" s="15" t="str">
        <x:v>decision</x:v>
      </x:c>
      <x:c r="D312" s="15" t="str">
        <x:v>NOT CREATED</x:v>
      </x:c>
      <x:c r="E312" s="15" t="str">
        <x:v>OPEN</x:v>
      </x:c>
    </x:row>
    <x:row r="313">
      <x:c r="A313" s="14" t="str">
        <x:v>E-309</x:v>
      </x:c>
      <x:c r="B313" s="14" t="str">
        <x:v>G-078</x:v>
      </x:c>
      <x:c r="C313" s="14" t="str">
        <x:v>native</x:v>
      </x:c>
      <x:c r="D313" s="14" t="str">
        <x:v>NOT CREATED</x:v>
      </x:c>
      <x:c r="E313" s="14" t="str">
        <x:v>OPEN</x:v>
      </x:c>
    </x:row>
    <x:row r="314">
      <x:c r="A314" s="15" t="str">
        <x:v>E-310</x:v>
      </x:c>
      <x:c r="B314" s="15" t="str">
        <x:v>G-078</x:v>
      </x:c>
      <x:c r="C314" s="15" t="str">
        <x:v>calibration</x:v>
      </x:c>
      <x:c r="D314" s="15" t="str">
        <x:v>NOT CREATED</x:v>
      </x:c>
      <x:c r="E314" s="15" t="str">
        <x:v>OPEN</x:v>
      </x:c>
    </x:row>
    <x:row r="315">
      <x:c r="A315" s="14" t="str">
        <x:v>E-311</x:v>
      </x:c>
      <x:c r="B315" s="14" t="str">
        <x:v>G-078</x:v>
      </x:c>
      <x:c r="C315" s="14" t="str">
        <x:v>custody</x:v>
      </x:c>
      <x:c r="D315" s="14" t="str">
        <x:v>NOT CREATED</x:v>
      </x:c>
      <x:c r="E315" s="14" t="str">
        <x:v>OPEN</x:v>
      </x:c>
    </x:row>
    <x:row r="316">
      <x:c r="A316" s="15" t="str">
        <x:v>E-312</x:v>
      </x:c>
      <x:c r="B316" s="15" t="str">
        <x:v>G-078</x:v>
      </x:c>
      <x:c r="C316" s="15" t="str">
        <x:v>decision</x:v>
      </x:c>
      <x:c r="D316" s="15" t="str">
        <x:v>NOT CREATED</x:v>
      </x:c>
      <x:c r="E316" s="15" t="str">
        <x:v>OPEN</x:v>
      </x:c>
    </x:row>
    <x:row r="317">
      <x:c r="A317" s="14" t="str">
        <x:v>E-313</x:v>
      </x:c>
      <x:c r="B317" s="14" t="str">
        <x:v>G-079</x:v>
      </x:c>
      <x:c r="C317" s="14" t="str">
        <x:v>native</x:v>
      </x:c>
      <x:c r="D317" s="14" t="str">
        <x:v>NOT CREATED</x:v>
      </x:c>
      <x:c r="E317" s="14" t="str">
        <x:v>OPEN</x:v>
      </x:c>
    </x:row>
    <x:row r="318">
      <x:c r="A318" s="15" t="str">
        <x:v>E-314</x:v>
      </x:c>
      <x:c r="B318" s="15" t="str">
        <x:v>G-079</x:v>
      </x:c>
      <x:c r="C318" s="15" t="str">
        <x:v>calibration</x:v>
      </x:c>
      <x:c r="D318" s="15" t="str">
        <x:v>NOT CREATED</x:v>
      </x:c>
      <x:c r="E318" s="15" t="str">
        <x:v>OPEN</x:v>
      </x:c>
    </x:row>
    <x:row r="319">
      <x:c r="A319" s="14" t="str">
        <x:v>E-315</x:v>
      </x:c>
      <x:c r="B319" s="14" t="str">
        <x:v>G-079</x:v>
      </x:c>
      <x:c r="C319" s="14" t="str">
        <x:v>custody</x:v>
      </x:c>
      <x:c r="D319" s="14" t="str">
        <x:v>NOT CREATED</x:v>
      </x:c>
      <x:c r="E319" s="14" t="str">
        <x:v>OPEN</x:v>
      </x:c>
    </x:row>
    <x:row r="320">
      <x:c r="A320" s="15" t="str">
        <x:v>E-316</x:v>
      </x:c>
      <x:c r="B320" s="15" t="str">
        <x:v>G-079</x:v>
      </x:c>
      <x:c r="C320" s="15" t="str">
        <x:v>decision</x:v>
      </x:c>
      <x:c r="D320" s="15" t="str">
        <x:v>NOT CREATED</x:v>
      </x:c>
      <x:c r="E320" s="15" t="str">
        <x:v>OPEN</x:v>
      </x:c>
    </x:row>
    <x:row r="321">
      <x:c r="A321" s="14" t="str">
        <x:v>E-317</x:v>
      </x:c>
      <x:c r="B321" s="14" t="str">
        <x:v>G-080</x:v>
      </x:c>
      <x:c r="C321" s="14" t="str">
        <x:v>native</x:v>
      </x:c>
      <x:c r="D321" s="14" t="str">
        <x:v>NOT CREATED</x:v>
      </x:c>
      <x:c r="E321" s="14" t="str">
        <x:v>OPEN</x:v>
      </x:c>
    </x:row>
    <x:row r="322">
      <x:c r="A322" s="15" t="str">
        <x:v>E-318</x:v>
      </x:c>
      <x:c r="B322" s="15" t="str">
        <x:v>G-080</x:v>
      </x:c>
      <x:c r="C322" s="15" t="str">
        <x:v>calibration</x:v>
      </x:c>
      <x:c r="D322" s="15" t="str">
        <x:v>NOT CREATED</x:v>
      </x:c>
      <x:c r="E322" s="15" t="str">
        <x:v>OPEN</x:v>
      </x:c>
    </x:row>
    <x:row r="323">
      <x:c r="A323" s="14" t="str">
        <x:v>E-319</x:v>
      </x:c>
      <x:c r="B323" s="14" t="str">
        <x:v>G-080</x:v>
      </x:c>
      <x:c r="C323" s="14" t="str">
        <x:v>custody</x:v>
      </x:c>
      <x:c r="D323" s="14" t="str">
        <x:v>NOT CREATED</x:v>
      </x:c>
      <x:c r="E323" s="14" t="str">
        <x:v>OPEN</x:v>
      </x:c>
    </x:row>
    <x:row r="324">
      <x:c r="A324" s="15" t="str">
        <x:v>E-320</x:v>
      </x:c>
      <x:c r="B324" s="15" t="str">
        <x:v>G-080</x:v>
      </x:c>
      <x:c r="C324" s="15" t="str">
        <x:v>decision</x:v>
      </x:c>
      <x:c r="D324" s="15" t="str">
        <x:v>NOT CREATED</x:v>
      </x:c>
      <x:c r="E324" s="15" t="str">
        <x:v>OPEN</x:v>
      </x:c>
    </x:row>
    <x:row r="325">
      <x:c r="A325" s="14" t="str">
        <x:v>E-321</x:v>
      </x:c>
      <x:c r="B325" s="14" t="str">
        <x:v>G-081</x:v>
      </x:c>
      <x:c r="C325" s="14" t="str">
        <x:v>native</x:v>
      </x:c>
      <x:c r="D325" s="14" t="str">
        <x:v>NOT CREATED</x:v>
      </x:c>
      <x:c r="E325" s="14" t="str">
        <x:v>OPEN</x:v>
      </x:c>
    </x:row>
    <x:row r="326">
      <x:c r="A326" s="15" t="str">
        <x:v>E-322</x:v>
      </x:c>
      <x:c r="B326" s="15" t="str">
        <x:v>G-081</x:v>
      </x:c>
      <x:c r="C326" s="15" t="str">
        <x:v>calibration</x:v>
      </x:c>
      <x:c r="D326" s="15" t="str">
        <x:v>NOT CREATED</x:v>
      </x:c>
      <x:c r="E326" s="15" t="str">
        <x:v>OPEN</x:v>
      </x:c>
    </x:row>
    <x:row r="327">
      <x:c r="A327" s="14" t="str">
        <x:v>E-323</x:v>
      </x:c>
      <x:c r="B327" s="14" t="str">
        <x:v>G-081</x:v>
      </x:c>
      <x:c r="C327" s="14" t="str">
        <x:v>custody</x:v>
      </x:c>
      <x:c r="D327" s="14" t="str">
        <x:v>NOT CREATED</x:v>
      </x:c>
      <x:c r="E327" s="14" t="str">
        <x:v>OPEN</x:v>
      </x:c>
    </x:row>
    <x:row r="328">
      <x:c r="A328" s="15" t="str">
        <x:v>E-324</x:v>
      </x:c>
      <x:c r="B328" s="15" t="str">
        <x:v>G-081</x:v>
      </x:c>
      <x:c r="C328" s="15" t="str">
        <x:v>decision</x:v>
      </x:c>
      <x:c r="D328" s="15" t="str">
        <x:v>NOT CREATED</x:v>
      </x:c>
      <x:c r="E328" s="15" t="str">
        <x:v>OPEN</x:v>
      </x:c>
    </x:row>
    <x:row r="329">
      <x:c r="A329" s="14" t="str">
        <x:v>E-325</x:v>
      </x:c>
      <x:c r="B329" s="14" t="str">
        <x:v>G-082</x:v>
      </x:c>
      <x:c r="C329" s="14" t="str">
        <x:v>native</x:v>
      </x:c>
      <x:c r="D329" s="14" t="str">
        <x:v>NOT CREATED</x:v>
      </x:c>
      <x:c r="E329" s="14" t="str">
        <x:v>OPEN</x:v>
      </x:c>
    </x:row>
    <x:row r="330">
      <x:c r="A330" s="15" t="str">
        <x:v>E-326</x:v>
      </x:c>
      <x:c r="B330" s="15" t="str">
        <x:v>G-082</x:v>
      </x:c>
      <x:c r="C330" s="15" t="str">
        <x:v>calibration</x:v>
      </x:c>
      <x:c r="D330" s="15" t="str">
        <x:v>NOT CREATED</x:v>
      </x:c>
      <x:c r="E330" s="15" t="str">
        <x:v>OPEN</x:v>
      </x:c>
    </x:row>
    <x:row r="331">
      <x:c r="A331" s="14" t="str">
        <x:v>E-327</x:v>
      </x:c>
      <x:c r="B331" s="14" t="str">
        <x:v>G-082</x:v>
      </x:c>
      <x:c r="C331" s="14" t="str">
        <x:v>custody</x:v>
      </x:c>
      <x:c r="D331" s="14" t="str">
        <x:v>NOT CREATED</x:v>
      </x:c>
      <x:c r="E331" s="14" t="str">
        <x:v>OPEN</x:v>
      </x:c>
    </x:row>
    <x:row r="332">
      <x:c r="A332" s="15" t="str">
        <x:v>E-328</x:v>
      </x:c>
      <x:c r="B332" s="15" t="str">
        <x:v>G-082</x:v>
      </x:c>
      <x:c r="C332" s="15" t="str">
        <x:v>decision</x:v>
      </x:c>
      <x:c r="D332" s="15" t="str">
        <x:v>NOT CREATED</x:v>
      </x:c>
      <x:c r="E332" s="15" t="str">
        <x:v>OPEN</x:v>
      </x:c>
    </x:row>
    <x:row r="333">
      <x:c r="A333" s="14" t="str">
        <x:v>E-329</x:v>
      </x:c>
      <x:c r="B333" s="14" t="str">
        <x:v>G-083</x:v>
      </x:c>
      <x:c r="C333" s="14" t="str">
        <x:v>native</x:v>
      </x:c>
      <x:c r="D333" s="14" t="str">
        <x:v>NOT CREATED</x:v>
      </x:c>
      <x:c r="E333" s="14" t="str">
        <x:v>OPEN</x:v>
      </x:c>
    </x:row>
    <x:row r="334">
      <x:c r="A334" s="15" t="str">
        <x:v>E-330</x:v>
      </x:c>
      <x:c r="B334" s="15" t="str">
        <x:v>G-083</x:v>
      </x:c>
      <x:c r="C334" s="15" t="str">
        <x:v>calibration</x:v>
      </x:c>
      <x:c r="D334" s="15" t="str">
        <x:v>NOT CREATED</x:v>
      </x:c>
      <x:c r="E334" s="15" t="str">
        <x:v>OPEN</x:v>
      </x:c>
    </x:row>
    <x:row r="335">
      <x:c r="A335" s="14" t="str">
        <x:v>E-331</x:v>
      </x:c>
      <x:c r="B335" s="14" t="str">
        <x:v>G-083</x:v>
      </x:c>
      <x:c r="C335" s="14" t="str">
        <x:v>custody</x:v>
      </x:c>
      <x:c r="D335" s="14" t="str">
        <x:v>NOT CREATED</x:v>
      </x:c>
      <x:c r="E335" s="14" t="str">
        <x:v>OPEN</x:v>
      </x:c>
    </x:row>
    <x:row r="336">
      <x:c r="A336" s="15" t="str">
        <x:v>E-332</x:v>
      </x:c>
      <x:c r="B336" s="15" t="str">
        <x:v>G-083</x:v>
      </x:c>
      <x:c r="C336" s="15" t="str">
        <x:v>decision</x:v>
      </x:c>
      <x:c r="D336" s="15" t="str">
        <x:v>NOT CREATED</x:v>
      </x:c>
      <x:c r="E336" s="15" t="str">
        <x:v>OPEN</x:v>
      </x:c>
    </x:row>
    <x:row r="337">
      <x:c r="A337" s="14" t="str">
        <x:v>E-333</x:v>
      </x:c>
      <x:c r="B337" s="14" t="str">
        <x:v>G-084</x:v>
      </x:c>
      <x:c r="C337" s="14" t="str">
        <x:v>native</x:v>
      </x:c>
      <x:c r="D337" s="14" t="str">
        <x:v>NOT CREATED</x:v>
      </x:c>
      <x:c r="E337" s="14" t="str">
        <x:v>OPEN</x:v>
      </x:c>
    </x:row>
    <x:row r="338">
      <x:c r="A338" s="15" t="str">
        <x:v>E-334</x:v>
      </x:c>
      <x:c r="B338" s="15" t="str">
        <x:v>G-084</x:v>
      </x:c>
      <x:c r="C338" s="15" t="str">
        <x:v>calibration</x:v>
      </x:c>
      <x:c r="D338" s="15" t="str">
        <x:v>NOT CREATED</x:v>
      </x:c>
      <x:c r="E338" s="15" t="str">
        <x:v>OPEN</x:v>
      </x:c>
    </x:row>
    <x:row r="339">
      <x:c r="A339" s="14" t="str">
        <x:v>E-335</x:v>
      </x:c>
      <x:c r="B339" s="14" t="str">
        <x:v>G-084</x:v>
      </x:c>
      <x:c r="C339" s="14" t="str">
        <x:v>custody</x:v>
      </x:c>
      <x:c r="D339" s="14" t="str">
        <x:v>NOT CREATED</x:v>
      </x:c>
      <x:c r="E339" s="14" t="str">
        <x:v>OPEN</x:v>
      </x:c>
    </x:row>
    <x:row r="340">
      <x:c r="A340" s="15" t="str">
        <x:v>E-336</x:v>
      </x:c>
      <x:c r="B340" s="15" t="str">
        <x:v>G-084</x:v>
      </x:c>
      <x:c r="C340" s="15" t="str">
        <x:v>decision</x:v>
      </x:c>
      <x:c r="D340" s="15" t="str">
        <x:v>NOT CREATED</x:v>
      </x:c>
      <x:c r="E340" s="15" t="str">
        <x:v>OPEN</x:v>
      </x:c>
    </x:row>
    <x:row r="341">
      <x:c r="A341" s="14" t="str">
        <x:v>E-337</x:v>
      </x:c>
      <x:c r="B341" s="14" t="str">
        <x:v>G-085</x:v>
      </x:c>
      <x:c r="C341" s="14" t="str">
        <x:v>native</x:v>
      </x:c>
      <x:c r="D341" s="14" t="str">
        <x:v>NOT CREATED</x:v>
      </x:c>
      <x:c r="E341" s="14" t="str">
        <x:v>OPEN</x:v>
      </x:c>
    </x:row>
    <x:row r="342">
      <x:c r="A342" s="15" t="str">
        <x:v>E-338</x:v>
      </x:c>
      <x:c r="B342" s="15" t="str">
        <x:v>G-085</x:v>
      </x:c>
      <x:c r="C342" s="15" t="str">
        <x:v>calibration</x:v>
      </x:c>
      <x:c r="D342" s="15" t="str">
        <x:v>NOT CREATED</x:v>
      </x:c>
      <x:c r="E342" s="15" t="str">
        <x:v>OPEN</x:v>
      </x:c>
    </x:row>
    <x:row r="343">
      <x:c r="A343" s="14" t="str">
        <x:v>E-339</x:v>
      </x:c>
      <x:c r="B343" s="14" t="str">
        <x:v>G-085</x:v>
      </x:c>
      <x:c r="C343" s="14" t="str">
        <x:v>custody</x:v>
      </x:c>
      <x:c r="D343" s="14" t="str">
        <x:v>NOT CREATED</x:v>
      </x:c>
      <x:c r="E343" s="14" t="str">
        <x:v>OPEN</x:v>
      </x:c>
    </x:row>
    <x:row r="344">
      <x:c r="A344" s="15" t="str">
        <x:v>E-340</x:v>
      </x:c>
      <x:c r="B344" s="15" t="str">
        <x:v>G-085</x:v>
      </x:c>
      <x:c r="C344" s="15" t="str">
        <x:v>decision</x:v>
      </x:c>
      <x:c r="D344" s="15" t="str">
        <x:v>NOT CREATED</x:v>
      </x:c>
      <x:c r="E344" s="15" t="str">
        <x:v>OPEN</x:v>
      </x:c>
    </x:row>
    <x:row r="345">
      <x:c r="A345" s="14" t="str">
        <x:v>E-341</x:v>
      </x:c>
      <x:c r="B345" s="14" t="str">
        <x:v>G-086</x:v>
      </x:c>
      <x:c r="C345" s="14" t="str">
        <x:v>native</x:v>
      </x:c>
      <x:c r="D345" s="14" t="str">
        <x:v>NOT CREATED</x:v>
      </x:c>
      <x:c r="E345" s="14" t="str">
        <x:v>OPEN</x:v>
      </x:c>
    </x:row>
    <x:row r="346">
      <x:c r="A346" s="15" t="str">
        <x:v>E-342</x:v>
      </x:c>
      <x:c r="B346" s="15" t="str">
        <x:v>G-086</x:v>
      </x:c>
      <x:c r="C346" s="15" t="str">
        <x:v>calibration</x:v>
      </x:c>
      <x:c r="D346" s="15" t="str">
        <x:v>NOT CREATED</x:v>
      </x:c>
      <x:c r="E346" s="15" t="str">
        <x:v>OPEN</x:v>
      </x:c>
    </x:row>
    <x:row r="347">
      <x:c r="A347" s="14" t="str">
        <x:v>E-343</x:v>
      </x:c>
      <x:c r="B347" s="14" t="str">
        <x:v>G-086</x:v>
      </x:c>
      <x:c r="C347" s="14" t="str">
        <x:v>custody</x:v>
      </x:c>
      <x:c r="D347" s="14" t="str">
        <x:v>NOT CREATED</x:v>
      </x:c>
      <x:c r="E347" s="14" t="str">
        <x:v>OPEN</x:v>
      </x:c>
    </x:row>
    <x:row r="348">
      <x:c r="A348" s="15" t="str">
        <x:v>E-344</x:v>
      </x:c>
      <x:c r="B348" s="15" t="str">
        <x:v>G-086</x:v>
      </x:c>
      <x:c r="C348" s="15" t="str">
        <x:v>decision</x:v>
      </x:c>
      <x:c r="D348" s="15" t="str">
        <x:v>NOT CREATED</x:v>
      </x:c>
      <x:c r="E348" s="15" t="str">
        <x:v>OPEN</x:v>
      </x:c>
    </x:row>
    <x:row r="349">
      <x:c r="A349" s="14" t="str">
        <x:v>E-345</x:v>
      </x:c>
      <x:c r="B349" s="14" t="str">
        <x:v>G-087</x:v>
      </x:c>
      <x:c r="C349" s="14" t="str">
        <x:v>native</x:v>
      </x:c>
      <x:c r="D349" s="14" t="str">
        <x:v>NOT CREATED</x:v>
      </x:c>
      <x:c r="E349" s="14" t="str">
        <x:v>OPEN</x:v>
      </x:c>
    </x:row>
    <x:row r="350">
      <x:c r="A350" s="15" t="str">
        <x:v>E-346</x:v>
      </x:c>
      <x:c r="B350" s="15" t="str">
        <x:v>G-087</x:v>
      </x:c>
      <x:c r="C350" s="15" t="str">
        <x:v>calibration</x:v>
      </x:c>
      <x:c r="D350" s="15" t="str">
        <x:v>NOT CREATED</x:v>
      </x:c>
      <x:c r="E350" s="15" t="str">
        <x:v>OPEN</x:v>
      </x:c>
    </x:row>
    <x:row r="351">
      <x:c r="A351" s="14" t="str">
        <x:v>E-347</x:v>
      </x:c>
      <x:c r="B351" s="14" t="str">
        <x:v>G-087</x:v>
      </x:c>
      <x:c r="C351" s="14" t="str">
        <x:v>custody</x:v>
      </x:c>
      <x:c r="D351" s="14" t="str">
        <x:v>NOT CREATED</x:v>
      </x:c>
      <x:c r="E351" s="14" t="str">
        <x:v>OPEN</x:v>
      </x:c>
    </x:row>
    <x:row r="352">
      <x:c r="A352" s="15" t="str">
        <x:v>E-348</x:v>
      </x:c>
      <x:c r="B352" s="15" t="str">
        <x:v>G-087</x:v>
      </x:c>
      <x:c r="C352" s="15" t="str">
        <x:v>decision</x:v>
      </x:c>
      <x:c r="D352" s="15" t="str">
        <x:v>NOT CREATED</x:v>
      </x:c>
      <x:c r="E352" s="15" t="str">
        <x:v>OPEN</x:v>
      </x:c>
    </x:row>
    <x:row r="353">
      <x:c r="A353" s="14" t="str">
        <x:v>E-349</x:v>
      </x:c>
      <x:c r="B353" s="14" t="str">
        <x:v>G-088</x:v>
      </x:c>
      <x:c r="C353" s="14" t="str">
        <x:v>native</x:v>
      </x:c>
      <x:c r="D353" s="14" t="str">
        <x:v>NOT CREATED</x:v>
      </x:c>
      <x:c r="E353" s="14" t="str">
        <x:v>OPEN</x:v>
      </x:c>
    </x:row>
    <x:row r="354">
      <x:c r="A354" s="15" t="str">
        <x:v>E-350</x:v>
      </x:c>
      <x:c r="B354" s="15" t="str">
        <x:v>G-088</x:v>
      </x:c>
      <x:c r="C354" s="15" t="str">
        <x:v>calibration</x:v>
      </x:c>
      <x:c r="D354" s="15" t="str">
        <x:v>NOT CREATED</x:v>
      </x:c>
      <x:c r="E354" s="15" t="str">
        <x:v>OPEN</x:v>
      </x:c>
    </x:row>
    <x:row r="355">
      <x:c r="A355" s="14" t="str">
        <x:v>E-351</x:v>
      </x:c>
      <x:c r="B355" s="14" t="str">
        <x:v>G-088</x:v>
      </x:c>
      <x:c r="C355" s="14" t="str">
        <x:v>custody</x:v>
      </x:c>
      <x:c r="D355" s="14" t="str">
        <x:v>NOT CREATED</x:v>
      </x:c>
      <x:c r="E355" s="14" t="str">
        <x:v>OPEN</x:v>
      </x:c>
    </x:row>
    <x:row r="356">
      <x:c r="A356" s="15" t="str">
        <x:v>E-352</x:v>
      </x:c>
      <x:c r="B356" s="15" t="str">
        <x:v>G-088</x:v>
      </x:c>
      <x:c r="C356" s="15" t="str">
        <x:v>decision</x:v>
      </x:c>
      <x:c r="D356" s="15" t="str">
        <x:v>NOT CREATED</x:v>
      </x:c>
      <x:c r="E356" s="15" t="str">
        <x:v>OPEN</x:v>
      </x:c>
    </x:row>
    <x:row r="357">
      <x:c r="A357" s="14" t="str">
        <x:v>E-353</x:v>
      </x:c>
      <x:c r="B357" s="14" t="str">
        <x:v>G-089</x:v>
      </x:c>
      <x:c r="C357" s="14" t="str">
        <x:v>native</x:v>
      </x:c>
      <x:c r="D357" s="14" t="str">
        <x:v>NOT CREATED</x:v>
      </x:c>
      <x:c r="E357" s="14" t="str">
        <x:v>OPEN</x:v>
      </x:c>
    </x:row>
    <x:row r="358">
      <x:c r="A358" s="15" t="str">
        <x:v>E-354</x:v>
      </x:c>
      <x:c r="B358" s="15" t="str">
        <x:v>G-089</x:v>
      </x:c>
      <x:c r="C358" s="15" t="str">
        <x:v>calibration</x:v>
      </x:c>
      <x:c r="D358" s="15" t="str">
        <x:v>NOT CREATED</x:v>
      </x:c>
      <x:c r="E358" s="15" t="str">
        <x:v>OPEN</x:v>
      </x:c>
    </x:row>
    <x:row r="359">
      <x:c r="A359" s="14" t="str">
        <x:v>E-355</x:v>
      </x:c>
      <x:c r="B359" s="14" t="str">
        <x:v>G-089</x:v>
      </x:c>
      <x:c r="C359" s="14" t="str">
        <x:v>custody</x:v>
      </x:c>
      <x:c r="D359" s="14" t="str">
        <x:v>NOT CREATED</x:v>
      </x:c>
      <x:c r="E359" s="14" t="str">
        <x:v>OPEN</x:v>
      </x:c>
    </x:row>
    <x:row r="360">
      <x:c r="A360" s="15" t="str">
        <x:v>E-356</x:v>
      </x:c>
      <x:c r="B360" s="15" t="str">
        <x:v>G-089</x:v>
      </x:c>
      <x:c r="C360" s="15" t="str">
        <x:v>decision</x:v>
      </x:c>
      <x:c r="D360" s="15" t="str">
        <x:v>NOT CREATED</x:v>
      </x:c>
      <x:c r="E360" s="15" t="str">
        <x:v>OPEN</x:v>
      </x:c>
    </x:row>
    <x:row r="361">
      <x:c r="A361" s="14" t="str">
        <x:v>E-357</x:v>
      </x:c>
      <x:c r="B361" s="14" t="str">
        <x:v>G-090</x:v>
      </x:c>
      <x:c r="C361" s="14" t="str">
        <x:v>native</x:v>
      </x:c>
      <x:c r="D361" s="14" t="str">
        <x:v>NOT CREATED</x:v>
      </x:c>
      <x:c r="E361" s="14" t="str">
        <x:v>OPEN</x:v>
      </x:c>
    </x:row>
    <x:row r="362">
      <x:c r="A362" s="15" t="str">
        <x:v>E-358</x:v>
      </x:c>
      <x:c r="B362" s="15" t="str">
        <x:v>G-090</x:v>
      </x:c>
      <x:c r="C362" s="15" t="str">
        <x:v>calibration</x:v>
      </x:c>
      <x:c r="D362" s="15" t="str">
        <x:v>NOT CREATED</x:v>
      </x:c>
      <x:c r="E362" s="15" t="str">
        <x:v>OPEN</x:v>
      </x:c>
    </x:row>
    <x:row r="363">
      <x:c r="A363" s="14" t="str">
        <x:v>E-359</x:v>
      </x:c>
      <x:c r="B363" s="14" t="str">
        <x:v>G-090</x:v>
      </x:c>
      <x:c r="C363" s="14" t="str">
        <x:v>custody</x:v>
      </x:c>
      <x:c r="D363" s="14" t="str">
        <x:v>NOT CREATED</x:v>
      </x:c>
      <x:c r="E363" s="14" t="str">
        <x:v>OPEN</x:v>
      </x:c>
    </x:row>
    <x:row r="364">
      <x:c r="A364" s="15" t="str">
        <x:v>E-360</x:v>
      </x:c>
      <x:c r="B364" s="15" t="str">
        <x:v>G-090</x:v>
      </x:c>
      <x:c r="C364" s="15" t="str">
        <x:v>decision</x:v>
      </x:c>
      <x:c r="D364" s="15" t="str">
        <x:v>NOT CREATED</x:v>
      </x:c>
      <x:c r="E364" s="15" t="str">
        <x:v>OPEN</x:v>
      </x:c>
    </x:row>
    <x:row r="365">
      <x:c r="A365" s="14" t="str">
        <x:v>E-361</x:v>
      </x:c>
      <x:c r="B365" s="14" t="str">
        <x:v>G-091</x:v>
      </x:c>
      <x:c r="C365" s="14" t="str">
        <x:v>native</x:v>
      </x:c>
      <x:c r="D365" s="14" t="str">
        <x:v>NOT CREATED</x:v>
      </x:c>
      <x:c r="E365" s="14" t="str">
        <x:v>OPEN</x:v>
      </x:c>
    </x:row>
    <x:row r="366">
      <x:c r="A366" s="15" t="str">
        <x:v>E-362</x:v>
      </x:c>
      <x:c r="B366" s="15" t="str">
        <x:v>G-091</x:v>
      </x:c>
      <x:c r="C366" s="15" t="str">
        <x:v>calibration</x:v>
      </x:c>
      <x:c r="D366" s="15" t="str">
        <x:v>NOT CREATED</x:v>
      </x:c>
      <x:c r="E366" s="15" t="str">
        <x:v>OPEN</x:v>
      </x:c>
    </x:row>
    <x:row r="367">
      <x:c r="A367" s="14" t="str">
        <x:v>E-363</x:v>
      </x:c>
      <x:c r="B367" s="14" t="str">
        <x:v>G-091</x:v>
      </x:c>
      <x:c r="C367" s="14" t="str">
        <x:v>custody</x:v>
      </x:c>
      <x:c r="D367" s="14" t="str">
        <x:v>NOT CREATED</x:v>
      </x:c>
      <x:c r="E367" s="14" t="str">
        <x:v>OPEN</x:v>
      </x:c>
    </x:row>
    <x:row r="368">
      <x:c r="A368" s="15" t="str">
        <x:v>E-364</x:v>
      </x:c>
      <x:c r="B368" s="15" t="str">
        <x:v>G-091</x:v>
      </x:c>
      <x:c r="C368" s="15" t="str">
        <x:v>decision</x:v>
      </x:c>
      <x:c r="D368" s="15" t="str">
        <x:v>NOT CREATED</x:v>
      </x:c>
      <x:c r="E368" s="15" t="str">
        <x:v>OPEN</x:v>
      </x:c>
    </x:row>
    <x:row r="369">
      <x:c r="A369" s="14" t="str">
        <x:v>E-365</x:v>
      </x:c>
      <x:c r="B369" s="14" t="str">
        <x:v>G-092</x:v>
      </x:c>
      <x:c r="C369" s="14" t="str">
        <x:v>native</x:v>
      </x:c>
      <x:c r="D369" s="14" t="str">
        <x:v>NOT CREATED</x:v>
      </x:c>
      <x:c r="E369" s="14" t="str">
        <x:v>OPEN</x:v>
      </x:c>
    </x:row>
    <x:row r="370">
      <x:c r="A370" s="15" t="str">
        <x:v>E-366</x:v>
      </x:c>
      <x:c r="B370" s="15" t="str">
        <x:v>G-092</x:v>
      </x:c>
      <x:c r="C370" s="15" t="str">
        <x:v>calibration</x:v>
      </x:c>
      <x:c r="D370" s="15" t="str">
        <x:v>NOT CREATED</x:v>
      </x:c>
      <x:c r="E370" s="15" t="str">
        <x:v>OPEN</x:v>
      </x:c>
    </x:row>
    <x:row r="371">
      <x:c r="A371" s="14" t="str">
        <x:v>E-367</x:v>
      </x:c>
      <x:c r="B371" s="14" t="str">
        <x:v>G-092</x:v>
      </x:c>
      <x:c r="C371" s="14" t="str">
        <x:v>custody</x:v>
      </x:c>
      <x:c r="D371" s="14" t="str">
        <x:v>NOT CREATED</x:v>
      </x:c>
      <x:c r="E371" s="14" t="str">
        <x:v>OPEN</x:v>
      </x:c>
    </x:row>
    <x:row r="372">
      <x:c r="A372" s="15" t="str">
        <x:v>E-368</x:v>
      </x:c>
      <x:c r="B372" s="15" t="str">
        <x:v>G-092</x:v>
      </x:c>
      <x:c r="C372" s="15" t="str">
        <x:v>decision</x:v>
      </x:c>
      <x:c r="D372" s="15" t="str">
        <x:v>NOT CREATED</x:v>
      </x:c>
      <x:c r="E372" s="15" t="str">
        <x:v>OPEN</x:v>
      </x:c>
    </x:row>
    <x:row r="373">
      <x:c r="A373" s="14" t="str">
        <x:v>E-369</x:v>
      </x:c>
      <x:c r="B373" s="14" t="str">
        <x:v>G-093</x:v>
      </x:c>
      <x:c r="C373" s="14" t="str">
        <x:v>native</x:v>
      </x:c>
      <x:c r="D373" s="14" t="str">
        <x:v>NOT CREATED</x:v>
      </x:c>
      <x:c r="E373" s="14" t="str">
        <x:v>OPEN</x:v>
      </x:c>
    </x:row>
    <x:row r="374">
      <x:c r="A374" s="15" t="str">
        <x:v>E-370</x:v>
      </x:c>
      <x:c r="B374" s="15" t="str">
        <x:v>G-093</x:v>
      </x:c>
      <x:c r="C374" s="15" t="str">
        <x:v>calibration</x:v>
      </x:c>
      <x:c r="D374" s="15" t="str">
        <x:v>NOT CREATED</x:v>
      </x:c>
      <x:c r="E374" s="15" t="str">
        <x:v>OPEN</x:v>
      </x:c>
    </x:row>
    <x:row r="375">
      <x:c r="A375" s="14" t="str">
        <x:v>E-371</x:v>
      </x:c>
      <x:c r="B375" s="14" t="str">
        <x:v>G-093</x:v>
      </x:c>
      <x:c r="C375" s="14" t="str">
        <x:v>custody</x:v>
      </x:c>
      <x:c r="D375" s="14" t="str">
        <x:v>NOT CREATED</x:v>
      </x:c>
      <x:c r="E375" s="14" t="str">
        <x:v>OPEN</x:v>
      </x:c>
    </x:row>
    <x:row r="376">
      <x:c r="A376" s="15" t="str">
        <x:v>E-372</x:v>
      </x:c>
      <x:c r="B376" s="15" t="str">
        <x:v>G-093</x:v>
      </x:c>
      <x:c r="C376" s="15" t="str">
        <x:v>decision</x:v>
      </x:c>
      <x:c r="D376" s="15" t="str">
        <x:v>NOT CREATED</x:v>
      </x:c>
      <x:c r="E376" s="15" t="str">
        <x:v>OPEN</x:v>
      </x:c>
    </x:row>
    <x:row r="377">
      <x:c r="A377" s="14" t="str">
        <x:v>E-373</x:v>
      </x:c>
      <x:c r="B377" s="14" t="str">
        <x:v>G-094</x:v>
      </x:c>
      <x:c r="C377" s="14" t="str">
        <x:v>native</x:v>
      </x:c>
      <x:c r="D377" s="14" t="str">
        <x:v>NOT CREATED</x:v>
      </x:c>
      <x:c r="E377" s="14" t="str">
        <x:v>OPEN</x:v>
      </x:c>
    </x:row>
    <x:row r="378">
      <x:c r="A378" s="15" t="str">
        <x:v>E-374</x:v>
      </x:c>
      <x:c r="B378" s="15" t="str">
        <x:v>G-094</x:v>
      </x:c>
      <x:c r="C378" s="15" t="str">
        <x:v>calibration</x:v>
      </x:c>
      <x:c r="D378" s="15" t="str">
        <x:v>NOT CREATED</x:v>
      </x:c>
      <x:c r="E378" s="15" t="str">
        <x:v>OPEN</x:v>
      </x:c>
    </x:row>
    <x:row r="379">
      <x:c r="A379" s="14" t="str">
        <x:v>E-375</x:v>
      </x:c>
      <x:c r="B379" s="14" t="str">
        <x:v>G-094</x:v>
      </x:c>
      <x:c r="C379" s="14" t="str">
        <x:v>custody</x:v>
      </x:c>
      <x:c r="D379" s="14" t="str">
        <x:v>NOT CREATED</x:v>
      </x:c>
      <x:c r="E379" s="14" t="str">
        <x:v>OPEN</x:v>
      </x:c>
    </x:row>
    <x:row r="380">
      <x:c r="A380" s="15" t="str">
        <x:v>E-376</x:v>
      </x:c>
      <x:c r="B380" s="15" t="str">
        <x:v>G-094</x:v>
      </x:c>
      <x:c r="C380" s="15" t="str">
        <x:v>decision</x:v>
      </x:c>
      <x:c r="D380" s="15" t="str">
        <x:v>NOT CREATED</x:v>
      </x:c>
      <x:c r="E380" s="15" t="str">
        <x:v>OPEN</x:v>
      </x:c>
    </x:row>
    <x:row r="381">
      <x:c r="A381" s="14" t="str">
        <x:v>E-377</x:v>
      </x:c>
      <x:c r="B381" s="14" t="str">
        <x:v>G-095</x:v>
      </x:c>
      <x:c r="C381" s="14" t="str">
        <x:v>native</x:v>
      </x:c>
      <x:c r="D381" s="14" t="str">
        <x:v>NOT CREATED</x:v>
      </x:c>
      <x:c r="E381" s="14" t="str">
        <x:v>OPEN</x:v>
      </x:c>
    </x:row>
    <x:row r="382">
      <x:c r="A382" s="15" t="str">
        <x:v>E-378</x:v>
      </x:c>
      <x:c r="B382" s="15" t="str">
        <x:v>G-095</x:v>
      </x:c>
      <x:c r="C382" s="15" t="str">
        <x:v>calibration</x:v>
      </x:c>
      <x:c r="D382" s="15" t="str">
        <x:v>NOT CREATED</x:v>
      </x:c>
      <x:c r="E382" s="15" t="str">
        <x:v>OPEN</x:v>
      </x:c>
    </x:row>
    <x:row r="383">
      <x:c r="A383" s="14" t="str">
        <x:v>E-379</x:v>
      </x:c>
      <x:c r="B383" s="14" t="str">
        <x:v>G-095</x:v>
      </x:c>
      <x:c r="C383" s="14" t="str">
        <x:v>custody</x:v>
      </x:c>
      <x:c r="D383" s="14" t="str">
        <x:v>NOT CREATED</x:v>
      </x:c>
      <x:c r="E383" s="14" t="str">
        <x:v>OPEN</x:v>
      </x:c>
    </x:row>
    <x:row r="384">
      <x:c r="A384" s="15" t="str">
        <x:v>E-380</x:v>
      </x:c>
      <x:c r="B384" s="15" t="str">
        <x:v>G-095</x:v>
      </x:c>
      <x:c r="C384" s="15" t="str">
        <x:v>decision</x:v>
      </x:c>
      <x:c r="D384" s="15" t="str">
        <x:v>NOT CREATED</x:v>
      </x:c>
      <x:c r="E384" s="15" t="str">
        <x:v>OPEN</x:v>
      </x:c>
    </x:row>
    <x:row r="385">
      <x:c r="A385" s="14" t="str">
        <x:v>E-381</x:v>
      </x:c>
      <x:c r="B385" s="14" t="str">
        <x:v>G-096</x:v>
      </x:c>
      <x:c r="C385" s="14" t="str">
        <x:v>native</x:v>
      </x:c>
      <x:c r="D385" s="14" t="str">
        <x:v>NOT CREATED</x:v>
      </x:c>
      <x:c r="E385" s="14" t="str">
        <x:v>OPEN</x:v>
      </x:c>
    </x:row>
    <x:row r="386">
      <x:c r="A386" s="15" t="str">
        <x:v>E-382</x:v>
      </x:c>
      <x:c r="B386" s="15" t="str">
        <x:v>G-096</x:v>
      </x:c>
      <x:c r="C386" s="15" t="str">
        <x:v>calibration</x:v>
      </x:c>
      <x:c r="D386" s="15" t="str">
        <x:v>NOT CREATED</x:v>
      </x:c>
      <x:c r="E386" s="15" t="str">
        <x:v>OPEN</x:v>
      </x:c>
    </x:row>
    <x:row r="387">
      <x:c r="A387" s="14" t="str">
        <x:v>E-383</x:v>
      </x:c>
      <x:c r="B387" s="14" t="str">
        <x:v>G-096</x:v>
      </x:c>
      <x:c r="C387" s="14" t="str">
        <x:v>custody</x:v>
      </x:c>
      <x:c r="D387" s="14" t="str">
        <x:v>NOT CREATED</x:v>
      </x:c>
      <x:c r="E387" s="14" t="str">
        <x:v>OPEN</x:v>
      </x:c>
    </x:row>
    <x:row r="388">
      <x:c r="A388" s="15" t="str">
        <x:v>E-384</x:v>
      </x:c>
      <x:c r="B388" s="15" t="str">
        <x:v>G-096</x:v>
      </x:c>
      <x:c r="C388" s="15" t="str">
        <x:v>decision</x:v>
      </x:c>
      <x:c r="D388" s="15" t="str">
        <x:v>NOT CREATED</x:v>
      </x:c>
      <x:c r="E388" s="15" t="str">
        <x:v>OPEN</x:v>
      </x:c>
    </x:row>
    <x:row r="389">
      <x:c r="A389" s="14" t="str">
        <x:v>E-385</x:v>
      </x:c>
      <x:c r="B389" s="14" t="str">
        <x:v>G-097</x:v>
      </x:c>
      <x:c r="C389" s="14" t="str">
        <x:v>native</x:v>
      </x:c>
      <x:c r="D389" s="14" t="str">
        <x:v>NOT CREATED</x:v>
      </x:c>
      <x:c r="E389" s="14" t="str">
        <x:v>OPEN</x:v>
      </x:c>
    </x:row>
    <x:row r="390">
      <x:c r="A390" s="15" t="str">
        <x:v>E-386</x:v>
      </x:c>
      <x:c r="B390" s="15" t="str">
        <x:v>G-097</x:v>
      </x:c>
      <x:c r="C390" s="15" t="str">
        <x:v>calibration</x:v>
      </x:c>
      <x:c r="D390" s="15" t="str">
        <x:v>NOT CREATED</x:v>
      </x:c>
      <x:c r="E390" s="15" t="str">
        <x:v>OPEN</x:v>
      </x:c>
    </x:row>
    <x:row r="391">
      <x:c r="A391" s="14" t="str">
        <x:v>E-387</x:v>
      </x:c>
      <x:c r="B391" s="14" t="str">
        <x:v>G-097</x:v>
      </x:c>
      <x:c r="C391" s="14" t="str">
        <x:v>custody</x:v>
      </x:c>
      <x:c r="D391" s="14" t="str">
        <x:v>NOT CREATED</x:v>
      </x:c>
      <x:c r="E391" s="14" t="str">
        <x:v>OPEN</x:v>
      </x:c>
    </x:row>
    <x:row r="392">
      <x:c r="A392" s="15" t="str">
        <x:v>E-388</x:v>
      </x:c>
      <x:c r="B392" s="15" t="str">
        <x:v>G-097</x:v>
      </x:c>
      <x:c r="C392" s="15" t="str">
        <x:v>decision</x:v>
      </x:c>
      <x:c r="D392" s="15" t="str">
        <x:v>NOT CREATED</x:v>
      </x:c>
      <x:c r="E392" s="15" t="str">
        <x:v>OPEN</x:v>
      </x:c>
    </x:row>
    <x:row r="393">
      <x:c r="A393" s="14" t="str">
        <x:v>E-389</x:v>
      </x:c>
      <x:c r="B393" s="14" t="str">
        <x:v>G-098</x:v>
      </x:c>
      <x:c r="C393" s="14" t="str">
        <x:v>native</x:v>
      </x:c>
      <x:c r="D393" s="14" t="str">
        <x:v>NOT CREATED</x:v>
      </x:c>
      <x:c r="E393" s="14" t="str">
        <x:v>OPEN</x:v>
      </x:c>
    </x:row>
    <x:row r="394">
      <x:c r="A394" s="15" t="str">
        <x:v>E-390</x:v>
      </x:c>
      <x:c r="B394" s="15" t="str">
        <x:v>G-098</x:v>
      </x:c>
      <x:c r="C394" s="15" t="str">
        <x:v>calibration</x:v>
      </x:c>
      <x:c r="D394" s="15" t="str">
        <x:v>NOT CREATED</x:v>
      </x:c>
      <x:c r="E394" s="15" t="str">
        <x:v>OPEN</x:v>
      </x:c>
    </x:row>
    <x:row r="395">
      <x:c r="A395" s="14" t="str">
        <x:v>E-391</x:v>
      </x:c>
      <x:c r="B395" s="14" t="str">
        <x:v>G-098</x:v>
      </x:c>
      <x:c r="C395" s="14" t="str">
        <x:v>custody</x:v>
      </x:c>
      <x:c r="D395" s="14" t="str">
        <x:v>NOT CREATED</x:v>
      </x:c>
      <x:c r="E395" s="14" t="str">
        <x:v>OPEN</x:v>
      </x:c>
    </x:row>
    <x:row r="396">
      <x:c r="A396" s="15" t="str">
        <x:v>E-392</x:v>
      </x:c>
      <x:c r="B396" s="15" t="str">
        <x:v>G-098</x:v>
      </x:c>
      <x:c r="C396" s="15" t="str">
        <x:v>decision</x:v>
      </x:c>
      <x:c r="D396" s="15" t="str">
        <x:v>NOT CREATED</x:v>
      </x:c>
      <x:c r="E396" s="15" t="str">
        <x:v>OPEN</x:v>
      </x:c>
    </x:row>
    <x:row r="397">
      <x:c r="A397" s="14" t="str">
        <x:v>E-393</x:v>
      </x:c>
      <x:c r="B397" s="14" t="str">
        <x:v>G-099</x:v>
      </x:c>
      <x:c r="C397" s="14" t="str">
        <x:v>native</x:v>
      </x:c>
      <x:c r="D397" s="14" t="str">
        <x:v>NOT CREATED</x:v>
      </x:c>
      <x:c r="E397" s="14" t="str">
        <x:v>OPEN</x:v>
      </x:c>
    </x:row>
    <x:row r="398">
      <x:c r="A398" s="15" t="str">
        <x:v>E-394</x:v>
      </x:c>
      <x:c r="B398" s="15" t="str">
        <x:v>G-099</x:v>
      </x:c>
      <x:c r="C398" s="15" t="str">
        <x:v>calibration</x:v>
      </x:c>
      <x:c r="D398" s="15" t="str">
        <x:v>NOT CREATED</x:v>
      </x:c>
      <x:c r="E398" s="15" t="str">
        <x:v>OPEN</x:v>
      </x:c>
    </x:row>
    <x:row r="399">
      <x:c r="A399" s="14" t="str">
        <x:v>E-395</x:v>
      </x:c>
      <x:c r="B399" s="14" t="str">
        <x:v>G-099</x:v>
      </x:c>
      <x:c r="C399" s="14" t="str">
        <x:v>custody</x:v>
      </x:c>
      <x:c r="D399" s="14" t="str">
        <x:v>NOT CREATED</x:v>
      </x:c>
      <x:c r="E399" s="14" t="str">
        <x:v>OPEN</x:v>
      </x:c>
    </x:row>
    <x:row r="400">
      <x:c r="A400" s="15" t="str">
        <x:v>E-396</x:v>
      </x:c>
      <x:c r="B400" s="15" t="str">
        <x:v>G-099</x:v>
      </x:c>
      <x:c r="C400" s="15" t="str">
        <x:v>decision</x:v>
      </x:c>
      <x:c r="D400" s="15" t="str">
        <x:v>NOT CREATED</x:v>
      </x:c>
      <x:c r="E400" s="15" t="str">
        <x:v>OPEN</x:v>
      </x:c>
    </x:row>
    <x:row r="401">
      <x:c r="A401" s="14" t="str">
        <x:v>E-397</x:v>
      </x:c>
      <x:c r="B401" s="14" t="str">
        <x:v>G-100</x:v>
      </x:c>
      <x:c r="C401" s="14" t="str">
        <x:v>native</x:v>
      </x:c>
      <x:c r="D401" s="14" t="str">
        <x:v>NOT CREATED</x:v>
      </x:c>
      <x:c r="E401" s="14" t="str">
        <x:v>OPEN</x:v>
      </x:c>
    </x:row>
    <x:row r="402">
      <x:c r="A402" s="15" t="str">
        <x:v>E-398</x:v>
      </x:c>
      <x:c r="B402" s="15" t="str">
        <x:v>G-100</x:v>
      </x:c>
      <x:c r="C402" s="15" t="str">
        <x:v>calibration</x:v>
      </x:c>
      <x:c r="D402" s="15" t="str">
        <x:v>NOT CREATED</x:v>
      </x:c>
      <x:c r="E402" s="15" t="str">
        <x:v>OPEN</x:v>
      </x:c>
    </x:row>
    <x:row r="403">
      <x:c r="A403" s="14" t="str">
        <x:v>E-399</x:v>
      </x:c>
      <x:c r="B403" s="14" t="str">
        <x:v>G-100</x:v>
      </x:c>
      <x:c r="C403" s="14" t="str">
        <x:v>custody</x:v>
      </x:c>
      <x:c r="D403" s="14" t="str">
        <x:v>NOT CREATED</x:v>
      </x:c>
      <x:c r="E403" s="14" t="str">
        <x:v>OPEN</x:v>
      </x:c>
    </x:row>
    <x:row r="404">
      <x:c r="A404" s="15" t="str">
        <x:v>E-400</x:v>
      </x:c>
      <x:c r="B404" s="15" t="str">
        <x:v>G-100</x:v>
      </x:c>
      <x:c r="C404" s="15" t="str">
        <x:v>decision</x:v>
      </x:c>
      <x:c r="D404" s="15" t="str">
        <x:v>NOT CREATED</x:v>
      </x:c>
      <x:c r="E404" s="15" t="str">
        <x:v>OPEN</x:v>
      </x:c>
    </x:row>
    <x:row r="405">
      <x:c r="A405" s="14" t="str">
        <x:v>E-401</x:v>
      </x:c>
      <x:c r="B405" s="14" t="str">
        <x:v>G-101</x:v>
      </x:c>
      <x:c r="C405" s="14" t="str">
        <x:v>native</x:v>
      </x:c>
      <x:c r="D405" s="14" t="str">
        <x:v>NOT CREATED</x:v>
      </x:c>
      <x:c r="E405" s="14" t="str">
        <x:v>OPEN</x:v>
      </x:c>
    </x:row>
    <x:row r="406">
      <x:c r="A406" s="15" t="str">
        <x:v>E-402</x:v>
      </x:c>
      <x:c r="B406" s="15" t="str">
        <x:v>G-101</x:v>
      </x:c>
      <x:c r="C406" s="15" t="str">
        <x:v>calibration</x:v>
      </x:c>
      <x:c r="D406" s="15" t="str">
        <x:v>NOT CREATED</x:v>
      </x:c>
      <x:c r="E406" s="15" t="str">
        <x:v>OPEN</x:v>
      </x:c>
    </x:row>
    <x:row r="407">
      <x:c r="A407" s="14" t="str">
        <x:v>E-403</x:v>
      </x:c>
      <x:c r="B407" s="14" t="str">
        <x:v>G-101</x:v>
      </x:c>
      <x:c r="C407" s="14" t="str">
        <x:v>custody</x:v>
      </x:c>
      <x:c r="D407" s="14" t="str">
        <x:v>NOT CREATED</x:v>
      </x:c>
      <x:c r="E407" s="14" t="str">
        <x:v>OPEN</x:v>
      </x:c>
    </x:row>
    <x:row r="408">
      <x:c r="A408" s="15" t="str">
        <x:v>E-404</x:v>
      </x:c>
      <x:c r="B408" s="15" t="str">
        <x:v>G-101</x:v>
      </x:c>
      <x:c r="C408" s="15" t="str">
        <x:v>decision</x:v>
      </x:c>
      <x:c r="D408" s="15" t="str">
        <x:v>NOT CREATED</x:v>
      </x:c>
      <x:c r="E408" s="15" t="str">
        <x:v>OPEN</x:v>
      </x:c>
    </x:row>
    <x:row r="409">
      <x:c r="A409" s="14" t="str">
        <x:v>E-405</x:v>
      </x:c>
      <x:c r="B409" s="14" t="str">
        <x:v>G-102</x:v>
      </x:c>
      <x:c r="C409" s="14" t="str">
        <x:v>native</x:v>
      </x:c>
      <x:c r="D409" s="14" t="str">
        <x:v>NOT CREATED</x:v>
      </x:c>
      <x:c r="E409" s="14" t="str">
        <x:v>OPEN</x:v>
      </x:c>
    </x:row>
    <x:row r="410">
      <x:c r="A410" s="15" t="str">
        <x:v>E-406</x:v>
      </x:c>
      <x:c r="B410" s="15" t="str">
        <x:v>G-102</x:v>
      </x:c>
      <x:c r="C410" s="15" t="str">
        <x:v>calibration</x:v>
      </x:c>
      <x:c r="D410" s="15" t="str">
        <x:v>NOT CREATED</x:v>
      </x:c>
      <x:c r="E410" s="15" t="str">
        <x:v>OPEN</x:v>
      </x:c>
    </x:row>
    <x:row r="411">
      <x:c r="A411" s="14" t="str">
        <x:v>E-407</x:v>
      </x:c>
      <x:c r="B411" s="14" t="str">
        <x:v>G-102</x:v>
      </x:c>
      <x:c r="C411" s="14" t="str">
        <x:v>custody</x:v>
      </x:c>
      <x:c r="D411" s="14" t="str">
        <x:v>NOT CREATED</x:v>
      </x:c>
      <x:c r="E411" s="14" t="str">
        <x:v>OPEN</x:v>
      </x:c>
    </x:row>
    <x:row r="412">
      <x:c r="A412" s="15" t="str">
        <x:v>E-408</x:v>
      </x:c>
      <x:c r="B412" s="15" t="str">
        <x:v>G-102</x:v>
      </x:c>
      <x:c r="C412" s="15" t="str">
        <x:v>decision</x:v>
      </x:c>
      <x:c r="D412" s="15" t="str">
        <x:v>NOT CREATED</x:v>
      </x:c>
      <x:c r="E412" s="15" t="str">
        <x:v>OPEN</x:v>
      </x:c>
    </x:row>
    <x:row r="413">
      <x:c r="A413" s="14" t="str">
        <x:v>E-409</x:v>
      </x:c>
      <x:c r="B413" s="14" t="str">
        <x:v>G-103</x:v>
      </x:c>
      <x:c r="C413" s="14" t="str">
        <x:v>native</x:v>
      </x:c>
      <x:c r="D413" s="14" t="str">
        <x:v>NOT CREATED</x:v>
      </x:c>
      <x:c r="E413" s="14" t="str">
        <x:v>OPEN</x:v>
      </x:c>
    </x:row>
    <x:row r="414">
      <x:c r="A414" s="15" t="str">
        <x:v>E-410</x:v>
      </x:c>
      <x:c r="B414" s="15" t="str">
        <x:v>G-103</x:v>
      </x:c>
      <x:c r="C414" s="15" t="str">
        <x:v>calibration</x:v>
      </x:c>
      <x:c r="D414" s="15" t="str">
        <x:v>NOT CREATED</x:v>
      </x:c>
      <x:c r="E414" s="15" t="str">
        <x:v>OPEN</x:v>
      </x:c>
    </x:row>
    <x:row r="415">
      <x:c r="A415" s="14" t="str">
        <x:v>E-411</x:v>
      </x:c>
      <x:c r="B415" s="14" t="str">
        <x:v>G-103</x:v>
      </x:c>
      <x:c r="C415" s="14" t="str">
        <x:v>custody</x:v>
      </x:c>
      <x:c r="D415" s="14" t="str">
        <x:v>NOT CREATED</x:v>
      </x:c>
      <x:c r="E415" s="14" t="str">
        <x:v>OPEN</x:v>
      </x:c>
    </x:row>
    <x:row r="416">
      <x:c r="A416" s="15" t="str">
        <x:v>E-412</x:v>
      </x:c>
      <x:c r="B416" s="15" t="str">
        <x:v>G-103</x:v>
      </x:c>
      <x:c r="C416" s="15" t="str">
        <x:v>decision</x:v>
      </x:c>
      <x:c r="D416" s="15" t="str">
        <x:v>NOT CREATED</x:v>
      </x:c>
      <x:c r="E416" s="15" t="str">
        <x:v>OPEN</x:v>
      </x:c>
    </x:row>
    <x:row r="417">
      <x:c r="A417" s="14" t="str">
        <x:v>E-413</x:v>
      </x:c>
      <x:c r="B417" s="14" t="str">
        <x:v>G-104</x:v>
      </x:c>
      <x:c r="C417" s="14" t="str">
        <x:v>native</x:v>
      </x:c>
      <x:c r="D417" s="14" t="str">
        <x:v>NOT CREATED</x:v>
      </x:c>
      <x:c r="E417" s="14" t="str">
        <x:v>OPEN</x:v>
      </x:c>
    </x:row>
    <x:row r="418">
      <x:c r="A418" s="15" t="str">
        <x:v>E-414</x:v>
      </x:c>
      <x:c r="B418" s="15" t="str">
        <x:v>G-104</x:v>
      </x:c>
      <x:c r="C418" s="15" t="str">
        <x:v>calibration</x:v>
      </x:c>
      <x:c r="D418" s="15" t="str">
        <x:v>NOT CREATED</x:v>
      </x:c>
      <x:c r="E418" s="15" t="str">
        <x:v>OPEN</x:v>
      </x:c>
    </x:row>
    <x:row r="419">
      <x:c r="A419" s="14" t="str">
        <x:v>E-415</x:v>
      </x:c>
      <x:c r="B419" s="14" t="str">
        <x:v>G-104</x:v>
      </x:c>
      <x:c r="C419" s="14" t="str">
        <x:v>custody</x:v>
      </x:c>
      <x:c r="D419" s="14" t="str">
        <x:v>NOT CREATED</x:v>
      </x:c>
      <x:c r="E419" s="14" t="str">
        <x:v>OPEN</x:v>
      </x:c>
    </x:row>
    <x:row r="420">
      <x:c r="A420" s="15" t="str">
        <x:v>E-416</x:v>
      </x:c>
      <x:c r="B420" s="15" t="str">
        <x:v>G-104</x:v>
      </x:c>
      <x:c r="C420" s="15" t="str">
        <x:v>decision</x:v>
      </x:c>
      <x:c r="D420" s="15" t="str">
        <x:v>NOT CREATED</x:v>
      </x:c>
      <x:c r="E420" s="15" t="str">
        <x:v>OPEN</x:v>
      </x:c>
    </x:row>
    <x:row r="421">
      <x:c r="A421" s="14" t="str">
        <x:v>E-417</x:v>
      </x:c>
      <x:c r="B421" s="14" t="str">
        <x:v>G-105</x:v>
      </x:c>
      <x:c r="C421" s="14" t="str">
        <x:v>native</x:v>
      </x:c>
      <x:c r="D421" s="14" t="str">
        <x:v>NOT CREATED</x:v>
      </x:c>
      <x:c r="E421" s="14" t="str">
        <x:v>OPEN</x:v>
      </x:c>
    </x:row>
    <x:row r="422">
      <x:c r="A422" s="15" t="str">
        <x:v>E-418</x:v>
      </x:c>
      <x:c r="B422" s="15" t="str">
        <x:v>G-105</x:v>
      </x:c>
      <x:c r="C422" s="15" t="str">
        <x:v>calibration</x:v>
      </x:c>
      <x:c r="D422" s="15" t="str">
        <x:v>NOT CREATED</x:v>
      </x:c>
      <x:c r="E422" s="15" t="str">
        <x:v>OPEN</x:v>
      </x:c>
    </x:row>
    <x:row r="423">
      <x:c r="A423" s="14" t="str">
        <x:v>E-419</x:v>
      </x:c>
      <x:c r="B423" s="14" t="str">
        <x:v>G-105</x:v>
      </x:c>
      <x:c r="C423" s="14" t="str">
        <x:v>custody</x:v>
      </x:c>
      <x:c r="D423" s="14" t="str">
        <x:v>NOT CREATED</x:v>
      </x:c>
      <x:c r="E423" s="14" t="str">
        <x:v>OPEN</x:v>
      </x:c>
    </x:row>
    <x:row r="424">
      <x:c r="A424" s="15" t="str">
        <x:v>E-420</x:v>
      </x:c>
      <x:c r="B424" s="15" t="str">
        <x:v>G-105</x:v>
      </x:c>
      <x:c r="C424" s="15" t="str">
        <x:v>decision</x:v>
      </x:c>
      <x:c r="D424" s="15" t="str">
        <x:v>NOT CREATED</x:v>
      </x:c>
      <x:c r="E424" s="15" t="str">
        <x:v>OPEN</x:v>
      </x:c>
    </x:row>
    <x:row r="425">
      <x:c r="A425" s="14" t="str">
        <x:v>E-421</x:v>
      </x:c>
      <x:c r="B425" s="14" t="str">
        <x:v>G-106</x:v>
      </x:c>
      <x:c r="C425" s="14" t="str">
        <x:v>native</x:v>
      </x:c>
      <x:c r="D425" s="14" t="str">
        <x:v>NOT CREATED</x:v>
      </x:c>
      <x:c r="E425" s="14" t="str">
        <x:v>OPEN</x:v>
      </x:c>
    </x:row>
    <x:row r="426">
      <x:c r="A426" s="15" t="str">
        <x:v>E-422</x:v>
      </x:c>
      <x:c r="B426" s="15" t="str">
        <x:v>G-106</x:v>
      </x:c>
      <x:c r="C426" s="15" t="str">
        <x:v>calibration</x:v>
      </x:c>
      <x:c r="D426" s="15" t="str">
        <x:v>NOT CREATED</x:v>
      </x:c>
      <x:c r="E426" s="15" t="str">
        <x:v>OPEN</x:v>
      </x:c>
    </x:row>
    <x:row r="427">
      <x:c r="A427" s="14" t="str">
        <x:v>E-423</x:v>
      </x:c>
      <x:c r="B427" s="14" t="str">
        <x:v>G-106</x:v>
      </x:c>
      <x:c r="C427" s="14" t="str">
        <x:v>custody</x:v>
      </x:c>
      <x:c r="D427" s="14" t="str">
        <x:v>NOT CREATED</x:v>
      </x:c>
      <x:c r="E427" s="14" t="str">
        <x:v>OPEN</x:v>
      </x:c>
    </x:row>
    <x:row r="428">
      <x:c r="A428" s="15" t="str">
        <x:v>E-424</x:v>
      </x:c>
      <x:c r="B428" s="15" t="str">
        <x:v>G-106</x:v>
      </x:c>
      <x:c r="C428" s="15" t="str">
        <x:v>decision</x:v>
      </x:c>
      <x:c r="D428" s="15" t="str">
        <x:v>NOT CREATED</x:v>
      </x:c>
      <x:c r="E428" s="15" t="str">
        <x:v>OPEN</x:v>
      </x:c>
    </x:row>
    <x:row r="429">
      <x:c r="A429" s="14" t="str">
        <x:v>E-425</x:v>
      </x:c>
      <x:c r="B429" s="14" t="str">
        <x:v>G-107</x:v>
      </x:c>
      <x:c r="C429" s="14" t="str">
        <x:v>native</x:v>
      </x:c>
      <x:c r="D429" s="14" t="str">
        <x:v>NOT CREATED</x:v>
      </x:c>
      <x:c r="E429" s="14" t="str">
        <x:v>OPEN</x:v>
      </x:c>
    </x:row>
    <x:row r="430">
      <x:c r="A430" s="15" t="str">
        <x:v>E-426</x:v>
      </x:c>
      <x:c r="B430" s="15" t="str">
        <x:v>G-107</x:v>
      </x:c>
      <x:c r="C430" s="15" t="str">
        <x:v>calibration</x:v>
      </x:c>
      <x:c r="D430" s="15" t="str">
        <x:v>NOT CREATED</x:v>
      </x:c>
      <x:c r="E430" s="15" t="str">
        <x:v>OPEN</x:v>
      </x:c>
    </x:row>
    <x:row r="431">
      <x:c r="A431" s="14" t="str">
        <x:v>E-427</x:v>
      </x:c>
      <x:c r="B431" s="14" t="str">
        <x:v>G-107</x:v>
      </x:c>
      <x:c r="C431" s="14" t="str">
        <x:v>custody</x:v>
      </x:c>
      <x:c r="D431" s="14" t="str">
        <x:v>NOT CREATED</x:v>
      </x:c>
      <x:c r="E431" s="14" t="str">
        <x:v>OPEN</x:v>
      </x:c>
    </x:row>
    <x:row r="432">
      <x:c r="A432" s="15" t="str">
        <x:v>E-428</x:v>
      </x:c>
      <x:c r="B432" s="15" t="str">
        <x:v>G-107</x:v>
      </x:c>
      <x:c r="C432" s="15" t="str">
        <x:v>decision</x:v>
      </x:c>
      <x:c r="D432" s="15" t="str">
        <x:v>NOT CREATED</x:v>
      </x:c>
      <x:c r="E432" s="15" t="str">
        <x:v>OPEN</x:v>
      </x:c>
    </x:row>
    <x:row r="433">
      <x:c r="A433" s="14" t="str">
        <x:v>E-429</x:v>
      </x:c>
      <x:c r="B433" s="14" t="str">
        <x:v>G-108</x:v>
      </x:c>
      <x:c r="C433" s="14" t="str">
        <x:v>native</x:v>
      </x:c>
      <x:c r="D433" s="14" t="str">
        <x:v>NOT CREATED</x:v>
      </x:c>
      <x:c r="E433" s="14" t="str">
        <x:v>OPEN</x:v>
      </x:c>
    </x:row>
    <x:row r="434">
      <x:c r="A434" s="15" t="str">
        <x:v>E-430</x:v>
      </x:c>
      <x:c r="B434" s="15" t="str">
        <x:v>G-108</x:v>
      </x:c>
      <x:c r="C434" s="15" t="str">
        <x:v>calibration</x:v>
      </x:c>
      <x:c r="D434" s="15" t="str">
        <x:v>NOT CREATED</x:v>
      </x:c>
      <x:c r="E434" s="15" t="str">
        <x:v>OPEN</x:v>
      </x:c>
    </x:row>
    <x:row r="435">
      <x:c r="A435" s="14" t="str">
        <x:v>E-431</x:v>
      </x:c>
      <x:c r="B435" s="14" t="str">
        <x:v>G-108</x:v>
      </x:c>
      <x:c r="C435" s="14" t="str">
        <x:v>custody</x:v>
      </x:c>
      <x:c r="D435" s="14" t="str">
        <x:v>NOT CREATED</x:v>
      </x:c>
      <x:c r="E435" s="14" t="str">
        <x:v>OPEN</x:v>
      </x:c>
    </x:row>
    <x:row r="436">
      <x:c r="A436" s="15" t="str">
        <x:v>E-432</x:v>
      </x:c>
      <x:c r="B436" s="15" t="str">
        <x:v>G-108</x:v>
      </x:c>
      <x:c r="C436" s="15" t="str">
        <x:v>decision</x:v>
      </x:c>
      <x:c r="D436" s="15" t="str">
        <x:v>NOT CREATED</x:v>
      </x:c>
      <x:c r="E436" s="15" t="str">
        <x:v>OPEN</x:v>
      </x:c>
    </x:row>
    <x:row r="437">
      <x:c r="A437" s="14" t="str">
        <x:v>E-433</x:v>
      </x:c>
      <x:c r="B437" s="14" t="str">
        <x:v>G-109</x:v>
      </x:c>
      <x:c r="C437" s="14" t="str">
        <x:v>native</x:v>
      </x:c>
      <x:c r="D437" s="14" t="str">
        <x:v>NOT CREATED</x:v>
      </x:c>
      <x:c r="E437" s="14" t="str">
        <x:v>OPEN</x:v>
      </x:c>
    </x:row>
    <x:row r="438">
      <x:c r="A438" s="15" t="str">
        <x:v>E-434</x:v>
      </x:c>
      <x:c r="B438" s="15" t="str">
        <x:v>G-109</x:v>
      </x:c>
      <x:c r="C438" s="15" t="str">
        <x:v>calibration</x:v>
      </x:c>
      <x:c r="D438" s="15" t="str">
        <x:v>NOT CREATED</x:v>
      </x:c>
      <x:c r="E438" s="15" t="str">
        <x:v>OPEN</x:v>
      </x:c>
    </x:row>
    <x:row r="439">
      <x:c r="A439" s="14" t="str">
        <x:v>E-435</x:v>
      </x:c>
      <x:c r="B439" s="14" t="str">
        <x:v>G-109</x:v>
      </x:c>
      <x:c r="C439" s="14" t="str">
        <x:v>custody</x:v>
      </x:c>
      <x:c r="D439" s="14" t="str">
        <x:v>NOT CREATED</x:v>
      </x:c>
      <x:c r="E439" s="14" t="str">
        <x:v>OPEN</x:v>
      </x:c>
    </x:row>
    <x:row r="440">
      <x:c r="A440" s="15" t="str">
        <x:v>E-436</x:v>
      </x:c>
      <x:c r="B440" s="15" t="str">
        <x:v>G-109</x:v>
      </x:c>
      <x:c r="C440" s="15" t="str">
        <x:v>decision</x:v>
      </x:c>
      <x:c r="D440" s="15" t="str">
        <x:v>NOT CREATED</x:v>
      </x:c>
      <x:c r="E440" s="15" t="str">
        <x:v>OPEN</x:v>
      </x:c>
    </x:row>
    <x:row r="441">
      <x:c r="A441" s="14" t="str">
        <x:v>E-437</x:v>
      </x:c>
      <x:c r="B441" s="14" t="str">
        <x:v>G-110</x:v>
      </x:c>
      <x:c r="C441" s="14" t="str">
        <x:v>native</x:v>
      </x:c>
      <x:c r="D441" s="14" t="str">
        <x:v>NOT CREATED</x:v>
      </x:c>
      <x:c r="E441" s="14" t="str">
        <x:v>OPEN</x:v>
      </x:c>
    </x:row>
    <x:row r="442">
      <x:c r="A442" s="15" t="str">
        <x:v>E-438</x:v>
      </x:c>
      <x:c r="B442" s="15" t="str">
        <x:v>G-110</x:v>
      </x:c>
      <x:c r="C442" s="15" t="str">
        <x:v>calibration</x:v>
      </x:c>
      <x:c r="D442" s="15" t="str">
        <x:v>NOT CREATED</x:v>
      </x:c>
      <x:c r="E442" s="15" t="str">
        <x:v>OPEN</x:v>
      </x:c>
    </x:row>
    <x:row r="443">
      <x:c r="A443" s="14" t="str">
        <x:v>E-439</x:v>
      </x:c>
      <x:c r="B443" s="14" t="str">
        <x:v>G-110</x:v>
      </x:c>
      <x:c r="C443" s="14" t="str">
        <x:v>custody</x:v>
      </x:c>
      <x:c r="D443" s="14" t="str">
        <x:v>NOT CREATED</x:v>
      </x:c>
      <x:c r="E443" s="14" t="str">
        <x:v>OPEN</x:v>
      </x:c>
    </x:row>
    <x:row r="444">
      <x:c r="A444" s="15" t="str">
        <x:v>E-440</x:v>
      </x:c>
      <x:c r="B444" s="15" t="str">
        <x:v>G-110</x:v>
      </x:c>
      <x:c r="C444" s="15" t="str">
        <x:v>decision</x:v>
      </x:c>
      <x:c r="D444" s="15" t="str">
        <x:v>NOT CREATED</x:v>
      </x:c>
      <x:c r="E444" s="15" t="str">
        <x:v>OPEN</x:v>
      </x:c>
    </x:row>
    <x:row r="445">
      <x:c r="A445" s="14" t="str">
        <x:v>E-441</x:v>
      </x:c>
      <x:c r="B445" s="14" t="str">
        <x:v>G-111</x:v>
      </x:c>
      <x:c r="C445" s="14" t="str">
        <x:v>native</x:v>
      </x:c>
      <x:c r="D445" s="14" t="str">
        <x:v>NOT CREATED</x:v>
      </x:c>
      <x:c r="E445" s="14" t="str">
        <x:v>OPEN</x:v>
      </x:c>
    </x:row>
    <x:row r="446">
      <x:c r="A446" s="15" t="str">
        <x:v>E-442</x:v>
      </x:c>
      <x:c r="B446" s="15" t="str">
        <x:v>G-111</x:v>
      </x:c>
      <x:c r="C446" s="15" t="str">
        <x:v>calibration</x:v>
      </x:c>
      <x:c r="D446" s="15" t="str">
        <x:v>NOT CREATED</x:v>
      </x:c>
      <x:c r="E446" s="15" t="str">
        <x:v>OPEN</x:v>
      </x:c>
    </x:row>
    <x:row r="447">
      <x:c r="A447" s="14" t="str">
        <x:v>E-443</x:v>
      </x:c>
      <x:c r="B447" s="14" t="str">
        <x:v>G-111</x:v>
      </x:c>
      <x:c r="C447" s="14" t="str">
        <x:v>custody</x:v>
      </x:c>
      <x:c r="D447" s="14" t="str">
        <x:v>NOT CREATED</x:v>
      </x:c>
      <x:c r="E447" s="14" t="str">
        <x:v>OPEN</x:v>
      </x:c>
    </x:row>
    <x:row r="448">
      <x:c r="A448" s="15" t="str">
        <x:v>E-444</x:v>
      </x:c>
      <x:c r="B448" s="15" t="str">
        <x:v>G-111</x:v>
      </x:c>
      <x:c r="C448" s="15" t="str">
        <x:v>decision</x:v>
      </x:c>
      <x:c r="D448" s="15" t="str">
        <x:v>NOT CREATED</x:v>
      </x:c>
      <x:c r="E448" s="15" t="str">
        <x:v>OPEN</x:v>
      </x:c>
    </x:row>
    <x:row r="449">
      <x:c r="A449" s="14" t="str">
        <x:v>E-445</x:v>
      </x:c>
      <x:c r="B449" s="14" t="str">
        <x:v>G-112</x:v>
      </x:c>
      <x:c r="C449" s="14" t="str">
        <x:v>native</x:v>
      </x:c>
      <x:c r="D449" s="14" t="str">
        <x:v>NOT CREATED</x:v>
      </x:c>
      <x:c r="E449" s="14" t="str">
        <x:v>OPEN</x:v>
      </x:c>
    </x:row>
    <x:row r="450">
      <x:c r="A450" s="15" t="str">
        <x:v>E-446</x:v>
      </x:c>
      <x:c r="B450" s="15" t="str">
        <x:v>G-112</x:v>
      </x:c>
      <x:c r="C450" s="15" t="str">
        <x:v>calibration</x:v>
      </x:c>
      <x:c r="D450" s="15" t="str">
        <x:v>NOT CREATED</x:v>
      </x:c>
      <x:c r="E450" s="15" t="str">
        <x:v>OPEN</x:v>
      </x:c>
    </x:row>
    <x:row r="451">
      <x:c r="A451" s="14" t="str">
        <x:v>E-447</x:v>
      </x:c>
      <x:c r="B451" s="14" t="str">
        <x:v>G-112</x:v>
      </x:c>
      <x:c r="C451" s="14" t="str">
        <x:v>custody</x:v>
      </x:c>
      <x:c r="D451" s="14" t="str">
        <x:v>NOT CREATED</x:v>
      </x:c>
      <x:c r="E451" s="14" t="str">
        <x:v>OPEN</x:v>
      </x:c>
    </x:row>
    <x:row r="452">
      <x:c r="A452" s="15" t="str">
        <x:v>E-448</x:v>
      </x:c>
      <x:c r="B452" s="15" t="str">
        <x:v>G-112</x:v>
      </x:c>
      <x:c r="C452" s="15" t="str">
        <x:v>decision</x:v>
      </x:c>
      <x:c r="D452" s="15" t="str">
        <x:v>NOT CREATED</x:v>
      </x:c>
      <x:c r="E452" s="15" t="str">
        <x:v>OPEN</x:v>
      </x:c>
    </x:row>
    <x:row r="453">
      <x:c r="A453" s="14" t="str">
        <x:v>E-449</x:v>
      </x:c>
      <x:c r="B453" s="14" t="str">
        <x:v>G-113</x:v>
      </x:c>
      <x:c r="C453" s="14" t="str">
        <x:v>native</x:v>
      </x:c>
      <x:c r="D453" s="14" t="str">
        <x:v>NOT CREATED</x:v>
      </x:c>
      <x:c r="E453" s="14" t="str">
        <x:v>OPEN</x:v>
      </x:c>
    </x:row>
    <x:row r="454">
      <x:c r="A454" s="15" t="str">
        <x:v>E-450</x:v>
      </x:c>
      <x:c r="B454" s="15" t="str">
        <x:v>G-113</x:v>
      </x:c>
      <x:c r="C454" s="15" t="str">
        <x:v>calibration</x:v>
      </x:c>
      <x:c r="D454" s="15" t="str">
        <x:v>NOT CREATED</x:v>
      </x:c>
      <x:c r="E454" s="15" t="str">
        <x:v>OPEN</x:v>
      </x:c>
    </x:row>
    <x:row r="455">
      <x:c r="A455" s="14" t="str">
        <x:v>E-451</x:v>
      </x:c>
      <x:c r="B455" s="14" t="str">
        <x:v>G-113</x:v>
      </x:c>
      <x:c r="C455" s="14" t="str">
        <x:v>custody</x:v>
      </x:c>
      <x:c r="D455" s="14" t="str">
        <x:v>NOT CREATED</x:v>
      </x:c>
      <x:c r="E455" s="14" t="str">
        <x:v>OPEN</x:v>
      </x:c>
    </x:row>
    <x:row r="456">
      <x:c r="A456" s="15" t="str">
        <x:v>E-452</x:v>
      </x:c>
      <x:c r="B456" s="15" t="str">
        <x:v>G-113</x:v>
      </x:c>
      <x:c r="C456" s="15" t="str">
        <x:v>decision</x:v>
      </x:c>
      <x:c r="D456" s="15" t="str">
        <x:v>NOT CREATED</x:v>
      </x:c>
      <x:c r="E456" s="15" t="str">
        <x:v>OPEN</x:v>
      </x:c>
    </x:row>
    <x:row r="457">
      <x:c r="A457" s="14" t="str">
        <x:v>E-453</x:v>
      </x:c>
      <x:c r="B457" s="14" t="str">
        <x:v>G-114</x:v>
      </x:c>
      <x:c r="C457" s="14" t="str">
        <x:v>native</x:v>
      </x:c>
      <x:c r="D457" s="14" t="str">
        <x:v>NOT CREATED</x:v>
      </x:c>
      <x:c r="E457" s="14" t="str">
        <x:v>OPEN</x:v>
      </x:c>
    </x:row>
    <x:row r="458">
      <x:c r="A458" s="15" t="str">
        <x:v>E-454</x:v>
      </x:c>
      <x:c r="B458" s="15" t="str">
        <x:v>G-114</x:v>
      </x:c>
      <x:c r="C458" s="15" t="str">
        <x:v>calibration</x:v>
      </x:c>
      <x:c r="D458" s="15" t="str">
        <x:v>NOT CREATED</x:v>
      </x:c>
      <x:c r="E458" s="15" t="str">
        <x:v>OPEN</x:v>
      </x:c>
    </x:row>
    <x:row r="459">
      <x:c r="A459" s="14" t="str">
        <x:v>E-455</x:v>
      </x:c>
      <x:c r="B459" s="14" t="str">
        <x:v>G-114</x:v>
      </x:c>
      <x:c r="C459" s="14" t="str">
        <x:v>custody</x:v>
      </x:c>
      <x:c r="D459" s="14" t="str">
        <x:v>NOT CREATED</x:v>
      </x:c>
      <x:c r="E459" s="14" t="str">
        <x:v>OPEN</x:v>
      </x:c>
    </x:row>
    <x:row r="460">
      <x:c r="A460" s="15" t="str">
        <x:v>E-456</x:v>
      </x:c>
      <x:c r="B460" s="15" t="str">
        <x:v>G-114</x:v>
      </x:c>
      <x:c r="C460" s="15" t="str">
        <x:v>decision</x:v>
      </x:c>
      <x:c r="D460" s="15" t="str">
        <x:v>NOT CREATED</x:v>
      </x:c>
      <x:c r="E460" s="15" t="str">
        <x:v>OPEN</x:v>
      </x:c>
    </x:row>
    <x:row r="461">
      <x:c r="A461" s="14" t="str">
        <x:v>E-457</x:v>
      </x:c>
      <x:c r="B461" s="14" t="str">
        <x:v>G-115</x:v>
      </x:c>
      <x:c r="C461" s="14" t="str">
        <x:v>native</x:v>
      </x:c>
      <x:c r="D461" s="14" t="str">
        <x:v>NOT CREATED</x:v>
      </x:c>
      <x:c r="E461" s="14" t="str">
        <x:v>OPEN</x:v>
      </x:c>
    </x:row>
    <x:row r="462">
      <x:c r="A462" s="15" t="str">
        <x:v>E-458</x:v>
      </x:c>
      <x:c r="B462" s="15" t="str">
        <x:v>G-115</x:v>
      </x:c>
      <x:c r="C462" s="15" t="str">
        <x:v>calibration</x:v>
      </x:c>
      <x:c r="D462" s="15" t="str">
        <x:v>NOT CREATED</x:v>
      </x:c>
      <x:c r="E462" s="15" t="str">
        <x:v>OPEN</x:v>
      </x:c>
    </x:row>
    <x:row r="463">
      <x:c r="A463" s="14" t="str">
        <x:v>E-459</x:v>
      </x:c>
      <x:c r="B463" s="14" t="str">
        <x:v>G-115</x:v>
      </x:c>
      <x:c r="C463" s="14" t="str">
        <x:v>custody</x:v>
      </x:c>
      <x:c r="D463" s="14" t="str">
        <x:v>NOT CREATED</x:v>
      </x:c>
      <x:c r="E463" s="14" t="str">
        <x:v>OPEN</x:v>
      </x:c>
    </x:row>
    <x:row r="464">
      <x:c r="A464" s="15" t="str">
        <x:v>E-460</x:v>
      </x:c>
      <x:c r="B464" s="15" t="str">
        <x:v>G-115</x:v>
      </x:c>
      <x:c r="C464" s="15" t="str">
        <x:v>decision</x:v>
      </x:c>
      <x:c r="D464" s="15" t="str">
        <x:v>NOT CREATED</x:v>
      </x:c>
      <x:c r="E464" s="15" t="str">
        <x:v>OPEN</x:v>
      </x:c>
    </x:row>
    <x:row r="465">
      <x:c r="A465" s="14" t="str">
        <x:v>E-461</x:v>
      </x:c>
      <x:c r="B465" s="14" t="str">
        <x:v>G-116</x:v>
      </x:c>
      <x:c r="C465" s="14" t="str">
        <x:v>native</x:v>
      </x:c>
      <x:c r="D465" s="14" t="str">
        <x:v>NOT CREATED</x:v>
      </x:c>
      <x:c r="E465" s="14" t="str">
        <x:v>OPEN</x:v>
      </x:c>
    </x:row>
    <x:row r="466">
      <x:c r="A466" s="15" t="str">
        <x:v>E-462</x:v>
      </x:c>
      <x:c r="B466" s="15" t="str">
        <x:v>G-116</x:v>
      </x:c>
      <x:c r="C466" s="15" t="str">
        <x:v>calibration</x:v>
      </x:c>
      <x:c r="D466" s="15" t="str">
        <x:v>NOT CREATED</x:v>
      </x:c>
      <x:c r="E466" s="15" t="str">
        <x:v>OPEN</x:v>
      </x:c>
    </x:row>
    <x:row r="467">
      <x:c r="A467" s="14" t="str">
        <x:v>E-463</x:v>
      </x:c>
      <x:c r="B467" s="14" t="str">
        <x:v>G-116</x:v>
      </x:c>
      <x:c r="C467" s="14" t="str">
        <x:v>custody</x:v>
      </x:c>
      <x:c r="D467" s="14" t="str">
        <x:v>NOT CREATED</x:v>
      </x:c>
      <x:c r="E467" s="14" t="str">
        <x:v>OPEN</x:v>
      </x:c>
    </x:row>
    <x:row r="468">
      <x:c r="A468" s="15" t="str">
        <x:v>E-464</x:v>
      </x:c>
      <x:c r="B468" s="15" t="str">
        <x:v>G-116</x:v>
      </x:c>
      <x:c r="C468" s="15" t="str">
        <x:v>decision</x:v>
      </x:c>
      <x:c r="D468" s="15" t="str">
        <x:v>NOT CREATED</x:v>
      </x:c>
      <x:c r="E468" s="15" t="str">
        <x:v>OPEN</x:v>
      </x:c>
    </x:row>
    <x:row r="469">
      <x:c r="A469" s="14" t="str">
        <x:v>E-465</x:v>
      </x:c>
      <x:c r="B469" s="14" t="str">
        <x:v>G-117</x:v>
      </x:c>
      <x:c r="C469" s="14" t="str">
        <x:v>native</x:v>
      </x:c>
      <x:c r="D469" s="14" t="str">
        <x:v>NOT CREATED</x:v>
      </x:c>
      <x:c r="E469" s="14" t="str">
        <x:v>OPEN</x:v>
      </x:c>
    </x:row>
    <x:row r="470">
      <x:c r="A470" s="15" t="str">
        <x:v>E-466</x:v>
      </x:c>
      <x:c r="B470" s="15" t="str">
        <x:v>G-117</x:v>
      </x:c>
      <x:c r="C470" s="15" t="str">
        <x:v>calibration</x:v>
      </x:c>
      <x:c r="D470" s="15" t="str">
        <x:v>NOT CREATED</x:v>
      </x:c>
      <x:c r="E470" s="15" t="str">
        <x:v>OPEN</x:v>
      </x:c>
    </x:row>
    <x:row r="471">
      <x:c r="A471" s="14" t="str">
        <x:v>E-467</x:v>
      </x:c>
      <x:c r="B471" s="14" t="str">
        <x:v>G-117</x:v>
      </x:c>
      <x:c r="C471" s="14" t="str">
        <x:v>custody</x:v>
      </x:c>
      <x:c r="D471" s="14" t="str">
        <x:v>NOT CREATED</x:v>
      </x:c>
      <x:c r="E471" s="14" t="str">
        <x:v>OPEN</x:v>
      </x:c>
    </x:row>
    <x:row r="472">
      <x:c r="A472" s="15" t="str">
        <x:v>E-468</x:v>
      </x:c>
      <x:c r="B472" s="15" t="str">
        <x:v>G-117</x:v>
      </x:c>
      <x:c r="C472" s="15" t="str">
        <x:v>decision</x:v>
      </x:c>
      <x:c r="D472" s="15" t="str">
        <x:v>NOT CREATED</x:v>
      </x:c>
      <x:c r="E472" s="15" t="str">
        <x:v>OPEN</x:v>
      </x:c>
    </x:row>
    <x:row r="473">
      <x:c r="A473" s="14" t="str">
        <x:v>E-469</x:v>
      </x:c>
      <x:c r="B473" s="14" t="str">
        <x:v>G-118</x:v>
      </x:c>
      <x:c r="C473" s="14" t="str">
        <x:v>native</x:v>
      </x:c>
      <x:c r="D473" s="14" t="str">
        <x:v>NOT CREATED</x:v>
      </x:c>
      <x:c r="E473" s="14" t="str">
        <x:v>OPEN</x:v>
      </x:c>
    </x:row>
    <x:row r="474">
      <x:c r="A474" s="15" t="str">
        <x:v>E-470</x:v>
      </x:c>
      <x:c r="B474" s="15" t="str">
        <x:v>G-118</x:v>
      </x:c>
      <x:c r="C474" s="15" t="str">
        <x:v>calibration</x:v>
      </x:c>
      <x:c r="D474" s="15" t="str">
        <x:v>NOT CREATED</x:v>
      </x:c>
      <x:c r="E474" s="15" t="str">
        <x:v>OPEN</x:v>
      </x:c>
    </x:row>
    <x:row r="475">
      <x:c r="A475" s="14" t="str">
        <x:v>E-471</x:v>
      </x:c>
      <x:c r="B475" s="14" t="str">
        <x:v>G-118</x:v>
      </x:c>
      <x:c r="C475" s="14" t="str">
        <x:v>custody</x:v>
      </x:c>
      <x:c r="D475" s="14" t="str">
        <x:v>NOT CREATED</x:v>
      </x:c>
      <x:c r="E475" s="14" t="str">
        <x:v>OPEN</x:v>
      </x:c>
    </x:row>
    <x:row r="476">
      <x:c r="A476" s="15" t="str">
        <x:v>E-472</x:v>
      </x:c>
      <x:c r="B476" s="15" t="str">
        <x:v>G-118</x:v>
      </x:c>
      <x:c r="C476" s="15" t="str">
        <x:v>decision</x:v>
      </x:c>
      <x:c r="D476" s="15" t="str">
        <x:v>NOT CREATED</x:v>
      </x:c>
      <x:c r="E476" s="15" t="str">
        <x:v>OPEN</x:v>
      </x:c>
    </x:row>
    <x:row r="477">
      <x:c r="A477" s="14" t="str">
        <x:v>E-473</x:v>
      </x:c>
      <x:c r="B477" s="14" t="str">
        <x:v>G-119</x:v>
      </x:c>
      <x:c r="C477" s="14" t="str">
        <x:v>native</x:v>
      </x:c>
      <x:c r="D477" s="14" t="str">
        <x:v>NOT CREATED</x:v>
      </x:c>
      <x:c r="E477" s="14" t="str">
        <x:v>OPEN</x:v>
      </x:c>
    </x:row>
    <x:row r="478">
      <x:c r="A478" s="15" t="str">
        <x:v>E-474</x:v>
      </x:c>
      <x:c r="B478" s="15" t="str">
        <x:v>G-119</x:v>
      </x:c>
      <x:c r="C478" s="15" t="str">
        <x:v>calibration</x:v>
      </x:c>
      <x:c r="D478" s="15" t="str">
        <x:v>NOT CREATED</x:v>
      </x:c>
      <x:c r="E478" s="15" t="str">
        <x:v>OPEN</x:v>
      </x:c>
    </x:row>
    <x:row r="479">
      <x:c r="A479" s="14" t="str">
        <x:v>E-475</x:v>
      </x:c>
      <x:c r="B479" s="14" t="str">
        <x:v>G-119</x:v>
      </x:c>
      <x:c r="C479" s="14" t="str">
        <x:v>custody</x:v>
      </x:c>
      <x:c r="D479" s="14" t="str">
        <x:v>NOT CREATED</x:v>
      </x:c>
      <x:c r="E479" s="14" t="str">
        <x:v>OPEN</x:v>
      </x:c>
    </x:row>
    <x:row r="480">
      <x:c r="A480" s="15" t="str">
        <x:v>E-476</x:v>
      </x:c>
      <x:c r="B480" s="15" t="str">
        <x:v>G-119</x:v>
      </x:c>
      <x:c r="C480" s="15" t="str">
        <x:v>decision</x:v>
      </x:c>
      <x:c r="D480" s="15" t="str">
        <x:v>NOT CREATED</x:v>
      </x:c>
      <x:c r="E480" s="15" t="str">
        <x:v>OPEN</x:v>
      </x:c>
    </x:row>
    <x:row r="481">
      <x:c r="A481" s="14" t="str">
        <x:v>E-477</x:v>
      </x:c>
      <x:c r="B481" s="14" t="str">
        <x:v>G-120</x:v>
      </x:c>
      <x:c r="C481" s="14" t="str">
        <x:v>native</x:v>
      </x:c>
      <x:c r="D481" s="14" t="str">
        <x:v>NOT CREATED</x:v>
      </x:c>
      <x:c r="E481" s="14" t="str">
        <x:v>OPEN</x:v>
      </x:c>
    </x:row>
    <x:row r="482">
      <x:c r="A482" s="15" t="str">
        <x:v>E-478</x:v>
      </x:c>
      <x:c r="B482" s="15" t="str">
        <x:v>G-120</x:v>
      </x:c>
      <x:c r="C482" s="15" t="str">
        <x:v>calibration</x:v>
      </x:c>
      <x:c r="D482" s="15" t="str">
        <x:v>NOT CREATED</x:v>
      </x:c>
      <x:c r="E482" s="15" t="str">
        <x:v>OPEN</x:v>
      </x:c>
    </x:row>
    <x:row r="483">
      <x:c r="A483" s="14" t="str">
        <x:v>E-479</x:v>
      </x:c>
      <x:c r="B483" s="14" t="str">
        <x:v>G-120</x:v>
      </x:c>
      <x:c r="C483" s="14" t="str">
        <x:v>custody</x:v>
      </x:c>
      <x:c r="D483" s="14" t="str">
        <x:v>NOT CREATED</x:v>
      </x:c>
      <x:c r="E483" s="14" t="str">
        <x:v>OPEN</x:v>
      </x:c>
    </x:row>
    <x:row r="484">
      <x:c r="A484" s="15" t="str">
        <x:v>E-480</x:v>
      </x:c>
      <x:c r="B484" s="15" t="str">
        <x:v>G-120</x:v>
      </x:c>
      <x:c r="C484" s="15" t="str">
        <x:v>decision</x:v>
      </x:c>
      <x:c r="D484" s="15" t="str">
        <x:v>NOT CREATED</x:v>
      </x:c>
      <x:c r="E484" s="15" t="str">
        <x:v>OPEN</x:v>
      </x:c>
    </x:row>
    <x:row r="485">
      <x:c r="A485" s="14" t="str">
        <x:v>E-481</x:v>
      </x:c>
      <x:c r="B485" s="14" t="str">
        <x:v>G-121</x:v>
      </x:c>
      <x:c r="C485" s="14" t="str">
        <x:v>native</x:v>
      </x:c>
      <x:c r="D485" s="14" t="str">
        <x:v>NOT CREATED</x:v>
      </x:c>
      <x:c r="E485" s="14" t="str">
        <x:v>OPEN</x:v>
      </x:c>
    </x:row>
    <x:row r="486">
      <x:c r="A486" s="15" t="str">
        <x:v>E-482</x:v>
      </x:c>
      <x:c r="B486" s="15" t="str">
        <x:v>G-121</x:v>
      </x:c>
      <x:c r="C486" s="15" t="str">
        <x:v>calibration</x:v>
      </x:c>
      <x:c r="D486" s="15" t="str">
        <x:v>NOT CREATED</x:v>
      </x:c>
      <x:c r="E486" s="15" t="str">
        <x:v>OPEN</x:v>
      </x:c>
    </x:row>
    <x:row r="487">
      <x:c r="A487" s="14" t="str">
        <x:v>E-483</x:v>
      </x:c>
      <x:c r="B487" s="14" t="str">
        <x:v>G-121</x:v>
      </x:c>
      <x:c r="C487" s="14" t="str">
        <x:v>custody</x:v>
      </x:c>
      <x:c r="D487" s="14" t="str">
        <x:v>NOT CREATED</x:v>
      </x:c>
      <x:c r="E487" s="14" t="str">
        <x:v>OPEN</x:v>
      </x:c>
    </x:row>
    <x:row r="488">
      <x:c r="A488" s="15" t="str">
        <x:v>E-484</x:v>
      </x:c>
      <x:c r="B488" s="15" t="str">
        <x:v>G-121</x:v>
      </x:c>
      <x:c r="C488" s="15" t="str">
        <x:v>decision</x:v>
      </x:c>
      <x:c r="D488" s="15" t="str">
        <x:v>NOT CREATED</x:v>
      </x:c>
      <x:c r="E488" s="15" t="str">
        <x:v>OPEN</x:v>
      </x:c>
    </x:row>
    <x:row r="489">
      <x:c r="A489" s="14" t="str">
        <x:v>E-485</x:v>
      </x:c>
      <x:c r="B489" s="14" t="str">
        <x:v>G-122</x:v>
      </x:c>
      <x:c r="C489" s="14" t="str">
        <x:v>native</x:v>
      </x:c>
      <x:c r="D489" s="14" t="str">
        <x:v>NOT CREATED</x:v>
      </x:c>
      <x:c r="E489" s="14" t="str">
        <x:v>OPEN</x:v>
      </x:c>
    </x:row>
    <x:row r="490">
      <x:c r="A490" s="15" t="str">
        <x:v>E-486</x:v>
      </x:c>
      <x:c r="B490" s="15" t="str">
        <x:v>G-122</x:v>
      </x:c>
      <x:c r="C490" s="15" t="str">
        <x:v>calibration</x:v>
      </x:c>
      <x:c r="D490" s="15" t="str">
        <x:v>NOT CREATED</x:v>
      </x:c>
      <x:c r="E490" s="15" t="str">
        <x:v>OPEN</x:v>
      </x:c>
    </x:row>
    <x:row r="491">
      <x:c r="A491" s="14" t="str">
        <x:v>E-487</x:v>
      </x:c>
      <x:c r="B491" s="14" t="str">
        <x:v>G-122</x:v>
      </x:c>
      <x:c r="C491" s="14" t="str">
        <x:v>custody</x:v>
      </x:c>
      <x:c r="D491" s="14" t="str">
        <x:v>NOT CREATED</x:v>
      </x:c>
      <x:c r="E491" s="14" t="str">
        <x:v>OPEN</x:v>
      </x:c>
    </x:row>
    <x:row r="492">
      <x:c r="A492" s="15" t="str">
        <x:v>E-488</x:v>
      </x:c>
      <x:c r="B492" s="15" t="str">
        <x:v>G-122</x:v>
      </x:c>
      <x:c r="C492" s="15" t="str">
        <x:v>decision</x:v>
      </x:c>
      <x:c r="D492" s="15" t="str">
        <x:v>NOT CREATED</x:v>
      </x:c>
      <x:c r="E492" s="15" t="str">
        <x:v>OPEN</x:v>
      </x:c>
    </x:row>
    <x:row r="493">
      <x:c r="A493" s="14" t="str">
        <x:v>E-489</x:v>
      </x:c>
      <x:c r="B493" s="14" t="str">
        <x:v>G-123</x:v>
      </x:c>
      <x:c r="C493" s="14" t="str">
        <x:v>native</x:v>
      </x:c>
      <x:c r="D493" s="14" t="str">
        <x:v>NOT CREATED</x:v>
      </x:c>
      <x:c r="E493" s="14" t="str">
        <x:v>OPEN</x:v>
      </x:c>
    </x:row>
    <x:row r="494">
      <x:c r="A494" s="15" t="str">
        <x:v>E-490</x:v>
      </x:c>
      <x:c r="B494" s="15" t="str">
        <x:v>G-123</x:v>
      </x:c>
      <x:c r="C494" s="15" t="str">
        <x:v>calibration</x:v>
      </x:c>
      <x:c r="D494" s="15" t="str">
        <x:v>NOT CREATED</x:v>
      </x:c>
      <x:c r="E494" s="15" t="str">
        <x:v>OPEN</x:v>
      </x:c>
    </x:row>
    <x:row r="495">
      <x:c r="A495" s="14" t="str">
        <x:v>E-491</x:v>
      </x:c>
      <x:c r="B495" s="14" t="str">
        <x:v>G-123</x:v>
      </x:c>
      <x:c r="C495" s="14" t="str">
        <x:v>custody</x:v>
      </x:c>
      <x:c r="D495" s="14" t="str">
        <x:v>NOT CREATED</x:v>
      </x:c>
      <x:c r="E495" s="14" t="str">
        <x:v>OPEN</x:v>
      </x:c>
    </x:row>
    <x:row r="496">
      <x:c r="A496" s="15" t="str">
        <x:v>E-492</x:v>
      </x:c>
      <x:c r="B496" s="15" t="str">
        <x:v>G-123</x:v>
      </x:c>
      <x:c r="C496" s="15" t="str">
        <x:v>decision</x:v>
      </x:c>
      <x:c r="D496" s="15" t="str">
        <x:v>NOT CREATED</x:v>
      </x:c>
      <x:c r="E496" s="15" t="str">
        <x:v>OPEN</x:v>
      </x:c>
    </x:row>
    <x:row r="497">
      <x:c r="A497" s="14" t="str">
        <x:v>E-493</x:v>
      </x:c>
      <x:c r="B497" s="14" t="str">
        <x:v>G-124</x:v>
      </x:c>
      <x:c r="C497" s="14" t="str">
        <x:v>native</x:v>
      </x:c>
      <x:c r="D497" s="14" t="str">
        <x:v>NOT CREATED</x:v>
      </x:c>
      <x:c r="E497" s="14" t="str">
        <x:v>OPEN</x:v>
      </x:c>
    </x:row>
    <x:row r="498">
      <x:c r="A498" s="15" t="str">
        <x:v>E-494</x:v>
      </x:c>
      <x:c r="B498" s="15" t="str">
        <x:v>G-124</x:v>
      </x:c>
      <x:c r="C498" s="15" t="str">
        <x:v>calibration</x:v>
      </x:c>
      <x:c r="D498" s="15" t="str">
        <x:v>NOT CREATED</x:v>
      </x:c>
      <x:c r="E498" s="15" t="str">
        <x:v>OPEN</x:v>
      </x:c>
    </x:row>
    <x:row r="499">
      <x:c r="A499" s="14" t="str">
        <x:v>E-495</x:v>
      </x:c>
      <x:c r="B499" s="14" t="str">
        <x:v>G-124</x:v>
      </x:c>
      <x:c r="C499" s="14" t="str">
        <x:v>custody</x:v>
      </x:c>
      <x:c r="D499" s="14" t="str">
        <x:v>NOT CREATED</x:v>
      </x:c>
      <x:c r="E499" s="14" t="str">
        <x:v>OPEN</x:v>
      </x:c>
    </x:row>
    <x:row r="500">
      <x:c r="A500" s="15" t="str">
        <x:v>E-496</x:v>
      </x:c>
      <x:c r="B500" s="15" t="str">
        <x:v>G-124</x:v>
      </x:c>
      <x:c r="C500" s="15" t="str">
        <x:v>decision</x:v>
      </x:c>
      <x:c r="D500" s="15" t="str">
        <x:v>NOT CREATED</x:v>
      </x:c>
      <x:c r="E500" s="15" t="str">
        <x:v>OPEN</x:v>
      </x:c>
    </x:row>
    <x:row r="501">
      <x:c r="A501" s="14" t="str">
        <x:v>E-497</x:v>
      </x:c>
      <x:c r="B501" s="14" t="str">
        <x:v>G-125</x:v>
      </x:c>
      <x:c r="C501" s="14" t="str">
        <x:v>native</x:v>
      </x:c>
      <x:c r="D501" s="14" t="str">
        <x:v>NOT CREATED</x:v>
      </x:c>
      <x:c r="E501" s="14" t="str">
        <x:v>OPEN</x:v>
      </x:c>
    </x:row>
    <x:row r="502">
      <x:c r="A502" s="15" t="str">
        <x:v>E-498</x:v>
      </x:c>
      <x:c r="B502" s="15" t="str">
        <x:v>G-125</x:v>
      </x:c>
      <x:c r="C502" s="15" t="str">
        <x:v>calibration</x:v>
      </x:c>
      <x:c r="D502" s="15" t="str">
        <x:v>NOT CREATED</x:v>
      </x:c>
      <x:c r="E502" s="15" t="str">
        <x:v>OPEN</x:v>
      </x:c>
    </x:row>
    <x:row r="503">
      <x:c r="A503" s="14" t="str">
        <x:v>E-499</x:v>
      </x:c>
      <x:c r="B503" s="14" t="str">
        <x:v>G-125</x:v>
      </x:c>
      <x:c r="C503" s="14" t="str">
        <x:v>custody</x:v>
      </x:c>
      <x:c r="D503" s="14" t="str">
        <x:v>NOT CREATED</x:v>
      </x:c>
      <x:c r="E503" s="14" t="str">
        <x:v>OPEN</x:v>
      </x:c>
    </x:row>
    <x:row r="504">
      <x:c r="A504" s="15" t="str">
        <x:v>E-500</x:v>
      </x:c>
      <x:c r="B504" s="15" t="str">
        <x:v>G-125</x:v>
      </x:c>
      <x:c r="C504" s="15" t="str">
        <x:v>decision</x:v>
      </x:c>
      <x:c r="D504" s="15" t="str">
        <x:v>NOT CREATED</x:v>
      </x:c>
      <x:c r="E504" s="15" t="str">
        <x:v>OPEN</x:v>
      </x:c>
    </x:row>
    <x:row r="505">
      <x:c r="A505" s="14" t="str">
        <x:v>E-501</x:v>
      </x:c>
      <x:c r="B505" s="14" t="str">
        <x:v>G-126</x:v>
      </x:c>
      <x:c r="C505" s="14" t="str">
        <x:v>native</x:v>
      </x:c>
      <x:c r="D505" s="14" t="str">
        <x:v>NOT CREATED</x:v>
      </x:c>
      <x:c r="E505" s="14" t="str">
        <x:v>OPEN</x:v>
      </x:c>
    </x:row>
    <x:row r="506">
      <x:c r="A506" s="15" t="str">
        <x:v>E-502</x:v>
      </x:c>
      <x:c r="B506" s="15" t="str">
        <x:v>G-126</x:v>
      </x:c>
      <x:c r="C506" s="15" t="str">
        <x:v>calibration</x:v>
      </x:c>
      <x:c r="D506" s="15" t="str">
        <x:v>NOT CREATED</x:v>
      </x:c>
      <x:c r="E506" s="15" t="str">
        <x:v>OPEN</x:v>
      </x:c>
    </x:row>
    <x:row r="507">
      <x:c r="A507" s="14" t="str">
        <x:v>E-503</x:v>
      </x:c>
      <x:c r="B507" s="14" t="str">
        <x:v>G-126</x:v>
      </x:c>
      <x:c r="C507" s="14" t="str">
        <x:v>custody</x:v>
      </x:c>
      <x:c r="D507" s="14" t="str">
        <x:v>NOT CREATED</x:v>
      </x:c>
      <x:c r="E507" s="14" t="str">
        <x:v>OPEN</x:v>
      </x:c>
    </x:row>
    <x:row r="508">
      <x:c r="A508" s="15" t="str">
        <x:v>E-504</x:v>
      </x:c>
      <x:c r="B508" s="15" t="str">
        <x:v>G-126</x:v>
      </x:c>
      <x:c r="C508" s="15" t="str">
        <x:v>decision</x:v>
      </x:c>
      <x:c r="D508" s="15" t="str">
        <x:v>NOT CREATED</x:v>
      </x:c>
      <x:c r="E508" s="15" t="str">
        <x:v>OPEN</x:v>
      </x:c>
    </x:row>
    <x:row r="509">
      <x:c r="A509" s="14" t="str">
        <x:v>E-505</x:v>
      </x:c>
      <x:c r="B509" s="14" t="str">
        <x:v>G-127</x:v>
      </x:c>
      <x:c r="C509" s="14" t="str">
        <x:v>native</x:v>
      </x:c>
      <x:c r="D509" s="14" t="str">
        <x:v>NOT CREATED</x:v>
      </x:c>
      <x:c r="E509" s="14" t="str">
        <x:v>OPEN</x:v>
      </x:c>
    </x:row>
    <x:row r="510">
      <x:c r="A510" s="15" t="str">
        <x:v>E-506</x:v>
      </x:c>
      <x:c r="B510" s="15" t="str">
        <x:v>G-127</x:v>
      </x:c>
      <x:c r="C510" s="15" t="str">
        <x:v>calibration</x:v>
      </x:c>
      <x:c r="D510" s="15" t="str">
        <x:v>NOT CREATED</x:v>
      </x:c>
      <x:c r="E510" s="15" t="str">
        <x:v>OPEN</x:v>
      </x:c>
    </x:row>
    <x:row r="511">
      <x:c r="A511" s="14" t="str">
        <x:v>E-507</x:v>
      </x:c>
      <x:c r="B511" s="14" t="str">
        <x:v>G-127</x:v>
      </x:c>
      <x:c r="C511" s="14" t="str">
        <x:v>custody</x:v>
      </x:c>
      <x:c r="D511" s="14" t="str">
        <x:v>NOT CREATED</x:v>
      </x:c>
      <x:c r="E511" s="14" t="str">
        <x:v>OPEN</x:v>
      </x:c>
    </x:row>
    <x:row r="512">
      <x:c r="A512" s="15" t="str">
        <x:v>E-508</x:v>
      </x:c>
      <x:c r="B512" s="15" t="str">
        <x:v>G-127</x:v>
      </x:c>
      <x:c r="C512" s="15" t="str">
        <x:v>decision</x:v>
      </x:c>
      <x:c r="D512" s="15" t="str">
        <x:v>NOT CREATED</x:v>
      </x:c>
      <x:c r="E512" s="15" t="str">
        <x:v>OPEN</x:v>
      </x:c>
    </x:row>
    <x:row r="513">
      <x:c r="A513" s="14" t="str">
        <x:v>E-509</x:v>
      </x:c>
      <x:c r="B513" s="14" t="str">
        <x:v>G-128</x:v>
      </x:c>
      <x:c r="C513" s="14" t="str">
        <x:v>native</x:v>
      </x:c>
      <x:c r="D513" s="14" t="str">
        <x:v>NOT CREATED</x:v>
      </x:c>
      <x:c r="E513" s="14" t="str">
        <x:v>OPEN</x:v>
      </x:c>
    </x:row>
    <x:row r="514">
      <x:c r="A514" s="15" t="str">
        <x:v>E-510</x:v>
      </x:c>
      <x:c r="B514" s="15" t="str">
        <x:v>G-128</x:v>
      </x:c>
      <x:c r="C514" s="15" t="str">
        <x:v>calibration</x:v>
      </x:c>
      <x:c r="D514" s="15" t="str">
        <x:v>NOT CREATED</x:v>
      </x:c>
      <x:c r="E514" s="15" t="str">
        <x:v>OPEN</x:v>
      </x:c>
    </x:row>
    <x:row r="515">
      <x:c r="A515" s="14" t="str">
        <x:v>E-511</x:v>
      </x:c>
      <x:c r="B515" s="14" t="str">
        <x:v>G-128</x:v>
      </x:c>
      <x:c r="C515" s="14" t="str">
        <x:v>custody</x:v>
      </x:c>
      <x:c r="D515" s="14" t="str">
        <x:v>NOT CREATED</x:v>
      </x:c>
      <x:c r="E515" s="14" t="str">
        <x:v>OPEN</x:v>
      </x:c>
    </x:row>
    <x:row r="516">
      <x:c r="A516" s="15" t="str">
        <x:v>E-512</x:v>
      </x:c>
      <x:c r="B516" s="15" t="str">
        <x:v>G-128</x:v>
      </x:c>
      <x:c r="C516" s="15" t="str">
        <x:v>decision</x:v>
      </x:c>
      <x:c r="D516" s="15" t="str">
        <x:v>NOT CREATED</x:v>
      </x:c>
      <x:c r="E516" s="15" t="str">
        <x:v>OPEN</x:v>
      </x:c>
    </x:row>
    <x:row r="517">
      <x:c r="A517" s="14" t="str">
        <x:v>E-513</x:v>
      </x:c>
      <x:c r="B517" s="14" t="str">
        <x:v>G-129</x:v>
      </x:c>
      <x:c r="C517" s="14" t="str">
        <x:v>native</x:v>
      </x:c>
      <x:c r="D517" s="14" t="str">
        <x:v>NOT CREATED</x:v>
      </x:c>
      <x:c r="E517" s="14" t="str">
        <x:v>OPEN</x:v>
      </x:c>
    </x:row>
    <x:row r="518">
      <x:c r="A518" s="15" t="str">
        <x:v>E-514</x:v>
      </x:c>
      <x:c r="B518" s="15" t="str">
        <x:v>G-129</x:v>
      </x:c>
      <x:c r="C518" s="15" t="str">
        <x:v>calibration</x:v>
      </x:c>
      <x:c r="D518" s="15" t="str">
        <x:v>NOT CREATED</x:v>
      </x:c>
      <x:c r="E518" s="15" t="str">
        <x:v>OPEN</x:v>
      </x:c>
    </x:row>
    <x:row r="519">
      <x:c r="A519" s="14" t="str">
        <x:v>E-515</x:v>
      </x:c>
      <x:c r="B519" s="14" t="str">
        <x:v>G-129</x:v>
      </x:c>
      <x:c r="C519" s="14" t="str">
        <x:v>custody</x:v>
      </x:c>
      <x:c r="D519" s="14" t="str">
        <x:v>NOT CREATED</x:v>
      </x:c>
      <x:c r="E519" s="14" t="str">
        <x:v>OPEN</x:v>
      </x:c>
    </x:row>
    <x:row r="520">
      <x:c r="A520" s="15" t="str">
        <x:v>E-516</x:v>
      </x:c>
      <x:c r="B520" s="15" t="str">
        <x:v>G-129</x:v>
      </x:c>
      <x:c r="C520" s="15" t="str">
        <x:v>decision</x:v>
      </x:c>
      <x:c r="D520" s="15" t="str">
        <x:v>NOT CREATED</x:v>
      </x:c>
      <x:c r="E520" s="15" t="str">
        <x:v>OPEN</x:v>
      </x:c>
    </x:row>
    <x:row r="521">
      <x:c r="A521" s="14" t="str">
        <x:v>E-517</x:v>
      </x:c>
      <x:c r="B521" s="14" t="str">
        <x:v>G-130</x:v>
      </x:c>
      <x:c r="C521" s="14" t="str">
        <x:v>native</x:v>
      </x:c>
      <x:c r="D521" s="14" t="str">
        <x:v>NOT CREATED</x:v>
      </x:c>
      <x:c r="E521" s="14" t="str">
        <x:v>OPEN</x:v>
      </x:c>
    </x:row>
    <x:row r="522">
      <x:c r="A522" s="15" t="str">
        <x:v>E-518</x:v>
      </x:c>
      <x:c r="B522" s="15" t="str">
        <x:v>G-130</x:v>
      </x:c>
      <x:c r="C522" s="15" t="str">
        <x:v>calibration</x:v>
      </x:c>
      <x:c r="D522" s="15" t="str">
        <x:v>NOT CREATED</x:v>
      </x:c>
      <x:c r="E522" s="15" t="str">
        <x:v>OPEN</x:v>
      </x:c>
    </x:row>
    <x:row r="523">
      <x:c r="A523" s="14" t="str">
        <x:v>E-519</x:v>
      </x:c>
      <x:c r="B523" s="14" t="str">
        <x:v>G-130</x:v>
      </x:c>
      <x:c r="C523" s="14" t="str">
        <x:v>custody</x:v>
      </x:c>
      <x:c r="D523" s="14" t="str">
        <x:v>NOT CREATED</x:v>
      </x:c>
      <x:c r="E523" s="14" t="str">
        <x:v>OPEN</x:v>
      </x:c>
    </x:row>
    <x:row r="524">
      <x:c r="A524" s="15" t="str">
        <x:v>E-520</x:v>
      </x:c>
      <x:c r="B524" s="15" t="str">
        <x:v>G-130</x:v>
      </x:c>
      <x:c r="C524" s="15" t="str">
        <x:v>decision</x:v>
      </x:c>
      <x:c r="D524" s="15" t="str">
        <x:v>NOT CREATED</x:v>
      </x:c>
      <x:c r="E524" s="15" t="str">
        <x:v>OPEN</x:v>
      </x:c>
    </x:row>
    <x:row r="525">
      <x:c r="A525" s="14" t="str">
        <x:v>E-521</x:v>
      </x:c>
      <x:c r="B525" s="14" t="str">
        <x:v>G-131</x:v>
      </x:c>
      <x:c r="C525" s="14" t="str">
        <x:v>native</x:v>
      </x:c>
      <x:c r="D525" s="14" t="str">
        <x:v>NOT CREATED</x:v>
      </x:c>
      <x:c r="E525" s="14" t="str">
        <x:v>OPEN</x:v>
      </x:c>
    </x:row>
    <x:row r="526">
      <x:c r="A526" s="15" t="str">
        <x:v>E-522</x:v>
      </x:c>
      <x:c r="B526" s="15" t="str">
        <x:v>G-131</x:v>
      </x:c>
      <x:c r="C526" s="15" t="str">
        <x:v>calibration</x:v>
      </x:c>
      <x:c r="D526" s="15" t="str">
        <x:v>NOT CREATED</x:v>
      </x:c>
      <x:c r="E526" s="15" t="str">
        <x:v>OPEN</x:v>
      </x:c>
    </x:row>
    <x:row r="527">
      <x:c r="A527" s="14" t="str">
        <x:v>E-523</x:v>
      </x:c>
      <x:c r="B527" s="14" t="str">
        <x:v>G-131</x:v>
      </x:c>
      <x:c r="C527" s="14" t="str">
        <x:v>custody</x:v>
      </x:c>
      <x:c r="D527" s="14" t="str">
        <x:v>NOT CREATED</x:v>
      </x:c>
      <x:c r="E527" s="14" t="str">
        <x:v>OPEN</x:v>
      </x:c>
    </x:row>
    <x:row r="528">
      <x:c r="A528" s="15" t="str">
        <x:v>E-524</x:v>
      </x:c>
      <x:c r="B528" s="15" t="str">
        <x:v>G-131</x:v>
      </x:c>
      <x:c r="C528" s="15" t="str">
        <x:v>decision</x:v>
      </x:c>
      <x:c r="D528" s="15" t="str">
        <x:v>NOT CREATED</x:v>
      </x:c>
      <x:c r="E528" s="15" t="str">
        <x:v>OPEN</x:v>
      </x:c>
    </x:row>
    <x:row r="529">
      <x:c r="A529" s="14" t="str">
        <x:v>E-525</x:v>
      </x:c>
      <x:c r="B529" s="14" t="str">
        <x:v>G-132</x:v>
      </x:c>
      <x:c r="C529" s="14" t="str">
        <x:v>native</x:v>
      </x:c>
      <x:c r="D529" s="14" t="str">
        <x:v>NOT CREATED</x:v>
      </x:c>
      <x:c r="E529" s="14" t="str">
        <x:v>OPEN</x:v>
      </x:c>
    </x:row>
    <x:row r="530">
      <x:c r="A530" s="15" t="str">
        <x:v>E-526</x:v>
      </x:c>
      <x:c r="B530" s="15" t="str">
        <x:v>G-132</x:v>
      </x:c>
      <x:c r="C530" s="15" t="str">
        <x:v>calibration</x:v>
      </x:c>
      <x:c r="D530" s="15" t="str">
        <x:v>NOT CREATED</x:v>
      </x:c>
      <x:c r="E530" s="15" t="str">
        <x:v>OPEN</x:v>
      </x:c>
    </x:row>
    <x:row r="531">
      <x:c r="A531" s="14" t="str">
        <x:v>E-527</x:v>
      </x:c>
      <x:c r="B531" s="14" t="str">
        <x:v>G-132</x:v>
      </x:c>
      <x:c r="C531" s="14" t="str">
        <x:v>custody</x:v>
      </x:c>
      <x:c r="D531" s="14" t="str">
        <x:v>NOT CREATED</x:v>
      </x:c>
      <x:c r="E531" s="14" t="str">
        <x:v>OPEN</x:v>
      </x:c>
    </x:row>
    <x:row r="532">
      <x:c r="A532" s="15" t="str">
        <x:v>E-528</x:v>
      </x:c>
      <x:c r="B532" s="15" t="str">
        <x:v>G-132</x:v>
      </x:c>
      <x:c r="C532" s="15" t="str">
        <x:v>decision</x:v>
      </x:c>
      <x:c r="D532" s="15" t="str">
        <x:v>NOT CREATED</x:v>
      </x:c>
      <x:c r="E532" s="15" t="str">
        <x:v>OPEN</x:v>
      </x:c>
    </x:row>
    <x:row r="533">
      <x:c r="A533" s="14" t="str">
        <x:v>E-529</x:v>
      </x:c>
      <x:c r="B533" s="14" t="str">
        <x:v>G-133</x:v>
      </x:c>
      <x:c r="C533" s="14" t="str">
        <x:v>native</x:v>
      </x:c>
      <x:c r="D533" s="14" t="str">
        <x:v>NOT CREATED</x:v>
      </x:c>
      <x:c r="E533" s="14" t="str">
        <x:v>OPEN</x:v>
      </x:c>
    </x:row>
    <x:row r="534">
      <x:c r="A534" s="15" t="str">
        <x:v>E-530</x:v>
      </x:c>
      <x:c r="B534" s="15" t="str">
        <x:v>G-133</x:v>
      </x:c>
      <x:c r="C534" s="15" t="str">
        <x:v>calibration</x:v>
      </x:c>
      <x:c r="D534" s="15" t="str">
        <x:v>NOT CREATED</x:v>
      </x:c>
      <x:c r="E534" s="15" t="str">
        <x:v>OPEN</x:v>
      </x:c>
    </x:row>
    <x:row r="535">
      <x:c r="A535" s="14" t="str">
        <x:v>E-531</x:v>
      </x:c>
      <x:c r="B535" s="14" t="str">
        <x:v>G-133</x:v>
      </x:c>
      <x:c r="C535" s="14" t="str">
        <x:v>custody</x:v>
      </x:c>
      <x:c r="D535" s="14" t="str">
        <x:v>NOT CREATED</x:v>
      </x:c>
      <x:c r="E535" s="14" t="str">
        <x:v>OPEN</x:v>
      </x:c>
    </x:row>
    <x:row r="536">
      <x:c r="A536" s="15" t="str">
        <x:v>E-532</x:v>
      </x:c>
      <x:c r="B536" s="15" t="str">
        <x:v>G-133</x:v>
      </x:c>
      <x:c r="C536" s="15" t="str">
        <x:v>decision</x:v>
      </x:c>
      <x:c r="D536" s="15" t="str">
        <x:v>NOT CREATED</x:v>
      </x:c>
      <x:c r="E536" s="15" t="str">
        <x:v>OPEN</x:v>
      </x:c>
    </x:row>
    <x:row r="537">
      <x:c r="A537" s="14" t="str">
        <x:v>E-533</x:v>
      </x:c>
      <x:c r="B537" s="14" t="str">
        <x:v>G-134</x:v>
      </x:c>
      <x:c r="C537" s="14" t="str">
        <x:v>native</x:v>
      </x:c>
      <x:c r="D537" s="14" t="str">
        <x:v>NOT CREATED</x:v>
      </x:c>
      <x:c r="E537" s="14" t="str">
        <x:v>OPEN</x:v>
      </x:c>
    </x:row>
    <x:row r="538">
      <x:c r="A538" s="15" t="str">
        <x:v>E-534</x:v>
      </x:c>
      <x:c r="B538" s="15" t="str">
        <x:v>G-134</x:v>
      </x:c>
      <x:c r="C538" s="15" t="str">
        <x:v>calibration</x:v>
      </x:c>
      <x:c r="D538" s="15" t="str">
        <x:v>NOT CREATED</x:v>
      </x:c>
      <x:c r="E538" s="15" t="str">
        <x:v>OPEN</x:v>
      </x:c>
    </x:row>
    <x:row r="539">
      <x:c r="A539" s="14" t="str">
        <x:v>E-535</x:v>
      </x:c>
      <x:c r="B539" s="14" t="str">
        <x:v>G-134</x:v>
      </x:c>
      <x:c r="C539" s="14" t="str">
        <x:v>custody</x:v>
      </x:c>
      <x:c r="D539" s="14" t="str">
        <x:v>NOT CREATED</x:v>
      </x:c>
      <x:c r="E539" s="14" t="str">
        <x:v>OPEN</x:v>
      </x:c>
    </x:row>
    <x:row r="540">
      <x:c r="A540" s="15" t="str">
        <x:v>E-536</x:v>
      </x:c>
      <x:c r="B540" s="15" t="str">
        <x:v>G-134</x:v>
      </x:c>
      <x:c r="C540" s="15" t="str">
        <x:v>decision</x:v>
      </x:c>
      <x:c r="D540" s="15" t="str">
        <x:v>NOT CREATED</x:v>
      </x:c>
      <x:c r="E540" s="15" t="str">
        <x:v>OPEN</x:v>
      </x:c>
    </x:row>
    <x:row r="541">
      <x:c r="A541" s="14" t="str">
        <x:v>E-537</x:v>
      </x:c>
      <x:c r="B541" s="14" t="str">
        <x:v>G-135</x:v>
      </x:c>
      <x:c r="C541" s="14" t="str">
        <x:v>native</x:v>
      </x:c>
      <x:c r="D541" s="14" t="str">
        <x:v>NOT CREATED</x:v>
      </x:c>
      <x:c r="E541" s="14" t="str">
        <x:v>OPEN</x:v>
      </x:c>
    </x:row>
    <x:row r="542">
      <x:c r="A542" s="15" t="str">
        <x:v>E-538</x:v>
      </x:c>
      <x:c r="B542" s="15" t="str">
        <x:v>G-135</x:v>
      </x:c>
      <x:c r="C542" s="15" t="str">
        <x:v>calibration</x:v>
      </x:c>
      <x:c r="D542" s="15" t="str">
        <x:v>NOT CREATED</x:v>
      </x:c>
      <x:c r="E542" s="15" t="str">
        <x:v>OPEN</x:v>
      </x:c>
    </x:row>
    <x:row r="543">
      <x:c r="A543" s="14" t="str">
        <x:v>E-539</x:v>
      </x:c>
      <x:c r="B543" s="14" t="str">
        <x:v>G-135</x:v>
      </x:c>
      <x:c r="C543" s="14" t="str">
        <x:v>custody</x:v>
      </x:c>
      <x:c r="D543" s="14" t="str">
        <x:v>NOT CREATED</x:v>
      </x:c>
      <x:c r="E543" s="14" t="str">
        <x:v>OPEN</x:v>
      </x:c>
    </x:row>
    <x:row r="544">
      <x:c r="A544" s="15" t="str">
        <x:v>E-540</x:v>
      </x:c>
      <x:c r="B544" s="15" t="str">
        <x:v>G-135</x:v>
      </x:c>
      <x:c r="C544" s="15" t="str">
        <x:v>decision</x:v>
      </x:c>
      <x:c r="D544" s="15" t="str">
        <x:v>NOT CREATED</x:v>
      </x:c>
      <x:c r="E544" s="15" t="str">
        <x:v>OPEN</x:v>
      </x:c>
    </x:row>
    <x:row r="545">
      <x:c r="A545" s="14" t="str">
        <x:v>E-541</x:v>
      </x:c>
      <x:c r="B545" s="14" t="str">
        <x:v>G-136</x:v>
      </x:c>
      <x:c r="C545" s="14" t="str">
        <x:v>native</x:v>
      </x:c>
      <x:c r="D545" s="14" t="str">
        <x:v>NOT CREATED</x:v>
      </x:c>
      <x:c r="E545" s="14" t="str">
        <x:v>OPEN</x:v>
      </x:c>
    </x:row>
    <x:row r="546">
      <x:c r="A546" s="15" t="str">
        <x:v>E-542</x:v>
      </x:c>
      <x:c r="B546" s="15" t="str">
        <x:v>G-136</x:v>
      </x:c>
      <x:c r="C546" s="15" t="str">
        <x:v>calibration</x:v>
      </x:c>
      <x:c r="D546" s="15" t="str">
        <x:v>NOT CREATED</x:v>
      </x:c>
      <x:c r="E546" s="15" t="str">
        <x:v>OPEN</x:v>
      </x:c>
    </x:row>
    <x:row r="547">
      <x:c r="A547" s="14" t="str">
        <x:v>E-543</x:v>
      </x:c>
      <x:c r="B547" s="14" t="str">
        <x:v>G-136</x:v>
      </x:c>
      <x:c r="C547" s="14" t="str">
        <x:v>custody</x:v>
      </x:c>
      <x:c r="D547" s="14" t="str">
        <x:v>NOT CREATED</x:v>
      </x:c>
      <x:c r="E547" s="14" t="str">
        <x:v>OPEN</x:v>
      </x:c>
    </x:row>
    <x:row r="548">
      <x:c r="A548" s="15" t="str">
        <x:v>E-544</x:v>
      </x:c>
      <x:c r="B548" s="15" t="str">
        <x:v>G-136</x:v>
      </x:c>
      <x:c r="C548" s="15" t="str">
        <x:v>decision</x:v>
      </x:c>
      <x:c r="D548" s="15" t="str">
        <x:v>NOT CREATED</x:v>
      </x:c>
      <x:c r="E548" s="15" t="str">
        <x:v>OPEN</x:v>
      </x:c>
    </x:row>
    <x:row r="549">
      <x:c r="A549" s="14" t="str">
        <x:v>E-545</x:v>
      </x:c>
      <x:c r="B549" s="14" t="str">
        <x:v>G-137</x:v>
      </x:c>
      <x:c r="C549" s="14" t="str">
        <x:v>native</x:v>
      </x:c>
      <x:c r="D549" s="14" t="str">
        <x:v>NOT CREATED</x:v>
      </x:c>
      <x:c r="E549" s="14" t="str">
        <x:v>OPEN</x:v>
      </x:c>
    </x:row>
    <x:row r="550">
      <x:c r="A550" s="15" t="str">
        <x:v>E-546</x:v>
      </x:c>
      <x:c r="B550" s="15" t="str">
        <x:v>G-137</x:v>
      </x:c>
      <x:c r="C550" s="15" t="str">
        <x:v>calibration</x:v>
      </x:c>
      <x:c r="D550" s="15" t="str">
        <x:v>NOT CREATED</x:v>
      </x:c>
      <x:c r="E550" s="15" t="str">
        <x:v>OPEN</x:v>
      </x:c>
    </x:row>
    <x:row r="551">
      <x:c r="A551" s="14" t="str">
        <x:v>E-547</x:v>
      </x:c>
      <x:c r="B551" s="14" t="str">
        <x:v>G-137</x:v>
      </x:c>
      <x:c r="C551" s="14" t="str">
        <x:v>custody</x:v>
      </x:c>
      <x:c r="D551" s="14" t="str">
        <x:v>NOT CREATED</x:v>
      </x:c>
      <x:c r="E551" s="14" t="str">
        <x:v>OPEN</x:v>
      </x:c>
    </x:row>
    <x:row r="552">
      <x:c r="A552" s="15" t="str">
        <x:v>E-548</x:v>
      </x:c>
      <x:c r="B552" s="15" t="str">
        <x:v>G-137</x:v>
      </x:c>
      <x:c r="C552" s="15" t="str">
        <x:v>decision</x:v>
      </x:c>
      <x:c r="D552" s="15" t="str">
        <x:v>NOT CREATED</x:v>
      </x:c>
      <x:c r="E552" s="15" t="str">
        <x:v>OPEN</x:v>
      </x:c>
    </x:row>
    <x:row r="553">
      <x:c r="A553" s="14" t="str">
        <x:v>E-549</x:v>
      </x:c>
      <x:c r="B553" s="14" t="str">
        <x:v>G-138</x:v>
      </x:c>
      <x:c r="C553" s="14" t="str">
        <x:v>native</x:v>
      </x:c>
      <x:c r="D553" s="14" t="str">
        <x:v>NOT CREATED</x:v>
      </x:c>
      <x:c r="E553" s="14" t="str">
        <x:v>OPEN</x:v>
      </x:c>
    </x:row>
    <x:row r="554">
      <x:c r="A554" s="15" t="str">
        <x:v>E-550</x:v>
      </x:c>
      <x:c r="B554" s="15" t="str">
        <x:v>G-138</x:v>
      </x:c>
      <x:c r="C554" s="15" t="str">
        <x:v>calibration</x:v>
      </x:c>
      <x:c r="D554" s="15" t="str">
        <x:v>NOT CREATED</x:v>
      </x:c>
      <x:c r="E554" s="15" t="str">
        <x:v>OPEN</x:v>
      </x:c>
    </x:row>
    <x:row r="555">
      <x:c r="A555" s="14" t="str">
        <x:v>E-551</x:v>
      </x:c>
      <x:c r="B555" s="14" t="str">
        <x:v>G-138</x:v>
      </x:c>
      <x:c r="C555" s="14" t="str">
        <x:v>custody</x:v>
      </x:c>
      <x:c r="D555" s="14" t="str">
        <x:v>NOT CREATED</x:v>
      </x:c>
      <x:c r="E555" s="14" t="str">
        <x:v>OPEN</x:v>
      </x:c>
    </x:row>
    <x:row r="556">
      <x:c r="A556" s="15" t="str">
        <x:v>E-552</x:v>
      </x:c>
      <x:c r="B556" s="15" t="str">
        <x:v>G-138</x:v>
      </x:c>
      <x:c r="C556" s="15" t="str">
        <x:v>decision</x:v>
      </x:c>
      <x:c r="D556" s="15" t="str">
        <x:v>NOT CREATED</x:v>
      </x:c>
      <x:c r="E556" s="15" t="str">
        <x:v>OPEN</x:v>
      </x:c>
    </x:row>
    <x:row r="557">
      <x:c r="A557" s="14" t="str">
        <x:v>E-553</x:v>
      </x:c>
      <x:c r="B557" s="14" t="str">
        <x:v>G-139</x:v>
      </x:c>
      <x:c r="C557" s="14" t="str">
        <x:v>native</x:v>
      </x:c>
      <x:c r="D557" s="14" t="str">
        <x:v>NOT CREATED</x:v>
      </x:c>
      <x:c r="E557" s="14" t="str">
        <x:v>OPEN</x:v>
      </x:c>
    </x:row>
    <x:row r="558">
      <x:c r="A558" s="15" t="str">
        <x:v>E-554</x:v>
      </x:c>
      <x:c r="B558" s="15" t="str">
        <x:v>G-139</x:v>
      </x:c>
      <x:c r="C558" s="15" t="str">
        <x:v>calibration</x:v>
      </x:c>
      <x:c r="D558" s="15" t="str">
        <x:v>NOT CREATED</x:v>
      </x:c>
      <x:c r="E558" s="15" t="str">
        <x:v>OPEN</x:v>
      </x:c>
    </x:row>
    <x:row r="559">
      <x:c r="A559" s="14" t="str">
        <x:v>E-555</x:v>
      </x:c>
      <x:c r="B559" s="14" t="str">
        <x:v>G-139</x:v>
      </x:c>
      <x:c r="C559" s="14" t="str">
        <x:v>custody</x:v>
      </x:c>
      <x:c r="D559" s="14" t="str">
        <x:v>NOT CREATED</x:v>
      </x:c>
      <x:c r="E559" s="14" t="str">
        <x:v>OPEN</x:v>
      </x:c>
    </x:row>
    <x:row r="560">
      <x:c r="A560" s="15" t="str">
        <x:v>E-556</x:v>
      </x:c>
      <x:c r="B560" s="15" t="str">
        <x:v>G-139</x:v>
      </x:c>
      <x:c r="C560" s="15" t="str">
        <x:v>decision</x:v>
      </x:c>
      <x:c r="D560" s="15" t="str">
        <x:v>NOT CREATED</x:v>
      </x:c>
      <x:c r="E560" s="15" t="str">
        <x:v>OPEN</x:v>
      </x:c>
    </x:row>
    <x:row r="561">
      <x:c r="A561" s="14" t="str">
        <x:v>E-557</x:v>
      </x:c>
      <x:c r="B561" s="14" t="str">
        <x:v>G-140</x:v>
      </x:c>
      <x:c r="C561" s="14" t="str">
        <x:v>native</x:v>
      </x:c>
      <x:c r="D561" s="14" t="str">
        <x:v>NOT CREATED</x:v>
      </x:c>
      <x:c r="E561" s="14" t="str">
        <x:v>OPEN</x:v>
      </x:c>
    </x:row>
    <x:row r="562">
      <x:c r="A562" s="15" t="str">
        <x:v>E-558</x:v>
      </x:c>
      <x:c r="B562" s="15" t="str">
        <x:v>G-140</x:v>
      </x:c>
      <x:c r="C562" s="15" t="str">
        <x:v>calibration</x:v>
      </x:c>
      <x:c r="D562" s="15" t="str">
        <x:v>NOT CREATED</x:v>
      </x:c>
      <x:c r="E562" s="15" t="str">
        <x:v>OPEN</x:v>
      </x:c>
    </x:row>
    <x:row r="563">
      <x:c r="A563" s="14" t="str">
        <x:v>E-559</x:v>
      </x:c>
      <x:c r="B563" s="14" t="str">
        <x:v>G-140</x:v>
      </x:c>
      <x:c r="C563" s="14" t="str">
        <x:v>custody</x:v>
      </x:c>
      <x:c r="D563" s="14" t="str">
        <x:v>NOT CREATED</x:v>
      </x:c>
      <x:c r="E563" s="14" t="str">
        <x:v>OPEN</x:v>
      </x:c>
    </x:row>
    <x:row r="564">
      <x:c r="A564" s="15" t="str">
        <x:v>E-560</x:v>
      </x:c>
      <x:c r="B564" s="15" t="str">
        <x:v>G-140</x:v>
      </x:c>
      <x:c r="C564" s="15" t="str">
        <x:v>decision</x:v>
      </x:c>
      <x:c r="D564" s="15" t="str">
        <x:v>NOT CREATED</x:v>
      </x:c>
      <x:c r="E564" s="15" t="str">
        <x:v>OPEN</x:v>
      </x:c>
    </x:row>
    <x:row r="565">
      <x:c r="A565" s="14" t="str">
        <x:v>E-561</x:v>
      </x:c>
      <x:c r="B565" s="14" t="str">
        <x:v>G-141</x:v>
      </x:c>
      <x:c r="C565" s="14" t="str">
        <x:v>native</x:v>
      </x:c>
      <x:c r="D565" s="14" t="str">
        <x:v>NOT CREATED</x:v>
      </x:c>
      <x:c r="E565" s="14" t="str">
        <x:v>OPEN</x:v>
      </x:c>
    </x:row>
    <x:row r="566">
      <x:c r="A566" s="15" t="str">
        <x:v>E-562</x:v>
      </x:c>
      <x:c r="B566" s="15" t="str">
        <x:v>G-141</x:v>
      </x:c>
      <x:c r="C566" s="15" t="str">
        <x:v>calibration</x:v>
      </x:c>
      <x:c r="D566" s="15" t="str">
        <x:v>NOT CREATED</x:v>
      </x:c>
      <x:c r="E566" s="15" t="str">
        <x:v>OPEN</x:v>
      </x:c>
    </x:row>
    <x:row r="567">
      <x:c r="A567" s="14" t="str">
        <x:v>E-563</x:v>
      </x:c>
      <x:c r="B567" s="14" t="str">
        <x:v>G-141</x:v>
      </x:c>
      <x:c r="C567" s="14" t="str">
        <x:v>custody</x:v>
      </x:c>
      <x:c r="D567" s="14" t="str">
        <x:v>NOT CREATED</x:v>
      </x:c>
      <x:c r="E567" s="14" t="str">
        <x:v>OPEN</x:v>
      </x:c>
    </x:row>
    <x:row r="568">
      <x:c r="A568" s="15" t="str">
        <x:v>E-564</x:v>
      </x:c>
      <x:c r="B568" s="15" t="str">
        <x:v>G-141</x:v>
      </x:c>
      <x:c r="C568" s="15" t="str">
        <x:v>decision</x:v>
      </x:c>
      <x:c r="D568" s="15" t="str">
        <x:v>NOT CREATED</x:v>
      </x:c>
      <x:c r="E568" s="15" t="str">
        <x:v>OPEN</x:v>
      </x:c>
    </x:row>
    <x:row r="569">
      <x:c r="A569" s="14" t="str">
        <x:v>E-565</x:v>
      </x:c>
      <x:c r="B569" s="14" t="str">
        <x:v>G-142</x:v>
      </x:c>
      <x:c r="C569" s="14" t="str">
        <x:v>native</x:v>
      </x:c>
      <x:c r="D569" s="14" t="str">
        <x:v>NOT CREATED</x:v>
      </x:c>
      <x:c r="E569" s="14" t="str">
        <x:v>OPEN</x:v>
      </x:c>
    </x:row>
    <x:row r="570">
      <x:c r="A570" s="15" t="str">
        <x:v>E-566</x:v>
      </x:c>
      <x:c r="B570" s="15" t="str">
        <x:v>G-142</x:v>
      </x:c>
      <x:c r="C570" s="15" t="str">
        <x:v>calibration</x:v>
      </x:c>
      <x:c r="D570" s="15" t="str">
        <x:v>NOT CREATED</x:v>
      </x:c>
      <x:c r="E570" s="15" t="str">
        <x:v>OPEN</x:v>
      </x:c>
    </x:row>
    <x:row r="571">
      <x:c r="A571" s="14" t="str">
        <x:v>E-567</x:v>
      </x:c>
      <x:c r="B571" s="14" t="str">
        <x:v>G-142</x:v>
      </x:c>
      <x:c r="C571" s="14" t="str">
        <x:v>custody</x:v>
      </x:c>
      <x:c r="D571" s="14" t="str">
        <x:v>NOT CREATED</x:v>
      </x:c>
      <x:c r="E571" s="14" t="str">
        <x:v>OPEN</x:v>
      </x:c>
    </x:row>
    <x:row r="572">
      <x:c r="A572" s="15" t="str">
        <x:v>E-568</x:v>
      </x:c>
      <x:c r="B572" s="15" t="str">
        <x:v>G-142</x:v>
      </x:c>
      <x:c r="C572" s="15" t="str">
        <x:v>decision</x:v>
      </x:c>
      <x:c r="D572" s="15" t="str">
        <x:v>NOT CREATED</x:v>
      </x:c>
      <x:c r="E572" s="15" t="str">
        <x:v>OPEN</x:v>
      </x:c>
    </x:row>
    <x:row r="573">
      <x:c r="A573" s="14" t="str">
        <x:v>E-569</x:v>
      </x:c>
      <x:c r="B573" s="14" t="str">
        <x:v>G-143</x:v>
      </x:c>
      <x:c r="C573" s="14" t="str">
        <x:v>native</x:v>
      </x:c>
      <x:c r="D573" s="14" t="str">
        <x:v>NOT CREATED</x:v>
      </x:c>
      <x:c r="E573" s="14" t="str">
        <x:v>OPEN</x:v>
      </x:c>
    </x:row>
    <x:row r="574">
      <x:c r="A574" s="15" t="str">
        <x:v>E-570</x:v>
      </x:c>
      <x:c r="B574" s="15" t="str">
        <x:v>G-143</x:v>
      </x:c>
      <x:c r="C574" s="15" t="str">
        <x:v>calibration</x:v>
      </x:c>
      <x:c r="D574" s="15" t="str">
        <x:v>NOT CREATED</x:v>
      </x:c>
      <x:c r="E574" s="15" t="str">
        <x:v>OPEN</x:v>
      </x:c>
    </x:row>
    <x:row r="575">
      <x:c r="A575" s="14" t="str">
        <x:v>E-571</x:v>
      </x:c>
      <x:c r="B575" s="14" t="str">
        <x:v>G-143</x:v>
      </x:c>
      <x:c r="C575" s="14" t="str">
        <x:v>custody</x:v>
      </x:c>
      <x:c r="D575" s="14" t="str">
        <x:v>NOT CREATED</x:v>
      </x:c>
      <x:c r="E575" s="14" t="str">
        <x:v>OPEN</x:v>
      </x:c>
    </x:row>
    <x:row r="576">
      <x:c r="A576" s="15" t="str">
        <x:v>E-572</x:v>
      </x:c>
      <x:c r="B576" s="15" t="str">
        <x:v>G-143</x:v>
      </x:c>
      <x:c r="C576" s="15" t="str">
        <x:v>decision</x:v>
      </x:c>
      <x:c r="D576" s="15" t="str">
        <x:v>NOT CREATED</x:v>
      </x:c>
      <x:c r="E576" s="15" t="str">
        <x:v>OPEN</x:v>
      </x:c>
    </x:row>
    <x:row r="577">
      <x:c r="A577" s="14" t="str">
        <x:v>E-573</x:v>
      </x:c>
      <x:c r="B577" s="14" t="str">
        <x:v>G-144</x:v>
      </x:c>
      <x:c r="C577" s="14" t="str">
        <x:v>native</x:v>
      </x:c>
      <x:c r="D577" s="14" t="str">
        <x:v>NOT CREATED</x:v>
      </x:c>
      <x:c r="E577" s="14" t="str">
        <x:v>OPEN</x:v>
      </x:c>
    </x:row>
    <x:row r="578">
      <x:c r="A578" s="15" t="str">
        <x:v>E-574</x:v>
      </x:c>
      <x:c r="B578" s="15" t="str">
        <x:v>G-144</x:v>
      </x:c>
      <x:c r="C578" s="15" t="str">
        <x:v>calibration</x:v>
      </x:c>
      <x:c r="D578" s="15" t="str">
        <x:v>NOT CREATED</x:v>
      </x:c>
      <x:c r="E578" s="15" t="str">
        <x:v>OPEN</x:v>
      </x:c>
    </x:row>
    <x:row r="579">
      <x:c r="A579" s="14" t="str">
        <x:v>E-575</x:v>
      </x:c>
      <x:c r="B579" s="14" t="str">
        <x:v>G-144</x:v>
      </x:c>
      <x:c r="C579" s="14" t="str">
        <x:v>custody</x:v>
      </x:c>
      <x:c r="D579" s="14" t="str">
        <x:v>NOT CREATED</x:v>
      </x:c>
      <x:c r="E579" s="14" t="str">
        <x:v>OPEN</x:v>
      </x:c>
    </x:row>
    <x:row r="580">
      <x:c r="A580" s="15" t="str">
        <x:v>E-576</x:v>
      </x:c>
      <x:c r="B580" s="15" t="str">
        <x:v>G-144</x:v>
      </x:c>
      <x:c r="C580" s="15" t="str">
        <x:v>decision</x:v>
      </x:c>
      <x:c r="D580" s="15" t="str">
        <x:v>NOT CREATED</x:v>
      </x:c>
      <x:c r="E580" s="15" t="str">
        <x:v>OPEN</x:v>
      </x:c>
    </x:row>
    <x:row r="581">
      <x:c r="A581" s="14" t="str">
        <x:v>E-577</x:v>
      </x:c>
      <x:c r="B581" s="14" t="str">
        <x:v>G-145</x:v>
      </x:c>
      <x:c r="C581" s="14" t="str">
        <x:v>native</x:v>
      </x:c>
      <x:c r="D581" s="14" t="str">
        <x:v>NOT CREATED</x:v>
      </x:c>
      <x:c r="E581" s="14" t="str">
        <x:v>OPEN</x:v>
      </x:c>
    </x:row>
    <x:row r="582">
      <x:c r="A582" s="15" t="str">
        <x:v>E-578</x:v>
      </x:c>
      <x:c r="B582" s="15" t="str">
        <x:v>G-145</x:v>
      </x:c>
      <x:c r="C582" s="15" t="str">
        <x:v>calibration</x:v>
      </x:c>
      <x:c r="D582" s="15" t="str">
        <x:v>NOT CREATED</x:v>
      </x:c>
      <x:c r="E582" s="15" t="str">
        <x:v>OPEN</x:v>
      </x:c>
    </x:row>
    <x:row r="583">
      <x:c r="A583" s="14" t="str">
        <x:v>E-579</x:v>
      </x:c>
      <x:c r="B583" s="14" t="str">
        <x:v>G-145</x:v>
      </x:c>
      <x:c r="C583" s="14" t="str">
        <x:v>custody</x:v>
      </x:c>
      <x:c r="D583" s="14" t="str">
        <x:v>NOT CREATED</x:v>
      </x:c>
      <x:c r="E583" s="14" t="str">
        <x:v>OPEN</x:v>
      </x:c>
    </x:row>
    <x:row r="584">
      <x:c r="A584" s="15" t="str">
        <x:v>E-580</x:v>
      </x:c>
      <x:c r="B584" s="15" t="str">
        <x:v>G-145</x:v>
      </x:c>
      <x:c r="C584" s="15" t="str">
        <x:v>decision</x:v>
      </x:c>
      <x:c r="D584" s="15" t="str">
        <x:v>NOT CREATED</x:v>
      </x:c>
      <x:c r="E584" s="15" t="str">
        <x:v>OPEN</x:v>
      </x:c>
    </x:row>
    <x:row r="585">
      <x:c r="A585" s="14" t="str">
        <x:v>E-581</x:v>
      </x:c>
      <x:c r="B585" s="14" t="str">
        <x:v>G-146</x:v>
      </x:c>
      <x:c r="C585" s="14" t="str">
        <x:v>native</x:v>
      </x:c>
      <x:c r="D585" s="14" t="str">
        <x:v>NOT CREATED</x:v>
      </x:c>
      <x:c r="E585" s="14" t="str">
        <x:v>OPEN</x:v>
      </x:c>
    </x:row>
    <x:row r="586">
      <x:c r="A586" s="15" t="str">
        <x:v>E-582</x:v>
      </x:c>
      <x:c r="B586" s="15" t="str">
        <x:v>G-146</x:v>
      </x:c>
      <x:c r="C586" s="15" t="str">
        <x:v>calibration</x:v>
      </x:c>
      <x:c r="D586" s="15" t="str">
        <x:v>NOT CREATED</x:v>
      </x:c>
      <x:c r="E586" s="15" t="str">
        <x:v>OPEN</x:v>
      </x:c>
    </x:row>
    <x:row r="587">
      <x:c r="A587" s="14" t="str">
        <x:v>E-583</x:v>
      </x:c>
      <x:c r="B587" s="14" t="str">
        <x:v>G-146</x:v>
      </x:c>
      <x:c r="C587" s="14" t="str">
        <x:v>custody</x:v>
      </x:c>
      <x:c r="D587" s="14" t="str">
        <x:v>NOT CREATED</x:v>
      </x:c>
      <x:c r="E587" s="14" t="str">
        <x:v>OPEN</x:v>
      </x:c>
    </x:row>
    <x:row r="588">
      <x:c r="A588" s="15" t="str">
        <x:v>E-584</x:v>
      </x:c>
      <x:c r="B588" s="15" t="str">
        <x:v>G-146</x:v>
      </x:c>
      <x:c r="C588" s="15" t="str">
        <x:v>decision</x:v>
      </x:c>
      <x:c r="D588" s="15" t="str">
        <x:v>NOT CREATED</x:v>
      </x:c>
      <x:c r="E588" s="15" t="str">
        <x:v>OPEN</x:v>
      </x:c>
    </x:row>
    <x:row r="589">
      <x:c r="A589" s="14" t="str">
        <x:v>E-585</x:v>
      </x:c>
      <x:c r="B589" s="14" t="str">
        <x:v>G-147</x:v>
      </x:c>
      <x:c r="C589" s="14" t="str">
        <x:v>native</x:v>
      </x:c>
      <x:c r="D589" s="14" t="str">
        <x:v>NOT CREATED</x:v>
      </x:c>
      <x:c r="E589" s="14" t="str">
        <x:v>OPEN</x:v>
      </x:c>
    </x:row>
    <x:row r="590">
      <x:c r="A590" s="15" t="str">
        <x:v>E-586</x:v>
      </x:c>
      <x:c r="B590" s="15" t="str">
        <x:v>G-147</x:v>
      </x:c>
      <x:c r="C590" s="15" t="str">
        <x:v>calibration</x:v>
      </x:c>
      <x:c r="D590" s="15" t="str">
        <x:v>NOT CREATED</x:v>
      </x:c>
      <x:c r="E590" s="15" t="str">
        <x:v>OPEN</x:v>
      </x:c>
    </x:row>
    <x:row r="591">
      <x:c r="A591" s="14" t="str">
        <x:v>E-587</x:v>
      </x:c>
      <x:c r="B591" s="14" t="str">
        <x:v>G-147</x:v>
      </x:c>
      <x:c r="C591" s="14" t="str">
        <x:v>custody</x:v>
      </x:c>
      <x:c r="D591" s="14" t="str">
        <x:v>NOT CREATED</x:v>
      </x:c>
      <x:c r="E591" s="14" t="str">
        <x:v>OPEN</x:v>
      </x:c>
    </x:row>
    <x:row r="592">
      <x:c r="A592" s="15" t="str">
        <x:v>E-588</x:v>
      </x:c>
      <x:c r="B592" s="15" t="str">
        <x:v>G-147</x:v>
      </x:c>
      <x:c r="C592" s="15" t="str">
        <x:v>decision</x:v>
      </x:c>
      <x:c r="D592" s="15" t="str">
        <x:v>NOT CREATED</x:v>
      </x:c>
      <x:c r="E592" s="15" t="str">
        <x:v>OPEN</x:v>
      </x:c>
    </x:row>
    <x:row r="593">
      <x:c r="A593" s="14" t="str">
        <x:v>E-589</x:v>
      </x:c>
      <x:c r="B593" s="14" t="str">
        <x:v>G-148</x:v>
      </x:c>
      <x:c r="C593" s="14" t="str">
        <x:v>native</x:v>
      </x:c>
      <x:c r="D593" s="14" t="str">
        <x:v>NOT CREATED</x:v>
      </x:c>
      <x:c r="E593" s="14" t="str">
        <x:v>OPEN</x:v>
      </x:c>
    </x:row>
    <x:row r="594">
      <x:c r="A594" s="15" t="str">
        <x:v>E-590</x:v>
      </x:c>
      <x:c r="B594" s="15" t="str">
        <x:v>G-148</x:v>
      </x:c>
      <x:c r="C594" s="15" t="str">
        <x:v>calibration</x:v>
      </x:c>
      <x:c r="D594" s="15" t="str">
        <x:v>NOT CREATED</x:v>
      </x:c>
      <x:c r="E594" s="15" t="str">
        <x:v>OPEN</x:v>
      </x:c>
    </x:row>
    <x:row r="595">
      <x:c r="A595" s="14" t="str">
        <x:v>E-591</x:v>
      </x:c>
      <x:c r="B595" s="14" t="str">
        <x:v>G-148</x:v>
      </x:c>
      <x:c r="C595" s="14" t="str">
        <x:v>custody</x:v>
      </x:c>
      <x:c r="D595" s="14" t="str">
        <x:v>NOT CREATED</x:v>
      </x:c>
      <x:c r="E595" s="14" t="str">
        <x:v>OPEN</x:v>
      </x:c>
    </x:row>
    <x:row r="596">
      <x:c r="A596" s="15" t="str">
        <x:v>E-592</x:v>
      </x:c>
      <x:c r="B596" s="15" t="str">
        <x:v>G-148</x:v>
      </x:c>
      <x:c r="C596" s="15" t="str">
        <x:v>decision</x:v>
      </x:c>
      <x:c r="D596" s="15" t="str">
        <x:v>NOT CREATED</x:v>
      </x:c>
      <x:c r="E596" s="15" t="str">
        <x:v>OPEN</x:v>
      </x:c>
    </x:row>
    <x:row r="597">
      <x:c r="A597" s="14" t="str">
        <x:v>E-593</x:v>
      </x:c>
      <x:c r="B597" s="14" t="str">
        <x:v>G-149</x:v>
      </x:c>
      <x:c r="C597" s="14" t="str">
        <x:v>native</x:v>
      </x:c>
      <x:c r="D597" s="14" t="str">
        <x:v>NOT CREATED</x:v>
      </x:c>
      <x:c r="E597" s="14" t="str">
        <x:v>OPEN</x:v>
      </x:c>
    </x:row>
    <x:row r="598">
      <x:c r="A598" s="15" t="str">
        <x:v>E-594</x:v>
      </x:c>
      <x:c r="B598" s="15" t="str">
        <x:v>G-149</x:v>
      </x:c>
      <x:c r="C598" s="15" t="str">
        <x:v>calibration</x:v>
      </x:c>
      <x:c r="D598" s="15" t="str">
        <x:v>NOT CREATED</x:v>
      </x:c>
      <x:c r="E598" s="15" t="str">
        <x:v>OPEN</x:v>
      </x:c>
    </x:row>
    <x:row r="599">
      <x:c r="A599" s="14" t="str">
        <x:v>E-595</x:v>
      </x:c>
      <x:c r="B599" s="14" t="str">
        <x:v>G-149</x:v>
      </x:c>
      <x:c r="C599" s="14" t="str">
        <x:v>custody</x:v>
      </x:c>
      <x:c r="D599" s="14" t="str">
        <x:v>NOT CREATED</x:v>
      </x:c>
      <x:c r="E599" s="14" t="str">
        <x:v>OPEN</x:v>
      </x:c>
    </x:row>
    <x:row r="600">
      <x:c r="A600" s="15" t="str">
        <x:v>E-596</x:v>
      </x:c>
      <x:c r="B600" s="15" t="str">
        <x:v>G-149</x:v>
      </x:c>
      <x:c r="C600" s="15" t="str">
        <x:v>decision</x:v>
      </x:c>
      <x:c r="D600" s="15" t="str">
        <x:v>NOT CREATED</x:v>
      </x:c>
      <x:c r="E600" s="15" t="str">
        <x:v>OPEN</x:v>
      </x:c>
    </x:row>
    <x:row r="601">
      <x:c r="A601" s="14" t="str">
        <x:v>E-597</x:v>
      </x:c>
      <x:c r="B601" s="14" t="str">
        <x:v>G-150</x:v>
      </x:c>
      <x:c r="C601" s="14" t="str">
        <x:v>native</x:v>
      </x:c>
      <x:c r="D601" s="14" t="str">
        <x:v>NOT CREATED</x:v>
      </x:c>
      <x:c r="E601" s="14" t="str">
        <x:v>OPEN</x:v>
      </x:c>
    </x:row>
    <x:row r="602">
      <x:c r="A602" s="15" t="str">
        <x:v>E-598</x:v>
      </x:c>
      <x:c r="B602" s="15" t="str">
        <x:v>G-150</x:v>
      </x:c>
      <x:c r="C602" s="15" t="str">
        <x:v>calibration</x:v>
      </x:c>
      <x:c r="D602" s="15" t="str">
        <x:v>NOT CREATED</x:v>
      </x:c>
      <x:c r="E602" s="15" t="str">
        <x:v>OPEN</x:v>
      </x:c>
    </x:row>
    <x:row r="603">
      <x:c r="A603" s="14" t="str">
        <x:v>E-599</x:v>
      </x:c>
      <x:c r="B603" s="14" t="str">
        <x:v>G-150</x:v>
      </x:c>
      <x:c r="C603" s="14" t="str">
        <x:v>custody</x:v>
      </x:c>
      <x:c r="D603" s="14" t="str">
        <x:v>NOT CREATED</x:v>
      </x:c>
      <x:c r="E603" s="14" t="str">
        <x:v>OPEN</x:v>
      </x:c>
    </x:row>
    <x:row r="604">
      <x:c r="A604" s="15" t="str">
        <x:v>E-600</x:v>
      </x:c>
      <x:c r="B604" s="15" t="str">
        <x:v>G-150</x:v>
      </x:c>
      <x:c r="C604" s="15" t="str">
        <x:v>decision</x:v>
      </x:c>
      <x:c r="D604" s="15" t="str">
        <x:v>NOT CREATED</x:v>
      </x:c>
      <x:c r="E604" s="15" t="str">
        <x:v>OPEN</x:v>
      </x:c>
    </x:row>
    <x:row r="605">
      <x:c r="A605" s="14" t="str">
        <x:v>E-601</x:v>
      </x:c>
      <x:c r="B605" s="14" t="str">
        <x:v>G-151</x:v>
      </x:c>
      <x:c r="C605" s="14" t="str">
        <x:v>native</x:v>
      </x:c>
      <x:c r="D605" s="14" t="str">
        <x:v>NOT CREATED</x:v>
      </x:c>
      <x:c r="E605" s="14" t="str">
        <x:v>OPEN</x:v>
      </x:c>
    </x:row>
    <x:row r="606">
      <x:c r="A606" s="15" t="str">
        <x:v>E-602</x:v>
      </x:c>
      <x:c r="B606" s="15" t="str">
        <x:v>G-151</x:v>
      </x:c>
      <x:c r="C606" s="15" t="str">
        <x:v>calibration</x:v>
      </x:c>
      <x:c r="D606" s="15" t="str">
        <x:v>NOT CREATED</x:v>
      </x:c>
      <x:c r="E606" s="15" t="str">
        <x:v>OPEN</x:v>
      </x:c>
    </x:row>
    <x:row r="607">
      <x:c r="A607" s="14" t="str">
        <x:v>E-603</x:v>
      </x:c>
      <x:c r="B607" s="14" t="str">
        <x:v>G-151</x:v>
      </x:c>
      <x:c r="C607" s="14" t="str">
        <x:v>custody</x:v>
      </x:c>
      <x:c r="D607" s="14" t="str">
        <x:v>NOT CREATED</x:v>
      </x:c>
      <x:c r="E607" s="14" t="str">
        <x:v>OPEN</x:v>
      </x:c>
    </x:row>
    <x:row r="608">
      <x:c r="A608" s="15" t="str">
        <x:v>E-604</x:v>
      </x:c>
      <x:c r="B608" s="15" t="str">
        <x:v>G-151</x:v>
      </x:c>
      <x:c r="C608" s="15" t="str">
        <x:v>decision</x:v>
      </x:c>
      <x:c r="D608" s="15" t="str">
        <x:v>NOT CREATED</x:v>
      </x:c>
      <x:c r="E608" s="15" t="str">
        <x:v>OPEN</x:v>
      </x:c>
    </x:row>
    <x:row r="609">
      <x:c r="A609" s="14" t="str">
        <x:v>E-605</x:v>
      </x:c>
      <x:c r="B609" s="14" t="str">
        <x:v>G-152</x:v>
      </x:c>
      <x:c r="C609" s="14" t="str">
        <x:v>native</x:v>
      </x:c>
      <x:c r="D609" s="14" t="str">
        <x:v>NOT CREATED</x:v>
      </x:c>
      <x:c r="E609" s="14" t="str">
        <x:v>OPEN</x:v>
      </x:c>
    </x:row>
    <x:row r="610">
      <x:c r="A610" s="15" t="str">
        <x:v>E-606</x:v>
      </x:c>
      <x:c r="B610" s="15" t="str">
        <x:v>G-152</x:v>
      </x:c>
      <x:c r="C610" s="15" t="str">
        <x:v>calibration</x:v>
      </x:c>
      <x:c r="D610" s="15" t="str">
        <x:v>NOT CREATED</x:v>
      </x:c>
      <x:c r="E610" s="15" t="str">
        <x:v>OPEN</x:v>
      </x:c>
    </x:row>
    <x:row r="611">
      <x:c r="A611" s="14" t="str">
        <x:v>E-607</x:v>
      </x:c>
      <x:c r="B611" s="14" t="str">
        <x:v>G-152</x:v>
      </x:c>
      <x:c r="C611" s="14" t="str">
        <x:v>custody</x:v>
      </x:c>
      <x:c r="D611" s="14" t="str">
        <x:v>NOT CREATED</x:v>
      </x:c>
      <x:c r="E611" s="14" t="str">
        <x:v>OPEN</x:v>
      </x:c>
    </x:row>
    <x:row r="612">
      <x:c r="A612" s="15" t="str">
        <x:v>E-608</x:v>
      </x:c>
      <x:c r="B612" s="15" t="str">
        <x:v>G-152</x:v>
      </x:c>
      <x:c r="C612" s="15" t="str">
        <x:v>decision</x:v>
      </x:c>
      <x:c r="D612" s="15" t="str">
        <x:v>NOT CREATED</x:v>
      </x:c>
      <x:c r="E612" s="15" t="str">
        <x:v>OPEN</x:v>
      </x:c>
    </x:row>
    <x:row r="613">
      <x:c r="A613" s="14" t="str">
        <x:v>E-609</x:v>
      </x:c>
      <x:c r="B613" s="14" t="str">
        <x:v>G-153</x:v>
      </x:c>
      <x:c r="C613" s="14" t="str">
        <x:v>native</x:v>
      </x:c>
      <x:c r="D613" s="14" t="str">
        <x:v>NOT CREATED</x:v>
      </x:c>
      <x:c r="E613" s="14" t="str">
        <x:v>OPEN</x:v>
      </x:c>
    </x:row>
    <x:row r="614">
      <x:c r="A614" s="15" t="str">
        <x:v>E-610</x:v>
      </x:c>
      <x:c r="B614" s="15" t="str">
        <x:v>G-153</x:v>
      </x:c>
      <x:c r="C614" s="15" t="str">
        <x:v>calibration</x:v>
      </x:c>
      <x:c r="D614" s="15" t="str">
        <x:v>NOT CREATED</x:v>
      </x:c>
      <x:c r="E614" s="15" t="str">
        <x:v>OPEN</x:v>
      </x:c>
    </x:row>
    <x:row r="615">
      <x:c r="A615" s="14" t="str">
        <x:v>E-611</x:v>
      </x:c>
      <x:c r="B615" s="14" t="str">
        <x:v>G-153</x:v>
      </x:c>
      <x:c r="C615" s="14" t="str">
        <x:v>custody</x:v>
      </x:c>
      <x:c r="D615" s="14" t="str">
        <x:v>NOT CREATED</x:v>
      </x:c>
      <x:c r="E615" s="14" t="str">
        <x:v>OPEN</x:v>
      </x:c>
    </x:row>
    <x:row r="616">
      <x:c r="A616" s="15" t="str">
        <x:v>E-612</x:v>
      </x:c>
      <x:c r="B616" s="15" t="str">
        <x:v>G-153</x:v>
      </x:c>
      <x:c r="C616" s="15" t="str">
        <x:v>decision</x:v>
      </x:c>
      <x:c r="D616" s="15" t="str">
        <x:v>NOT CREATED</x:v>
      </x:c>
      <x:c r="E616" s="15" t="str">
        <x:v>OPEN</x:v>
      </x:c>
    </x:row>
    <x:row r="617">
      <x:c r="A617" s="14" t="str">
        <x:v>E-613</x:v>
      </x:c>
      <x:c r="B617" s="14" t="str">
        <x:v>G-154</x:v>
      </x:c>
      <x:c r="C617" s="14" t="str">
        <x:v>native</x:v>
      </x:c>
      <x:c r="D617" s="14" t="str">
        <x:v>NOT CREATED</x:v>
      </x:c>
      <x:c r="E617" s="14" t="str">
        <x:v>OPEN</x:v>
      </x:c>
    </x:row>
    <x:row r="618">
      <x:c r="A618" s="15" t="str">
        <x:v>E-614</x:v>
      </x:c>
      <x:c r="B618" s="15" t="str">
        <x:v>G-154</x:v>
      </x:c>
      <x:c r="C618" s="15" t="str">
        <x:v>calibration</x:v>
      </x:c>
      <x:c r="D618" s="15" t="str">
        <x:v>NOT CREATED</x:v>
      </x:c>
      <x:c r="E618" s="15" t="str">
        <x:v>OPEN</x:v>
      </x:c>
    </x:row>
    <x:row r="619">
      <x:c r="A619" s="14" t="str">
        <x:v>E-615</x:v>
      </x:c>
      <x:c r="B619" s="14" t="str">
        <x:v>G-154</x:v>
      </x:c>
      <x:c r="C619" s="14" t="str">
        <x:v>custody</x:v>
      </x:c>
      <x:c r="D619" s="14" t="str">
        <x:v>NOT CREATED</x:v>
      </x:c>
      <x:c r="E619" s="14" t="str">
        <x:v>OPEN</x:v>
      </x:c>
    </x:row>
    <x:row r="620">
      <x:c r="A620" s="15" t="str">
        <x:v>E-616</x:v>
      </x:c>
      <x:c r="B620" s="15" t="str">
        <x:v>G-154</x:v>
      </x:c>
      <x:c r="C620" s="15" t="str">
        <x:v>decision</x:v>
      </x:c>
      <x:c r="D620" s="15" t="str">
        <x:v>NOT CREATED</x:v>
      </x:c>
      <x:c r="E620" s="15" t="str">
        <x:v>OPEN</x:v>
      </x:c>
    </x:row>
    <x:row r="621">
      <x:c r="A621" s="14" t="str">
        <x:v>E-617</x:v>
      </x:c>
      <x:c r="B621" s="14" t="str">
        <x:v>G-155</x:v>
      </x:c>
      <x:c r="C621" s="14" t="str">
        <x:v>native</x:v>
      </x:c>
      <x:c r="D621" s="14" t="str">
        <x:v>NOT CREATED</x:v>
      </x:c>
      <x:c r="E621" s="14" t="str">
        <x:v>OPEN</x:v>
      </x:c>
    </x:row>
    <x:row r="622">
      <x:c r="A622" s="15" t="str">
        <x:v>E-618</x:v>
      </x:c>
      <x:c r="B622" s="15" t="str">
        <x:v>G-155</x:v>
      </x:c>
      <x:c r="C622" s="15" t="str">
        <x:v>calibration</x:v>
      </x:c>
      <x:c r="D622" s="15" t="str">
        <x:v>NOT CREATED</x:v>
      </x:c>
      <x:c r="E622" s="15" t="str">
        <x:v>OPEN</x:v>
      </x:c>
    </x:row>
    <x:row r="623">
      <x:c r="A623" s="14" t="str">
        <x:v>E-619</x:v>
      </x:c>
      <x:c r="B623" s="14" t="str">
        <x:v>G-155</x:v>
      </x:c>
      <x:c r="C623" s="14" t="str">
        <x:v>custody</x:v>
      </x:c>
      <x:c r="D623" s="14" t="str">
        <x:v>NOT CREATED</x:v>
      </x:c>
      <x:c r="E623" s="14" t="str">
        <x:v>OPEN</x:v>
      </x:c>
    </x:row>
    <x:row r="624">
      <x:c r="A624" s="15" t="str">
        <x:v>E-620</x:v>
      </x:c>
      <x:c r="B624" s="15" t="str">
        <x:v>G-155</x:v>
      </x:c>
      <x:c r="C624" s="15" t="str">
        <x:v>decision</x:v>
      </x:c>
      <x:c r="D624" s="15" t="str">
        <x:v>NOT CREATED</x:v>
      </x:c>
      <x:c r="E624" s="15" t="str">
        <x:v>OPEN</x:v>
      </x:c>
    </x:row>
    <x:row r="625">
      <x:c r="A625" s="14" t="str">
        <x:v>E-621</x:v>
      </x:c>
      <x:c r="B625" s="14" t="str">
        <x:v>G-156</x:v>
      </x:c>
      <x:c r="C625" s="14" t="str">
        <x:v>native</x:v>
      </x:c>
      <x:c r="D625" s="14" t="str">
        <x:v>NOT CREATED</x:v>
      </x:c>
      <x:c r="E625" s="14" t="str">
        <x:v>OPEN</x:v>
      </x:c>
    </x:row>
    <x:row r="626">
      <x:c r="A626" s="15" t="str">
        <x:v>E-622</x:v>
      </x:c>
      <x:c r="B626" s="15" t="str">
        <x:v>G-156</x:v>
      </x:c>
      <x:c r="C626" s="15" t="str">
        <x:v>calibration</x:v>
      </x:c>
      <x:c r="D626" s="15" t="str">
        <x:v>NOT CREATED</x:v>
      </x:c>
      <x:c r="E626" s="15" t="str">
        <x:v>OPEN</x:v>
      </x:c>
    </x:row>
    <x:row r="627">
      <x:c r="A627" s="14" t="str">
        <x:v>E-623</x:v>
      </x:c>
      <x:c r="B627" s="14" t="str">
        <x:v>G-156</x:v>
      </x:c>
      <x:c r="C627" s="14" t="str">
        <x:v>custody</x:v>
      </x:c>
      <x:c r="D627" s="14" t="str">
        <x:v>NOT CREATED</x:v>
      </x:c>
      <x:c r="E627" s="14" t="str">
        <x:v>OPEN</x:v>
      </x:c>
    </x:row>
    <x:row r="628">
      <x:c r="A628" s="15" t="str">
        <x:v>E-624</x:v>
      </x:c>
      <x:c r="B628" s="15" t="str">
        <x:v>G-156</x:v>
      </x:c>
      <x:c r="C628" s="15" t="str">
        <x:v>decision</x:v>
      </x:c>
      <x:c r="D628" s="15" t="str">
        <x:v>NOT CREATED</x:v>
      </x:c>
      <x:c r="E628" s="15" t="str">
        <x:v>OPEN</x:v>
      </x:c>
    </x:row>
    <x:row r="629">
      <x:c r="A629" s="14" t="str">
        <x:v>E-625</x:v>
      </x:c>
      <x:c r="B629" s="14" t="str">
        <x:v>G-157</x:v>
      </x:c>
      <x:c r="C629" s="14" t="str">
        <x:v>native</x:v>
      </x:c>
      <x:c r="D629" s="14" t="str">
        <x:v>NOT CREATED</x:v>
      </x:c>
      <x:c r="E629" s="14" t="str">
        <x:v>OPEN</x:v>
      </x:c>
    </x:row>
    <x:row r="630">
      <x:c r="A630" s="15" t="str">
        <x:v>E-626</x:v>
      </x:c>
      <x:c r="B630" s="15" t="str">
        <x:v>G-157</x:v>
      </x:c>
      <x:c r="C630" s="15" t="str">
        <x:v>calibration</x:v>
      </x:c>
      <x:c r="D630" s="15" t="str">
        <x:v>NOT CREATED</x:v>
      </x:c>
      <x:c r="E630" s="15" t="str">
        <x:v>OPEN</x:v>
      </x:c>
    </x:row>
    <x:row r="631">
      <x:c r="A631" s="14" t="str">
        <x:v>E-627</x:v>
      </x:c>
      <x:c r="B631" s="14" t="str">
        <x:v>G-157</x:v>
      </x:c>
      <x:c r="C631" s="14" t="str">
        <x:v>custody</x:v>
      </x:c>
      <x:c r="D631" s="14" t="str">
        <x:v>NOT CREATED</x:v>
      </x:c>
      <x:c r="E631" s="14" t="str">
        <x:v>OPEN</x:v>
      </x:c>
    </x:row>
    <x:row r="632">
      <x:c r="A632" s="15" t="str">
        <x:v>E-628</x:v>
      </x:c>
      <x:c r="B632" s="15" t="str">
        <x:v>G-157</x:v>
      </x:c>
      <x:c r="C632" s="15" t="str">
        <x:v>decision</x:v>
      </x:c>
      <x:c r="D632" s="15" t="str">
        <x:v>NOT CREATED</x:v>
      </x:c>
      <x:c r="E632" s="15" t="str">
        <x:v>OPEN</x:v>
      </x:c>
    </x:row>
    <x:row r="633">
      <x:c r="A633" s="14" t="str">
        <x:v>E-629</x:v>
      </x:c>
      <x:c r="B633" s="14" t="str">
        <x:v>G-158</x:v>
      </x:c>
      <x:c r="C633" s="14" t="str">
        <x:v>native</x:v>
      </x:c>
      <x:c r="D633" s="14" t="str">
        <x:v>NOT CREATED</x:v>
      </x:c>
      <x:c r="E633" s="14" t="str">
        <x:v>OPEN</x:v>
      </x:c>
    </x:row>
    <x:row r="634">
      <x:c r="A634" s="15" t="str">
        <x:v>E-630</x:v>
      </x:c>
      <x:c r="B634" s="15" t="str">
        <x:v>G-158</x:v>
      </x:c>
      <x:c r="C634" s="15" t="str">
        <x:v>calibration</x:v>
      </x:c>
      <x:c r="D634" s="15" t="str">
        <x:v>NOT CREATED</x:v>
      </x:c>
      <x:c r="E634" s="15" t="str">
        <x:v>OPEN</x:v>
      </x:c>
    </x:row>
    <x:row r="635">
      <x:c r="A635" s="14" t="str">
        <x:v>E-631</x:v>
      </x:c>
      <x:c r="B635" s="14" t="str">
        <x:v>G-158</x:v>
      </x:c>
      <x:c r="C635" s="14" t="str">
        <x:v>custody</x:v>
      </x:c>
      <x:c r="D635" s="14" t="str">
        <x:v>NOT CREATED</x:v>
      </x:c>
      <x:c r="E635" s="14" t="str">
        <x:v>OPEN</x:v>
      </x:c>
    </x:row>
    <x:row r="636">
      <x:c r="A636" s="15" t="str">
        <x:v>E-632</x:v>
      </x:c>
      <x:c r="B636" s="15" t="str">
        <x:v>G-158</x:v>
      </x:c>
      <x:c r="C636" s="15" t="str">
        <x:v>decision</x:v>
      </x:c>
      <x:c r="D636" s="15" t="str">
        <x:v>NOT CREATED</x:v>
      </x:c>
      <x:c r="E636" s="15" t="str">
        <x:v>OPEN</x:v>
      </x:c>
    </x:row>
    <x:row r="637">
      <x:c r="A637" s="14" t="str">
        <x:v>E-633</x:v>
      </x:c>
      <x:c r="B637" s="14" t="str">
        <x:v>G-159</x:v>
      </x:c>
      <x:c r="C637" s="14" t="str">
        <x:v>native</x:v>
      </x:c>
      <x:c r="D637" s="14" t="str">
        <x:v>NOT CREATED</x:v>
      </x:c>
      <x:c r="E637" s="14" t="str">
        <x:v>OPEN</x:v>
      </x:c>
    </x:row>
    <x:row r="638">
      <x:c r="A638" s="15" t="str">
        <x:v>E-634</x:v>
      </x:c>
      <x:c r="B638" s="15" t="str">
        <x:v>G-159</x:v>
      </x:c>
      <x:c r="C638" s="15" t="str">
        <x:v>calibration</x:v>
      </x:c>
      <x:c r="D638" s="15" t="str">
        <x:v>NOT CREATED</x:v>
      </x:c>
      <x:c r="E638" s="15" t="str">
        <x:v>OPEN</x:v>
      </x:c>
    </x:row>
    <x:row r="639">
      <x:c r="A639" s="14" t="str">
        <x:v>E-635</x:v>
      </x:c>
      <x:c r="B639" s="14" t="str">
        <x:v>G-159</x:v>
      </x:c>
      <x:c r="C639" s="14" t="str">
        <x:v>custody</x:v>
      </x:c>
      <x:c r="D639" s="14" t="str">
        <x:v>NOT CREATED</x:v>
      </x:c>
      <x:c r="E639" s="14" t="str">
        <x:v>OPEN</x:v>
      </x:c>
    </x:row>
    <x:row r="640">
      <x:c r="A640" s="15" t="str">
        <x:v>E-636</x:v>
      </x:c>
      <x:c r="B640" s="15" t="str">
        <x:v>G-159</x:v>
      </x:c>
      <x:c r="C640" s="15" t="str">
        <x:v>decision</x:v>
      </x:c>
      <x:c r="D640" s="15" t="str">
        <x:v>NOT CREATED</x:v>
      </x:c>
      <x:c r="E640" s="15" t="str">
        <x:v>OPEN</x:v>
      </x:c>
    </x:row>
    <x:row r="641">
      <x:c r="A641" s="14" t="str">
        <x:v>E-637</x:v>
      </x:c>
      <x:c r="B641" s="14" t="str">
        <x:v>G-160</x:v>
      </x:c>
      <x:c r="C641" s="14" t="str">
        <x:v>native</x:v>
      </x:c>
      <x:c r="D641" s="14" t="str">
        <x:v>NOT CREATED</x:v>
      </x:c>
      <x:c r="E641" s="14" t="str">
        <x:v>OPEN</x:v>
      </x:c>
    </x:row>
    <x:row r="642">
      <x:c r="A642" s="15" t="str">
        <x:v>E-638</x:v>
      </x:c>
      <x:c r="B642" s="15" t="str">
        <x:v>G-160</x:v>
      </x:c>
      <x:c r="C642" s="15" t="str">
        <x:v>calibration</x:v>
      </x:c>
      <x:c r="D642" s="15" t="str">
        <x:v>NOT CREATED</x:v>
      </x:c>
      <x:c r="E642" s="15" t="str">
        <x:v>OPEN</x:v>
      </x:c>
    </x:row>
    <x:row r="643">
      <x:c r="A643" s="14" t="str">
        <x:v>E-639</x:v>
      </x:c>
      <x:c r="B643" s="14" t="str">
        <x:v>G-160</x:v>
      </x:c>
      <x:c r="C643" s="14" t="str">
        <x:v>custody</x:v>
      </x:c>
      <x:c r="D643" s="14" t="str">
        <x:v>NOT CREATED</x:v>
      </x:c>
      <x:c r="E643" s="14" t="str">
        <x:v>OPEN</x:v>
      </x:c>
    </x:row>
    <x:row r="644">
      <x:c r="A644" s="15" t="str">
        <x:v>E-640</x:v>
      </x:c>
      <x:c r="B644" s="15" t="str">
        <x:v>G-160</x:v>
      </x:c>
      <x:c r="C644" s="15" t="str">
        <x:v>decision</x:v>
      </x:c>
      <x:c r="D644" s="15" t="str">
        <x:v>NOT CREATED</x:v>
      </x:c>
      <x:c r="E644" s="15" t="str">
        <x:v>OPEN</x:v>
      </x:c>
    </x:row>
    <x:row r="645">
      <x:c r="A645" s="14" t="str">
        <x:v>E-641</x:v>
      </x:c>
      <x:c r="B645" s="14" t="str">
        <x:v>G-161</x:v>
      </x:c>
      <x:c r="C645" s="14" t="str">
        <x:v>native</x:v>
      </x:c>
      <x:c r="D645" s="14" t="str">
        <x:v>NOT CREATED</x:v>
      </x:c>
      <x:c r="E645" s="14" t="str">
        <x:v>OPEN</x:v>
      </x:c>
    </x:row>
    <x:row r="646">
      <x:c r="A646" s="15" t="str">
        <x:v>E-642</x:v>
      </x:c>
      <x:c r="B646" s="15" t="str">
        <x:v>G-161</x:v>
      </x:c>
      <x:c r="C646" s="15" t="str">
        <x:v>calibration</x:v>
      </x:c>
      <x:c r="D646" s="15" t="str">
        <x:v>NOT CREATED</x:v>
      </x:c>
      <x:c r="E646" s="15" t="str">
        <x:v>OPEN</x:v>
      </x:c>
    </x:row>
    <x:row r="647">
      <x:c r="A647" s="14" t="str">
        <x:v>E-643</x:v>
      </x:c>
      <x:c r="B647" s="14" t="str">
        <x:v>G-161</x:v>
      </x:c>
      <x:c r="C647" s="14" t="str">
        <x:v>custody</x:v>
      </x:c>
      <x:c r="D647" s="14" t="str">
        <x:v>NOT CREATED</x:v>
      </x:c>
      <x:c r="E647" s="14" t="str">
        <x:v>OPEN</x:v>
      </x:c>
    </x:row>
    <x:row r="648">
      <x:c r="A648" s="15" t="str">
        <x:v>E-644</x:v>
      </x:c>
      <x:c r="B648" s="15" t="str">
        <x:v>G-161</x:v>
      </x:c>
      <x:c r="C648" s="15" t="str">
        <x:v>decision</x:v>
      </x:c>
      <x:c r="D648" s="15" t="str">
        <x:v>NOT CREATED</x:v>
      </x:c>
      <x:c r="E648" s="15" t="str">
        <x:v>OPEN</x:v>
      </x:c>
    </x:row>
    <x:row r="649">
      <x:c r="A649" s="14" t="str">
        <x:v>E-645</x:v>
      </x:c>
      <x:c r="B649" s="14" t="str">
        <x:v>G-162</x:v>
      </x:c>
      <x:c r="C649" s="14" t="str">
        <x:v>native</x:v>
      </x:c>
      <x:c r="D649" s="14" t="str">
        <x:v>NOT CREATED</x:v>
      </x:c>
      <x:c r="E649" s="14" t="str">
        <x:v>OPEN</x:v>
      </x:c>
    </x:row>
    <x:row r="650">
      <x:c r="A650" s="15" t="str">
        <x:v>E-646</x:v>
      </x:c>
      <x:c r="B650" s="15" t="str">
        <x:v>G-162</x:v>
      </x:c>
      <x:c r="C650" s="15" t="str">
        <x:v>calibration</x:v>
      </x:c>
      <x:c r="D650" s="15" t="str">
        <x:v>NOT CREATED</x:v>
      </x:c>
      <x:c r="E650" s="15" t="str">
        <x:v>OPEN</x:v>
      </x:c>
    </x:row>
    <x:row r="651">
      <x:c r="A651" s="14" t="str">
        <x:v>E-647</x:v>
      </x:c>
      <x:c r="B651" s="14" t="str">
        <x:v>G-162</x:v>
      </x:c>
      <x:c r="C651" s="14" t="str">
        <x:v>custody</x:v>
      </x:c>
      <x:c r="D651" s="14" t="str">
        <x:v>NOT CREATED</x:v>
      </x:c>
      <x:c r="E651" s="14" t="str">
        <x:v>OPEN</x:v>
      </x:c>
    </x:row>
    <x:row r="652">
      <x:c r="A652" s="15" t="str">
        <x:v>E-648</x:v>
      </x:c>
      <x:c r="B652" s="15" t="str">
        <x:v>G-162</x:v>
      </x:c>
      <x:c r="C652" s="15" t="str">
        <x:v>decision</x:v>
      </x:c>
      <x:c r="D652" s="15" t="str">
        <x:v>NOT CREATED</x:v>
      </x:c>
      <x:c r="E652" s="15" t="str">
        <x:v>OPEN</x:v>
      </x:c>
    </x:row>
    <x:row r="653">
      <x:c r="A653" s="14" t="str">
        <x:v>E-649</x:v>
      </x:c>
      <x:c r="B653" s="14" t="str">
        <x:v>G-163</x:v>
      </x:c>
      <x:c r="C653" s="14" t="str">
        <x:v>native</x:v>
      </x:c>
      <x:c r="D653" s="14" t="str">
        <x:v>NOT CREATED</x:v>
      </x:c>
      <x:c r="E653" s="14" t="str">
        <x:v>OPEN</x:v>
      </x:c>
    </x:row>
    <x:row r="654">
      <x:c r="A654" s="15" t="str">
        <x:v>E-650</x:v>
      </x:c>
      <x:c r="B654" s="15" t="str">
        <x:v>G-163</x:v>
      </x:c>
      <x:c r="C654" s="15" t="str">
        <x:v>calibration</x:v>
      </x:c>
      <x:c r="D654" s="15" t="str">
        <x:v>NOT CREATED</x:v>
      </x:c>
      <x:c r="E654" s="15" t="str">
        <x:v>OPEN</x:v>
      </x:c>
    </x:row>
    <x:row r="655">
      <x:c r="A655" s="14" t="str">
        <x:v>E-651</x:v>
      </x:c>
      <x:c r="B655" s="14" t="str">
        <x:v>G-163</x:v>
      </x:c>
      <x:c r="C655" s="14" t="str">
        <x:v>custody</x:v>
      </x:c>
      <x:c r="D655" s="14" t="str">
        <x:v>NOT CREATED</x:v>
      </x:c>
      <x:c r="E655" s="14" t="str">
        <x:v>OPEN</x:v>
      </x:c>
    </x:row>
    <x:row r="656">
      <x:c r="A656" s="15" t="str">
        <x:v>E-652</x:v>
      </x:c>
      <x:c r="B656" s="15" t="str">
        <x:v>G-163</x:v>
      </x:c>
      <x:c r="C656" s="15" t="str">
        <x:v>decision</x:v>
      </x:c>
      <x:c r="D656" s="15" t="str">
        <x:v>NOT CREATED</x:v>
      </x:c>
      <x:c r="E656" s="15" t="str">
        <x:v>OPEN</x:v>
      </x:c>
    </x:row>
    <x:row r="657">
      <x:c r="A657" s="14" t="str">
        <x:v>E-653</x:v>
      </x:c>
      <x:c r="B657" s="14" t="str">
        <x:v>G-164</x:v>
      </x:c>
      <x:c r="C657" s="14" t="str">
        <x:v>native</x:v>
      </x:c>
      <x:c r="D657" s="14" t="str">
        <x:v>NOT CREATED</x:v>
      </x:c>
      <x:c r="E657" s="14" t="str">
        <x:v>OPEN</x:v>
      </x:c>
    </x:row>
    <x:row r="658">
      <x:c r="A658" s="15" t="str">
        <x:v>E-654</x:v>
      </x:c>
      <x:c r="B658" s="15" t="str">
        <x:v>G-164</x:v>
      </x:c>
      <x:c r="C658" s="15" t="str">
        <x:v>calibration</x:v>
      </x:c>
      <x:c r="D658" s="15" t="str">
        <x:v>NOT CREATED</x:v>
      </x:c>
      <x:c r="E658" s="15" t="str">
        <x:v>OPEN</x:v>
      </x:c>
    </x:row>
    <x:row r="659">
      <x:c r="A659" s="14" t="str">
        <x:v>E-655</x:v>
      </x:c>
      <x:c r="B659" s="14" t="str">
        <x:v>G-164</x:v>
      </x:c>
      <x:c r="C659" s="14" t="str">
        <x:v>custody</x:v>
      </x:c>
      <x:c r="D659" s="14" t="str">
        <x:v>NOT CREATED</x:v>
      </x:c>
      <x:c r="E659" s="14" t="str">
        <x:v>OPEN</x:v>
      </x:c>
    </x:row>
    <x:row r="660">
      <x:c r="A660" s="15" t="str">
        <x:v>E-656</x:v>
      </x:c>
      <x:c r="B660" s="15" t="str">
        <x:v>G-164</x:v>
      </x:c>
      <x:c r="C660" s="15" t="str">
        <x:v>decision</x:v>
      </x:c>
      <x:c r="D660" s="15" t="str">
        <x:v>NOT CREATED</x:v>
      </x:c>
      <x:c r="E660" s="15" t="str">
        <x:v>OPEN</x:v>
      </x:c>
    </x:row>
    <x:row r="661">
      <x:c r="A661" s="14" t="str">
        <x:v>E-657</x:v>
      </x:c>
      <x:c r="B661" s="14" t="str">
        <x:v>G-165</x:v>
      </x:c>
      <x:c r="C661" s="14" t="str">
        <x:v>native</x:v>
      </x:c>
      <x:c r="D661" s="14" t="str">
        <x:v>NOT CREATED</x:v>
      </x:c>
      <x:c r="E661" s="14" t="str">
        <x:v>OPEN</x:v>
      </x:c>
    </x:row>
    <x:row r="662">
      <x:c r="A662" s="15" t="str">
        <x:v>E-658</x:v>
      </x:c>
      <x:c r="B662" s="15" t="str">
        <x:v>G-165</x:v>
      </x:c>
      <x:c r="C662" s="15" t="str">
        <x:v>calibration</x:v>
      </x:c>
      <x:c r="D662" s="15" t="str">
        <x:v>NOT CREATED</x:v>
      </x:c>
      <x:c r="E662" s="15" t="str">
        <x:v>OPEN</x:v>
      </x:c>
    </x:row>
    <x:row r="663">
      <x:c r="A663" s="14" t="str">
        <x:v>E-659</x:v>
      </x:c>
      <x:c r="B663" s="14" t="str">
        <x:v>G-165</x:v>
      </x:c>
      <x:c r="C663" s="14" t="str">
        <x:v>custody</x:v>
      </x:c>
      <x:c r="D663" s="14" t="str">
        <x:v>NOT CREATED</x:v>
      </x:c>
      <x:c r="E663" s="14" t="str">
        <x:v>OPEN</x:v>
      </x:c>
    </x:row>
    <x:row r="664">
      <x:c r="A664" s="15" t="str">
        <x:v>E-660</x:v>
      </x:c>
      <x:c r="B664" s="15" t="str">
        <x:v>G-165</x:v>
      </x:c>
      <x:c r="C664" s="15" t="str">
        <x:v>decision</x:v>
      </x:c>
      <x:c r="D664" s="15" t="str">
        <x:v>NOT CREATED</x:v>
      </x:c>
      <x:c r="E664" s="15" t="str">
        <x:v>OPEN</x:v>
      </x:c>
    </x:row>
    <x:row r="665">
      <x:c r="A665" s="14" t="str">
        <x:v>E-661</x:v>
      </x:c>
      <x:c r="B665" s="14" t="str">
        <x:v>G-166</x:v>
      </x:c>
      <x:c r="C665" s="14" t="str">
        <x:v>native</x:v>
      </x:c>
      <x:c r="D665" s="14" t="str">
        <x:v>NOT CREATED</x:v>
      </x:c>
      <x:c r="E665" s="14" t="str">
        <x:v>OPEN</x:v>
      </x:c>
    </x:row>
    <x:row r="666">
      <x:c r="A666" s="15" t="str">
        <x:v>E-662</x:v>
      </x:c>
      <x:c r="B666" s="15" t="str">
        <x:v>G-166</x:v>
      </x:c>
      <x:c r="C666" s="15" t="str">
        <x:v>calibration</x:v>
      </x:c>
      <x:c r="D666" s="15" t="str">
        <x:v>NOT CREATED</x:v>
      </x:c>
      <x:c r="E666" s="15" t="str">
        <x:v>OPEN</x:v>
      </x:c>
    </x:row>
    <x:row r="667">
      <x:c r="A667" s="14" t="str">
        <x:v>E-663</x:v>
      </x:c>
      <x:c r="B667" s="14" t="str">
        <x:v>G-166</x:v>
      </x:c>
      <x:c r="C667" s="14" t="str">
        <x:v>custody</x:v>
      </x:c>
      <x:c r="D667" s="14" t="str">
        <x:v>NOT CREATED</x:v>
      </x:c>
      <x:c r="E667" s="14" t="str">
        <x:v>OPEN</x:v>
      </x:c>
    </x:row>
    <x:row r="668">
      <x:c r="A668" s="15" t="str">
        <x:v>E-664</x:v>
      </x:c>
      <x:c r="B668" s="15" t="str">
        <x:v>G-166</x:v>
      </x:c>
      <x:c r="C668" s="15" t="str">
        <x:v>decision</x:v>
      </x:c>
      <x:c r="D668" s="15" t="str">
        <x:v>NOT CREATED</x:v>
      </x:c>
      <x:c r="E668" s="15" t="str">
        <x:v>OPEN</x:v>
      </x:c>
    </x:row>
    <x:row r="669">
      <x:c r="A669" s="14" t="str">
        <x:v>E-665</x:v>
      </x:c>
      <x:c r="B669" s="14" t="str">
        <x:v>G-167</x:v>
      </x:c>
      <x:c r="C669" s="14" t="str">
        <x:v>native</x:v>
      </x:c>
      <x:c r="D669" s="14" t="str">
        <x:v>NOT CREATED</x:v>
      </x:c>
      <x:c r="E669" s="14" t="str">
        <x:v>OPEN</x:v>
      </x:c>
    </x:row>
    <x:row r="670">
      <x:c r="A670" s="15" t="str">
        <x:v>E-666</x:v>
      </x:c>
      <x:c r="B670" s="15" t="str">
        <x:v>G-167</x:v>
      </x:c>
      <x:c r="C670" s="15" t="str">
        <x:v>calibration</x:v>
      </x:c>
      <x:c r="D670" s="15" t="str">
        <x:v>NOT CREATED</x:v>
      </x:c>
      <x:c r="E670" s="15" t="str">
        <x:v>OPEN</x:v>
      </x:c>
    </x:row>
    <x:row r="671">
      <x:c r="A671" s="14" t="str">
        <x:v>E-667</x:v>
      </x:c>
      <x:c r="B671" s="14" t="str">
        <x:v>G-167</x:v>
      </x:c>
      <x:c r="C671" s="14" t="str">
        <x:v>custody</x:v>
      </x:c>
      <x:c r="D671" s="14" t="str">
        <x:v>NOT CREATED</x:v>
      </x:c>
      <x:c r="E671" s="14" t="str">
        <x:v>OPEN</x:v>
      </x:c>
    </x:row>
    <x:row r="672">
      <x:c r="A672" s="15" t="str">
        <x:v>E-668</x:v>
      </x:c>
      <x:c r="B672" s="15" t="str">
        <x:v>G-167</x:v>
      </x:c>
      <x:c r="C672" s="15" t="str">
        <x:v>decision</x:v>
      </x:c>
      <x:c r="D672" s="15" t="str">
        <x:v>NOT CREATED</x:v>
      </x:c>
      <x:c r="E672" s="15" t="str">
        <x:v>OPEN</x:v>
      </x:c>
    </x:row>
    <x:row r="673">
      <x:c r="A673" s="14" t="str">
        <x:v>E-669</x:v>
      </x:c>
      <x:c r="B673" s="14" t="str">
        <x:v>G-168</x:v>
      </x:c>
      <x:c r="C673" s="14" t="str">
        <x:v>native</x:v>
      </x:c>
      <x:c r="D673" s="14" t="str">
        <x:v>NOT CREATED</x:v>
      </x:c>
      <x:c r="E673" s="14" t="str">
        <x:v>OPEN</x:v>
      </x:c>
    </x:row>
    <x:row r="674">
      <x:c r="A674" s="15" t="str">
        <x:v>E-670</x:v>
      </x:c>
      <x:c r="B674" s="15" t="str">
        <x:v>G-168</x:v>
      </x:c>
      <x:c r="C674" s="15" t="str">
        <x:v>calibration</x:v>
      </x:c>
      <x:c r="D674" s="15" t="str">
        <x:v>NOT CREATED</x:v>
      </x:c>
      <x:c r="E674" s="15" t="str">
        <x:v>OPEN</x:v>
      </x:c>
    </x:row>
    <x:row r="675">
      <x:c r="A675" s="14" t="str">
        <x:v>E-671</x:v>
      </x:c>
      <x:c r="B675" s="14" t="str">
        <x:v>G-168</x:v>
      </x:c>
      <x:c r="C675" s="14" t="str">
        <x:v>custody</x:v>
      </x:c>
      <x:c r="D675" s="14" t="str">
        <x:v>NOT CREATED</x:v>
      </x:c>
      <x:c r="E675" s="14" t="str">
        <x:v>OPEN</x:v>
      </x:c>
    </x:row>
    <x:row r="676">
      <x:c r="A676" s="15" t="str">
        <x:v>E-672</x:v>
      </x:c>
      <x:c r="B676" s="15" t="str">
        <x:v>G-168</x:v>
      </x:c>
      <x:c r="C676" s="15" t="str">
        <x:v>decision</x:v>
      </x:c>
      <x:c r="D676" s="15" t="str">
        <x:v>NOT CREATED</x:v>
      </x:c>
      <x:c r="E676" s="15" t="str">
        <x:v>OPEN</x:v>
      </x:c>
    </x:row>
    <x:row r="677">
      <x:c r="A677" s="14" t="str">
        <x:v>E-673</x:v>
      </x:c>
      <x:c r="B677" s="14" t="str">
        <x:v>G-169</x:v>
      </x:c>
      <x:c r="C677" s="14" t="str">
        <x:v>native</x:v>
      </x:c>
      <x:c r="D677" s="14" t="str">
        <x:v>NOT CREATED</x:v>
      </x:c>
      <x:c r="E677" s="14" t="str">
        <x:v>OPEN</x:v>
      </x:c>
    </x:row>
    <x:row r="678">
      <x:c r="A678" s="15" t="str">
        <x:v>E-674</x:v>
      </x:c>
      <x:c r="B678" s="15" t="str">
        <x:v>G-169</x:v>
      </x:c>
      <x:c r="C678" s="15" t="str">
        <x:v>calibration</x:v>
      </x:c>
      <x:c r="D678" s="15" t="str">
        <x:v>NOT CREATED</x:v>
      </x:c>
      <x:c r="E678" s="15" t="str">
        <x:v>OPEN</x:v>
      </x:c>
    </x:row>
    <x:row r="679">
      <x:c r="A679" s="14" t="str">
        <x:v>E-675</x:v>
      </x:c>
      <x:c r="B679" s="14" t="str">
        <x:v>G-169</x:v>
      </x:c>
      <x:c r="C679" s="14" t="str">
        <x:v>custody</x:v>
      </x:c>
      <x:c r="D679" s="14" t="str">
        <x:v>NOT CREATED</x:v>
      </x:c>
      <x:c r="E679" s="14" t="str">
        <x:v>OPEN</x:v>
      </x:c>
    </x:row>
    <x:row r="680">
      <x:c r="A680" s="15" t="str">
        <x:v>E-676</x:v>
      </x:c>
      <x:c r="B680" s="15" t="str">
        <x:v>G-169</x:v>
      </x:c>
      <x:c r="C680" s="15" t="str">
        <x:v>decision</x:v>
      </x:c>
      <x:c r="D680" s="15" t="str">
        <x:v>NOT CREATED</x:v>
      </x:c>
      <x:c r="E680" s="15" t="str">
        <x:v>OPEN</x:v>
      </x:c>
    </x:row>
    <x:row r="681">
      <x:c r="A681" s="14" t="str">
        <x:v>E-677</x:v>
      </x:c>
      <x:c r="B681" s="14" t="str">
        <x:v>G-170</x:v>
      </x:c>
      <x:c r="C681" s="14" t="str">
        <x:v>native</x:v>
      </x:c>
      <x:c r="D681" s="14" t="str">
        <x:v>NOT CREATED</x:v>
      </x:c>
      <x:c r="E681" s="14" t="str">
        <x:v>OPEN</x:v>
      </x:c>
    </x:row>
    <x:row r="682">
      <x:c r="A682" s="15" t="str">
        <x:v>E-678</x:v>
      </x:c>
      <x:c r="B682" s="15" t="str">
        <x:v>G-170</x:v>
      </x:c>
      <x:c r="C682" s="15" t="str">
        <x:v>calibration</x:v>
      </x:c>
      <x:c r="D682" s="15" t="str">
        <x:v>NOT CREATED</x:v>
      </x:c>
      <x:c r="E682" s="15" t="str">
        <x:v>OPEN</x:v>
      </x:c>
    </x:row>
    <x:row r="683">
      <x:c r="A683" s="14" t="str">
        <x:v>E-679</x:v>
      </x:c>
      <x:c r="B683" s="14" t="str">
        <x:v>G-170</x:v>
      </x:c>
      <x:c r="C683" s="14" t="str">
        <x:v>custody</x:v>
      </x:c>
      <x:c r="D683" s="14" t="str">
        <x:v>NOT CREATED</x:v>
      </x:c>
      <x:c r="E683" s="14" t="str">
        <x:v>OPEN</x:v>
      </x:c>
    </x:row>
    <x:row r="684">
      <x:c r="A684" s="15" t="str">
        <x:v>E-680</x:v>
      </x:c>
      <x:c r="B684" s="15" t="str">
        <x:v>G-170</x:v>
      </x:c>
      <x:c r="C684" s="15" t="str">
        <x:v>decision</x:v>
      </x:c>
      <x:c r="D684" s="15" t="str">
        <x:v>NOT CREATED</x:v>
      </x:c>
      <x:c r="E684" s="15" t="str">
        <x:v>OPEN</x:v>
      </x:c>
    </x:row>
    <x:row r="685">
      <x:c r="A685" s="14" t="str">
        <x:v>E-681</x:v>
      </x:c>
      <x:c r="B685" s="14" t="str">
        <x:v>G-171</x:v>
      </x:c>
      <x:c r="C685" s="14" t="str">
        <x:v>native</x:v>
      </x:c>
      <x:c r="D685" s="14" t="str">
        <x:v>NOT CREATED</x:v>
      </x:c>
      <x:c r="E685" s="14" t="str">
        <x:v>OPEN</x:v>
      </x:c>
    </x:row>
    <x:row r="686">
      <x:c r="A686" s="15" t="str">
        <x:v>E-682</x:v>
      </x:c>
      <x:c r="B686" s="15" t="str">
        <x:v>G-171</x:v>
      </x:c>
      <x:c r="C686" s="15" t="str">
        <x:v>calibration</x:v>
      </x:c>
      <x:c r="D686" s="15" t="str">
        <x:v>NOT CREATED</x:v>
      </x:c>
      <x:c r="E686" s="15" t="str">
        <x:v>OPEN</x:v>
      </x:c>
    </x:row>
    <x:row r="687">
      <x:c r="A687" s="14" t="str">
        <x:v>E-683</x:v>
      </x:c>
      <x:c r="B687" s="14" t="str">
        <x:v>G-171</x:v>
      </x:c>
      <x:c r="C687" s="14" t="str">
        <x:v>custody</x:v>
      </x:c>
      <x:c r="D687" s="14" t="str">
        <x:v>NOT CREATED</x:v>
      </x:c>
      <x:c r="E687" s="14" t="str">
        <x:v>OPEN</x:v>
      </x:c>
    </x:row>
    <x:row r="688">
      <x:c r="A688" s="15" t="str">
        <x:v>E-684</x:v>
      </x:c>
      <x:c r="B688" s="15" t="str">
        <x:v>G-171</x:v>
      </x:c>
      <x:c r="C688" s="15" t="str">
        <x:v>decision</x:v>
      </x:c>
      <x:c r="D688" s="15" t="str">
        <x:v>NOT CREATED</x:v>
      </x:c>
      <x:c r="E688" s="15" t="str">
        <x:v>OPEN</x:v>
      </x:c>
    </x:row>
    <x:row r="689">
      <x:c r="A689" s="14" t="str">
        <x:v>E-685</x:v>
      </x:c>
      <x:c r="B689" s="14" t="str">
        <x:v>G-172</x:v>
      </x:c>
      <x:c r="C689" s="14" t="str">
        <x:v>native</x:v>
      </x:c>
      <x:c r="D689" s="14" t="str">
        <x:v>NOT CREATED</x:v>
      </x:c>
      <x:c r="E689" s="14" t="str">
        <x:v>OPEN</x:v>
      </x:c>
    </x:row>
    <x:row r="690">
      <x:c r="A690" s="15" t="str">
        <x:v>E-686</x:v>
      </x:c>
      <x:c r="B690" s="15" t="str">
        <x:v>G-172</x:v>
      </x:c>
      <x:c r="C690" s="15" t="str">
        <x:v>calibration</x:v>
      </x:c>
      <x:c r="D690" s="15" t="str">
        <x:v>NOT CREATED</x:v>
      </x:c>
      <x:c r="E690" s="15" t="str">
        <x:v>OPEN</x:v>
      </x:c>
    </x:row>
    <x:row r="691">
      <x:c r="A691" s="14" t="str">
        <x:v>E-687</x:v>
      </x:c>
      <x:c r="B691" s="14" t="str">
        <x:v>G-172</x:v>
      </x:c>
      <x:c r="C691" s="14" t="str">
        <x:v>custody</x:v>
      </x:c>
      <x:c r="D691" s="14" t="str">
        <x:v>NOT CREATED</x:v>
      </x:c>
      <x:c r="E691" s="14" t="str">
        <x:v>OPEN</x:v>
      </x:c>
    </x:row>
    <x:row r="692">
      <x:c r="A692" s="15" t="str">
        <x:v>E-688</x:v>
      </x:c>
      <x:c r="B692" s="15" t="str">
        <x:v>G-172</x:v>
      </x:c>
      <x:c r="C692" s="15" t="str">
        <x:v>decision</x:v>
      </x:c>
      <x:c r="D692" s="15" t="str">
        <x:v>NOT CREATED</x:v>
      </x:c>
      <x:c r="E692" s="15" t="str">
        <x:v>OPEN</x:v>
      </x:c>
    </x:row>
    <x:row r="693">
      <x:c r="A693" s="14" t="str">
        <x:v>E-689</x:v>
      </x:c>
      <x:c r="B693" s="14" t="str">
        <x:v>G-173</x:v>
      </x:c>
      <x:c r="C693" s="14" t="str">
        <x:v>native</x:v>
      </x:c>
      <x:c r="D693" s="14" t="str">
        <x:v>NOT CREATED</x:v>
      </x:c>
      <x:c r="E693" s="14" t="str">
        <x:v>OPEN</x:v>
      </x:c>
    </x:row>
    <x:row r="694">
      <x:c r="A694" s="15" t="str">
        <x:v>E-690</x:v>
      </x:c>
      <x:c r="B694" s="15" t="str">
        <x:v>G-173</x:v>
      </x:c>
      <x:c r="C694" s="15" t="str">
        <x:v>calibration</x:v>
      </x:c>
      <x:c r="D694" s="15" t="str">
        <x:v>NOT CREATED</x:v>
      </x:c>
      <x:c r="E694" s="15" t="str">
        <x:v>OPEN</x:v>
      </x:c>
    </x:row>
    <x:row r="695">
      <x:c r="A695" s="14" t="str">
        <x:v>E-691</x:v>
      </x:c>
      <x:c r="B695" s="14" t="str">
        <x:v>G-173</x:v>
      </x:c>
      <x:c r="C695" s="14" t="str">
        <x:v>custody</x:v>
      </x:c>
      <x:c r="D695" s="14" t="str">
        <x:v>NOT CREATED</x:v>
      </x:c>
      <x:c r="E695" s="14" t="str">
        <x:v>OPEN</x:v>
      </x:c>
    </x:row>
    <x:row r="696">
      <x:c r="A696" s="15" t="str">
        <x:v>E-692</x:v>
      </x:c>
      <x:c r="B696" s="15" t="str">
        <x:v>G-173</x:v>
      </x:c>
      <x:c r="C696" s="15" t="str">
        <x:v>decision</x:v>
      </x:c>
      <x:c r="D696" s="15" t="str">
        <x:v>NOT CREATED</x:v>
      </x:c>
      <x:c r="E696" s="15" t="str">
        <x:v>OPEN</x:v>
      </x:c>
    </x:row>
    <x:row r="697">
      <x:c r="A697" s="14" t="str">
        <x:v>E-693</x:v>
      </x:c>
      <x:c r="B697" s="14" t="str">
        <x:v>G-174</x:v>
      </x:c>
      <x:c r="C697" s="14" t="str">
        <x:v>native</x:v>
      </x:c>
      <x:c r="D697" s="14" t="str">
        <x:v>NOT CREATED</x:v>
      </x:c>
      <x:c r="E697" s="14" t="str">
        <x:v>OPEN</x:v>
      </x:c>
    </x:row>
    <x:row r="698">
      <x:c r="A698" s="15" t="str">
        <x:v>E-694</x:v>
      </x:c>
      <x:c r="B698" s="15" t="str">
        <x:v>G-174</x:v>
      </x:c>
      <x:c r="C698" s="15" t="str">
        <x:v>calibration</x:v>
      </x:c>
      <x:c r="D698" s="15" t="str">
        <x:v>NOT CREATED</x:v>
      </x:c>
      <x:c r="E698" s="15" t="str">
        <x:v>OPEN</x:v>
      </x:c>
    </x:row>
    <x:row r="699">
      <x:c r="A699" s="14" t="str">
        <x:v>E-695</x:v>
      </x:c>
      <x:c r="B699" s="14" t="str">
        <x:v>G-174</x:v>
      </x:c>
      <x:c r="C699" s="14" t="str">
        <x:v>custody</x:v>
      </x:c>
      <x:c r="D699" s="14" t="str">
        <x:v>NOT CREATED</x:v>
      </x:c>
      <x:c r="E699" s="14" t="str">
        <x:v>OPEN</x:v>
      </x:c>
    </x:row>
    <x:row r="700">
      <x:c r="A700" s="15" t="str">
        <x:v>E-696</x:v>
      </x:c>
      <x:c r="B700" s="15" t="str">
        <x:v>G-174</x:v>
      </x:c>
      <x:c r="C700" s="15" t="str">
        <x:v>decision</x:v>
      </x:c>
      <x:c r="D700" s="15" t="str">
        <x:v>NOT CREATED</x:v>
      </x:c>
      <x:c r="E700" s="15" t="str">
        <x:v>OPEN</x:v>
      </x:c>
    </x:row>
    <x:row r="701">
      <x:c r="A701" s="14" t="str">
        <x:v>E-697</x:v>
      </x:c>
      <x:c r="B701" s="14" t="str">
        <x:v>G-175</x:v>
      </x:c>
      <x:c r="C701" s="14" t="str">
        <x:v>native</x:v>
      </x:c>
      <x:c r="D701" s="14" t="str">
        <x:v>NOT CREATED</x:v>
      </x:c>
      <x:c r="E701" s="14" t="str">
        <x:v>OPEN</x:v>
      </x:c>
    </x:row>
    <x:row r="702">
      <x:c r="A702" s="15" t="str">
        <x:v>E-698</x:v>
      </x:c>
      <x:c r="B702" s="15" t="str">
        <x:v>G-175</x:v>
      </x:c>
      <x:c r="C702" s="15" t="str">
        <x:v>calibration</x:v>
      </x:c>
      <x:c r="D702" s="15" t="str">
        <x:v>NOT CREATED</x:v>
      </x:c>
      <x:c r="E702" s="15" t="str">
        <x:v>OPEN</x:v>
      </x:c>
    </x:row>
    <x:row r="703">
      <x:c r="A703" s="14" t="str">
        <x:v>E-699</x:v>
      </x:c>
      <x:c r="B703" s="14" t="str">
        <x:v>G-175</x:v>
      </x:c>
      <x:c r="C703" s="14" t="str">
        <x:v>custody</x:v>
      </x:c>
      <x:c r="D703" s="14" t="str">
        <x:v>NOT CREATED</x:v>
      </x:c>
      <x:c r="E703" s="14" t="str">
        <x:v>OPEN</x:v>
      </x:c>
    </x:row>
    <x:row r="704">
      <x:c r="A704" s="15" t="str">
        <x:v>E-700</x:v>
      </x:c>
      <x:c r="B704" s="15" t="str">
        <x:v>G-175</x:v>
      </x:c>
      <x:c r="C704" s="15" t="str">
        <x:v>decision</x:v>
      </x:c>
      <x:c r="D704" s="15" t="str">
        <x:v>NOT CREATED</x:v>
      </x:c>
      <x:c r="E704" s="15" t="str">
        <x:v>OPEN</x:v>
      </x:c>
    </x:row>
    <x:row r="705">
      <x:c r="A705" s="14" t="str">
        <x:v>E-701</x:v>
      </x:c>
      <x:c r="B705" s="14" t="str">
        <x:v>G-176</x:v>
      </x:c>
      <x:c r="C705" s="14" t="str">
        <x:v>native</x:v>
      </x:c>
      <x:c r="D705" s="14" t="str">
        <x:v>NOT CREATED</x:v>
      </x:c>
      <x:c r="E705" s="14" t="str">
        <x:v>OPEN</x:v>
      </x:c>
    </x:row>
    <x:row r="706">
      <x:c r="A706" s="15" t="str">
        <x:v>E-702</x:v>
      </x:c>
      <x:c r="B706" s="15" t="str">
        <x:v>G-176</x:v>
      </x:c>
      <x:c r="C706" s="15" t="str">
        <x:v>calibration</x:v>
      </x:c>
      <x:c r="D706" s="15" t="str">
        <x:v>NOT CREATED</x:v>
      </x:c>
      <x:c r="E706" s="15" t="str">
        <x:v>OPEN</x:v>
      </x:c>
    </x:row>
    <x:row r="707">
      <x:c r="A707" s="14" t="str">
        <x:v>E-703</x:v>
      </x:c>
      <x:c r="B707" s="14" t="str">
        <x:v>G-176</x:v>
      </x:c>
      <x:c r="C707" s="14" t="str">
        <x:v>custody</x:v>
      </x:c>
      <x:c r="D707" s="14" t="str">
        <x:v>NOT CREATED</x:v>
      </x:c>
      <x:c r="E707" s="14" t="str">
        <x:v>OPEN</x:v>
      </x:c>
    </x:row>
    <x:row r="708">
      <x:c r="A708" s="15" t="str">
        <x:v>E-704</x:v>
      </x:c>
      <x:c r="B708" s="15" t="str">
        <x:v>G-176</x:v>
      </x:c>
      <x:c r="C708" s="15" t="str">
        <x:v>decision</x:v>
      </x:c>
      <x:c r="D708" s="15" t="str">
        <x:v>NOT CREATED</x:v>
      </x:c>
      <x:c r="E708" s="15" t="str">
        <x:v>OPEN</x:v>
      </x:c>
    </x:row>
    <x:row r="709">
      <x:c r="A709" s="14" t="str">
        <x:v>E-705</x:v>
      </x:c>
      <x:c r="B709" s="14" t="str">
        <x:v>G-177</x:v>
      </x:c>
      <x:c r="C709" s="14" t="str">
        <x:v>native</x:v>
      </x:c>
      <x:c r="D709" s="14" t="str">
        <x:v>NOT CREATED</x:v>
      </x:c>
      <x:c r="E709" s="14" t="str">
        <x:v>OPEN</x:v>
      </x:c>
    </x:row>
    <x:row r="710">
      <x:c r="A710" s="15" t="str">
        <x:v>E-706</x:v>
      </x:c>
      <x:c r="B710" s="15" t="str">
        <x:v>G-177</x:v>
      </x:c>
      <x:c r="C710" s="15" t="str">
        <x:v>calibration</x:v>
      </x:c>
      <x:c r="D710" s="15" t="str">
        <x:v>NOT CREATED</x:v>
      </x:c>
      <x:c r="E710" s="15" t="str">
        <x:v>OPEN</x:v>
      </x:c>
    </x:row>
    <x:row r="711">
      <x:c r="A711" s="14" t="str">
        <x:v>E-707</x:v>
      </x:c>
      <x:c r="B711" s="14" t="str">
        <x:v>G-177</x:v>
      </x:c>
      <x:c r="C711" s="14" t="str">
        <x:v>custody</x:v>
      </x:c>
      <x:c r="D711" s="14" t="str">
        <x:v>NOT CREATED</x:v>
      </x:c>
      <x:c r="E711" s="14" t="str">
        <x:v>OPEN</x:v>
      </x:c>
    </x:row>
    <x:row r="712">
      <x:c r="A712" s="15" t="str">
        <x:v>E-708</x:v>
      </x:c>
      <x:c r="B712" s="15" t="str">
        <x:v>G-177</x:v>
      </x:c>
      <x:c r="C712" s="15" t="str">
        <x:v>decision</x:v>
      </x:c>
      <x:c r="D712" s="15" t="str">
        <x:v>NOT CREATED</x:v>
      </x:c>
      <x:c r="E712" s="15" t="str">
        <x:v>OPEN</x:v>
      </x:c>
    </x:row>
    <x:row r="713">
      <x:c r="A713" s="14" t="str">
        <x:v>E-709</x:v>
      </x:c>
      <x:c r="B713" s="14" t="str">
        <x:v>G-178</x:v>
      </x:c>
      <x:c r="C713" s="14" t="str">
        <x:v>native</x:v>
      </x:c>
      <x:c r="D713" s="14" t="str">
        <x:v>NOT CREATED</x:v>
      </x:c>
      <x:c r="E713" s="14" t="str">
        <x:v>OPEN</x:v>
      </x:c>
    </x:row>
    <x:row r="714">
      <x:c r="A714" s="15" t="str">
        <x:v>E-710</x:v>
      </x:c>
      <x:c r="B714" s="15" t="str">
        <x:v>G-178</x:v>
      </x:c>
      <x:c r="C714" s="15" t="str">
        <x:v>calibration</x:v>
      </x:c>
      <x:c r="D714" s="15" t="str">
        <x:v>NOT CREATED</x:v>
      </x:c>
      <x:c r="E714" s="15" t="str">
        <x:v>OPEN</x:v>
      </x:c>
    </x:row>
    <x:row r="715">
      <x:c r="A715" s="14" t="str">
        <x:v>E-711</x:v>
      </x:c>
      <x:c r="B715" s="14" t="str">
        <x:v>G-178</x:v>
      </x:c>
      <x:c r="C715" s="14" t="str">
        <x:v>custody</x:v>
      </x:c>
      <x:c r="D715" s="14" t="str">
        <x:v>NOT CREATED</x:v>
      </x:c>
      <x:c r="E715" s="14" t="str">
        <x:v>OPEN</x:v>
      </x:c>
    </x:row>
    <x:row r="716">
      <x:c r="A716" s="15" t="str">
        <x:v>E-712</x:v>
      </x:c>
      <x:c r="B716" s="15" t="str">
        <x:v>G-178</x:v>
      </x:c>
      <x:c r="C716" s="15" t="str">
        <x:v>decision</x:v>
      </x:c>
      <x:c r="D716" s="15" t="str">
        <x:v>NOT CREATED</x:v>
      </x:c>
      <x:c r="E716" s="15" t="str">
        <x:v>OPEN</x:v>
      </x:c>
    </x:row>
    <x:row r="717">
      <x:c r="A717" s="14" t="str">
        <x:v>E-713</x:v>
      </x:c>
      <x:c r="B717" s="14" t="str">
        <x:v>G-179</x:v>
      </x:c>
      <x:c r="C717" s="14" t="str">
        <x:v>native</x:v>
      </x:c>
      <x:c r="D717" s="14" t="str">
        <x:v>NOT CREATED</x:v>
      </x:c>
      <x:c r="E717" s="14" t="str">
        <x:v>OPEN</x:v>
      </x:c>
    </x:row>
    <x:row r="718">
      <x:c r="A718" s="15" t="str">
        <x:v>E-714</x:v>
      </x:c>
      <x:c r="B718" s="15" t="str">
        <x:v>G-179</x:v>
      </x:c>
      <x:c r="C718" s="15" t="str">
        <x:v>calibration</x:v>
      </x:c>
      <x:c r="D718" s="15" t="str">
        <x:v>NOT CREATED</x:v>
      </x:c>
      <x:c r="E718" s="15" t="str">
        <x:v>OPEN</x:v>
      </x:c>
    </x:row>
    <x:row r="719">
      <x:c r="A719" s="14" t="str">
        <x:v>E-715</x:v>
      </x:c>
      <x:c r="B719" s="14" t="str">
        <x:v>G-179</x:v>
      </x:c>
      <x:c r="C719" s="14" t="str">
        <x:v>custody</x:v>
      </x:c>
      <x:c r="D719" s="14" t="str">
        <x:v>NOT CREATED</x:v>
      </x:c>
      <x:c r="E719" s="14" t="str">
        <x:v>OPEN</x:v>
      </x:c>
    </x:row>
    <x:row r="720">
      <x:c r="A720" s="15" t="str">
        <x:v>E-716</x:v>
      </x:c>
      <x:c r="B720" s="15" t="str">
        <x:v>G-179</x:v>
      </x:c>
      <x:c r="C720" s="15" t="str">
        <x:v>decision</x:v>
      </x:c>
      <x:c r="D720" s="15" t="str">
        <x:v>NOT CREATED</x:v>
      </x:c>
      <x:c r="E720" s="15" t="str">
        <x:v>OPEN</x:v>
      </x:c>
    </x:row>
    <x:row r="721">
      <x:c r="A721" s="14" t="str">
        <x:v>E-717</x:v>
      </x:c>
      <x:c r="B721" s="14" t="str">
        <x:v>G-180</x:v>
      </x:c>
      <x:c r="C721" s="14" t="str">
        <x:v>native</x:v>
      </x:c>
      <x:c r="D721" s="14" t="str">
        <x:v>NOT CREATED</x:v>
      </x:c>
      <x:c r="E721" s="14" t="str">
        <x:v>OPEN</x:v>
      </x:c>
    </x:row>
    <x:row r="722">
      <x:c r="A722" s="15" t="str">
        <x:v>E-718</x:v>
      </x:c>
      <x:c r="B722" s="15" t="str">
        <x:v>G-180</x:v>
      </x:c>
      <x:c r="C722" s="15" t="str">
        <x:v>calibration</x:v>
      </x:c>
      <x:c r="D722" s="15" t="str">
        <x:v>NOT CREATED</x:v>
      </x:c>
      <x:c r="E722" s="15" t="str">
        <x:v>OPEN</x:v>
      </x:c>
    </x:row>
    <x:row r="723">
      <x:c r="A723" s="14" t="str">
        <x:v>E-719</x:v>
      </x:c>
      <x:c r="B723" s="14" t="str">
        <x:v>G-180</x:v>
      </x:c>
      <x:c r="C723" s="14" t="str">
        <x:v>custody</x:v>
      </x:c>
      <x:c r="D723" s="14" t="str">
        <x:v>NOT CREATED</x:v>
      </x:c>
      <x:c r="E723" s="14" t="str">
        <x:v>OPEN</x:v>
      </x:c>
    </x:row>
    <x:row r="724">
      <x:c r="A724" s="15" t="str">
        <x:v>E-720</x:v>
      </x:c>
      <x:c r="B724" s="15" t="str">
        <x:v>G-180</x:v>
      </x:c>
      <x:c r="C724" s="15" t="str">
        <x:v>decision</x:v>
      </x:c>
      <x:c r="D724" s="15" t="str">
        <x:v>NOT CREATED</x:v>
      </x:c>
      <x:c r="E724" s="15" t="str">
        <x:v>OPEN</x:v>
      </x:c>
    </x:row>
    <x:row r="725">
      <x:c r="A725" s="14" t="str">
        <x:v>E-721</x:v>
      </x:c>
      <x:c r="B725" s="14" t="str">
        <x:v>G-181</x:v>
      </x:c>
      <x:c r="C725" s="14" t="str">
        <x:v>native</x:v>
      </x:c>
      <x:c r="D725" s="14" t="str">
        <x:v>NOT CREATED</x:v>
      </x:c>
      <x:c r="E725" s="14" t="str">
        <x:v>OPEN</x:v>
      </x:c>
    </x:row>
    <x:row r="726">
      <x:c r="A726" s="15" t="str">
        <x:v>E-722</x:v>
      </x:c>
      <x:c r="B726" s="15" t="str">
        <x:v>G-181</x:v>
      </x:c>
      <x:c r="C726" s="15" t="str">
        <x:v>calibration</x:v>
      </x:c>
      <x:c r="D726" s="15" t="str">
        <x:v>NOT CREATED</x:v>
      </x:c>
      <x:c r="E726" s="15" t="str">
        <x:v>OPEN</x:v>
      </x:c>
    </x:row>
    <x:row r="727">
      <x:c r="A727" s="14" t="str">
        <x:v>E-723</x:v>
      </x:c>
      <x:c r="B727" s="14" t="str">
        <x:v>G-181</x:v>
      </x:c>
      <x:c r="C727" s="14" t="str">
        <x:v>custody</x:v>
      </x:c>
      <x:c r="D727" s="14" t="str">
        <x:v>NOT CREATED</x:v>
      </x:c>
      <x:c r="E727" s="14" t="str">
        <x:v>OPEN</x:v>
      </x:c>
    </x:row>
    <x:row r="728">
      <x:c r="A728" s="15" t="str">
        <x:v>E-724</x:v>
      </x:c>
      <x:c r="B728" s="15" t="str">
        <x:v>G-181</x:v>
      </x:c>
      <x:c r="C728" s="15" t="str">
        <x:v>decision</x:v>
      </x:c>
      <x:c r="D728" s="15" t="str">
        <x:v>NOT CREATED</x:v>
      </x:c>
      <x:c r="E728" s="15" t="str">
        <x:v>OPEN</x:v>
      </x:c>
    </x:row>
    <x:row r="729">
      <x:c r="A729" s="14" t="str">
        <x:v>E-725</x:v>
      </x:c>
      <x:c r="B729" s="14" t="str">
        <x:v>G-182</x:v>
      </x:c>
      <x:c r="C729" s="14" t="str">
        <x:v>native</x:v>
      </x:c>
      <x:c r="D729" s="14" t="str">
        <x:v>NOT CREATED</x:v>
      </x:c>
      <x:c r="E729" s="14" t="str">
        <x:v>OPEN</x:v>
      </x:c>
    </x:row>
    <x:row r="730">
      <x:c r="A730" s="15" t="str">
        <x:v>E-726</x:v>
      </x:c>
      <x:c r="B730" s="15" t="str">
        <x:v>G-182</x:v>
      </x:c>
      <x:c r="C730" s="15" t="str">
        <x:v>calibration</x:v>
      </x:c>
      <x:c r="D730" s="15" t="str">
        <x:v>NOT CREATED</x:v>
      </x:c>
      <x:c r="E730" s="15" t="str">
        <x:v>OPEN</x:v>
      </x:c>
    </x:row>
    <x:row r="731">
      <x:c r="A731" s="14" t="str">
        <x:v>E-727</x:v>
      </x:c>
      <x:c r="B731" s="14" t="str">
        <x:v>G-182</x:v>
      </x:c>
      <x:c r="C731" s="14" t="str">
        <x:v>custody</x:v>
      </x:c>
      <x:c r="D731" s="14" t="str">
        <x:v>NOT CREATED</x:v>
      </x:c>
      <x:c r="E731" s="14" t="str">
        <x:v>OPEN</x:v>
      </x:c>
    </x:row>
    <x:row r="732">
      <x:c r="A732" s="15" t="str">
        <x:v>E-728</x:v>
      </x:c>
      <x:c r="B732" s="15" t="str">
        <x:v>G-182</x:v>
      </x:c>
      <x:c r="C732" s="15" t="str">
        <x:v>decision</x:v>
      </x:c>
      <x:c r="D732" s="15" t="str">
        <x:v>NOT CREATED</x:v>
      </x:c>
      <x:c r="E732" s="15" t="str">
        <x:v>OPEN</x:v>
      </x:c>
    </x:row>
    <x:row r="733">
      <x:c r="A733" s="14" t="str">
        <x:v>E-729</x:v>
      </x:c>
      <x:c r="B733" s="14" t="str">
        <x:v>G-183</x:v>
      </x:c>
      <x:c r="C733" s="14" t="str">
        <x:v>native</x:v>
      </x:c>
      <x:c r="D733" s="14" t="str">
        <x:v>NOT CREATED</x:v>
      </x:c>
      <x:c r="E733" s="14" t="str">
        <x:v>OPEN</x:v>
      </x:c>
    </x:row>
    <x:row r="734">
      <x:c r="A734" s="15" t="str">
        <x:v>E-730</x:v>
      </x:c>
      <x:c r="B734" s="15" t="str">
        <x:v>G-183</x:v>
      </x:c>
      <x:c r="C734" s="15" t="str">
        <x:v>calibration</x:v>
      </x:c>
      <x:c r="D734" s="15" t="str">
        <x:v>NOT CREATED</x:v>
      </x:c>
      <x:c r="E734" s="15" t="str">
        <x:v>OPEN</x:v>
      </x:c>
    </x:row>
    <x:row r="735">
      <x:c r="A735" s="14" t="str">
        <x:v>E-731</x:v>
      </x:c>
      <x:c r="B735" s="14" t="str">
        <x:v>G-183</x:v>
      </x:c>
      <x:c r="C735" s="14" t="str">
        <x:v>custody</x:v>
      </x:c>
      <x:c r="D735" s="14" t="str">
        <x:v>NOT CREATED</x:v>
      </x:c>
      <x:c r="E735" s="14" t="str">
        <x:v>OPEN</x:v>
      </x:c>
    </x:row>
    <x:row r="736">
      <x:c r="A736" s="15" t="str">
        <x:v>E-732</x:v>
      </x:c>
      <x:c r="B736" s="15" t="str">
        <x:v>G-183</x:v>
      </x:c>
      <x:c r="C736" s="15" t="str">
        <x:v>decision</x:v>
      </x:c>
      <x:c r="D736" s="15" t="str">
        <x:v>NOT CREATED</x:v>
      </x:c>
      <x:c r="E736" s="15" t="str">
        <x:v>OPEN</x:v>
      </x:c>
    </x:row>
    <x:row r="737">
      <x:c r="A737" s="14" t="str">
        <x:v>E-733</x:v>
      </x:c>
      <x:c r="B737" s="14" t="str">
        <x:v>G-184</x:v>
      </x:c>
      <x:c r="C737" s="14" t="str">
        <x:v>native</x:v>
      </x:c>
      <x:c r="D737" s="14" t="str">
        <x:v>NOT CREATED</x:v>
      </x:c>
      <x:c r="E737" s="14" t="str">
        <x:v>OPEN</x:v>
      </x:c>
    </x:row>
    <x:row r="738">
      <x:c r="A738" s="15" t="str">
        <x:v>E-734</x:v>
      </x:c>
      <x:c r="B738" s="15" t="str">
        <x:v>G-184</x:v>
      </x:c>
      <x:c r="C738" s="15" t="str">
        <x:v>calibration</x:v>
      </x:c>
      <x:c r="D738" s="15" t="str">
        <x:v>NOT CREATED</x:v>
      </x:c>
      <x:c r="E738" s="15" t="str">
        <x:v>OPEN</x:v>
      </x:c>
    </x:row>
    <x:row r="739">
      <x:c r="A739" s="14" t="str">
        <x:v>E-735</x:v>
      </x:c>
      <x:c r="B739" s="14" t="str">
        <x:v>G-184</x:v>
      </x:c>
      <x:c r="C739" s="14" t="str">
        <x:v>custody</x:v>
      </x:c>
      <x:c r="D739" s="14" t="str">
        <x:v>NOT CREATED</x:v>
      </x:c>
      <x:c r="E739" s="14" t="str">
        <x:v>OPEN</x:v>
      </x:c>
    </x:row>
    <x:row r="740">
      <x:c r="A740" s="15" t="str">
        <x:v>E-736</x:v>
      </x:c>
      <x:c r="B740" s="15" t="str">
        <x:v>G-184</x:v>
      </x:c>
      <x:c r="C740" s="15" t="str">
        <x:v>decision</x:v>
      </x:c>
      <x:c r="D740" s="15" t="str">
        <x:v>NOT CREATED</x:v>
      </x:c>
      <x:c r="E740" s="15" t="str">
        <x:v>OPEN</x:v>
      </x:c>
    </x:row>
    <x:row r="741">
      <x:c r="A741" s="14" t="str">
        <x:v>E-737</x:v>
      </x:c>
      <x:c r="B741" s="14" t="str">
        <x:v>G-185</x:v>
      </x:c>
      <x:c r="C741" s="14" t="str">
        <x:v>native</x:v>
      </x:c>
      <x:c r="D741" s="14" t="str">
        <x:v>NOT CREATED</x:v>
      </x:c>
      <x:c r="E741" s="14" t="str">
        <x:v>OPEN</x:v>
      </x:c>
    </x:row>
    <x:row r="742">
      <x:c r="A742" s="15" t="str">
        <x:v>E-738</x:v>
      </x:c>
      <x:c r="B742" s="15" t="str">
        <x:v>G-185</x:v>
      </x:c>
      <x:c r="C742" s="15" t="str">
        <x:v>calibration</x:v>
      </x:c>
      <x:c r="D742" s="15" t="str">
        <x:v>NOT CREATED</x:v>
      </x:c>
      <x:c r="E742" s="15" t="str">
        <x:v>OPEN</x:v>
      </x:c>
    </x:row>
    <x:row r="743">
      <x:c r="A743" s="14" t="str">
        <x:v>E-739</x:v>
      </x:c>
      <x:c r="B743" s="14" t="str">
        <x:v>G-185</x:v>
      </x:c>
      <x:c r="C743" s="14" t="str">
        <x:v>custody</x:v>
      </x:c>
      <x:c r="D743" s="14" t="str">
        <x:v>NOT CREATED</x:v>
      </x:c>
      <x:c r="E743" s="14" t="str">
        <x:v>OPEN</x:v>
      </x:c>
    </x:row>
    <x:row r="744">
      <x:c r="A744" s="15" t="str">
        <x:v>E-740</x:v>
      </x:c>
      <x:c r="B744" s="15" t="str">
        <x:v>G-185</x:v>
      </x:c>
      <x:c r="C744" s="15" t="str">
        <x:v>decision</x:v>
      </x:c>
      <x:c r="D744" s="15" t="str">
        <x:v>NOT CREATED</x:v>
      </x:c>
      <x:c r="E744" s="15" t="str">
        <x:v>OPEN</x:v>
      </x:c>
    </x:row>
    <x:row r="745">
      <x:c r="A745" s="14" t="str">
        <x:v>E-741</x:v>
      </x:c>
      <x:c r="B745" s="14" t="str">
        <x:v>G-186</x:v>
      </x:c>
      <x:c r="C745" s="14" t="str">
        <x:v>native</x:v>
      </x:c>
      <x:c r="D745" s="14" t="str">
        <x:v>NOT CREATED</x:v>
      </x:c>
      <x:c r="E745" s="14" t="str">
        <x:v>OPEN</x:v>
      </x:c>
    </x:row>
    <x:row r="746">
      <x:c r="A746" s="15" t="str">
        <x:v>E-742</x:v>
      </x:c>
      <x:c r="B746" s="15" t="str">
        <x:v>G-186</x:v>
      </x:c>
      <x:c r="C746" s="15" t="str">
        <x:v>calibration</x:v>
      </x:c>
      <x:c r="D746" s="15" t="str">
        <x:v>NOT CREATED</x:v>
      </x:c>
      <x:c r="E746" s="15" t="str">
        <x:v>OPEN</x:v>
      </x:c>
    </x:row>
    <x:row r="747">
      <x:c r="A747" s="14" t="str">
        <x:v>E-743</x:v>
      </x:c>
      <x:c r="B747" s="14" t="str">
        <x:v>G-186</x:v>
      </x:c>
      <x:c r="C747" s="14" t="str">
        <x:v>custody</x:v>
      </x:c>
      <x:c r="D747" s="14" t="str">
        <x:v>NOT CREATED</x:v>
      </x:c>
      <x:c r="E747" s="14" t="str">
        <x:v>OPEN</x:v>
      </x:c>
    </x:row>
    <x:row r="748">
      <x:c r="A748" s="15" t="str">
        <x:v>E-744</x:v>
      </x:c>
      <x:c r="B748" s="15" t="str">
        <x:v>G-186</x:v>
      </x:c>
      <x:c r="C748" s="15" t="str">
        <x:v>decision</x:v>
      </x:c>
      <x:c r="D748" s="15" t="str">
        <x:v>NOT CREATED</x:v>
      </x:c>
      <x:c r="E748" s="15" t="str">
        <x:v>OPEN</x:v>
      </x:c>
    </x:row>
    <x:row r="749">
      <x:c r="A749" s="14" t="str">
        <x:v>E-745</x:v>
      </x:c>
      <x:c r="B749" s="14" t="str">
        <x:v>G-187</x:v>
      </x:c>
      <x:c r="C749" s="14" t="str">
        <x:v>native</x:v>
      </x:c>
      <x:c r="D749" s="14" t="str">
        <x:v>NOT CREATED</x:v>
      </x:c>
      <x:c r="E749" s="14" t="str">
        <x:v>OPEN</x:v>
      </x:c>
    </x:row>
    <x:row r="750">
      <x:c r="A750" s="15" t="str">
        <x:v>E-746</x:v>
      </x:c>
      <x:c r="B750" s="15" t="str">
        <x:v>G-187</x:v>
      </x:c>
      <x:c r="C750" s="15" t="str">
        <x:v>calibration</x:v>
      </x:c>
      <x:c r="D750" s="15" t="str">
        <x:v>NOT CREATED</x:v>
      </x:c>
      <x:c r="E750" s="15" t="str">
        <x:v>OPEN</x:v>
      </x:c>
    </x:row>
    <x:row r="751">
      <x:c r="A751" s="14" t="str">
        <x:v>E-747</x:v>
      </x:c>
      <x:c r="B751" s="14" t="str">
        <x:v>G-187</x:v>
      </x:c>
      <x:c r="C751" s="14" t="str">
        <x:v>custody</x:v>
      </x:c>
      <x:c r="D751" s="14" t="str">
        <x:v>NOT CREATED</x:v>
      </x:c>
      <x:c r="E751" s="14" t="str">
        <x:v>OPEN</x:v>
      </x:c>
    </x:row>
    <x:row r="752">
      <x:c r="A752" s="15" t="str">
        <x:v>E-748</x:v>
      </x:c>
      <x:c r="B752" s="15" t="str">
        <x:v>G-187</x:v>
      </x:c>
      <x:c r="C752" s="15" t="str">
        <x:v>decision</x:v>
      </x:c>
      <x:c r="D752" s="15" t="str">
        <x:v>NOT CREATED</x:v>
      </x:c>
      <x:c r="E752" s="15" t="str">
        <x:v>OPEN</x:v>
      </x:c>
    </x:row>
    <x:row r="753">
      <x:c r="A753" s="14" t="str">
        <x:v>E-749</x:v>
      </x:c>
      <x:c r="B753" s="14" t="str">
        <x:v>G-188</x:v>
      </x:c>
      <x:c r="C753" s="14" t="str">
        <x:v>native</x:v>
      </x:c>
      <x:c r="D753" s="14" t="str">
        <x:v>NOT CREATED</x:v>
      </x:c>
      <x:c r="E753" s="14" t="str">
        <x:v>OPEN</x:v>
      </x:c>
    </x:row>
    <x:row r="754">
      <x:c r="A754" s="15" t="str">
        <x:v>E-750</x:v>
      </x:c>
      <x:c r="B754" s="15" t="str">
        <x:v>G-188</x:v>
      </x:c>
      <x:c r="C754" s="15" t="str">
        <x:v>calibration</x:v>
      </x:c>
      <x:c r="D754" s="15" t="str">
        <x:v>NOT CREATED</x:v>
      </x:c>
      <x:c r="E754" s="15" t="str">
        <x:v>OPEN</x:v>
      </x:c>
    </x:row>
    <x:row r="755">
      <x:c r="A755" s="14" t="str">
        <x:v>E-751</x:v>
      </x:c>
      <x:c r="B755" s="14" t="str">
        <x:v>G-188</x:v>
      </x:c>
      <x:c r="C755" s="14" t="str">
        <x:v>custody</x:v>
      </x:c>
      <x:c r="D755" s="14" t="str">
        <x:v>NOT CREATED</x:v>
      </x:c>
      <x:c r="E755" s="14" t="str">
        <x:v>OPEN</x:v>
      </x:c>
    </x:row>
    <x:row r="756">
      <x:c r="A756" s="15" t="str">
        <x:v>E-752</x:v>
      </x:c>
      <x:c r="B756" s="15" t="str">
        <x:v>G-188</x:v>
      </x:c>
      <x:c r="C756" s="15" t="str">
        <x:v>decision</x:v>
      </x:c>
      <x:c r="D756" s="15" t="str">
        <x:v>NOT CREATED</x:v>
      </x:c>
      <x:c r="E756" s="15" t="str">
        <x:v>OPEN</x:v>
      </x:c>
    </x:row>
    <x:row r="757">
      <x:c r="A757" s="14" t="str">
        <x:v>E-753</x:v>
      </x:c>
      <x:c r="B757" s="14" t="str">
        <x:v>G-189</x:v>
      </x:c>
      <x:c r="C757" s="14" t="str">
        <x:v>native</x:v>
      </x:c>
      <x:c r="D757" s="14" t="str">
        <x:v>NOT CREATED</x:v>
      </x:c>
      <x:c r="E757" s="14" t="str">
        <x:v>OPEN</x:v>
      </x:c>
    </x:row>
    <x:row r="758">
      <x:c r="A758" s="15" t="str">
        <x:v>E-754</x:v>
      </x:c>
      <x:c r="B758" s="15" t="str">
        <x:v>G-189</x:v>
      </x:c>
      <x:c r="C758" s="15" t="str">
        <x:v>calibration</x:v>
      </x:c>
      <x:c r="D758" s="15" t="str">
        <x:v>NOT CREATED</x:v>
      </x:c>
      <x:c r="E758" s="15" t="str">
        <x:v>OPEN</x:v>
      </x:c>
    </x:row>
    <x:row r="759">
      <x:c r="A759" s="14" t="str">
        <x:v>E-755</x:v>
      </x:c>
      <x:c r="B759" s="14" t="str">
        <x:v>G-189</x:v>
      </x:c>
      <x:c r="C759" s="14" t="str">
        <x:v>custody</x:v>
      </x:c>
      <x:c r="D759" s="14" t="str">
        <x:v>NOT CREATED</x:v>
      </x:c>
      <x:c r="E759" s="14" t="str">
        <x:v>OPEN</x:v>
      </x:c>
    </x:row>
    <x:row r="760">
      <x:c r="A760" s="15" t="str">
        <x:v>E-756</x:v>
      </x:c>
      <x:c r="B760" s="15" t="str">
        <x:v>G-189</x:v>
      </x:c>
      <x:c r="C760" s="15" t="str">
        <x:v>decision</x:v>
      </x:c>
      <x:c r="D760" s="15" t="str">
        <x:v>NOT CREATED</x:v>
      </x:c>
      <x:c r="E760" s="15" t="str">
        <x:v>OPEN</x:v>
      </x:c>
    </x:row>
    <x:row r="761">
      <x:c r="A761" s="14" t="str">
        <x:v>E-757</x:v>
      </x:c>
      <x:c r="B761" s="14" t="str">
        <x:v>G-190</x:v>
      </x:c>
      <x:c r="C761" s="14" t="str">
        <x:v>native</x:v>
      </x:c>
      <x:c r="D761" s="14" t="str">
        <x:v>NOT CREATED</x:v>
      </x:c>
      <x:c r="E761" s="14" t="str">
        <x:v>OPEN</x:v>
      </x:c>
    </x:row>
    <x:row r="762">
      <x:c r="A762" s="15" t="str">
        <x:v>E-758</x:v>
      </x:c>
      <x:c r="B762" s="15" t="str">
        <x:v>G-190</x:v>
      </x:c>
      <x:c r="C762" s="15" t="str">
        <x:v>calibration</x:v>
      </x:c>
      <x:c r="D762" s="15" t="str">
        <x:v>NOT CREATED</x:v>
      </x:c>
      <x:c r="E762" s="15" t="str">
        <x:v>OPEN</x:v>
      </x:c>
    </x:row>
    <x:row r="763">
      <x:c r="A763" s="14" t="str">
        <x:v>E-759</x:v>
      </x:c>
      <x:c r="B763" s="14" t="str">
        <x:v>G-190</x:v>
      </x:c>
      <x:c r="C763" s="14" t="str">
        <x:v>custody</x:v>
      </x:c>
      <x:c r="D763" s="14" t="str">
        <x:v>NOT CREATED</x:v>
      </x:c>
      <x:c r="E763" s="14" t="str">
        <x:v>OPEN</x:v>
      </x:c>
    </x:row>
    <x:row r="764">
      <x:c r="A764" s="15" t="str">
        <x:v>E-760</x:v>
      </x:c>
      <x:c r="B764" s="15" t="str">
        <x:v>G-190</x:v>
      </x:c>
      <x:c r="C764" s="15" t="str">
        <x:v>decision</x:v>
      </x:c>
      <x:c r="D764" s="15" t="str">
        <x:v>NOT CREATED</x:v>
      </x:c>
      <x:c r="E764" s="15" t="str">
        <x:v>OPEN</x:v>
      </x:c>
    </x:row>
    <x:row r="765">
      <x:c r="A765" s="14" t="str">
        <x:v>E-761</x:v>
      </x:c>
      <x:c r="B765" s="14" t="str">
        <x:v>G-191</x:v>
      </x:c>
      <x:c r="C765" s="14" t="str">
        <x:v>native</x:v>
      </x:c>
      <x:c r="D765" s="14" t="str">
        <x:v>NOT CREATED</x:v>
      </x:c>
      <x:c r="E765" s="14" t="str">
        <x:v>OPEN</x:v>
      </x:c>
    </x:row>
    <x:row r="766">
      <x:c r="A766" s="15" t="str">
        <x:v>E-762</x:v>
      </x:c>
      <x:c r="B766" s="15" t="str">
        <x:v>G-191</x:v>
      </x:c>
      <x:c r="C766" s="15" t="str">
        <x:v>calibration</x:v>
      </x:c>
      <x:c r="D766" s="15" t="str">
        <x:v>NOT CREATED</x:v>
      </x:c>
      <x:c r="E766" s="15" t="str">
        <x:v>OPEN</x:v>
      </x:c>
    </x:row>
    <x:row r="767">
      <x:c r="A767" s="14" t="str">
        <x:v>E-763</x:v>
      </x:c>
      <x:c r="B767" s="14" t="str">
        <x:v>G-191</x:v>
      </x:c>
      <x:c r="C767" s="14" t="str">
        <x:v>custody</x:v>
      </x:c>
      <x:c r="D767" s="14" t="str">
        <x:v>NOT CREATED</x:v>
      </x:c>
      <x:c r="E767" s="14" t="str">
        <x:v>OPEN</x:v>
      </x:c>
    </x:row>
    <x:row r="768">
      <x:c r="A768" s="15" t="str">
        <x:v>E-764</x:v>
      </x:c>
      <x:c r="B768" s="15" t="str">
        <x:v>G-191</x:v>
      </x:c>
      <x:c r="C768" s="15" t="str">
        <x:v>decision</x:v>
      </x:c>
      <x:c r="D768" s="15" t="str">
        <x:v>NOT CREATED</x:v>
      </x:c>
      <x:c r="E768" s="15" t="str">
        <x:v>OPEN</x:v>
      </x:c>
    </x:row>
    <x:row r="769">
      <x:c r="A769" s="14" t="str">
        <x:v>E-765</x:v>
      </x:c>
      <x:c r="B769" s="14" t="str">
        <x:v>G-192</x:v>
      </x:c>
      <x:c r="C769" s="14" t="str">
        <x:v>native</x:v>
      </x:c>
      <x:c r="D769" s="14" t="str">
        <x:v>NOT CREATED</x:v>
      </x:c>
      <x:c r="E769" s="14" t="str">
        <x:v>OPEN</x:v>
      </x:c>
    </x:row>
    <x:row r="770">
      <x:c r="A770" s="15" t="str">
        <x:v>E-766</x:v>
      </x:c>
      <x:c r="B770" s="15" t="str">
        <x:v>G-192</x:v>
      </x:c>
      <x:c r="C770" s="15" t="str">
        <x:v>calibration</x:v>
      </x:c>
      <x:c r="D770" s="15" t="str">
        <x:v>NOT CREATED</x:v>
      </x:c>
      <x:c r="E770" s="15" t="str">
        <x:v>OPEN</x:v>
      </x:c>
    </x:row>
    <x:row r="771">
      <x:c r="A771" s="14" t="str">
        <x:v>E-767</x:v>
      </x:c>
      <x:c r="B771" s="14" t="str">
        <x:v>G-192</x:v>
      </x:c>
      <x:c r="C771" s="14" t="str">
        <x:v>custody</x:v>
      </x:c>
      <x:c r="D771" s="14" t="str">
        <x:v>NOT CREATED</x:v>
      </x:c>
      <x:c r="E771" s="14" t="str">
        <x:v>OPEN</x:v>
      </x:c>
    </x:row>
    <x:row r="772">
      <x:c r="A772" s="15" t="str">
        <x:v>E-768</x:v>
      </x:c>
      <x:c r="B772" s="15" t="str">
        <x:v>G-192</x:v>
      </x:c>
      <x:c r="C772" s="15" t="str">
        <x:v>decision</x:v>
      </x:c>
      <x:c r="D772" s="15" t="str">
        <x:v>NOT CREATED</x:v>
      </x:c>
      <x:c r="E772" s="15" t="str">
        <x:v>OPEN</x:v>
      </x:c>
    </x:row>
    <x:row r="773">
      <x:c r="A773" s="14" t="str">
        <x:v>E-769</x:v>
      </x:c>
      <x:c r="B773" s="14" t="str">
        <x:v>G-193</x:v>
      </x:c>
      <x:c r="C773" s="14" t="str">
        <x:v>native</x:v>
      </x:c>
      <x:c r="D773" s="14" t="str">
        <x:v>NOT CREATED</x:v>
      </x:c>
      <x:c r="E773" s="14" t="str">
        <x:v>OPEN</x:v>
      </x:c>
    </x:row>
    <x:row r="774">
      <x:c r="A774" s="15" t="str">
        <x:v>E-770</x:v>
      </x:c>
      <x:c r="B774" s="15" t="str">
        <x:v>G-193</x:v>
      </x:c>
      <x:c r="C774" s="15" t="str">
        <x:v>calibration</x:v>
      </x:c>
      <x:c r="D774" s="15" t="str">
        <x:v>NOT CREATED</x:v>
      </x:c>
      <x:c r="E774" s="15" t="str">
        <x:v>OPEN</x:v>
      </x:c>
    </x:row>
    <x:row r="775">
      <x:c r="A775" s="14" t="str">
        <x:v>E-771</x:v>
      </x:c>
      <x:c r="B775" s="14" t="str">
        <x:v>G-193</x:v>
      </x:c>
      <x:c r="C775" s="14" t="str">
        <x:v>custody</x:v>
      </x:c>
      <x:c r="D775" s="14" t="str">
        <x:v>NOT CREATED</x:v>
      </x:c>
      <x:c r="E775" s="14" t="str">
        <x:v>OPEN</x:v>
      </x:c>
    </x:row>
    <x:row r="776">
      <x:c r="A776" s="15" t="str">
        <x:v>E-772</x:v>
      </x:c>
      <x:c r="B776" s="15" t="str">
        <x:v>G-193</x:v>
      </x:c>
      <x:c r="C776" s="15" t="str">
        <x:v>decision</x:v>
      </x:c>
      <x:c r="D776" s="15" t="str">
        <x:v>NOT CREATED</x:v>
      </x:c>
      <x:c r="E776" s="15" t="str">
        <x:v>OPEN</x:v>
      </x:c>
    </x:row>
    <x:row r="777">
      <x:c r="A777" s="14" t="str">
        <x:v>E-773</x:v>
      </x:c>
      <x:c r="B777" s="14" t="str">
        <x:v>G-194</x:v>
      </x:c>
      <x:c r="C777" s="14" t="str">
        <x:v>native</x:v>
      </x:c>
      <x:c r="D777" s="14" t="str">
        <x:v>NOT CREATED</x:v>
      </x:c>
      <x:c r="E777" s="14" t="str">
        <x:v>OPEN</x:v>
      </x:c>
    </x:row>
    <x:row r="778">
      <x:c r="A778" s="15" t="str">
        <x:v>E-774</x:v>
      </x:c>
      <x:c r="B778" s="15" t="str">
        <x:v>G-194</x:v>
      </x:c>
      <x:c r="C778" s="15" t="str">
        <x:v>calibration</x:v>
      </x:c>
      <x:c r="D778" s="15" t="str">
        <x:v>NOT CREATED</x:v>
      </x:c>
      <x:c r="E778" s="15" t="str">
        <x:v>OPEN</x:v>
      </x:c>
    </x:row>
    <x:row r="779">
      <x:c r="A779" s="14" t="str">
        <x:v>E-775</x:v>
      </x:c>
      <x:c r="B779" s="14" t="str">
        <x:v>G-194</x:v>
      </x:c>
      <x:c r="C779" s="14" t="str">
        <x:v>custody</x:v>
      </x:c>
      <x:c r="D779" s="14" t="str">
        <x:v>NOT CREATED</x:v>
      </x:c>
      <x:c r="E779" s="14" t="str">
        <x:v>OPEN</x:v>
      </x:c>
    </x:row>
    <x:row r="780">
      <x:c r="A780" s="15" t="str">
        <x:v>E-776</x:v>
      </x:c>
      <x:c r="B780" s="15" t="str">
        <x:v>G-194</x:v>
      </x:c>
      <x:c r="C780" s="15" t="str">
        <x:v>decision</x:v>
      </x:c>
      <x:c r="D780" s="15" t="str">
        <x:v>NOT CREATED</x:v>
      </x:c>
      <x:c r="E780" s="15" t="str">
        <x:v>OPEN</x:v>
      </x:c>
    </x:row>
    <x:row r="781">
      <x:c r="A781" s="14" t="str">
        <x:v>E-777</x:v>
      </x:c>
      <x:c r="B781" s="14" t="str">
        <x:v>G-195</x:v>
      </x:c>
      <x:c r="C781" s="14" t="str">
        <x:v>native</x:v>
      </x:c>
      <x:c r="D781" s="14" t="str">
        <x:v>NOT CREATED</x:v>
      </x:c>
      <x:c r="E781" s="14" t="str">
        <x:v>OPEN</x:v>
      </x:c>
    </x:row>
    <x:row r="782">
      <x:c r="A782" s="15" t="str">
        <x:v>E-778</x:v>
      </x:c>
      <x:c r="B782" s="15" t="str">
        <x:v>G-195</x:v>
      </x:c>
      <x:c r="C782" s="15" t="str">
        <x:v>calibration</x:v>
      </x:c>
      <x:c r="D782" s="15" t="str">
        <x:v>NOT CREATED</x:v>
      </x:c>
      <x:c r="E782" s="15" t="str">
        <x:v>OPEN</x:v>
      </x:c>
    </x:row>
    <x:row r="783">
      <x:c r="A783" s="14" t="str">
        <x:v>E-779</x:v>
      </x:c>
      <x:c r="B783" s="14" t="str">
        <x:v>G-195</x:v>
      </x:c>
      <x:c r="C783" s="14" t="str">
        <x:v>custody</x:v>
      </x:c>
      <x:c r="D783" s="14" t="str">
        <x:v>NOT CREATED</x:v>
      </x:c>
      <x:c r="E783" s="14" t="str">
        <x:v>OPEN</x:v>
      </x:c>
    </x:row>
    <x:row r="784">
      <x:c r="A784" s="15" t="str">
        <x:v>E-780</x:v>
      </x:c>
      <x:c r="B784" s="15" t="str">
        <x:v>G-195</x:v>
      </x:c>
      <x:c r="C784" s="15" t="str">
        <x:v>decision</x:v>
      </x:c>
      <x:c r="D784" s="15" t="str">
        <x:v>NOT CREATED</x:v>
      </x:c>
      <x:c r="E784" s="15" t="str">
        <x:v>OPEN</x:v>
      </x:c>
    </x:row>
    <x:row r="785">
      <x:c r="A785" s="14" t="str">
        <x:v>E-781</x:v>
      </x:c>
      <x:c r="B785" s="14" t="str">
        <x:v>G-196</x:v>
      </x:c>
      <x:c r="C785" s="14" t="str">
        <x:v>native</x:v>
      </x:c>
      <x:c r="D785" s="14" t="str">
        <x:v>NOT CREATED</x:v>
      </x:c>
      <x:c r="E785" s="14" t="str">
        <x:v>OPEN</x:v>
      </x:c>
    </x:row>
    <x:row r="786">
      <x:c r="A786" s="15" t="str">
        <x:v>E-782</x:v>
      </x:c>
      <x:c r="B786" s="15" t="str">
        <x:v>G-196</x:v>
      </x:c>
      <x:c r="C786" s="15" t="str">
        <x:v>calibration</x:v>
      </x:c>
      <x:c r="D786" s="15" t="str">
        <x:v>NOT CREATED</x:v>
      </x:c>
      <x:c r="E786" s="15" t="str">
        <x:v>OPEN</x:v>
      </x:c>
    </x:row>
    <x:row r="787">
      <x:c r="A787" s="14" t="str">
        <x:v>E-783</x:v>
      </x:c>
      <x:c r="B787" s="14" t="str">
        <x:v>G-196</x:v>
      </x:c>
      <x:c r="C787" s="14" t="str">
        <x:v>custody</x:v>
      </x:c>
      <x:c r="D787" s="14" t="str">
        <x:v>NOT CREATED</x:v>
      </x:c>
      <x:c r="E787" s="14" t="str">
        <x:v>OPEN</x:v>
      </x:c>
    </x:row>
    <x:row r="788">
      <x:c r="A788" s="15" t="str">
        <x:v>E-784</x:v>
      </x:c>
      <x:c r="B788" s="15" t="str">
        <x:v>G-196</x:v>
      </x:c>
      <x:c r="C788" s="15" t="str">
        <x:v>decision</x:v>
      </x:c>
      <x:c r="D788" s="15" t="str">
        <x:v>NOT CREATED</x:v>
      </x:c>
      <x:c r="E788" s="15" t="str">
        <x:v>OPEN</x:v>
      </x:c>
    </x:row>
    <x:row r="789">
      <x:c r="A789" s="14" t="str">
        <x:v>E-785</x:v>
      </x:c>
      <x:c r="B789" s="14" t="str">
        <x:v>G-197</x:v>
      </x:c>
      <x:c r="C789" s="14" t="str">
        <x:v>native</x:v>
      </x:c>
      <x:c r="D789" s="14" t="str">
        <x:v>NOT CREATED</x:v>
      </x:c>
      <x:c r="E789" s="14" t="str">
        <x:v>OPEN</x:v>
      </x:c>
    </x:row>
    <x:row r="790">
      <x:c r="A790" s="15" t="str">
        <x:v>E-786</x:v>
      </x:c>
      <x:c r="B790" s="15" t="str">
        <x:v>G-197</x:v>
      </x:c>
      <x:c r="C790" s="15" t="str">
        <x:v>calibration</x:v>
      </x:c>
      <x:c r="D790" s="15" t="str">
        <x:v>NOT CREATED</x:v>
      </x:c>
      <x:c r="E790" s="15" t="str">
        <x:v>OPEN</x:v>
      </x:c>
    </x:row>
    <x:row r="791">
      <x:c r="A791" s="14" t="str">
        <x:v>E-787</x:v>
      </x:c>
      <x:c r="B791" s="14" t="str">
        <x:v>G-197</x:v>
      </x:c>
      <x:c r="C791" s="14" t="str">
        <x:v>custody</x:v>
      </x:c>
      <x:c r="D791" s="14" t="str">
        <x:v>NOT CREATED</x:v>
      </x:c>
      <x:c r="E791" s="14" t="str">
        <x:v>OPEN</x:v>
      </x:c>
    </x:row>
    <x:row r="792">
      <x:c r="A792" s="15" t="str">
        <x:v>E-788</x:v>
      </x:c>
      <x:c r="B792" s="15" t="str">
        <x:v>G-197</x:v>
      </x:c>
      <x:c r="C792" s="15" t="str">
        <x:v>decision</x:v>
      </x:c>
      <x:c r="D792" s="15" t="str">
        <x:v>NOT CREATED</x:v>
      </x:c>
      <x:c r="E792" s="15" t="str">
        <x:v>OPEN</x:v>
      </x:c>
    </x:row>
    <x:row r="793">
      <x:c r="A793" s="14" t="str">
        <x:v>E-789</x:v>
      </x:c>
      <x:c r="B793" s="14" t="str">
        <x:v>G-198</x:v>
      </x:c>
      <x:c r="C793" s="14" t="str">
        <x:v>native</x:v>
      </x:c>
      <x:c r="D793" s="14" t="str">
        <x:v>NOT CREATED</x:v>
      </x:c>
      <x:c r="E793" s="14" t="str">
        <x:v>OPEN</x:v>
      </x:c>
    </x:row>
    <x:row r="794">
      <x:c r="A794" s="15" t="str">
        <x:v>E-790</x:v>
      </x:c>
      <x:c r="B794" s="15" t="str">
        <x:v>G-198</x:v>
      </x:c>
      <x:c r="C794" s="15" t="str">
        <x:v>calibration</x:v>
      </x:c>
      <x:c r="D794" s="15" t="str">
        <x:v>NOT CREATED</x:v>
      </x:c>
      <x:c r="E794" s="15" t="str">
        <x:v>OPEN</x:v>
      </x:c>
    </x:row>
    <x:row r="795">
      <x:c r="A795" s="14" t="str">
        <x:v>E-791</x:v>
      </x:c>
      <x:c r="B795" s="14" t="str">
        <x:v>G-198</x:v>
      </x:c>
      <x:c r="C795" s="14" t="str">
        <x:v>custody</x:v>
      </x:c>
      <x:c r="D795" s="14" t="str">
        <x:v>NOT CREATED</x:v>
      </x:c>
      <x:c r="E795" s="14" t="str">
        <x:v>OPEN</x:v>
      </x:c>
    </x:row>
    <x:row r="796">
      <x:c r="A796" s="15" t="str">
        <x:v>E-792</x:v>
      </x:c>
      <x:c r="B796" s="15" t="str">
        <x:v>G-198</x:v>
      </x:c>
      <x:c r="C796" s="15" t="str">
        <x:v>decision</x:v>
      </x:c>
      <x:c r="D796" s="15" t="str">
        <x:v>NOT CREATED</x:v>
      </x:c>
      <x:c r="E796" s="15" t="str">
        <x:v>OPEN</x:v>
      </x:c>
    </x:row>
    <x:row r="797">
      <x:c r="A797" s="14" t="str">
        <x:v>E-793</x:v>
      </x:c>
      <x:c r="B797" s="14" t="str">
        <x:v>G-199</x:v>
      </x:c>
      <x:c r="C797" s="14" t="str">
        <x:v>native</x:v>
      </x:c>
      <x:c r="D797" s="14" t="str">
        <x:v>NOT CREATED</x:v>
      </x:c>
      <x:c r="E797" s="14" t="str">
        <x:v>OPEN</x:v>
      </x:c>
    </x:row>
    <x:row r="798">
      <x:c r="A798" s="15" t="str">
        <x:v>E-794</x:v>
      </x:c>
      <x:c r="B798" s="15" t="str">
        <x:v>G-199</x:v>
      </x:c>
      <x:c r="C798" s="15" t="str">
        <x:v>calibration</x:v>
      </x:c>
      <x:c r="D798" s="15" t="str">
        <x:v>NOT CREATED</x:v>
      </x:c>
      <x:c r="E798" s="15" t="str">
        <x:v>OPEN</x:v>
      </x:c>
    </x:row>
    <x:row r="799">
      <x:c r="A799" s="14" t="str">
        <x:v>E-795</x:v>
      </x:c>
      <x:c r="B799" s="14" t="str">
        <x:v>G-199</x:v>
      </x:c>
      <x:c r="C799" s="14" t="str">
        <x:v>custody</x:v>
      </x:c>
      <x:c r="D799" s="14" t="str">
        <x:v>NOT CREATED</x:v>
      </x:c>
      <x:c r="E799" s="14" t="str">
        <x:v>OPEN</x:v>
      </x:c>
    </x:row>
    <x:row r="800">
      <x:c r="A800" s="15" t="str">
        <x:v>E-796</x:v>
      </x:c>
      <x:c r="B800" s="15" t="str">
        <x:v>G-199</x:v>
      </x:c>
      <x:c r="C800" s="15" t="str">
        <x:v>decision</x:v>
      </x:c>
      <x:c r="D800" s="15" t="str">
        <x:v>NOT CREATED</x:v>
      </x:c>
      <x:c r="E800" s="15" t="str">
        <x:v>OPEN</x:v>
      </x:c>
    </x:row>
    <x:row r="801">
      <x:c r="A801" s="14" t="str">
        <x:v>E-797</x:v>
      </x:c>
      <x:c r="B801" s="14" t="str">
        <x:v>G-200</x:v>
      </x:c>
      <x:c r="C801" s="14" t="str">
        <x:v>native</x:v>
      </x:c>
      <x:c r="D801" s="14" t="str">
        <x:v>NOT CREATED</x:v>
      </x:c>
      <x:c r="E801" s="14" t="str">
        <x:v>OPEN</x:v>
      </x:c>
    </x:row>
    <x:row r="802">
      <x:c r="A802" s="15" t="str">
        <x:v>E-798</x:v>
      </x:c>
      <x:c r="B802" s="15" t="str">
        <x:v>G-200</x:v>
      </x:c>
      <x:c r="C802" s="15" t="str">
        <x:v>calibration</x:v>
      </x:c>
      <x:c r="D802" s="15" t="str">
        <x:v>NOT CREATED</x:v>
      </x:c>
      <x:c r="E802" s="15" t="str">
        <x:v>OPEN</x:v>
      </x:c>
    </x:row>
    <x:row r="803">
      <x:c r="A803" s="14" t="str">
        <x:v>E-799</x:v>
      </x:c>
      <x:c r="B803" s="14" t="str">
        <x:v>G-200</x:v>
      </x:c>
      <x:c r="C803" s="14" t="str">
        <x:v>custody</x:v>
      </x:c>
      <x:c r="D803" s="14" t="str">
        <x:v>NOT CREATED</x:v>
      </x:c>
      <x:c r="E803" s="14" t="str">
        <x:v>OPEN</x:v>
      </x:c>
    </x:row>
    <x:row r="804">
      <x:c r="A804" s="15" t="str">
        <x:v>E-800</x:v>
      </x:c>
      <x:c r="B804" s="15" t="str">
        <x:v>G-200</x:v>
      </x:c>
      <x:c r="C804" s="15" t="str">
        <x:v>decision</x:v>
      </x:c>
      <x:c r="D804" s="15" t="str">
        <x:v>NOT CREATED</x:v>
      </x:c>
      <x:c r="E804" s="15" t="str">
        <x:v>OPEN</x:v>
      </x:c>
    </x:row>
  </x:sheetData>
  <x:mergeCells>
    <x:mergeCell ref="A1:E1"/>
    <x:mergeCell ref="A2:E2"/>
  </x:mergeCells>
  <x:pageMargins left="0.7" right="0.7" top="0.75" bottom="0.75" header="0.3" footer="0.3"/>
</x:worksheet>
</file>

<file path=xl/worksheets/sheet3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5" hidden="0" customWidth="1"/>
    <x:col min="2" max="2" width="14" hidden="0" customWidth="1"/>
    <x:col min="3" max="3" width="10" hidden="0" customWidth="1"/>
    <x:col min="4" max="4" width="18" hidden="0" customWidth="1"/>
    <x:col min="5" max="5" width="22" hidden="0" customWidth="1"/>
    <x:col min="6" max="6" width="14" hidden="0" customWidth="1"/>
  </x:cols>
  <x:sheetData>
    <x:row r="1" ht="26" customHeight="1">
      <x:c r="A1" s="43" t="str">
        <x:v>1,920 active channels</x:v>
      </x:c>
      <x:c r="B1" s="35"/>
      <x:c r="C1" s="35"/>
      <x:c r="D1" s="35"/>
      <x:c r="E1" s="35"/>
      <x:c r="F1" s="35"/>
    </x:row>
    <x:row r="2" ht="32" customHeight="1">
      <x:c r="A2" s="7" t="str">
        <x:v>Channels retain system, domain, calibration and native-store identity.</x:v>
      </x:c>
      <x:c r="B2" s="35"/>
      <x:c r="C2" s="35"/>
      <x:c r="D2" s="35"/>
      <x:c r="E2" s="35"/>
      <x:c r="F2" s="35"/>
    </x:row>
    <x:row r="3">
      <x:c r="A3" s="35"/>
      <x:c r="B3" s="35"/>
      <x:c r="C3" s="35"/>
      <x:c r="D3" s="35"/>
      <x:c r="E3" s="35"/>
      <x:c r="F3" s="35"/>
    </x:row>
    <x:row r="4" ht="28" customHeight="1">
      <x:c r="A4" s="11" t="str">
        <x:v>Channel</x:v>
      </x:c>
      <x:c r="B4" s="11" t="str">
        <x:v>System</x:v>
      </x:c>
      <x:c r="C4" s="11" t="str">
        <x:v>Index</x:v>
      </x:c>
      <x:c r="D4" s="11" t="str">
        <x:v>Domain</x:v>
      </x:c>
      <x:c r="E4" s="11" t="str">
        <x:v>Commissioning</x:v>
      </x:c>
      <x:c r="F4" s="11" t="str">
        <x:v>State</x:v>
      </x:c>
    </x:row>
    <x:row r="5">
      <x:c r="A5" s="14" t="str">
        <x:v>CH-0001</x:v>
      </x:c>
      <x:c r="B5" s="14" t="str">
        <x:v>SYS-01</x:v>
      </x:c>
      <x:c r="C5" s="14" t="n">
        <x:v>1</x:v>
      </x:c>
      <x:c r="D5" s="14" t="str">
        <x:v>Configuration</x:v>
      </x:c>
      <x:c r="E5" s="14" t="str">
        <x:v>NOT COMMISSIONED</x:v>
      </x:c>
      <x:c r="F5" s="14" t="str">
        <x:v>OPEN</x:v>
      </x:c>
    </x:row>
    <x:row r="6">
      <x:c r="A6" s="15" t="str">
        <x:v>CH-0002</x:v>
      </x:c>
      <x:c r="B6" s="15" t="str">
        <x:v>SYS-01</x:v>
      </x:c>
      <x:c r="C6" s="15" t="n">
        <x:v>2</x:v>
      </x:c>
      <x:c r="D6" s="15" t="str">
        <x:v>Configuration</x:v>
      </x:c>
      <x:c r="E6" s="15" t="str">
        <x:v>NOT COMMISSIONED</x:v>
      </x:c>
      <x:c r="F6" s="15" t="str">
        <x:v>OPEN</x:v>
      </x:c>
    </x:row>
    <x:row r="7">
      <x:c r="A7" s="14" t="str">
        <x:v>CH-0003</x:v>
      </x:c>
      <x:c r="B7" s="14" t="str">
        <x:v>SYS-01</x:v>
      </x:c>
      <x:c r="C7" s="14" t="n">
        <x:v>3</x:v>
      </x:c>
      <x:c r="D7" s="14" t="str">
        <x:v>Configuration</x:v>
      </x:c>
      <x:c r="E7" s="14" t="str">
        <x:v>NOT COMMISSIONED</x:v>
      </x:c>
      <x:c r="F7" s="14" t="str">
        <x:v>OPEN</x:v>
      </x:c>
    </x:row>
    <x:row r="8">
      <x:c r="A8" s="15" t="str">
        <x:v>CH-0004</x:v>
      </x:c>
      <x:c r="B8" s="15" t="str">
        <x:v>SYS-01</x:v>
      </x:c>
      <x:c r="C8" s="15" t="n">
        <x:v>4</x:v>
      </x:c>
      <x:c r="D8" s="15" t="str">
        <x:v>Configuration</x:v>
      </x:c>
      <x:c r="E8" s="15" t="str">
        <x:v>NOT COMMISSIONED</x:v>
      </x:c>
      <x:c r="F8" s="15" t="str">
        <x:v>OPEN</x:v>
      </x:c>
    </x:row>
    <x:row r="9">
      <x:c r="A9" s="14" t="str">
        <x:v>CH-0005</x:v>
      </x:c>
      <x:c r="B9" s="14" t="str">
        <x:v>SYS-01</x:v>
      </x:c>
      <x:c r="C9" s="14" t="n">
        <x:v>5</x:v>
      </x:c>
      <x:c r="D9" s="14" t="str">
        <x:v>Configuration</x:v>
      </x:c>
      <x:c r="E9" s="14" t="str">
        <x:v>NOT COMMISSIONED</x:v>
      </x:c>
      <x:c r="F9" s="14" t="str">
        <x:v>OPEN</x:v>
      </x:c>
    </x:row>
    <x:row r="10">
      <x:c r="A10" s="15" t="str">
        <x:v>CH-0006</x:v>
      </x:c>
      <x:c r="B10" s="15" t="str">
        <x:v>SYS-01</x:v>
      </x:c>
      <x:c r="C10" s="15" t="n">
        <x:v>6</x:v>
      </x:c>
      <x:c r="D10" s="15" t="str">
        <x:v>Configuration</x:v>
      </x:c>
      <x:c r="E10" s="15" t="str">
        <x:v>NOT COMMISSIONED</x:v>
      </x:c>
      <x:c r="F10" s="15" t="str">
        <x:v>OPEN</x:v>
      </x:c>
    </x:row>
    <x:row r="11">
      <x:c r="A11" s="14" t="str">
        <x:v>CH-0007</x:v>
      </x:c>
      <x:c r="B11" s="14" t="str">
        <x:v>SYS-01</x:v>
      </x:c>
      <x:c r="C11" s="14" t="n">
        <x:v>7</x:v>
      </x:c>
      <x:c r="D11" s="14" t="str">
        <x:v>Configuration</x:v>
      </x:c>
      <x:c r="E11" s="14" t="str">
        <x:v>NOT COMMISSIONED</x:v>
      </x:c>
      <x:c r="F11" s="14" t="str">
        <x:v>OPEN</x:v>
      </x:c>
    </x:row>
    <x:row r="12">
      <x:c r="A12" s="15" t="str">
        <x:v>CH-0008</x:v>
      </x:c>
      <x:c r="B12" s="15" t="str">
        <x:v>SYS-01</x:v>
      </x:c>
      <x:c r="C12" s="15" t="n">
        <x:v>8</x:v>
      </x:c>
      <x:c r="D12" s="15" t="str">
        <x:v>Configuration</x:v>
      </x:c>
      <x:c r="E12" s="15" t="str">
        <x:v>NOT COMMISSIONED</x:v>
      </x:c>
      <x:c r="F12" s="15" t="str">
        <x:v>OPEN</x:v>
      </x:c>
    </x:row>
    <x:row r="13">
      <x:c r="A13" s="14" t="str">
        <x:v>CH-0009</x:v>
      </x:c>
      <x:c r="B13" s="14" t="str">
        <x:v>SYS-01</x:v>
      </x:c>
      <x:c r="C13" s="14" t="n">
        <x:v>9</x:v>
      </x:c>
      <x:c r="D13" s="14" t="str">
        <x:v>Configuration</x:v>
      </x:c>
      <x:c r="E13" s="14" t="str">
        <x:v>NOT COMMISSIONED</x:v>
      </x:c>
      <x:c r="F13" s="14" t="str">
        <x:v>OPEN</x:v>
      </x:c>
    </x:row>
    <x:row r="14">
      <x:c r="A14" s="15" t="str">
        <x:v>CH-0010</x:v>
      </x:c>
      <x:c r="B14" s="15" t="str">
        <x:v>SYS-01</x:v>
      </x:c>
      <x:c r="C14" s="15" t="n">
        <x:v>10</x:v>
      </x:c>
      <x:c r="D14" s="15" t="str">
        <x:v>Configuration</x:v>
      </x:c>
      <x:c r="E14" s="15" t="str">
        <x:v>NOT COMMISSIONED</x:v>
      </x:c>
      <x:c r="F14" s="15" t="str">
        <x:v>OPEN</x:v>
      </x:c>
    </x:row>
    <x:row r="15">
      <x:c r="A15" s="14" t="str">
        <x:v>CH-0011</x:v>
      </x:c>
      <x:c r="B15" s="14" t="str">
        <x:v>SYS-01</x:v>
      </x:c>
      <x:c r="C15" s="14" t="n">
        <x:v>11</x:v>
      </x:c>
      <x:c r="D15" s="14" t="str">
        <x:v>Configuration</x:v>
      </x:c>
      <x:c r="E15" s="14" t="str">
        <x:v>NOT COMMISSIONED</x:v>
      </x:c>
      <x:c r="F15" s="14" t="str">
        <x:v>OPEN</x:v>
      </x:c>
    </x:row>
    <x:row r="16">
      <x:c r="A16" s="15" t="str">
        <x:v>CH-0012</x:v>
      </x:c>
      <x:c r="B16" s="15" t="str">
        <x:v>SYS-01</x:v>
      </x:c>
      <x:c r="C16" s="15" t="n">
        <x:v>12</x:v>
      </x:c>
      <x:c r="D16" s="15" t="str">
        <x:v>Configuration</x:v>
      </x:c>
      <x:c r="E16" s="15" t="str">
        <x:v>NOT COMMISSIONED</x:v>
      </x:c>
      <x:c r="F16" s="15" t="str">
        <x:v>OPEN</x:v>
      </x:c>
    </x:row>
    <x:row r="17">
      <x:c r="A17" s="14" t="str">
        <x:v>CH-0013</x:v>
      </x:c>
      <x:c r="B17" s="14" t="str">
        <x:v>SYS-01</x:v>
      </x:c>
      <x:c r="C17" s="14" t="n">
        <x:v>13</x:v>
      </x:c>
      <x:c r="D17" s="14" t="str">
        <x:v>Configuration</x:v>
      </x:c>
      <x:c r="E17" s="14" t="str">
        <x:v>NOT COMMISSIONED</x:v>
      </x:c>
      <x:c r="F17" s="14" t="str">
        <x:v>OPEN</x:v>
      </x:c>
    </x:row>
    <x:row r="18">
      <x:c r="A18" s="15" t="str">
        <x:v>CH-0014</x:v>
      </x:c>
      <x:c r="B18" s="15" t="str">
        <x:v>SYS-01</x:v>
      </x:c>
      <x:c r="C18" s="15" t="n">
        <x:v>14</x:v>
      </x:c>
      <x:c r="D18" s="15" t="str">
        <x:v>Configuration</x:v>
      </x:c>
      <x:c r="E18" s="15" t="str">
        <x:v>NOT COMMISSIONED</x:v>
      </x:c>
      <x:c r="F18" s="15" t="str">
        <x:v>OPEN</x:v>
      </x:c>
    </x:row>
    <x:row r="19">
      <x:c r="A19" s="14" t="str">
        <x:v>CH-0015</x:v>
      </x:c>
      <x:c r="B19" s="14" t="str">
        <x:v>SYS-01</x:v>
      </x:c>
      <x:c r="C19" s="14" t="n">
        <x:v>15</x:v>
      </x:c>
      <x:c r="D19" s="14" t="str">
        <x:v>Configuration</x:v>
      </x:c>
      <x:c r="E19" s="14" t="str">
        <x:v>NOT COMMISSIONED</x:v>
      </x:c>
      <x:c r="F19" s="14" t="str">
        <x:v>OPEN</x:v>
      </x:c>
    </x:row>
    <x:row r="20">
      <x:c r="A20" s="15" t="str">
        <x:v>CH-0016</x:v>
      </x:c>
      <x:c r="B20" s="15" t="str">
        <x:v>SYS-01</x:v>
      </x:c>
      <x:c r="C20" s="15" t="n">
        <x:v>16</x:v>
      </x:c>
      <x:c r="D20" s="15" t="str">
        <x:v>Configuration</x:v>
      </x:c>
      <x:c r="E20" s="15" t="str">
        <x:v>NOT COMMISSIONED</x:v>
      </x:c>
      <x:c r="F20" s="15" t="str">
        <x:v>OPEN</x:v>
      </x:c>
    </x:row>
    <x:row r="21">
      <x:c r="A21" s="14" t="str">
        <x:v>CH-0017</x:v>
      </x:c>
      <x:c r="B21" s="14" t="str">
        <x:v>SYS-01</x:v>
      </x:c>
      <x:c r="C21" s="14" t="n">
        <x:v>17</x:v>
      </x:c>
      <x:c r="D21" s="14" t="str">
        <x:v>Configuration</x:v>
      </x:c>
      <x:c r="E21" s="14" t="str">
        <x:v>NOT COMMISSIONED</x:v>
      </x:c>
      <x:c r="F21" s="14" t="str">
        <x:v>OPEN</x:v>
      </x:c>
    </x:row>
    <x:row r="22">
      <x:c r="A22" s="15" t="str">
        <x:v>CH-0018</x:v>
      </x:c>
      <x:c r="B22" s="15" t="str">
        <x:v>SYS-01</x:v>
      </x:c>
      <x:c r="C22" s="15" t="n">
        <x:v>18</x:v>
      </x:c>
      <x:c r="D22" s="15" t="str">
        <x:v>Configuration</x:v>
      </x:c>
      <x:c r="E22" s="15" t="str">
        <x:v>NOT COMMISSIONED</x:v>
      </x:c>
      <x:c r="F22" s="15" t="str">
        <x:v>OPEN</x:v>
      </x:c>
    </x:row>
    <x:row r="23">
      <x:c r="A23" s="14" t="str">
        <x:v>CH-0019</x:v>
      </x:c>
      <x:c r="B23" s="14" t="str">
        <x:v>SYS-01</x:v>
      </x:c>
      <x:c r="C23" s="14" t="n">
        <x:v>19</x:v>
      </x:c>
      <x:c r="D23" s="14" t="str">
        <x:v>Configuration</x:v>
      </x:c>
      <x:c r="E23" s="14" t="str">
        <x:v>NOT COMMISSIONED</x:v>
      </x:c>
      <x:c r="F23" s="14" t="str">
        <x:v>OPEN</x:v>
      </x:c>
    </x:row>
    <x:row r="24">
      <x:c r="A24" s="15" t="str">
        <x:v>CH-0020</x:v>
      </x:c>
      <x:c r="B24" s="15" t="str">
        <x:v>SYS-01</x:v>
      </x:c>
      <x:c r="C24" s="15" t="n">
        <x:v>20</x:v>
      </x:c>
      <x:c r="D24" s="15" t="str">
        <x:v>Configuration</x:v>
      </x:c>
      <x:c r="E24" s="15" t="str">
        <x:v>NOT COMMISSIONED</x:v>
      </x:c>
      <x:c r="F24" s="15" t="str">
        <x:v>OPEN</x:v>
      </x:c>
    </x:row>
    <x:row r="25">
      <x:c r="A25" s="14" t="str">
        <x:v>CH-0021</x:v>
      </x:c>
      <x:c r="B25" s="14" t="str">
        <x:v>SYS-01</x:v>
      </x:c>
      <x:c r="C25" s="14" t="n">
        <x:v>21</x:v>
      </x:c>
      <x:c r="D25" s="14" t="str">
        <x:v>Configuration</x:v>
      </x:c>
      <x:c r="E25" s="14" t="str">
        <x:v>NOT COMMISSIONED</x:v>
      </x:c>
      <x:c r="F25" s="14" t="str">
        <x:v>OPEN</x:v>
      </x:c>
    </x:row>
    <x:row r="26">
      <x:c r="A26" s="15" t="str">
        <x:v>CH-0022</x:v>
      </x:c>
      <x:c r="B26" s="15" t="str">
        <x:v>SYS-01</x:v>
      </x:c>
      <x:c r="C26" s="15" t="n">
        <x:v>22</x:v>
      </x:c>
      <x:c r="D26" s="15" t="str">
        <x:v>Configuration</x:v>
      </x:c>
      <x:c r="E26" s="15" t="str">
        <x:v>NOT COMMISSIONED</x:v>
      </x:c>
      <x:c r="F26" s="15" t="str">
        <x:v>OPEN</x:v>
      </x:c>
    </x:row>
    <x:row r="27">
      <x:c r="A27" s="14" t="str">
        <x:v>CH-0023</x:v>
      </x:c>
      <x:c r="B27" s="14" t="str">
        <x:v>SYS-01</x:v>
      </x:c>
      <x:c r="C27" s="14" t="n">
        <x:v>23</x:v>
      </x:c>
      <x:c r="D27" s="14" t="str">
        <x:v>Configuration</x:v>
      </x:c>
      <x:c r="E27" s="14" t="str">
        <x:v>NOT COMMISSIONED</x:v>
      </x:c>
      <x:c r="F27" s="14" t="str">
        <x:v>OPEN</x:v>
      </x:c>
    </x:row>
    <x:row r="28">
      <x:c r="A28" s="15" t="str">
        <x:v>CH-0024</x:v>
      </x:c>
      <x:c r="B28" s="15" t="str">
        <x:v>SYS-01</x:v>
      </x:c>
      <x:c r="C28" s="15" t="n">
        <x:v>24</x:v>
      </x:c>
      <x:c r="D28" s="15" t="str">
        <x:v>Configuration</x:v>
      </x:c>
      <x:c r="E28" s="15" t="str">
        <x:v>NOT COMMISSIONED</x:v>
      </x:c>
      <x:c r="F28" s="15" t="str">
        <x:v>OPEN</x:v>
      </x:c>
    </x:row>
    <x:row r="29">
      <x:c r="A29" s="14" t="str">
        <x:v>CH-0025</x:v>
      </x:c>
      <x:c r="B29" s="14" t="str">
        <x:v>SYS-01</x:v>
      </x:c>
      <x:c r="C29" s="14" t="n">
        <x:v>25</x:v>
      </x:c>
      <x:c r="D29" s="14" t="str">
        <x:v>Configuration</x:v>
      </x:c>
      <x:c r="E29" s="14" t="str">
        <x:v>NOT COMMISSIONED</x:v>
      </x:c>
      <x:c r="F29" s="14" t="str">
        <x:v>OPEN</x:v>
      </x:c>
    </x:row>
    <x:row r="30">
      <x:c r="A30" s="15" t="str">
        <x:v>CH-0026</x:v>
      </x:c>
      <x:c r="B30" s="15" t="str">
        <x:v>SYS-01</x:v>
      </x:c>
      <x:c r="C30" s="15" t="n">
        <x:v>26</x:v>
      </x:c>
      <x:c r="D30" s="15" t="str">
        <x:v>Configuration</x:v>
      </x:c>
      <x:c r="E30" s="15" t="str">
        <x:v>NOT COMMISSIONED</x:v>
      </x:c>
      <x:c r="F30" s="15" t="str">
        <x:v>OPEN</x:v>
      </x:c>
    </x:row>
    <x:row r="31">
      <x:c r="A31" s="14" t="str">
        <x:v>CH-0027</x:v>
      </x:c>
      <x:c r="B31" s="14" t="str">
        <x:v>SYS-01</x:v>
      </x:c>
      <x:c r="C31" s="14" t="n">
        <x:v>27</x:v>
      </x:c>
      <x:c r="D31" s="14" t="str">
        <x:v>Configuration</x:v>
      </x:c>
      <x:c r="E31" s="14" t="str">
        <x:v>NOT COMMISSIONED</x:v>
      </x:c>
      <x:c r="F31" s="14" t="str">
        <x:v>OPEN</x:v>
      </x:c>
    </x:row>
    <x:row r="32">
      <x:c r="A32" s="15" t="str">
        <x:v>CH-0028</x:v>
      </x:c>
      <x:c r="B32" s="15" t="str">
        <x:v>SYS-01</x:v>
      </x:c>
      <x:c r="C32" s="15" t="n">
        <x:v>28</x:v>
      </x:c>
      <x:c r="D32" s="15" t="str">
        <x:v>Configuration</x:v>
      </x:c>
      <x:c r="E32" s="15" t="str">
        <x:v>NOT COMMISSIONED</x:v>
      </x:c>
      <x:c r="F32" s="15" t="str">
        <x:v>OPEN</x:v>
      </x:c>
    </x:row>
    <x:row r="33">
      <x:c r="A33" s="14" t="str">
        <x:v>CH-0029</x:v>
      </x:c>
      <x:c r="B33" s="14" t="str">
        <x:v>SYS-01</x:v>
      </x:c>
      <x:c r="C33" s="14" t="n">
        <x:v>29</x:v>
      </x:c>
      <x:c r="D33" s="14" t="str">
        <x:v>Configuration</x:v>
      </x:c>
      <x:c r="E33" s="14" t="str">
        <x:v>NOT COMMISSIONED</x:v>
      </x:c>
      <x:c r="F33" s="14" t="str">
        <x:v>OPEN</x:v>
      </x:c>
    </x:row>
    <x:row r="34">
      <x:c r="A34" s="15" t="str">
        <x:v>CH-0030</x:v>
      </x:c>
      <x:c r="B34" s="15" t="str">
        <x:v>SYS-01</x:v>
      </x:c>
      <x:c r="C34" s="15" t="n">
        <x:v>30</x:v>
      </x:c>
      <x:c r="D34" s="15" t="str">
        <x:v>Configuration</x:v>
      </x:c>
      <x:c r="E34" s="15" t="str">
        <x:v>NOT COMMISSIONED</x:v>
      </x:c>
      <x:c r="F34" s="15" t="str">
        <x:v>OPEN</x:v>
      </x:c>
    </x:row>
    <x:row r="35">
      <x:c r="A35" s="14" t="str">
        <x:v>CH-0031</x:v>
      </x:c>
      <x:c r="B35" s="14" t="str">
        <x:v>SYS-01</x:v>
      </x:c>
      <x:c r="C35" s="14" t="n">
        <x:v>31</x:v>
      </x:c>
      <x:c r="D35" s="14" t="str">
        <x:v>Configuration</x:v>
      </x:c>
      <x:c r="E35" s="14" t="str">
        <x:v>NOT COMMISSIONED</x:v>
      </x:c>
      <x:c r="F35" s="14" t="str">
        <x:v>OPEN</x:v>
      </x:c>
    </x:row>
    <x:row r="36">
      <x:c r="A36" s="15" t="str">
        <x:v>CH-0032</x:v>
      </x:c>
      <x:c r="B36" s="15" t="str">
        <x:v>SYS-01</x:v>
      </x:c>
      <x:c r="C36" s="15" t="n">
        <x:v>32</x:v>
      </x:c>
      <x:c r="D36" s="15" t="str">
        <x:v>Configuration</x:v>
      </x:c>
      <x:c r="E36" s="15" t="str">
        <x:v>NOT COMMISSIONED</x:v>
      </x:c>
      <x:c r="F36" s="15" t="str">
        <x:v>OPEN</x:v>
      </x:c>
    </x:row>
    <x:row r="37">
      <x:c r="A37" s="14" t="str">
        <x:v>CH-0033</x:v>
      </x:c>
      <x:c r="B37" s="14" t="str">
        <x:v>SYS-01</x:v>
      </x:c>
      <x:c r="C37" s="14" t="n">
        <x:v>33</x:v>
      </x:c>
      <x:c r="D37" s="14" t="str">
        <x:v>Configuration</x:v>
      </x:c>
      <x:c r="E37" s="14" t="str">
        <x:v>NOT COMMISSIONED</x:v>
      </x:c>
      <x:c r="F37" s="14" t="str">
        <x:v>OPEN</x:v>
      </x:c>
    </x:row>
    <x:row r="38">
      <x:c r="A38" s="15" t="str">
        <x:v>CH-0034</x:v>
      </x:c>
      <x:c r="B38" s="15" t="str">
        <x:v>SYS-01</x:v>
      </x:c>
      <x:c r="C38" s="15" t="n">
        <x:v>34</x:v>
      </x:c>
      <x:c r="D38" s="15" t="str">
        <x:v>Configuration</x:v>
      </x:c>
      <x:c r="E38" s="15" t="str">
        <x:v>NOT COMMISSIONED</x:v>
      </x:c>
      <x:c r="F38" s="15" t="str">
        <x:v>OPEN</x:v>
      </x:c>
    </x:row>
    <x:row r="39">
      <x:c r="A39" s="14" t="str">
        <x:v>CH-0035</x:v>
      </x:c>
      <x:c r="B39" s="14" t="str">
        <x:v>SYS-01</x:v>
      </x:c>
      <x:c r="C39" s="14" t="n">
        <x:v>35</x:v>
      </x:c>
      <x:c r="D39" s="14" t="str">
        <x:v>Configuration</x:v>
      </x:c>
      <x:c r="E39" s="14" t="str">
        <x:v>NOT COMMISSIONED</x:v>
      </x:c>
      <x:c r="F39" s="14" t="str">
        <x:v>OPEN</x:v>
      </x:c>
    </x:row>
    <x:row r="40">
      <x:c r="A40" s="15" t="str">
        <x:v>CH-0036</x:v>
      </x:c>
      <x:c r="B40" s="15" t="str">
        <x:v>SYS-01</x:v>
      </x:c>
      <x:c r="C40" s="15" t="n">
        <x:v>36</x:v>
      </x:c>
      <x:c r="D40" s="15" t="str">
        <x:v>Configuration</x:v>
      </x:c>
      <x:c r="E40" s="15" t="str">
        <x:v>NOT COMMISSIONED</x:v>
      </x:c>
      <x:c r="F40" s="15" t="str">
        <x:v>OPEN</x:v>
      </x:c>
    </x:row>
    <x:row r="41">
      <x:c r="A41" s="14" t="str">
        <x:v>CH-0037</x:v>
      </x:c>
      <x:c r="B41" s="14" t="str">
        <x:v>SYS-01</x:v>
      </x:c>
      <x:c r="C41" s="14" t="n">
        <x:v>37</x:v>
      </x:c>
      <x:c r="D41" s="14" t="str">
        <x:v>Configuration</x:v>
      </x:c>
      <x:c r="E41" s="14" t="str">
        <x:v>NOT COMMISSIONED</x:v>
      </x:c>
      <x:c r="F41" s="14" t="str">
        <x:v>OPEN</x:v>
      </x:c>
    </x:row>
    <x:row r="42">
      <x:c r="A42" s="15" t="str">
        <x:v>CH-0038</x:v>
      </x:c>
      <x:c r="B42" s="15" t="str">
        <x:v>SYS-01</x:v>
      </x:c>
      <x:c r="C42" s="15" t="n">
        <x:v>38</x:v>
      </x:c>
      <x:c r="D42" s="15" t="str">
        <x:v>Configuration</x:v>
      </x:c>
      <x:c r="E42" s="15" t="str">
        <x:v>NOT COMMISSIONED</x:v>
      </x:c>
      <x:c r="F42" s="15" t="str">
        <x:v>OPEN</x:v>
      </x:c>
    </x:row>
    <x:row r="43">
      <x:c r="A43" s="14" t="str">
        <x:v>CH-0039</x:v>
      </x:c>
      <x:c r="B43" s="14" t="str">
        <x:v>SYS-01</x:v>
      </x:c>
      <x:c r="C43" s="14" t="n">
        <x:v>39</x:v>
      </x:c>
      <x:c r="D43" s="14" t="str">
        <x:v>Configuration</x:v>
      </x:c>
      <x:c r="E43" s="14" t="str">
        <x:v>NOT COMMISSIONED</x:v>
      </x:c>
      <x:c r="F43" s="14" t="str">
        <x:v>OPEN</x:v>
      </x:c>
    </x:row>
    <x:row r="44">
      <x:c r="A44" s="15" t="str">
        <x:v>CH-0040</x:v>
      </x:c>
      <x:c r="B44" s="15" t="str">
        <x:v>SYS-01</x:v>
      </x:c>
      <x:c r="C44" s="15" t="n">
        <x:v>40</x:v>
      </x:c>
      <x:c r="D44" s="15" t="str">
        <x:v>Configuration</x:v>
      </x:c>
      <x:c r="E44" s="15" t="str">
        <x:v>NOT COMMISSIONED</x:v>
      </x:c>
      <x:c r="F44" s="15" t="str">
        <x:v>OPEN</x:v>
      </x:c>
    </x:row>
    <x:row r="45">
      <x:c r="A45" s="14" t="str">
        <x:v>CH-0041</x:v>
      </x:c>
      <x:c r="B45" s="14" t="str">
        <x:v>SYS-01</x:v>
      </x:c>
      <x:c r="C45" s="14" t="n">
        <x:v>41</x:v>
      </x:c>
      <x:c r="D45" s="14" t="str">
        <x:v>Configuration</x:v>
      </x:c>
      <x:c r="E45" s="14" t="str">
        <x:v>NOT COMMISSIONED</x:v>
      </x:c>
      <x:c r="F45" s="14" t="str">
        <x:v>OPEN</x:v>
      </x:c>
    </x:row>
    <x:row r="46">
      <x:c r="A46" s="15" t="str">
        <x:v>CH-0042</x:v>
      </x:c>
      <x:c r="B46" s="15" t="str">
        <x:v>SYS-01</x:v>
      </x:c>
      <x:c r="C46" s="15" t="n">
        <x:v>42</x:v>
      </x:c>
      <x:c r="D46" s="15" t="str">
        <x:v>Configuration</x:v>
      </x:c>
      <x:c r="E46" s="15" t="str">
        <x:v>NOT COMMISSIONED</x:v>
      </x:c>
      <x:c r="F46" s="15" t="str">
        <x:v>OPEN</x:v>
      </x:c>
    </x:row>
    <x:row r="47">
      <x:c r="A47" s="14" t="str">
        <x:v>CH-0043</x:v>
      </x:c>
      <x:c r="B47" s="14" t="str">
        <x:v>SYS-01</x:v>
      </x:c>
      <x:c r="C47" s="14" t="n">
        <x:v>43</x:v>
      </x:c>
      <x:c r="D47" s="14" t="str">
        <x:v>Configuration</x:v>
      </x:c>
      <x:c r="E47" s="14" t="str">
        <x:v>NOT COMMISSIONED</x:v>
      </x:c>
      <x:c r="F47" s="14" t="str">
        <x:v>OPEN</x:v>
      </x:c>
    </x:row>
    <x:row r="48">
      <x:c r="A48" s="15" t="str">
        <x:v>CH-0044</x:v>
      </x:c>
      <x:c r="B48" s="15" t="str">
        <x:v>SYS-01</x:v>
      </x:c>
      <x:c r="C48" s="15" t="n">
        <x:v>44</x:v>
      </x:c>
      <x:c r="D48" s="15" t="str">
        <x:v>Configuration</x:v>
      </x:c>
      <x:c r="E48" s="15" t="str">
        <x:v>NOT COMMISSIONED</x:v>
      </x:c>
      <x:c r="F48" s="15" t="str">
        <x:v>OPEN</x:v>
      </x:c>
    </x:row>
    <x:row r="49">
      <x:c r="A49" s="14" t="str">
        <x:v>CH-0045</x:v>
      </x:c>
      <x:c r="B49" s="14" t="str">
        <x:v>SYS-01</x:v>
      </x:c>
      <x:c r="C49" s="14" t="n">
        <x:v>45</x:v>
      </x:c>
      <x:c r="D49" s="14" t="str">
        <x:v>Configuration</x:v>
      </x:c>
      <x:c r="E49" s="14" t="str">
        <x:v>NOT COMMISSIONED</x:v>
      </x:c>
      <x:c r="F49" s="14" t="str">
        <x:v>OPEN</x:v>
      </x:c>
    </x:row>
    <x:row r="50">
      <x:c r="A50" s="15" t="str">
        <x:v>CH-0046</x:v>
      </x:c>
      <x:c r="B50" s="15" t="str">
        <x:v>SYS-01</x:v>
      </x:c>
      <x:c r="C50" s="15" t="n">
        <x:v>46</x:v>
      </x:c>
      <x:c r="D50" s="15" t="str">
        <x:v>Configuration</x:v>
      </x:c>
      <x:c r="E50" s="15" t="str">
        <x:v>NOT COMMISSIONED</x:v>
      </x:c>
      <x:c r="F50" s="15" t="str">
        <x:v>OPEN</x:v>
      </x:c>
    </x:row>
    <x:row r="51">
      <x:c r="A51" s="14" t="str">
        <x:v>CH-0047</x:v>
      </x:c>
      <x:c r="B51" s="14" t="str">
        <x:v>SYS-01</x:v>
      </x:c>
      <x:c r="C51" s="14" t="n">
        <x:v>47</x:v>
      </x:c>
      <x:c r="D51" s="14" t="str">
        <x:v>Configuration</x:v>
      </x:c>
      <x:c r="E51" s="14" t="str">
        <x:v>NOT COMMISSIONED</x:v>
      </x:c>
      <x:c r="F51" s="14" t="str">
        <x:v>OPEN</x:v>
      </x:c>
    </x:row>
    <x:row r="52">
      <x:c r="A52" s="15" t="str">
        <x:v>CH-0048</x:v>
      </x:c>
      <x:c r="B52" s="15" t="str">
        <x:v>SYS-01</x:v>
      </x:c>
      <x:c r="C52" s="15" t="n">
        <x:v>48</x:v>
      </x:c>
      <x:c r="D52" s="15" t="str">
        <x:v>Configuration</x:v>
      </x:c>
      <x:c r="E52" s="15" t="str">
        <x:v>NOT COMMISSIONED</x:v>
      </x:c>
      <x:c r="F52" s="15" t="str">
        <x:v>OPEN</x:v>
      </x:c>
    </x:row>
    <x:row r="53">
      <x:c r="A53" s="14" t="str">
        <x:v>CH-0049</x:v>
      </x:c>
      <x:c r="B53" s="14" t="str">
        <x:v>SYS-01</x:v>
      </x:c>
      <x:c r="C53" s="14" t="n">
        <x:v>49</x:v>
      </x:c>
      <x:c r="D53" s="14" t="str">
        <x:v>Configuration</x:v>
      </x:c>
      <x:c r="E53" s="14" t="str">
        <x:v>NOT COMMISSIONED</x:v>
      </x:c>
      <x:c r="F53" s="14" t="str">
        <x:v>OPEN</x:v>
      </x:c>
    </x:row>
    <x:row r="54">
      <x:c r="A54" s="15" t="str">
        <x:v>CH-0050</x:v>
      </x:c>
      <x:c r="B54" s="15" t="str">
        <x:v>SYS-01</x:v>
      </x:c>
      <x:c r="C54" s="15" t="n">
        <x:v>50</x:v>
      </x:c>
      <x:c r="D54" s="15" t="str">
        <x:v>Configuration</x:v>
      </x:c>
      <x:c r="E54" s="15" t="str">
        <x:v>NOT COMMISSIONED</x:v>
      </x:c>
      <x:c r="F54" s="15" t="str">
        <x:v>OPEN</x:v>
      </x:c>
    </x:row>
    <x:row r="55">
      <x:c r="A55" s="14" t="str">
        <x:v>CH-0051</x:v>
      </x:c>
      <x:c r="B55" s="14" t="str">
        <x:v>SYS-01</x:v>
      </x:c>
      <x:c r="C55" s="14" t="n">
        <x:v>51</x:v>
      </x:c>
      <x:c r="D55" s="14" t="str">
        <x:v>Configuration</x:v>
      </x:c>
      <x:c r="E55" s="14" t="str">
        <x:v>NOT COMMISSIONED</x:v>
      </x:c>
      <x:c r="F55" s="14" t="str">
        <x:v>OPEN</x:v>
      </x:c>
    </x:row>
    <x:row r="56">
      <x:c r="A56" s="15" t="str">
        <x:v>CH-0052</x:v>
      </x:c>
      <x:c r="B56" s="15" t="str">
        <x:v>SYS-01</x:v>
      </x:c>
      <x:c r="C56" s="15" t="n">
        <x:v>52</x:v>
      </x:c>
      <x:c r="D56" s="15" t="str">
        <x:v>Configuration</x:v>
      </x:c>
      <x:c r="E56" s="15" t="str">
        <x:v>NOT COMMISSIONED</x:v>
      </x:c>
      <x:c r="F56" s="15" t="str">
        <x:v>OPEN</x:v>
      </x:c>
    </x:row>
    <x:row r="57">
      <x:c r="A57" s="14" t="str">
        <x:v>CH-0053</x:v>
      </x:c>
      <x:c r="B57" s="14" t="str">
        <x:v>SYS-01</x:v>
      </x:c>
      <x:c r="C57" s="14" t="n">
        <x:v>53</x:v>
      </x:c>
      <x:c r="D57" s="14" t="str">
        <x:v>Configuration</x:v>
      </x:c>
      <x:c r="E57" s="14" t="str">
        <x:v>NOT COMMISSIONED</x:v>
      </x:c>
      <x:c r="F57" s="14" t="str">
        <x:v>OPEN</x:v>
      </x:c>
    </x:row>
    <x:row r="58">
      <x:c r="A58" s="15" t="str">
        <x:v>CH-0054</x:v>
      </x:c>
      <x:c r="B58" s="15" t="str">
        <x:v>SYS-01</x:v>
      </x:c>
      <x:c r="C58" s="15" t="n">
        <x:v>54</x:v>
      </x:c>
      <x:c r="D58" s="15" t="str">
        <x:v>Configuration</x:v>
      </x:c>
      <x:c r="E58" s="15" t="str">
        <x:v>NOT COMMISSIONED</x:v>
      </x:c>
      <x:c r="F58" s="15" t="str">
        <x:v>OPEN</x:v>
      </x:c>
    </x:row>
    <x:row r="59">
      <x:c r="A59" s="14" t="str">
        <x:v>CH-0055</x:v>
      </x:c>
      <x:c r="B59" s="14" t="str">
        <x:v>SYS-01</x:v>
      </x:c>
      <x:c r="C59" s="14" t="n">
        <x:v>55</x:v>
      </x:c>
      <x:c r="D59" s="14" t="str">
        <x:v>Configuration</x:v>
      </x:c>
      <x:c r="E59" s="14" t="str">
        <x:v>NOT COMMISSIONED</x:v>
      </x:c>
      <x:c r="F59" s="14" t="str">
        <x:v>OPEN</x:v>
      </x:c>
    </x:row>
    <x:row r="60">
      <x:c r="A60" s="15" t="str">
        <x:v>CH-0056</x:v>
      </x:c>
      <x:c r="B60" s="15" t="str">
        <x:v>SYS-01</x:v>
      </x:c>
      <x:c r="C60" s="15" t="n">
        <x:v>56</x:v>
      </x:c>
      <x:c r="D60" s="15" t="str">
        <x:v>Configuration</x:v>
      </x:c>
      <x:c r="E60" s="15" t="str">
        <x:v>NOT COMMISSIONED</x:v>
      </x:c>
      <x:c r="F60" s="15" t="str">
        <x:v>OPEN</x:v>
      </x:c>
    </x:row>
    <x:row r="61">
      <x:c r="A61" s="14" t="str">
        <x:v>CH-0057</x:v>
      </x:c>
      <x:c r="B61" s="14" t="str">
        <x:v>SYS-01</x:v>
      </x:c>
      <x:c r="C61" s="14" t="n">
        <x:v>57</x:v>
      </x:c>
      <x:c r="D61" s="14" t="str">
        <x:v>Configuration</x:v>
      </x:c>
      <x:c r="E61" s="14" t="str">
        <x:v>NOT COMMISSIONED</x:v>
      </x:c>
      <x:c r="F61" s="14" t="str">
        <x:v>OPEN</x:v>
      </x:c>
    </x:row>
    <x:row r="62">
      <x:c r="A62" s="15" t="str">
        <x:v>CH-0058</x:v>
      </x:c>
      <x:c r="B62" s="15" t="str">
        <x:v>SYS-01</x:v>
      </x:c>
      <x:c r="C62" s="15" t="n">
        <x:v>58</x:v>
      </x:c>
      <x:c r="D62" s="15" t="str">
        <x:v>Configuration</x:v>
      </x:c>
      <x:c r="E62" s="15" t="str">
        <x:v>NOT COMMISSIONED</x:v>
      </x:c>
      <x:c r="F62" s="15" t="str">
        <x:v>OPEN</x:v>
      </x:c>
    </x:row>
    <x:row r="63">
      <x:c r="A63" s="14" t="str">
        <x:v>CH-0059</x:v>
      </x:c>
      <x:c r="B63" s="14" t="str">
        <x:v>SYS-01</x:v>
      </x:c>
      <x:c r="C63" s="14" t="n">
        <x:v>59</x:v>
      </x:c>
      <x:c r="D63" s="14" t="str">
        <x:v>Configuration</x:v>
      </x:c>
      <x:c r="E63" s="14" t="str">
        <x:v>NOT COMMISSIONED</x:v>
      </x:c>
      <x:c r="F63" s="14" t="str">
        <x:v>OPEN</x:v>
      </x:c>
    </x:row>
    <x:row r="64">
      <x:c r="A64" s="15" t="str">
        <x:v>CH-0060</x:v>
      </x:c>
      <x:c r="B64" s="15" t="str">
        <x:v>SYS-01</x:v>
      </x:c>
      <x:c r="C64" s="15" t="n">
        <x:v>60</x:v>
      </x:c>
      <x:c r="D64" s="15" t="str">
        <x:v>Configuration</x:v>
      </x:c>
      <x:c r="E64" s="15" t="str">
        <x:v>NOT COMMISSIONED</x:v>
      </x:c>
      <x:c r="F64" s="15" t="str">
        <x:v>OPEN</x:v>
      </x:c>
    </x:row>
    <x:row r="65">
      <x:c r="A65" s="14" t="str">
        <x:v>CH-0061</x:v>
      </x:c>
      <x:c r="B65" s="14" t="str">
        <x:v>SYS-01</x:v>
      </x:c>
      <x:c r="C65" s="14" t="n">
        <x:v>61</x:v>
      </x:c>
      <x:c r="D65" s="14" t="str">
        <x:v>Configuration</x:v>
      </x:c>
      <x:c r="E65" s="14" t="str">
        <x:v>NOT COMMISSIONED</x:v>
      </x:c>
      <x:c r="F65" s="14" t="str">
        <x:v>OPEN</x:v>
      </x:c>
    </x:row>
    <x:row r="66">
      <x:c r="A66" s="15" t="str">
        <x:v>CH-0062</x:v>
      </x:c>
      <x:c r="B66" s="15" t="str">
        <x:v>SYS-01</x:v>
      </x:c>
      <x:c r="C66" s="15" t="n">
        <x:v>62</x:v>
      </x:c>
      <x:c r="D66" s="15" t="str">
        <x:v>Configuration</x:v>
      </x:c>
      <x:c r="E66" s="15" t="str">
        <x:v>NOT COMMISSIONED</x:v>
      </x:c>
      <x:c r="F66" s="15" t="str">
        <x:v>OPEN</x:v>
      </x:c>
    </x:row>
    <x:row r="67">
      <x:c r="A67" s="14" t="str">
        <x:v>CH-0063</x:v>
      </x:c>
      <x:c r="B67" s="14" t="str">
        <x:v>SYS-01</x:v>
      </x:c>
      <x:c r="C67" s="14" t="n">
        <x:v>63</x:v>
      </x:c>
      <x:c r="D67" s="14" t="str">
        <x:v>Configuration</x:v>
      </x:c>
      <x:c r="E67" s="14" t="str">
        <x:v>NOT COMMISSIONED</x:v>
      </x:c>
      <x:c r="F67" s="14" t="str">
        <x:v>OPEN</x:v>
      </x:c>
    </x:row>
    <x:row r="68">
      <x:c r="A68" s="15" t="str">
        <x:v>CH-0064</x:v>
      </x:c>
      <x:c r="B68" s="15" t="str">
        <x:v>SYS-01</x:v>
      </x:c>
      <x:c r="C68" s="15" t="n">
        <x:v>64</x:v>
      </x:c>
      <x:c r="D68" s="15" t="str">
        <x:v>Configuration</x:v>
      </x:c>
      <x:c r="E68" s="15" t="str">
        <x:v>NOT COMMISSIONED</x:v>
      </x:c>
      <x:c r="F68" s="15" t="str">
        <x:v>OPEN</x:v>
      </x:c>
    </x:row>
    <x:row r="69">
      <x:c r="A69" s="14" t="str">
        <x:v>CH-0065</x:v>
      </x:c>
      <x:c r="B69" s="14" t="str">
        <x:v>SYS-02</x:v>
      </x:c>
      <x:c r="C69" s="14" t="n">
        <x:v>1</x:v>
      </x:c>
      <x:c r="D69" s="14" t="str">
        <x:v>Source</x:v>
      </x:c>
      <x:c r="E69" s="14" t="str">
        <x:v>NOT COMMISSIONED</x:v>
      </x:c>
      <x:c r="F69" s="14" t="str">
        <x:v>OPEN</x:v>
      </x:c>
    </x:row>
    <x:row r="70">
      <x:c r="A70" s="15" t="str">
        <x:v>CH-0066</x:v>
      </x:c>
      <x:c r="B70" s="15" t="str">
        <x:v>SYS-02</x:v>
      </x:c>
      <x:c r="C70" s="15" t="n">
        <x:v>2</x:v>
      </x:c>
      <x:c r="D70" s="15" t="str">
        <x:v>Source</x:v>
      </x:c>
      <x:c r="E70" s="15" t="str">
        <x:v>NOT COMMISSIONED</x:v>
      </x:c>
      <x:c r="F70" s="15" t="str">
        <x:v>OPEN</x:v>
      </x:c>
    </x:row>
    <x:row r="71">
      <x:c r="A71" s="14" t="str">
        <x:v>CH-0067</x:v>
      </x:c>
      <x:c r="B71" s="14" t="str">
        <x:v>SYS-02</x:v>
      </x:c>
      <x:c r="C71" s="14" t="n">
        <x:v>3</x:v>
      </x:c>
      <x:c r="D71" s="14" t="str">
        <x:v>Source</x:v>
      </x:c>
      <x:c r="E71" s="14" t="str">
        <x:v>NOT COMMISSIONED</x:v>
      </x:c>
      <x:c r="F71" s="14" t="str">
        <x:v>OPEN</x:v>
      </x:c>
    </x:row>
    <x:row r="72">
      <x:c r="A72" s="15" t="str">
        <x:v>CH-0068</x:v>
      </x:c>
      <x:c r="B72" s="15" t="str">
        <x:v>SYS-02</x:v>
      </x:c>
      <x:c r="C72" s="15" t="n">
        <x:v>4</x:v>
      </x:c>
      <x:c r="D72" s="15" t="str">
        <x:v>Source</x:v>
      </x:c>
      <x:c r="E72" s="15" t="str">
        <x:v>NOT COMMISSIONED</x:v>
      </x:c>
      <x:c r="F72" s="15" t="str">
        <x:v>OPEN</x:v>
      </x:c>
    </x:row>
    <x:row r="73">
      <x:c r="A73" s="14" t="str">
        <x:v>CH-0069</x:v>
      </x:c>
      <x:c r="B73" s="14" t="str">
        <x:v>SYS-02</x:v>
      </x:c>
      <x:c r="C73" s="14" t="n">
        <x:v>5</x:v>
      </x:c>
      <x:c r="D73" s="14" t="str">
        <x:v>Source</x:v>
      </x:c>
      <x:c r="E73" s="14" t="str">
        <x:v>NOT COMMISSIONED</x:v>
      </x:c>
      <x:c r="F73" s="14" t="str">
        <x:v>OPEN</x:v>
      </x:c>
    </x:row>
    <x:row r="74">
      <x:c r="A74" s="15" t="str">
        <x:v>CH-0070</x:v>
      </x:c>
      <x:c r="B74" s="15" t="str">
        <x:v>SYS-02</x:v>
      </x:c>
      <x:c r="C74" s="15" t="n">
        <x:v>6</x:v>
      </x:c>
      <x:c r="D74" s="15" t="str">
        <x:v>Source</x:v>
      </x:c>
      <x:c r="E74" s="15" t="str">
        <x:v>NOT COMMISSIONED</x:v>
      </x:c>
      <x:c r="F74" s="15" t="str">
        <x:v>OPEN</x:v>
      </x:c>
    </x:row>
    <x:row r="75">
      <x:c r="A75" s="14" t="str">
        <x:v>CH-0071</x:v>
      </x:c>
      <x:c r="B75" s="14" t="str">
        <x:v>SYS-02</x:v>
      </x:c>
      <x:c r="C75" s="14" t="n">
        <x:v>7</x:v>
      </x:c>
      <x:c r="D75" s="14" t="str">
        <x:v>Source</x:v>
      </x:c>
      <x:c r="E75" s="14" t="str">
        <x:v>NOT COMMISSIONED</x:v>
      </x:c>
      <x:c r="F75" s="14" t="str">
        <x:v>OPEN</x:v>
      </x:c>
    </x:row>
    <x:row r="76">
      <x:c r="A76" s="15" t="str">
        <x:v>CH-0072</x:v>
      </x:c>
      <x:c r="B76" s="15" t="str">
        <x:v>SYS-02</x:v>
      </x:c>
      <x:c r="C76" s="15" t="n">
        <x:v>8</x:v>
      </x:c>
      <x:c r="D76" s="15" t="str">
        <x:v>Source</x:v>
      </x:c>
      <x:c r="E76" s="15" t="str">
        <x:v>NOT COMMISSIONED</x:v>
      </x:c>
      <x:c r="F76" s="15" t="str">
        <x:v>OPEN</x:v>
      </x:c>
    </x:row>
    <x:row r="77">
      <x:c r="A77" s="14" t="str">
        <x:v>CH-0073</x:v>
      </x:c>
      <x:c r="B77" s="14" t="str">
        <x:v>SYS-02</x:v>
      </x:c>
      <x:c r="C77" s="14" t="n">
        <x:v>9</x:v>
      </x:c>
      <x:c r="D77" s="14" t="str">
        <x:v>Source</x:v>
      </x:c>
      <x:c r="E77" s="14" t="str">
        <x:v>NOT COMMISSIONED</x:v>
      </x:c>
      <x:c r="F77" s="14" t="str">
        <x:v>OPEN</x:v>
      </x:c>
    </x:row>
    <x:row r="78">
      <x:c r="A78" s="15" t="str">
        <x:v>CH-0074</x:v>
      </x:c>
      <x:c r="B78" s="15" t="str">
        <x:v>SYS-02</x:v>
      </x:c>
      <x:c r="C78" s="15" t="n">
        <x:v>10</x:v>
      </x:c>
      <x:c r="D78" s="15" t="str">
        <x:v>Source</x:v>
      </x:c>
      <x:c r="E78" s="15" t="str">
        <x:v>NOT COMMISSIONED</x:v>
      </x:c>
      <x:c r="F78" s="15" t="str">
        <x:v>OPEN</x:v>
      </x:c>
    </x:row>
    <x:row r="79">
      <x:c r="A79" s="14" t="str">
        <x:v>CH-0075</x:v>
      </x:c>
      <x:c r="B79" s="14" t="str">
        <x:v>SYS-02</x:v>
      </x:c>
      <x:c r="C79" s="14" t="n">
        <x:v>11</x:v>
      </x:c>
      <x:c r="D79" s="14" t="str">
        <x:v>Source</x:v>
      </x:c>
      <x:c r="E79" s="14" t="str">
        <x:v>NOT COMMISSIONED</x:v>
      </x:c>
      <x:c r="F79" s="14" t="str">
        <x:v>OPEN</x:v>
      </x:c>
    </x:row>
    <x:row r="80">
      <x:c r="A80" s="15" t="str">
        <x:v>CH-0076</x:v>
      </x:c>
      <x:c r="B80" s="15" t="str">
        <x:v>SYS-02</x:v>
      </x:c>
      <x:c r="C80" s="15" t="n">
        <x:v>12</x:v>
      </x:c>
      <x:c r="D80" s="15" t="str">
        <x:v>Source</x:v>
      </x:c>
      <x:c r="E80" s="15" t="str">
        <x:v>NOT COMMISSIONED</x:v>
      </x:c>
      <x:c r="F80" s="15" t="str">
        <x:v>OPEN</x:v>
      </x:c>
    </x:row>
    <x:row r="81">
      <x:c r="A81" s="14" t="str">
        <x:v>CH-0077</x:v>
      </x:c>
      <x:c r="B81" s="14" t="str">
        <x:v>SYS-02</x:v>
      </x:c>
      <x:c r="C81" s="14" t="n">
        <x:v>13</x:v>
      </x:c>
      <x:c r="D81" s="14" t="str">
        <x:v>Source</x:v>
      </x:c>
      <x:c r="E81" s="14" t="str">
        <x:v>NOT COMMISSIONED</x:v>
      </x:c>
      <x:c r="F81" s="14" t="str">
        <x:v>OPEN</x:v>
      </x:c>
    </x:row>
    <x:row r="82">
      <x:c r="A82" s="15" t="str">
        <x:v>CH-0078</x:v>
      </x:c>
      <x:c r="B82" s="15" t="str">
        <x:v>SYS-02</x:v>
      </x:c>
      <x:c r="C82" s="15" t="n">
        <x:v>14</x:v>
      </x:c>
      <x:c r="D82" s="15" t="str">
        <x:v>Source</x:v>
      </x:c>
      <x:c r="E82" s="15" t="str">
        <x:v>NOT COMMISSIONED</x:v>
      </x:c>
      <x:c r="F82" s="15" t="str">
        <x:v>OPEN</x:v>
      </x:c>
    </x:row>
    <x:row r="83">
      <x:c r="A83" s="14" t="str">
        <x:v>CH-0079</x:v>
      </x:c>
      <x:c r="B83" s="14" t="str">
        <x:v>SYS-02</x:v>
      </x:c>
      <x:c r="C83" s="14" t="n">
        <x:v>15</x:v>
      </x:c>
      <x:c r="D83" s="14" t="str">
        <x:v>Source</x:v>
      </x:c>
      <x:c r="E83" s="14" t="str">
        <x:v>NOT COMMISSIONED</x:v>
      </x:c>
      <x:c r="F83" s="14" t="str">
        <x:v>OPEN</x:v>
      </x:c>
    </x:row>
    <x:row r="84">
      <x:c r="A84" s="15" t="str">
        <x:v>CH-0080</x:v>
      </x:c>
      <x:c r="B84" s="15" t="str">
        <x:v>SYS-02</x:v>
      </x:c>
      <x:c r="C84" s="15" t="n">
        <x:v>16</x:v>
      </x:c>
      <x:c r="D84" s="15" t="str">
        <x:v>Source</x:v>
      </x:c>
      <x:c r="E84" s="15" t="str">
        <x:v>NOT COMMISSIONED</x:v>
      </x:c>
      <x:c r="F84" s="15" t="str">
        <x:v>OPEN</x:v>
      </x:c>
    </x:row>
    <x:row r="85">
      <x:c r="A85" s="14" t="str">
        <x:v>CH-0081</x:v>
      </x:c>
      <x:c r="B85" s="14" t="str">
        <x:v>SYS-02</x:v>
      </x:c>
      <x:c r="C85" s="14" t="n">
        <x:v>17</x:v>
      </x:c>
      <x:c r="D85" s="14" t="str">
        <x:v>Source</x:v>
      </x:c>
      <x:c r="E85" s="14" t="str">
        <x:v>NOT COMMISSIONED</x:v>
      </x:c>
      <x:c r="F85" s="14" t="str">
        <x:v>OPEN</x:v>
      </x:c>
    </x:row>
    <x:row r="86">
      <x:c r="A86" s="15" t="str">
        <x:v>CH-0082</x:v>
      </x:c>
      <x:c r="B86" s="15" t="str">
        <x:v>SYS-02</x:v>
      </x:c>
      <x:c r="C86" s="15" t="n">
        <x:v>18</x:v>
      </x:c>
      <x:c r="D86" s="15" t="str">
        <x:v>Source</x:v>
      </x:c>
      <x:c r="E86" s="15" t="str">
        <x:v>NOT COMMISSIONED</x:v>
      </x:c>
      <x:c r="F86" s="15" t="str">
        <x:v>OPEN</x:v>
      </x:c>
    </x:row>
    <x:row r="87">
      <x:c r="A87" s="14" t="str">
        <x:v>CH-0083</x:v>
      </x:c>
      <x:c r="B87" s="14" t="str">
        <x:v>SYS-02</x:v>
      </x:c>
      <x:c r="C87" s="14" t="n">
        <x:v>19</x:v>
      </x:c>
      <x:c r="D87" s="14" t="str">
        <x:v>Source</x:v>
      </x:c>
      <x:c r="E87" s="14" t="str">
        <x:v>NOT COMMISSIONED</x:v>
      </x:c>
      <x:c r="F87" s="14" t="str">
        <x:v>OPEN</x:v>
      </x:c>
    </x:row>
    <x:row r="88">
      <x:c r="A88" s="15" t="str">
        <x:v>CH-0084</x:v>
      </x:c>
      <x:c r="B88" s="15" t="str">
        <x:v>SYS-02</x:v>
      </x:c>
      <x:c r="C88" s="15" t="n">
        <x:v>20</x:v>
      </x:c>
      <x:c r="D88" s="15" t="str">
        <x:v>Source</x:v>
      </x:c>
      <x:c r="E88" s="15" t="str">
        <x:v>NOT COMMISSIONED</x:v>
      </x:c>
      <x:c r="F88" s="15" t="str">
        <x:v>OPEN</x:v>
      </x:c>
    </x:row>
    <x:row r="89">
      <x:c r="A89" s="14" t="str">
        <x:v>CH-0085</x:v>
      </x:c>
      <x:c r="B89" s="14" t="str">
        <x:v>SYS-02</x:v>
      </x:c>
      <x:c r="C89" s="14" t="n">
        <x:v>21</x:v>
      </x:c>
      <x:c r="D89" s="14" t="str">
        <x:v>Source</x:v>
      </x:c>
      <x:c r="E89" s="14" t="str">
        <x:v>NOT COMMISSIONED</x:v>
      </x:c>
      <x:c r="F89" s="14" t="str">
        <x:v>OPEN</x:v>
      </x:c>
    </x:row>
    <x:row r="90">
      <x:c r="A90" s="15" t="str">
        <x:v>CH-0086</x:v>
      </x:c>
      <x:c r="B90" s="15" t="str">
        <x:v>SYS-02</x:v>
      </x:c>
      <x:c r="C90" s="15" t="n">
        <x:v>22</x:v>
      </x:c>
      <x:c r="D90" s="15" t="str">
        <x:v>Source</x:v>
      </x:c>
      <x:c r="E90" s="15" t="str">
        <x:v>NOT COMMISSIONED</x:v>
      </x:c>
      <x:c r="F90" s="15" t="str">
        <x:v>OPEN</x:v>
      </x:c>
    </x:row>
    <x:row r="91">
      <x:c r="A91" s="14" t="str">
        <x:v>CH-0087</x:v>
      </x:c>
      <x:c r="B91" s="14" t="str">
        <x:v>SYS-02</x:v>
      </x:c>
      <x:c r="C91" s="14" t="n">
        <x:v>23</x:v>
      </x:c>
      <x:c r="D91" s="14" t="str">
        <x:v>Source</x:v>
      </x:c>
      <x:c r="E91" s="14" t="str">
        <x:v>NOT COMMISSIONED</x:v>
      </x:c>
      <x:c r="F91" s="14" t="str">
        <x:v>OPEN</x:v>
      </x:c>
    </x:row>
    <x:row r="92">
      <x:c r="A92" s="15" t="str">
        <x:v>CH-0088</x:v>
      </x:c>
      <x:c r="B92" s="15" t="str">
        <x:v>SYS-02</x:v>
      </x:c>
      <x:c r="C92" s="15" t="n">
        <x:v>24</x:v>
      </x:c>
      <x:c r="D92" s="15" t="str">
        <x:v>Source</x:v>
      </x:c>
      <x:c r="E92" s="15" t="str">
        <x:v>NOT COMMISSIONED</x:v>
      </x:c>
      <x:c r="F92" s="15" t="str">
        <x:v>OPEN</x:v>
      </x:c>
    </x:row>
    <x:row r="93">
      <x:c r="A93" s="14" t="str">
        <x:v>CH-0089</x:v>
      </x:c>
      <x:c r="B93" s="14" t="str">
        <x:v>SYS-02</x:v>
      </x:c>
      <x:c r="C93" s="14" t="n">
        <x:v>25</x:v>
      </x:c>
      <x:c r="D93" s="14" t="str">
        <x:v>Source</x:v>
      </x:c>
      <x:c r="E93" s="14" t="str">
        <x:v>NOT COMMISSIONED</x:v>
      </x:c>
      <x:c r="F93" s="14" t="str">
        <x:v>OPEN</x:v>
      </x:c>
    </x:row>
    <x:row r="94">
      <x:c r="A94" s="15" t="str">
        <x:v>CH-0090</x:v>
      </x:c>
      <x:c r="B94" s="15" t="str">
        <x:v>SYS-02</x:v>
      </x:c>
      <x:c r="C94" s="15" t="n">
        <x:v>26</x:v>
      </x:c>
      <x:c r="D94" s="15" t="str">
        <x:v>Source</x:v>
      </x:c>
      <x:c r="E94" s="15" t="str">
        <x:v>NOT COMMISSIONED</x:v>
      </x:c>
      <x:c r="F94" s="15" t="str">
        <x:v>OPEN</x:v>
      </x:c>
    </x:row>
    <x:row r="95">
      <x:c r="A95" s="14" t="str">
        <x:v>CH-0091</x:v>
      </x:c>
      <x:c r="B95" s="14" t="str">
        <x:v>SYS-02</x:v>
      </x:c>
      <x:c r="C95" s="14" t="n">
        <x:v>27</x:v>
      </x:c>
      <x:c r="D95" s="14" t="str">
        <x:v>Source</x:v>
      </x:c>
      <x:c r="E95" s="14" t="str">
        <x:v>NOT COMMISSIONED</x:v>
      </x:c>
      <x:c r="F95" s="14" t="str">
        <x:v>OPEN</x:v>
      </x:c>
    </x:row>
    <x:row r="96">
      <x:c r="A96" s="15" t="str">
        <x:v>CH-0092</x:v>
      </x:c>
      <x:c r="B96" s="15" t="str">
        <x:v>SYS-02</x:v>
      </x:c>
      <x:c r="C96" s="15" t="n">
        <x:v>28</x:v>
      </x:c>
      <x:c r="D96" s="15" t="str">
        <x:v>Source</x:v>
      </x:c>
      <x:c r="E96" s="15" t="str">
        <x:v>NOT COMMISSIONED</x:v>
      </x:c>
      <x:c r="F96" s="15" t="str">
        <x:v>OPEN</x:v>
      </x:c>
    </x:row>
    <x:row r="97">
      <x:c r="A97" s="14" t="str">
        <x:v>CH-0093</x:v>
      </x:c>
      <x:c r="B97" s="14" t="str">
        <x:v>SYS-02</x:v>
      </x:c>
      <x:c r="C97" s="14" t="n">
        <x:v>29</x:v>
      </x:c>
      <x:c r="D97" s="14" t="str">
        <x:v>Source</x:v>
      </x:c>
      <x:c r="E97" s="14" t="str">
        <x:v>NOT COMMISSIONED</x:v>
      </x:c>
      <x:c r="F97" s="14" t="str">
        <x:v>OPEN</x:v>
      </x:c>
    </x:row>
    <x:row r="98">
      <x:c r="A98" s="15" t="str">
        <x:v>CH-0094</x:v>
      </x:c>
      <x:c r="B98" s="15" t="str">
        <x:v>SYS-02</x:v>
      </x:c>
      <x:c r="C98" s="15" t="n">
        <x:v>30</x:v>
      </x:c>
      <x:c r="D98" s="15" t="str">
        <x:v>Source</x:v>
      </x:c>
      <x:c r="E98" s="15" t="str">
        <x:v>NOT COMMISSIONED</x:v>
      </x:c>
      <x:c r="F98" s="15" t="str">
        <x:v>OPEN</x:v>
      </x:c>
    </x:row>
    <x:row r="99">
      <x:c r="A99" s="14" t="str">
        <x:v>CH-0095</x:v>
      </x:c>
      <x:c r="B99" s="14" t="str">
        <x:v>SYS-02</x:v>
      </x:c>
      <x:c r="C99" s="14" t="n">
        <x:v>31</x:v>
      </x:c>
      <x:c r="D99" s="14" t="str">
        <x:v>Source</x:v>
      </x:c>
      <x:c r="E99" s="14" t="str">
        <x:v>NOT COMMISSIONED</x:v>
      </x:c>
      <x:c r="F99" s="14" t="str">
        <x:v>OPEN</x:v>
      </x:c>
    </x:row>
    <x:row r="100">
      <x:c r="A100" s="15" t="str">
        <x:v>CH-0096</x:v>
      </x:c>
      <x:c r="B100" s="15" t="str">
        <x:v>SYS-02</x:v>
      </x:c>
      <x:c r="C100" s="15" t="n">
        <x:v>32</x:v>
      </x:c>
      <x:c r="D100" s="15" t="str">
        <x:v>Source</x:v>
      </x:c>
      <x:c r="E100" s="15" t="str">
        <x:v>NOT COMMISSIONED</x:v>
      </x:c>
      <x:c r="F100" s="15" t="str">
        <x:v>OPEN</x:v>
      </x:c>
    </x:row>
    <x:row r="101">
      <x:c r="A101" s="14" t="str">
        <x:v>CH-0097</x:v>
      </x:c>
      <x:c r="B101" s="14" t="str">
        <x:v>SYS-02</x:v>
      </x:c>
      <x:c r="C101" s="14" t="n">
        <x:v>33</x:v>
      </x:c>
      <x:c r="D101" s="14" t="str">
        <x:v>Source</x:v>
      </x:c>
      <x:c r="E101" s="14" t="str">
        <x:v>NOT COMMISSIONED</x:v>
      </x:c>
      <x:c r="F101" s="14" t="str">
        <x:v>OPEN</x:v>
      </x:c>
    </x:row>
    <x:row r="102">
      <x:c r="A102" s="15" t="str">
        <x:v>CH-0098</x:v>
      </x:c>
      <x:c r="B102" s="15" t="str">
        <x:v>SYS-02</x:v>
      </x:c>
      <x:c r="C102" s="15" t="n">
        <x:v>34</x:v>
      </x:c>
      <x:c r="D102" s="15" t="str">
        <x:v>Source</x:v>
      </x:c>
      <x:c r="E102" s="15" t="str">
        <x:v>NOT COMMISSIONED</x:v>
      </x:c>
      <x:c r="F102" s="15" t="str">
        <x:v>OPEN</x:v>
      </x:c>
    </x:row>
    <x:row r="103">
      <x:c r="A103" s="14" t="str">
        <x:v>CH-0099</x:v>
      </x:c>
      <x:c r="B103" s="14" t="str">
        <x:v>SYS-02</x:v>
      </x:c>
      <x:c r="C103" s="14" t="n">
        <x:v>35</x:v>
      </x:c>
      <x:c r="D103" s="14" t="str">
        <x:v>Source</x:v>
      </x:c>
      <x:c r="E103" s="14" t="str">
        <x:v>NOT COMMISSIONED</x:v>
      </x:c>
      <x:c r="F103" s="14" t="str">
        <x:v>OPEN</x:v>
      </x:c>
    </x:row>
    <x:row r="104">
      <x:c r="A104" s="15" t="str">
        <x:v>CH-0100</x:v>
      </x:c>
      <x:c r="B104" s="15" t="str">
        <x:v>SYS-02</x:v>
      </x:c>
      <x:c r="C104" s="15" t="n">
        <x:v>36</x:v>
      </x:c>
      <x:c r="D104" s="15" t="str">
        <x:v>Source</x:v>
      </x:c>
      <x:c r="E104" s="15" t="str">
        <x:v>NOT COMMISSIONED</x:v>
      </x:c>
      <x:c r="F104" s="15" t="str">
        <x:v>OPEN</x:v>
      </x:c>
    </x:row>
    <x:row r="105">
      <x:c r="A105" s="14" t="str">
        <x:v>CH-0101</x:v>
      </x:c>
      <x:c r="B105" s="14" t="str">
        <x:v>SYS-02</x:v>
      </x:c>
      <x:c r="C105" s="14" t="n">
        <x:v>37</x:v>
      </x:c>
      <x:c r="D105" s="14" t="str">
        <x:v>Source</x:v>
      </x:c>
      <x:c r="E105" s="14" t="str">
        <x:v>NOT COMMISSIONED</x:v>
      </x:c>
      <x:c r="F105" s="14" t="str">
        <x:v>OPEN</x:v>
      </x:c>
    </x:row>
    <x:row r="106">
      <x:c r="A106" s="15" t="str">
        <x:v>CH-0102</x:v>
      </x:c>
      <x:c r="B106" s="15" t="str">
        <x:v>SYS-02</x:v>
      </x:c>
      <x:c r="C106" s="15" t="n">
        <x:v>38</x:v>
      </x:c>
      <x:c r="D106" s="15" t="str">
        <x:v>Source</x:v>
      </x:c>
      <x:c r="E106" s="15" t="str">
        <x:v>NOT COMMISSIONED</x:v>
      </x:c>
      <x:c r="F106" s="15" t="str">
        <x:v>OPEN</x:v>
      </x:c>
    </x:row>
    <x:row r="107">
      <x:c r="A107" s="14" t="str">
        <x:v>CH-0103</x:v>
      </x:c>
      <x:c r="B107" s="14" t="str">
        <x:v>SYS-02</x:v>
      </x:c>
      <x:c r="C107" s="14" t="n">
        <x:v>39</x:v>
      </x:c>
      <x:c r="D107" s="14" t="str">
        <x:v>Source</x:v>
      </x:c>
      <x:c r="E107" s="14" t="str">
        <x:v>NOT COMMISSIONED</x:v>
      </x:c>
      <x:c r="F107" s="14" t="str">
        <x:v>OPEN</x:v>
      </x:c>
    </x:row>
    <x:row r="108">
      <x:c r="A108" s="15" t="str">
        <x:v>CH-0104</x:v>
      </x:c>
      <x:c r="B108" s="15" t="str">
        <x:v>SYS-02</x:v>
      </x:c>
      <x:c r="C108" s="15" t="n">
        <x:v>40</x:v>
      </x:c>
      <x:c r="D108" s="15" t="str">
        <x:v>Source</x:v>
      </x:c>
      <x:c r="E108" s="15" t="str">
        <x:v>NOT COMMISSIONED</x:v>
      </x:c>
      <x:c r="F108" s="15" t="str">
        <x:v>OPEN</x:v>
      </x:c>
    </x:row>
    <x:row r="109">
      <x:c r="A109" s="14" t="str">
        <x:v>CH-0105</x:v>
      </x:c>
      <x:c r="B109" s="14" t="str">
        <x:v>SYS-02</x:v>
      </x:c>
      <x:c r="C109" s="14" t="n">
        <x:v>41</x:v>
      </x:c>
      <x:c r="D109" s="14" t="str">
        <x:v>Source</x:v>
      </x:c>
      <x:c r="E109" s="14" t="str">
        <x:v>NOT COMMISSIONED</x:v>
      </x:c>
      <x:c r="F109" s="14" t="str">
        <x:v>OPEN</x:v>
      </x:c>
    </x:row>
    <x:row r="110">
      <x:c r="A110" s="15" t="str">
        <x:v>CH-0106</x:v>
      </x:c>
      <x:c r="B110" s="15" t="str">
        <x:v>SYS-02</x:v>
      </x:c>
      <x:c r="C110" s="15" t="n">
        <x:v>42</x:v>
      </x:c>
      <x:c r="D110" s="15" t="str">
        <x:v>Source</x:v>
      </x:c>
      <x:c r="E110" s="15" t="str">
        <x:v>NOT COMMISSIONED</x:v>
      </x:c>
      <x:c r="F110" s="15" t="str">
        <x:v>OPEN</x:v>
      </x:c>
    </x:row>
    <x:row r="111">
      <x:c r="A111" s="14" t="str">
        <x:v>CH-0107</x:v>
      </x:c>
      <x:c r="B111" s="14" t="str">
        <x:v>SYS-02</x:v>
      </x:c>
      <x:c r="C111" s="14" t="n">
        <x:v>43</x:v>
      </x:c>
      <x:c r="D111" s="14" t="str">
        <x:v>Source</x:v>
      </x:c>
      <x:c r="E111" s="14" t="str">
        <x:v>NOT COMMISSIONED</x:v>
      </x:c>
      <x:c r="F111" s="14" t="str">
        <x:v>OPEN</x:v>
      </x:c>
    </x:row>
    <x:row r="112">
      <x:c r="A112" s="15" t="str">
        <x:v>CH-0108</x:v>
      </x:c>
      <x:c r="B112" s="15" t="str">
        <x:v>SYS-02</x:v>
      </x:c>
      <x:c r="C112" s="15" t="n">
        <x:v>44</x:v>
      </x:c>
      <x:c r="D112" s="15" t="str">
        <x:v>Source</x:v>
      </x:c>
      <x:c r="E112" s="15" t="str">
        <x:v>NOT COMMISSIONED</x:v>
      </x:c>
      <x:c r="F112" s="15" t="str">
        <x:v>OPEN</x:v>
      </x:c>
    </x:row>
    <x:row r="113">
      <x:c r="A113" s="14" t="str">
        <x:v>CH-0109</x:v>
      </x:c>
      <x:c r="B113" s="14" t="str">
        <x:v>SYS-02</x:v>
      </x:c>
      <x:c r="C113" s="14" t="n">
        <x:v>45</x:v>
      </x:c>
      <x:c r="D113" s="14" t="str">
        <x:v>Source</x:v>
      </x:c>
      <x:c r="E113" s="14" t="str">
        <x:v>NOT COMMISSIONED</x:v>
      </x:c>
      <x:c r="F113" s="14" t="str">
        <x:v>OPEN</x:v>
      </x:c>
    </x:row>
    <x:row r="114">
      <x:c r="A114" s="15" t="str">
        <x:v>CH-0110</x:v>
      </x:c>
      <x:c r="B114" s="15" t="str">
        <x:v>SYS-02</x:v>
      </x:c>
      <x:c r="C114" s="15" t="n">
        <x:v>46</x:v>
      </x:c>
      <x:c r="D114" s="15" t="str">
        <x:v>Source</x:v>
      </x:c>
      <x:c r="E114" s="15" t="str">
        <x:v>NOT COMMISSIONED</x:v>
      </x:c>
      <x:c r="F114" s="15" t="str">
        <x:v>OPEN</x:v>
      </x:c>
    </x:row>
    <x:row r="115">
      <x:c r="A115" s="14" t="str">
        <x:v>CH-0111</x:v>
      </x:c>
      <x:c r="B115" s="14" t="str">
        <x:v>SYS-02</x:v>
      </x:c>
      <x:c r="C115" s="14" t="n">
        <x:v>47</x:v>
      </x:c>
      <x:c r="D115" s="14" t="str">
        <x:v>Source</x:v>
      </x:c>
      <x:c r="E115" s="14" t="str">
        <x:v>NOT COMMISSIONED</x:v>
      </x:c>
      <x:c r="F115" s="14" t="str">
        <x:v>OPEN</x:v>
      </x:c>
    </x:row>
    <x:row r="116">
      <x:c r="A116" s="15" t="str">
        <x:v>CH-0112</x:v>
      </x:c>
      <x:c r="B116" s="15" t="str">
        <x:v>SYS-02</x:v>
      </x:c>
      <x:c r="C116" s="15" t="n">
        <x:v>48</x:v>
      </x:c>
      <x:c r="D116" s="15" t="str">
        <x:v>Source</x:v>
      </x:c>
      <x:c r="E116" s="15" t="str">
        <x:v>NOT COMMISSIONED</x:v>
      </x:c>
      <x:c r="F116" s="15" t="str">
        <x:v>OPEN</x:v>
      </x:c>
    </x:row>
    <x:row r="117">
      <x:c r="A117" s="14" t="str">
        <x:v>CH-0113</x:v>
      </x:c>
      <x:c r="B117" s="14" t="str">
        <x:v>SYS-02</x:v>
      </x:c>
      <x:c r="C117" s="14" t="n">
        <x:v>49</x:v>
      </x:c>
      <x:c r="D117" s="14" t="str">
        <x:v>Source</x:v>
      </x:c>
      <x:c r="E117" s="14" t="str">
        <x:v>NOT COMMISSIONED</x:v>
      </x:c>
      <x:c r="F117" s="14" t="str">
        <x:v>OPEN</x:v>
      </x:c>
    </x:row>
    <x:row r="118">
      <x:c r="A118" s="15" t="str">
        <x:v>CH-0114</x:v>
      </x:c>
      <x:c r="B118" s="15" t="str">
        <x:v>SYS-02</x:v>
      </x:c>
      <x:c r="C118" s="15" t="n">
        <x:v>50</x:v>
      </x:c>
      <x:c r="D118" s="15" t="str">
        <x:v>Source</x:v>
      </x:c>
      <x:c r="E118" s="15" t="str">
        <x:v>NOT COMMISSIONED</x:v>
      </x:c>
      <x:c r="F118" s="15" t="str">
        <x:v>OPEN</x:v>
      </x:c>
    </x:row>
    <x:row r="119">
      <x:c r="A119" s="14" t="str">
        <x:v>CH-0115</x:v>
      </x:c>
      <x:c r="B119" s="14" t="str">
        <x:v>SYS-02</x:v>
      </x:c>
      <x:c r="C119" s="14" t="n">
        <x:v>51</x:v>
      </x:c>
      <x:c r="D119" s="14" t="str">
        <x:v>Source</x:v>
      </x:c>
      <x:c r="E119" s="14" t="str">
        <x:v>NOT COMMISSIONED</x:v>
      </x:c>
      <x:c r="F119" s="14" t="str">
        <x:v>OPEN</x:v>
      </x:c>
    </x:row>
    <x:row r="120">
      <x:c r="A120" s="15" t="str">
        <x:v>CH-0116</x:v>
      </x:c>
      <x:c r="B120" s="15" t="str">
        <x:v>SYS-02</x:v>
      </x:c>
      <x:c r="C120" s="15" t="n">
        <x:v>52</x:v>
      </x:c>
      <x:c r="D120" s="15" t="str">
        <x:v>Source</x:v>
      </x:c>
      <x:c r="E120" s="15" t="str">
        <x:v>NOT COMMISSIONED</x:v>
      </x:c>
      <x:c r="F120" s="15" t="str">
        <x:v>OPEN</x:v>
      </x:c>
    </x:row>
    <x:row r="121">
      <x:c r="A121" s="14" t="str">
        <x:v>CH-0117</x:v>
      </x:c>
      <x:c r="B121" s="14" t="str">
        <x:v>SYS-02</x:v>
      </x:c>
      <x:c r="C121" s="14" t="n">
        <x:v>53</x:v>
      </x:c>
      <x:c r="D121" s="14" t="str">
        <x:v>Source</x:v>
      </x:c>
      <x:c r="E121" s="14" t="str">
        <x:v>NOT COMMISSIONED</x:v>
      </x:c>
      <x:c r="F121" s="14" t="str">
        <x:v>OPEN</x:v>
      </x:c>
    </x:row>
    <x:row r="122">
      <x:c r="A122" s="15" t="str">
        <x:v>CH-0118</x:v>
      </x:c>
      <x:c r="B122" s="15" t="str">
        <x:v>SYS-02</x:v>
      </x:c>
      <x:c r="C122" s="15" t="n">
        <x:v>54</x:v>
      </x:c>
      <x:c r="D122" s="15" t="str">
        <x:v>Source</x:v>
      </x:c>
      <x:c r="E122" s="15" t="str">
        <x:v>NOT COMMISSIONED</x:v>
      </x:c>
      <x:c r="F122" s="15" t="str">
        <x:v>OPEN</x:v>
      </x:c>
    </x:row>
    <x:row r="123">
      <x:c r="A123" s="14" t="str">
        <x:v>CH-0119</x:v>
      </x:c>
      <x:c r="B123" s="14" t="str">
        <x:v>SYS-02</x:v>
      </x:c>
      <x:c r="C123" s="14" t="n">
        <x:v>55</x:v>
      </x:c>
      <x:c r="D123" s="14" t="str">
        <x:v>Source</x:v>
      </x:c>
      <x:c r="E123" s="14" t="str">
        <x:v>NOT COMMISSIONED</x:v>
      </x:c>
      <x:c r="F123" s="14" t="str">
        <x:v>OPEN</x:v>
      </x:c>
    </x:row>
    <x:row r="124">
      <x:c r="A124" s="15" t="str">
        <x:v>CH-0120</x:v>
      </x:c>
      <x:c r="B124" s="15" t="str">
        <x:v>SYS-02</x:v>
      </x:c>
      <x:c r="C124" s="15" t="n">
        <x:v>56</x:v>
      </x:c>
      <x:c r="D124" s="15" t="str">
        <x:v>Source</x:v>
      </x:c>
      <x:c r="E124" s="15" t="str">
        <x:v>NOT COMMISSIONED</x:v>
      </x:c>
      <x:c r="F124" s="15" t="str">
        <x:v>OPEN</x:v>
      </x:c>
    </x:row>
    <x:row r="125">
      <x:c r="A125" s="14" t="str">
        <x:v>CH-0121</x:v>
      </x:c>
      <x:c r="B125" s="14" t="str">
        <x:v>SYS-02</x:v>
      </x:c>
      <x:c r="C125" s="14" t="n">
        <x:v>57</x:v>
      </x:c>
      <x:c r="D125" s="14" t="str">
        <x:v>Source</x:v>
      </x:c>
      <x:c r="E125" s="14" t="str">
        <x:v>NOT COMMISSIONED</x:v>
      </x:c>
      <x:c r="F125" s="14" t="str">
        <x:v>OPEN</x:v>
      </x:c>
    </x:row>
    <x:row r="126">
      <x:c r="A126" s="15" t="str">
        <x:v>CH-0122</x:v>
      </x:c>
      <x:c r="B126" s="15" t="str">
        <x:v>SYS-02</x:v>
      </x:c>
      <x:c r="C126" s="15" t="n">
        <x:v>58</x:v>
      </x:c>
      <x:c r="D126" s="15" t="str">
        <x:v>Source</x:v>
      </x:c>
      <x:c r="E126" s="15" t="str">
        <x:v>NOT COMMISSIONED</x:v>
      </x:c>
      <x:c r="F126" s="15" t="str">
        <x:v>OPEN</x:v>
      </x:c>
    </x:row>
    <x:row r="127">
      <x:c r="A127" s="14" t="str">
        <x:v>CH-0123</x:v>
      </x:c>
      <x:c r="B127" s="14" t="str">
        <x:v>SYS-02</x:v>
      </x:c>
      <x:c r="C127" s="14" t="n">
        <x:v>59</x:v>
      </x:c>
      <x:c r="D127" s="14" t="str">
        <x:v>Source</x:v>
      </x:c>
      <x:c r="E127" s="14" t="str">
        <x:v>NOT COMMISSIONED</x:v>
      </x:c>
      <x:c r="F127" s="14" t="str">
        <x:v>OPEN</x:v>
      </x:c>
    </x:row>
    <x:row r="128">
      <x:c r="A128" s="15" t="str">
        <x:v>CH-0124</x:v>
      </x:c>
      <x:c r="B128" s="15" t="str">
        <x:v>SYS-02</x:v>
      </x:c>
      <x:c r="C128" s="15" t="n">
        <x:v>60</x:v>
      </x:c>
      <x:c r="D128" s="15" t="str">
        <x:v>Source</x:v>
      </x:c>
      <x:c r="E128" s="15" t="str">
        <x:v>NOT COMMISSIONED</x:v>
      </x:c>
      <x:c r="F128" s="15" t="str">
        <x:v>OPEN</x:v>
      </x:c>
    </x:row>
    <x:row r="129">
      <x:c r="A129" s="14" t="str">
        <x:v>CH-0125</x:v>
      </x:c>
      <x:c r="B129" s="14" t="str">
        <x:v>SYS-02</x:v>
      </x:c>
      <x:c r="C129" s="14" t="n">
        <x:v>61</x:v>
      </x:c>
      <x:c r="D129" s="14" t="str">
        <x:v>Source</x:v>
      </x:c>
      <x:c r="E129" s="14" t="str">
        <x:v>NOT COMMISSIONED</x:v>
      </x:c>
      <x:c r="F129" s="14" t="str">
        <x:v>OPEN</x:v>
      </x:c>
    </x:row>
    <x:row r="130">
      <x:c r="A130" s="15" t="str">
        <x:v>CH-0126</x:v>
      </x:c>
      <x:c r="B130" s="15" t="str">
        <x:v>SYS-02</x:v>
      </x:c>
      <x:c r="C130" s="15" t="n">
        <x:v>62</x:v>
      </x:c>
      <x:c r="D130" s="15" t="str">
        <x:v>Source</x:v>
      </x:c>
      <x:c r="E130" s="15" t="str">
        <x:v>NOT COMMISSIONED</x:v>
      </x:c>
      <x:c r="F130" s="15" t="str">
        <x:v>OPEN</x:v>
      </x:c>
    </x:row>
    <x:row r="131">
      <x:c r="A131" s="14" t="str">
        <x:v>CH-0127</x:v>
      </x:c>
      <x:c r="B131" s="14" t="str">
        <x:v>SYS-02</x:v>
      </x:c>
      <x:c r="C131" s="14" t="n">
        <x:v>63</x:v>
      </x:c>
      <x:c r="D131" s="14" t="str">
        <x:v>Source</x:v>
      </x:c>
      <x:c r="E131" s="14" t="str">
        <x:v>NOT COMMISSIONED</x:v>
      </x:c>
      <x:c r="F131" s="14" t="str">
        <x:v>OPEN</x:v>
      </x:c>
    </x:row>
    <x:row r="132">
      <x:c r="A132" s="15" t="str">
        <x:v>CH-0128</x:v>
      </x:c>
      <x:c r="B132" s="15" t="str">
        <x:v>SYS-02</x:v>
      </x:c>
      <x:c r="C132" s="15" t="n">
        <x:v>64</x:v>
      </x:c>
      <x:c r="D132" s="15" t="str">
        <x:v>Source</x:v>
      </x:c>
      <x:c r="E132" s="15" t="str">
        <x:v>NOT COMMISSIONED</x:v>
      </x:c>
      <x:c r="F132" s="15" t="str">
        <x:v>OPEN</x:v>
      </x:c>
    </x:row>
    <x:row r="133">
      <x:c r="A133" s="14" t="str">
        <x:v>CH-0129</x:v>
      </x:c>
      <x:c r="B133" s="14" t="str">
        <x:v>SYS-03</x:v>
      </x:c>
      <x:c r="C133" s="14" t="n">
        <x:v>1</x:v>
      </x:c>
      <x:c r="D133" s="14" t="str">
        <x:v>Water</x:v>
      </x:c>
      <x:c r="E133" s="14" t="str">
        <x:v>NOT COMMISSIONED</x:v>
      </x:c>
      <x:c r="F133" s="14" t="str">
        <x:v>OPEN</x:v>
      </x:c>
    </x:row>
    <x:row r="134">
      <x:c r="A134" s="15" t="str">
        <x:v>CH-0130</x:v>
      </x:c>
      <x:c r="B134" s="15" t="str">
        <x:v>SYS-03</x:v>
      </x:c>
      <x:c r="C134" s="15" t="n">
        <x:v>2</x:v>
      </x:c>
      <x:c r="D134" s="15" t="str">
        <x:v>Water</x:v>
      </x:c>
      <x:c r="E134" s="15" t="str">
        <x:v>NOT COMMISSIONED</x:v>
      </x:c>
      <x:c r="F134" s="15" t="str">
        <x:v>OPEN</x:v>
      </x:c>
    </x:row>
    <x:row r="135">
      <x:c r="A135" s="14" t="str">
        <x:v>CH-0131</x:v>
      </x:c>
      <x:c r="B135" s="14" t="str">
        <x:v>SYS-03</x:v>
      </x:c>
      <x:c r="C135" s="14" t="n">
        <x:v>3</x:v>
      </x:c>
      <x:c r="D135" s="14" t="str">
        <x:v>Water</x:v>
      </x:c>
      <x:c r="E135" s="14" t="str">
        <x:v>NOT COMMISSIONED</x:v>
      </x:c>
      <x:c r="F135" s="14" t="str">
        <x:v>OPEN</x:v>
      </x:c>
    </x:row>
    <x:row r="136">
      <x:c r="A136" s="15" t="str">
        <x:v>CH-0132</x:v>
      </x:c>
      <x:c r="B136" s="15" t="str">
        <x:v>SYS-03</x:v>
      </x:c>
      <x:c r="C136" s="15" t="n">
        <x:v>4</x:v>
      </x:c>
      <x:c r="D136" s="15" t="str">
        <x:v>Water</x:v>
      </x:c>
      <x:c r="E136" s="15" t="str">
        <x:v>NOT COMMISSIONED</x:v>
      </x:c>
      <x:c r="F136" s="15" t="str">
        <x:v>OPEN</x:v>
      </x:c>
    </x:row>
    <x:row r="137">
      <x:c r="A137" s="14" t="str">
        <x:v>CH-0133</x:v>
      </x:c>
      <x:c r="B137" s="14" t="str">
        <x:v>SYS-03</x:v>
      </x:c>
      <x:c r="C137" s="14" t="n">
        <x:v>5</x:v>
      </x:c>
      <x:c r="D137" s="14" t="str">
        <x:v>Water</x:v>
      </x:c>
      <x:c r="E137" s="14" t="str">
        <x:v>NOT COMMISSIONED</x:v>
      </x:c>
      <x:c r="F137" s="14" t="str">
        <x:v>OPEN</x:v>
      </x:c>
    </x:row>
    <x:row r="138">
      <x:c r="A138" s="15" t="str">
        <x:v>CH-0134</x:v>
      </x:c>
      <x:c r="B138" s="15" t="str">
        <x:v>SYS-03</x:v>
      </x:c>
      <x:c r="C138" s="15" t="n">
        <x:v>6</x:v>
      </x:c>
      <x:c r="D138" s="15" t="str">
        <x:v>Water</x:v>
      </x:c>
      <x:c r="E138" s="15" t="str">
        <x:v>NOT COMMISSIONED</x:v>
      </x:c>
      <x:c r="F138" s="15" t="str">
        <x:v>OPEN</x:v>
      </x:c>
    </x:row>
    <x:row r="139">
      <x:c r="A139" s="14" t="str">
        <x:v>CH-0135</x:v>
      </x:c>
      <x:c r="B139" s="14" t="str">
        <x:v>SYS-03</x:v>
      </x:c>
      <x:c r="C139" s="14" t="n">
        <x:v>7</x:v>
      </x:c>
      <x:c r="D139" s="14" t="str">
        <x:v>Water</x:v>
      </x:c>
      <x:c r="E139" s="14" t="str">
        <x:v>NOT COMMISSIONED</x:v>
      </x:c>
      <x:c r="F139" s="14" t="str">
        <x:v>OPEN</x:v>
      </x:c>
    </x:row>
    <x:row r="140">
      <x:c r="A140" s="15" t="str">
        <x:v>CH-0136</x:v>
      </x:c>
      <x:c r="B140" s="15" t="str">
        <x:v>SYS-03</x:v>
      </x:c>
      <x:c r="C140" s="15" t="n">
        <x:v>8</x:v>
      </x:c>
      <x:c r="D140" s="15" t="str">
        <x:v>Water</x:v>
      </x:c>
      <x:c r="E140" s="15" t="str">
        <x:v>NOT COMMISSIONED</x:v>
      </x:c>
      <x:c r="F140" s="15" t="str">
        <x:v>OPEN</x:v>
      </x:c>
    </x:row>
    <x:row r="141">
      <x:c r="A141" s="14" t="str">
        <x:v>CH-0137</x:v>
      </x:c>
      <x:c r="B141" s="14" t="str">
        <x:v>SYS-03</x:v>
      </x:c>
      <x:c r="C141" s="14" t="n">
        <x:v>9</x:v>
      </x:c>
      <x:c r="D141" s="14" t="str">
        <x:v>Water</x:v>
      </x:c>
      <x:c r="E141" s="14" t="str">
        <x:v>NOT COMMISSIONED</x:v>
      </x:c>
      <x:c r="F141" s="14" t="str">
        <x:v>OPEN</x:v>
      </x:c>
    </x:row>
    <x:row r="142">
      <x:c r="A142" s="15" t="str">
        <x:v>CH-0138</x:v>
      </x:c>
      <x:c r="B142" s="15" t="str">
        <x:v>SYS-03</x:v>
      </x:c>
      <x:c r="C142" s="15" t="n">
        <x:v>10</x:v>
      </x:c>
      <x:c r="D142" s="15" t="str">
        <x:v>Water</x:v>
      </x:c>
      <x:c r="E142" s="15" t="str">
        <x:v>NOT COMMISSIONED</x:v>
      </x:c>
      <x:c r="F142" s="15" t="str">
        <x:v>OPEN</x:v>
      </x:c>
    </x:row>
    <x:row r="143">
      <x:c r="A143" s="14" t="str">
        <x:v>CH-0139</x:v>
      </x:c>
      <x:c r="B143" s="14" t="str">
        <x:v>SYS-03</x:v>
      </x:c>
      <x:c r="C143" s="14" t="n">
        <x:v>11</x:v>
      </x:c>
      <x:c r="D143" s="14" t="str">
        <x:v>Water</x:v>
      </x:c>
      <x:c r="E143" s="14" t="str">
        <x:v>NOT COMMISSIONED</x:v>
      </x:c>
      <x:c r="F143" s="14" t="str">
        <x:v>OPEN</x:v>
      </x:c>
    </x:row>
    <x:row r="144">
      <x:c r="A144" s="15" t="str">
        <x:v>CH-0140</x:v>
      </x:c>
      <x:c r="B144" s="15" t="str">
        <x:v>SYS-03</x:v>
      </x:c>
      <x:c r="C144" s="15" t="n">
        <x:v>12</x:v>
      </x:c>
      <x:c r="D144" s="15" t="str">
        <x:v>Water</x:v>
      </x:c>
      <x:c r="E144" s="15" t="str">
        <x:v>NOT COMMISSIONED</x:v>
      </x:c>
      <x:c r="F144" s="15" t="str">
        <x:v>OPEN</x:v>
      </x:c>
    </x:row>
    <x:row r="145">
      <x:c r="A145" s="14" t="str">
        <x:v>CH-0141</x:v>
      </x:c>
      <x:c r="B145" s="14" t="str">
        <x:v>SYS-03</x:v>
      </x:c>
      <x:c r="C145" s="14" t="n">
        <x:v>13</x:v>
      </x:c>
      <x:c r="D145" s="14" t="str">
        <x:v>Water</x:v>
      </x:c>
      <x:c r="E145" s="14" t="str">
        <x:v>NOT COMMISSIONED</x:v>
      </x:c>
      <x:c r="F145" s="14" t="str">
        <x:v>OPEN</x:v>
      </x:c>
    </x:row>
    <x:row r="146">
      <x:c r="A146" s="15" t="str">
        <x:v>CH-0142</x:v>
      </x:c>
      <x:c r="B146" s="15" t="str">
        <x:v>SYS-03</x:v>
      </x:c>
      <x:c r="C146" s="15" t="n">
        <x:v>14</x:v>
      </x:c>
      <x:c r="D146" s="15" t="str">
        <x:v>Water</x:v>
      </x:c>
      <x:c r="E146" s="15" t="str">
        <x:v>NOT COMMISSIONED</x:v>
      </x:c>
      <x:c r="F146" s="15" t="str">
        <x:v>OPEN</x:v>
      </x:c>
    </x:row>
    <x:row r="147">
      <x:c r="A147" s="14" t="str">
        <x:v>CH-0143</x:v>
      </x:c>
      <x:c r="B147" s="14" t="str">
        <x:v>SYS-03</x:v>
      </x:c>
      <x:c r="C147" s="14" t="n">
        <x:v>15</x:v>
      </x:c>
      <x:c r="D147" s="14" t="str">
        <x:v>Water</x:v>
      </x:c>
      <x:c r="E147" s="14" t="str">
        <x:v>NOT COMMISSIONED</x:v>
      </x:c>
      <x:c r="F147" s="14" t="str">
        <x:v>OPEN</x:v>
      </x:c>
    </x:row>
    <x:row r="148">
      <x:c r="A148" s="15" t="str">
        <x:v>CH-0144</x:v>
      </x:c>
      <x:c r="B148" s="15" t="str">
        <x:v>SYS-03</x:v>
      </x:c>
      <x:c r="C148" s="15" t="n">
        <x:v>16</x:v>
      </x:c>
      <x:c r="D148" s="15" t="str">
        <x:v>Water</x:v>
      </x:c>
      <x:c r="E148" s="15" t="str">
        <x:v>NOT COMMISSIONED</x:v>
      </x:c>
      <x:c r="F148" s="15" t="str">
        <x:v>OPEN</x:v>
      </x:c>
    </x:row>
    <x:row r="149">
      <x:c r="A149" s="14" t="str">
        <x:v>CH-0145</x:v>
      </x:c>
      <x:c r="B149" s="14" t="str">
        <x:v>SYS-03</x:v>
      </x:c>
      <x:c r="C149" s="14" t="n">
        <x:v>17</x:v>
      </x:c>
      <x:c r="D149" s="14" t="str">
        <x:v>Water</x:v>
      </x:c>
      <x:c r="E149" s="14" t="str">
        <x:v>NOT COMMISSIONED</x:v>
      </x:c>
      <x:c r="F149" s="14" t="str">
        <x:v>OPEN</x:v>
      </x:c>
    </x:row>
    <x:row r="150">
      <x:c r="A150" s="15" t="str">
        <x:v>CH-0146</x:v>
      </x:c>
      <x:c r="B150" s="15" t="str">
        <x:v>SYS-03</x:v>
      </x:c>
      <x:c r="C150" s="15" t="n">
        <x:v>18</x:v>
      </x:c>
      <x:c r="D150" s="15" t="str">
        <x:v>Water</x:v>
      </x:c>
      <x:c r="E150" s="15" t="str">
        <x:v>NOT COMMISSIONED</x:v>
      </x:c>
      <x:c r="F150" s="15" t="str">
        <x:v>OPEN</x:v>
      </x:c>
    </x:row>
    <x:row r="151">
      <x:c r="A151" s="14" t="str">
        <x:v>CH-0147</x:v>
      </x:c>
      <x:c r="B151" s="14" t="str">
        <x:v>SYS-03</x:v>
      </x:c>
      <x:c r="C151" s="14" t="n">
        <x:v>19</x:v>
      </x:c>
      <x:c r="D151" s="14" t="str">
        <x:v>Water</x:v>
      </x:c>
      <x:c r="E151" s="14" t="str">
        <x:v>NOT COMMISSIONED</x:v>
      </x:c>
      <x:c r="F151" s="14" t="str">
        <x:v>OPEN</x:v>
      </x:c>
    </x:row>
    <x:row r="152">
      <x:c r="A152" s="15" t="str">
        <x:v>CH-0148</x:v>
      </x:c>
      <x:c r="B152" s="15" t="str">
        <x:v>SYS-03</x:v>
      </x:c>
      <x:c r="C152" s="15" t="n">
        <x:v>20</x:v>
      </x:c>
      <x:c r="D152" s="15" t="str">
        <x:v>Water</x:v>
      </x:c>
      <x:c r="E152" s="15" t="str">
        <x:v>NOT COMMISSIONED</x:v>
      </x:c>
      <x:c r="F152" s="15" t="str">
        <x:v>OPEN</x:v>
      </x:c>
    </x:row>
    <x:row r="153">
      <x:c r="A153" s="14" t="str">
        <x:v>CH-0149</x:v>
      </x:c>
      <x:c r="B153" s="14" t="str">
        <x:v>SYS-03</x:v>
      </x:c>
      <x:c r="C153" s="14" t="n">
        <x:v>21</x:v>
      </x:c>
      <x:c r="D153" s="14" t="str">
        <x:v>Water</x:v>
      </x:c>
      <x:c r="E153" s="14" t="str">
        <x:v>NOT COMMISSIONED</x:v>
      </x:c>
      <x:c r="F153" s="14" t="str">
        <x:v>OPEN</x:v>
      </x:c>
    </x:row>
    <x:row r="154">
      <x:c r="A154" s="15" t="str">
        <x:v>CH-0150</x:v>
      </x:c>
      <x:c r="B154" s="15" t="str">
        <x:v>SYS-03</x:v>
      </x:c>
      <x:c r="C154" s="15" t="n">
        <x:v>22</x:v>
      </x:c>
      <x:c r="D154" s="15" t="str">
        <x:v>Water</x:v>
      </x:c>
      <x:c r="E154" s="15" t="str">
        <x:v>NOT COMMISSIONED</x:v>
      </x:c>
      <x:c r="F154" s="15" t="str">
        <x:v>OPEN</x:v>
      </x:c>
    </x:row>
    <x:row r="155">
      <x:c r="A155" s="14" t="str">
        <x:v>CH-0151</x:v>
      </x:c>
      <x:c r="B155" s="14" t="str">
        <x:v>SYS-03</x:v>
      </x:c>
      <x:c r="C155" s="14" t="n">
        <x:v>23</x:v>
      </x:c>
      <x:c r="D155" s="14" t="str">
        <x:v>Water</x:v>
      </x:c>
      <x:c r="E155" s="14" t="str">
        <x:v>NOT COMMISSIONED</x:v>
      </x:c>
      <x:c r="F155" s="14" t="str">
        <x:v>OPEN</x:v>
      </x:c>
    </x:row>
    <x:row r="156">
      <x:c r="A156" s="15" t="str">
        <x:v>CH-0152</x:v>
      </x:c>
      <x:c r="B156" s="15" t="str">
        <x:v>SYS-03</x:v>
      </x:c>
      <x:c r="C156" s="15" t="n">
        <x:v>24</x:v>
      </x:c>
      <x:c r="D156" s="15" t="str">
        <x:v>Water</x:v>
      </x:c>
      <x:c r="E156" s="15" t="str">
        <x:v>NOT COMMISSIONED</x:v>
      </x:c>
      <x:c r="F156" s="15" t="str">
        <x:v>OPEN</x:v>
      </x:c>
    </x:row>
    <x:row r="157">
      <x:c r="A157" s="14" t="str">
        <x:v>CH-0153</x:v>
      </x:c>
      <x:c r="B157" s="14" t="str">
        <x:v>SYS-03</x:v>
      </x:c>
      <x:c r="C157" s="14" t="n">
        <x:v>25</x:v>
      </x:c>
      <x:c r="D157" s="14" t="str">
        <x:v>Water</x:v>
      </x:c>
      <x:c r="E157" s="14" t="str">
        <x:v>NOT COMMISSIONED</x:v>
      </x:c>
      <x:c r="F157" s="14" t="str">
        <x:v>OPEN</x:v>
      </x:c>
    </x:row>
    <x:row r="158">
      <x:c r="A158" s="15" t="str">
        <x:v>CH-0154</x:v>
      </x:c>
      <x:c r="B158" s="15" t="str">
        <x:v>SYS-03</x:v>
      </x:c>
      <x:c r="C158" s="15" t="n">
        <x:v>26</x:v>
      </x:c>
      <x:c r="D158" s="15" t="str">
        <x:v>Water</x:v>
      </x:c>
      <x:c r="E158" s="15" t="str">
        <x:v>NOT COMMISSIONED</x:v>
      </x:c>
      <x:c r="F158" s="15" t="str">
        <x:v>OPEN</x:v>
      </x:c>
    </x:row>
    <x:row r="159">
      <x:c r="A159" s="14" t="str">
        <x:v>CH-0155</x:v>
      </x:c>
      <x:c r="B159" s="14" t="str">
        <x:v>SYS-03</x:v>
      </x:c>
      <x:c r="C159" s="14" t="n">
        <x:v>27</x:v>
      </x:c>
      <x:c r="D159" s="14" t="str">
        <x:v>Water</x:v>
      </x:c>
      <x:c r="E159" s="14" t="str">
        <x:v>NOT COMMISSIONED</x:v>
      </x:c>
      <x:c r="F159" s="14" t="str">
        <x:v>OPEN</x:v>
      </x:c>
    </x:row>
    <x:row r="160">
      <x:c r="A160" s="15" t="str">
        <x:v>CH-0156</x:v>
      </x:c>
      <x:c r="B160" s="15" t="str">
        <x:v>SYS-03</x:v>
      </x:c>
      <x:c r="C160" s="15" t="n">
        <x:v>28</x:v>
      </x:c>
      <x:c r="D160" s="15" t="str">
        <x:v>Water</x:v>
      </x:c>
      <x:c r="E160" s="15" t="str">
        <x:v>NOT COMMISSIONED</x:v>
      </x:c>
      <x:c r="F160" s="15" t="str">
        <x:v>OPEN</x:v>
      </x:c>
    </x:row>
    <x:row r="161">
      <x:c r="A161" s="14" t="str">
        <x:v>CH-0157</x:v>
      </x:c>
      <x:c r="B161" s="14" t="str">
        <x:v>SYS-03</x:v>
      </x:c>
      <x:c r="C161" s="14" t="n">
        <x:v>29</x:v>
      </x:c>
      <x:c r="D161" s="14" t="str">
        <x:v>Water</x:v>
      </x:c>
      <x:c r="E161" s="14" t="str">
        <x:v>NOT COMMISSIONED</x:v>
      </x:c>
      <x:c r="F161" s="14" t="str">
        <x:v>OPEN</x:v>
      </x:c>
    </x:row>
    <x:row r="162">
      <x:c r="A162" s="15" t="str">
        <x:v>CH-0158</x:v>
      </x:c>
      <x:c r="B162" s="15" t="str">
        <x:v>SYS-03</x:v>
      </x:c>
      <x:c r="C162" s="15" t="n">
        <x:v>30</x:v>
      </x:c>
      <x:c r="D162" s="15" t="str">
        <x:v>Water</x:v>
      </x:c>
      <x:c r="E162" s="15" t="str">
        <x:v>NOT COMMISSIONED</x:v>
      </x:c>
      <x:c r="F162" s="15" t="str">
        <x:v>OPEN</x:v>
      </x:c>
    </x:row>
    <x:row r="163">
      <x:c r="A163" s="14" t="str">
        <x:v>CH-0159</x:v>
      </x:c>
      <x:c r="B163" s="14" t="str">
        <x:v>SYS-03</x:v>
      </x:c>
      <x:c r="C163" s="14" t="n">
        <x:v>31</x:v>
      </x:c>
      <x:c r="D163" s="14" t="str">
        <x:v>Water</x:v>
      </x:c>
      <x:c r="E163" s="14" t="str">
        <x:v>NOT COMMISSIONED</x:v>
      </x:c>
      <x:c r="F163" s="14" t="str">
        <x:v>OPEN</x:v>
      </x:c>
    </x:row>
    <x:row r="164">
      <x:c r="A164" s="15" t="str">
        <x:v>CH-0160</x:v>
      </x:c>
      <x:c r="B164" s="15" t="str">
        <x:v>SYS-03</x:v>
      </x:c>
      <x:c r="C164" s="15" t="n">
        <x:v>32</x:v>
      </x:c>
      <x:c r="D164" s="15" t="str">
        <x:v>Water</x:v>
      </x:c>
      <x:c r="E164" s="15" t="str">
        <x:v>NOT COMMISSIONED</x:v>
      </x:c>
      <x:c r="F164" s="15" t="str">
        <x:v>OPEN</x:v>
      </x:c>
    </x:row>
    <x:row r="165">
      <x:c r="A165" s="14" t="str">
        <x:v>CH-0161</x:v>
      </x:c>
      <x:c r="B165" s="14" t="str">
        <x:v>SYS-03</x:v>
      </x:c>
      <x:c r="C165" s="14" t="n">
        <x:v>33</x:v>
      </x:c>
      <x:c r="D165" s="14" t="str">
        <x:v>Water</x:v>
      </x:c>
      <x:c r="E165" s="14" t="str">
        <x:v>NOT COMMISSIONED</x:v>
      </x:c>
      <x:c r="F165" s="14" t="str">
        <x:v>OPEN</x:v>
      </x:c>
    </x:row>
    <x:row r="166">
      <x:c r="A166" s="15" t="str">
        <x:v>CH-0162</x:v>
      </x:c>
      <x:c r="B166" s="15" t="str">
        <x:v>SYS-03</x:v>
      </x:c>
      <x:c r="C166" s="15" t="n">
        <x:v>34</x:v>
      </x:c>
      <x:c r="D166" s="15" t="str">
        <x:v>Water</x:v>
      </x:c>
      <x:c r="E166" s="15" t="str">
        <x:v>NOT COMMISSIONED</x:v>
      </x:c>
      <x:c r="F166" s="15" t="str">
        <x:v>OPEN</x:v>
      </x:c>
    </x:row>
    <x:row r="167">
      <x:c r="A167" s="14" t="str">
        <x:v>CH-0163</x:v>
      </x:c>
      <x:c r="B167" s="14" t="str">
        <x:v>SYS-03</x:v>
      </x:c>
      <x:c r="C167" s="14" t="n">
        <x:v>35</x:v>
      </x:c>
      <x:c r="D167" s="14" t="str">
        <x:v>Water</x:v>
      </x:c>
      <x:c r="E167" s="14" t="str">
        <x:v>NOT COMMISSIONED</x:v>
      </x:c>
      <x:c r="F167" s="14" t="str">
        <x:v>OPEN</x:v>
      </x:c>
    </x:row>
    <x:row r="168">
      <x:c r="A168" s="15" t="str">
        <x:v>CH-0164</x:v>
      </x:c>
      <x:c r="B168" s="15" t="str">
        <x:v>SYS-03</x:v>
      </x:c>
      <x:c r="C168" s="15" t="n">
        <x:v>36</x:v>
      </x:c>
      <x:c r="D168" s="15" t="str">
        <x:v>Water</x:v>
      </x:c>
      <x:c r="E168" s="15" t="str">
        <x:v>NOT COMMISSIONED</x:v>
      </x:c>
      <x:c r="F168" s="15" t="str">
        <x:v>OPEN</x:v>
      </x:c>
    </x:row>
    <x:row r="169">
      <x:c r="A169" s="14" t="str">
        <x:v>CH-0165</x:v>
      </x:c>
      <x:c r="B169" s="14" t="str">
        <x:v>SYS-03</x:v>
      </x:c>
      <x:c r="C169" s="14" t="n">
        <x:v>37</x:v>
      </x:c>
      <x:c r="D169" s="14" t="str">
        <x:v>Water</x:v>
      </x:c>
      <x:c r="E169" s="14" t="str">
        <x:v>NOT COMMISSIONED</x:v>
      </x:c>
      <x:c r="F169" s="14" t="str">
        <x:v>OPEN</x:v>
      </x:c>
    </x:row>
    <x:row r="170">
      <x:c r="A170" s="15" t="str">
        <x:v>CH-0166</x:v>
      </x:c>
      <x:c r="B170" s="15" t="str">
        <x:v>SYS-03</x:v>
      </x:c>
      <x:c r="C170" s="15" t="n">
        <x:v>38</x:v>
      </x:c>
      <x:c r="D170" s="15" t="str">
        <x:v>Water</x:v>
      </x:c>
      <x:c r="E170" s="15" t="str">
        <x:v>NOT COMMISSIONED</x:v>
      </x:c>
      <x:c r="F170" s="15" t="str">
        <x:v>OPEN</x:v>
      </x:c>
    </x:row>
    <x:row r="171">
      <x:c r="A171" s="14" t="str">
        <x:v>CH-0167</x:v>
      </x:c>
      <x:c r="B171" s="14" t="str">
        <x:v>SYS-03</x:v>
      </x:c>
      <x:c r="C171" s="14" t="n">
        <x:v>39</x:v>
      </x:c>
      <x:c r="D171" s="14" t="str">
        <x:v>Water</x:v>
      </x:c>
      <x:c r="E171" s="14" t="str">
        <x:v>NOT COMMISSIONED</x:v>
      </x:c>
      <x:c r="F171" s="14" t="str">
        <x:v>OPEN</x:v>
      </x:c>
    </x:row>
    <x:row r="172">
      <x:c r="A172" s="15" t="str">
        <x:v>CH-0168</x:v>
      </x:c>
      <x:c r="B172" s="15" t="str">
        <x:v>SYS-03</x:v>
      </x:c>
      <x:c r="C172" s="15" t="n">
        <x:v>40</x:v>
      </x:c>
      <x:c r="D172" s="15" t="str">
        <x:v>Water</x:v>
      </x:c>
      <x:c r="E172" s="15" t="str">
        <x:v>NOT COMMISSIONED</x:v>
      </x:c>
      <x:c r="F172" s="15" t="str">
        <x:v>OPEN</x:v>
      </x:c>
    </x:row>
    <x:row r="173">
      <x:c r="A173" s="14" t="str">
        <x:v>CH-0169</x:v>
      </x:c>
      <x:c r="B173" s="14" t="str">
        <x:v>SYS-03</x:v>
      </x:c>
      <x:c r="C173" s="14" t="n">
        <x:v>41</x:v>
      </x:c>
      <x:c r="D173" s="14" t="str">
        <x:v>Water</x:v>
      </x:c>
      <x:c r="E173" s="14" t="str">
        <x:v>NOT COMMISSIONED</x:v>
      </x:c>
      <x:c r="F173" s="14" t="str">
        <x:v>OPEN</x:v>
      </x:c>
    </x:row>
    <x:row r="174">
      <x:c r="A174" s="15" t="str">
        <x:v>CH-0170</x:v>
      </x:c>
      <x:c r="B174" s="15" t="str">
        <x:v>SYS-03</x:v>
      </x:c>
      <x:c r="C174" s="15" t="n">
        <x:v>42</x:v>
      </x:c>
      <x:c r="D174" s="15" t="str">
        <x:v>Water</x:v>
      </x:c>
      <x:c r="E174" s="15" t="str">
        <x:v>NOT COMMISSIONED</x:v>
      </x:c>
      <x:c r="F174" s="15" t="str">
        <x:v>OPEN</x:v>
      </x:c>
    </x:row>
    <x:row r="175">
      <x:c r="A175" s="14" t="str">
        <x:v>CH-0171</x:v>
      </x:c>
      <x:c r="B175" s="14" t="str">
        <x:v>SYS-03</x:v>
      </x:c>
      <x:c r="C175" s="14" t="n">
        <x:v>43</x:v>
      </x:c>
      <x:c r="D175" s="14" t="str">
        <x:v>Water</x:v>
      </x:c>
      <x:c r="E175" s="14" t="str">
        <x:v>NOT COMMISSIONED</x:v>
      </x:c>
      <x:c r="F175" s="14" t="str">
        <x:v>OPEN</x:v>
      </x:c>
    </x:row>
    <x:row r="176">
      <x:c r="A176" s="15" t="str">
        <x:v>CH-0172</x:v>
      </x:c>
      <x:c r="B176" s="15" t="str">
        <x:v>SYS-03</x:v>
      </x:c>
      <x:c r="C176" s="15" t="n">
        <x:v>44</x:v>
      </x:c>
      <x:c r="D176" s="15" t="str">
        <x:v>Water</x:v>
      </x:c>
      <x:c r="E176" s="15" t="str">
        <x:v>NOT COMMISSIONED</x:v>
      </x:c>
      <x:c r="F176" s="15" t="str">
        <x:v>OPEN</x:v>
      </x:c>
    </x:row>
    <x:row r="177">
      <x:c r="A177" s="14" t="str">
        <x:v>CH-0173</x:v>
      </x:c>
      <x:c r="B177" s="14" t="str">
        <x:v>SYS-03</x:v>
      </x:c>
      <x:c r="C177" s="14" t="n">
        <x:v>45</x:v>
      </x:c>
      <x:c r="D177" s="14" t="str">
        <x:v>Water</x:v>
      </x:c>
      <x:c r="E177" s="14" t="str">
        <x:v>NOT COMMISSIONED</x:v>
      </x:c>
      <x:c r="F177" s="14" t="str">
        <x:v>OPEN</x:v>
      </x:c>
    </x:row>
    <x:row r="178">
      <x:c r="A178" s="15" t="str">
        <x:v>CH-0174</x:v>
      </x:c>
      <x:c r="B178" s="15" t="str">
        <x:v>SYS-03</x:v>
      </x:c>
      <x:c r="C178" s="15" t="n">
        <x:v>46</x:v>
      </x:c>
      <x:c r="D178" s="15" t="str">
        <x:v>Water</x:v>
      </x:c>
      <x:c r="E178" s="15" t="str">
        <x:v>NOT COMMISSIONED</x:v>
      </x:c>
      <x:c r="F178" s="15" t="str">
        <x:v>OPEN</x:v>
      </x:c>
    </x:row>
    <x:row r="179">
      <x:c r="A179" s="14" t="str">
        <x:v>CH-0175</x:v>
      </x:c>
      <x:c r="B179" s="14" t="str">
        <x:v>SYS-03</x:v>
      </x:c>
      <x:c r="C179" s="14" t="n">
        <x:v>47</x:v>
      </x:c>
      <x:c r="D179" s="14" t="str">
        <x:v>Water</x:v>
      </x:c>
      <x:c r="E179" s="14" t="str">
        <x:v>NOT COMMISSIONED</x:v>
      </x:c>
      <x:c r="F179" s="14" t="str">
        <x:v>OPEN</x:v>
      </x:c>
    </x:row>
    <x:row r="180">
      <x:c r="A180" s="15" t="str">
        <x:v>CH-0176</x:v>
      </x:c>
      <x:c r="B180" s="15" t="str">
        <x:v>SYS-03</x:v>
      </x:c>
      <x:c r="C180" s="15" t="n">
        <x:v>48</x:v>
      </x:c>
      <x:c r="D180" s="15" t="str">
        <x:v>Water</x:v>
      </x:c>
      <x:c r="E180" s="15" t="str">
        <x:v>NOT COMMISSIONED</x:v>
      </x:c>
      <x:c r="F180" s="15" t="str">
        <x:v>OPEN</x:v>
      </x:c>
    </x:row>
    <x:row r="181">
      <x:c r="A181" s="14" t="str">
        <x:v>CH-0177</x:v>
      </x:c>
      <x:c r="B181" s="14" t="str">
        <x:v>SYS-03</x:v>
      </x:c>
      <x:c r="C181" s="14" t="n">
        <x:v>49</x:v>
      </x:c>
      <x:c r="D181" s="14" t="str">
        <x:v>Water</x:v>
      </x:c>
      <x:c r="E181" s="14" t="str">
        <x:v>NOT COMMISSIONED</x:v>
      </x:c>
      <x:c r="F181" s="14" t="str">
        <x:v>OPEN</x:v>
      </x:c>
    </x:row>
    <x:row r="182">
      <x:c r="A182" s="15" t="str">
        <x:v>CH-0178</x:v>
      </x:c>
      <x:c r="B182" s="15" t="str">
        <x:v>SYS-03</x:v>
      </x:c>
      <x:c r="C182" s="15" t="n">
        <x:v>50</x:v>
      </x:c>
      <x:c r="D182" s="15" t="str">
        <x:v>Water</x:v>
      </x:c>
      <x:c r="E182" s="15" t="str">
        <x:v>NOT COMMISSIONED</x:v>
      </x:c>
      <x:c r="F182" s="15" t="str">
        <x:v>OPEN</x:v>
      </x:c>
    </x:row>
    <x:row r="183">
      <x:c r="A183" s="14" t="str">
        <x:v>CH-0179</x:v>
      </x:c>
      <x:c r="B183" s="14" t="str">
        <x:v>SYS-03</x:v>
      </x:c>
      <x:c r="C183" s="14" t="n">
        <x:v>51</x:v>
      </x:c>
      <x:c r="D183" s="14" t="str">
        <x:v>Water</x:v>
      </x:c>
      <x:c r="E183" s="14" t="str">
        <x:v>NOT COMMISSIONED</x:v>
      </x:c>
      <x:c r="F183" s="14" t="str">
        <x:v>OPEN</x:v>
      </x:c>
    </x:row>
    <x:row r="184">
      <x:c r="A184" s="15" t="str">
        <x:v>CH-0180</x:v>
      </x:c>
      <x:c r="B184" s="15" t="str">
        <x:v>SYS-03</x:v>
      </x:c>
      <x:c r="C184" s="15" t="n">
        <x:v>52</x:v>
      </x:c>
      <x:c r="D184" s="15" t="str">
        <x:v>Water</x:v>
      </x:c>
      <x:c r="E184" s="15" t="str">
        <x:v>NOT COMMISSIONED</x:v>
      </x:c>
      <x:c r="F184" s="15" t="str">
        <x:v>OPEN</x:v>
      </x:c>
    </x:row>
    <x:row r="185">
      <x:c r="A185" s="14" t="str">
        <x:v>CH-0181</x:v>
      </x:c>
      <x:c r="B185" s="14" t="str">
        <x:v>SYS-03</x:v>
      </x:c>
      <x:c r="C185" s="14" t="n">
        <x:v>53</x:v>
      </x:c>
      <x:c r="D185" s="14" t="str">
        <x:v>Water</x:v>
      </x:c>
      <x:c r="E185" s="14" t="str">
        <x:v>NOT COMMISSIONED</x:v>
      </x:c>
      <x:c r="F185" s="14" t="str">
        <x:v>OPEN</x:v>
      </x:c>
    </x:row>
    <x:row r="186">
      <x:c r="A186" s="15" t="str">
        <x:v>CH-0182</x:v>
      </x:c>
      <x:c r="B186" s="15" t="str">
        <x:v>SYS-03</x:v>
      </x:c>
      <x:c r="C186" s="15" t="n">
        <x:v>54</x:v>
      </x:c>
      <x:c r="D186" s="15" t="str">
        <x:v>Water</x:v>
      </x:c>
      <x:c r="E186" s="15" t="str">
        <x:v>NOT COMMISSIONED</x:v>
      </x:c>
      <x:c r="F186" s="15" t="str">
        <x:v>OPEN</x:v>
      </x:c>
    </x:row>
    <x:row r="187">
      <x:c r="A187" s="14" t="str">
        <x:v>CH-0183</x:v>
      </x:c>
      <x:c r="B187" s="14" t="str">
        <x:v>SYS-03</x:v>
      </x:c>
      <x:c r="C187" s="14" t="n">
        <x:v>55</x:v>
      </x:c>
      <x:c r="D187" s="14" t="str">
        <x:v>Water</x:v>
      </x:c>
      <x:c r="E187" s="14" t="str">
        <x:v>NOT COMMISSIONED</x:v>
      </x:c>
      <x:c r="F187" s="14" t="str">
        <x:v>OPEN</x:v>
      </x:c>
    </x:row>
    <x:row r="188">
      <x:c r="A188" s="15" t="str">
        <x:v>CH-0184</x:v>
      </x:c>
      <x:c r="B188" s="15" t="str">
        <x:v>SYS-03</x:v>
      </x:c>
      <x:c r="C188" s="15" t="n">
        <x:v>56</x:v>
      </x:c>
      <x:c r="D188" s="15" t="str">
        <x:v>Water</x:v>
      </x:c>
      <x:c r="E188" s="15" t="str">
        <x:v>NOT COMMISSIONED</x:v>
      </x:c>
      <x:c r="F188" s="15" t="str">
        <x:v>OPEN</x:v>
      </x:c>
    </x:row>
    <x:row r="189">
      <x:c r="A189" s="14" t="str">
        <x:v>CH-0185</x:v>
      </x:c>
      <x:c r="B189" s="14" t="str">
        <x:v>SYS-03</x:v>
      </x:c>
      <x:c r="C189" s="14" t="n">
        <x:v>57</x:v>
      </x:c>
      <x:c r="D189" s="14" t="str">
        <x:v>Water</x:v>
      </x:c>
      <x:c r="E189" s="14" t="str">
        <x:v>NOT COMMISSIONED</x:v>
      </x:c>
      <x:c r="F189" s="14" t="str">
        <x:v>OPEN</x:v>
      </x:c>
    </x:row>
    <x:row r="190">
      <x:c r="A190" s="15" t="str">
        <x:v>CH-0186</x:v>
      </x:c>
      <x:c r="B190" s="15" t="str">
        <x:v>SYS-03</x:v>
      </x:c>
      <x:c r="C190" s="15" t="n">
        <x:v>58</x:v>
      </x:c>
      <x:c r="D190" s="15" t="str">
        <x:v>Water</x:v>
      </x:c>
      <x:c r="E190" s="15" t="str">
        <x:v>NOT COMMISSIONED</x:v>
      </x:c>
      <x:c r="F190" s="15" t="str">
        <x:v>OPEN</x:v>
      </x:c>
    </x:row>
    <x:row r="191">
      <x:c r="A191" s="14" t="str">
        <x:v>CH-0187</x:v>
      </x:c>
      <x:c r="B191" s="14" t="str">
        <x:v>SYS-03</x:v>
      </x:c>
      <x:c r="C191" s="14" t="n">
        <x:v>59</x:v>
      </x:c>
      <x:c r="D191" s="14" t="str">
        <x:v>Water</x:v>
      </x:c>
      <x:c r="E191" s="14" t="str">
        <x:v>NOT COMMISSIONED</x:v>
      </x:c>
      <x:c r="F191" s="14" t="str">
        <x:v>OPEN</x:v>
      </x:c>
    </x:row>
    <x:row r="192">
      <x:c r="A192" s="15" t="str">
        <x:v>CH-0188</x:v>
      </x:c>
      <x:c r="B192" s="15" t="str">
        <x:v>SYS-03</x:v>
      </x:c>
      <x:c r="C192" s="15" t="n">
        <x:v>60</x:v>
      </x:c>
      <x:c r="D192" s="15" t="str">
        <x:v>Water</x:v>
      </x:c>
      <x:c r="E192" s="15" t="str">
        <x:v>NOT COMMISSIONED</x:v>
      </x:c>
      <x:c r="F192" s="15" t="str">
        <x:v>OPEN</x:v>
      </x:c>
    </x:row>
    <x:row r="193">
      <x:c r="A193" s="14" t="str">
        <x:v>CH-0189</x:v>
      </x:c>
      <x:c r="B193" s="14" t="str">
        <x:v>SYS-03</x:v>
      </x:c>
      <x:c r="C193" s="14" t="n">
        <x:v>61</x:v>
      </x:c>
      <x:c r="D193" s="14" t="str">
        <x:v>Water</x:v>
      </x:c>
      <x:c r="E193" s="14" t="str">
        <x:v>NOT COMMISSIONED</x:v>
      </x:c>
      <x:c r="F193" s="14" t="str">
        <x:v>OPEN</x:v>
      </x:c>
    </x:row>
    <x:row r="194">
      <x:c r="A194" s="15" t="str">
        <x:v>CH-0190</x:v>
      </x:c>
      <x:c r="B194" s="15" t="str">
        <x:v>SYS-03</x:v>
      </x:c>
      <x:c r="C194" s="15" t="n">
        <x:v>62</x:v>
      </x:c>
      <x:c r="D194" s="15" t="str">
        <x:v>Water</x:v>
      </x:c>
      <x:c r="E194" s="15" t="str">
        <x:v>NOT COMMISSIONED</x:v>
      </x:c>
      <x:c r="F194" s="15" t="str">
        <x:v>OPEN</x:v>
      </x:c>
    </x:row>
    <x:row r="195">
      <x:c r="A195" s="14" t="str">
        <x:v>CH-0191</x:v>
      </x:c>
      <x:c r="B195" s="14" t="str">
        <x:v>SYS-03</x:v>
      </x:c>
      <x:c r="C195" s="14" t="n">
        <x:v>63</x:v>
      </x:c>
      <x:c r="D195" s="14" t="str">
        <x:v>Water</x:v>
      </x:c>
      <x:c r="E195" s="14" t="str">
        <x:v>NOT COMMISSIONED</x:v>
      </x:c>
      <x:c r="F195" s="14" t="str">
        <x:v>OPEN</x:v>
      </x:c>
    </x:row>
    <x:row r="196">
      <x:c r="A196" s="15" t="str">
        <x:v>CH-0192</x:v>
      </x:c>
      <x:c r="B196" s="15" t="str">
        <x:v>SYS-03</x:v>
      </x:c>
      <x:c r="C196" s="15" t="n">
        <x:v>64</x:v>
      </x:c>
      <x:c r="D196" s="15" t="str">
        <x:v>Water</x:v>
      </x:c>
      <x:c r="E196" s="15" t="str">
        <x:v>NOT COMMISSIONED</x:v>
      </x:c>
      <x:c r="F196" s="15" t="str">
        <x:v>OPEN</x:v>
      </x:c>
    </x:row>
    <x:row r="197">
      <x:c r="A197" s="14" t="str">
        <x:v>CH-0193</x:v>
      </x:c>
      <x:c r="B197" s="14" t="str">
        <x:v>SYS-04</x:v>
      </x:c>
      <x:c r="C197" s="14" t="n">
        <x:v>1</x:v>
      </x:c>
      <x:c r="D197" s="14" t="str">
        <x:v>Thermal</x:v>
      </x:c>
      <x:c r="E197" s="14" t="str">
        <x:v>NOT COMMISSIONED</x:v>
      </x:c>
      <x:c r="F197" s="14" t="str">
        <x:v>OPEN</x:v>
      </x:c>
    </x:row>
    <x:row r="198">
      <x:c r="A198" s="15" t="str">
        <x:v>CH-0194</x:v>
      </x:c>
      <x:c r="B198" s="15" t="str">
        <x:v>SYS-04</x:v>
      </x:c>
      <x:c r="C198" s="15" t="n">
        <x:v>2</x:v>
      </x:c>
      <x:c r="D198" s="15" t="str">
        <x:v>Thermal</x:v>
      </x:c>
      <x:c r="E198" s="15" t="str">
        <x:v>NOT COMMISSIONED</x:v>
      </x:c>
      <x:c r="F198" s="15" t="str">
        <x:v>OPEN</x:v>
      </x:c>
    </x:row>
    <x:row r="199">
      <x:c r="A199" s="14" t="str">
        <x:v>CH-0195</x:v>
      </x:c>
      <x:c r="B199" s="14" t="str">
        <x:v>SYS-04</x:v>
      </x:c>
      <x:c r="C199" s="14" t="n">
        <x:v>3</x:v>
      </x:c>
      <x:c r="D199" s="14" t="str">
        <x:v>Thermal</x:v>
      </x:c>
      <x:c r="E199" s="14" t="str">
        <x:v>NOT COMMISSIONED</x:v>
      </x:c>
      <x:c r="F199" s="14" t="str">
        <x:v>OPEN</x:v>
      </x:c>
    </x:row>
    <x:row r="200">
      <x:c r="A200" s="15" t="str">
        <x:v>CH-0196</x:v>
      </x:c>
      <x:c r="B200" s="15" t="str">
        <x:v>SYS-04</x:v>
      </x:c>
      <x:c r="C200" s="15" t="n">
        <x:v>4</x:v>
      </x:c>
      <x:c r="D200" s="15" t="str">
        <x:v>Thermal</x:v>
      </x:c>
      <x:c r="E200" s="15" t="str">
        <x:v>NOT COMMISSIONED</x:v>
      </x:c>
      <x:c r="F200" s="15" t="str">
        <x:v>OPEN</x:v>
      </x:c>
    </x:row>
    <x:row r="201">
      <x:c r="A201" s="14" t="str">
        <x:v>CH-0197</x:v>
      </x:c>
      <x:c r="B201" s="14" t="str">
        <x:v>SYS-04</x:v>
      </x:c>
      <x:c r="C201" s="14" t="n">
        <x:v>5</x:v>
      </x:c>
      <x:c r="D201" s="14" t="str">
        <x:v>Thermal</x:v>
      </x:c>
      <x:c r="E201" s="14" t="str">
        <x:v>NOT COMMISSIONED</x:v>
      </x:c>
      <x:c r="F201" s="14" t="str">
        <x:v>OPEN</x:v>
      </x:c>
    </x:row>
    <x:row r="202">
      <x:c r="A202" s="15" t="str">
        <x:v>CH-0198</x:v>
      </x:c>
      <x:c r="B202" s="15" t="str">
        <x:v>SYS-04</x:v>
      </x:c>
      <x:c r="C202" s="15" t="n">
        <x:v>6</x:v>
      </x:c>
      <x:c r="D202" s="15" t="str">
        <x:v>Thermal</x:v>
      </x:c>
      <x:c r="E202" s="15" t="str">
        <x:v>NOT COMMISSIONED</x:v>
      </x:c>
      <x:c r="F202" s="15" t="str">
        <x:v>OPEN</x:v>
      </x:c>
    </x:row>
    <x:row r="203">
      <x:c r="A203" s="14" t="str">
        <x:v>CH-0199</x:v>
      </x:c>
      <x:c r="B203" s="14" t="str">
        <x:v>SYS-04</x:v>
      </x:c>
      <x:c r="C203" s="14" t="n">
        <x:v>7</x:v>
      </x:c>
      <x:c r="D203" s="14" t="str">
        <x:v>Thermal</x:v>
      </x:c>
      <x:c r="E203" s="14" t="str">
        <x:v>NOT COMMISSIONED</x:v>
      </x:c>
      <x:c r="F203" s="14" t="str">
        <x:v>OPEN</x:v>
      </x:c>
    </x:row>
    <x:row r="204">
      <x:c r="A204" s="15" t="str">
        <x:v>CH-0200</x:v>
      </x:c>
      <x:c r="B204" s="15" t="str">
        <x:v>SYS-04</x:v>
      </x:c>
      <x:c r="C204" s="15" t="n">
        <x:v>8</x:v>
      </x:c>
      <x:c r="D204" s="15" t="str">
        <x:v>Thermal</x:v>
      </x:c>
      <x:c r="E204" s="15" t="str">
        <x:v>NOT COMMISSIONED</x:v>
      </x:c>
      <x:c r="F204" s="15" t="str">
        <x:v>OPEN</x:v>
      </x:c>
    </x:row>
    <x:row r="205">
      <x:c r="A205" s="14" t="str">
        <x:v>CH-0201</x:v>
      </x:c>
      <x:c r="B205" s="14" t="str">
        <x:v>SYS-04</x:v>
      </x:c>
      <x:c r="C205" s="14" t="n">
        <x:v>9</x:v>
      </x:c>
      <x:c r="D205" s="14" t="str">
        <x:v>Thermal</x:v>
      </x:c>
      <x:c r="E205" s="14" t="str">
        <x:v>NOT COMMISSIONED</x:v>
      </x:c>
      <x:c r="F205" s="14" t="str">
        <x:v>OPEN</x:v>
      </x:c>
    </x:row>
    <x:row r="206">
      <x:c r="A206" s="15" t="str">
        <x:v>CH-0202</x:v>
      </x:c>
      <x:c r="B206" s="15" t="str">
        <x:v>SYS-04</x:v>
      </x:c>
      <x:c r="C206" s="15" t="n">
        <x:v>10</x:v>
      </x:c>
      <x:c r="D206" s="15" t="str">
        <x:v>Thermal</x:v>
      </x:c>
      <x:c r="E206" s="15" t="str">
        <x:v>NOT COMMISSIONED</x:v>
      </x:c>
      <x:c r="F206" s="15" t="str">
        <x:v>OPEN</x:v>
      </x:c>
    </x:row>
    <x:row r="207">
      <x:c r="A207" s="14" t="str">
        <x:v>CH-0203</x:v>
      </x:c>
      <x:c r="B207" s="14" t="str">
        <x:v>SYS-04</x:v>
      </x:c>
      <x:c r="C207" s="14" t="n">
        <x:v>11</x:v>
      </x:c>
      <x:c r="D207" s="14" t="str">
        <x:v>Thermal</x:v>
      </x:c>
      <x:c r="E207" s="14" t="str">
        <x:v>NOT COMMISSIONED</x:v>
      </x:c>
      <x:c r="F207" s="14" t="str">
        <x:v>OPEN</x:v>
      </x:c>
    </x:row>
    <x:row r="208">
      <x:c r="A208" s="15" t="str">
        <x:v>CH-0204</x:v>
      </x:c>
      <x:c r="B208" s="15" t="str">
        <x:v>SYS-04</x:v>
      </x:c>
      <x:c r="C208" s="15" t="n">
        <x:v>12</x:v>
      </x:c>
      <x:c r="D208" s="15" t="str">
        <x:v>Thermal</x:v>
      </x:c>
      <x:c r="E208" s="15" t="str">
        <x:v>NOT COMMISSIONED</x:v>
      </x:c>
      <x:c r="F208" s="15" t="str">
        <x:v>OPEN</x:v>
      </x:c>
    </x:row>
    <x:row r="209">
      <x:c r="A209" s="14" t="str">
        <x:v>CH-0205</x:v>
      </x:c>
      <x:c r="B209" s="14" t="str">
        <x:v>SYS-04</x:v>
      </x:c>
      <x:c r="C209" s="14" t="n">
        <x:v>13</x:v>
      </x:c>
      <x:c r="D209" s="14" t="str">
        <x:v>Thermal</x:v>
      </x:c>
      <x:c r="E209" s="14" t="str">
        <x:v>NOT COMMISSIONED</x:v>
      </x:c>
      <x:c r="F209" s="14" t="str">
        <x:v>OPEN</x:v>
      </x:c>
    </x:row>
    <x:row r="210">
      <x:c r="A210" s="15" t="str">
        <x:v>CH-0206</x:v>
      </x:c>
      <x:c r="B210" s="15" t="str">
        <x:v>SYS-04</x:v>
      </x:c>
      <x:c r="C210" s="15" t="n">
        <x:v>14</x:v>
      </x:c>
      <x:c r="D210" s="15" t="str">
        <x:v>Thermal</x:v>
      </x:c>
      <x:c r="E210" s="15" t="str">
        <x:v>NOT COMMISSIONED</x:v>
      </x:c>
      <x:c r="F210" s="15" t="str">
        <x:v>OPEN</x:v>
      </x:c>
    </x:row>
    <x:row r="211">
      <x:c r="A211" s="14" t="str">
        <x:v>CH-0207</x:v>
      </x:c>
      <x:c r="B211" s="14" t="str">
        <x:v>SYS-04</x:v>
      </x:c>
      <x:c r="C211" s="14" t="n">
        <x:v>15</x:v>
      </x:c>
      <x:c r="D211" s="14" t="str">
        <x:v>Thermal</x:v>
      </x:c>
      <x:c r="E211" s="14" t="str">
        <x:v>NOT COMMISSIONED</x:v>
      </x:c>
      <x:c r="F211" s="14" t="str">
        <x:v>OPEN</x:v>
      </x:c>
    </x:row>
    <x:row r="212">
      <x:c r="A212" s="15" t="str">
        <x:v>CH-0208</x:v>
      </x:c>
      <x:c r="B212" s="15" t="str">
        <x:v>SYS-04</x:v>
      </x:c>
      <x:c r="C212" s="15" t="n">
        <x:v>16</x:v>
      </x:c>
      <x:c r="D212" s="15" t="str">
        <x:v>Thermal</x:v>
      </x:c>
      <x:c r="E212" s="15" t="str">
        <x:v>NOT COMMISSIONED</x:v>
      </x:c>
      <x:c r="F212" s="15" t="str">
        <x:v>OPEN</x:v>
      </x:c>
    </x:row>
    <x:row r="213">
      <x:c r="A213" s="14" t="str">
        <x:v>CH-0209</x:v>
      </x:c>
      <x:c r="B213" s="14" t="str">
        <x:v>SYS-04</x:v>
      </x:c>
      <x:c r="C213" s="14" t="n">
        <x:v>17</x:v>
      </x:c>
      <x:c r="D213" s="14" t="str">
        <x:v>Thermal</x:v>
      </x:c>
      <x:c r="E213" s="14" t="str">
        <x:v>NOT COMMISSIONED</x:v>
      </x:c>
      <x:c r="F213" s="14" t="str">
        <x:v>OPEN</x:v>
      </x:c>
    </x:row>
    <x:row r="214">
      <x:c r="A214" s="15" t="str">
        <x:v>CH-0210</x:v>
      </x:c>
      <x:c r="B214" s="15" t="str">
        <x:v>SYS-04</x:v>
      </x:c>
      <x:c r="C214" s="15" t="n">
        <x:v>18</x:v>
      </x:c>
      <x:c r="D214" s="15" t="str">
        <x:v>Thermal</x:v>
      </x:c>
      <x:c r="E214" s="15" t="str">
        <x:v>NOT COMMISSIONED</x:v>
      </x:c>
      <x:c r="F214" s="15" t="str">
        <x:v>OPEN</x:v>
      </x:c>
    </x:row>
    <x:row r="215">
      <x:c r="A215" s="14" t="str">
        <x:v>CH-0211</x:v>
      </x:c>
      <x:c r="B215" s="14" t="str">
        <x:v>SYS-04</x:v>
      </x:c>
      <x:c r="C215" s="14" t="n">
        <x:v>19</x:v>
      </x:c>
      <x:c r="D215" s="14" t="str">
        <x:v>Thermal</x:v>
      </x:c>
      <x:c r="E215" s="14" t="str">
        <x:v>NOT COMMISSIONED</x:v>
      </x:c>
      <x:c r="F215" s="14" t="str">
        <x:v>OPEN</x:v>
      </x:c>
    </x:row>
    <x:row r="216">
      <x:c r="A216" s="15" t="str">
        <x:v>CH-0212</x:v>
      </x:c>
      <x:c r="B216" s="15" t="str">
        <x:v>SYS-04</x:v>
      </x:c>
      <x:c r="C216" s="15" t="n">
        <x:v>20</x:v>
      </x:c>
      <x:c r="D216" s="15" t="str">
        <x:v>Thermal</x:v>
      </x:c>
      <x:c r="E216" s="15" t="str">
        <x:v>NOT COMMISSIONED</x:v>
      </x:c>
      <x:c r="F216" s="15" t="str">
        <x:v>OPEN</x:v>
      </x:c>
    </x:row>
    <x:row r="217">
      <x:c r="A217" s="14" t="str">
        <x:v>CH-0213</x:v>
      </x:c>
      <x:c r="B217" s="14" t="str">
        <x:v>SYS-04</x:v>
      </x:c>
      <x:c r="C217" s="14" t="n">
        <x:v>21</x:v>
      </x:c>
      <x:c r="D217" s="14" t="str">
        <x:v>Thermal</x:v>
      </x:c>
      <x:c r="E217" s="14" t="str">
        <x:v>NOT COMMISSIONED</x:v>
      </x:c>
      <x:c r="F217" s="14" t="str">
        <x:v>OPEN</x:v>
      </x:c>
    </x:row>
    <x:row r="218">
      <x:c r="A218" s="15" t="str">
        <x:v>CH-0214</x:v>
      </x:c>
      <x:c r="B218" s="15" t="str">
        <x:v>SYS-04</x:v>
      </x:c>
      <x:c r="C218" s="15" t="n">
        <x:v>22</x:v>
      </x:c>
      <x:c r="D218" s="15" t="str">
        <x:v>Thermal</x:v>
      </x:c>
      <x:c r="E218" s="15" t="str">
        <x:v>NOT COMMISSIONED</x:v>
      </x:c>
      <x:c r="F218" s="15" t="str">
        <x:v>OPEN</x:v>
      </x:c>
    </x:row>
    <x:row r="219">
      <x:c r="A219" s="14" t="str">
        <x:v>CH-0215</x:v>
      </x:c>
      <x:c r="B219" s="14" t="str">
        <x:v>SYS-04</x:v>
      </x:c>
      <x:c r="C219" s="14" t="n">
        <x:v>23</x:v>
      </x:c>
      <x:c r="D219" s="14" t="str">
        <x:v>Thermal</x:v>
      </x:c>
      <x:c r="E219" s="14" t="str">
        <x:v>NOT COMMISSIONED</x:v>
      </x:c>
      <x:c r="F219" s="14" t="str">
        <x:v>OPEN</x:v>
      </x:c>
    </x:row>
    <x:row r="220">
      <x:c r="A220" s="15" t="str">
        <x:v>CH-0216</x:v>
      </x:c>
      <x:c r="B220" s="15" t="str">
        <x:v>SYS-04</x:v>
      </x:c>
      <x:c r="C220" s="15" t="n">
        <x:v>24</x:v>
      </x:c>
      <x:c r="D220" s="15" t="str">
        <x:v>Thermal</x:v>
      </x:c>
      <x:c r="E220" s="15" t="str">
        <x:v>NOT COMMISSIONED</x:v>
      </x:c>
      <x:c r="F220" s="15" t="str">
        <x:v>OPEN</x:v>
      </x:c>
    </x:row>
    <x:row r="221">
      <x:c r="A221" s="14" t="str">
        <x:v>CH-0217</x:v>
      </x:c>
      <x:c r="B221" s="14" t="str">
        <x:v>SYS-04</x:v>
      </x:c>
      <x:c r="C221" s="14" t="n">
        <x:v>25</x:v>
      </x:c>
      <x:c r="D221" s="14" t="str">
        <x:v>Thermal</x:v>
      </x:c>
      <x:c r="E221" s="14" t="str">
        <x:v>NOT COMMISSIONED</x:v>
      </x:c>
      <x:c r="F221" s="14" t="str">
        <x:v>OPEN</x:v>
      </x:c>
    </x:row>
    <x:row r="222">
      <x:c r="A222" s="15" t="str">
        <x:v>CH-0218</x:v>
      </x:c>
      <x:c r="B222" s="15" t="str">
        <x:v>SYS-04</x:v>
      </x:c>
      <x:c r="C222" s="15" t="n">
        <x:v>26</x:v>
      </x:c>
      <x:c r="D222" s="15" t="str">
        <x:v>Thermal</x:v>
      </x:c>
      <x:c r="E222" s="15" t="str">
        <x:v>NOT COMMISSIONED</x:v>
      </x:c>
      <x:c r="F222" s="15" t="str">
        <x:v>OPEN</x:v>
      </x:c>
    </x:row>
    <x:row r="223">
      <x:c r="A223" s="14" t="str">
        <x:v>CH-0219</x:v>
      </x:c>
      <x:c r="B223" s="14" t="str">
        <x:v>SYS-04</x:v>
      </x:c>
      <x:c r="C223" s="14" t="n">
        <x:v>27</x:v>
      </x:c>
      <x:c r="D223" s="14" t="str">
        <x:v>Thermal</x:v>
      </x:c>
      <x:c r="E223" s="14" t="str">
        <x:v>NOT COMMISSIONED</x:v>
      </x:c>
      <x:c r="F223" s="14" t="str">
        <x:v>OPEN</x:v>
      </x:c>
    </x:row>
    <x:row r="224">
      <x:c r="A224" s="15" t="str">
        <x:v>CH-0220</x:v>
      </x:c>
      <x:c r="B224" s="15" t="str">
        <x:v>SYS-04</x:v>
      </x:c>
      <x:c r="C224" s="15" t="n">
        <x:v>28</x:v>
      </x:c>
      <x:c r="D224" s="15" t="str">
        <x:v>Thermal</x:v>
      </x:c>
      <x:c r="E224" s="15" t="str">
        <x:v>NOT COMMISSIONED</x:v>
      </x:c>
      <x:c r="F224" s="15" t="str">
        <x:v>OPEN</x:v>
      </x:c>
    </x:row>
    <x:row r="225">
      <x:c r="A225" s="14" t="str">
        <x:v>CH-0221</x:v>
      </x:c>
      <x:c r="B225" s="14" t="str">
        <x:v>SYS-04</x:v>
      </x:c>
      <x:c r="C225" s="14" t="n">
        <x:v>29</x:v>
      </x:c>
      <x:c r="D225" s="14" t="str">
        <x:v>Thermal</x:v>
      </x:c>
      <x:c r="E225" s="14" t="str">
        <x:v>NOT COMMISSIONED</x:v>
      </x:c>
      <x:c r="F225" s="14" t="str">
        <x:v>OPEN</x:v>
      </x:c>
    </x:row>
    <x:row r="226">
      <x:c r="A226" s="15" t="str">
        <x:v>CH-0222</x:v>
      </x:c>
      <x:c r="B226" s="15" t="str">
        <x:v>SYS-04</x:v>
      </x:c>
      <x:c r="C226" s="15" t="n">
        <x:v>30</x:v>
      </x:c>
      <x:c r="D226" s="15" t="str">
        <x:v>Thermal</x:v>
      </x:c>
      <x:c r="E226" s="15" t="str">
        <x:v>NOT COMMISSIONED</x:v>
      </x:c>
      <x:c r="F226" s="15" t="str">
        <x:v>OPEN</x:v>
      </x:c>
    </x:row>
    <x:row r="227">
      <x:c r="A227" s="14" t="str">
        <x:v>CH-0223</x:v>
      </x:c>
      <x:c r="B227" s="14" t="str">
        <x:v>SYS-04</x:v>
      </x:c>
      <x:c r="C227" s="14" t="n">
        <x:v>31</x:v>
      </x:c>
      <x:c r="D227" s="14" t="str">
        <x:v>Thermal</x:v>
      </x:c>
      <x:c r="E227" s="14" t="str">
        <x:v>NOT COMMISSIONED</x:v>
      </x:c>
      <x:c r="F227" s="14" t="str">
        <x:v>OPEN</x:v>
      </x:c>
    </x:row>
    <x:row r="228">
      <x:c r="A228" s="15" t="str">
        <x:v>CH-0224</x:v>
      </x:c>
      <x:c r="B228" s="15" t="str">
        <x:v>SYS-04</x:v>
      </x:c>
      <x:c r="C228" s="15" t="n">
        <x:v>32</x:v>
      </x:c>
      <x:c r="D228" s="15" t="str">
        <x:v>Thermal</x:v>
      </x:c>
      <x:c r="E228" s="15" t="str">
        <x:v>NOT COMMISSIONED</x:v>
      </x:c>
      <x:c r="F228" s="15" t="str">
        <x:v>OPEN</x:v>
      </x:c>
    </x:row>
    <x:row r="229">
      <x:c r="A229" s="14" t="str">
        <x:v>CH-0225</x:v>
      </x:c>
      <x:c r="B229" s="14" t="str">
        <x:v>SYS-04</x:v>
      </x:c>
      <x:c r="C229" s="14" t="n">
        <x:v>33</x:v>
      </x:c>
      <x:c r="D229" s="14" t="str">
        <x:v>Thermal</x:v>
      </x:c>
      <x:c r="E229" s="14" t="str">
        <x:v>NOT COMMISSIONED</x:v>
      </x:c>
      <x:c r="F229" s="14" t="str">
        <x:v>OPEN</x:v>
      </x:c>
    </x:row>
    <x:row r="230">
      <x:c r="A230" s="15" t="str">
        <x:v>CH-0226</x:v>
      </x:c>
      <x:c r="B230" s="15" t="str">
        <x:v>SYS-04</x:v>
      </x:c>
      <x:c r="C230" s="15" t="n">
        <x:v>34</x:v>
      </x:c>
      <x:c r="D230" s="15" t="str">
        <x:v>Thermal</x:v>
      </x:c>
      <x:c r="E230" s="15" t="str">
        <x:v>NOT COMMISSIONED</x:v>
      </x:c>
      <x:c r="F230" s="15" t="str">
        <x:v>OPEN</x:v>
      </x:c>
    </x:row>
    <x:row r="231">
      <x:c r="A231" s="14" t="str">
        <x:v>CH-0227</x:v>
      </x:c>
      <x:c r="B231" s="14" t="str">
        <x:v>SYS-04</x:v>
      </x:c>
      <x:c r="C231" s="14" t="n">
        <x:v>35</x:v>
      </x:c>
      <x:c r="D231" s="14" t="str">
        <x:v>Thermal</x:v>
      </x:c>
      <x:c r="E231" s="14" t="str">
        <x:v>NOT COMMISSIONED</x:v>
      </x:c>
      <x:c r="F231" s="14" t="str">
        <x:v>OPEN</x:v>
      </x:c>
    </x:row>
    <x:row r="232">
      <x:c r="A232" s="15" t="str">
        <x:v>CH-0228</x:v>
      </x:c>
      <x:c r="B232" s="15" t="str">
        <x:v>SYS-04</x:v>
      </x:c>
      <x:c r="C232" s="15" t="n">
        <x:v>36</x:v>
      </x:c>
      <x:c r="D232" s="15" t="str">
        <x:v>Thermal</x:v>
      </x:c>
      <x:c r="E232" s="15" t="str">
        <x:v>NOT COMMISSIONED</x:v>
      </x:c>
      <x:c r="F232" s="15" t="str">
        <x:v>OPEN</x:v>
      </x:c>
    </x:row>
    <x:row r="233">
      <x:c r="A233" s="14" t="str">
        <x:v>CH-0229</x:v>
      </x:c>
      <x:c r="B233" s="14" t="str">
        <x:v>SYS-04</x:v>
      </x:c>
      <x:c r="C233" s="14" t="n">
        <x:v>37</x:v>
      </x:c>
      <x:c r="D233" s="14" t="str">
        <x:v>Thermal</x:v>
      </x:c>
      <x:c r="E233" s="14" t="str">
        <x:v>NOT COMMISSIONED</x:v>
      </x:c>
      <x:c r="F233" s="14" t="str">
        <x:v>OPEN</x:v>
      </x:c>
    </x:row>
    <x:row r="234">
      <x:c r="A234" s="15" t="str">
        <x:v>CH-0230</x:v>
      </x:c>
      <x:c r="B234" s="15" t="str">
        <x:v>SYS-04</x:v>
      </x:c>
      <x:c r="C234" s="15" t="n">
        <x:v>38</x:v>
      </x:c>
      <x:c r="D234" s="15" t="str">
        <x:v>Thermal</x:v>
      </x:c>
      <x:c r="E234" s="15" t="str">
        <x:v>NOT COMMISSIONED</x:v>
      </x:c>
      <x:c r="F234" s="15" t="str">
        <x:v>OPEN</x:v>
      </x:c>
    </x:row>
    <x:row r="235">
      <x:c r="A235" s="14" t="str">
        <x:v>CH-0231</x:v>
      </x:c>
      <x:c r="B235" s="14" t="str">
        <x:v>SYS-04</x:v>
      </x:c>
      <x:c r="C235" s="14" t="n">
        <x:v>39</x:v>
      </x:c>
      <x:c r="D235" s="14" t="str">
        <x:v>Thermal</x:v>
      </x:c>
      <x:c r="E235" s="14" t="str">
        <x:v>NOT COMMISSIONED</x:v>
      </x:c>
      <x:c r="F235" s="14" t="str">
        <x:v>OPEN</x:v>
      </x:c>
    </x:row>
    <x:row r="236">
      <x:c r="A236" s="15" t="str">
        <x:v>CH-0232</x:v>
      </x:c>
      <x:c r="B236" s="15" t="str">
        <x:v>SYS-04</x:v>
      </x:c>
      <x:c r="C236" s="15" t="n">
        <x:v>40</x:v>
      </x:c>
      <x:c r="D236" s="15" t="str">
        <x:v>Thermal</x:v>
      </x:c>
      <x:c r="E236" s="15" t="str">
        <x:v>NOT COMMISSIONED</x:v>
      </x:c>
      <x:c r="F236" s="15" t="str">
        <x:v>OPEN</x:v>
      </x:c>
    </x:row>
    <x:row r="237">
      <x:c r="A237" s="14" t="str">
        <x:v>CH-0233</x:v>
      </x:c>
      <x:c r="B237" s="14" t="str">
        <x:v>SYS-04</x:v>
      </x:c>
      <x:c r="C237" s="14" t="n">
        <x:v>41</x:v>
      </x:c>
      <x:c r="D237" s="14" t="str">
        <x:v>Thermal</x:v>
      </x:c>
      <x:c r="E237" s="14" t="str">
        <x:v>NOT COMMISSIONED</x:v>
      </x:c>
      <x:c r="F237" s="14" t="str">
        <x:v>OPEN</x:v>
      </x:c>
    </x:row>
    <x:row r="238">
      <x:c r="A238" s="15" t="str">
        <x:v>CH-0234</x:v>
      </x:c>
      <x:c r="B238" s="15" t="str">
        <x:v>SYS-04</x:v>
      </x:c>
      <x:c r="C238" s="15" t="n">
        <x:v>42</x:v>
      </x:c>
      <x:c r="D238" s="15" t="str">
        <x:v>Thermal</x:v>
      </x:c>
      <x:c r="E238" s="15" t="str">
        <x:v>NOT COMMISSIONED</x:v>
      </x:c>
      <x:c r="F238" s="15" t="str">
        <x:v>OPEN</x:v>
      </x:c>
    </x:row>
    <x:row r="239">
      <x:c r="A239" s="14" t="str">
        <x:v>CH-0235</x:v>
      </x:c>
      <x:c r="B239" s="14" t="str">
        <x:v>SYS-04</x:v>
      </x:c>
      <x:c r="C239" s="14" t="n">
        <x:v>43</x:v>
      </x:c>
      <x:c r="D239" s="14" t="str">
        <x:v>Thermal</x:v>
      </x:c>
      <x:c r="E239" s="14" t="str">
        <x:v>NOT COMMISSIONED</x:v>
      </x:c>
      <x:c r="F239" s="14" t="str">
        <x:v>OPEN</x:v>
      </x:c>
    </x:row>
    <x:row r="240">
      <x:c r="A240" s="15" t="str">
        <x:v>CH-0236</x:v>
      </x:c>
      <x:c r="B240" s="15" t="str">
        <x:v>SYS-04</x:v>
      </x:c>
      <x:c r="C240" s="15" t="n">
        <x:v>44</x:v>
      </x:c>
      <x:c r="D240" s="15" t="str">
        <x:v>Thermal</x:v>
      </x:c>
      <x:c r="E240" s="15" t="str">
        <x:v>NOT COMMISSIONED</x:v>
      </x:c>
      <x:c r="F240" s="15" t="str">
        <x:v>OPEN</x:v>
      </x:c>
    </x:row>
    <x:row r="241">
      <x:c r="A241" s="14" t="str">
        <x:v>CH-0237</x:v>
      </x:c>
      <x:c r="B241" s="14" t="str">
        <x:v>SYS-04</x:v>
      </x:c>
      <x:c r="C241" s="14" t="n">
        <x:v>45</x:v>
      </x:c>
      <x:c r="D241" s="14" t="str">
        <x:v>Thermal</x:v>
      </x:c>
      <x:c r="E241" s="14" t="str">
        <x:v>NOT COMMISSIONED</x:v>
      </x:c>
      <x:c r="F241" s="14" t="str">
        <x:v>OPEN</x:v>
      </x:c>
    </x:row>
    <x:row r="242">
      <x:c r="A242" s="15" t="str">
        <x:v>CH-0238</x:v>
      </x:c>
      <x:c r="B242" s="15" t="str">
        <x:v>SYS-04</x:v>
      </x:c>
      <x:c r="C242" s="15" t="n">
        <x:v>46</x:v>
      </x:c>
      <x:c r="D242" s="15" t="str">
        <x:v>Thermal</x:v>
      </x:c>
      <x:c r="E242" s="15" t="str">
        <x:v>NOT COMMISSIONED</x:v>
      </x:c>
      <x:c r="F242" s="15" t="str">
        <x:v>OPEN</x:v>
      </x:c>
    </x:row>
    <x:row r="243">
      <x:c r="A243" s="14" t="str">
        <x:v>CH-0239</x:v>
      </x:c>
      <x:c r="B243" s="14" t="str">
        <x:v>SYS-04</x:v>
      </x:c>
      <x:c r="C243" s="14" t="n">
        <x:v>47</x:v>
      </x:c>
      <x:c r="D243" s="14" t="str">
        <x:v>Thermal</x:v>
      </x:c>
      <x:c r="E243" s="14" t="str">
        <x:v>NOT COMMISSIONED</x:v>
      </x:c>
      <x:c r="F243" s="14" t="str">
        <x:v>OPEN</x:v>
      </x:c>
    </x:row>
    <x:row r="244">
      <x:c r="A244" s="15" t="str">
        <x:v>CH-0240</x:v>
      </x:c>
      <x:c r="B244" s="15" t="str">
        <x:v>SYS-04</x:v>
      </x:c>
      <x:c r="C244" s="15" t="n">
        <x:v>48</x:v>
      </x:c>
      <x:c r="D244" s="15" t="str">
        <x:v>Thermal</x:v>
      </x:c>
      <x:c r="E244" s="15" t="str">
        <x:v>NOT COMMISSIONED</x:v>
      </x:c>
      <x:c r="F244" s="15" t="str">
        <x:v>OPEN</x:v>
      </x:c>
    </x:row>
    <x:row r="245">
      <x:c r="A245" s="14" t="str">
        <x:v>CH-0241</x:v>
      </x:c>
      <x:c r="B245" s="14" t="str">
        <x:v>SYS-04</x:v>
      </x:c>
      <x:c r="C245" s="14" t="n">
        <x:v>49</x:v>
      </x:c>
      <x:c r="D245" s="14" t="str">
        <x:v>Thermal</x:v>
      </x:c>
      <x:c r="E245" s="14" t="str">
        <x:v>NOT COMMISSIONED</x:v>
      </x:c>
      <x:c r="F245" s="14" t="str">
        <x:v>OPEN</x:v>
      </x:c>
    </x:row>
    <x:row r="246">
      <x:c r="A246" s="15" t="str">
        <x:v>CH-0242</x:v>
      </x:c>
      <x:c r="B246" s="15" t="str">
        <x:v>SYS-04</x:v>
      </x:c>
      <x:c r="C246" s="15" t="n">
        <x:v>50</x:v>
      </x:c>
      <x:c r="D246" s="15" t="str">
        <x:v>Thermal</x:v>
      </x:c>
      <x:c r="E246" s="15" t="str">
        <x:v>NOT COMMISSIONED</x:v>
      </x:c>
      <x:c r="F246" s="15" t="str">
        <x:v>OPEN</x:v>
      </x:c>
    </x:row>
    <x:row r="247">
      <x:c r="A247" s="14" t="str">
        <x:v>CH-0243</x:v>
      </x:c>
      <x:c r="B247" s="14" t="str">
        <x:v>SYS-04</x:v>
      </x:c>
      <x:c r="C247" s="14" t="n">
        <x:v>51</x:v>
      </x:c>
      <x:c r="D247" s="14" t="str">
        <x:v>Thermal</x:v>
      </x:c>
      <x:c r="E247" s="14" t="str">
        <x:v>NOT COMMISSIONED</x:v>
      </x:c>
      <x:c r="F247" s="14" t="str">
        <x:v>OPEN</x:v>
      </x:c>
    </x:row>
    <x:row r="248">
      <x:c r="A248" s="15" t="str">
        <x:v>CH-0244</x:v>
      </x:c>
      <x:c r="B248" s="15" t="str">
        <x:v>SYS-04</x:v>
      </x:c>
      <x:c r="C248" s="15" t="n">
        <x:v>52</x:v>
      </x:c>
      <x:c r="D248" s="15" t="str">
        <x:v>Thermal</x:v>
      </x:c>
      <x:c r="E248" s="15" t="str">
        <x:v>NOT COMMISSIONED</x:v>
      </x:c>
      <x:c r="F248" s="15" t="str">
        <x:v>OPEN</x:v>
      </x:c>
    </x:row>
    <x:row r="249">
      <x:c r="A249" s="14" t="str">
        <x:v>CH-0245</x:v>
      </x:c>
      <x:c r="B249" s="14" t="str">
        <x:v>SYS-04</x:v>
      </x:c>
      <x:c r="C249" s="14" t="n">
        <x:v>53</x:v>
      </x:c>
      <x:c r="D249" s="14" t="str">
        <x:v>Thermal</x:v>
      </x:c>
      <x:c r="E249" s="14" t="str">
        <x:v>NOT COMMISSIONED</x:v>
      </x:c>
      <x:c r="F249" s="14" t="str">
        <x:v>OPEN</x:v>
      </x:c>
    </x:row>
    <x:row r="250">
      <x:c r="A250" s="15" t="str">
        <x:v>CH-0246</x:v>
      </x:c>
      <x:c r="B250" s="15" t="str">
        <x:v>SYS-04</x:v>
      </x:c>
      <x:c r="C250" s="15" t="n">
        <x:v>54</x:v>
      </x:c>
      <x:c r="D250" s="15" t="str">
        <x:v>Thermal</x:v>
      </x:c>
      <x:c r="E250" s="15" t="str">
        <x:v>NOT COMMISSIONED</x:v>
      </x:c>
      <x:c r="F250" s="15" t="str">
        <x:v>OPEN</x:v>
      </x:c>
    </x:row>
    <x:row r="251">
      <x:c r="A251" s="14" t="str">
        <x:v>CH-0247</x:v>
      </x:c>
      <x:c r="B251" s="14" t="str">
        <x:v>SYS-04</x:v>
      </x:c>
      <x:c r="C251" s="14" t="n">
        <x:v>55</x:v>
      </x:c>
      <x:c r="D251" s="14" t="str">
        <x:v>Thermal</x:v>
      </x:c>
      <x:c r="E251" s="14" t="str">
        <x:v>NOT COMMISSIONED</x:v>
      </x:c>
      <x:c r="F251" s="14" t="str">
        <x:v>OPEN</x:v>
      </x:c>
    </x:row>
    <x:row r="252">
      <x:c r="A252" s="15" t="str">
        <x:v>CH-0248</x:v>
      </x:c>
      <x:c r="B252" s="15" t="str">
        <x:v>SYS-04</x:v>
      </x:c>
      <x:c r="C252" s="15" t="n">
        <x:v>56</x:v>
      </x:c>
      <x:c r="D252" s="15" t="str">
        <x:v>Thermal</x:v>
      </x:c>
      <x:c r="E252" s="15" t="str">
        <x:v>NOT COMMISSIONED</x:v>
      </x:c>
      <x:c r="F252" s="15" t="str">
        <x:v>OPEN</x:v>
      </x:c>
    </x:row>
    <x:row r="253">
      <x:c r="A253" s="14" t="str">
        <x:v>CH-0249</x:v>
      </x:c>
      <x:c r="B253" s="14" t="str">
        <x:v>SYS-04</x:v>
      </x:c>
      <x:c r="C253" s="14" t="n">
        <x:v>57</x:v>
      </x:c>
      <x:c r="D253" s="14" t="str">
        <x:v>Thermal</x:v>
      </x:c>
      <x:c r="E253" s="14" t="str">
        <x:v>NOT COMMISSIONED</x:v>
      </x:c>
      <x:c r="F253" s="14" t="str">
        <x:v>OPEN</x:v>
      </x:c>
    </x:row>
    <x:row r="254">
      <x:c r="A254" s="15" t="str">
        <x:v>CH-0250</x:v>
      </x:c>
      <x:c r="B254" s="15" t="str">
        <x:v>SYS-04</x:v>
      </x:c>
      <x:c r="C254" s="15" t="n">
        <x:v>58</x:v>
      </x:c>
      <x:c r="D254" s="15" t="str">
        <x:v>Thermal</x:v>
      </x:c>
      <x:c r="E254" s="15" t="str">
        <x:v>NOT COMMISSIONED</x:v>
      </x:c>
      <x:c r="F254" s="15" t="str">
        <x:v>OPEN</x:v>
      </x:c>
    </x:row>
    <x:row r="255">
      <x:c r="A255" s="14" t="str">
        <x:v>CH-0251</x:v>
      </x:c>
      <x:c r="B255" s="14" t="str">
        <x:v>SYS-04</x:v>
      </x:c>
      <x:c r="C255" s="14" t="n">
        <x:v>59</x:v>
      </x:c>
      <x:c r="D255" s="14" t="str">
        <x:v>Thermal</x:v>
      </x:c>
      <x:c r="E255" s="14" t="str">
        <x:v>NOT COMMISSIONED</x:v>
      </x:c>
      <x:c r="F255" s="14" t="str">
        <x:v>OPEN</x:v>
      </x:c>
    </x:row>
    <x:row r="256">
      <x:c r="A256" s="15" t="str">
        <x:v>CH-0252</x:v>
      </x:c>
      <x:c r="B256" s="15" t="str">
        <x:v>SYS-04</x:v>
      </x:c>
      <x:c r="C256" s="15" t="n">
        <x:v>60</x:v>
      </x:c>
      <x:c r="D256" s="15" t="str">
        <x:v>Thermal</x:v>
      </x:c>
      <x:c r="E256" s="15" t="str">
        <x:v>NOT COMMISSIONED</x:v>
      </x:c>
      <x:c r="F256" s="15" t="str">
        <x:v>OPEN</x:v>
      </x:c>
    </x:row>
    <x:row r="257">
      <x:c r="A257" s="14" t="str">
        <x:v>CH-0253</x:v>
      </x:c>
      <x:c r="B257" s="14" t="str">
        <x:v>SYS-04</x:v>
      </x:c>
      <x:c r="C257" s="14" t="n">
        <x:v>61</x:v>
      </x:c>
      <x:c r="D257" s="14" t="str">
        <x:v>Thermal</x:v>
      </x:c>
      <x:c r="E257" s="14" t="str">
        <x:v>NOT COMMISSIONED</x:v>
      </x:c>
      <x:c r="F257" s="14" t="str">
        <x:v>OPEN</x:v>
      </x:c>
    </x:row>
    <x:row r="258">
      <x:c r="A258" s="15" t="str">
        <x:v>CH-0254</x:v>
      </x:c>
      <x:c r="B258" s="15" t="str">
        <x:v>SYS-04</x:v>
      </x:c>
      <x:c r="C258" s="15" t="n">
        <x:v>62</x:v>
      </x:c>
      <x:c r="D258" s="15" t="str">
        <x:v>Thermal</x:v>
      </x:c>
      <x:c r="E258" s="15" t="str">
        <x:v>NOT COMMISSIONED</x:v>
      </x:c>
      <x:c r="F258" s="15" t="str">
        <x:v>OPEN</x:v>
      </x:c>
    </x:row>
    <x:row r="259">
      <x:c r="A259" s="14" t="str">
        <x:v>CH-0255</x:v>
      </x:c>
      <x:c r="B259" s="14" t="str">
        <x:v>SYS-04</x:v>
      </x:c>
      <x:c r="C259" s="14" t="n">
        <x:v>63</x:v>
      </x:c>
      <x:c r="D259" s="14" t="str">
        <x:v>Thermal</x:v>
      </x:c>
      <x:c r="E259" s="14" t="str">
        <x:v>NOT COMMISSIONED</x:v>
      </x:c>
      <x:c r="F259" s="14" t="str">
        <x:v>OPEN</x:v>
      </x:c>
    </x:row>
    <x:row r="260">
      <x:c r="A260" s="15" t="str">
        <x:v>CH-0256</x:v>
      </x:c>
      <x:c r="B260" s="15" t="str">
        <x:v>SYS-04</x:v>
      </x:c>
      <x:c r="C260" s="15" t="n">
        <x:v>64</x:v>
      </x:c>
      <x:c r="D260" s="15" t="str">
        <x:v>Thermal</x:v>
      </x:c>
      <x:c r="E260" s="15" t="str">
        <x:v>NOT COMMISSIONED</x:v>
      </x:c>
      <x:c r="F260" s="15" t="str">
        <x:v>OPEN</x:v>
      </x:c>
    </x:row>
    <x:row r="261">
      <x:c r="A261" s="14" t="str">
        <x:v>CH-0257</x:v>
      </x:c>
      <x:c r="B261" s="14" t="str">
        <x:v>SYS-05</x:v>
      </x:c>
      <x:c r="C261" s="14" t="n">
        <x:v>1</x:v>
      </x:c>
      <x:c r="D261" s="14" t="str">
        <x:v>Atmosphere</x:v>
      </x:c>
      <x:c r="E261" s="14" t="str">
        <x:v>NOT COMMISSIONED</x:v>
      </x:c>
      <x:c r="F261" s="14" t="str">
        <x:v>OPEN</x:v>
      </x:c>
    </x:row>
    <x:row r="262">
      <x:c r="A262" s="15" t="str">
        <x:v>CH-0258</x:v>
      </x:c>
      <x:c r="B262" s="15" t="str">
        <x:v>SYS-05</x:v>
      </x:c>
      <x:c r="C262" s="15" t="n">
        <x:v>2</x:v>
      </x:c>
      <x:c r="D262" s="15" t="str">
        <x:v>Atmosphere</x:v>
      </x:c>
      <x:c r="E262" s="15" t="str">
        <x:v>NOT COMMISSIONED</x:v>
      </x:c>
      <x:c r="F262" s="15" t="str">
        <x:v>OPEN</x:v>
      </x:c>
    </x:row>
    <x:row r="263">
      <x:c r="A263" s="14" t="str">
        <x:v>CH-0259</x:v>
      </x:c>
      <x:c r="B263" s="14" t="str">
        <x:v>SYS-05</x:v>
      </x:c>
      <x:c r="C263" s="14" t="n">
        <x:v>3</x:v>
      </x:c>
      <x:c r="D263" s="14" t="str">
        <x:v>Atmosphere</x:v>
      </x:c>
      <x:c r="E263" s="14" t="str">
        <x:v>NOT COMMISSIONED</x:v>
      </x:c>
      <x:c r="F263" s="14" t="str">
        <x:v>OPEN</x:v>
      </x:c>
    </x:row>
    <x:row r="264">
      <x:c r="A264" s="15" t="str">
        <x:v>CH-0260</x:v>
      </x:c>
      <x:c r="B264" s="15" t="str">
        <x:v>SYS-05</x:v>
      </x:c>
      <x:c r="C264" s="15" t="n">
        <x:v>4</x:v>
      </x:c>
      <x:c r="D264" s="15" t="str">
        <x:v>Atmosphere</x:v>
      </x:c>
      <x:c r="E264" s="15" t="str">
        <x:v>NOT COMMISSIONED</x:v>
      </x:c>
      <x:c r="F264" s="15" t="str">
        <x:v>OPEN</x:v>
      </x:c>
    </x:row>
    <x:row r="265">
      <x:c r="A265" s="14" t="str">
        <x:v>CH-0261</x:v>
      </x:c>
      <x:c r="B265" s="14" t="str">
        <x:v>SYS-05</x:v>
      </x:c>
      <x:c r="C265" s="14" t="n">
        <x:v>5</x:v>
      </x:c>
      <x:c r="D265" s="14" t="str">
        <x:v>Atmosphere</x:v>
      </x:c>
      <x:c r="E265" s="14" t="str">
        <x:v>NOT COMMISSIONED</x:v>
      </x:c>
      <x:c r="F265" s="14" t="str">
        <x:v>OPEN</x:v>
      </x:c>
    </x:row>
    <x:row r="266">
      <x:c r="A266" s="15" t="str">
        <x:v>CH-0262</x:v>
      </x:c>
      <x:c r="B266" s="15" t="str">
        <x:v>SYS-05</x:v>
      </x:c>
      <x:c r="C266" s="15" t="n">
        <x:v>6</x:v>
      </x:c>
      <x:c r="D266" s="15" t="str">
        <x:v>Atmosphere</x:v>
      </x:c>
      <x:c r="E266" s="15" t="str">
        <x:v>NOT COMMISSIONED</x:v>
      </x:c>
      <x:c r="F266" s="15" t="str">
        <x:v>OPEN</x:v>
      </x:c>
    </x:row>
    <x:row r="267">
      <x:c r="A267" s="14" t="str">
        <x:v>CH-0263</x:v>
      </x:c>
      <x:c r="B267" s="14" t="str">
        <x:v>SYS-05</x:v>
      </x:c>
      <x:c r="C267" s="14" t="n">
        <x:v>7</x:v>
      </x:c>
      <x:c r="D267" s="14" t="str">
        <x:v>Atmosphere</x:v>
      </x:c>
      <x:c r="E267" s="14" t="str">
        <x:v>NOT COMMISSIONED</x:v>
      </x:c>
      <x:c r="F267" s="14" t="str">
        <x:v>OPEN</x:v>
      </x:c>
    </x:row>
    <x:row r="268">
      <x:c r="A268" s="15" t="str">
        <x:v>CH-0264</x:v>
      </x:c>
      <x:c r="B268" s="15" t="str">
        <x:v>SYS-05</x:v>
      </x:c>
      <x:c r="C268" s="15" t="n">
        <x:v>8</x:v>
      </x:c>
      <x:c r="D268" s="15" t="str">
        <x:v>Atmosphere</x:v>
      </x:c>
      <x:c r="E268" s="15" t="str">
        <x:v>NOT COMMISSIONED</x:v>
      </x:c>
      <x:c r="F268" s="15" t="str">
        <x:v>OPEN</x:v>
      </x:c>
    </x:row>
    <x:row r="269">
      <x:c r="A269" s="14" t="str">
        <x:v>CH-0265</x:v>
      </x:c>
      <x:c r="B269" s="14" t="str">
        <x:v>SYS-05</x:v>
      </x:c>
      <x:c r="C269" s="14" t="n">
        <x:v>9</x:v>
      </x:c>
      <x:c r="D269" s="14" t="str">
        <x:v>Atmosphere</x:v>
      </x:c>
      <x:c r="E269" s="14" t="str">
        <x:v>NOT COMMISSIONED</x:v>
      </x:c>
      <x:c r="F269" s="14" t="str">
        <x:v>OPEN</x:v>
      </x:c>
    </x:row>
    <x:row r="270">
      <x:c r="A270" s="15" t="str">
        <x:v>CH-0266</x:v>
      </x:c>
      <x:c r="B270" s="15" t="str">
        <x:v>SYS-05</x:v>
      </x:c>
      <x:c r="C270" s="15" t="n">
        <x:v>10</x:v>
      </x:c>
      <x:c r="D270" s="15" t="str">
        <x:v>Atmosphere</x:v>
      </x:c>
      <x:c r="E270" s="15" t="str">
        <x:v>NOT COMMISSIONED</x:v>
      </x:c>
      <x:c r="F270" s="15" t="str">
        <x:v>OPEN</x:v>
      </x:c>
    </x:row>
    <x:row r="271">
      <x:c r="A271" s="14" t="str">
        <x:v>CH-0267</x:v>
      </x:c>
      <x:c r="B271" s="14" t="str">
        <x:v>SYS-05</x:v>
      </x:c>
      <x:c r="C271" s="14" t="n">
        <x:v>11</x:v>
      </x:c>
      <x:c r="D271" s="14" t="str">
        <x:v>Atmosphere</x:v>
      </x:c>
      <x:c r="E271" s="14" t="str">
        <x:v>NOT COMMISSIONED</x:v>
      </x:c>
      <x:c r="F271" s="14" t="str">
        <x:v>OPEN</x:v>
      </x:c>
    </x:row>
    <x:row r="272">
      <x:c r="A272" s="15" t="str">
        <x:v>CH-0268</x:v>
      </x:c>
      <x:c r="B272" s="15" t="str">
        <x:v>SYS-05</x:v>
      </x:c>
      <x:c r="C272" s="15" t="n">
        <x:v>12</x:v>
      </x:c>
      <x:c r="D272" s="15" t="str">
        <x:v>Atmosphere</x:v>
      </x:c>
      <x:c r="E272" s="15" t="str">
        <x:v>NOT COMMISSIONED</x:v>
      </x:c>
      <x:c r="F272" s="15" t="str">
        <x:v>OPEN</x:v>
      </x:c>
    </x:row>
    <x:row r="273">
      <x:c r="A273" s="14" t="str">
        <x:v>CH-0269</x:v>
      </x:c>
      <x:c r="B273" s="14" t="str">
        <x:v>SYS-05</x:v>
      </x:c>
      <x:c r="C273" s="14" t="n">
        <x:v>13</x:v>
      </x:c>
      <x:c r="D273" s="14" t="str">
        <x:v>Atmosphere</x:v>
      </x:c>
      <x:c r="E273" s="14" t="str">
        <x:v>NOT COMMISSIONED</x:v>
      </x:c>
      <x:c r="F273" s="14" t="str">
        <x:v>OPEN</x:v>
      </x:c>
    </x:row>
    <x:row r="274">
      <x:c r="A274" s="15" t="str">
        <x:v>CH-0270</x:v>
      </x:c>
      <x:c r="B274" s="15" t="str">
        <x:v>SYS-05</x:v>
      </x:c>
      <x:c r="C274" s="15" t="n">
        <x:v>14</x:v>
      </x:c>
      <x:c r="D274" s="15" t="str">
        <x:v>Atmosphere</x:v>
      </x:c>
      <x:c r="E274" s="15" t="str">
        <x:v>NOT COMMISSIONED</x:v>
      </x:c>
      <x:c r="F274" s="15" t="str">
        <x:v>OPEN</x:v>
      </x:c>
    </x:row>
    <x:row r="275">
      <x:c r="A275" s="14" t="str">
        <x:v>CH-0271</x:v>
      </x:c>
      <x:c r="B275" s="14" t="str">
        <x:v>SYS-05</x:v>
      </x:c>
      <x:c r="C275" s="14" t="n">
        <x:v>15</x:v>
      </x:c>
      <x:c r="D275" s="14" t="str">
        <x:v>Atmosphere</x:v>
      </x:c>
      <x:c r="E275" s="14" t="str">
        <x:v>NOT COMMISSIONED</x:v>
      </x:c>
      <x:c r="F275" s="14" t="str">
        <x:v>OPEN</x:v>
      </x:c>
    </x:row>
    <x:row r="276">
      <x:c r="A276" s="15" t="str">
        <x:v>CH-0272</x:v>
      </x:c>
      <x:c r="B276" s="15" t="str">
        <x:v>SYS-05</x:v>
      </x:c>
      <x:c r="C276" s="15" t="n">
        <x:v>16</x:v>
      </x:c>
      <x:c r="D276" s="15" t="str">
        <x:v>Atmosphere</x:v>
      </x:c>
      <x:c r="E276" s="15" t="str">
        <x:v>NOT COMMISSIONED</x:v>
      </x:c>
      <x:c r="F276" s="15" t="str">
        <x:v>OPEN</x:v>
      </x:c>
    </x:row>
    <x:row r="277">
      <x:c r="A277" s="14" t="str">
        <x:v>CH-0273</x:v>
      </x:c>
      <x:c r="B277" s="14" t="str">
        <x:v>SYS-05</x:v>
      </x:c>
      <x:c r="C277" s="14" t="n">
        <x:v>17</x:v>
      </x:c>
      <x:c r="D277" s="14" t="str">
        <x:v>Atmosphere</x:v>
      </x:c>
      <x:c r="E277" s="14" t="str">
        <x:v>NOT COMMISSIONED</x:v>
      </x:c>
      <x:c r="F277" s="14" t="str">
        <x:v>OPEN</x:v>
      </x:c>
    </x:row>
    <x:row r="278">
      <x:c r="A278" s="15" t="str">
        <x:v>CH-0274</x:v>
      </x:c>
      <x:c r="B278" s="15" t="str">
        <x:v>SYS-05</x:v>
      </x:c>
      <x:c r="C278" s="15" t="n">
        <x:v>18</x:v>
      </x:c>
      <x:c r="D278" s="15" t="str">
        <x:v>Atmosphere</x:v>
      </x:c>
      <x:c r="E278" s="15" t="str">
        <x:v>NOT COMMISSIONED</x:v>
      </x:c>
      <x:c r="F278" s="15" t="str">
        <x:v>OPEN</x:v>
      </x:c>
    </x:row>
    <x:row r="279">
      <x:c r="A279" s="14" t="str">
        <x:v>CH-0275</x:v>
      </x:c>
      <x:c r="B279" s="14" t="str">
        <x:v>SYS-05</x:v>
      </x:c>
      <x:c r="C279" s="14" t="n">
        <x:v>19</x:v>
      </x:c>
      <x:c r="D279" s="14" t="str">
        <x:v>Atmosphere</x:v>
      </x:c>
      <x:c r="E279" s="14" t="str">
        <x:v>NOT COMMISSIONED</x:v>
      </x:c>
      <x:c r="F279" s="14" t="str">
        <x:v>OPEN</x:v>
      </x:c>
    </x:row>
    <x:row r="280">
      <x:c r="A280" s="15" t="str">
        <x:v>CH-0276</x:v>
      </x:c>
      <x:c r="B280" s="15" t="str">
        <x:v>SYS-05</x:v>
      </x:c>
      <x:c r="C280" s="15" t="n">
        <x:v>20</x:v>
      </x:c>
      <x:c r="D280" s="15" t="str">
        <x:v>Atmosphere</x:v>
      </x:c>
      <x:c r="E280" s="15" t="str">
        <x:v>NOT COMMISSIONED</x:v>
      </x:c>
      <x:c r="F280" s="15" t="str">
        <x:v>OPEN</x:v>
      </x:c>
    </x:row>
    <x:row r="281">
      <x:c r="A281" s="14" t="str">
        <x:v>CH-0277</x:v>
      </x:c>
      <x:c r="B281" s="14" t="str">
        <x:v>SYS-05</x:v>
      </x:c>
      <x:c r="C281" s="14" t="n">
        <x:v>21</x:v>
      </x:c>
      <x:c r="D281" s="14" t="str">
        <x:v>Atmosphere</x:v>
      </x:c>
      <x:c r="E281" s="14" t="str">
        <x:v>NOT COMMISSIONED</x:v>
      </x:c>
      <x:c r="F281" s="14" t="str">
        <x:v>OPEN</x:v>
      </x:c>
    </x:row>
    <x:row r="282">
      <x:c r="A282" s="15" t="str">
        <x:v>CH-0278</x:v>
      </x:c>
      <x:c r="B282" s="15" t="str">
        <x:v>SYS-05</x:v>
      </x:c>
      <x:c r="C282" s="15" t="n">
        <x:v>22</x:v>
      </x:c>
      <x:c r="D282" s="15" t="str">
        <x:v>Atmosphere</x:v>
      </x:c>
      <x:c r="E282" s="15" t="str">
        <x:v>NOT COMMISSIONED</x:v>
      </x:c>
      <x:c r="F282" s="15" t="str">
        <x:v>OPEN</x:v>
      </x:c>
    </x:row>
    <x:row r="283">
      <x:c r="A283" s="14" t="str">
        <x:v>CH-0279</x:v>
      </x:c>
      <x:c r="B283" s="14" t="str">
        <x:v>SYS-05</x:v>
      </x:c>
      <x:c r="C283" s="14" t="n">
        <x:v>23</x:v>
      </x:c>
      <x:c r="D283" s="14" t="str">
        <x:v>Atmosphere</x:v>
      </x:c>
      <x:c r="E283" s="14" t="str">
        <x:v>NOT COMMISSIONED</x:v>
      </x:c>
      <x:c r="F283" s="14" t="str">
        <x:v>OPEN</x:v>
      </x:c>
    </x:row>
    <x:row r="284">
      <x:c r="A284" s="15" t="str">
        <x:v>CH-0280</x:v>
      </x:c>
      <x:c r="B284" s="15" t="str">
        <x:v>SYS-05</x:v>
      </x:c>
      <x:c r="C284" s="15" t="n">
        <x:v>24</x:v>
      </x:c>
      <x:c r="D284" s="15" t="str">
        <x:v>Atmosphere</x:v>
      </x:c>
      <x:c r="E284" s="15" t="str">
        <x:v>NOT COMMISSIONED</x:v>
      </x:c>
      <x:c r="F284" s="15" t="str">
        <x:v>OPEN</x:v>
      </x:c>
    </x:row>
    <x:row r="285">
      <x:c r="A285" s="14" t="str">
        <x:v>CH-0281</x:v>
      </x:c>
      <x:c r="B285" s="14" t="str">
        <x:v>SYS-05</x:v>
      </x:c>
      <x:c r="C285" s="14" t="n">
        <x:v>25</x:v>
      </x:c>
      <x:c r="D285" s="14" t="str">
        <x:v>Atmosphere</x:v>
      </x:c>
      <x:c r="E285" s="14" t="str">
        <x:v>NOT COMMISSIONED</x:v>
      </x:c>
      <x:c r="F285" s="14" t="str">
        <x:v>OPEN</x:v>
      </x:c>
    </x:row>
    <x:row r="286">
      <x:c r="A286" s="15" t="str">
        <x:v>CH-0282</x:v>
      </x:c>
      <x:c r="B286" s="15" t="str">
        <x:v>SYS-05</x:v>
      </x:c>
      <x:c r="C286" s="15" t="n">
        <x:v>26</x:v>
      </x:c>
      <x:c r="D286" s="15" t="str">
        <x:v>Atmosphere</x:v>
      </x:c>
      <x:c r="E286" s="15" t="str">
        <x:v>NOT COMMISSIONED</x:v>
      </x:c>
      <x:c r="F286" s="15" t="str">
        <x:v>OPEN</x:v>
      </x:c>
    </x:row>
    <x:row r="287">
      <x:c r="A287" s="14" t="str">
        <x:v>CH-0283</x:v>
      </x:c>
      <x:c r="B287" s="14" t="str">
        <x:v>SYS-05</x:v>
      </x:c>
      <x:c r="C287" s="14" t="n">
        <x:v>27</x:v>
      </x:c>
      <x:c r="D287" s="14" t="str">
        <x:v>Atmosphere</x:v>
      </x:c>
      <x:c r="E287" s="14" t="str">
        <x:v>NOT COMMISSIONED</x:v>
      </x:c>
      <x:c r="F287" s="14" t="str">
        <x:v>OPEN</x:v>
      </x:c>
    </x:row>
    <x:row r="288">
      <x:c r="A288" s="15" t="str">
        <x:v>CH-0284</x:v>
      </x:c>
      <x:c r="B288" s="15" t="str">
        <x:v>SYS-05</x:v>
      </x:c>
      <x:c r="C288" s="15" t="n">
        <x:v>28</x:v>
      </x:c>
      <x:c r="D288" s="15" t="str">
        <x:v>Atmosphere</x:v>
      </x:c>
      <x:c r="E288" s="15" t="str">
        <x:v>NOT COMMISSIONED</x:v>
      </x:c>
      <x:c r="F288" s="15" t="str">
        <x:v>OPEN</x:v>
      </x:c>
    </x:row>
    <x:row r="289">
      <x:c r="A289" s="14" t="str">
        <x:v>CH-0285</x:v>
      </x:c>
      <x:c r="B289" s="14" t="str">
        <x:v>SYS-05</x:v>
      </x:c>
      <x:c r="C289" s="14" t="n">
        <x:v>29</x:v>
      </x:c>
      <x:c r="D289" s="14" t="str">
        <x:v>Atmosphere</x:v>
      </x:c>
      <x:c r="E289" s="14" t="str">
        <x:v>NOT COMMISSIONED</x:v>
      </x:c>
      <x:c r="F289" s="14" t="str">
        <x:v>OPEN</x:v>
      </x:c>
    </x:row>
    <x:row r="290">
      <x:c r="A290" s="15" t="str">
        <x:v>CH-0286</x:v>
      </x:c>
      <x:c r="B290" s="15" t="str">
        <x:v>SYS-05</x:v>
      </x:c>
      <x:c r="C290" s="15" t="n">
        <x:v>30</x:v>
      </x:c>
      <x:c r="D290" s="15" t="str">
        <x:v>Atmosphere</x:v>
      </x:c>
      <x:c r="E290" s="15" t="str">
        <x:v>NOT COMMISSIONED</x:v>
      </x:c>
      <x:c r="F290" s="15" t="str">
        <x:v>OPEN</x:v>
      </x:c>
    </x:row>
    <x:row r="291">
      <x:c r="A291" s="14" t="str">
        <x:v>CH-0287</x:v>
      </x:c>
      <x:c r="B291" s="14" t="str">
        <x:v>SYS-05</x:v>
      </x:c>
      <x:c r="C291" s="14" t="n">
        <x:v>31</x:v>
      </x:c>
      <x:c r="D291" s="14" t="str">
        <x:v>Atmosphere</x:v>
      </x:c>
      <x:c r="E291" s="14" t="str">
        <x:v>NOT COMMISSIONED</x:v>
      </x:c>
      <x:c r="F291" s="14" t="str">
        <x:v>OPEN</x:v>
      </x:c>
    </x:row>
    <x:row r="292">
      <x:c r="A292" s="15" t="str">
        <x:v>CH-0288</x:v>
      </x:c>
      <x:c r="B292" s="15" t="str">
        <x:v>SYS-05</x:v>
      </x:c>
      <x:c r="C292" s="15" t="n">
        <x:v>32</x:v>
      </x:c>
      <x:c r="D292" s="15" t="str">
        <x:v>Atmosphere</x:v>
      </x:c>
      <x:c r="E292" s="15" t="str">
        <x:v>NOT COMMISSIONED</x:v>
      </x:c>
      <x:c r="F292" s="15" t="str">
        <x:v>OPEN</x:v>
      </x:c>
    </x:row>
    <x:row r="293">
      <x:c r="A293" s="14" t="str">
        <x:v>CH-0289</x:v>
      </x:c>
      <x:c r="B293" s="14" t="str">
        <x:v>SYS-05</x:v>
      </x:c>
      <x:c r="C293" s="14" t="n">
        <x:v>33</x:v>
      </x:c>
      <x:c r="D293" s="14" t="str">
        <x:v>Atmosphere</x:v>
      </x:c>
      <x:c r="E293" s="14" t="str">
        <x:v>NOT COMMISSIONED</x:v>
      </x:c>
      <x:c r="F293" s="14" t="str">
        <x:v>OPEN</x:v>
      </x:c>
    </x:row>
    <x:row r="294">
      <x:c r="A294" s="15" t="str">
        <x:v>CH-0290</x:v>
      </x:c>
      <x:c r="B294" s="15" t="str">
        <x:v>SYS-05</x:v>
      </x:c>
      <x:c r="C294" s="15" t="n">
        <x:v>34</x:v>
      </x:c>
      <x:c r="D294" s="15" t="str">
        <x:v>Atmosphere</x:v>
      </x:c>
      <x:c r="E294" s="15" t="str">
        <x:v>NOT COMMISSIONED</x:v>
      </x:c>
      <x:c r="F294" s="15" t="str">
        <x:v>OPEN</x:v>
      </x:c>
    </x:row>
    <x:row r="295">
      <x:c r="A295" s="14" t="str">
        <x:v>CH-0291</x:v>
      </x:c>
      <x:c r="B295" s="14" t="str">
        <x:v>SYS-05</x:v>
      </x:c>
      <x:c r="C295" s="14" t="n">
        <x:v>35</x:v>
      </x:c>
      <x:c r="D295" s="14" t="str">
        <x:v>Atmosphere</x:v>
      </x:c>
      <x:c r="E295" s="14" t="str">
        <x:v>NOT COMMISSIONED</x:v>
      </x:c>
      <x:c r="F295" s="14" t="str">
        <x:v>OPEN</x:v>
      </x:c>
    </x:row>
    <x:row r="296">
      <x:c r="A296" s="15" t="str">
        <x:v>CH-0292</x:v>
      </x:c>
      <x:c r="B296" s="15" t="str">
        <x:v>SYS-05</x:v>
      </x:c>
      <x:c r="C296" s="15" t="n">
        <x:v>36</x:v>
      </x:c>
      <x:c r="D296" s="15" t="str">
        <x:v>Atmosphere</x:v>
      </x:c>
      <x:c r="E296" s="15" t="str">
        <x:v>NOT COMMISSIONED</x:v>
      </x:c>
      <x:c r="F296" s="15" t="str">
        <x:v>OPEN</x:v>
      </x:c>
    </x:row>
    <x:row r="297">
      <x:c r="A297" s="14" t="str">
        <x:v>CH-0293</x:v>
      </x:c>
      <x:c r="B297" s="14" t="str">
        <x:v>SYS-05</x:v>
      </x:c>
      <x:c r="C297" s="14" t="n">
        <x:v>37</x:v>
      </x:c>
      <x:c r="D297" s="14" t="str">
        <x:v>Atmosphere</x:v>
      </x:c>
      <x:c r="E297" s="14" t="str">
        <x:v>NOT COMMISSIONED</x:v>
      </x:c>
      <x:c r="F297" s="14" t="str">
        <x:v>OPEN</x:v>
      </x:c>
    </x:row>
    <x:row r="298">
      <x:c r="A298" s="15" t="str">
        <x:v>CH-0294</x:v>
      </x:c>
      <x:c r="B298" s="15" t="str">
        <x:v>SYS-05</x:v>
      </x:c>
      <x:c r="C298" s="15" t="n">
        <x:v>38</x:v>
      </x:c>
      <x:c r="D298" s="15" t="str">
        <x:v>Atmosphere</x:v>
      </x:c>
      <x:c r="E298" s="15" t="str">
        <x:v>NOT COMMISSIONED</x:v>
      </x:c>
      <x:c r="F298" s="15" t="str">
        <x:v>OPEN</x:v>
      </x:c>
    </x:row>
    <x:row r="299">
      <x:c r="A299" s="14" t="str">
        <x:v>CH-0295</x:v>
      </x:c>
      <x:c r="B299" s="14" t="str">
        <x:v>SYS-05</x:v>
      </x:c>
      <x:c r="C299" s="14" t="n">
        <x:v>39</x:v>
      </x:c>
      <x:c r="D299" s="14" t="str">
        <x:v>Atmosphere</x:v>
      </x:c>
      <x:c r="E299" s="14" t="str">
        <x:v>NOT COMMISSIONED</x:v>
      </x:c>
      <x:c r="F299" s="14" t="str">
        <x:v>OPEN</x:v>
      </x:c>
    </x:row>
    <x:row r="300">
      <x:c r="A300" s="15" t="str">
        <x:v>CH-0296</x:v>
      </x:c>
      <x:c r="B300" s="15" t="str">
        <x:v>SYS-05</x:v>
      </x:c>
      <x:c r="C300" s="15" t="n">
        <x:v>40</x:v>
      </x:c>
      <x:c r="D300" s="15" t="str">
        <x:v>Atmosphere</x:v>
      </x:c>
      <x:c r="E300" s="15" t="str">
        <x:v>NOT COMMISSIONED</x:v>
      </x:c>
      <x:c r="F300" s="15" t="str">
        <x:v>OPEN</x:v>
      </x:c>
    </x:row>
    <x:row r="301">
      <x:c r="A301" s="14" t="str">
        <x:v>CH-0297</x:v>
      </x:c>
      <x:c r="B301" s="14" t="str">
        <x:v>SYS-05</x:v>
      </x:c>
      <x:c r="C301" s="14" t="n">
        <x:v>41</x:v>
      </x:c>
      <x:c r="D301" s="14" t="str">
        <x:v>Atmosphere</x:v>
      </x:c>
      <x:c r="E301" s="14" t="str">
        <x:v>NOT COMMISSIONED</x:v>
      </x:c>
      <x:c r="F301" s="14" t="str">
        <x:v>OPEN</x:v>
      </x:c>
    </x:row>
    <x:row r="302">
      <x:c r="A302" s="15" t="str">
        <x:v>CH-0298</x:v>
      </x:c>
      <x:c r="B302" s="15" t="str">
        <x:v>SYS-05</x:v>
      </x:c>
      <x:c r="C302" s="15" t="n">
        <x:v>42</x:v>
      </x:c>
      <x:c r="D302" s="15" t="str">
        <x:v>Atmosphere</x:v>
      </x:c>
      <x:c r="E302" s="15" t="str">
        <x:v>NOT COMMISSIONED</x:v>
      </x:c>
      <x:c r="F302" s="15" t="str">
        <x:v>OPEN</x:v>
      </x:c>
    </x:row>
    <x:row r="303">
      <x:c r="A303" s="14" t="str">
        <x:v>CH-0299</x:v>
      </x:c>
      <x:c r="B303" s="14" t="str">
        <x:v>SYS-05</x:v>
      </x:c>
      <x:c r="C303" s="14" t="n">
        <x:v>43</x:v>
      </x:c>
      <x:c r="D303" s="14" t="str">
        <x:v>Atmosphere</x:v>
      </x:c>
      <x:c r="E303" s="14" t="str">
        <x:v>NOT COMMISSIONED</x:v>
      </x:c>
      <x:c r="F303" s="14" t="str">
        <x:v>OPEN</x:v>
      </x:c>
    </x:row>
    <x:row r="304">
      <x:c r="A304" s="15" t="str">
        <x:v>CH-0300</x:v>
      </x:c>
      <x:c r="B304" s="15" t="str">
        <x:v>SYS-05</x:v>
      </x:c>
      <x:c r="C304" s="15" t="n">
        <x:v>44</x:v>
      </x:c>
      <x:c r="D304" s="15" t="str">
        <x:v>Atmosphere</x:v>
      </x:c>
      <x:c r="E304" s="15" t="str">
        <x:v>NOT COMMISSIONED</x:v>
      </x:c>
      <x:c r="F304" s="15" t="str">
        <x:v>OPEN</x:v>
      </x:c>
    </x:row>
    <x:row r="305">
      <x:c r="A305" s="14" t="str">
        <x:v>CH-0301</x:v>
      </x:c>
      <x:c r="B305" s="14" t="str">
        <x:v>SYS-05</x:v>
      </x:c>
      <x:c r="C305" s="14" t="n">
        <x:v>45</x:v>
      </x:c>
      <x:c r="D305" s="14" t="str">
        <x:v>Atmosphere</x:v>
      </x:c>
      <x:c r="E305" s="14" t="str">
        <x:v>NOT COMMISSIONED</x:v>
      </x:c>
      <x:c r="F305" s="14" t="str">
        <x:v>OPEN</x:v>
      </x:c>
    </x:row>
    <x:row r="306">
      <x:c r="A306" s="15" t="str">
        <x:v>CH-0302</x:v>
      </x:c>
      <x:c r="B306" s="15" t="str">
        <x:v>SYS-05</x:v>
      </x:c>
      <x:c r="C306" s="15" t="n">
        <x:v>46</x:v>
      </x:c>
      <x:c r="D306" s="15" t="str">
        <x:v>Atmosphere</x:v>
      </x:c>
      <x:c r="E306" s="15" t="str">
        <x:v>NOT COMMISSIONED</x:v>
      </x:c>
      <x:c r="F306" s="15" t="str">
        <x:v>OPEN</x:v>
      </x:c>
    </x:row>
    <x:row r="307">
      <x:c r="A307" s="14" t="str">
        <x:v>CH-0303</x:v>
      </x:c>
      <x:c r="B307" s="14" t="str">
        <x:v>SYS-05</x:v>
      </x:c>
      <x:c r="C307" s="14" t="n">
        <x:v>47</x:v>
      </x:c>
      <x:c r="D307" s="14" t="str">
        <x:v>Atmosphere</x:v>
      </x:c>
      <x:c r="E307" s="14" t="str">
        <x:v>NOT COMMISSIONED</x:v>
      </x:c>
      <x:c r="F307" s="14" t="str">
        <x:v>OPEN</x:v>
      </x:c>
    </x:row>
    <x:row r="308">
      <x:c r="A308" s="15" t="str">
        <x:v>CH-0304</x:v>
      </x:c>
      <x:c r="B308" s="15" t="str">
        <x:v>SYS-05</x:v>
      </x:c>
      <x:c r="C308" s="15" t="n">
        <x:v>48</x:v>
      </x:c>
      <x:c r="D308" s="15" t="str">
        <x:v>Atmosphere</x:v>
      </x:c>
      <x:c r="E308" s="15" t="str">
        <x:v>NOT COMMISSIONED</x:v>
      </x:c>
      <x:c r="F308" s="15" t="str">
        <x:v>OPEN</x:v>
      </x:c>
    </x:row>
    <x:row r="309">
      <x:c r="A309" s="14" t="str">
        <x:v>CH-0305</x:v>
      </x:c>
      <x:c r="B309" s="14" t="str">
        <x:v>SYS-05</x:v>
      </x:c>
      <x:c r="C309" s="14" t="n">
        <x:v>49</x:v>
      </x:c>
      <x:c r="D309" s="14" t="str">
        <x:v>Atmosphere</x:v>
      </x:c>
      <x:c r="E309" s="14" t="str">
        <x:v>NOT COMMISSIONED</x:v>
      </x:c>
      <x:c r="F309" s="14" t="str">
        <x:v>OPEN</x:v>
      </x:c>
    </x:row>
    <x:row r="310">
      <x:c r="A310" s="15" t="str">
        <x:v>CH-0306</x:v>
      </x:c>
      <x:c r="B310" s="15" t="str">
        <x:v>SYS-05</x:v>
      </x:c>
      <x:c r="C310" s="15" t="n">
        <x:v>50</x:v>
      </x:c>
      <x:c r="D310" s="15" t="str">
        <x:v>Atmosphere</x:v>
      </x:c>
      <x:c r="E310" s="15" t="str">
        <x:v>NOT COMMISSIONED</x:v>
      </x:c>
      <x:c r="F310" s="15" t="str">
        <x:v>OPEN</x:v>
      </x:c>
    </x:row>
    <x:row r="311">
      <x:c r="A311" s="14" t="str">
        <x:v>CH-0307</x:v>
      </x:c>
      <x:c r="B311" s="14" t="str">
        <x:v>SYS-05</x:v>
      </x:c>
      <x:c r="C311" s="14" t="n">
        <x:v>51</x:v>
      </x:c>
      <x:c r="D311" s="14" t="str">
        <x:v>Atmosphere</x:v>
      </x:c>
      <x:c r="E311" s="14" t="str">
        <x:v>NOT COMMISSIONED</x:v>
      </x:c>
      <x:c r="F311" s="14" t="str">
        <x:v>OPEN</x:v>
      </x:c>
    </x:row>
    <x:row r="312">
      <x:c r="A312" s="15" t="str">
        <x:v>CH-0308</x:v>
      </x:c>
      <x:c r="B312" s="15" t="str">
        <x:v>SYS-05</x:v>
      </x:c>
      <x:c r="C312" s="15" t="n">
        <x:v>52</x:v>
      </x:c>
      <x:c r="D312" s="15" t="str">
        <x:v>Atmosphere</x:v>
      </x:c>
      <x:c r="E312" s="15" t="str">
        <x:v>NOT COMMISSIONED</x:v>
      </x:c>
      <x:c r="F312" s="15" t="str">
        <x:v>OPEN</x:v>
      </x:c>
    </x:row>
    <x:row r="313">
      <x:c r="A313" s="14" t="str">
        <x:v>CH-0309</x:v>
      </x:c>
      <x:c r="B313" s="14" t="str">
        <x:v>SYS-05</x:v>
      </x:c>
      <x:c r="C313" s="14" t="n">
        <x:v>53</x:v>
      </x:c>
      <x:c r="D313" s="14" t="str">
        <x:v>Atmosphere</x:v>
      </x:c>
      <x:c r="E313" s="14" t="str">
        <x:v>NOT COMMISSIONED</x:v>
      </x:c>
      <x:c r="F313" s="14" t="str">
        <x:v>OPEN</x:v>
      </x:c>
    </x:row>
    <x:row r="314">
      <x:c r="A314" s="15" t="str">
        <x:v>CH-0310</x:v>
      </x:c>
      <x:c r="B314" s="15" t="str">
        <x:v>SYS-05</x:v>
      </x:c>
      <x:c r="C314" s="15" t="n">
        <x:v>54</x:v>
      </x:c>
      <x:c r="D314" s="15" t="str">
        <x:v>Atmosphere</x:v>
      </x:c>
      <x:c r="E314" s="15" t="str">
        <x:v>NOT COMMISSIONED</x:v>
      </x:c>
      <x:c r="F314" s="15" t="str">
        <x:v>OPEN</x:v>
      </x:c>
    </x:row>
    <x:row r="315">
      <x:c r="A315" s="14" t="str">
        <x:v>CH-0311</x:v>
      </x:c>
      <x:c r="B315" s="14" t="str">
        <x:v>SYS-05</x:v>
      </x:c>
      <x:c r="C315" s="14" t="n">
        <x:v>55</x:v>
      </x:c>
      <x:c r="D315" s="14" t="str">
        <x:v>Atmosphere</x:v>
      </x:c>
      <x:c r="E315" s="14" t="str">
        <x:v>NOT COMMISSIONED</x:v>
      </x:c>
      <x:c r="F315" s="14" t="str">
        <x:v>OPEN</x:v>
      </x:c>
    </x:row>
    <x:row r="316">
      <x:c r="A316" s="15" t="str">
        <x:v>CH-0312</x:v>
      </x:c>
      <x:c r="B316" s="15" t="str">
        <x:v>SYS-05</x:v>
      </x:c>
      <x:c r="C316" s="15" t="n">
        <x:v>56</x:v>
      </x:c>
      <x:c r="D316" s="15" t="str">
        <x:v>Atmosphere</x:v>
      </x:c>
      <x:c r="E316" s="15" t="str">
        <x:v>NOT COMMISSIONED</x:v>
      </x:c>
      <x:c r="F316" s="15" t="str">
        <x:v>OPEN</x:v>
      </x:c>
    </x:row>
    <x:row r="317">
      <x:c r="A317" s="14" t="str">
        <x:v>CH-0313</x:v>
      </x:c>
      <x:c r="B317" s="14" t="str">
        <x:v>SYS-05</x:v>
      </x:c>
      <x:c r="C317" s="14" t="n">
        <x:v>57</x:v>
      </x:c>
      <x:c r="D317" s="14" t="str">
        <x:v>Atmosphere</x:v>
      </x:c>
      <x:c r="E317" s="14" t="str">
        <x:v>NOT COMMISSIONED</x:v>
      </x:c>
      <x:c r="F317" s="14" t="str">
        <x:v>OPEN</x:v>
      </x:c>
    </x:row>
    <x:row r="318">
      <x:c r="A318" s="15" t="str">
        <x:v>CH-0314</x:v>
      </x:c>
      <x:c r="B318" s="15" t="str">
        <x:v>SYS-05</x:v>
      </x:c>
      <x:c r="C318" s="15" t="n">
        <x:v>58</x:v>
      </x:c>
      <x:c r="D318" s="15" t="str">
        <x:v>Atmosphere</x:v>
      </x:c>
      <x:c r="E318" s="15" t="str">
        <x:v>NOT COMMISSIONED</x:v>
      </x:c>
      <x:c r="F318" s="15" t="str">
        <x:v>OPEN</x:v>
      </x:c>
    </x:row>
    <x:row r="319">
      <x:c r="A319" s="14" t="str">
        <x:v>CH-0315</x:v>
      </x:c>
      <x:c r="B319" s="14" t="str">
        <x:v>SYS-05</x:v>
      </x:c>
      <x:c r="C319" s="14" t="n">
        <x:v>59</x:v>
      </x:c>
      <x:c r="D319" s="14" t="str">
        <x:v>Atmosphere</x:v>
      </x:c>
      <x:c r="E319" s="14" t="str">
        <x:v>NOT COMMISSIONED</x:v>
      </x:c>
      <x:c r="F319" s="14" t="str">
        <x:v>OPEN</x:v>
      </x:c>
    </x:row>
    <x:row r="320">
      <x:c r="A320" s="15" t="str">
        <x:v>CH-0316</x:v>
      </x:c>
      <x:c r="B320" s="15" t="str">
        <x:v>SYS-05</x:v>
      </x:c>
      <x:c r="C320" s="15" t="n">
        <x:v>60</x:v>
      </x:c>
      <x:c r="D320" s="15" t="str">
        <x:v>Atmosphere</x:v>
      </x:c>
      <x:c r="E320" s="15" t="str">
        <x:v>NOT COMMISSIONED</x:v>
      </x:c>
      <x:c r="F320" s="15" t="str">
        <x:v>OPEN</x:v>
      </x:c>
    </x:row>
    <x:row r="321">
      <x:c r="A321" s="14" t="str">
        <x:v>CH-0317</x:v>
      </x:c>
      <x:c r="B321" s="14" t="str">
        <x:v>SYS-05</x:v>
      </x:c>
      <x:c r="C321" s="14" t="n">
        <x:v>61</x:v>
      </x:c>
      <x:c r="D321" s="14" t="str">
        <x:v>Atmosphere</x:v>
      </x:c>
      <x:c r="E321" s="14" t="str">
        <x:v>NOT COMMISSIONED</x:v>
      </x:c>
      <x:c r="F321" s="14" t="str">
        <x:v>OPEN</x:v>
      </x:c>
    </x:row>
    <x:row r="322">
      <x:c r="A322" s="15" t="str">
        <x:v>CH-0318</x:v>
      </x:c>
      <x:c r="B322" s="15" t="str">
        <x:v>SYS-05</x:v>
      </x:c>
      <x:c r="C322" s="15" t="n">
        <x:v>62</x:v>
      </x:c>
      <x:c r="D322" s="15" t="str">
        <x:v>Atmosphere</x:v>
      </x:c>
      <x:c r="E322" s="15" t="str">
        <x:v>NOT COMMISSIONED</x:v>
      </x:c>
      <x:c r="F322" s="15" t="str">
        <x:v>OPEN</x:v>
      </x:c>
    </x:row>
    <x:row r="323">
      <x:c r="A323" s="14" t="str">
        <x:v>CH-0319</x:v>
      </x:c>
      <x:c r="B323" s="14" t="str">
        <x:v>SYS-05</x:v>
      </x:c>
      <x:c r="C323" s="14" t="n">
        <x:v>63</x:v>
      </x:c>
      <x:c r="D323" s="14" t="str">
        <x:v>Atmosphere</x:v>
      </x:c>
      <x:c r="E323" s="14" t="str">
        <x:v>NOT COMMISSIONED</x:v>
      </x:c>
      <x:c r="F323" s="14" t="str">
        <x:v>OPEN</x:v>
      </x:c>
    </x:row>
    <x:row r="324">
      <x:c r="A324" s="15" t="str">
        <x:v>CH-0320</x:v>
      </x:c>
      <x:c r="B324" s="15" t="str">
        <x:v>SYS-05</x:v>
      </x:c>
      <x:c r="C324" s="15" t="n">
        <x:v>64</x:v>
      </x:c>
      <x:c r="D324" s="15" t="str">
        <x:v>Atmosphere</x:v>
      </x:c>
      <x:c r="E324" s="15" t="str">
        <x:v>NOT COMMISSIONED</x:v>
      </x:c>
      <x:c r="F324" s="15" t="str">
        <x:v>OPEN</x:v>
      </x:c>
    </x:row>
    <x:row r="325">
      <x:c r="A325" s="14" t="str">
        <x:v>CH-0321</x:v>
      </x:c>
      <x:c r="B325" s="14" t="str">
        <x:v>SYS-06</x:v>
      </x:c>
      <x:c r="C325" s="14" t="n">
        <x:v>1</x:v>
      </x:c>
      <x:c r="D325" s="14" t="str">
        <x:v>Topology</x:v>
      </x:c>
      <x:c r="E325" s="14" t="str">
        <x:v>NOT COMMISSIONED</x:v>
      </x:c>
      <x:c r="F325" s="14" t="str">
        <x:v>OPEN</x:v>
      </x:c>
    </x:row>
    <x:row r="326">
      <x:c r="A326" s="15" t="str">
        <x:v>CH-0322</x:v>
      </x:c>
      <x:c r="B326" s="15" t="str">
        <x:v>SYS-06</x:v>
      </x:c>
      <x:c r="C326" s="15" t="n">
        <x:v>2</x:v>
      </x:c>
      <x:c r="D326" s="15" t="str">
        <x:v>Topology</x:v>
      </x:c>
      <x:c r="E326" s="15" t="str">
        <x:v>NOT COMMISSIONED</x:v>
      </x:c>
      <x:c r="F326" s="15" t="str">
        <x:v>OPEN</x:v>
      </x:c>
    </x:row>
    <x:row r="327">
      <x:c r="A327" s="14" t="str">
        <x:v>CH-0323</x:v>
      </x:c>
      <x:c r="B327" s="14" t="str">
        <x:v>SYS-06</x:v>
      </x:c>
      <x:c r="C327" s="14" t="n">
        <x:v>3</x:v>
      </x:c>
      <x:c r="D327" s="14" t="str">
        <x:v>Topology</x:v>
      </x:c>
      <x:c r="E327" s="14" t="str">
        <x:v>NOT COMMISSIONED</x:v>
      </x:c>
      <x:c r="F327" s="14" t="str">
        <x:v>OPEN</x:v>
      </x:c>
    </x:row>
    <x:row r="328">
      <x:c r="A328" s="15" t="str">
        <x:v>CH-0324</x:v>
      </x:c>
      <x:c r="B328" s="15" t="str">
        <x:v>SYS-06</x:v>
      </x:c>
      <x:c r="C328" s="15" t="n">
        <x:v>4</x:v>
      </x:c>
      <x:c r="D328" s="15" t="str">
        <x:v>Topology</x:v>
      </x:c>
      <x:c r="E328" s="15" t="str">
        <x:v>NOT COMMISSIONED</x:v>
      </x:c>
      <x:c r="F328" s="15" t="str">
        <x:v>OPEN</x:v>
      </x:c>
    </x:row>
    <x:row r="329">
      <x:c r="A329" s="14" t="str">
        <x:v>CH-0325</x:v>
      </x:c>
      <x:c r="B329" s="14" t="str">
        <x:v>SYS-06</x:v>
      </x:c>
      <x:c r="C329" s="14" t="n">
        <x:v>5</x:v>
      </x:c>
      <x:c r="D329" s="14" t="str">
        <x:v>Topology</x:v>
      </x:c>
      <x:c r="E329" s="14" t="str">
        <x:v>NOT COMMISSIONED</x:v>
      </x:c>
      <x:c r="F329" s="14" t="str">
        <x:v>OPEN</x:v>
      </x:c>
    </x:row>
    <x:row r="330">
      <x:c r="A330" s="15" t="str">
        <x:v>CH-0326</x:v>
      </x:c>
      <x:c r="B330" s="15" t="str">
        <x:v>SYS-06</x:v>
      </x:c>
      <x:c r="C330" s="15" t="n">
        <x:v>6</x:v>
      </x:c>
      <x:c r="D330" s="15" t="str">
        <x:v>Topology</x:v>
      </x:c>
      <x:c r="E330" s="15" t="str">
        <x:v>NOT COMMISSIONED</x:v>
      </x:c>
      <x:c r="F330" s="15" t="str">
        <x:v>OPEN</x:v>
      </x:c>
    </x:row>
    <x:row r="331">
      <x:c r="A331" s="14" t="str">
        <x:v>CH-0327</x:v>
      </x:c>
      <x:c r="B331" s="14" t="str">
        <x:v>SYS-06</x:v>
      </x:c>
      <x:c r="C331" s="14" t="n">
        <x:v>7</x:v>
      </x:c>
      <x:c r="D331" s="14" t="str">
        <x:v>Topology</x:v>
      </x:c>
      <x:c r="E331" s="14" t="str">
        <x:v>NOT COMMISSIONED</x:v>
      </x:c>
      <x:c r="F331" s="14" t="str">
        <x:v>OPEN</x:v>
      </x:c>
    </x:row>
    <x:row r="332">
      <x:c r="A332" s="15" t="str">
        <x:v>CH-0328</x:v>
      </x:c>
      <x:c r="B332" s="15" t="str">
        <x:v>SYS-06</x:v>
      </x:c>
      <x:c r="C332" s="15" t="n">
        <x:v>8</x:v>
      </x:c>
      <x:c r="D332" s="15" t="str">
        <x:v>Topology</x:v>
      </x:c>
      <x:c r="E332" s="15" t="str">
        <x:v>NOT COMMISSIONED</x:v>
      </x:c>
      <x:c r="F332" s="15" t="str">
        <x:v>OPEN</x:v>
      </x:c>
    </x:row>
    <x:row r="333">
      <x:c r="A333" s="14" t="str">
        <x:v>CH-0329</x:v>
      </x:c>
      <x:c r="B333" s="14" t="str">
        <x:v>SYS-06</x:v>
      </x:c>
      <x:c r="C333" s="14" t="n">
        <x:v>9</x:v>
      </x:c>
      <x:c r="D333" s="14" t="str">
        <x:v>Topology</x:v>
      </x:c>
      <x:c r="E333" s="14" t="str">
        <x:v>NOT COMMISSIONED</x:v>
      </x:c>
      <x:c r="F333" s="14" t="str">
        <x:v>OPEN</x:v>
      </x:c>
    </x:row>
    <x:row r="334">
      <x:c r="A334" s="15" t="str">
        <x:v>CH-0330</x:v>
      </x:c>
      <x:c r="B334" s="15" t="str">
        <x:v>SYS-06</x:v>
      </x:c>
      <x:c r="C334" s="15" t="n">
        <x:v>10</x:v>
      </x:c>
      <x:c r="D334" s="15" t="str">
        <x:v>Topology</x:v>
      </x:c>
      <x:c r="E334" s="15" t="str">
        <x:v>NOT COMMISSIONED</x:v>
      </x:c>
      <x:c r="F334" s="15" t="str">
        <x:v>OPEN</x:v>
      </x:c>
    </x:row>
    <x:row r="335">
      <x:c r="A335" s="14" t="str">
        <x:v>CH-0331</x:v>
      </x:c>
      <x:c r="B335" s="14" t="str">
        <x:v>SYS-06</x:v>
      </x:c>
      <x:c r="C335" s="14" t="n">
        <x:v>11</x:v>
      </x:c>
      <x:c r="D335" s="14" t="str">
        <x:v>Topology</x:v>
      </x:c>
      <x:c r="E335" s="14" t="str">
        <x:v>NOT COMMISSIONED</x:v>
      </x:c>
      <x:c r="F335" s="14" t="str">
        <x:v>OPEN</x:v>
      </x:c>
    </x:row>
    <x:row r="336">
      <x:c r="A336" s="15" t="str">
        <x:v>CH-0332</x:v>
      </x:c>
      <x:c r="B336" s="15" t="str">
        <x:v>SYS-06</x:v>
      </x:c>
      <x:c r="C336" s="15" t="n">
        <x:v>12</x:v>
      </x:c>
      <x:c r="D336" s="15" t="str">
        <x:v>Topology</x:v>
      </x:c>
      <x:c r="E336" s="15" t="str">
        <x:v>NOT COMMISSIONED</x:v>
      </x:c>
      <x:c r="F336" s="15" t="str">
        <x:v>OPEN</x:v>
      </x:c>
    </x:row>
    <x:row r="337">
      <x:c r="A337" s="14" t="str">
        <x:v>CH-0333</x:v>
      </x:c>
      <x:c r="B337" s="14" t="str">
        <x:v>SYS-06</x:v>
      </x:c>
      <x:c r="C337" s="14" t="n">
        <x:v>13</x:v>
      </x:c>
      <x:c r="D337" s="14" t="str">
        <x:v>Topology</x:v>
      </x:c>
      <x:c r="E337" s="14" t="str">
        <x:v>NOT COMMISSIONED</x:v>
      </x:c>
      <x:c r="F337" s="14" t="str">
        <x:v>OPEN</x:v>
      </x:c>
    </x:row>
    <x:row r="338">
      <x:c r="A338" s="15" t="str">
        <x:v>CH-0334</x:v>
      </x:c>
      <x:c r="B338" s="15" t="str">
        <x:v>SYS-06</x:v>
      </x:c>
      <x:c r="C338" s="15" t="n">
        <x:v>14</x:v>
      </x:c>
      <x:c r="D338" s="15" t="str">
        <x:v>Topology</x:v>
      </x:c>
      <x:c r="E338" s="15" t="str">
        <x:v>NOT COMMISSIONED</x:v>
      </x:c>
      <x:c r="F338" s="15" t="str">
        <x:v>OPEN</x:v>
      </x:c>
    </x:row>
    <x:row r="339">
      <x:c r="A339" s="14" t="str">
        <x:v>CH-0335</x:v>
      </x:c>
      <x:c r="B339" s="14" t="str">
        <x:v>SYS-06</x:v>
      </x:c>
      <x:c r="C339" s="14" t="n">
        <x:v>15</x:v>
      </x:c>
      <x:c r="D339" s="14" t="str">
        <x:v>Topology</x:v>
      </x:c>
      <x:c r="E339" s="14" t="str">
        <x:v>NOT COMMISSIONED</x:v>
      </x:c>
      <x:c r="F339" s="14" t="str">
        <x:v>OPEN</x:v>
      </x:c>
    </x:row>
    <x:row r="340">
      <x:c r="A340" s="15" t="str">
        <x:v>CH-0336</x:v>
      </x:c>
      <x:c r="B340" s="15" t="str">
        <x:v>SYS-06</x:v>
      </x:c>
      <x:c r="C340" s="15" t="n">
        <x:v>16</x:v>
      </x:c>
      <x:c r="D340" s="15" t="str">
        <x:v>Topology</x:v>
      </x:c>
      <x:c r="E340" s="15" t="str">
        <x:v>NOT COMMISSIONED</x:v>
      </x:c>
      <x:c r="F340" s="15" t="str">
        <x:v>OPEN</x:v>
      </x:c>
    </x:row>
    <x:row r="341">
      <x:c r="A341" s="14" t="str">
        <x:v>CH-0337</x:v>
      </x:c>
      <x:c r="B341" s="14" t="str">
        <x:v>SYS-06</x:v>
      </x:c>
      <x:c r="C341" s="14" t="n">
        <x:v>17</x:v>
      </x:c>
      <x:c r="D341" s="14" t="str">
        <x:v>Topology</x:v>
      </x:c>
      <x:c r="E341" s="14" t="str">
        <x:v>NOT COMMISSIONED</x:v>
      </x:c>
      <x:c r="F341" s="14" t="str">
        <x:v>OPEN</x:v>
      </x:c>
    </x:row>
    <x:row r="342">
      <x:c r="A342" s="15" t="str">
        <x:v>CH-0338</x:v>
      </x:c>
      <x:c r="B342" s="15" t="str">
        <x:v>SYS-06</x:v>
      </x:c>
      <x:c r="C342" s="15" t="n">
        <x:v>18</x:v>
      </x:c>
      <x:c r="D342" s="15" t="str">
        <x:v>Topology</x:v>
      </x:c>
      <x:c r="E342" s="15" t="str">
        <x:v>NOT COMMISSIONED</x:v>
      </x:c>
      <x:c r="F342" s="15" t="str">
        <x:v>OPEN</x:v>
      </x:c>
    </x:row>
    <x:row r="343">
      <x:c r="A343" s="14" t="str">
        <x:v>CH-0339</x:v>
      </x:c>
      <x:c r="B343" s="14" t="str">
        <x:v>SYS-06</x:v>
      </x:c>
      <x:c r="C343" s="14" t="n">
        <x:v>19</x:v>
      </x:c>
      <x:c r="D343" s="14" t="str">
        <x:v>Topology</x:v>
      </x:c>
      <x:c r="E343" s="14" t="str">
        <x:v>NOT COMMISSIONED</x:v>
      </x:c>
      <x:c r="F343" s="14" t="str">
        <x:v>OPEN</x:v>
      </x:c>
    </x:row>
    <x:row r="344">
      <x:c r="A344" s="15" t="str">
        <x:v>CH-0340</x:v>
      </x:c>
      <x:c r="B344" s="15" t="str">
        <x:v>SYS-06</x:v>
      </x:c>
      <x:c r="C344" s="15" t="n">
        <x:v>20</x:v>
      </x:c>
      <x:c r="D344" s="15" t="str">
        <x:v>Topology</x:v>
      </x:c>
      <x:c r="E344" s="15" t="str">
        <x:v>NOT COMMISSIONED</x:v>
      </x:c>
      <x:c r="F344" s="15" t="str">
        <x:v>OPEN</x:v>
      </x:c>
    </x:row>
    <x:row r="345">
      <x:c r="A345" s="14" t="str">
        <x:v>CH-0341</x:v>
      </x:c>
      <x:c r="B345" s="14" t="str">
        <x:v>SYS-06</x:v>
      </x:c>
      <x:c r="C345" s="14" t="n">
        <x:v>21</x:v>
      </x:c>
      <x:c r="D345" s="14" t="str">
        <x:v>Topology</x:v>
      </x:c>
      <x:c r="E345" s="14" t="str">
        <x:v>NOT COMMISSIONED</x:v>
      </x:c>
      <x:c r="F345" s="14" t="str">
        <x:v>OPEN</x:v>
      </x:c>
    </x:row>
    <x:row r="346">
      <x:c r="A346" s="15" t="str">
        <x:v>CH-0342</x:v>
      </x:c>
      <x:c r="B346" s="15" t="str">
        <x:v>SYS-06</x:v>
      </x:c>
      <x:c r="C346" s="15" t="n">
        <x:v>22</x:v>
      </x:c>
      <x:c r="D346" s="15" t="str">
        <x:v>Topology</x:v>
      </x:c>
      <x:c r="E346" s="15" t="str">
        <x:v>NOT COMMISSIONED</x:v>
      </x:c>
      <x:c r="F346" s="15" t="str">
        <x:v>OPEN</x:v>
      </x:c>
    </x:row>
    <x:row r="347">
      <x:c r="A347" s="14" t="str">
        <x:v>CH-0343</x:v>
      </x:c>
      <x:c r="B347" s="14" t="str">
        <x:v>SYS-06</x:v>
      </x:c>
      <x:c r="C347" s="14" t="n">
        <x:v>23</x:v>
      </x:c>
      <x:c r="D347" s="14" t="str">
        <x:v>Topology</x:v>
      </x:c>
      <x:c r="E347" s="14" t="str">
        <x:v>NOT COMMISSIONED</x:v>
      </x:c>
      <x:c r="F347" s="14" t="str">
        <x:v>OPEN</x:v>
      </x:c>
    </x:row>
    <x:row r="348">
      <x:c r="A348" s="15" t="str">
        <x:v>CH-0344</x:v>
      </x:c>
      <x:c r="B348" s="15" t="str">
        <x:v>SYS-06</x:v>
      </x:c>
      <x:c r="C348" s="15" t="n">
        <x:v>24</x:v>
      </x:c>
      <x:c r="D348" s="15" t="str">
        <x:v>Topology</x:v>
      </x:c>
      <x:c r="E348" s="15" t="str">
        <x:v>NOT COMMISSIONED</x:v>
      </x:c>
      <x:c r="F348" s="15" t="str">
        <x:v>OPEN</x:v>
      </x:c>
    </x:row>
    <x:row r="349">
      <x:c r="A349" s="14" t="str">
        <x:v>CH-0345</x:v>
      </x:c>
      <x:c r="B349" s="14" t="str">
        <x:v>SYS-06</x:v>
      </x:c>
      <x:c r="C349" s="14" t="n">
        <x:v>25</x:v>
      </x:c>
      <x:c r="D349" s="14" t="str">
        <x:v>Topology</x:v>
      </x:c>
      <x:c r="E349" s="14" t="str">
        <x:v>NOT COMMISSIONED</x:v>
      </x:c>
      <x:c r="F349" s="14" t="str">
        <x:v>OPEN</x:v>
      </x:c>
    </x:row>
    <x:row r="350">
      <x:c r="A350" s="15" t="str">
        <x:v>CH-0346</x:v>
      </x:c>
      <x:c r="B350" s="15" t="str">
        <x:v>SYS-06</x:v>
      </x:c>
      <x:c r="C350" s="15" t="n">
        <x:v>26</x:v>
      </x:c>
      <x:c r="D350" s="15" t="str">
        <x:v>Topology</x:v>
      </x:c>
      <x:c r="E350" s="15" t="str">
        <x:v>NOT COMMISSIONED</x:v>
      </x:c>
      <x:c r="F350" s="15" t="str">
        <x:v>OPEN</x:v>
      </x:c>
    </x:row>
    <x:row r="351">
      <x:c r="A351" s="14" t="str">
        <x:v>CH-0347</x:v>
      </x:c>
      <x:c r="B351" s="14" t="str">
        <x:v>SYS-06</x:v>
      </x:c>
      <x:c r="C351" s="14" t="n">
        <x:v>27</x:v>
      </x:c>
      <x:c r="D351" s="14" t="str">
        <x:v>Topology</x:v>
      </x:c>
      <x:c r="E351" s="14" t="str">
        <x:v>NOT COMMISSIONED</x:v>
      </x:c>
      <x:c r="F351" s="14" t="str">
        <x:v>OPEN</x:v>
      </x:c>
    </x:row>
    <x:row r="352">
      <x:c r="A352" s="15" t="str">
        <x:v>CH-0348</x:v>
      </x:c>
      <x:c r="B352" s="15" t="str">
        <x:v>SYS-06</x:v>
      </x:c>
      <x:c r="C352" s="15" t="n">
        <x:v>28</x:v>
      </x:c>
      <x:c r="D352" s="15" t="str">
        <x:v>Topology</x:v>
      </x:c>
      <x:c r="E352" s="15" t="str">
        <x:v>NOT COMMISSIONED</x:v>
      </x:c>
      <x:c r="F352" s="15" t="str">
        <x:v>OPEN</x:v>
      </x:c>
    </x:row>
    <x:row r="353">
      <x:c r="A353" s="14" t="str">
        <x:v>CH-0349</x:v>
      </x:c>
      <x:c r="B353" s="14" t="str">
        <x:v>SYS-06</x:v>
      </x:c>
      <x:c r="C353" s="14" t="n">
        <x:v>29</x:v>
      </x:c>
      <x:c r="D353" s="14" t="str">
        <x:v>Topology</x:v>
      </x:c>
      <x:c r="E353" s="14" t="str">
        <x:v>NOT COMMISSIONED</x:v>
      </x:c>
      <x:c r="F353" s="14" t="str">
        <x:v>OPEN</x:v>
      </x:c>
    </x:row>
    <x:row r="354">
      <x:c r="A354" s="15" t="str">
        <x:v>CH-0350</x:v>
      </x:c>
      <x:c r="B354" s="15" t="str">
        <x:v>SYS-06</x:v>
      </x:c>
      <x:c r="C354" s="15" t="n">
        <x:v>30</x:v>
      </x:c>
      <x:c r="D354" s="15" t="str">
        <x:v>Topology</x:v>
      </x:c>
      <x:c r="E354" s="15" t="str">
        <x:v>NOT COMMISSIONED</x:v>
      </x:c>
      <x:c r="F354" s="15" t="str">
        <x:v>OPEN</x:v>
      </x:c>
    </x:row>
    <x:row r="355">
      <x:c r="A355" s="14" t="str">
        <x:v>CH-0351</x:v>
      </x:c>
      <x:c r="B355" s="14" t="str">
        <x:v>SYS-06</x:v>
      </x:c>
      <x:c r="C355" s="14" t="n">
        <x:v>31</x:v>
      </x:c>
      <x:c r="D355" s="14" t="str">
        <x:v>Topology</x:v>
      </x:c>
      <x:c r="E355" s="14" t="str">
        <x:v>NOT COMMISSIONED</x:v>
      </x:c>
      <x:c r="F355" s="14" t="str">
        <x:v>OPEN</x:v>
      </x:c>
    </x:row>
    <x:row r="356">
      <x:c r="A356" s="15" t="str">
        <x:v>CH-0352</x:v>
      </x:c>
      <x:c r="B356" s="15" t="str">
        <x:v>SYS-06</x:v>
      </x:c>
      <x:c r="C356" s="15" t="n">
        <x:v>32</x:v>
      </x:c>
      <x:c r="D356" s="15" t="str">
        <x:v>Topology</x:v>
      </x:c>
      <x:c r="E356" s="15" t="str">
        <x:v>NOT COMMISSIONED</x:v>
      </x:c>
      <x:c r="F356" s="15" t="str">
        <x:v>OPEN</x:v>
      </x:c>
    </x:row>
    <x:row r="357">
      <x:c r="A357" s="14" t="str">
        <x:v>CH-0353</x:v>
      </x:c>
      <x:c r="B357" s="14" t="str">
        <x:v>SYS-06</x:v>
      </x:c>
      <x:c r="C357" s="14" t="n">
        <x:v>33</x:v>
      </x:c>
      <x:c r="D357" s="14" t="str">
        <x:v>Topology</x:v>
      </x:c>
      <x:c r="E357" s="14" t="str">
        <x:v>NOT COMMISSIONED</x:v>
      </x:c>
      <x:c r="F357" s="14" t="str">
        <x:v>OPEN</x:v>
      </x:c>
    </x:row>
    <x:row r="358">
      <x:c r="A358" s="15" t="str">
        <x:v>CH-0354</x:v>
      </x:c>
      <x:c r="B358" s="15" t="str">
        <x:v>SYS-06</x:v>
      </x:c>
      <x:c r="C358" s="15" t="n">
        <x:v>34</x:v>
      </x:c>
      <x:c r="D358" s="15" t="str">
        <x:v>Topology</x:v>
      </x:c>
      <x:c r="E358" s="15" t="str">
        <x:v>NOT COMMISSIONED</x:v>
      </x:c>
      <x:c r="F358" s="15" t="str">
        <x:v>OPEN</x:v>
      </x:c>
    </x:row>
    <x:row r="359">
      <x:c r="A359" s="14" t="str">
        <x:v>CH-0355</x:v>
      </x:c>
      <x:c r="B359" s="14" t="str">
        <x:v>SYS-06</x:v>
      </x:c>
      <x:c r="C359" s="14" t="n">
        <x:v>35</x:v>
      </x:c>
      <x:c r="D359" s="14" t="str">
        <x:v>Topology</x:v>
      </x:c>
      <x:c r="E359" s="14" t="str">
        <x:v>NOT COMMISSIONED</x:v>
      </x:c>
      <x:c r="F359" s="14" t="str">
        <x:v>OPEN</x:v>
      </x:c>
    </x:row>
    <x:row r="360">
      <x:c r="A360" s="15" t="str">
        <x:v>CH-0356</x:v>
      </x:c>
      <x:c r="B360" s="15" t="str">
        <x:v>SYS-06</x:v>
      </x:c>
      <x:c r="C360" s="15" t="n">
        <x:v>36</x:v>
      </x:c>
      <x:c r="D360" s="15" t="str">
        <x:v>Topology</x:v>
      </x:c>
      <x:c r="E360" s="15" t="str">
        <x:v>NOT COMMISSIONED</x:v>
      </x:c>
      <x:c r="F360" s="15" t="str">
        <x:v>OPEN</x:v>
      </x:c>
    </x:row>
    <x:row r="361">
      <x:c r="A361" s="14" t="str">
        <x:v>CH-0357</x:v>
      </x:c>
      <x:c r="B361" s="14" t="str">
        <x:v>SYS-06</x:v>
      </x:c>
      <x:c r="C361" s="14" t="n">
        <x:v>37</x:v>
      </x:c>
      <x:c r="D361" s="14" t="str">
        <x:v>Topology</x:v>
      </x:c>
      <x:c r="E361" s="14" t="str">
        <x:v>NOT COMMISSIONED</x:v>
      </x:c>
      <x:c r="F361" s="14" t="str">
        <x:v>OPEN</x:v>
      </x:c>
    </x:row>
    <x:row r="362">
      <x:c r="A362" s="15" t="str">
        <x:v>CH-0358</x:v>
      </x:c>
      <x:c r="B362" s="15" t="str">
        <x:v>SYS-06</x:v>
      </x:c>
      <x:c r="C362" s="15" t="n">
        <x:v>38</x:v>
      </x:c>
      <x:c r="D362" s="15" t="str">
        <x:v>Topology</x:v>
      </x:c>
      <x:c r="E362" s="15" t="str">
        <x:v>NOT COMMISSIONED</x:v>
      </x:c>
      <x:c r="F362" s="15" t="str">
        <x:v>OPEN</x:v>
      </x:c>
    </x:row>
    <x:row r="363">
      <x:c r="A363" s="14" t="str">
        <x:v>CH-0359</x:v>
      </x:c>
      <x:c r="B363" s="14" t="str">
        <x:v>SYS-06</x:v>
      </x:c>
      <x:c r="C363" s="14" t="n">
        <x:v>39</x:v>
      </x:c>
      <x:c r="D363" s="14" t="str">
        <x:v>Topology</x:v>
      </x:c>
      <x:c r="E363" s="14" t="str">
        <x:v>NOT COMMISSIONED</x:v>
      </x:c>
      <x:c r="F363" s="14" t="str">
        <x:v>OPEN</x:v>
      </x:c>
    </x:row>
    <x:row r="364">
      <x:c r="A364" s="15" t="str">
        <x:v>CH-0360</x:v>
      </x:c>
      <x:c r="B364" s="15" t="str">
        <x:v>SYS-06</x:v>
      </x:c>
      <x:c r="C364" s="15" t="n">
        <x:v>40</x:v>
      </x:c>
      <x:c r="D364" s="15" t="str">
        <x:v>Topology</x:v>
      </x:c>
      <x:c r="E364" s="15" t="str">
        <x:v>NOT COMMISSIONED</x:v>
      </x:c>
      <x:c r="F364" s="15" t="str">
        <x:v>OPEN</x:v>
      </x:c>
    </x:row>
    <x:row r="365">
      <x:c r="A365" s="14" t="str">
        <x:v>CH-0361</x:v>
      </x:c>
      <x:c r="B365" s="14" t="str">
        <x:v>SYS-06</x:v>
      </x:c>
      <x:c r="C365" s="14" t="n">
        <x:v>41</x:v>
      </x:c>
      <x:c r="D365" s="14" t="str">
        <x:v>Topology</x:v>
      </x:c>
      <x:c r="E365" s="14" t="str">
        <x:v>NOT COMMISSIONED</x:v>
      </x:c>
      <x:c r="F365" s="14" t="str">
        <x:v>OPEN</x:v>
      </x:c>
    </x:row>
    <x:row r="366">
      <x:c r="A366" s="15" t="str">
        <x:v>CH-0362</x:v>
      </x:c>
      <x:c r="B366" s="15" t="str">
        <x:v>SYS-06</x:v>
      </x:c>
      <x:c r="C366" s="15" t="n">
        <x:v>42</x:v>
      </x:c>
      <x:c r="D366" s="15" t="str">
        <x:v>Topology</x:v>
      </x:c>
      <x:c r="E366" s="15" t="str">
        <x:v>NOT COMMISSIONED</x:v>
      </x:c>
      <x:c r="F366" s="15" t="str">
        <x:v>OPEN</x:v>
      </x:c>
    </x:row>
    <x:row r="367">
      <x:c r="A367" s="14" t="str">
        <x:v>CH-0363</x:v>
      </x:c>
      <x:c r="B367" s="14" t="str">
        <x:v>SYS-06</x:v>
      </x:c>
      <x:c r="C367" s="14" t="n">
        <x:v>43</x:v>
      </x:c>
      <x:c r="D367" s="14" t="str">
        <x:v>Topology</x:v>
      </x:c>
      <x:c r="E367" s="14" t="str">
        <x:v>NOT COMMISSIONED</x:v>
      </x:c>
      <x:c r="F367" s="14" t="str">
        <x:v>OPEN</x:v>
      </x:c>
    </x:row>
    <x:row r="368">
      <x:c r="A368" s="15" t="str">
        <x:v>CH-0364</x:v>
      </x:c>
      <x:c r="B368" s="15" t="str">
        <x:v>SYS-06</x:v>
      </x:c>
      <x:c r="C368" s="15" t="n">
        <x:v>44</x:v>
      </x:c>
      <x:c r="D368" s="15" t="str">
        <x:v>Topology</x:v>
      </x:c>
      <x:c r="E368" s="15" t="str">
        <x:v>NOT COMMISSIONED</x:v>
      </x:c>
      <x:c r="F368" s="15" t="str">
        <x:v>OPEN</x:v>
      </x:c>
    </x:row>
    <x:row r="369">
      <x:c r="A369" s="14" t="str">
        <x:v>CH-0365</x:v>
      </x:c>
      <x:c r="B369" s="14" t="str">
        <x:v>SYS-06</x:v>
      </x:c>
      <x:c r="C369" s="14" t="n">
        <x:v>45</x:v>
      </x:c>
      <x:c r="D369" s="14" t="str">
        <x:v>Topology</x:v>
      </x:c>
      <x:c r="E369" s="14" t="str">
        <x:v>NOT COMMISSIONED</x:v>
      </x:c>
      <x:c r="F369" s="14" t="str">
        <x:v>OPEN</x:v>
      </x:c>
    </x:row>
    <x:row r="370">
      <x:c r="A370" s="15" t="str">
        <x:v>CH-0366</x:v>
      </x:c>
      <x:c r="B370" s="15" t="str">
        <x:v>SYS-06</x:v>
      </x:c>
      <x:c r="C370" s="15" t="n">
        <x:v>46</x:v>
      </x:c>
      <x:c r="D370" s="15" t="str">
        <x:v>Topology</x:v>
      </x:c>
      <x:c r="E370" s="15" t="str">
        <x:v>NOT COMMISSIONED</x:v>
      </x:c>
      <x:c r="F370" s="15" t="str">
        <x:v>OPEN</x:v>
      </x:c>
    </x:row>
    <x:row r="371">
      <x:c r="A371" s="14" t="str">
        <x:v>CH-0367</x:v>
      </x:c>
      <x:c r="B371" s="14" t="str">
        <x:v>SYS-06</x:v>
      </x:c>
      <x:c r="C371" s="14" t="n">
        <x:v>47</x:v>
      </x:c>
      <x:c r="D371" s="14" t="str">
        <x:v>Topology</x:v>
      </x:c>
      <x:c r="E371" s="14" t="str">
        <x:v>NOT COMMISSIONED</x:v>
      </x:c>
      <x:c r="F371" s="14" t="str">
        <x:v>OPEN</x:v>
      </x:c>
    </x:row>
    <x:row r="372">
      <x:c r="A372" s="15" t="str">
        <x:v>CH-0368</x:v>
      </x:c>
      <x:c r="B372" s="15" t="str">
        <x:v>SYS-06</x:v>
      </x:c>
      <x:c r="C372" s="15" t="n">
        <x:v>48</x:v>
      </x:c>
      <x:c r="D372" s="15" t="str">
        <x:v>Topology</x:v>
      </x:c>
      <x:c r="E372" s="15" t="str">
        <x:v>NOT COMMISSIONED</x:v>
      </x:c>
      <x:c r="F372" s="15" t="str">
        <x:v>OPEN</x:v>
      </x:c>
    </x:row>
    <x:row r="373">
      <x:c r="A373" s="14" t="str">
        <x:v>CH-0369</x:v>
      </x:c>
      <x:c r="B373" s="14" t="str">
        <x:v>SYS-06</x:v>
      </x:c>
      <x:c r="C373" s="14" t="n">
        <x:v>49</x:v>
      </x:c>
      <x:c r="D373" s="14" t="str">
        <x:v>Topology</x:v>
      </x:c>
      <x:c r="E373" s="14" t="str">
        <x:v>NOT COMMISSIONED</x:v>
      </x:c>
      <x:c r="F373" s="14" t="str">
        <x:v>OPEN</x:v>
      </x:c>
    </x:row>
    <x:row r="374">
      <x:c r="A374" s="15" t="str">
        <x:v>CH-0370</x:v>
      </x:c>
      <x:c r="B374" s="15" t="str">
        <x:v>SYS-06</x:v>
      </x:c>
      <x:c r="C374" s="15" t="n">
        <x:v>50</x:v>
      </x:c>
      <x:c r="D374" s="15" t="str">
        <x:v>Topology</x:v>
      </x:c>
      <x:c r="E374" s="15" t="str">
        <x:v>NOT COMMISSIONED</x:v>
      </x:c>
      <x:c r="F374" s="15" t="str">
        <x:v>OPEN</x:v>
      </x:c>
    </x:row>
    <x:row r="375">
      <x:c r="A375" s="14" t="str">
        <x:v>CH-0371</x:v>
      </x:c>
      <x:c r="B375" s="14" t="str">
        <x:v>SYS-06</x:v>
      </x:c>
      <x:c r="C375" s="14" t="n">
        <x:v>51</x:v>
      </x:c>
      <x:c r="D375" s="14" t="str">
        <x:v>Topology</x:v>
      </x:c>
      <x:c r="E375" s="14" t="str">
        <x:v>NOT COMMISSIONED</x:v>
      </x:c>
      <x:c r="F375" s="14" t="str">
        <x:v>OPEN</x:v>
      </x:c>
    </x:row>
    <x:row r="376">
      <x:c r="A376" s="15" t="str">
        <x:v>CH-0372</x:v>
      </x:c>
      <x:c r="B376" s="15" t="str">
        <x:v>SYS-06</x:v>
      </x:c>
      <x:c r="C376" s="15" t="n">
        <x:v>52</x:v>
      </x:c>
      <x:c r="D376" s="15" t="str">
        <x:v>Topology</x:v>
      </x:c>
      <x:c r="E376" s="15" t="str">
        <x:v>NOT COMMISSIONED</x:v>
      </x:c>
      <x:c r="F376" s="15" t="str">
        <x:v>OPEN</x:v>
      </x:c>
    </x:row>
    <x:row r="377">
      <x:c r="A377" s="14" t="str">
        <x:v>CH-0373</x:v>
      </x:c>
      <x:c r="B377" s="14" t="str">
        <x:v>SYS-06</x:v>
      </x:c>
      <x:c r="C377" s="14" t="n">
        <x:v>53</x:v>
      </x:c>
      <x:c r="D377" s="14" t="str">
        <x:v>Topology</x:v>
      </x:c>
      <x:c r="E377" s="14" t="str">
        <x:v>NOT COMMISSIONED</x:v>
      </x:c>
      <x:c r="F377" s="14" t="str">
        <x:v>OPEN</x:v>
      </x:c>
    </x:row>
    <x:row r="378">
      <x:c r="A378" s="15" t="str">
        <x:v>CH-0374</x:v>
      </x:c>
      <x:c r="B378" s="15" t="str">
        <x:v>SYS-06</x:v>
      </x:c>
      <x:c r="C378" s="15" t="n">
        <x:v>54</x:v>
      </x:c>
      <x:c r="D378" s="15" t="str">
        <x:v>Topology</x:v>
      </x:c>
      <x:c r="E378" s="15" t="str">
        <x:v>NOT COMMISSIONED</x:v>
      </x:c>
      <x:c r="F378" s="15" t="str">
        <x:v>OPEN</x:v>
      </x:c>
    </x:row>
    <x:row r="379">
      <x:c r="A379" s="14" t="str">
        <x:v>CH-0375</x:v>
      </x:c>
      <x:c r="B379" s="14" t="str">
        <x:v>SYS-06</x:v>
      </x:c>
      <x:c r="C379" s="14" t="n">
        <x:v>55</x:v>
      </x:c>
      <x:c r="D379" s="14" t="str">
        <x:v>Topology</x:v>
      </x:c>
      <x:c r="E379" s="14" t="str">
        <x:v>NOT COMMISSIONED</x:v>
      </x:c>
      <x:c r="F379" s="14" t="str">
        <x:v>OPEN</x:v>
      </x:c>
    </x:row>
    <x:row r="380">
      <x:c r="A380" s="15" t="str">
        <x:v>CH-0376</x:v>
      </x:c>
      <x:c r="B380" s="15" t="str">
        <x:v>SYS-06</x:v>
      </x:c>
      <x:c r="C380" s="15" t="n">
        <x:v>56</x:v>
      </x:c>
      <x:c r="D380" s="15" t="str">
        <x:v>Topology</x:v>
      </x:c>
      <x:c r="E380" s="15" t="str">
        <x:v>NOT COMMISSIONED</x:v>
      </x:c>
      <x:c r="F380" s="15" t="str">
        <x:v>OPEN</x:v>
      </x:c>
    </x:row>
    <x:row r="381">
      <x:c r="A381" s="14" t="str">
        <x:v>CH-0377</x:v>
      </x:c>
      <x:c r="B381" s="14" t="str">
        <x:v>SYS-06</x:v>
      </x:c>
      <x:c r="C381" s="14" t="n">
        <x:v>57</x:v>
      </x:c>
      <x:c r="D381" s="14" t="str">
        <x:v>Topology</x:v>
      </x:c>
      <x:c r="E381" s="14" t="str">
        <x:v>NOT COMMISSIONED</x:v>
      </x:c>
      <x:c r="F381" s="14" t="str">
        <x:v>OPEN</x:v>
      </x:c>
    </x:row>
    <x:row r="382">
      <x:c r="A382" s="15" t="str">
        <x:v>CH-0378</x:v>
      </x:c>
      <x:c r="B382" s="15" t="str">
        <x:v>SYS-06</x:v>
      </x:c>
      <x:c r="C382" s="15" t="n">
        <x:v>58</x:v>
      </x:c>
      <x:c r="D382" s="15" t="str">
        <x:v>Topology</x:v>
      </x:c>
      <x:c r="E382" s="15" t="str">
        <x:v>NOT COMMISSIONED</x:v>
      </x:c>
      <x:c r="F382" s="15" t="str">
        <x:v>OPEN</x:v>
      </x:c>
    </x:row>
    <x:row r="383">
      <x:c r="A383" s="14" t="str">
        <x:v>CH-0379</x:v>
      </x:c>
      <x:c r="B383" s="14" t="str">
        <x:v>SYS-06</x:v>
      </x:c>
      <x:c r="C383" s="14" t="n">
        <x:v>59</x:v>
      </x:c>
      <x:c r="D383" s="14" t="str">
        <x:v>Topology</x:v>
      </x:c>
      <x:c r="E383" s="14" t="str">
        <x:v>NOT COMMISSIONED</x:v>
      </x:c>
      <x:c r="F383" s="14" t="str">
        <x:v>OPEN</x:v>
      </x:c>
    </x:row>
    <x:row r="384">
      <x:c r="A384" s="15" t="str">
        <x:v>CH-0380</x:v>
      </x:c>
      <x:c r="B384" s="15" t="str">
        <x:v>SYS-06</x:v>
      </x:c>
      <x:c r="C384" s="15" t="n">
        <x:v>60</x:v>
      </x:c>
      <x:c r="D384" s="15" t="str">
        <x:v>Topology</x:v>
      </x:c>
      <x:c r="E384" s="15" t="str">
        <x:v>NOT COMMISSIONED</x:v>
      </x:c>
      <x:c r="F384" s="15" t="str">
        <x:v>OPEN</x:v>
      </x:c>
    </x:row>
    <x:row r="385">
      <x:c r="A385" s="14" t="str">
        <x:v>CH-0381</x:v>
      </x:c>
      <x:c r="B385" s="14" t="str">
        <x:v>SYS-06</x:v>
      </x:c>
      <x:c r="C385" s="14" t="n">
        <x:v>61</x:v>
      </x:c>
      <x:c r="D385" s="14" t="str">
        <x:v>Topology</x:v>
      </x:c>
      <x:c r="E385" s="14" t="str">
        <x:v>NOT COMMISSIONED</x:v>
      </x:c>
      <x:c r="F385" s="14" t="str">
        <x:v>OPEN</x:v>
      </x:c>
    </x:row>
    <x:row r="386">
      <x:c r="A386" s="15" t="str">
        <x:v>CH-0382</x:v>
      </x:c>
      <x:c r="B386" s="15" t="str">
        <x:v>SYS-06</x:v>
      </x:c>
      <x:c r="C386" s="15" t="n">
        <x:v>62</x:v>
      </x:c>
      <x:c r="D386" s="15" t="str">
        <x:v>Topology</x:v>
      </x:c>
      <x:c r="E386" s="15" t="str">
        <x:v>NOT COMMISSIONED</x:v>
      </x:c>
      <x:c r="F386" s="15" t="str">
        <x:v>OPEN</x:v>
      </x:c>
    </x:row>
    <x:row r="387">
      <x:c r="A387" s="14" t="str">
        <x:v>CH-0383</x:v>
      </x:c>
      <x:c r="B387" s="14" t="str">
        <x:v>SYS-06</x:v>
      </x:c>
      <x:c r="C387" s="14" t="n">
        <x:v>63</x:v>
      </x:c>
      <x:c r="D387" s="14" t="str">
        <x:v>Topology</x:v>
      </x:c>
      <x:c r="E387" s="14" t="str">
        <x:v>NOT COMMISSIONED</x:v>
      </x:c>
      <x:c r="F387" s="14" t="str">
        <x:v>OPEN</x:v>
      </x:c>
    </x:row>
    <x:row r="388">
      <x:c r="A388" s="15" t="str">
        <x:v>CH-0384</x:v>
      </x:c>
      <x:c r="B388" s="15" t="str">
        <x:v>SYS-06</x:v>
      </x:c>
      <x:c r="C388" s="15" t="n">
        <x:v>64</x:v>
      </x:c>
      <x:c r="D388" s="15" t="str">
        <x:v>Topology</x:v>
      </x:c>
      <x:c r="E388" s="15" t="str">
        <x:v>NOT COMMISSIONED</x:v>
      </x:c>
      <x:c r="F388" s="15" t="str">
        <x:v>OPEN</x:v>
      </x:c>
    </x:row>
    <x:row r="389">
      <x:c r="A389" s="14" t="str">
        <x:v>CH-0385</x:v>
      </x:c>
      <x:c r="B389" s="14" t="str">
        <x:v>SYS-07</x:v>
      </x:c>
      <x:c r="C389" s="14" t="n">
        <x:v>1</x:v>
      </x:c>
      <x:c r="D389" s="14" t="str">
        <x:v>Coupling</x:v>
      </x:c>
      <x:c r="E389" s="14" t="str">
        <x:v>NOT COMMISSIONED</x:v>
      </x:c>
      <x:c r="F389" s="14" t="str">
        <x:v>OPEN</x:v>
      </x:c>
    </x:row>
    <x:row r="390">
      <x:c r="A390" s="15" t="str">
        <x:v>CH-0386</x:v>
      </x:c>
      <x:c r="B390" s="15" t="str">
        <x:v>SYS-07</x:v>
      </x:c>
      <x:c r="C390" s="15" t="n">
        <x:v>2</x:v>
      </x:c>
      <x:c r="D390" s="15" t="str">
        <x:v>Coupling</x:v>
      </x:c>
      <x:c r="E390" s="15" t="str">
        <x:v>NOT COMMISSIONED</x:v>
      </x:c>
      <x:c r="F390" s="15" t="str">
        <x:v>OPEN</x:v>
      </x:c>
    </x:row>
    <x:row r="391">
      <x:c r="A391" s="14" t="str">
        <x:v>CH-0387</x:v>
      </x:c>
      <x:c r="B391" s="14" t="str">
        <x:v>SYS-07</x:v>
      </x:c>
      <x:c r="C391" s="14" t="n">
        <x:v>3</x:v>
      </x:c>
      <x:c r="D391" s="14" t="str">
        <x:v>Coupling</x:v>
      </x:c>
      <x:c r="E391" s="14" t="str">
        <x:v>NOT COMMISSIONED</x:v>
      </x:c>
      <x:c r="F391" s="14" t="str">
        <x:v>OPEN</x:v>
      </x:c>
    </x:row>
    <x:row r="392">
      <x:c r="A392" s="15" t="str">
        <x:v>CH-0388</x:v>
      </x:c>
      <x:c r="B392" s="15" t="str">
        <x:v>SYS-07</x:v>
      </x:c>
      <x:c r="C392" s="15" t="n">
        <x:v>4</x:v>
      </x:c>
      <x:c r="D392" s="15" t="str">
        <x:v>Coupling</x:v>
      </x:c>
      <x:c r="E392" s="15" t="str">
        <x:v>NOT COMMISSIONED</x:v>
      </x:c>
      <x:c r="F392" s="15" t="str">
        <x:v>OPEN</x:v>
      </x:c>
    </x:row>
    <x:row r="393">
      <x:c r="A393" s="14" t="str">
        <x:v>CH-0389</x:v>
      </x:c>
      <x:c r="B393" s="14" t="str">
        <x:v>SYS-07</x:v>
      </x:c>
      <x:c r="C393" s="14" t="n">
        <x:v>5</x:v>
      </x:c>
      <x:c r="D393" s="14" t="str">
        <x:v>Coupling</x:v>
      </x:c>
      <x:c r="E393" s="14" t="str">
        <x:v>NOT COMMISSIONED</x:v>
      </x:c>
      <x:c r="F393" s="14" t="str">
        <x:v>OPEN</x:v>
      </x:c>
    </x:row>
    <x:row r="394">
      <x:c r="A394" s="15" t="str">
        <x:v>CH-0390</x:v>
      </x:c>
      <x:c r="B394" s="15" t="str">
        <x:v>SYS-07</x:v>
      </x:c>
      <x:c r="C394" s="15" t="n">
        <x:v>6</x:v>
      </x:c>
      <x:c r="D394" s="15" t="str">
        <x:v>Coupling</x:v>
      </x:c>
      <x:c r="E394" s="15" t="str">
        <x:v>NOT COMMISSIONED</x:v>
      </x:c>
      <x:c r="F394" s="15" t="str">
        <x:v>OPEN</x:v>
      </x:c>
    </x:row>
    <x:row r="395">
      <x:c r="A395" s="14" t="str">
        <x:v>CH-0391</x:v>
      </x:c>
      <x:c r="B395" s="14" t="str">
        <x:v>SYS-07</x:v>
      </x:c>
      <x:c r="C395" s="14" t="n">
        <x:v>7</x:v>
      </x:c>
      <x:c r="D395" s="14" t="str">
        <x:v>Coupling</x:v>
      </x:c>
      <x:c r="E395" s="14" t="str">
        <x:v>NOT COMMISSIONED</x:v>
      </x:c>
      <x:c r="F395" s="14" t="str">
        <x:v>OPEN</x:v>
      </x:c>
    </x:row>
    <x:row r="396">
      <x:c r="A396" s="15" t="str">
        <x:v>CH-0392</x:v>
      </x:c>
      <x:c r="B396" s="15" t="str">
        <x:v>SYS-07</x:v>
      </x:c>
      <x:c r="C396" s="15" t="n">
        <x:v>8</x:v>
      </x:c>
      <x:c r="D396" s="15" t="str">
        <x:v>Coupling</x:v>
      </x:c>
      <x:c r="E396" s="15" t="str">
        <x:v>NOT COMMISSIONED</x:v>
      </x:c>
      <x:c r="F396" s="15" t="str">
        <x:v>OPEN</x:v>
      </x:c>
    </x:row>
    <x:row r="397">
      <x:c r="A397" s="14" t="str">
        <x:v>CH-0393</x:v>
      </x:c>
      <x:c r="B397" s="14" t="str">
        <x:v>SYS-07</x:v>
      </x:c>
      <x:c r="C397" s="14" t="n">
        <x:v>9</x:v>
      </x:c>
      <x:c r="D397" s="14" t="str">
        <x:v>Coupling</x:v>
      </x:c>
      <x:c r="E397" s="14" t="str">
        <x:v>NOT COMMISSIONED</x:v>
      </x:c>
      <x:c r="F397" s="14" t="str">
        <x:v>OPEN</x:v>
      </x:c>
    </x:row>
    <x:row r="398">
      <x:c r="A398" s="15" t="str">
        <x:v>CH-0394</x:v>
      </x:c>
      <x:c r="B398" s="15" t="str">
        <x:v>SYS-07</x:v>
      </x:c>
      <x:c r="C398" s="15" t="n">
        <x:v>10</x:v>
      </x:c>
      <x:c r="D398" s="15" t="str">
        <x:v>Coupling</x:v>
      </x:c>
      <x:c r="E398" s="15" t="str">
        <x:v>NOT COMMISSIONED</x:v>
      </x:c>
      <x:c r="F398" s="15" t="str">
        <x:v>OPEN</x:v>
      </x:c>
    </x:row>
    <x:row r="399">
      <x:c r="A399" s="14" t="str">
        <x:v>CH-0395</x:v>
      </x:c>
      <x:c r="B399" s="14" t="str">
        <x:v>SYS-07</x:v>
      </x:c>
      <x:c r="C399" s="14" t="n">
        <x:v>11</x:v>
      </x:c>
      <x:c r="D399" s="14" t="str">
        <x:v>Coupling</x:v>
      </x:c>
      <x:c r="E399" s="14" t="str">
        <x:v>NOT COMMISSIONED</x:v>
      </x:c>
      <x:c r="F399" s="14" t="str">
        <x:v>OPEN</x:v>
      </x:c>
    </x:row>
    <x:row r="400">
      <x:c r="A400" s="15" t="str">
        <x:v>CH-0396</x:v>
      </x:c>
      <x:c r="B400" s="15" t="str">
        <x:v>SYS-07</x:v>
      </x:c>
      <x:c r="C400" s="15" t="n">
        <x:v>12</x:v>
      </x:c>
      <x:c r="D400" s="15" t="str">
        <x:v>Coupling</x:v>
      </x:c>
      <x:c r="E400" s="15" t="str">
        <x:v>NOT COMMISSIONED</x:v>
      </x:c>
      <x:c r="F400" s="15" t="str">
        <x:v>OPEN</x:v>
      </x:c>
    </x:row>
    <x:row r="401">
      <x:c r="A401" s="14" t="str">
        <x:v>CH-0397</x:v>
      </x:c>
      <x:c r="B401" s="14" t="str">
        <x:v>SYS-07</x:v>
      </x:c>
      <x:c r="C401" s="14" t="n">
        <x:v>13</x:v>
      </x:c>
      <x:c r="D401" s="14" t="str">
        <x:v>Coupling</x:v>
      </x:c>
      <x:c r="E401" s="14" t="str">
        <x:v>NOT COMMISSIONED</x:v>
      </x:c>
      <x:c r="F401" s="14" t="str">
        <x:v>OPEN</x:v>
      </x:c>
    </x:row>
    <x:row r="402">
      <x:c r="A402" s="15" t="str">
        <x:v>CH-0398</x:v>
      </x:c>
      <x:c r="B402" s="15" t="str">
        <x:v>SYS-07</x:v>
      </x:c>
      <x:c r="C402" s="15" t="n">
        <x:v>14</x:v>
      </x:c>
      <x:c r="D402" s="15" t="str">
        <x:v>Coupling</x:v>
      </x:c>
      <x:c r="E402" s="15" t="str">
        <x:v>NOT COMMISSIONED</x:v>
      </x:c>
      <x:c r="F402" s="15" t="str">
        <x:v>OPEN</x:v>
      </x:c>
    </x:row>
    <x:row r="403">
      <x:c r="A403" s="14" t="str">
        <x:v>CH-0399</x:v>
      </x:c>
      <x:c r="B403" s="14" t="str">
        <x:v>SYS-07</x:v>
      </x:c>
      <x:c r="C403" s="14" t="n">
        <x:v>15</x:v>
      </x:c>
      <x:c r="D403" s="14" t="str">
        <x:v>Coupling</x:v>
      </x:c>
      <x:c r="E403" s="14" t="str">
        <x:v>NOT COMMISSIONED</x:v>
      </x:c>
      <x:c r="F403" s="14" t="str">
        <x:v>OPEN</x:v>
      </x:c>
    </x:row>
    <x:row r="404">
      <x:c r="A404" s="15" t="str">
        <x:v>CH-0400</x:v>
      </x:c>
      <x:c r="B404" s="15" t="str">
        <x:v>SYS-07</x:v>
      </x:c>
      <x:c r="C404" s="15" t="n">
        <x:v>16</x:v>
      </x:c>
      <x:c r="D404" s="15" t="str">
        <x:v>Coupling</x:v>
      </x:c>
      <x:c r="E404" s="15" t="str">
        <x:v>NOT COMMISSIONED</x:v>
      </x:c>
      <x:c r="F404" s="15" t="str">
        <x:v>OPEN</x:v>
      </x:c>
    </x:row>
    <x:row r="405">
      <x:c r="A405" s="14" t="str">
        <x:v>CH-0401</x:v>
      </x:c>
      <x:c r="B405" s="14" t="str">
        <x:v>SYS-07</x:v>
      </x:c>
      <x:c r="C405" s="14" t="n">
        <x:v>17</x:v>
      </x:c>
      <x:c r="D405" s="14" t="str">
        <x:v>Coupling</x:v>
      </x:c>
      <x:c r="E405" s="14" t="str">
        <x:v>NOT COMMISSIONED</x:v>
      </x:c>
      <x:c r="F405" s="14" t="str">
        <x:v>OPEN</x:v>
      </x:c>
    </x:row>
    <x:row r="406">
      <x:c r="A406" s="15" t="str">
        <x:v>CH-0402</x:v>
      </x:c>
      <x:c r="B406" s="15" t="str">
        <x:v>SYS-07</x:v>
      </x:c>
      <x:c r="C406" s="15" t="n">
        <x:v>18</x:v>
      </x:c>
      <x:c r="D406" s="15" t="str">
        <x:v>Coupling</x:v>
      </x:c>
      <x:c r="E406" s="15" t="str">
        <x:v>NOT COMMISSIONED</x:v>
      </x:c>
      <x:c r="F406" s="15" t="str">
        <x:v>OPEN</x:v>
      </x:c>
    </x:row>
    <x:row r="407">
      <x:c r="A407" s="14" t="str">
        <x:v>CH-0403</x:v>
      </x:c>
      <x:c r="B407" s="14" t="str">
        <x:v>SYS-07</x:v>
      </x:c>
      <x:c r="C407" s="14" t="n">
        <x:v>19</x:v>
      </x:c>
      <x:c r="D407" s="14" t="str">
        <x:v>Coupling</x:v>
      </x:c>
      <x:c r="E407" s="14" t="str">
        <x:v>NOT COMMISSIONED</x:v>
      </x:c>
      <x:c r="F407" s="14" t="str">
        <x:v>OPEN</x:v>
      </x:c>
    </x:row>
    <x:row r="408">
      <x:c r="A408" s="15" t="str">
        <x:v>CH-0404</x:v>
      </x:c>
      <x:c r="B408" s="15" t="str">
        <x:v>SYS-07</x:v>
      </x:c>
      <x:c r="C408" s="15" t="n">
        <x:v>20</x:v>
      </x:c>
      <x:c r="D408" s="15" t="str">
        <x:v>Coupling</x:v>
      </x:c>
      <x:c r="E408" s="15" t="str">
        <x:v>NOT COMMISSIONED</x:v>
      </x:c>
      <x:c r="F408" s="15" t="str">
        <x:v>OPEN</x:v>
      </x:c>
    </x:row>
    <x:row r="409">
      <x:c r="A409" s="14" t="str">
        <x:v>CH-0405</x:v>
      </x:c>
      <x:c r="B409" s="14" t="str">
        <x:v>SYS-07</x:v>
      </x:c>
      <x:c r="C409" s="14" t="n">
        <x:v>21</x:v>
      </x:c>
      <x:c r="D409" s="14" t="str">
        <x:v>Coupling</x:v>
      </x:c>
      <x:c r="E409" s="14" t="str">
        <x:v>NOT COMMISSIONED</x:v>
      </x:c>
      <x:c r="F409" s="14" t="str">
        <x:v>OPEN</x:v>
      </x:c>
    </x:row>
    <x:row r="410">
      <x:c r="A410" s="15" t="str">
        <x:v>CH-0406</x:v>
      </x:c>
      <x:c r="B410" s="15" t="str">
        <x:v>SYS-07</x:v>
      </x:c>
      <x:c r="C410" s="15" t="n">
        <x:v>22</x:v>
      </x:c>
      <x:c r="D410" s="15" t="str">
        <x:v>Coupling</x:v>
      </x:c>
      <x:c r="E410" s="15" t="str">
        <x:v>NOT COMMISSIONED</x:v>
      </x:c>
      <x:c r="F410" s="15" t="str">
        <x:v>OPEN</x:v>
      </x:c>
    </x:row>
    <x:row r="411">
      <x:c r="A411" s="14" t="str">
        <x:v>CH-0407</x:v>
      </x:c>
      <x:c r="B411" s="14" t="str">
        <x:v>SYS-07</x:v>
      </x:c>
      <x:c r="C411" s="14" t="n">
        <x:v>23</x:v>
      </x:c>
      <x:c r="D411" s="14" t="str">
        <x:v>Coupling</x:v>
      </x:c>
      <x:c r="E411" s="14" t="str">
        <x:v>NOT COMMISSIONED</x:v>
      </x:c>
      <x:c r="F411" s="14" t="str">
        <x:v>OPEN</x:v>
      </x:c>
    </x:row>
    <x:row r="412">
      <x:c r="A412" s="15" t="str">
        <x:v>CH-0408</x:v>
      </x:c>
      <x:c r="B412" s="15" t="str">
        <x:v>SYS-07</x:v>
      </x:c>
      <x:c r="C412" s="15" t="n">
        <x:v>24</x:v>
      </x:c>
      <x:c r="D412" s="15" t="str">
        <x:v>Coupling</x:v>
      </x:c>
      <x:c r="E412" s="15" t="str">
        <x:v>NOT COMMISSIONED</x:v>
      </x:c>
      <x:c r="F412" s="15" t="str">
        <x:v>OPEN</x:v>
      </x:c>
    </x:row>
    <x:row r="413">
      <x:c r="A413" s="14" t="str">
        <x:v>CH-0409</x:v>
      </x:c>
      <x:c r="B413" s="14" t="str">
        <x:v>SYS-07</x:v>
      </x:c>
      <x:c r="C413" s="14" t="n">
        <x:v>25</x:v>
      </x:c>
      <x:c r="D413" s="14" t="str">
        <x:v>Coupling</x:v>
      </x:c>
      <x:c r="E413" s="14" t="str">
        <x:v>NOT COMMISSIONED</x:v>
      </x:c>
      <x:c r="F413" s="14" t="str">
        <x:v>OPEN</x:v>
      </x:c>
    </x:row>
    <x:row r="414">
      <x:c r="A414" s="15" t="str">
        <x:v>CH-0410</x:v>
      </x:c>
      <x:c r="B414" s="15" t="str">
        <x:v>SYS-07</x:v>
      </x:c>
      <x:c r="C414" s="15" t="n">
        <x:v>26</x:v>
      </x:c>
      <x:c r="D414" s="15" t="str">
        <x:v>Coupling</x:v>
      </x:c>
      <x:c r="E414" s="15" t="str">
        <x:v>NOT COMMISSIONED</x:v>
      </x:c>
      <x:c r="F414" s="15" t="str">
        <x:v>OPEN</x:v>
      </x:c>
    </x:row>
    <x:row r="415">
      <x:c r="A415" s="14" t="str">
        <x:v>CH-0411</x:v>
      </x:c>
      <x:c r="B415" s="14" t="str">
        <x:v>SYS-07</x:v>
      </x:c>
      <x:c r="C415" s="14" t="n">
        <x:v>27</x:v>
      </x:c>
      <x:c r="D415" s="14" t="str">
        <x:v>Coupling</x:v>
      </x:c>
      <x:c r="E415" s="14" t="str">
        <x:v>NOT COMMISSIONED</x:v>
      </x:c>
      <x:c r="F415" s="14" t="str">
        <x:v>OPEN</x:v>
      </x:c>
    </x:row>
    <x:row r="416">
      <x:c r="A416" s="15" t="str">
        <x:v>CH-0412</x:v>
      </x:c>
      <x:c r="B416" s="15" t="str">
        <x:v>SYS-07</x:v>
      </x:c>
      <x:c r="C416" s="15" t="n">
        <x:v>28</x:v>
      </x:c>
      <x:c r="D416" s="15" t="str">
        <x:v>Coupling</x:v>
      </x:c>
      <x:c r="E416" s="15" t="str">
        <x:v>NOT COMMISSIONED</x:v>
      </x:c>
      <x:c r="F416" s="15" t="str">
        <x:v>OPEN</x:v>
      </x:c>
    </x:row>
    <x:row r="417">
      <x:c r="A417" s="14" t="str">
        <x:v>CH-0413</x:v>
      </x:c>
      <x:c r="B417" s="14" t="str">
        <x:v>SYS-07</x:v>
      </x:c>
      <x:c r="C417" s="14" t="n">
        <x:v>29</x:v>
      </x:c>
      <x:c r="D417" s="14" t="str">
        <x:v>Coupling</x:v>
      </x:c>
      <x:c r="E417" s="14" t="str">
        <x:v>NOT COMMISSIONED</x:v>
      </x:c>
      <x:c r="F417" s="14" t="str">
        <x:v>OPEN</x:v>
      </x:c>
    </x:row>
    <x:row r="418">
      <x:c r="A418" s="15" t="str">
        <x:v>CH-0414</x:v>
      </x:c>
      <x:c r="B418" s="15" t="str">
        <x:v>SYS-07</x:v>
      </x:c>
      <x:c r="C418" s="15" t="n">
        <x:v>30</x:v>
      </x:c>
      <x:c r="D418" s="15" t="str">
        <x:v>Coupling</x:v>
      </x:c>
      <x:c r="E418" s="15" t="str">
        <x:v>NOT COMMISSIONED</x:v>
      </x:c>
      <x:c r="F418" s="15" t="str">
        <x:v>OPEN</x:v>
      </x:c>
    </x:row>
    <x:row r="419">
      <x:c r="A419" s="14" t="str">
        <x:v>CH-0415</x:v>
      </x:c>
      <x:c r="B419" s="14" t="str">
        <x:v>SYS-07</x:v>
      </x:c>
      <x:c r="C419" s="14" t="n">
        <x:v>31</x:v>
      </x:c>
      <x:c r="D419" s="14" t="str">
        <x:v>Coupling</x:v>
      </x:c>
      <x:c r="E419" s="14" t="str">
        <x:v>NOT COMMISSIONED</x:v>
      </x:c>
      <x:c r="F419" s="14" t="str">
        <x:v>OPEN</x:v>
      </x:c>
    </x:row>
    <x:row r="420">
      <x:c r="A420" s="15" t="str">
        <x:v>CH-0416</x:v>
      </x:c>
      <x:c r="B420" s="15" t="str">
        <x:v>SYS-07</x:v>
      </x:c>
      <x:c r="C420" s="15" t="n">
        <x:v>32</x:v>
      </x:c>
      <x:c r="D420" s="15" t="str">
        <x:v>Coupling</x:v>
      </x:c>
      <x:c r="E420" s="15" t="str">
        <x:v>NOT COMMISSIONED</x:v>
      </x:c>
      <x:c r="F420" s="15" t="str">
        <x:v>OPEN</x:v>
      </x:c>
    </x:row>
    <x:row r="421">
      <x:c r="A421" s="14" t="str">
        <x:v>CH-0417</x:v>
      </x:c>
      <x:c r="B421" s="14" t="str">
        <x:v>SYS-07</x:v>
      </x:c>
      <x:c r="C421" s="14" t="n">
        <x:v>33</x:v>
      </x:c>
      <x:c r="D421" s="14" t="str">
        <x:v>Coupling</x:v>
      </x:c>
      <x:c r="E421" s="14" t="str">
        <x:v>NOT COMMISSIONED</x:v>
      </x:c>
      <x:c r="F421" s="14" t="str">
        <x:v>OPEN</x:v>
      </x:c>
    </x:row>
    <x:row r="422">
      <x:c r="A422" s="15" t="str">
        <x:v>CH-0418</x:v>
      </x:c>
      <x:c r="B422" s="15" t="str">
        <x:v>SYS-07</x:v>
      </x:c>
      <x:c r="C422" s="15" t="n">
        <x:v>34</x:v>
      </x:c>
      <x:c r="D422" s="15" t="str">
        <x:v>Coupling</x:v>
      </x:c>
      <x:c r="E422" s="15" t="str">
        <x:v>NOT COMMISSIONED</x:v>
      </x:c>
      <x:c r="F422" s="15" t="str">
        <x:v>OPEN</x:v>
      </x:c>
    </x:row>
    <x:row r="423">
      <x:c r="A423" s="14" t="str">
        <x:v>CH-0419</x:v>
      </x:c>
      <x:c r="B423" s="14" t="str">
        <x:v>SYS-07</x:v>
      </x:c>
      <x:c r="C423" s="14" t="n">
        <x:v>35</x:v>
      </x:c>
      <x:c r="D423" s="14" t="str">
        <x:v>Coupling</x:v>
      </x:c>
      <x:c r="E423" s="14" t="str">
        <x:v>NOT COMMISSIONED</x:v>
      </x:c>
      <x:c r="F423" s="14" t="str">
        <x:v>OPEN</x:v>
      </x:c>
    </x:row>
    <x:row r="424">
      <x:c r="A424" s="15" t="str">
        <x:v>CH-0420</x:v>
      </x:c>
      <x:c r="B424" s="15" t="str">
        <x:v>SYS-07</x:v>
      </x:c>
      <x:c r="C424" s="15" t="n">
        <x:v>36</x:v>
      </x:c>
      <x:c r="D424" s="15" t="str">
        <x:v>Coupling</x:v>
      </x:c>
      <x:c r="E424" s="15" t="str">
        <x:v>NOT COMMISSIONED</x:v>
      </x:c>
      <x:c r="F424" s="15" t="str">
        <x:v>OPEN</x:v>
      </x:c>
    </x:row>
    <x:row r="425">
      <x:c r="A425" s="14" t="str">
        <x:v>CH-0421</x:v>
      </x:c>
      <x:c r="B425" s="14" t="str">
        <x:v>SYS-07</x:v>
      </x:c>
      <x:c r="C425" s="14" t="n">
        <x:v>37</x:v>
      </x:c>
      <x:c r="D425" s="14" t="str">
        <x:v>Coupling</x:v>
      </x:c>
      <x:c r="E425" s="14" t="str">
        <x:v>NOT COMMISSIONED</x:v>
      </x:c>
      <x:c r="F425" s="14" t="str">
        <x:v>OPEN</x:v>
      </x:c>
    </x:row>
    <x:row r="426">
      <x:c r="A426" s="15" t="str">
        <x:v>CH-0422</x:v>
      </x:c>
      <x:c r="B426" s="15" t="str">
        <x:v>SYS-07</x:v>
      </x:c>
      <x:c r="C426" s="15" t="n">
        <x:v>38</x:v>
      </x:c>
      <x:c r="D426" s="15" t="str">
        <x:v>Coupling</x:v>
      </x:c>
      <x:c r="E426" s="15" t="str">
        <x:v>NOT COMMISSIONED</x:v>
      </x:c>
      <x:c r="F426" s="15" t="str">
        <x:v>OPEN</x:v>
      </x:c>
    </x:row>
    <x:row r="427">
      <x:c r="A427" s="14" t="str">
        <x:v>CH-0423</x:v>
      </x:c>
      <x:c r="B427" s="14" t="str">
        <x:v>SYS-07</x:v>
      </x:c>
      <x:c r="C427" s="14" t="n">
        <x:v>39</x:v>
      </x:c>
      <x:c r="D427" s="14" t="str">
        <x:v>Coupling</x:v>
      </x:c>
      <x:c r="E427" s="14" t="str">
        <x:v>NOT COMMISSIONED</x:v>
      </x:c>
      <x:c r="F427" s="14" t="str">
        <x:v>OPEN</x:v>
      </x:c>
    </x:row>
    <x:row r="428">
      <x:c r="A428" s="15" t="str">
        <x:v>CH-0424</x:v>
      </x:c>
      <x:c r="B428" s="15" t="str">
        <x:v>SYS-07</x:v>
      </x:c>
      <x:c r="C428" s="15" t="n">
        <x:v>40</x:v>
      </x:c>
      <x:c r="D428" s="15" t="str">
        <x:v>Coupling</x:v>
      </x:c>
      <x:c r="E428" s="15" t="str">
        <x:v>NOT COMMISSIONED</x:v>
      </x:c>
      <x:c r="F428" s="15" t="str">
        <x:v>OPEN</x:v>
      </x:c>
    </x:row>
    <x:row r="429">
      <x:c r="A429" s="14" t="str">
        <x:v>CH-0425</x:v>
      </x:c>
      <x:c r="B429" s="14" t="str">
        <x:v>SYS-07</x:v>
      </x:c>
      <x:c r="C429" s="14" t="n">
        <x:v>41</x:v>
      </x:c>
      <x:c r="D429" s="14" t="str">
        <x:v>Coupling</x:v>
      </x:c>
      <x:c r="E429" s="14" t="str">
        <x:v>NOT COMMISSIONED</x:v>
      </x:c>
      <x:c r="F429" s="14" t="str">
        <x:v>OPEN</x:v>
      </x:c>
    </x:row>
    <x:row r="430">
      <x:c r="A430" s="15" t="str">
        <x:v>CH-0426</x:v>
      </x:c>
      <x:c r="B430" s="15" t="str">
        <x:v>SYS-07</x:v>
      </x:c>
      <x:c r="C430" s="15" t="n">
        <x:v>42</x:v>
      </x:c>
      <x:c r="D430" s="15" t="str">
        <x:v>Coupling</x:v>
      </x:c>
      <x:c r="E430" s="15" t="str">
        <x:v>NOT COMMISSIONED</x:v>
      </x:c>
      <x:c r="F430" s="15" t="str">
        <x:v>OPEN</x:v>
      </x:c>
    </x:row>
    <x:row r="431">
      <x:c r="A431" s="14" t="str">
        <x:v>CH-0427</x:v>
      </x:c>
      <x:c r="B431" s="14" t="str">
        <x:v>SYS-07</x:v>
      </x:c>
      <x:c r="C431" s="14" t="n">
        <x:v>43</x:v>
      </x:c>
      <x:c r="D431" s="14" t="str">
        <x:v>Coupling</x:v>
      </x:c>
      <x:c r="E431" s="14" t="str">
        <x:v>NOT COMMISSIONED</x:v>
      </x:c>
      <x:c r="F431" s="14" t="str">
        <x:v>OPEN</x:v>
      </x:c>
    </x:row>
    <x:row r="432">
      <x:c r="A432" s="15" t="str">
        <x:v>CH-0428</x:v>
      </x:c>
      <x:c r="B432" s="15" t="str">
        <x:v>SYS-07</x:v>
      </x:c>
      <x:c r="C432" s="15" t="n">
        <x:v>44</x:v>
      </x:c>
      <x:c r="D432" s="15" t="str">
        <x:v>Coupling</x:v>
      </x:c>
      <x:c r="E432" s="15" t="str">
        <x:v>NOT COMMISSIONED</x:v>
      </x:c>
      <x:c r="F432" s="15" t="str">
        <x:v>OPEN</x:v>
      </x:c>
    </x:row>
    <x:row r="433">
      <x:c r="A433" s="14" t="str">
        <x:v>CH-0429</x:v>
      </x:c>
      <x:c r="B433" s="14" t="str">
        <x:v>SYS-07</x:v>
      </x:c>
      <x:c r="C433" s="14" t="n">
        <x:v>45</x:v>
      </x:c>
      <x:c r="D433" s="14" t="str">
        <x:v>Coupling</x:v>
      </x:c>
      <x:c r="E433" s="14" t="str">
        <x:v>NOT COMMISSIONED</x:v>
      </x:c>
      <x:c r="F433" s="14" t="str">
        <x:v>OPEN</x:v>
      </x:c>
    </x:row>
    <x:row r="434">
      <x:c r="A434" s="15" t="str">
        <x:v>CH-0430</x:v>
      </x:c>
      <x:c r="B434" s="15" t="str">
        <x:v>SYS-07</x:v>
      </x:c>
      <x:c r="C434" s="15" t="n">
        <x:v>46</x:v>
      </x:c>
      <x:c r="D434" s="15" t="str">
        <x:v>Coupling</x:v>
      </x:c>
      <x:c r="E434" s="15" t="str">
        <x:v>NOT COMMISSIONED</x:v>
      </x:c>
      <x:c r="F434" s="15" t="str">
        <x:v>OPEN</x:v>
      </x:c>
    </x:row>
    <x:row r="435">
      <x:c r="A435" s="14" t="str">
        <x:v>CH-0431</x:v>
      </x:c>
      <x:c r="B435" s="14" t="str">
        <x:v>SYS-07</x:v>
      </x:c>
      <x:c r="C435" s="14" t="n">
        <x:v>47</x:v>
      </x:c>
      <x:c r="D435" s="14" t="str">
        <x:v>Coupling</x:v>
      </x:c>
      <x:c r="E435" s="14" t="str">
        <x:v>NOT COMMISSIONED</x:v>
      </x:c>
      <x:c r="F435" s="14" t="str">
        <x:v>OPEN</x:v>
      </x:c>
    </x:row>
    <x:row r="436">
      <x:c r="A436" s="15" t="str">
        <x:v>CH-0432</x:v>
      </x:c>
      <x:c r="B436" s="15" t="str">
        <x:v>SYS-07</x:v>
      </x:c>
      <x:c r="C436" s="15" t="n">
        <x:v>48</x:v>
      </x:c>
      <x:c r="D436" s="15" t="str">
        <x:v>Coupling</x:v>
      </x:c>
      <x:c r="E436" s="15" t="str">
        <x:v>NOT COMMISSIONED</x:v>
      </x:c>
      <x:c r="F436" s="15" t="str">
        <x:v>OPEN</x:v>
      </x:c>
    </x:row>
    <x:row r="437">
      <x:c r="A437" s="14" t="str">
        <x:v>CH-0433</x:v>
      </x:c>
      <x:c r="B437" s="14" t="str">
        <x:v>SYS-07</x:v>
      </x:c>
      <x:c r="C437" s="14" t="n">
        <x:v>49</x:v>
      </x:c>
      <x:c r="D437" s="14" t="str">
        <x:v>Coupling</x:v>
      </x:c>
      <x:c r="E437" s="14" t="str">
        <x:v>NOT COMMISSIONED</x:v>
      </x:c>
      <x:c r="F437" s="14" t="str">
        <x:v>OPEN</x:v>
      </x:c>
    </x:row>
    <x:row r="438">
      <x:c r="A438" s="15" t="str">
        <x:v>CH-0434</x:v>
      </x:c>
      <x:c r="B438" s="15" t="str">
        <x:v>SYS-07</x:v>
      </x:c>
      <x:c r="C438" s="15" t="n">
        <x:v>50</x:v>
      </x:c>
      <x:c r="D438" s="15" t="str">
        <x:v>Coupling</x:v>
      </x:c>
      <x:c r="E438" s="15" t="str">
        <x:v>NOT COMMISSIONED</x:v>
      </x:c>
      <x:c r="F438" s="15" t="str">
        <x:v>OPEN</x:v>
      </x:c>
    </x:row>
    <x:row r="439">
      <x:c r="A439" s="14" t="str">
        <x:v>CH-0435</x:v>
      </x:c>
      <x:c r="B439" s="14" t="str">
        <x:v>SYS-07</x:v>
      </x:c>
      <x:c r="C439" s="14" t="n">
        <x:v>51</x:v>
      </x:c>
      <x:c r="D439" s="14" t="str">
        <x:v>Coupling</x:v>
      </x:c>
      <x:c r="E439" s="14" t="str">
        <x:v>NOT COMMISSIONED</x:v>
      </x:c>
      <x:c r="F439" s="14" t="str">
        <x:v>OPEN</x:v>
      </x:c>
    </x:row>
    <x:row r="440">
      <x:c r="A440" s="15" t="str">
        <x:v>CH-0436</x:v>
      </x:c>
      <x:c r="B440" s="15" t="str">
        <x:v>SYS-07</x:v>
      </x:c>
      <x:c r="C440" s="15" t="n">
        <x:v>52</x:v>
      </x:c>
      <x:c r="D440" s="15" t="str">
        <x:v>Coupling</x:v>
      </x:c>
      <x:c r="E440" s="15" t="str">
        <x:v>NOT COMMISSIONED</x:v>
      </x:c>
      <x:c r="F440" s="15" t="str">
        <x:v>OPEN</x:v>
      </x:c>
    </x:row>
    <x:row r="441">
      <x:c r="A441" s="14" t="str">
        <x:v>CH-0437</x:v>
      </x:c>
      <x:c r="B441" s="14" t="str">
        <x:v>SYS-07</x:v>
      </x:c>
      <x:c r="C441" s="14" t="n">
        <x:v>53</x:v>
      </x:c>
      <x:c r="D441" s="14" t="str">
        <x:v>Coupling</x:v>
      </x:c>
      <x:c r="E441" s="14" t="str">
        <x:v>NOT COMMISSIONED</x:v>
      </x:c>
      <x:c r="F441" s="14" t="str">
        <x:v>OPEN</x:v>
      </x:c>
    </x:row>
    <x:row r="442">
      <x:c r="A442" s="15" t="str">
        <x:v>CH-0438</x:v>
      </x:c>
      <x:c r="B442" s="15" t="str">
        <x:v>SYS-07</x:v>
      </x:c>
      <x:c r="C442" s="15" t="n">
        <x:v>54</x:v>
      </x:c>
      <x:c r="D442" s="15" t="str">
        <x:v>Coupling</x:v>
      </x:c>
      <x:c r="E442" s="15" t="str">
        <x:v>NOT COMMISSIONED</x:v>
      </x:c>
      <x:c r="F442" s="15" t="str">
        <x:v>OPEN</x:v>
      </x:c>
    </x:row>
    <x:row r="443">
      <x:c r="A443" s="14" t="str">
        <x:v>CH-0439</x:v>
      </x:c>
      <x:c r="B443" s="14" t="str">
        <x:v>SYS-07</x:v>
      </x:c>
      <x:c r="C443" s="14" t="n">
        <x:v>55</x:v>
      </x:c>
      <x:c r="D443" s="14" t="str">
        <x:v>Coupling</x:v>
      </x:c>
      <x:c r="E443" s="14" t="str">
        <x:v>NOT COMMISSIONED</x:v>
      </x:c>
      <x:c r="F443" s="14" t="str">
        <x:v>OPEN</x:v>
      </x:c>
    </x:row>
    <x:row r="444">
      <x:c r="A444" s="15" t="str">
        <x:v>CH-0440</x:v>
      </x:c>
      <x:c r="B444" s="15" t="str">
        <x:v>SYS-07</x:v>
      </x:c>
      <x:c r="C444" s="15" t="n">
        <x:v>56</x:v>
      </x:c>
      <x:c r="D444" s="15" t="str">
        <x:v>Coupling</x:v>
      </x:c>
      <x:c r="E444" s="15" t="str">
        <x:v>NOT COMMISSIONED</x:v>
      </x:c>
      <x:c r="F444" s="15" t="str">
        <x:v>OPEN</x:v>
      </x:c>
    </x:row>
    <x:row r="445">
      <x:c r="A445" s="14" t="str">
        <x:v>CH-0441</x:v>
      </x:c>
      <x:c r="B445" s="14" t="str">
        <x:v>SYS-07</x:v>
      </x:c>
      <x:c r="C445" s="14" t="n">
        <x:v>57</x:v>
      </x:c>
      <x:c r="D445" s="14" t="str">
        <x:v>Coupling</x:v>
      </x:c>
      <x:c r="E445" s="14" t="str">
        <x:v>NOT COMMISSIONED</x:v>
      </x:c>
      <x:c r="F445" s="14" t="str">
        <x:v>OPEN</x:v>
      </x:c>
    </x:row>
    <x:row r="446">
      <x:c r="A446" s="15" t="str">
        <x:v>CH-0442</x:v>
      </x:c>
      <x:c r="B446" s="15" t="str">
        <x:v>SYS-07</x:v>
      </x:c>
      <x:c r="C446" s="15" t="n">
        <x:v>58</x:v>
      </x:c>
      <x:c r="D446" s="15" t="str">
        <x:v>Coupling</x:v>
      </x:c>
      <x:c r="E446" s="15" t="str">
        <x:v>NOT COMMISSIONED</x:v>
      </x:c>
      <x:c r="F446" s="15" t="str">
        <x:v>OPEN</x:v>
      </x:c>
    </x:row>
    <x:row r="447">
      <x:c r="A447" s="14" t="str">
        <x:v>CH-0443</x:v>
      </x:c>
      <x:c r="B447" s="14" t="str">
        <x:v>SYS-07</x:v>
      </x:c>
      <x:c r="C447" s="14" t="n">
        <x:v>59</x:v>
      </x:c>
      <x:c r="D447" s="14" t="str">
        <x:v>Coupling</x:v>
      </x:c>
      <x:c r="E447" s="14" t="str">
        <x:v>NOT COMMISSIONED</x:v>
      </x:c>
      <x:c r="F447" s="14" t="str">
        <x:v>OPEN</x:v>
      </x:c>
    </x:row>
    <x:row r="448">
      <x:c r="A448" s="15" t="str">
        <x:v>CH-0444</x:v>
      </x:c>
      <x:c r="B448" s="15" t="str">
        <x:v>SYS-07</x:v>
      </x:c>
      <x:c r="C448" s="15" t="n">
        <x:v>60</x:v>
      </x:c>
      <x:c r="D448" s="15" t="str">
        <x:v>Coupling</x:v>
      </x:c>
      <x:c r="E448" s="15" t="str">
        <x:v>NOT COMMISSIONED</x:v>
      </x:c>
      <x:c r="F448" s="15" t="str">
        <x:v>OPEN</x:v>
      </x:c>
    </x:row>
    <x:row r="449">
      <x:c r="A449" s="14" t="str">
        <x:v>CH-0445</x:v>
      </x:c>
      <x:c r="B449" s="14" t="str">
        <x:v>SYS-07</x:v>
      </x:c>
      <x:c r="C449" s="14" t="n">
        <x:v>61</x:v>
      </x:c>
      <x:c r="D449" s="14" t="str">
        <x:v>Coupling</x:v>
      </x:c>
      <x:c r="E449" s="14" t="str">
        <x:v>NOT COMMISSIONED</x:v>
      </x:c>
      <x:c r="F449" s="14" t="str">
        <x:v>OPEN</x:v>
      </x:c>
    </x:row>
    <x:row r="450">
      <x:c r="A450" s="15" t="str">
        <x:v>CH-0446</x:v>
      </x:c>
      <x:c r="B450" s="15" t="str">
        <x:v>SYS-07</x:v>
      </x:c>
      <x:c r="C450" s="15" t="n">
        <x:v>62</x:v>
      </x:c>
      <x:c r="D450" s="15" t="str">
        <x:v>Coupling</x:v>
      </x:c>
      <x:c r="E450" s="15" t="str">
        <x:v>NOT COMMISSIONED</x:v>
      </x:c>
      <x:c r="F450" s="15" t="str">
        <x:v>OPEN</x:v>
      </x:c>
    </x:row>
    <x:row r="451">
      <x:c r="A451" s="14" t="str">
        <x:v>CH-0447</x:v>
      </x:c>
      <x:c r="B451" s="14" t="str">
        <x:v>SYS-07</x:v>
      </x:c>
      <x:c r="C451" s="14" t="n">
        <x:v>63</x:v>
      </x:c>
      <x:c r="D451" s="14" t="str">
        <x:v>Coupling</x:v>
      </x:c>
      <x:c r="E451" s="14" t="str">
        <x:v>NOT COMMISSIONED</x:v>
      </x:c>
      <x:c r="F451" s="14" t="str">
        <x:v>OPEN</x:v>
      </x:c>
    </x:row>
    <x:row r="452">
      <x:c r="A452" s="15" t="str">
        <x:v>CH-0448</x:v>
      </x:c>
      <x:c r="B452" s="15" t="str">
        <x:v>SYS-07</x:v>
      </x:c>
      <x:c r="C452" s="15" t="n">
        <x:v>64</x:v>
      </x:c>
      <x:c r="D452" s="15" t="str">
        <x:v>Coupling</x:v>
      </x:c>
      <x:c r="E452" s="15" t="str">
        <x:v>NOT COMMISSIONED</x:v>
      </x:c>
      <x:c r="F452" s="15" t="str">
        <x:v>OPEN</x:v>
      </x:c>
    </x:row>
    <x:row r="453">
      <x:c r="A453" s="14" t="str">
        <x:v>CH-0449</x:v>
      </x:c>
      <x:c r="B453" s="14" t="str">
        <x:v>SYS-08</x:v>
      </x:c>
      <x:c r="C453" s="14" t="n">
        <x:v>1</x:v>
      </x:c>
      <x:c r="D453" s="14" t="str">
        <x:v>Diversion</x:v>
      </x:c>
      <x:c r="E453" s="14" t="str">
        <x:v>NOT COMMISSIONED</x:v>
      </x:c>
      <x:c r="F453" s="14" t="str">
        <x:v>OPEN</x:v>
      </x:c>
    </x:row>
    <x:row r="454">
      <x:c r="A454" s="15" t="str">
        <x:v>CH-0450</x:v>
      </x:c>
      <x:c r="B454" s="15" t="str">
        <x:v>SYS-08</x:v>
      </x:c>
      <x:c r="C454" s="15" t="n">
        <x:v>2</x:v>
      </x:c>
      <x:c r="D454" s="15" t="str">
        <x:v>Diversion</x:v>
      </x:c>
      <x:c r="E454" s="15" t="str">
        <x:v>NOT COMMISSIONED</x:v>
      </x:c>
      <x:c r="F454" s="15" t="str">
        <x:v>OPEN</x:v>
      </x:c>
    </x:row>
    <x:row r="455">
      <x:c r="A455" s="14" t="str">
        <x:v>CH-0451</x:v>
      </x:c>
      <x:c r="B455" s="14" t="str">
        <x:v>SYS-08</x:v>
      </x:c>
      <x:c r="C455" s="14" t="n">
        <x:v>3</x:v>
      </x:c>
      <x:c r="D455" s="14" t="str">
        <x:v>Diversion</x:v>
      </x:c>
      <x:c r="E455" s="14" t="str">
        <x:v>NOT COMMISSIONED</x:v>
      </x:c>
      <x:c r="F455" s="14" t="str">
        <x:v>OPEN</x:v>
      </x:c>
    </x:row>
    <x:row r="456">
      <x:c r="A456" s="15" t="str">
        <x:v>CH-0452</x:v>
      </x:c>
      <x:c r="B456" s="15" t="str">
        <x:v>SYS-08</x:v>
      </x:c>
      <x:c r="C456" s="15" t="n">
        <x:v>4</x:v>
      </x:c>
      <x:c r="D456" s="15" t="str">
        <x:v>Diversion</x:v>
      </x:c>
      <x:c r="E456" s="15" t="str">
        <x:v>NOT COMMISSIONED</x:v>
      </x:c>
      <x:c r="F456" s="15" t="str">
        <x:v>OPEN</x:v>
      </x:c>
    </x:row>
    <x:row r="457">
      <x:c r="A457" s="14" t="str">
        <x:v>CH-0453</x:v>
      </x:c>
      <x:c r="B457" s="14" t="str">
        <x:v>SYS-08</x:v>
      </x:c>
      <x:c r="C457" s="14" t="n">
        <x:v>5</x:v>
      </x:c>
      <x:c r="D457" s="14" t="str">
        <x:v>Diversion</x:v>
      </x:c>
      <x:c r="E457" s="14" t="str">
        <x:v>NOT COMMISSIONED</x:v>
      </x:c>
      <x:c r="F457" s="14" t="str">
        <x:v>OPEN</x:v>
      </x:c>
    </x:row>
    <x:row r="458">
      <x:c r="A458" s="15" t="str">
        <x:v>CH-0454</x:v>
      </x:c>
      <x:c r="B458" s="15" t="str">
        <x:v>SYS-08</x:v>
      </x:c>
      <x:c r="C458" s="15" t="n">
        <x:v>6</x:v>
      </x:c>
      <x:c r="D458" s="15" t="str">
        <x:v>Diversion</x:v>
      </x:c>
      <x:c r="E458" s="15" t="str">
        <x:v>NOT COMMISSIONED</x:v>
      </x:c>
      <x:c r="F458" s="15" t="str">
        <x:v>OPEN</x:v>
      </x:c>
    </x:row>
    <x:row r="459">
      <x:c r="A459" s="14" t="str">
        <x:v>CH-0455</x:v>
      </x:c>
      <x:c r="B459" s="14" t="str">
        <x:v>SYS-08</x:v>
      </x:c>
      <x:c r="C459" s="14" t="n">
        <x:v>7</x:v>
      </x:c>
      <x:c r="D459" s="14" t="str">
        <x:v>Diversion</x:v>
      </x:c>
      <x:c r="E459" s="14" t="str">
        <x:v>NOT COMMISSIONED</x:v>
      </x:c>
      <x:c r="F459" s="14" t="str">
        <x:v>OPEN</x:v>
      </x:c>
    </x:row>
    <x:row r="460">
      <x:c r="A460" s="15" t="str">
        <x:v>CH-0456</x:v>
      </x:c>
      <x:c r="B460" s="15" t="str">
        <x:v>SYS-08</x:v>
      </x:c>
      <x:c r="C460" s="15" t="n">
        <x:v>8</x:v>
      </x:c>
      <x:c r="D460" s="15" t="str">
        <x:v>Diversion</x:v>
      </x:c>
      <x:c r="E460" s="15" t="str">
        <x:v>NOT COMMISSIONED</x:v>
      </x:c>
      <x:c r="F460" s="15" t="str">
        <x:v>OPEN</x:v>
      </x:c>
    </x:row>
    <x:row r="461">
      <x:c r="A461" s="14" t="str">
        <x:v>CH-0457</x:v>
      </x:c>
      <x:c r="B461" s="14" t="str">
        <x:v>SYS-08</x:v>
      </x:c>
      <x:c r="C461" s="14" t="n">
        <x:v>9</x:v>
      </x:c>
      <x:c r="D461" s="14" t="str">
        <x:v>Diversion</x:v>
      </x:c>
      <x:c r="E461" s="14" t="str">
        <x:v>NOT COMMISSIONED</x:v>
      </x:c>
      <x:c r="F461" s="14" t="str">
        <x:v>OPEN</x:v>
      </x:c>
    </x:row>
    <x:row r="462">
      <x:c r="A462" s="15" t="str">
        <x:v>CH-0458</x:v>
      </x:c>
      <x:c r="B462" s="15" t="str">
        <x:v>SYS-08</x:v>
      </x:c>
      <x:c r="C462" s="15" t="n">
        <x:v>10</x:v>
      </x:c>
      <x:c r="D462" s="15" t="str">
        <x:v>Diversion</x:v>
      </x:c>
      <x:c r="E462" s="15" t="str">
        <x:v>NOT COMMISSIONED</x:v>
      </x:c>
      <x:c r="F462" s="15" t="str">
        <x:v>OPEN</x:v>
      </x:c>
    </x:row>
    <x:row r="463">
      <x:c r="A463" s="14" t="str">
        <x:v>CH-0459</x:v>
      </x:c>
      <x:c r="B463" s="14" t="str">
        <x:v>SYS-08</x:v>
      </x:c>
      <x:c r="C463" s="14" t="n">
        <x:v>11</x:v>
      </x:c>
      <x:c r="D463" s="14" t="str">
        <x:v>Diversion</x:v>
      </x:c>
      <x:c r="E463" s="14" t="str">
        <x:v>NOT COMMISSIONED</x:v>
      </x:c>
      <x:c r="F463" s="14" t="str">
        <x:v>OPEN</x:v>
      </x:c>
    </x:row>
    <x:row r="464">
      <x:c r="A464" s="15" t="str">
        <x:v>CH-0460</x:v>
      </x:c>
      <x:c r="B464" s="15" t="str">
        <x:v>SYS-08</x:v>
      </x:c>
      <x:c r="C464" s="15" t="n">
        <x:v>12</x:v>
      </x:c>
      <x:c r="D464" s="15" t="str">
        <x:v>Diversion</x:v>
      </x:c>
      <x:c r="E464" s="15" t="str">
        <x:v>NOT COMMISSIONED</x:v>
      </x:c>
      <x:c r="F464" s="15" t="str">
        <x:v>OPEN</x:v>
      </x:c>
    </x:row>
    <x:row r="465">
      <x:c r="A465" s="14" t="str">
        <x:v>CH-0461</x:v>
      </x:c>
      <x:c r="B465" s="14" t="str">
        <x:v>SYS-08</x:v>
      </x:c>
      <x:c r="C465" s="14" t="n">
        <x:v>13</x:v>
      </x:c>
      <x:c r="D465" s="14" t="str">
        <x:v>Diversion</x:v>
      </x:c>
      <x:c r="E465" s="14" t="str">
        <x:v>NOT COMMISSIONED</x:v>
      </x:c>
      <x:c r="F465" s="14" t="str">
        <x:v>OPEN</x:v>
      </x:c>
    </x:row>
    <x:row r="466">
      <x:c r="A466" s="15" t="str">
        <x:v>CH-0462</x:v>
      </x:c>
      <x:c r="B466" s="15" t="str">
        <x:v>SYS-08</x:v>
      </x:c>
      <x:c r="C466" s="15" t="n">
        <x:v>14</x:v>
      </x:c>
      <x:c r="D466" s="15" t="str">
        <x:v>Diversion</x:v>
      </x:c>
      <x:c r="E466" s="15" t="str">
        <x:v>NOT COMMISSIONED</x:v>
      </x:c>
      <x:c r="F466" s="15" t="str">
        <x:v>OPEN</x:v>
      </x:c>
    </x:row>
    <x:row r="467">
      <x:c r="A467" s="14" t="str">
        <x:v>CH-0463</x:v>
      </x:c>
      <x:c r="B467" s="14" t="str">
        <x:v>SYS-08</x:v>
      </x:c>
      <x:c r="C467" s="14" t="n">
        <x:v>15</x:v>
      </x:c>
      <x:c r="D467" s="14" t="str">
        <x:v>Diversion</x:v>
      </x:c>
      <x:c r="E467" s="14" t="str">
        <x:v>NOT COMMISSIONED</x:v>
      </x:c>
      <x:c r="F467" s="14" t="str">
        <x:v>OPEN</x:v>
      </x:c>
    </x:row>
    <x:row r="468">
      <x:c r="A468" s="15" t="str">
        <x:v>CH-0464</x:v>
      </x:c>
      <x:c r="B468" s="15" t="str">
        <x:v>SYS-08</x:v>
      </x:c>
      <x:c r="C468" s="15" t="n">
        <x:v>16</x:v>
      </x:c>
      <x:c r="D468" s="15" t="str">
        <x:v>Diversion</x:v>
      </x:c>
      <x:c r="E468" s="15" t="str">
        <x:v>NOT COMMISSIONED</x:v>
      </x:c>
      <x:c r="F468" s="15" t="str">
        <x:v>OPEN</x:v>
      </x:c>
    </x:row>
    <x:row r="469">
      <x:c r="A469" s="14" t="str">
        <x:v>CH-0465</x:v>
      </x:c>
      <x:c r="B469" s="14" t="str">
        <x:v>SYS-08</x:v>
      </x:c>
      <x:c r="C469" s="14" t="n">
        <x:v>17</x:v>
      </x:c>
      <x:c r="D469" s="14" t="str">
        <x:v>Diversion</x:v>
      </x:c>
      <x:c r="E469" s="14" t="str">
        <x:v>NOT COMMISSIONED</x:v>
      </x:c>
      <x:c r="F469" s="14" t="str">
        <x:v>OPEN</x:v>
      </x:c>
    </x:row>
    <x:row r="470">
      <x:c r="A470" s="15" t="str">
        <x:v>CH-0466</x:v>
      </x:c>
      <x:c r="B470" s="15" t="str">
        <x:v>SYS-08</x:v>
      </x:c>
      <x:c r="C470" s="15" t="n">
        <x:v>18</x:v>
      </x:c>
      <x:c r="D470" s="15" t="str">
        <x:v>Diversion</x:v>
      </x:c>
      <x:c r="E470" s="15" t="str">
        <x:v>NOT COMMISSIONED</x:v>
      </x:c>
      <x:c r="F470" s="15" t="str">
        <x:v>OPEN</x:v>
      </x:c>
    </x:row>
    <x:row r="471">
      <x:c r="A471" s="14" t="str">
        <x:v>CH-0467</x:v>
      </x:c>
      <x:c r="B471" s="14" t="str">
        <x:v>SYS-08</x:v>
      </x:c>
      <x:c r="C471" s="14" t="n">
        <x:v>19</x:v>
      </x:c>
      <x:c r="D471" s="14" t="str">
        <x:v>Diversion</x:v>
      </x:c>
      <x:c r="E471" s="14" t="str">
        <x:v>NOT COMMISSIONED</x:v>
      </x:c>
      <x:c r="F471" s="14" t="str">
        <x:v>OPEN</x:v>
      </x:c>
    </x:row>
    <x:row r="472">
      <x:c r="A472" s="15" t="str">
        <x:v>CH-0468</x:v>
      </x:c>
      <x:c r="B472" s="15" t="str">
        <x:v>SYS-08</x:v>
      </x:c>
      <x:c r="C472" s="15" t="n">
        <x:v>20</x:v>
      </x:c>
      <x:c r="D472" s="15" t="str">
        <x:v>Diversion</x:v>
      </x:c>
      <x:c r="E472" s="15" t="str">
        <x:v>NOT COMMISSIONED</x:v>
      </x:c>
      <x:c r="F472" s="15" t="str">
        <x:v>OPEN</x:v>
      </x:c>
    </x:row>
    <x:row r="473">
      <x:c r="A473" s="14" t="str">
        <x:v>CH-0469</x:v>
      </x:c>
      <x:c r="B473" s="14" t="str">
        <x:v>SYS-08</x:v>
      </x:c>
      <x:c r="C473" s="14" t="n">
        <x:v>21</x:v>
      </x:c>
      <x:c r="D473" s="14" t="str">
        <x:v>Diversion</x:v>
      </x:c>
      <x:c r="E473" s="14" t="str">
        <x:v>NOT COMMISSIONED</x:v>
      </x:c>
      <x:c r="F473" s="14" t="str">
        <x:v>OPEN</x:v>
      </x:c>
    </x:row>
    <x:row r="474">
      <x:c r="A474" s="15" t="str">
        <x:v>CH-0470</x:v>
      </x:c>
      <x:c r="B474" s="15" t="str">
        <x:v>SYS-08</x:v>
      </x:c>
      <x:c r="C474" s="15" t="n">
        <x:v>22</x:v>
      </x:c>
      <x:c r="D474" s="15" t="str">
        <x:v>Diversion</x:v>
      </x:c>
      <x:c r="E474" s="15" t="str">
        <x:v>NOT COMMISSIONED</x:v>
      </x:c>
      <x:c r="F474" s="15" t="str">
        <x:v>OPEN</x:v>
      </x:c>
    </x:row>
    <x:row r="475">
      <x:c r="A475" s="14" t="str">
        <x:v>CH-0471</x:v>
      </x:c>
      <x:c r="B475" s="14" t="str">
        <x:v>SYS-08</x:v>
      </x:c>
      <x:c r="C475" s="14" t="n">
        <x:v>23</x:v>
      </x:c>
      <x:c r="D475" s="14" t="str">
        <x:v>Diversion</x:v>
      </x:c>
      <x:c r="E475" s="14" t="str">
        <x:v>NOT COMMISSIONED</x:v>
      </x:c>
      <x:c r="F475" s="14" t="str">
        <x:v>OPEN</x:v>
      </x:c>
    </x:row>
    <x:row r="476">
      <x:c r="A476" s="15" t="str">
        <x:v>CH-0472</x:v>
      </x:c>
      <x:c r="B476" s="15" t="str">
        <x:v>SYS-08</x:v>
      </x:c>
      <x:c r="C476" s="15" t="n">
        <x:v>24</x:v>
      </x:c>
      <x:c r="D476" s="15" t="str">
        <x:v>Diversion</x:v>
      </x:c>
      <x:c r="E476" s="15" t="str">
        <x:v>NOT COMMISSIONED</x:v>
      </x:c>
      <x:c r="F476" s="15" t="str">
        <x:v>OPEN</x:v>
      </x:c>
    </x:row>
    <x:row r="477">
      <x:c r="A477" s="14" t="str">
        <x:v>CH-0473</x:v>
      </x:c>
      <x:c r="B477" s="14" t="str">
        <x:v>SYS-08</x:v>
      </x:c>
      <x:c r="C477" s="14" t="n">
        <x:v>25</x:v>
      </x:c>
      <x:c r="D477" s="14" t="str">
        <x:v>Diversion</x:v>
      </x:c>
      <x:c r="E477" s="14" t="str">
        <x:v>NOT COMMISSIONED</x:v>
      </x:c>
      <x:c r="F477" s="14" t="str">
        <x:v>OPEN</x:v>
      </x:c>
    </x:row>
    <x:row r="478">
      <x:c r="A478" s="15" t="str">
        <x:v>CH-0474</x:v>
      </x:c>
      <x:c r="B478" s="15" t="str">
        <x:v>SYS-08</x:v>
      </x:c>
      <x:c r="C478" s="15" t="n">
        <x:v>26</x:v>
      </x:c>
      <x:c r="D478" s="15" t="str">
        <x:v>Diversion</x:v>
      </x:c>
      <x:c r="E478" s="15" t="str">
        <x:v>NOT COMMISSIONED</x:v>
      </x:c>
      <x:c r="F478" s="15" t="str">
        <x:v>OPEN</x:v>
      </x:c>
    </x:row>
    <x:row r="479">
      <x:c r="A479" s="14" t="str">
        <x:v>CH-0475</x:v>
      </x:c>
      <x:c r="B479" s="14" t="str">
        <x:v>SYS-08</x:v>
      </x:c>
      <x:c r="C479" s="14" t="n">
        <x:v>27</x:v>
      </x:c>
      <x:c r="D479" s="14" t="str">
        <x:v>Diversion</x:v>
      </x:c>
      <x:c r="E479" s="14" t="str">
        <x:v>NOT COMMISSIONED</x:v>
      </x:c>
      <x:c r="F479" s="14" t="str">
        <x:v>OPEN</x:v>
      </x:c>
    </x:row>
    <x:row r="480">
      <x:c r="A480" s="15" t="str">
        <x:v>CH-0476</x:v>
      </x:c>
      <x:c r="B480" s="15" t="str">
        <x:v>SYS-08</x:v>
      </x:c>
      <x:c r="C480" s="15" t="n">
        <x:v>28</x:v>
      </x:c>
      <x:c r="D480" s="15" t="str">
        <x:v>Diversion</x:v>
      </x:c>
      <x:c r="E480" s="15" t="str">
        <x:v>NOT COMMISSIONED</x:v>
      </x:c>
      <x:c r="F480" s="15" t="str">
        <x:v>OPEN</x:v>
      </x:c>
    </x:row>
    <x:row r="481">
      <x:c r="A481" s="14" t="str">
        <x:v>CH-0477</x:v>
      </x:c>
      <x:c r="B481" s="14" t="str">
        <x:v>SYS-08</x:v>
      </x:c>
      <x:c r="C481" s="14" t="n">
        <x:v>29</x:v>
      </x:c>
      <x:c r="D481" s="14" t="str">
        <x:v>Diversion</x:v>
      </x:c>
      <x:c r="E481" s="14" t="str">
        <x:v>NOT COMMISSIONED</x:v>
      </x:c>
      <x:c r="F481" s="14" t="str">
        <x:v>OPEN</x:v>
      </x:c>
    </x:row>
    <x:row r="482">
      <x:c r="A482" s="15" t="str">
        <x:v>CH-0478</x:v>
      </x:c>
      <x:c r="B482" s="15" t="str">
        <x:v>SYS-08</x:v>
      </x:c>
      <x:c r="C482" s="15" t="n">
        <x:v>30</x:v>
      </x:c>
      <x:c r="D482" s="15" t="str">
        <x:v>Diversion</x:v>
      </x:c>
      <x:c r="E482" s="15" t="str">
        <x:v>NOT COMMISSIONED</x:v>
      </x:c>
      <x:c r="F482" s="15" t="str">
        <x:v>OPEN</x:v>
      </x:c>
    </x:row>
    <x:row r="483">
      <x:c r="A483" s="14" t="str">
        <x:v>CH-0479</x:v>
      </x:c>
      <x:c r="B483" s="14" t="str">
        <x:v>SYS-08</x:v>
      </x:c>
      <x:c r="C483" s="14" t="n">
        <x:v>31</x:v>
      </x:c>
      <x:c r="D483" s="14" t="str">
        <x:v>Diversion</x:v>
      </x:c>
      <x:c r="E483" s="14" t="str">
        <x:v>NOT COMMISSIONED</x:v>
      </x:c>
      <x:c r="F483" s="14" t="str">
        <x:v>OPEN</x:v>
      </x:c>
    </x:row>
    <x:row r="484">
      <x:c r="A484" s="15" t="str">
        <x:v>CH-0480</x:v>
      </x:c>
      <x:c r="B484" s="15" t="str">
        <x:v>SYS-08</x:v>
      </x:c>
      <x:c r="C484" s="15" t="n">
        <x:v>32</x:v>
      </x:c>
      <x:c r="D484" s="15" t="str">
        <x:v>Diversion</x:v>
      </x:c>
      <x:c r="E484" s="15" t="str">
        <x:v>NOT COMMISSIONED</x:v>
      </x:c>
      <x:c r="F484" s="15" t="str">
        <x:v>OPEN</x:v>
      </x:c>
    </x:row>
    <x:row r="485">
      <x:c r="A485" s="14" t="str">
        <x:v>CH-0481</x:v>
      </x:c>
      <x:c r="B485" s="14" t="str">
        <x:v>SYS-08</x:v>
      </x:c>
      <x:c r="C485" s="14" t="n">
        <x:v>33</x:v>
      </x:c>
      <x:c r="D485" s="14" t="str">
        <x:v>Diversion</x:v>
      </x:c>
      <x:c r="E485" s="14" t="str">
        <x:v>NOT COMMISSIONED</x:v>
      </x:c>
      <x:c r="F485" s="14" t="str">
        <x:v>OPEN</x:v>
      </x:c>
    </x:row>
    <x:row r="486">
      <x:c r="A486" s="15" t="str">
        <x:v>CH-0482</x:v>
      </x:c>
      <x:c r="B486" s="15" t="str">
        <x:v>SYS-08</x:v>
      </x:c>
      <x:c r="C486" s="15" t="n">
        <x:v>34</x:v>
      </x:c>
      <x:c r="D486" s="15" t="str">
        <x:v>Diversion</x:v>
      </x:c>
      <x:c r="E486" s="15" t="str">
        <x:v>NOT COMMISSIONED</x:v>
      </x:c>
      <x:c r="F486" s="15" t="str">
        <x:v>OPEN</x:v>
      </x:c>
    </x:row>
    <x:row r="487">
      <x:c r="A487" s="14" t="str">
        <x:v>CH-0483</x:v>
      </x:c>
      <x:c r="B487" s="14" t="str">
        <x:v>SYS-08</x:v>
      </x:c>
      <x:c r="C487" s="14" t="n">
        <x:v>35</x:v>
      </x:c>
      <x:c r="D487" s="14" t="str">
        <x:v>Diversion</x:v>
      </x:c>
      <x:c r="E487" s="14" t="str">
        <x:v>NOT COMMISSIONED</x:v>
      </x:c>
      <x:c r="F487" s="14" t="str">
        <x:v>OPEN</x:v>
      </x:c>
    </x:row>
    <x:row r="488">
      <x:c r="A488" s="15" t="str">
        <x:v>CH-0484</x:v>
      </x:c>
      <x:c r="B488" s="15" t="str">
        <x:v>SYS-08</x:v>
      </x:c>
      <x:c r="C488" s="15" t="n">
        <x:v>36</x:v>
      </x:c>
      <x:c r="D488" s="15" t="str">
        <x:v>Diversion</x:v>
      </x:c>
      <x:c r="E488" s="15" t="str">
        <x:v>NOT COMMISSIONED</x:v>
      </x:c>
      <x:c r="F488" s="15" t="str">
        <x:v>OPEN</x:v>
      </x:c>
    </x:row>
    <x:row r="489">
      <x:c r="A489" s="14" t="str">
        <x:v>CH-0485</x:v>
      </x:c>
      <x:c r="B489" s="14" t="str">
        <x:v>SYS-08</x:v>
      </x:c>
      <x:c r="C489" s="14" t="n">
        <x:v>37</x:v>
      </x:c>
      <x:c r="D489" s="14" t="str">
        <x:v>Diversion</x:v>
      </x:c>
      <x:c r="E489" s="14" t="str">
        <x:v>NOT COMMISSIONED</x:v>
      </x:c>
      <x:c r="F489" s="14" t="str">
        <x:v>OPEN</x:v>
      </x:c>
    </x:row>
    <x:row r="490">
      <x:c r="A490" s="15" t="str">
        <x:v>CH-0486</x:v>
      </x:c>
      <x:c r="B490" s="15" t="str">
        <x:v>SYS-08</x:v>
      </x:c>
      <x:c r="C490" s="15" t="n">
        <x:v>38</x:v>
      </x:c>
      <x:c r="D490" s="15" t="str">
        <x:v>Diversion</x:v>
      </x:c>
      <x:c r="E490" s="15" t="str">
        <x:v>NOT COMMISSIONED</x:v>
      </x:c>
      <x:c r="F490" s="15" t="str">
        <x:v>OPEN</x:v>
      </x:c>
    </x:row>
    <x:row r="491">
      <x:c r="A491" s="14" t="str">
        <x:v>CH-0487</x:v>
      </x:c>
      <x:c r="B491" s="14" t="str">
        <x:v>SYS-08</x:v>
      </x:c>
      <x:c r="C491" s="14" t="n">
        <x:v>39</x:v>
      </x:c>
      <x:c r="D491" s="14" t="str">
        <x:v>Diversion</x:v>
      </x:c>
      <x:c r="E491" s="14" t="str">
        <x:v>NOT COMMISSIONED</x:v>
      </x:c>
      <x:c r="F491" s="14" t="str">
        <x:v>OPEN</x:v>
      </x:c>
    </x:row>
    <x:row r="492">
      <x:c r="A492" s="15" t="str">
        <x:v>CH-0488</x:v>
      </x:c>
      <x:c r="B492" s="15" t="str">
        <x:v>SYS-08</x:v>
      </x:c>
      <x:c r="C492" s="15" t="n">
        <x:v>40</x:v>
      </x:c>
      <x:c r="D492" s="15" t="str">
        <x:v>Diversion</x:v>
      </x:c>
      <x:c r="E492" s="15" t="str">
        <x:v>NOT COMMISSIONED</x:v>
      </x:c>
      <x:c r="F492" s="15" t="str">
        <x:v>OPEN</x:v>
      </x:c>
    </x:row>
    <x:row r="493">
      <x:c r="A493" s="14" t="str">
        <x:v>CH-0489</x:v>
      </x:c>
      <x:c r="B493" s="14" t="str">
        <x:v>SYS-08</x:v>
      </x:c>
      <x:c r="C493" s="14" t="n">
        <x:v>41</x:v>
      </x:c>
      <x:c r="D493" s="14" t="str">
        <x:v>Diversion</x:v>
      </x:c>
      <x:c r="E493" s="14" t="str">
        <x:v>NOT COMMISSIONED</x:v>
      </x:c>
      <x:c r="F493" s="14" t="str">
        <x:v>OPEN</x:v>
      </x:c>
    </x:row>
    <x:row r="494">
      <x:c r="A494" s="15" t="str">
        <x:v>CH-0490</x:v>
      </x:c>
      <x:c r="B494" s="15" t="str">
        <x:v>SYS-08</x:v>
      </x:c>
      <x:c r="C494" s="15" t="n">
        <x:v>42</x:v>
      </x:c>
      <x:c r="D494" s="15" t="str">
        <x:v>Diversion</x:v>
      </x:c>
      <x:c r="E494" s="15" t="str">
        <x:v>NOT COMMISSIONED</x:v>
      </x:c>
      <x:c r="F494" s="15" t="str">
        <x:v>OPEN</x:v>
      </x:c>
    </x:row>
    <x:row r="495">
      <x:c r="A495" s="14" t="str">
        <x:v>CH-0491</x:v>
      </x:c>
      <x:c r="B495" s="14" t="str">
        <x:v>SYS-08</x:v>
      </x:c>
      <x:c r="C495" s="14" t="n">
        <x:v>43</x:v>
      </x:c>
      <x:c r="D495" s="14" t="str">
        <x:v>Diversion</x:v>
      </x:c>
      <x:c r="E495" s="14" t="str">
        <x:v>NOT COMMISSIONED</x:v>
      </x:c>
      <x:c r="F495" s="14" t="str">
        <x:v>OPEN</x:v>
      </x:c>
    </x:row>
    <x:row r="496">
      <x:c r="A496" s="15" t="str">
        <x:v>CH-0492</x:v>
      </x:c>
      <x:c r="B496" s="15" t="str">
        <x:v>SYS-08</x:v>
      </x:c>
      <x:c r="C496" s="15" t="n">
        <x:v>44</x:v>
      </x:c>
      <x:c r="D496" s="15" t="str">
        <x:v>Diversion</x:v>
      </x:c>
      <x:c r="E496" s="15" t="str">
        <x:v>NOT COMMISSIONED</x:v>
      </x:c>
      <x:c r="F496" s="15" t="str">
        <x:v>OPEN</x:v>
      </x:c>
    </x:row>
    <x:row r="497">
      <x:c r="A497" s="14" t="str">
        <x:v>CH-0493</x:v>
      </x:c>
      <x:c r="B497" s="14" t="str">
        <x:v>SYS-08</x:v>
      </x:c>
      <x:c r="C497" s="14" t="n">
        <x:v>45</x:v>
      </x:c>
      <x:c r="D497" s="14" t="str">
        <x:v>Diversion</x:v>
      </x:c>
      <x:c r="E497" s="14" t="str">
        <x:v>NOT COMMISSIONED</x:v>
      </x:c>
      <x:c r="F497" s="14" t="str">
        <x:v>OPEN</x:v>
      </x:c>
    </x:row>
    <x:row r="498">
      <x:c r="A498" s="15" t="str">
        <x:v>CH-0494</x:v>
      </x:c>
      <x:c r="B498" s="15" t="str">
        <x:v>SYS-08</x:v>
      </x:c>
      <x:c r="C498" s="15" t="n">
        <x:v>46</x:v>
      </x:c>
      <x:c r="D498" s="15" t="str">
        <x:v>Diversion</x:v>
      </x:c>
      <x:c r="E498" s="15" t="str">
        <x:v>NOT COMMISSIONED</x:v>
      </x:c>
      <x:c r="F498" s="15" t="str">
        <x:v>OPEN</x:v>
      </x:c>
    </x:row>
    <x:row r="499">
      <x:c r="A499" s="14" t="str">
        <x:v>CH-0495</x:v>
      </x:c>
      <x:c r="B499" s="14" t="str">
        <x:v>SYS-08</x:v>
      </x:c>
      <x:c r="C499" s="14" t="n">
        <x:v>47</x:v>
      </x:c>
      <x:c r="D499" s="14" t="str">
        <x:v>Diversion</x:v>
      </x:c>
      <x:c r="E499" s="14" t="str">
        <x:v>NOT COMMISSIONED</x:v>
      </x:c>
      <x:c r="F499" s="14" t="str">
        <x:v>OPEN</x:v>
      </x:c>
    </x:row>
    <x:row r="500">
      <x:c r="A500" s="15" t="str">
        <x:v>CH-0496</x:v>
      </x:c>
      <x:c r="B500" s="15" t="str">
        <x:v>SYS-08</x:v>
      </x:c>
      <x:c r="C500" s="15" t="n">
        <x:v>48</x:v>
      </x:c>
      <x:c r="D500" s="15" t="str">
        <x:v>Diversion</x:v>
      </x:c>
      <x:c r="E500" s="15" t="str">
        <x:v>NOT COMMISSIONED</x:v>
      </x:c>
      <x:c r="F500" s="15" t="str">
        <x:v>OPEN</x:v>
      </x:c>
    </x:row>
    <x:row r="501">
      <x:c r="A501" s="14" t="str">
        <x:v>CH-0497</x:v>
      </x:c>
      <x:c r="B501" s="14" t="str">
        <x:v>SYS-08</x:v>
      </x:c>
      <x:c r="C501" s="14" t="n">
        <x:v>49</x:v>
      </x:c>
      <x:c r="D501" s="14" t="str">
        <x:v>Diversion</x:v>
      </x:c>
      <x:c r="E501" s="14" t="str">
        <x:v>NOT COMMISSIONED</x:v>
      </x:c>
      <x:c r="F501" s="14" t="str">
        <x:v>OPEN</x:v>
      </x:c>
    </x:row>
    <x:row r="502">
      <x:c r="A502" s="15" t="str">
        <x:v>CH-0498</x:v>
      </x:c>
      <x:c r="B502" s="15" t="str">
        <x:v>SYS-08</x:v>
      </x:c>
      <x:c r="C502" s="15" t="n">
        <x:v>50</x:v>
      </x:c>
      <x:c r="D502" s="15" t="str">
        <x:v>Diversion</x:v>
      </x:c>
      <x:c r="E502" s="15" t="str">
        <x:v>NOT COMMISSIONED</x:v>
      </x:c>
      <x:c r="F502" s="15" t="str">
        <x:v>OPEN</x:v>
      </x:c>
    </x:row>
    <x:row r="503">
      <x:c r="A503" s="14" t="str">
        <x:v>CH-0499</x:v>
      </x:c>
      <x:c r="B503" s="14" t="str">
        <x:v>SYS-08</x:v>
      </x:c>
      <x:c r="C503" s="14" t="n">
        <x:v>51</x:v>
      </x:c>
      <x:c r="D503" s="14" t="str">
        <x:v>Diversion</x:v>
      </x:c>
      <x:c r="E503" s="14" t="str">
        <x:v>NOT COMMISSIONED</x:v>
      </x:c>
      <x:c r="F503" s="14" t="str">
        <x:v>OPEN</x:v>
      </x:c>
    </x:row>
    <x:row r="504">
      <x:c r="A504" s="15" t="str">
        <x:v>CH-0500</x:v>
      </x:c>
      <x:c r="B504" s="15" t="str">
        <x:v>SYS-08</x:v>
      </x:c>
      <x:c r="C504" s="15" t="n">
        <x:v>52</x:v>
      </x:c>
      <x:c r="D504" s="15" t="str">
        <x:v>Diversion</x:v>
      </x:c>
      <x:c r="E504" s="15" t="str">
        <x:v>NOT COMMISSIONED</x:v>
      </x:c>
      <x:c r="F504" s="15" t="str">
        <x:v>OPEN</x:v>
      </x:c>
    </x:row>
    <x:row r="505">
      <x:c r="A505" s="14" t="str">
        <x:v>CH-0501</x:v>
      </x:c>
      <x:c r="B505" s="14" t="str">
        <x:v>SYS-08</x:v>
      </x:c>
      <x:c r="C505" s="14" t="n">
        <x:v>53</x:v>
      </x:c>
      <x:c r="D505" s="14" t="str">
        <x:v>Diversion</x:v>
      </x:c>
      <x:c r="E505" s="14" t="str">
        <x:v>NOT COMMISSIONED</x:v>
      </x:c>
      <x:c r="F505" s="14" t="str">
        <x:v>OPEN</x:v>
      </x:c>
    </x:row>
    <x:row r="506">
      <x:c r="A506" s="15" t="str">
        <x:v>CH-0502</x:v>
      </x:c>
      <x:c r="B506" s="15" t="str">
        <x:v>SYS-08</x:v>
      </x:c>
      <x:c r="C506" s="15" t="n">
        <x:v>54</x:v>
      </x:c>
      <x:c r="D506" s="15" t="str">
        <x:v>Diversion</x:v>
      </x:c>
      <x:c r="E506" s="15" t="str">
        <x:v>NOT COMMISSIONED</x:v>
      </x:c>
      <x:c r="F506" s="15" t="str">
        <x:v>OPEN</x:v>
      </x:c>
    </x:row>
    <x:row r="507">
      <x:c r="A507" s="14" t="str">
        <x:v>CH-0503</x:v>
      </x:c>
      <x:c r="B507" s="14" t="str">
        <x:v>SYS-08</x:v>
      </x:c>
      <x:c r="C507" s="14" t="n">
        <x:v>55</x:v>
      </x:c>
      <x:c r="D507" s="14" t="str">
        <x:v>Diversion</x:v>
      </x:c>
      <x:c r="E507" s="14" t="str">
        <x:v>NOT COMMISSIONED</x:v>
      </x:c>
      <x:c r="F507" s="14" t="str">
        <x:v>OPEN</x:v>
      </x:c>
    </x:row>
    <x:row r="508">
      <x:c r="A508" s="15" t="str">
        <x:v>CH-0504</x:v>
      </x:c>
      <x:c r="B508" s="15" t="str">
        <x:v>SYS-08</x:v>
      </x:c>
      <x:c r="C508" s="15" t="n">
        <x:v>56</x:v>
      </x:c>
      <x:c r="D508" s="15" t="str">
        <x:v>Diversion</x:v>
      </x:c>
      <x:c r="E508" s="15" t="str">
        <x:v>NOT COMMISSIONED</x:v>
      </x:c>
      <x:c r="F508" s="15" t="str">
        <x:v>OPEN</x:v>
      </x:c>
    </x:row>
    <x:row r="509">
      <x:c r="A509" s="14" t="str">
        <x:v>CH-0505</x:v>
      </x:c>
      <x:c r="B509" s="14" t="str">
        <x:v>SYS-08</x:v>
      </x:c>
      <x:c r="C509" s="14" t="n">
        <x:v>57</x:v>
      </x:c>
      <x:c r="D509" s="14" t="str">
        <x:v>Diversion</x:v>
      </x:c>
      <x:c r="E509" s="14" t="str">
        <x:v>NOT COMMISSIONED</x:v>
      </x:c>
      <x:c r="F509" s="14" t="str">
        <x:v>OPEN</x:v>
      </x:c>
    </x:row>
    <x:row r="510">
      <x:c r="A510" s="15" t="str">
        <x:v>CH-0506</x:v>
      </x:c>
      <x:c r="B510" s="15" t="str">
        <x:v>SYS-08</x:v>
      </x:c>
      <x:c r="C510" s="15" t="n">
        <x:v>58</x:v>
      </x:c>
      <x:c r="D510" s="15" t="str">
        <x:v>Diversion</x:v>
      </x:c>
      <x:c r="E510" s="15" t="str">
        <x:v>NOT COMMISSIONED</x:v>
      </x:c>
      <x:c r="F510" s="15" t="str">
        <x:v>OPEN</x:v>
      </x:c>
    </x:row>
    <x:row r="511">
      <x:c r="A511" s="14" t="str">
        <x:v>CH-0507</x:v>
      </x:c>
      <x:c r="B511" s="14" t="str">
        <x:v>SYS-08</x:v>
      </x:c>
      <x:c r="C511" s="14" t="n">
        <x:v>59</x:v>
      </x:c>
      <x:c r="D511" s="14" t="str">
        <x:v>Diversion</x:v>
      </x:c>
      <x:c r="E511" s="14" t="str">
        <x:v>NOT COMMISSIONED</x:v>
      </x:c>
      <x:c r="F511" s="14" t="str">
        <x:v>OPEN</x:v>
      </x:c>
    </x:row>
    <x:row r="512">
      <x:c r="A512" s="15" t="str">
        <x:v>CH-0508</x:v>
      </x:c>
      <x:c r="B512" s="15" t="str">
        <x:v>SYS-08</x:v>
      </x:c>
      <x:c r="C512" s="15" t="n">
        <x:v>60</x:v>
      </x:c>
      <x:c r="D512" s="15" t="str">
        <x:v>Diversion</x:v>
      </x:c>
      <x:c r="E512" s="15" t="str">
        <x:v>NOT COMMISSIONED</x:v>
      </x:c>
      <x:c r="F512" s="15" t="str">
        <x:v>OPEN</x:v>
      </x:c>
    </x:row>
    <x:row r="513">
      <x:c r="A513" s="14" t="str">
        <x:v>CH-0509</x:v>
      </x:c>
      <x:c r="B513" s="14" t="str">
        <x:v>SYS-08</x:v>
      </x:c>
      <x:c r="C513" s="14" t="n">
        <x:v>61</x:v>
      </x:c>
      <x:c r="D513" s="14" t="str">
        <x:v>Diversion</x:v>
      </x:c>
      <x:c r="E513" s="14" t="str">
        <x:v>NOT COMMISSIONED</x:v>
      </x:c>
      <x:c r="F513" s="14" t="str">
        <x:v>OPEN</x:v>
      </x:c>
    </x:row>
    <x:row r="514">
      <x:c r="A514" s="15" t="str">
        <x:v>CH-0510</x:v>
      </x:c>
      <x:c r="B514" s="15" t="str">
        <x:v>SYS-08</x:v>
      </x:c>
      <x:c r="C514" s="15" t="n">
        <x:v>62</x:v>
      </x:c>
      <x:c r="D514" s="15" t="str">
        <x:v>Diversion</x:v>
      </x:c>
      <x:c r="E514" s="15" t="str">
        <x:v>NOT COMMISSIONED</x:v>
      </x:c>
      <x:c r="F514" s="15" t="str">
        <x:v>OPEN</x:v>
      </x:c>
    </x:row>
    <x:row r="515">
      <x:c r="A515" s="14" t="str">
        <x:v>CH-0511</x:v>
      </x:c>
      <x:c r="B515" s="14" t="str">
        <x:v>SYS-08</x:v>
      </x:c>
      <x:c r="C515" s="14" t="n">
        <x:v>63</x:v>
      </x:c>
      <x:c r="D515" s="14" t="str">
        <x:v>Diversion</x:v>
      </x:c>
      <x:c r="E515" s="14" t="str">
        <x:v>NOT COMMISSIONED</x:v>
      </x:c>
      <x:c r="F515" s="14" t="str">
        <x:v>OPEN</x:v>
      </x:c>
    </x:row>
    <x:row r="516">
      <x:c r="A516" s="15" t="str">
        <x:v>CH-0512</x:v>
      </x:c>
      <x:c r="B516" s="15" t="str">
        <x:v>SYS-08</x:v>
      </x:c>
      <x:c r="C516" s="15" t="n">
        <x:v>64</x:v>
      </x:c>
      <x:c r="D516" s="15" t="str">
        <x:v>Diversion</x:v>
      </x:c>
      <x:c r="E516" s="15" t="str">
        <x:v>NOT COMMISSIONED</x:v>
      </x:c>
      <x:c r="F516" s="15" t="str">
        <x:v>OPEN</x:v>
      </x:c>
    </x:row>
    <x:row r="517">
      <x:c r="A517" s="14" t="str">
        <x:v>CH-0513</x:v>
      </x:c>
      <x:c r="B517" s="14" t="str">
        <x:v>SYS-09</x:v>
      </x:c>
      <x:c r="C517" s="14" t="n">
        <x:v>1</x:v>
      </x:c>
      <x:c r="D517" s="14" t="str">
        <x:v>Public action</x:v>
      </x:c>
      <x:c r="E517" s="14" t="str">
        <x:v>NOT COMMISSIONED</x:v>
      </x:c>
      <x:c r="F517" s="14" t="str">
        <x:v>OPEN</x:v>
      </x:c>
    </x:row>
    <x:row r="518">
      <x:c r="A518" s="15" t="str">
        <x:v>CH-0514</x:v>
      </x:c>
      <x:c r="B518" s="15" t="str">
        <x:v>SYS-09</x:v>
      </x:c>
      <x:c r="C518" s="15" t="n">
        <x:v>2</x:v>
      </x:c>
      <x:c r="D518" s="15" t="str">
        <x:v>Public action</x:v>
      </x:c>
      <x:c r="E518" s="15" t="str">
        <x:v>NOT COMMISSIONED</x:v>
      </x:c>
      <x:c r="F518" s="15" t="str">
        <x:v>OPEN</x:v>
      </x:c>
    </x:row>
    <x:row r="519">
      <x:c r="A519" s="14" t="str">
        <x:v>CH-0515</x:v>
      </x:c>
      <x:c r="B519" s="14" t="str">
        <x:v>SYS-09</x:v>
      </x:c>
      <x:c r="C519" s="14" t="n">
        <x:v>3</x:v>
      </x:c>
      <x:c r="D519" s="14" t="str">
        <x:v>Public action</x:v>
      </x:c>
      <x:c r="E519" s="14" t="str">
        <x:v>NOT COMMISSIONED</x:v>
      </x:c>
      <x:c r="F519" s="14" t="str">
        <x:v>OPEN</x:v>
      </x:c>
    </x:row>
    <x:row r="520">
      <x:c r="A520" s="15" t="str">
        <x:v>CH-0516</x:v>
      </x:c>
      <x:c r="B520" s="15" t="str">
        <x:v>SYS-09</x:v>
      </x:c>
      <x:c r="C520" s="15" t="n">
        <x:v>4</x:v>
      </x:c>
      <x:c r="D520" s="15" t="str">
        <x:v>Public action</x:v>
      </x:c>
      <x:c r="E520" s="15" t="str">
        <x:v>NOT COMMISSIONED</x:v>
      </x:c>
      <x:c r="F520" s="15" t="str">
        <x:v>OPEN</x:v>
      </x:c>
    </x:row>
    <x:row r="521">
      <x:c r="A521" s="14" t="str">
        <x:v>CH-0517</x:v>
      </x:c>
      <x:c r="B521" s="14" t="str">
        <x:v>SYS-09</x:v>
      </x:c>
      <x:c r="C521" s="14" t="n">
        <x:v>5</x:v>
      </x:c>
      <x:c r="D521" s="14" t="str">
        <x:v>Public action</x:v>
      </x:c>
      <x:c r="E521" s="14" t="str">
        <x:v>NOT COMMISSIONED</x:v>
      </x:c>
      <x:c r="F521" s="14" t="str">
        <x:v>OPEN</x:v>
      </x:c>
    </x:row>
    <x:row r="522">
      <x:c r="A522" s="15" t="str">
        <x:v>CH-0518</x:v>
      </x:c>
      <x:c r="B522" s="15" t="str">
        <x:v>SYS-09</x:v>
      </x:c>
      <x:c r="C522" s="15" t="n">
        <x:v>6</x:v>
      </x:c>
      <x:c r="D522" s="15" t="str">
        <x:v>Public action</x:v>
      </x:c>
      <x:c r="E522" s="15" t="str">
        <x:v>NOT COMMISSIONED</x:v>
      </x:c>
      <x:c r="F522" s="15" t="str">
        <x:v>OPEN</x:v>
      </x:c>
    </x:row>
    <x:row r="523">
      <x:c r="A523" s="14" t="str">
        <x:v>CH-0519</x:v>
      </x:c>
      <x:c r="B523" s="14" t="str">
        <x:v>SYS-09</x:v>
      </x:c>
      <x:c r="C523" s="14" t="n">
        <x:v>7</x:v>
      </x:c>
      <x:c r="D523" s="14" t="str">
        <x:v>Public action</x:v>
      </x:c>
      <x:c r="E523" s="14" t="str">
        <x:v>NOT COMMISSIONED</x:v>
      </x:c>
      <x:c r="F523" s="14" t="str">
        <x:v>OPEN</x:v>
      </x:c>
    </x:row>
    <x:row r="524">
      <x:c r="A524" s="15" t="str">
        <x:v>CH-0520</x:v>
      </x:c>
      <x:c r="B524" s="15" t="str">
        <x:v>SYS-09</x:v>
      </x:c>
      <x:c r="C524" s="15" t="n">
        <x:v>8</x:v>
      </x:c>
      <x:c r="D524" s="15" t="str">
        <x:v>Public action</x:v>
      </x:c>
      <x:c r="E524" s="15" t="str">
        <x:v>NOT COMMISSIONED</x:v>
      </x:c>
      <x:c r="F524" s="15" t="str">
        <x:v>OPEN</x:v>
      </x:c>
    </x:row>
    <x:row r="525">
      <x:c r="A525" s="14" t="str">
        <x:v>CH-0521</x:v>
      </x:c>
      <x:c r="B525" s="14" t="str">
        <x:v>SYS-09</x:v>
      </x:c>
      <x:c r="C525" s="14" t="n">
        <x:v>9</x:v>
      </x:c>
      <x:c r="D525" s="14" t="str">
        <x:v>Public action</x:v>
      </x:c>
      <x:c r="E525" s="14" t="str">
        <x:v>NOT COMMISSIONED</x:v>
      </x:c>
      <x:c r="F525" s="14" t="str">
        <x:v>OPEN</x:v>
      </x:c>
    </x:row>
    <x:row r="526">
      <x:c r="A526" s="15" t="str">
        <x:v>CH-0522</x:v>
      </x:c>
      <x:c r="B526" s="15" t="str">
        <x:v>SYS-09</x:v>
      </x:c>
      <x:c r="C526" s="15" t="n">
        <x:v>10</x:v>
      </x:c>
      <x:c r="D526" s="15" t="str">
        <x:v>Public action</x:v>
      </x:c>
      <x:c r="E526" s="15" t="str">
        <x:v>NOT COMMISSIONED</x:v>
      </x:c>
      <x:c r="F526" s="15" t="str">
        <x:v>OPEN</x:v>
      </x:c>
    </x:row>
    <x:row r="527">
      <x:c r="A527" s="14" t="str">
        <x:v>CH-0523</x:v>
      </x:c>
      <x:c r="B527" s="14" t="str">
        <x:v>SYS-09</x:v>
      </x:c>
      <x:c r="C527" s="14" t="n">
        <x:v>11</x:v>
      </x:c>
      <x:c r="D527" s="14" t="str">
        <x:v>Public action</x:v>
      </x:c>
      <x:c r="E527" s="14" t="str">
        <x:v>NOT COMMISSIONED</x:v>
      </x:c>
      <x:c r="F527" s="14" t="str">
        <x:v>OPEN</x:v>
      </x:c>
    </x:row>
    <x:row r="528">
      <x:c r="A528" s="15" t="str">
        <x:v>CH-0524</x:v>
      </x:c>
      <x:c r="B528" s="15" t="str">
        <x:v>SYS-09</x:v>
      </x:c>
      <x:c r="C528" s="15" t="n">
        <x:v>12</x:v>
      </x:c>
      <x:c r="D528" s="15" t="str">
        <x:v>Public action</x:v>
      </x:c>
      <x:c r="E528" s="15" t="str">
        <x:v>NOT COMMISSIONED</x:v>
      </x:c>
      <x:c r="F528" s="15" t="str">
        <x:v>OPEN</x:v>
      </x:c>
    </x:row>
    <x:row r="529">
      <x:c r="A529" s="14" t="str">
        <x:v>CH-0525</x:v>
      </x:c>
      <x:c r="B529" s="14" t="str">
        <x:v>SYS-09</x:v>
      </x:c>
      <x:c r="C529" s="14" t="n">
        <x:v>13</x:v>
      </x:c>
      <x:c r="D529" s="14" t="str">
        <x:v>Public action</x:v>
      </x:c>
      <x:c r="E529" s="14" t="str">
        <x:v>NOT COMMISSIONED</x:v>
      </x:c>
      <x:c r="F529" s="14" t="str">
        <x:v>OPEN</x:v>
      </x:c>
    </x:row>
    <x:row r="530">
      <x:c r="A530" s="15" t="str">
        <x:v>CH-0526</x:v>
      </x:c>
      <x:c r="B530" s="15" t="str">
        <x:v>SYS-09</x:v>
      </x:c>
      <x:c r="C530" s="15" t="n">
        <x:v>14</x:v>
      </x:c>
      <x:c r="D530" s="15" t="str">
        <x:v>Public action</x:v>
      </x:c>
      <x:c r="E530" s="15" t="str">
        <x:v>NOT COMMISSIONED</x:v>
      </x:c>
      <x:c r="F530" s="15" t="str">
        <x:v>OPEN</x:v>
      </x:c>
    </x:row>
    <x:row r="531">
      <x:c r="A531" s="14" t="str">
        <x:v>CH-0527</x:v>
      </x:c>
      <x:c r="B531" s="14" t="str">
        <x:v>SYS-09</x:v>
      </x:c>
      <x:c r="C531" s="14" t="n">
        <x:v>15</x:v>
      </x:c>
      <x:c r="D531" s="14" t="str">
        <x:v>Public action</x:v>
      </x:c>
      <x:c r="E531" s="14" t="str">
        <x:v>NOT COMMISSIONED</x:v>
      </x:c>
      <x:c r="F531" s="14" t="str">
        <x:v>OPEN</x:v>
      </x:c>
    </x:row>
    <x:row r="532">
      <x:c r="A532" s="15" t="str">
        <x:v>CH-0528</x:v>
      </x:c>
      <x:c r="B532" s="15" t="str">
        <x:v>SYS-09</x:v>
      </x:c>
      <x:c r="C532" s="15" t="n">
        <x:v>16</x:v>
      </x:c>
      <x:c r="D532" s="15" t="str">
        <x:v>Public action</x:v>
      </x:c>
      <x:c r="E532" s="15" t="str">
        <x:v>NOT COMMISSIONED</x:v>
      </x:c>
      <x:c r="F532" s="15" t="str">
        <x:v>OPEN</x:v>
      </x:c>
    </x:row>
    <x:row r="533">
      <x:c r="A533" s="14" t="str">
        <x:v>CH-0529</x:v>
      </x:c>
      <x:c r="B533" s="14" t="str">
        <x:v>SYS-09</x:v>
      </x:c>
      <x:c r="C533" s="14" t="n">
        <x:v>17</x:v>
      </x:c>
      <x:c r="D533" s="14" t="str">
        <x:v>Public action</x:v>
      </x:c>
      <x:c r="E533" s="14" t="str">
        <x:v>NOT COMMISSIONED</x:v>
      </x:c>
      <x:c r="F533" s="14" t="str">
        <x:v>OPEN</x:v>
      </x:c>
    </x:row>
    <x:row r="534">
      <x:c r="A534" s="15" t="str">
        <x:v>CH-0530</x:v>
      </x:c>
      <x:c r="B534" s="15" t="str">
        <x:v>SYS-09</x:v>
      </x:c>
      <x:c r="C534" s="15" t="n">
        <x:v>18</x:v>
      </x:c>
      <x:c r="D534" s="15" t="str">
        <x:v>Public action</x:v>
      </x:c>
      <x:c r="E534" s="15" t="str">
        <x:v>NOT COMMISSIONED</x:v>
      </x:c>
      <x:c r="F534" s="15" t="str">
        <x:v>OPEN</x:v>
      </x:c>
    </x:row>
    <x:row r="535">
      <x:c r="A535" s="14" t="str">
        <x:v>CH-0531</x:v>
      </x:c>
      <x:c r="B535" s="14" t="str">
        <x:v>SYS-09</x:v>
      </x:c>
      <x:c r="C535" s="14" t="n">
        <x:v>19</x:v>
      </x:c>
      <x:c r="D535" s="14" t="str">
        <x:v>Public action</x:v>
      </x:c>
      <x:c r="E535" s="14" t="str">
        <x:v>NOT COMMISSIONED</x:v>
      </x:c>
      <x:c r="F535" s="14" t="str">
        <x:v>OPEN</x:v>
      </x:c>
    </x:row>
    <x:row r="536">
      <x:c r="A536" s="15" t="str">
        <x:v>CH-0532</x:v>
      </x:c>
      <x:c r="B536" s="15" t="str">
        <x:v>SYS-09</x:v>
      </x:c>
      <x:c r="C536" s="15" t="n">
        <x:v>20</x:v>
      </x:c>
      <x:c r="D536" s="15" t="str">
        <x:v>Public action</x:v>
      </x:c>
      <x:c r="E536" s="15" t="str">
        <x:v>NOT COMMISSIONED</x:v>
      </x:c>
      <x:c r="F536" s="15" t="str">
        <x:v>OPEN</x:v>
      </x:c>
    </x:row>
    <x:row r="537">
      <x:c r="A537" s="14" t="str">
        <x:v>CH-0533</x:v>
      </x:c>
      <x:c r="B537" s="14" t="str">
        <x:v>SYS-09</x:v>
      </x:c>
      <x:c r="C537" s="14" t="n">
        <x:v>21</x:v>
      </x:c>
      <x:c r="D537" s="14" t="str">
        <x:v>Public action</x:v>
      </x:c>
      <x:c r="E537" s="14" t="str">
        <x:v>NOT COMMISSIONED</x:v>
      </x:c>
      <x:c r="F537" s="14" t="str">
        <x:v>OPEN</x:v>
      </x:c>
    </x:row>
    <x:row r="538">
      <x:c r="A538" s="15" t="str">
        <x:v>CH-0534</x:v>
      </x:c>
      <x:c r="B538" s="15" t="str">
        <x:v>SYS-09</x:v>
      </x:c>
      <x:c r="C538" s="15" t="n">
        <x:v>22</x:v>
      </x:c>
      <x:c r="D538" s="15" t="str">
        <x:v>Public action</x:v>
      </x:c>
      <x:c r="E538" s="15" t="str">
        <x:v>NOT COMMISSIONED</x:v>
      </x:c>
      <x:c r="F538" s="15" t="str">
        <x:v>OPEN</x:v>
      </x:c>
    </x:row>
    <x:row r="539">
      <x:c r="A539" s="14" t="str">
        <x:v>CH-0535</x:v>
      </x:c>
      <x:c r="B539" s="14" t="str">
        <x:v>SYS-09</x:v>
      </x:c>
      <x:c r="C539" s="14" t="n">
        <x:v>23</x:v>
      </x:c>
      <x:c r="D539" s="14" t="str">
        <x:v>Public action</x:v>
      </x:c>
      <x:c r="E539" s="14" t="str">
        <x:v>NOT COMMISSIONED</x:v>
      </x:c>
      <x:c r="F539" s="14" t="str">
        <x:v>OPEN</x:v>
      </x:c>
    </x:row>
    <x:row r="540">
      <x:c r="A540" s="15" t="str">
        <x:v>CH-0536</x:v>
      </x:c>
      <x:c r="B540" s="15" t="str">
        <x:v>SYS-09</x:v>
      </x:c>
      <x:c r="C540" s="15" t="n">
        <x:v>24</x:v>
      </x:c>
      <x:c r="D540" s="15" t="str">
        <x:v>Public action</x:v>
      </x:c>
      <x:c r="E540" s="15" t="str">
        <x:v>NOT COMMISSIONED</x:v>
      </x:c>
      <x:c r="F540" s="15" t="str">
        <x:v>OPEN</x:v>
      </x:c>
    </x:row>
    <x:row r="541">
      <x:c r="A541" s="14" t="str">
        <x:v>CH-0537</x:v>
      </x:c>
      <x:c r="B541" s="14" t="str">
        <x:v>SYS-09</x:v>
      </x:c>
      <x:c r="C541" s="14" t="n">
        <x:v>25</x:v>
      </x:c>
      <x:c r="D541" s="14" t="str">
        <x:v>Public action</x:v>
      </x:c>
      <x:c r="E541" s="14" t="str">
        <x:v>NOT COMMISSIONED</x:v>
      </x:c>
      <x:c r="F541" s="14" t="str">
        <x:v>OPEN</x:v>
      </x:c>
    </x:row>
    <x:row r="542">
      <x:c r="A542" s="15" t="str">
        <x:v>CH-0538</x:v>
      </x:c>
      <x:c r="B542" s="15" t="str">
        <x:v>SYS-09</x:v>
      </x:c>
      <x:c r="C542" s="15" t="n">
        <x:v>26</x:v>
      </x:c>
      <x:c r="D542" s="15" t="str">
        <x:v>Public action</x:v>
      </x:c>
      <x:c r="E542" s="15" t="str">
        <x:v>NOT COMMISSIONED</x:v>
      </x:c>
      <x:c r="F542" s="15" t="str">
        <x:v>OPEN</x:v>
      </x:c>
    </x:row>
    <x:row r="543">
      <x:c r="A543" s="14" t="str">
        <x:v>CH-0539</x:v>
      </x:c>
      <x:c r="B543" s="14" t="str">
        <x:v>SYS-09</x:v>
      </x:c>
      <x:c r="C543" s="14" t="n">
        <x:v>27</x:v>
      </x:c>
      <x:c r="D543" s="14" t="str">
        <x:v>Public action</x:v>
      </x:c>
      <x:c r="E543" s="14" t="str">
        <x:v>NOT COMMISSIONED</x:v>
      </x:c>
      <x:c r="F543" s="14" t="str">
        <x:v>OPEN</x:v>
      </x:c>
    </x:row>
    <x:row r="544">
      <x:c r="A544" s="15" t="str">
        <x:v>CH-0540</x:v>
      </x:c>
      <x:c r="B544" s="15" t="str">
        <x:v>SYS-09</x:v>
      </x:c>
      <x:c r="C544" s="15" t="n">
        <x:v>28</x:v>
      </x:c>
      <x:c r="D544" s="15" t="str">
        <x:v>Public action</x:v>
      </x:c>
      <x:c r="E544" s="15" t="str">
        <x:v>NOT COMMISSIONED</x:v>
      </x:c>
      <x:c r="F544" s="15" t="str">
        <x:v>OPEN</x:v>
      </x:c>
    </x:row>
    <x:row r="545">
      <x:c r="A545" s="14" t="str">
        <x:v>CH-0541</x:v>
      </x:c>
      <x:c r="B545" s="14" t="str">
        <x:v>SYS-09</x:v>
      </x:c>
      <x:c r="C545" s="14" t="n">
        <x:v>29</x:v>
      </x:c>
      <x:c r="D545" s="14" t="str">
        <x:v>Public action</x:v>
      </x:c>
      <x:c r="E545" s="14" t="str">
        <x:v>NOT COMMISSIONED</x:v>
      </x:c>
      <x:c r="F545" s="14" t="str">
        <x:v>OPEN</x:v>
      </x:c>
    </x:row>
    <x:row r="546">
      <x:c r="A546" s="15" t="str">
        <x:v>CH-0542</x:v>
      </x:c>
      <x:c r="B546" s="15" t="str">
        <x:v>SYS-09</x:v>
      </x:c>
      <x:c r="C546" s="15" t="n">
        <x:v>30</x:v>
      </x:c>
      <x:c r="D546" s="15" t="str">
        <x:v>Public action</x:v>
      </x:c>
      <x:c r="E546" s="15" t="str">
        <x:v>NOT COMMISSIONED</x:v>
      </x:c>
      <x:c r="F546" s="15" t="str">
        <x:v>OPEN</x:v>
      </x:c>
    </x:row>
    <x:row r="547">
      <x:c r="A547" s="14" t="str">
        <x:v>CH-0543</x:v>
      </x:c>
      <x:c r="B547" s="14" t="str">
        <x:v>SYS-09</x:v>
      </x:c>
      <x:c r="C547" s="14" t="n">
        <x:v>31</x:v>
      </x:c>
      <x:c r="D547" s="14" t="str">
        <x:v>Public action</x:v>
      </x:c>
      <x:c r="E547" s="14" t="str">
        <x:v>NOT COMMISSIONED</x:v>
      </x:c>
      <x:c r="F547" s="14" t="str">
        <x:v>OPEN</x:v>
      </x:c>
    </x:row>
    <x:row r="548">
      <x:c r="A548" s="15" t="str">
        <x:v>CH-0544</x:v>
      </x:c>
      <x:c r="B548" s="15" t="str">
        <x:v>SYS-09</x:v>
      </x:c>
      <x:c r="C548" s="15" t="n">
        <x:v>32</x:v>
      </x:c>
      <x:c r="D548" s="15" t="str">
        <x:v>Public action</x:v>
      </x:c>
      <x:c r="E548" s="15" t="str">
        <x:v>NOT COMMISSIONED</x:v>
      </x:c>
      <x:c r="F548" s="15" t="str">
        <x:v>OPEN</x:v>
      </x:c>
    </x:row>
    <x:row r="549">
      <x:c r="A549" s="14" t="str">
        <x:v>CH-0545</x:v>
      </x:c>
      <x:c r="B549" s="14" t="str">
        <x:v>SYS-09</x:v>
      </x:c>
      <x:c r="C549" s="14" t="n">
        <x:v>33</x:v>
      </x:c>
      <x:c r="D549" s="14" t="str">
        <x:v>Public action</x:v>
      </x:c>
      <x:c r="E549" s="14" t="str">
        <x:v>NOT COMMISSIONED</x:v>
      </x:c>
      <x:c r="F549" s="14" t="str">
        <x:v>OPEN</x:v>
      </x:c>
    </x:row>
    <x:row r="550">
      <x:c r="A550" s="15" t="str">
        <x:v>CH-0546</x:v>
      </x:c>
      <x:c r="B550" s="15" t="str">
        <x:v>SYS-09</x:v>
      </x:c>
      <x:c r="C550" s="15" t="n">
        <x:v>34</x:v>
      </x:c>
      <x:c r="D550" s="15" t="str">
        <x:v>Public action</x:v>
      </x:c>
      <x:c r="E550" s="15" t="str">
        <x:v>NOT COMMISSIONED</x:v>
      </x:c>
      <x:c r="F550" s="15" t="str">
        <x:v>OPEN</x:v>
      </x:c>
    </x:row>
    <x:row r="551">
      <x:c r="A551" s="14" t="str">
        <x:v>CH-0547</x:v>
      </x:c>
      <x:c r="B551" s="14" t="str">
        <x:v>SYS-09</x:v>
      </x:c>
      <x:c r="C551" s="14" t="n">
        <x:v>35</x:v>
      </x:c>
      <x:c r="D551" s="14" t="str">
        <x:v>Public action</x:v>
      </x:c>
      <x:c r="E551" s="14" t="str">
        <x:v>NOT COMMISSIONED</x:v>
      </x:c>
      <x:c r="F551" s="14" t="str">
        <x:v>OPEN</x:v>
      </x:c>
    </x:row>
    <x:row r="552">
      <x:c r="A552" s="15" t="str">
        <x:v>CH-0548</x:v>
      </x:c>
      <x:c r="B552" s="15" t="str">
        <x:v>SYS-09</x:v>
      </x:c>
      <x:c r="C552" s="15" t="n">
        <x:v>36</x:v>
      </x:c>
      <x:c r="D552" s="15" t="str">
        <x:v>Public action</x:v>
      </x:c>
      <x:c r="E552" s="15" t="str">
        <x:v>NOT COMMISSIONED</x:v>
      </x:c>
      <x:c r="F552" s="15" t="str">
        <x:v>OPEN</x:v>
      </x:c>
    </x:row>
    <x:row r="553">
      <x:c r="A553" s="14" t="str">
        <x:v>CH-0549</x:v>
      </x:c>
      <x:c r="B553" s="14" t="str">
        <x:v>SYS-09</x:v>
      </x:c>
      <x:c r="C553" s="14" t="n">
        <x:v>37</x:v>
      </x:c>
      <x:c r="D553" s="14" t="str">
        <x:v>Public action</x:v>
      </x:c>
      <x:c r="E553" s="14" t="str">
        <x:v>NOT COMMISSIONED</x:v>
      </x:c>
      <x:c r="F553" s="14" t="str">
        <x:v>OPEN</x:v>
      </x:c>
    </x:row>
    <x:row r="554">
      <x:c r="A554" s="15" t="str">
        <x:v>CH-0550</x:v>
      </x:c>
      <x:c r="B554" s="15" t="str">
        <x:v>SYS-09</x:v>
      </x:c>
      <x:c r="C554" s="15" t="n">
        <x:v>38</x:v>
      </x:c>
      <x:c r="D554" s="15" t="str">
        <x:v>Public action</x:v>
      </x:c>
      <x:c r="E554" s="15" t="str">
        <x:v>NOT COMMISSIONED</x:v>
      </x:c>
      <x:c r="F554" s="15" t="str">
        <x:v>OPEN</x:v>
      </x:c>
    </x:row>
    <x:row r="555">
      <x:c r="A555" s="14" t="str">
        <x:v>CH-0551</x:v>
      </x:c>
      <x:c r="B555" s="14" t="str">
        <x:v>SYS-09</x:v>
      </x:c>
      <x:c r="C555" s="14" t="n">
        <x:v>39</x:v>
      </x:c>
      <x:c r="D555" s="14" t="str">
        <x:v>Public action</x:v>
      </x:c>
      <x:c r="E555" s="14" t="str">
        <x:v>NOT COMMISSIONED</x:v>
      </x:c>
      <x:c r="F555" s="14" t="str">
        <x:v>OPEN</x:v>
      </x:c>
    </x:row>
    <x:row r="556">
      <x:c r="A556" s="15" t="str">
        <x:v>CH-0552</x:v>
      </x:c>
      <x:c r="B556" s="15" t="str">
        <x:v>SYS-09</x:v>
      </x:c>
      <x:c r="C556" s="15" t="n">
        <x:v>40</x:v>
      </x:c>
      <x:c r="D556" s="15" t="str">
        <x:v>Public action</x:v>
      </x:c>
      <x:c r="E556" s="15" t="str">
        <x:v>NOT COMMISSIONED</x:v>
      </x:c>
      <x:c r="F556" s="15" t="str">
        <x:v>OPEN</x:v>
      </x:c>
    </x:row>
    <x:row r="557">
      <x:c r="A557" s="14" t="str">
        <x:v>CH-0553</x:v>
      </x:c>
      <x:c r="B557" s="14" t="str">
        <x:v>SYS-09</x:v>
      </x:c>
      <x:c r="C557" s="14" t="n">
        <x:v>41</x:v>
      </x:c>
      <x:c r="D557" s="14" t="str">
        <x:v>Public action</x:v>
      </x:c>
      <x:c r="E557" s="14" t="str">
        <x:v>NOT COMMISSIONED</x:v>
      </x:c>
      <x:c r="F557" s="14" t="str">
        <x:v>OPEN</x:v>
      </x:c>
    </x:row>
    <x:row r="558">
      <x:c r="A558" s="15" t="str">
        <x:v>CH-0554</x:v>
      </x:c>
      <x:c r="B558" s="15" t="str">
        <x:v>SYS-09</x:v>
      </x:c>
      <x:c r="C558" s="15" t="n">
        <x:v>42</x:v>
      </x:c>
      <x:c r="D558" s="15" t="str">
        <x:v>Public action</x:v>
      </x:c>
      <x:c r="E558" s="15" t="str">
        <x:v>NOT COMMISSIONED</x:v>
      </x:c>
      <x:c r="F558" s="15" t="str">
        <x:v>OPEN</x:v>
      </x:c>
    </x:row>
    <x:row r="559">
      <x:c r="A559" s="14" t="str">
        <x:v>CH-0555</x:v>
      </x:c>
      <x:c r="B559" s="14" t="str">
        <x:v>SYS-09</x:v>
      </x:c>
      <x:c r="C559" s="14" t="n">
        <x:v>43</x:v>
      </x:c>
      <x:c r="D559" s="14" t="str">
        <x:v>Public action</x:v>
      </x:c>
      <x:c r="E559" s="14" t="str">
        <x:v>NOT COMMISSIONED</x:v>
      </x:c>
      <x:c r="F559" s="14" t="str">
        <x:v>OPEN</x:v>
      </x:c>
    </x:row>
    <x:row r="560">
      <x:c r="A560" s="15" t="str">
        <x:v>CH-0556</x:v>
      </x:c>
      <x:c r="B560" s="15" t="str">
        <x:v>SYS-09</x:v>
      </x:c>
      <x:c r="C560" s="15" t="n">
        <x:v>44</x:v>
      </x:c>
      <x:c r="D560" s="15" t="str">
        <x:v>Public action</x:v>
      </x:c>
      <x:c r="E560" s="15" t="str">
        <x:v>NOT COMMISSIONED</x:v>
      </x:c>
      <x:c r="F560" s="15" t="str">
        <x:v>OPEN</x:v>
      </x:c>
    </x:row>
    <x:row r="561">
      <x:c r="A561" s="14" t="str">
        <x:v>CH-0557</x:v>
      </x:c>
      <x:c r="B561" s="14" t="str">
        <x:v>SYS-09</x:v>
      </x:c>
      <x:c r="C561" s="14" t="n">
        <x:v>45</x:v>
      </x:c>
      <x:c r="D561" s="14" t="str">
        <x:v>Public action</x:v>
      </x:c>
      <x:c r="E561" s="14" t="str">
        <x:v>NOT COMMISSIONED</x:v>
      </x:c>
      <x:c r="F561" s="14" t="str">
        <x:v>OPEN</x:v>
      </x:c>
    </x:row>
    <x:row r="562">
      <x:c r="A562" s="15" t="str">
        <x:v>CH-0558</x:v>
      </x:c>
      <x:c r="B562" s="15" t="str">
        <x:v>SYS-09</x:v>
      </x:c>
      <x:c r="C562" s="15" t="n">
        <x:v>46</x:v>
      </x:c>
      <x:c r="D562" s="15" t="str">
        <x:v>Public action</x:v>
      </x:c>
      <x:c r="E562" s="15" t="str">
        <x:v>NOT COMMISSIONED</x:v>
      </x:c>
      <x:c r="F562" s="15" t="str">
        <x:v>OPEN</x:v>
      </x:c>
    </x:row>
    <x:row r="563">
      <x:c r="A563" s="14" t="str">
        <x:v>CH-0559</x:v>
      </x:c>
      <x:c r="B563" s="14" t="str">
        <x:v>SYS-09</x:v>
      </x:c>
      <x:c r="C563" s="14" t="n">
        <x:v>47</x:v>
      </x:c>
      <x:c r="D563" s="14" t="str">
        <x:v>Public action</x:v>
      </x:c>
      <x:c r="E563" s="14" t="str">
        <x:v>NOT COMMISSIONED</x:v>
      </x:c>
      <x:c r="F563" s="14" t="str">
        <x:v>OPEN</x:v>
      </x:c>
    </x:row>
    <x:row r="564">
      <x:c r="A564" s="15" t="str">
        <x:v>CH-0560</x:v>
      </x:c>
      <x:c r="B564" s="15" t="str">
        <x:v>SYS-09</x:v>
      </x:c>
      <x:c r="C564" s="15" t="n">
        <x:v>48</x:v>
      </x:c>
      <x:c r="D564" s="15" t="str">
        <x:v>Public action</x:v>
      </x:c>
      <x:c r="E564" s="15" t="str">
        <x:v>NOT COMMISSIONED</x:v>
      </x:c>
      <x:c r="F564" s="15" t="str">
        <x:v>OPEN</x:v>
      </x:c>
    </x:row>
    <x:row r="565">
      <x:c r="A565" s="14" t="str">
        <x:v>CH-0561</x:v>
      </x:c>
      <x:c r="B565" s="14" t="str">
        <x:v>SYS-09</x:v>
      </x:c>
      <x:c r="C565" s="14" t="n">
        <x:v>49</x:v>
      </x:c>
      <x:c r="D565" s="14" t="str">
        <x:v>Public action</x:v>
      </x:c>
      <x:c r="E565" s="14" t="str">
        <x:v>NOT COMMISSIONED</x:v>
      </x:c>
      <x:c r="F565" s="14" t="str">
        <x:v>OPEN</x:v>
      </x:c>
    </x:row>
    <x:row r="566">
      <x:c r="A566" s="15" t="str">
        <x:v>CH-0562</x:v>
      </x:c>
      <x:c r="B566" s="15" t="str">
        <x:v>SYS-09</x:v>
      </x:c>
      <x:c r="C566" s="15" t="n">
        <x:v>50</x:v>
      </x:c>
      <x:c r="D566" s="15" t="str">
        <x:v>Public action</x:v>
      </x:c>
      <x:c r="E566" s="15" t="str">
        <x:v>NOT COMMISSIONED</x:v>
      </x:c>
      <x:c r="F566" s="15" t="str">
        <x:v>OPEN</x:v>
      </x:c>
    </x:row>
    <x:row r="567">
      <x:c r="A567" s="14" t="str">
        <x:v>CH-0563</x:v>
      </x:c>
      <x:c r="B567" s="14" t="str">
        <x:v>SYS-09</x:v>
      </x:c>
      <x:c r="C567" s="14" t="n">
        <x:v>51</x:v>
      </x:c>
      <x:c r="D567" s="14" t="str">
        <x:v>Public action</x:v>
      </x:c>
      <x:c r="E567" s="14" t="str">
        <x:v>NOT COMMISSIONED</x:v>
      </x:c>
      <x:c r="F567" s="14" t="str">
        <x:v>OPEN</x:v>
      </x:c>
    </x:row>
    <x:row r="568">
      <x:c r="A568" s="15" t="str">
        <x:v>CH-0564</x:v>
      </x:c>
      <x:c r="B568" s="15" t="str">
        <x:v>SYS-09</x:v>
      </x:c>
      <x:c r="C568" s="15" t="n">
        <x:v>52</x:v>
      </x:c>
      <x:c r="D568" s="15" t="str">
        <x:v>Public action</x:v>
      </x:c>
      <x:c r="E568" s="15" t="str">
        <x:v>NOT COMMISSIONED</x:v>
      </x:c>
      <x:c r="F568" s="15" t="str">
        <x:v>OPEN</x:v>
      </x:c>
    </x:row>
    <x:row r="569">
      <x:c r="A569" s="14" t="str">
        <x:v>CH-0565</x:v>
      </x:c>
      <x:c r="B569" s="14" t="str">
        <x:v>SYS-09</x:v>
      </x:c>
      <x:c r="C569" s="14" t="n">
        <x:v>53</x:v>
      </x:c>
      <x:c r="D569" s="14" t="str">
        <x:v>Public action</x:v>
      </x:c>
      <x:c r="E569" s="14" t="str">
        <x:v>NOT COMMISSIONED</x:v>
      </x:c>
      <x:c r="F569" s="14" t="str">
        <x:v>OPEN</x:v>
      </x:c>
    </x:row>
    <x:row r="570">
      <x:c r="A570" s="15" t="str">
        <x:v>CH-0566</x:v>
      </x:c>
      <x:c r="B570" s="15" t="str">
        <x:v>SYS-09</x:v>
      </x:c>
      <x:c r="C570" s="15" t="n">
        <x:v>54</x:v>
      </x:c>
      <x:c r="D570" s="15" t="str">
        <x:v>Public action</x:v>
      </x:c>
      <x:c r="E570" s="15" t="str">
        <x:v>NOT COMMISSIONED</x:v>
      </x:c>
      <x:c r="F570" s="15" t="str">
        <x:v>OPEN</x:v>
      </x:c>
    </x:row>
    <x:row r="571">
      <x:c r="A571" s="14" t="str">
        <x:v>CH-0567</x:v>
      </x:c>
      <x:c r="B571" s="14" t="str">
        <x:v>SYS-09</x:v>
      </x:c>
      <x:c r="C571" s="14" t="n">
        <x:v>55</x:v>
      </x:c>
      <x:c r="D571" s="14" t="str">
        <x:v>Public action</x:v>
      </x:c>
      <x:c r="E571" s="14" t="str">
        <x:v>NOT COMMISSIONED</x:v>
      </x:c>
      <x:c r="F571" s="14" t="str">
        <x:v>OPEN</x:v>
      </x:c>
    </x:row>
    <x:row r="572">
      <x:c r="A572" s="15" t="str">
        <x:v>CH-0568</x:v>
      </x:c>
      <x:c r="B572" s="15" t="str">
        <x:v>SYS-09</x:v>
      </x:c>
      <x:c r="C572" s="15" t="n">
        <x:v>56</x:v>
      </x:c>
      <x:c r="D572" s="15" t="str">
        <x:v>Public action</x:v>
      </x:c>
      <x:c r="E572" s="15" t="str">
        <x:v>NOT COMMISSIONED</x:v>
      </x:c>
      <x:c r="F572" s="15" t="str">
        <x:v>OPEN</x:v>
      </x:c>
    </x:row>
    <x:row r="573">
      <x:c r="A573" s="14" t="str">
        <x:v>CH-0569</x:v>
      </x:c>
      <x:c r="B573" s="14" t="str">
        <x:v>SYS-09</x:v>
      </x:c>
      <x:c r="C573" s="14" t="n">
        <x:v>57</x:v>
      </x:c>
      <x:c r="D573" s="14" t="str">
        <x:v>Public action</x:v>
      </x:c>
      <x:c r="E573" s="14" t="str">
        <x:v>NOT COMMISSIONED</x:v>
      </x:c>
      <x:c r="F573" s="14" t="str">
        <x:v>OPEN</x:v>
      </x:c>
    </x:row>
    <x:row r="574">
      <x:c r="A574" s="15" t="str">
        <x:v>CH-0570</x:v>
      </x:c>
      <x:c r="B574" s="15" t="str">
        <x:v>SYS-09</x:v>
      </x:c>
      <x:c r="C574" s="15" t="n">
        <x:v>58</x:v>
      </x:c>
      <x:c r="D574" s="15" t="str">
        <x:v>Public action</x:v>
      </x:c>
      <x:c r="E574" s="15" t="str">
        <x:v>NOT COMMISSIONED</x:v>
      </x:c>
      <x:c r="F574" s="15" t="str">
        <x:v>OPEN</x:v>
      </x:c>
    </x:row>
    <x:row r="575">
      <x:c r="A575" s="14" t="str">
        <x:v>CH-0571</x:v>
      </x:c>
      <x:c r="B575" s="14" t="str">
        <x:v>SYS-09</x:v>
      </x:c>
      <x:c r="C575" s="14" t="n">
        <x:v>59</x:v>
      </x:c>
      <x:c r="D575" s="14" t="str">
        <x:v>Public action</x:v>
      </x:c>
      <x:c r="E575" s="14" t="str">
        <x:v>NOT COMMISSIONED</x:v>
      </x:c>
      <x:c r="F575" s="14" t="str">
        <x:v>OPEN</x:v>
      </x:c>
    </x:row>
    <x:row r="576">
      <x:c r="A576" s="15" t="str">
        <x:v>CH-0572</x:v>
      </x:c>
      <x:c r="B576" s="15" t="str">
        <x:v>SYS-09</x:v>
      </x:c>
      <x:c r="C576" s="15" t="n">
        <x:v>60</x:v>
      </x:c>
      <x:c r="D576" s="15" t="str">
        <x:v>Public action</x:v>
      </x:c>
      <x:c r="E576" s="15" t="str">
        <x:v>NOT COMMISSIONED</x:v>
      </x:c>
      <x:c r="F576" s="15" t="str">
        <x:v>OPEN</x:v>
      </x:c>
    </x:row>
    <x:row r="577">
      <x:c r="A577" s="14" t="str">
        <x:v>CH-0573</x:v>
      </x:c>
      <x:c r="B577" s="14" t="str">
        <x:v>SYS-09</x:v>
      </x:c>
      <x:c r="C577" s="14" t="n">
        <x:v>61</x:v>
      </x:c>
      <x:c r="D577" s="14" t="str">
        <x:v>Public action</x:v>
      </x:c>
      <x:c r="E577" s="14" t="str">
        <x:v>NOT COMMISSIONED</x:v>
      </x:c>
      <x:c r="F577" s="14" t="str">
        <x:v>OPEN</x:v>
      </x:c>
    </x:row>
    <x:row r="578">
      <x:c r="A578" s="15" t="str">
        <x:v>CH-0574</x:v>
      </x:c>
      <x:c r="B578" s="15" t="str">
        <x:v>SYS-09</x:v>
      </x:c>
      <x:c r="C578" s="15" t="n">
        <x:v>62</x:v>
      </x:c>
      <x:c r="D578" s="15" t="str">
        <x:v>Public action</x:v>
      </x:c>
      <x:c r="E578" s="15" t="str">
        <x:v>NOT COMMISSIONED</x:v>
      </x:c>
      <x:c r="F578" s="15" t="str">
        <x:v>OPEN</x:v>
      </x:c>
    </x:row>
    <x:row r="579">
      <x:c r="A579" s="14" t="str">
        <x:v>CH-0575</x:v>
      </x:c>
      <x:c r="B579" s="14" t="str">
        <x:v>SYS-09</x:v>
      </x:c>
      <x:c r="C579" s="14" t="n">
        <x:v>63</x:v>
      </x:c>
      <x:c r="D579" s="14" t="str">
        <x:v>Public action</x:v>
      </x:c>
      <x:c r="E579" s="14" t="str">
        <x:v>NOT COMMISSIONED</x:v>
      </x:c>
      <x:c r="F579" s="14" t="str">
        <x:v>OPEN</x:v>
      </x:c>
    </x:row>
    <x:row r="580">
      <x:c r="A580" s="15" t="str">
        <x:v>CH-0576</x:v>
      </x:c>
      <x:c r="B580" s="15" t="str">
        <x:v>SYS-09</x:v>
      </x:c>
      <x:c r="C580" s="15" t="n">
        <x:v>64</x:v>
      </x:c>
      <x:c r="D580" s="15" t="str">
        <x:v>Public action</x:v>
      </x:c>
      <x:c r="E580" s="15" t="str">
        <x:v>NOT COMMISSIONED</x:v>
      </x:c>
      <x:c r="F580" s="15" t="str">
        <x:v>OPEN</x:v>
      </x:c>
    </x:row>
    <x:row r="581">
      <x:c r="A581" s="14" t="str">
        <x:v>CH-0577</x:v>
      </x:c>
      <x:c r="B581" s="14" t="str">
        <x:v>SYS-10</x:v>
      </x:c>
      <x:c r="C581" s="14" t="n">
        <x:v>1</x:v>
      </x:c>
      <x:c r="D581" s="14" t="str">
        <x:v>Evidence</x:v>
      </x:c>
      <x:c r="E581" s="14" t="str">
        <x:v>NOT COMMISSIONED</x:v>
      </x:c>
      <x:c r="F581" s="14" t="str">
        <x:v>OPEN</x:v>
      </x:c>
    </x:row>
    <x:row r="582">
      <x:c r="A582" s="15" t="str">
        <x:v>CH-0578</x:v>
      </x:c>
      <x:c r="B582" s="15" t="str">
        <x:v>SYS-10</x:v>
      </x:c>
      <x:c r="C582" s="15" t="n">
        <x:v>2</x:v>
      </x:c>
      <x:c r="D582" s="15" t="str">
        <x:v>Evidence</x:v>
      </x:c>
      <x:c r="E582" s="15" t="str">
        <x:v>NOT COMMISSIONED</x:v>
      </x:c>
      <x:c r="F582" s="15" t="str">
        <x:v>OPEN</x:v>
      </x:c>
    </x:row>
    <x:row r="583">
      <x:c r="A583" s="14" t="str">
        <x:v>CH-0579</x:v>
      </x:c>
      <x:c r="B583" s="14" t="str">
        <x:v>SYS-10</x:v>
      </x:c>
      <x:c r="C583" s="14" t="n">
        <x:v>3</x:v>
      </x:c>
      <x:c r="D583" s="14" t="str">
        <x:v>Evidence</x:v>
      </x:c>
      <x:c r="E583" s="14" t="str">
        <x:v>NOT COMMISSIONED</x:v>
      </x:c>
      <x:c r="F583" s="14" t="str">
        <x:v>OPEN</x:v>
      </x:c>
    </x:row>
    <x:row r="584">
      <x:c r="A584" s="15" t="str">
        <x:v>CH-0580</x:v>
      </x:c>
      <x:c r="B584" s="15" t="str">
        <x:v>SYS-10</x:v>
      </x:c>
      <x:c r="C584" s="15" t="n">
        <x:v>4</x:v>
      </x:c>
      <x:c r="D584" s="15" t="str">
        <x:v>Evidence</x:v>
      </x:c>
      <x:c r="E584" s="15" t="str">
        <x:v>NOT COMMISSIONED</x:v>
      </x:c>
      <x:c r="F584" s="15" t="str">
        <x:v>OPEN</x:v>
      </x:c>
    </x:row>
    <x:row r="585">
      <x:c r="A585" s="14" t="str">
        <x:v>CH-0581</x:v>
      </x:c>
      <x:c r="B585" s="14" t="str">
        <x:v>SYS-10</x:v>
      </x:c>
      <x:c r="C585" s="14" t="n">
        <x:v>5</x:v>
      </x:c>
      <x:c r="D585" s="14" t="str">
        <x:v>Evidence</x:v>
      </x:c>
      <x:c r="E585" s="14" t="str">
        <x:v>NOT COMMISSIONED</x:v>
      </x:c>
      <x:c r="F585" s="14" t="str">
        <x:v>OPEN</x:v>
      </x:c>
    </x:row>
    <x:row r="586">
      <x:c r="A586" s="15" t="str">
        <x:v>CH-0582</x:v>
      </x:c>
      <x:c r="B586" s="15" t="str">
        <x:v>SYS-10</x:v>
      </x:c>
      <x:c r="C586" s="15" t="n">
        <x:v>6</x:v>
      </x:c>
      <x:c r="D586" s="15" t="str">
        <x:v>Evidence</x:v>
      </x:c>
      <x:c r="E586" s="15" t="str">
        <x:v>NOT COMMISSIONED</x:v>
      </x:c>
      <x:c r="F586" s="15" t="str">
        <x:v>OPEN</x:v>
      </x:c>
    </x:row>
    <x:row r="587">
      <x:c r="A587" s="14" t="str">
        <x:v>CH-0583</x:v>
      </x:c>
      <x:c r="B587" s="14" t="str">
        <x:v>SYS-10</x:v>
      </x:c>
      <x:c r="C587" s="14" t="n">
        <x:v>7</x:v>
      </x:c>
      <x:c r="D587" s="14" t="str">
        <x:v>Evidence</x:v>
      </x:c>
      <x:c r="E587" s="14" t="str">
        <x:v>NOT COMMISSIONED</x:v>
      </x:c>
      <x:c r="F587" s="14" t="str">
        <x:v>OPEN</x:v>
      </x:c>
    </x:row>
    <x:row r="588">
      <x:c r="A588" s="15" t="str">
        <x:v>CH-0584</x:v>
      </x:c>
      <x:c r="B588" s="15" t="str">
        <x:v>SYS-10</x:v>
      </x:c>
      <x:c r="C588" s="15" t="n">
        <x:v>8</x:v>
      </x:c>
      <x:c r="D588" s="15" t="str">
        <x:v>Evidence</x:v>
      </x:c>
      <x:c r="E588" s="15" t="str">
        <x:v>NOT COMMISSIONED</x:v>
      </x:c>
      <x:c r="F588" s="15" t="str">
        <x:v>OPEN</x:v>
      </x:c>
    </x:row>
    <x:row r="589">
      <x:c r="A589" s="14" t="str">
        <x:v>CH-0585</x:v>
      </x:c>
      <x:c r="B589" s="14" t="str">
        <x:v>SYS-10</x:v>
      </x:c>
      <x:c r="C589" s="14" t="n">
        <x:v>9</x:v>
      </x:c>
      <x:c r="D589" s="14" t="str">
        <x:v>Evidence</x:v>
      </x:c>
      <x:c r="E589" s="14" t="str">
        <x:v>NOT COMMISSIONED</x:v>
      </x:c>
      <x:c r="F589" s="14" t="str">
        <x:v>OPEN</x:v>
      </x:c>
    </x:row>
    <x:row r="590">
      <x:c r="A590" s="15" t="str">
        <x:v>CH-0586</x:v>
      </x:c>
      <x:c r="B590" s="15" t="str">
        <x:v>SYS-10</x:v>
      </x:c>
      <x:c r="C590" s="15" t="n">
        <x:v>10</x:v>
      </x:c>
      <x:c r="D590" s="15" t="str">
        <x:v>Evidence</x:v>
      </x:c>
      <x:c r="E590" s="15" t="str">
        <x:v>NOT COMMISSIONED</x:v>
      </x:c>
      <x:c r="F590" s="15" t="str">
        <x:v>OPEN</x:v>
      </x:c>
    </x:row>
    <x:row r="591">
      <x:c r="A591" s="14" t="str">
        <x:v>CH-0587</x:v>
      </x:c>
      <x:c r="B591" s="14" t="str">
        <x:v>SYS-10</x:v>
      </x:c>
      <x:c r="C591" s="14" t="n">
        <x:v>11</x:v>
      </x:c>
      <x:c r="D591" s="14" t="str">
        <x:v>Evidence</x:v>
      </x:c>
      <x:c r="E591" s="14" t="str">
        <x:v>NOT COMMISSIONED</x:v>
      </x:c>
      <x:c r="F591" s="14" t="str">
        <x:v>OPEN</x:v>
      </x:c>
    </x:row>
    <x:row r="592">
      <x:c r="A592" s="15" t="str">
        <x:v>CH-0588</x:v>
      </x:c>
      <x:c r="B592" s="15" t="str">
        <x:v>SYS-10</x:v>
      </x:c>
      <x:c r="C592" s="15" t="n">
        <x:v>12</x:v>
      </x:c>
      <x:c r="D592" s="15" t="str">
        <x:v>Evidence</x:v>
      </x:c>
      <x:c r="E592" s="15" t="str">
        <x:v>NOT COMMISSIONED</x:v>
      </x:c>
      <x:c r="F592" s="15" t="str">
        <x:v>OPEN</x:v>
      </x:c>
    </x:row>
    <x:row r="593">
      <x:c r="A593" s="14" t="str">
        <x:v>CH-0589</x:v>
      </x:c>
      <x:c r="B593" s="14" t="str">
        <x:v>SYS-10</x:v>
      </x:c>
      <x:c r="C593" s="14" t="n">
        <x:v>13</x:v>
      </x:c>
      <x:c r="D593" s="14" t="str">
        <x:v>Evidence</x:v>
      </x:c>
      <x:c r="E593" s="14" t="str">
        <x:v>NOT COMMISSIONED</x:v>
      </x:c>
      <x:c r="F593" s="14" t="str">
        <x:v>OPEN</x:v>
      </x:c>
    </x:row>
    <x:row r="594">
      <x:c r="A594" s="15" t="str">
        <x:v>CH-0590</x:v>
      </x:c>
      <x:c r="B594" s="15" t="str">
        <x:v>SYS-10</x:v>
      </x:c>
      <x:c r="C594" s="15" t="n">
        <x:v>14</x:v>
      </x:c>
      <x:c r="D594" s="15" t="str">
        <x:v>Evidence</x:v>
      </x:c>
      <x:c r="E594" s="15" t="str">
        <x:v>NOT COMMISSIONED</x:v>
      </x:c>
      <x:c r="F594" s="15" t="str">
        <x:v>OPEN</x:v>
      </x:c>
    </x:row>
    <x:row r="595">
      <x:c r="A595" s="14" t="str">
        <x:v>CH-0591</x:v>
      </x:c>
      <x:c r="B595" s="14" t="str">
        <x:v>SYS-10</x:v>
      </x:c>
      <x:c r="C595" s="14" t="n">
        <x:v>15</x:v>
      </x:c>
      <x:c r="D595" s="14" t="str">
        <x:v>Evidence</x:v>
      </x:c>
      <x:c r="E595" s="14" t="str">
        <x:v>NOT COMMISSIONED</x:v>
      </x:c>
      <x:c r="F595" s="14" t="str">
        <x:v>OPEN</x:v>
      </x:c>
    </x:row>
    <x:row r="596">
      <x:c r="A596" s="15" t="str">
        <x:v>CH-0592</x:v>
      </x:c>
      <x:c r="B596" s="15" t="str">
        <x:v>SYS-10</x:v>
      </x:c>
      <x:c r="C596" s="15" t="n">
        <x:v>16</x:v>
      </x:c>
      <x:c r="D596" s="15" t="str">
        <x:v>Evidence</x:v>
      </x:c>
      <x:c r="E596" s="15" t="str">
        <x:v>NOT COMMISSIONED</x:v>
      </x:c>
      <x:c r="F596" s="15" t="str">
        <x:v>OPEN</x:v>
      </x:c>
    </x:row>
    <x:row r="597">
      <x:c r="A597" s="14" t="str">
        <x:v>CH-0593</x:v>
      </x:c>
      <x:c r="B597" s="14" t="str">
        <x:v>SYS-10</x:v>
      </x:c>
      <x:c r="C597" s="14" t="n">
        <x:v>17</x:v>
      </x:c>
      <x:c r="D597" s="14" t="str">
        <x:v>Evidence</x:v>
      </x:c>
      <x:c r="E597" s="14" t="str">
        <x:v>NOT COMMISSIONED</x:v>
      </x:c>
      <x:c r="F597" s="14" t="str">
        <x:v>OPEN</x:v>
      </x:c>
    </x:row>
    <x:row r="598">
      <x:c r="A598" s="15" t="str">
        <x:v>CH-0594</x:v>
      </x:c>
      <x:c r="B598" s="15" t="str">
        <x:v>SYS-10</x:v>
      </x:c>
      <x:c r="C598" s="15" t="n">
        <x:v>18</x:v>
      </x:c>
      <x:c r="D598" s="15" t="str">
        <x:v>Evidence</x:v>
      </x:c>
      <x:c r="E598" s="15" t="str">
        <x:v>NOT COMMISSIONED</x:v>
      </x:c>
      <x:c r="F598" s="15" t="str">
        <x:v>OPEN</x:v>
      </x:c>
    </x:row>
    <x:row r="599">
      <x:c r="A599" s="14" t="str">
        <x:v>CH-0595</x:v>
      </x:c>
      <x:c r="B599" s="14" t="str">
        <x:v>SYS-10</x:v>
      </x:c>
      <x:c r="C599" s="14" t="n">
        <x:v>19</x:v>
      </x:c>
      <x:c r="D599" s="14" t="str">
        <x:v>Evidence</x:v>
      </x:c>
      <x:c r="E599" s="14" t="str">
        <x:v>NOT COMMISSIONED</x:v>
      </x:c>
      <x:c r="F599" s="14" t="str">
        <x:v>OPEN</x:v>
      </x:c>
    </x:row>
    <x:row r="600">
      <x:c r="A600" s="15" t="str">
        <x:v>CH-0596</x:v>
      </x:c>
      <x:c r="B600" s="15" t="str">
        <x:v>SYS-10</x:v>
      </x:c>
      <x:c r="C600" s="15" t="n">
        <x:v>20</x:v>
      </x:c>
      <x:c r="D600" s="15" t="str">
        <x:v>Evidence</x:v>
      </x:c>
      <x:c r="E600" s="15" t="str">
        <x:v>NOT COMMISSIONED</x:v>
      </x:c>
      <x:c r="F600" s="15" t="str">
        <x:v>OPEN</x:v>
      </x:c>
    </x:row>
    <x:row r="601">
      <x:c r="A601" s="14" t="str">
        <x:v>CH-0597</x:v>
      </x:c>
      <x:c r="B601" s="14" t="str">
        <x:v>SYS-10</x:v>
      </x:c>
      <x:c r="C601" s="14" t="n">
        <x:v>21</x:v>
      </x:c>
      <x:c r="D601" s="14" t="str">
        <x:v>Evidence</x:v>
      </x:c>
      <x:c r="E601" s="14" t="str">
        <x:v>NOT COMMISSIONED</x:v>
      </x:c>
      <x:c r="F601" s="14" t="str">
        <x:v>OPEN</x:v>
      </x:c>
    </x:row>
    <x:row r="602">
      <x:c r="A602" s="15" t="str">
        <x:v>CH-0598</x:v>
      </x:c>
      <x:c r="B602" s="15" t="str">
        <x:v>SYS-10</x:v>
      </x:c>
      <x:c r="C602" s="15" t="n">
        <x:v>22</x:v>
      </x:c>
      <x:c r="D602" s="15" t="str">
        <x:v>Evidence</x:v>
      </x:c>
      <x:c r="E602" s="15" t="str">
        <x:v>NOT COMMISSIONED</x:v>
      </x:c>
      <x:c r="F602" s="15" t="str">
        <x:v>OPEN</x:v>
      </x:c>
    </x:row>
    <x:row r="603">
      <x:c r="A603" s="14" t="str">
        <x:v>CH-0599</x:v>
      </x:c>
      <x:c r="B603" s="14" t="str">
        <x:v>SYS-10</x:v>
      </x:c>
      <x:c r="C603" s="14" t="n">
        <x:v>23</x:v>
      </x:c>
      <x:c r="D603" s="14" t="str">
        <x:v>Evidence</x:v>
      </x:c>
      <x:c r="E603" s="14" t="str">
        <x:v>NOT COMMISSIONED</x:v>
      </x:c>
      <x:c r="F603" s="14" t="str">
        <x:v>OPEN</x:v>
      </x:c>
    </x:row>
    <x:row r="604">
      <x:c r="A604" s="15" t="str">
        <x:v>CH-0600</x:v>
      </x:c>
      <x:c r="B604" s="15" t="str">
        <x:v>SYS-10</x:v>
      </x:c>
      <x:c r="C604" s="15" t="n">
        <x:v>24</x:v>
      </x:c>
      <x:c r="D604" s="15" t="str">
        <x:v>Evidence</x:v>
      </x:c>
      <x:c r="E604" s="15" t="str">
        <x:v>NOT COMMISSIONED</x:v>
      </x:c>
      <x:c r="F604" s="15" t="str">
        <x:v>OPEN</x:v>
      </x:c>
    </x:row>
    <x:row r="605">
      <x:c r="A605" s="14" t="str">
        <x:v>CH-0601</x:v>
      </x:c>
      <x:c r="B605" s="14" t="str">
        <x:v>SYS-10</x:v>
      </x:c>
      <x:c r="C605" s="14" t="n">
        <x:v>25</x:v>
      </x:c>
      <x:c r="D605" s="14" t="str">
        <x:v>Evidence</x:v>
      </x:c>
      <x:c r="E605" s="14" t="str">
        <x:v>NOT COMMISSIONED</x:v>
      </x:c>
      <x:c r="F605" s="14" t="str">
        <x:v>OPEN</x:v>
      </x:c>
    </x:row>
    <x:row r="606">
      <x:c r="A606" s="15" t="str">
        <x:v>CH-0602</x:v>
      </x:c>
      <x:c r="B606" s="15" t="str">
        <x:v>SYS-10</x:v>
      </x:c>
      <x:c r="C606" s="15" t="n">
        <x:v>26</x:v>
      </x:c>
      <x:c r="D606" s="15" t="str">
        <x:v>Evidence</x:v>
      </x:c>
      <x:c r="E606" s="15" t="str">
        <x:v>NOT COMMISSIONED</x:v>
      </x:c>
      <x:c r="F606" s="15" t="str">
        <x:v>OPEN</x:v>
      </x:c>
    </x:row>
    <x:row r="607">
      <x:c r="A607" s="14" t="str">
        <x:v>CH-0603</x:v>
      </x:c>
      <x:c r="B607" s="14" t="str">
        <x:v>SYS-10</x:v>
      </x:c>
      <x:c r="C607" s="14" t="n">
        <x:v>27</x:v>
      </x:c>
      <x:c r="D607" s="14" t="str">
        <x:v>Evidence</x:v>
      </x:c>
      <x:c r="E607" s="14" t="str">
        <x:v>NOT COMMISSIONED</x:v>
      </x:c>
      <x:c r="F607" s="14" t="str">
        <x:v>OPEN</x:v>
      </x:c>
    </x:row>
    <x:row r="608">
      <x:c r="A608" s="15" t="str">
        <x:v>CH-0604</x:v>
      </x:c>
      <x:c r="B608" s="15" t="str">
        <x:v>SYS-10</x:v>
      </x:c>
      <x:c r="C608" s="15" t="n">
        <x:v>28</x:v>
      </x:c>
      <x:c r="D608" s="15" t="str">
        <x:v>Evidence</x:v>
      </x:c>
      <x:c r="E608" s="15" t="str">
        <x:v>NOT COMMISSIONED</x:v>
      </x:c>
      <x:c r="F608" s="15" t="str">
        <x:v>OPEN</x:v>
      </x:c>
    </x:row>
    <x:row r="609">
      <x:c r="A609" s="14" t="str">
        <x:v>CH-0605</x:v>
      </x:c>
      <x:c r="B609" s="14" t="str">
        <x:v>SYS-10</x:v>
      </x:c>
      <x:c r="C609" s="14" t="n">
        <x:v>29</x:v>
      </x:c>
      <x:c r="D609" s="14" t="str">
        <x:v>Evidence</x:v>
      </x:c>
      <x:c r="E609" s="14" t="str">
        <x:v>NOT COMMISSIONED</x:v>
      </x:c>
      <x:c r="F609" s="14" t="str">
        <x:v>OPEN</x:v>
      </x:c>
    </x:row>
    <x:row r="610">
      <x:c r="A610" s="15" t="str">
        <x:v>CH-0606</x:v>
      </x:c>
      <x:c r="B610" s="15" t="str">
        <x:v>SYS-10</x:v>
      </x:c>
      <x:c r="C610" s="15" t="n">
        <x:v>30</x:v>
      </x:c>
      <x:c r="D610" s="15" t="str">
        <x:v>Evidence</x:v>
      </x:c>
      <x:c r="E610" s="15" t="str">
        <x:v>NOT COMMISSIONED</x:v>
      </x:c>
      <x:c r="F610" s="15" t="str">
        <x:v>OPEN</x:v>
      </x:c>
    </x:row>
    <x:row r="611">
      <x:c r="A611" s="14" t="str">
        <x:v>CH-0607</x:v>
      </x:c>
      <x:c r="B611" s="14" t="str">
        <x:v>SYS-10</x:v>
      </x:c>
      <x:c r="C611" s="14" t="n">
        <x:v>31</x:v>
      </x:c>
      <x:c r="D611" s="14" t="str">
        <x:v>Evidence</x:v>
      </x:c>
      <x:c r="E611" s="14" t="str">
        <x:v>NOT COMMISSIONED</x:v>
      </x:c>
      <x:c r="F611" s="14" t="str">
        <x:v>OPEN</x:v>
      </x:c>
    </x:row>
    <x:row r="612">
      <x:c r="A612" s="15" t="str">
        <x:v>CH-0608</x:v>
      </x:c>
      <x:c r="B612" s="15" t="str">
        <x:v>SYS-10</x:v>
      </x:c>
      <x:c r="C612" s="15" t="n">
        <x:v>32</x:v>
      </x:c>
      <x:c r="D612" s="15" t="str">
        <x:v>Evidence</x:v>
      </x:c>
      <x:c r="E612" s="15" t="str">
        <x:v>NOT COMMISSIONED</x:v>
      </x:c>
      <x:c r="F612" s="15" t="str">
        <x:v>OPEN</x:v>
      </x:c>
    </x:row>
    <x:row r="613">
      <x:c r="A613" s="14" t="str">
        <x:v>CH-0609</x:v>
      </x:c>
      <x:c r="B613" s="14" t="str">
        <x:v>SYS-10</x:v>
      </x:c>
      <x:c r="C613" s="14" t="n">
        <x:v>33</x:v>
      </x:c>
      <x:c r="D613" s="14" t="str">
        <x:v>Evidence</x:v>
      </x:c>
      <x:c r="E613" s="14" t="str">
        <x:v>NOT COMMISSIONED</x:v>
      </x:c>
      <x:c r="F613" s="14" t="str">
        <x:v>OPEN</x:v>
      </x:c>
    </x:row>
    <x:row r="614">
      <x:c r="A614" s="15" t="str">
        <x:v>CH-0610</x:v>
      </x:c>
      <x:c r="B614" s="15" t="str">
        <x:v>SYS-10</x:v>
      </x:c>
      <x:c r="C614" s="15" t="n">
        <x:v>34</x:v>
      </x:c>
      <x:c r="D614" s="15" t="str">
        <x:v>Evidence</x:v>
      </x:c>
      <x:c r="E614" s="15" t="str">
        <x:v>NOT COMMISSIONED</x:v>
      </x:c>
      <x:c r="F614" s="15" t="str">
        <x:v>OPEN</x:v>
      </x:c>
    </x:row>
    <x:row r="615">
      <x:c r="A615" s="14" t="str">
        <x:v>CH-0611</x:v>
      </x:c>
      <x:c r="B615" s="14" t="str">
        <x:v>SYS-10</x:v>
      </x:c>
      <x:c r="C615" s="14" t="n">
        <x:v>35</x:v>
      </x:c>
      <x:c r="D615" s="14" t="str">
        <x:v>Evidence</x:v>
      </x:c>
      <x:c r="E615" s="14" t="str">
        <x:v>NOT COMMISSIONED</x:v>
      </x:c>
      <x:c r="F615" s="14" t="str">
        <x:v>OPEN</x:v>
      </x:c>
    </x:row>
    <x:row r="616">
      <x:c r="A616" s="15" t="str">
        <x:v>CH-0612</x:v>
      </x:c>
      <x:c r="B616" s="15" t="str">
        <x:v>SYS-10</x:v>
      </x:c>
      <x:c r="C616" s="15" t="n">
        <x:v>36</x:v>
      </x:c>
      <x:c r="D616" s="15" t="str">
        <x:v>Evidence</x:v>
      </x:c>
      <x:c r="E616" s="15" t="str">
        <x:v>NOT COMMISSIONED</x:v>
      </x:c>
      <x:c r="F616" s="15" t="str">
        <x:v>OPEN</x:v>
      </x:c>
    </x:row>
    <x:row r="617">
      <x:c r="A617" s="14" t="str">
        <x:v>CH-0613</x:v>
      </x:c>
      <x:c r="B617" s="14" t="str">
        <x:v>SYS-10</x:v>
      </x:c>
      <x:c r="C617" s="14" t="n">
        <x:v>37</x:v>
      </x:c>
      <x:c r="D617" s="14" t="str">
        <x:v>Evidence</x:v>
      </x:c>
      <x:c r="E617" s="14" t="str">
        <x:v>NOT COMMISSIONED</x:v>
      </x:c>
      <x:c r="F617" s="14" t="str">
        <x:v>OPEN</x:v>
      </x:c>
    </x:row>
    <x:row r="618">
      <x:c r="A618" s="15" t="str">
        <x:v>CH-0614</x:v>
      </x:c>
      <x:c r="B618" s="15" t="str">
        <x:v>SYS-10</x:v>
      </x:c>
      <x:c r="C618" s="15" t="n">
        <x:v>38</x:v>
      </x:c>
      <x:c r="D618" s="15" t="str">
        <x:v>Evidence</x:v>
      </x:c>
      <x:c r="E618" s="15" t="str">
        <x:v>NOT COMMISSIONED</x:v>
      </x:c>
      <x:c r="F618" s="15" t="str">
        <x:v>OPEN</x:v>
      </x:c>
    </x:row>
    <x:row r="619">
      <x:c r="A619" s="14" t="str">
        <x:v>CH-0615</x:v>
      </x:c>
      <x:c r="B619" s="14" t="str">
        <x:v>SYS-10</x:v>
      </x:c>
      <x:c r="C619" s="14" t="n">
        <x:v>39</x:v>
      </x:c>
      <x:c r="D619" s="14" t="str">
        <x:v>Evidence</x:v>
      </x:c>
      <x:c r="E619" s="14" t="str">
        <x:v>NOT COMMISSIONED</x:v>
      </x:c>
      <x:c r="F619" s="14" t="str">
        <x:v>OPEN</x:v>
      </x:c>
    </x:row>
    <x:row r="620">
      <x:c r="A620" s="15" t="str">
        <x:v>CH-0616</x:v>
      </x:c>
      <x:c r="B620" s="15" t="str">
        <x:v>SYS-10</x:v>
      </x:c>
      <x:c r="C620" s="15" t="n">
        <x:v>40</x:v>
      </x:c>
      <x:c r="D620" s="15" t="str">
        <x:v>Evidence</x:v>
      </x:c>
      <x:c r="E620" s="15" t="str">
        <x:v>NOT COMMISSIONED</x:v>
      </x:c>
      <x:c r="F620" s="15" t="str">
        <x:v>OPEN</x:v>
      </x:c>
    </x:row>
    <x:row r="621">
      <x:c r="A621" s="14" t="str">
        <x:v>CH-0617</x:v>
      </x:c>
      <x:c r="B621" s="14" t="str">
        <x:v>SYS-10</x:v>
      </x:c>
      <x:c r="C621" s="14" t="n">
        <x:v>41</x:v>
      </x:c>
      <x:c r="D621" s="14" t="str">
        <x:v>Evidence</x:v>
      </x:c>
      <x:c r="E621" s="14" t="str">
        <x:v>NOT COMMISSIONED</x:v>
      </x:c>
      <x:c r="F621" s="14" t="str">
        <x:v>OPEN</x:v>
      </x:c>
    </x:row>
    <x:row r="622">
      <x:c r="A622" s="15" t="str">
        <x:v>CH-0618</x:v>
      </x:c>
      <x:c r="B622" s="15" t="str">
        <x:v>SYS-10</x:v>
      </x:c>
      <x:c r="C622" s="15" t="n">
        <x:v>42</x:v>
      </x:c>
      <x:c r="D622" s="15" t="str">
        <x:v>Evidence</x:v>
      </x:c>
      <x:c r="E622" s="15" t="str">
        <x:v>NOT COMMISSIONED</x:v>
      </x:c>
      <x:c r="F622" s="15" t="str">
        <x:v>OPEN</x:v>
      </x:c>
    </x:row>
    <x:row r="623">
      <x:c r="A623" s="14" t="str">
        <x:v>CH-0619</x:v>
      </x:c>
      <x:c r="B623" s="14" t="str">
        <x:v>SYS-10</x:v>
      </x:c>
      <x:c r="C623" s="14" t="n">
        <x:v>43</x:v>
      </x:c>
      <x:c r="D623" s="14" t="str">
        <x:v>Evidence</x:v>
      </x:c>
      <x:c r="E623" s="14" t="str">
        <x:v>NOT COMMISSIONED</x:v>
      </x:c>
      <x:c r="F623" s="14" t="str">
        <x:v>OPEN</x:v>
      </x:c>
    </x:row>
    <x:row r="624">
      <x:c r="A624" s="15" t="str">
        <x:v>CH-0620</x:v>
      </x:c>
      <x:c r="B624" s="15" t="str">
        <x:v>SYS-10</x:v>
      </x:c>
      <x:c r="C624" s="15" t="n">
        <x:v>44</x:v>
      </x:c>
      <x:c r="D624" s="15" t="str">
        <x:v>Evidence</x:v>
      </x:c>
      <x:c r="E624" s="15" t="str">
        <x:v>NOT COMMISSIONED</x:v>
      </x:c>
      <x:c r="F624" s="15" t="str">
        <x:v>OPEN</x:v>
      </x:c>
    </x:row>
    <x:row r="625">
      <x:c r="A625" s="14" t="str">
        <x:v>CH-0621</x:v>
      </x:c>
      <x:c r="B625" s="14" t="str">
        <x:v>SYS-10</x:v>
      </x:c>
      <x:c r="C625" s="14" t="n">
        <x:v>45</x:v>
      </x:c>
      <x:c r="D625" s="14" t="str">
        <x:v>Evidence</x:v>
      </x:c>
      <x:c r="E625" s="14" t="str">
        <x:v>NOT COMMISSIONED</x:v>
      </x:c>
      <x:c r="F625" s="14" t="str">
        <x:v>OPEN</x:v>
      </x:c>
    </x:row>
    <x:row r="626">
      <x:c r="A626" s="15" t="str">
        <x:v>CH-0622</x:v>
      </x:c>
      <x:c r="B626" s="15" t="str">
        <x:v>SYS-10</x:v>
      </x:c>
      <x:c r="C626" s="15" t="n">
        <x:v>46</x:v>
      </x:c>
      <x:c r="D626" s="15" t="str">
        <x:v>Evidence</x:v>
      </x:c>
      <x:c r="E626" s="15" t="str">
        <x:v>NOT COMMISSIONED</x:v>
      </x:c>
      <x:c r="F626" s="15" t="str">
        <x:v>OPEN</x:v>
      </x:c>
    </x:row>
    <x:row r="627">
      <x:c r="A627" s="14" t="str">
        <x:v>CH-0623</x:v>
      </x:c>
      <x:c r="B627" s="14" t="str">
        <x:v>SYS-10</x:v>
      </x:c>
      <x:c r="C627" s="14" t="n">
        <x:v>47</x:v>
      </x:c>
      <x:c r="D627" s="14" t="str">
        <x:v>Evidence</x:v>
      </x:c>
      <x:c r="E627" s="14" t="str">
        <x:v>NOT COMMISSIONED</x:v>
      </x:c>
      <x:c r="F627" s="14" t="str">
        <x:v>OPEN</x:v>
      </x:c>
    </x:row>
    <x:row r="628">
      <x:c r="A628" s="15" t="str">
        <x:v>CH-0624</x:v>
      </x:c>
      <x:c r="B628" s="15" t="str">
        <x:v>SYS-10</x:v>
      </x:c>
      <x:c r="C628" s="15" t="n">
        <x:v>48</x:v>
      </x:c>
      <x:c r="D628" s="15" t="str">
        <x:v>Evidence</x:v>
      </x:c>
      <x:c r="E628" s="15" t="str">
        <x:v>NOT COMMISSIONED</x:v>
      </x:c>
      <x:c r="F628" s="15" t="str">
        <x:v>OPEN</x:v>
      </x:c>
    </x:row>
    <x:row r="629">
      <x:c r="A629" s="14" t="str">
        <x:v>CH-0625</x:v>
      </x:c>
      <x:c r="B629" s="14" t="str">
        <x:v>SYS-10</x:v>
      </x:c>
      <x:c r="C629" s="14" t="n">
        <x:v>49</x:v>
      </x:c>
      <x:c r="D629" s="14" t="str">
        <x:v>Evidence</x:v>
      </x:c>
      <x:c r="E629" s="14" t="str">
        <x:v>NOT COMMISSIONED</x:v>
      </x:c>
      <x:c r="F629" s="14" t="str">
        <x:v>OPEN</x:v>
      </x:c>
    </x:row>
    <x:row r="630">
      <x:c r="A630" s="15" t="str">
        <x:v>CH-0626</x:v>
      </x:c>
      <x:c r="B630" s="15" t="str">
        <x:v>SYS-10</x:v>
      </x:c>
      <x:c r="C630" s="15" t="n">
        <x:v>50</x:v>
      </x:c>
      <x:c r="D630" s="15" t="str">
        <x:v>Evidence</x:v>
      </x:c>
      <x:c r="E630" s="15" t="str">
        <x:v>NOT COMMISSIONED</x:v>
      </x:c>
      <x:c r="F630" s="15" t="str">
        <x:v>OPEN</x:v>
      </x:c>
    </x:row>
    <x:row r="631">
      <x:c r="A631" s="14" t="str">
        <x:v>CH-0627</x:v>
      </x:c>
      <x:c r="B631" s="14" t="str">
        <x:v>SYS-10</x:v>
      </x:c>
      <x:c r="C631" s="14" t="n">
        <x:v>51</x:v>
      </x:c>
      <x:c r="D631" s="14" t="str">
        <x:v>Evidence</x:v>
      </x:c>
      <x:c r="E631" s="14" t="str">
        <x:v>NOT COMMISSIONED</x:v>
      </x:c>
      <x:c r="F631" s="14" t="str">
        <x:v>OPEN</x:v>
      </x:c>
    </x:row>
    <x:row r="632">
      <x:c r="A632" s="15" t="str">
        <x:v>CH-0628</x:v>
      </x:c>
      <x:c r="B632" s="15" t="str">
        <x:v>SYS-10</x:v>
      </x:c>
      <x:c r="C632" s="15" t="n">
        <x:v>52</x:v>
      </x:c>
      <x:c r="D632" s="15" t="str">
        <x:v>Evidence</x:v>
      </x:c>
      <x:c r="E632" s="15" t="str">
        <x:v>NOT COMMISSIONED</x:v>
      </x:c>
      <x:c r="F632" s="15" t="str">
        <x:v>OPEN</x:v>
      </x:c>
    </x:row>
    <x:row r="633">
      <x:c r="A633" s="14" t="str">
        <x:v>CH-0629</x:v>
      </x:c>
      <x:c r="B633" s="14" t="str">
        <x:v>SYS-10</x:v>
      </x:c>
      <x:c r="C633" s="14" t="n">
        <x:v>53</x:v>
      </x:c>
      <x:c r="D633" s="14" t="str">
        <x:v>Evidence</x:v>
      </x:c>
      <x:c r="E633" s="14" t="str">
        <x:v>NOT COMMISSIONED</x:v>
      </x:c>
      <x:c r="F633" s="14" t="str">
        <x:v>OPEN</x:v>
      </x:c>
    </x:row>
    <x:row r="634">
      <x:c r="A634" s="15" t="str">
        <x:v>CH-0630</x:v>
      </x:c>
      <x:c r="B634" s="15" t="str">
        <x:v>SYS-10</x:v>
      </x:c>
      <x:c r="C634" s="15" t="n">
        <x:v>54</x:v>
      </x:c>
      <x:c r="D634" s="15" t="str">
        <x:v>Evidence</x:v>
      </x:c>
      <x:c r="E634" s="15" t="str">
        <x:v>NOT COMMISSIONED</x:v>
      </x:c>
      <x:c r="F634" s="15" t="str">
        <x:v>OPEN</x:v>
      </x:c>
    </x:row>
    <x:row r="635">
      <x:c r="A635" s="14" t="str">
        <x:v>CH-0631</x:v>
      </x:c>
      <x:c r="B635" s="14" t="str">
        <x:v>SYS-10</x:v>
      </x:c>
      <x:c r="C635" s="14" t="n">
        <x:v>55</x:v>
      </x:c>
      <x:c r="D635" s="14" t="str">
        <x:v>Evidence</x:v>
      </x:c>
      <x:c r="E635" s="14" t="str">
        <x:v>NOT COMMISSIONED</x:v>
      </x:c>
      <x:c r="F635" s="14" t="str">
        <x:v>OPEN</x:v>
      </x:c>
    </x:row>
    <x:row r="636">
      <x:c r="A636" s="15" t="str">
        <x:v>CH-0632</x:v>
      </x:c>
      <x:c r="B636" s="15" t="str">
        <x:v>SYS-10</x:v>
      </x:c>
      <x:c r="C636" s="15" t="n">
        <x:v>56</x:v>
      </x:c>
      <x:c r="D636" s="15" t="str">
        <x:v>Evidence</x:v>
      </x:c>
      <x:c r="E636" s="15" t="str">
        <x:v>NOT COMMISSIONED</x:v>
      </x:c>
      <x:c r="F636" s="15" t="str">
        <x:v>OPEN</x:v>
      </x:c>
    </x:row>
    <x:row r="637">
      <x:c r="A637" s="14" t="str">
        <x:v>CH-0633</x:v>
      </x:c>
      <x:c r="B637" s="14" t="str">
        <x:v>SYS-10</x:v>
      </x:c>
      <x:c r="C637" s="14" t="n">
        <x:v>57</x:v>
      </x:c>
      <x:c r="D637" s="14" t="str">
        <x:v>Evidence</x:v>
      </x:c>
      <x:c r="E637" s="14" t="str">
        <x:v>NOT COMMISSIONED</x:v>
      </x:c>
      <x:c r="F637" s="14" t="str">
        <x:v>OPEN</x:v>
      </x:c>
    </x:row>
    <x:row r="638">
      <x:c r="A638" s="15" t="str">
        <x:v>CH-0634</x:v>
      </x:c>
      <x:c r="B638" s="15" t="str">
        <x:v>SYS-10</x:v>
      </x:c>
      <x:c r="C638" s="15" t="n">
        <x:v>58</x:v>
      </x:c>
      <x:c r="D638" s="15" t="str">
        <x:v>Evidence</x:v>
      </x:c>
      <x:c r="E638" s="15" t="str">
        <x:v>NOT COMMISSIONED</x:v>
      </x:c>
      <x:c r="F638" s="15" t="str">
        <x:v>OPEN</x:v>
      </x:c>
    </x:row>
    <x:row r="639">
      <x:c r="A639" s="14" t="str">
        <x:v>CH-0635</x:v>
      </x:c>
      <x:c r="B639" s="14" t="str">
        <x:v>SYS-10</x:v>
      </x:c>
      <x:c r="C639" s="14" t="n">
        <x:v>59</x:v>
      </x:c>
      <x:c r="D639" s="14" t="str">
        <x:v>Evidence</x:v>
      </x:c>
      <x:c r="E639" s="14" t="str">
        <x:v>NOT COMMISSIONED</x:v>
      </x:c>
      <x:c r="F639" s="14" t="str">
        <x:v>OPEN</x:v>
      </x:c>
    </x:row>
    <x:row r="640">
      <x:c r="A640" s="15" t="str">
        <x:v>CH-0636</x:v>
      </x:c>
      <x:c r="B640" s="15" t="str">
        <x:v>SYS-10</x:v>
      </x:c>
      <x:c r="C640" s="15" t="n">
        <x:v>60</x:v>
      </x:c>
      <x:c r="D640" s="15" t="str">
        <x:v>Evidence</x:v>
      </x:c>
      <x:c r="E640" s="15" t="str">
        <x:v>NOT COMMISSIONED</x:v>
      </x:c>
      <x:c r="F640" s="15" t="str">
        <x:v>OPEN</x:v>
      </x:c>
    </x:row>
    <x:row r="641">
      <x:c r="A641" s="14" t="str">
        <x:v>CH-0637</x:v>
      </x:c>
      <x:c r="B641" s="14" t="str">
        <x:v>SYS-10</x:v>
      </x:c>
      <x:c r="C641" s="14" t="n">
        <x:v>61</x:v>
      </x:c>
      <x:c r="D641" s="14" t="str">
        <x:v>Evidence</x:v>
      </x:c>
      <x:c r="E641" s="14" t="str">
        <x:v>NOT COMMISSIONED</x:v>
      </x:c>
      <x:c r="F641" s="14" t="str">
        <x:v>OPEN</x:v>
      </x:c>
    </x:row>
    <x:row r="642">
      <x:c r="A642" s="15" t="str">
        <x:v>CH-0638</x:v>
      </x:c>
      <x:c r="B642" s="15" t="str">
        <x:v>SYS-10</x:v>
      </x:c>
      <x:c r="C642" s="15" t="n">
        <x:v>62</x:v>
      </x:c>
      <x:c r="D642" s="15" t="str">
        <x:v>Evidence</x:v>
      </x:c>
      <x:c r="E642" s="15" t="str">
        <x:v>NOT COMMISSIONED</x:v>
      </x:c>
      <x:c r="F642" s="15" t="str">
        <x:v>OPEN</x:v>
      </x:c>
    </x:row>
    <x:row r="643">
      <x:c r="A643" s="14" t="str">
        <x:v>CH-0639</x:v>
      </x:c>
      <x:c r="B643" s="14" t="str">
        <x:v>SYS-10</x:v>
      </x:c>
      <x:c r="C643" s="14" t="n">
        <x:v>63</x:v>
      </x:c>
      <x:c r="D643" s="14" t="str">
        <x:v>Evidence</x:v>
      </x:c>
      <x:c r="E643" s="14" t="str">
        <x:v>NOT COMMISSIONED</x:v>
      </x:c>
      <x:c r="F643" s="14" t="str">
        <x:v>OPEN</x:v>
      </x:c>
    </x:row>
    <x:row r="644">
      <x:c r="A644" s="15" t="str">
        <x:v>CH-0640</x:v>
      </x:c>
      <x:c r="B644" s="15" t="str">
        <x:v>SYS-10</x:v>
      </x:c>
      <x:c r="C644" s="15" t="n">
        <x:v>64</x:v>
      </x:c>
      <x:c r="D644" s="15" t="str">
        <x:v>Evidence</x:v>
      </x:c>
      <x:c r="E644" s="15" t="str">
        <x:v>NOT COMMISSIONED</x:v>
      </x:c>
      <x:c r="F644" s="15" t="str">
        <x:v>OPEN</x:v>
      </x:c>
    </x:row>
    <x:row r="645">
      <x:c r="A645" s="14" t="str">
        <x:v>CH-0641</x:v>
      </x:c>
      <x:c r="B645" s="14" t="str">
        <x:v>SYS-11</x:v>
      </x:c>
      <x:c r="C645" s="14" t="n">
        <x:v>1</x:v>
      </x:c>
      <x:c r="D645" s="14" t="str">
        <x:v>Configuration</x:v>
      </x:c>
      <x:c r="E645" s="14" t="str">
        <x:v>NOT COMMISSIONED</x:v>
      </x:c>
      <x:c r="F645" s="14" t="str">
        <x:v>OPEN</x:v>
      </x:c>
    </x:row>
    <x:row r="646">
      <x:c r="A646" s="15" t="str">
        <x:v>CH-0642</x:v>
      </x:c>
      <x:c r="B646" s="15" t="str">
        <x:v>SYS-11</x:v>
      </x:c>
      <x:c r="C646" s="15" t="n">
        <x:v>2</x:v>
      </x:c>
      <x:c r="D646" s="15" t="str">
        <x:v>Configuration</x:v>
      </x:c>
      <x:c r="E646" s="15" t="str">
        <x:v>NOT COMMISSIONED</x:v>
      </x:c>
      <x:c r="F646" s="15" t="str">
        <x:v>OPEN</x:v>
      </x:c>
    </x:row>
    <x:row r="647">
      <x:c r="A647" s="14" t="str">
        <x:v>CH-0643</x:v>
      </x:c>
      <x:c r="B647" s="14" t="str">
        <x:v>SYS-11</x:v>
      </x:c>
      <x:c r="C647" s="14" t="n">
        <x:v>3</x:v>
      </x:c>
      <x:c r="D647" s="14" t="str">
        <x:v>Configuration</x:v>
      </x:c>
      <x:c r="E647" s="14" t="str">
        <x:v>NOT COMMISSIONED</x:v>
      </x:c>
      <x:c r="F647" s="14" t="str">
        <x:v>OPEN</x:v>
      </x:c>
    </x:row>
    <x:row r="648">
      <x:c r="A648" s="15" t="str">
        <x:v>CH-0644</x:v>
      </x:c>
      <x:c r="B648" s="15" t="str">
        <x:v>SYS-11</x:v>
      </x:c>
      <x:c r="C648" s="15" t="n">
        <x:v>4</x:v>
      </x:c>
      <x:c r="D648" s="15" t="str">
        <x:v>Configuration</x:v>
      </x:c>
      <x:c r="E648" s="15" t="str">
        <x:v>NOT COMMISSIONED</x:v>
      </x:c>
      <x:c r="F648" s="15" t="str">
        <x:v>OPEN</x:v>
      </x:c>
    </x:row>
    <x:row r="649">
      <x:c r="A649" s="14" t="str">
        <x:v>CH-0645</x:v>
      </x:c>
      <x:c r="B649" s="14" t="str">
        <x:v>SYS-11</x:v>
      </x:c>
      <x:c r="C649" s="14" t="n">
        <x:v>5</x:v>
      </x:c>
      <x:c r="D649" s="14" t="str">
        <x:v>Configuration</x:v>
      </x:c>
      <x:c r="E649" s="14" t="str">
        <x:v>NOT COMMISSIONED</x:v>
      </x:c>
      <x:c r="F649" s="14" t="str">
        <x:v>OPEN</x:v>
      </x:c>
    </x:row>
    <x:row r="650">
      <x:c r="A650" s="15" t="str">
        <x:v>CH-0646</x:v>
      </x:c>
      <x:c r="B650" s="15" t="str">
        <x:v>SYS-11</x:v>
      </x:c>
      <x:c r="C650" s="15" t="n">
        <x:v>6</x:v>
      </x:c>
      <x:c r="D650" s="15" t="str">
        <x:v>Configuration</x:v>
      </x:c>
      <x:c r="E650" s="15" t="str">
        <x:v>NOT COMMISSIONED</x:v>
      </x:c>
      <x:c r="F650" s="15" t="str">
        <x:v>OPEN</x:v>
      </x:c>
    </x:row>
    <x:row r="651">
      <x:c r="A651" s="14" t="str">
        <x:v>CH-0647</x:v>
      </x:c>
      <x:c r="B651" s="14" t="str">
        <x:v>SYS-11</x:v>
      </x:c>
      <x:c r="C651" s="14" t="n">
        <x:v>7</x:v>
      </x:c>
      <x:c r="D651" s="14" t="str">
        <x:v>Configuration</x:v>
      </x:c>
      <x:c r="E651" s="14" t="str">
        <x:v>NOT COMMISSIONED</x:v>
      </x:c>
      <x:c r="F651" s="14" t="str">
        <x:v>OPEN</x:v>
      </x:c>
    </x:row>
    <x:row r="652">
      <x:c r="A652" s="15" t="str">
        <x:v>CH-0648</x:v>
      </x:c>
      <x:c r="B652" s="15" t="str">
        <x:v>SYS-11</x:v>
      </x:c>
      <x:c r="C652" s="15" t="n">
        <x:v>8</x:v>
      </x:c>
      <x:c r="D652" s="15" t="str">
        <x:v>Configuration</x:v>
      </x:c>
      <x:c r="E652" s="15" t="str">
        <x:v>NOT COMMISSIONED</x:v>
      </x:c>
      <x:c r="F652" s="15" t="str">
        <x:v>OPEN</x:v>
      </x:c>
    </x:row>
    <x:row r="653">
      <x:c r="A653" s="14" t="str">
        <x:v>CH-0649</x:v>
      </x:c>
      <x:c r="B653" s="14" t="str">
        <x:v>SYS-11</x:v>
      </x:c>
      <x:c r="C653" s="14" t="n">
        <x:v>9</x:v>
      </x:c>
      <x:c r="D653" s="14" t="str">
        <x:v>Configuration</x:v>
      </x:c>
      <x:c r="E653" s="14" t="str">
        <x:v>NOT COMMISSIONED</x:v>
      </x:c>
      <x:c r="F653" s="14" t="str">
        <x:v>OPEN</x:v>
      </x:c>
    </x:row>
    <x:row r="654">
      <x:c r="A654" s="15" t="str">
        <x:v>CH-0650</x:v>
      </x:c>
      <x:c r="B654" s="15" t="str">
        <x:v>SYS-11</x:v>
      </x:c>
      <x:c r="C654" s="15" t="n">
        <x:v>10</x:v>
      </x:c>
      <x:c r="D654" s="15" t="str">
        <x:v>Configuration</x:v>
      </x:c>
      <x:c r="E654" s="15" t="str">
        <x:v>NOT COMMISSIONED</x:v>
      </x:c>
      <x:c r="F654" s="15" t="str">
        <x:v>OPEN</x:v>
      </x:c>
    </x:row>
    <x:row r="655">
      <x:c r="A655" s="14" t="str">
        <x:v>CH-0651</x:v>
      </x:c>
      <x:c r="B655" s="14" t="str">
        <x:v>SYS-11</x:v>
      </x:c>
      <x:c r="C655" s="14" t="n">
        <x:v>11</x:v>
      </x:c>
      <x:c r="D655" s="14" t="str">
        <x:v>Configuration</x:v>
      </x:c>
      <x:c r="E655" s="14" t="str">
        <x:v>NOT COMMISSIONED</x:v>
      </x:c>
      <x:c r="F655" s="14" t="str">
        <x:v>OPEN</x:v>
      </x:c>
    </x:row>
    <x:row r="656">
      <x:c r="A656" s="15" t="str">
        <x:v>CH-0652</x:v>
      </x:c>
      <x:c r="B656" s="15" t="str">
        <x:v>SYS-11</x:v>
      </x:c>
      <x:c r="C656" s="15" t="n">
        <x:v>12</x:v>
      </x:c>
      <x:c r="D656" s="15" t="str">
        <x:v>Configuration</x:v>
      </x:c>
      <x:c r="E656" s="15" t="str">
        <x:v>NOT COMMISSIONED</x:v>
      </x:c>
      <x:c r="F656" s="15" t="str">
        <x:v>OPEN</x:v>
      </x:c>
    </x:row>
    <x:row r="657">
      <x:c r="A657" s="14" t="str">
        <x:v>CH-0653</x:v>
      </x:c>
      <x:c r="B657" s="14" t="str">
        <x:v>SYS-11</x:v>
      </x:c>
      <x:c r="C657" s="14" t="n">
        <x:v>13</x:v>
      </x:c>
      <x:c r="D657" s="14" t="str">
        <x:v>Configuration</x:v>
      </x:c>
      <x:c r="E657" s="14" t="str">
        <x:v>NOT COMMISSIONED</x:v>
      </x:c>
      <x:c r="F657" s="14" t="str">
        <x:v>OPEN</x:v>
      </x:c>
    </x:row>
    <x:row r="658">
      <x:c r="A658" s="15" t="str">
        <x:v>CH-0654</x:v>
      </x:c>
      <x:c r="B658" s="15" t="str">
        <x:v>SYS-11</x:v>
      </x:c>
      <x:c r="C658" s="15" t="n">
        <x:v>14</x:v>
      </x:c>
      <x:c r="D658" s="15" t="str">
        <x:v>Configuration</x:v>
      </x:c>
      <x:c r="E658" s="15" t="str">
        <x:v>NOT COMMISSIONED</x:v>
      </x:c>
      <x:c r="F658" s="15" t="str">
        <x:v>OPEN</x:v>
      </x:c>
    </x:row>
    <x:row r="659">
      <x:c r="A659" s="14" t="str">
        <x:v>CH-0655</x:v>
      </x:c>
      <x:c r="B659" s="14" t="str">
        <x:v>SYS-11</x:v>
      </x:c>
      <x:c r="C659" s="14" t="n">
        <x:v>15</x:v>
      </x:c>
      <x:c r="D659" s="14" t="str">
        <x:v>Configuration</x:v>
      </x:c>
      <x:c r="E659" s="14" t="str">
        <x:v>NOT COMMISSIONED</x:v>
      </x:c>
      <x:c r="F659" s="14" t="str">
        <x:v>OPEN</x:v>
      </x:c>
    </x:row>
    <x:row r="660">
      <x:c r="A660" s="15" t="str">
        <x:v>CH-0656</x:v>
      </x:c>
      <x:c r="B660" s="15" t="str">
        <x:v>SYS-11</x:v>
      </x:c>
      <x:c r="C660" s="15" t="n">
        <x:v>16</x:v>
      </x:c>
      <x:c r="D660" s="15" t="str">
        <x:v>Configuration</x:v>
      </x:c>
      <x:c r="E660" s="15" t="str">
        <x:v>NOT COMMISSIONED</x:v>
      </x:c>
      <x:c r="F660" s="15" t="str">
        <x:v>OPEN</x:v>
      </x:c>
    </x:row>
    <x:row r="661">
      <x:c r="A661" s="14" t="str">
        <x:v>CH-0657</x:v>
      </x:c>
      <x:c r="B661" s="14" t="str">
        <x:v>SYS-11</x:v>
      </x:c>
      <x:c r="C661" s="14" t="n">
        <x:v>17</x:v>
      </x:c>
      <x:c r="D661" s="14" t="str">
        <x:v>Configuration</x:v>
      </x:c>
      <x:c r="E661" s="14" t="str">
        <x:v>NOT COMMISSIONED</x:v>
      </x:c>
      <x:c r="F661" s="14" t="str">
        <x:v>OPEN</x:v>
      </x:c>
    </x:row>
    <x:row r="662">
      <x:c r="A662" s="15" t="str">
        <x:v>CH-0658</x:v>
      </x:c>
      <x:c r="B662" s="15" t="str">
        <x:v>SYS-11</x:v>
      </x:c>
      <x:c r="C662" s="15" t="n">
        <x:v>18</x:v>
      </x:c>
      <x:c r="D662" s="15" t="str">
        <x:v>Configuration</x:v>
      </x:c>
      <x:c r="E662" s="15" t="str">
        <x:v>NOT COMMISSIONED</x:v>
      </x:c>
      <x:c r="F662" s="15" t="str">
        <x:v>OPEN</x:v>
      </x:c>
    </x:row>
    <x:row r="663">
      <x:c r="A663" s="14" t="str">
        <x:v>CH-0659</x:v>
      </x:c>
      <x:c r="B663" s="14" t="str">
        <x:v>SYS-11</x:v>
      </x:c>
      <x:c r="C663" s="14" t="n">
        <x:v>19</x:v>
      </x:c>
      <x:c r="D663" s="14" t="str">
        <x:v>Configuration</x:v>
      </x:c>
      <x:c r="E663" s="14" t="str">
        <x:v>NOT COMMISSIONED</x:v>
      </x:c>
      <x:c r="F663" s="14" t="str">
        <x:v>OPEN</x:v>
      </x:c>
    </x:row>
    <x:row r="664">
      <x:c r="A664" s="15" t="str">
        <x:v>CH-0660</x:v>
      </x:c>
      <x:c r="B664" s="15" t="str">
        <x:v>SYS-11</x:v>
      </x:c>
      <x:c r="C664" s="15" t="n">
        <x:v>20</x:v>
      </x:c>
      <x:c r="D664" s="15" t="str">
        <x:v>Configuration</x:v>
      </x:c>
      <x:c r="E664" s="15" t="str">
        <x:v>NOT COMMISSIONED</x:v>
      </x:c>
      <x:c r="F664" s="15" t="str">
        <x:v>OPEN</x:v>
      </x:c>
    </x:row>
    <x:row r="665">
      <x:c r="A665" s="14" t="str">
        <x:v>CH-0661</x:v>
      </x:c>
      <x:c r="B665" s="14" t="str">
        <x:v>SYS-11</x:v>
      </x:c>
      <x:c r="C665" s="14" t="n">
        <x:v>21</x:v>
      </x:c>
      <x:c r="D665" s="14" t="str">
        <x:v>Configuration</x:v>
      </x:c>
      <x:c r="E665" s="14" t="str">
        <x:v>NOT COMMISSIONED</x:v>
      </x:c>
      <x:c r="F665" s="14" t="str">
        <x:v>OPEN</x:v>
      </x:c>
    </x:row>
    <x:row r="666">
      <x:c r="A666" s="15" t="str">
        <x:v>CH-0662</x:v>
      </x:c>
      <x:c r="B666" s="15" t="str">
        <x:v>SYS-11</x:v>
      </x:c>
      <x:c r="C666" s="15" t="n">
        <x:v>22</x:v>
      </x:c>
      <x:c r="D666" s="15" t="str">
        <x:v>Configuration</x:v>
      </x:c>
      <x:c r="E666" s="15" t="str">
        <x:v>NOT COMMISSIONED</x:v>
      </x:c>
      <x:c r="F666" s="15" t="str">
        <x:v>OPEN</x:v>
      </x:c>
    </x:row>
    <x:row r="667">
      <x:c r="A667" s="14" t="str">
        <x:v>CH-0663</x:v>
      </x:c>
      <x:c r="B667" s="14" t="str">
        <x:v>SYS-11</x:v>
      </x:c>
      <x:c r="C667" s="14" t="n">
        <x:v>23</x:v>
      </x:c>
      <x:c r="D667" s="14" t="str">
        <x:v>Configuration</x:v>
      </x:c>
      <x:c r="E667" s="14" t="str">
        <x:v>NOT COMMISSIONED</x:v>
      </x:c>
      <x:c r="F667" s="14" t="str">
        <x:v>OPEN</x:v>
      </x:c>
    </x:row>
    <x:row r="668">
      <x:c r="A668" s="15" t="str">
        <x:v>CH-0664</x:v>
      </x:c>
      <x:c r="B668" s="15" t="str">
        <x:v>SYS-11</x:v>
      </x:c>
      <x:c r="C668" s="15" t="n">
        <x:v>24</x:v>
      </x:c>
      <x:c r="D668" s="15" t="str">
        <x:v>Configuration</x:v>
      </x:c>
      <x:c r="E668" s="15" t="str">
        <x:v>NOT COMMISSIONED</x:v>
      </x:c>
      <x:c r="F668" s="15" t="str">
        <x:v>OPEN</x:v>
      </x:c>
    </x:row>
    <x:row r="669">
      <x:c r="A669" s="14" t="str">
        <x:v>CH-0665</x:v>
      </x:c>
      <x:c r="B669" s="14" t="str">
        <x:v>SYS-11</x:v>
      </x:c>
      <x:c r="C669" s="14" t="n">
        <x:v>25</x:v>
      </x:c>
      <x:c r="D669" s="14" t="str">
        <x:v>Configuration</x:v>
      </x:c>
      <x:c r="E669" s="14" t="str">
        <x:v>NOT COMMISSIONED</x:v>
      </x:c>
      <x:c r="F669" s="14" t="str">
        <x:v>OPEN</x:v>
      </x:c>
    </x:row>
    <x:row r="670">
      <x:c r="A670" s="15" t="str">
        <x:v>CH-0666</x:v>
      </x:c>
      <x:c r="B670" s="15" t="str">
        <x:v>SYS-11</x:v>
      </x:c>
      <x:c r="C670" s="15" t="n">
        <x:v>26</x:v>
      </x:c>
      <x:c r="D670" s="15" t="str">
        <x:v>Configuration</x:v>
      </x:c>
      <x:c r="E670" s="15" t="str">
        <x:v>NOT COMMISSIONED</x:v>
      </x:c>
      <x:c r="F670" s="15" t="str">
        <x:v>OPEN</x:v>
      </x:c>
    </x:row>
    <x:row r="671">
      <x:c r="A671" s="14" t="str">
        <x:v>CH-0667</x:v>
      </x:c>
      <x:c r="B671" s="14" t="str">
        <x:v>SYS-11</x:v>
      </x:c>
      <x:c r="C671" s="14" t="n">
        <x:v>27</x:v>
      </x:c>
      <x:c r="D671" s="14" t="str">
        <x:v>Configuration</x:v>
      </x:c>
      <x:c r="E671" s="14" t="str">
        <x:v>NOT COMMISSIONED</x:v>
      </x:c>
      <x:c r="F671" s="14" t="str">
        <x:v>OPEN</x:v>
      </x:c>
    </x:row>
    <x:row r="672">
      <x:c r="A672" s="15" t="str">
        <x:v>CH-0668</x:v>
      </x:c>
      <x:c r="B672" s="15" t="str">
        <x:v>SYS-11</x:v>
      </x:c>
      <x:c r="C672" s="15" t="n">
        <x:v>28</x:v>
      </x:c>
      <x:c r="D672" s="15" t="str">
        <x:v>Configuration</x:v>
      </x:c>
      <x:c r="E672" s="15" t="str">
        <x:v>NOT COMMISSIONED</x:v>
      </x:c>
      <x:c r="F672" s="15" t="str">
        <x:v>OPEN</x:v>
      </x:c>
    </x:row>
    <x:row r="673">
      <x:c r="A673" s="14" t="str">
        <x:v>CH-0669</x:v>
      </x:c>
      <x:c r="B673" s="14" t="str">
        <x:v>SYS-11</x:v>
      </x:c>
      <x:c r="C673" s="14" t="n">
        <x:v>29</x:v>
      </x:c>
      <x:c r="D673" s="14" t="str">
        <x:v>Configuration</x:v>
      </x:c>
      <x:c r="E673" s="14" t="str">
        <x:v>NOT COMMISSIONED</x:v>
      </x:c>
      <x:c r="F673" s="14" t="str">
        <x:v>OPEN</x:v>
      </x:c>
    </x:row>
    <x:row r="674">
      <x:c r="A674" s="15" t="str">
        <x:v>CH-0670</x:v>
      </x:c>
      <x:c r="B674" s="15" t="str">
        <x:v>SYS-11</x:v>
      </x:c>
      <x:c r="C674" s="15" t="n">
        <x:v>30</x:v>
      </x:c>
      <x:c r="D674" s="15" t="str">
        <x:v>Configuration</x:v>
      </x:c>
      <x:c r="E674" s="15" t="str">
        <x:v>NOT COMMISSIONED</x:v>
      </x:c>
      <x:c r="F674" s="15" t="str">
        <x:v>OPEN</x:v>
      </x:c>
    </x:row>
    <x:row r="675">
      <x:c r="A675" s="14" t="str">
        <x:v>CH-0671</x:v>
      </x:c>
      <x:c r="B675" s="14" t="str">
        <x:v>SYS-11</x:v>
      </x:c>
      <x:c r="C675" s="14" t="n">
        <x:v>31</x:v>
      </x:c>
      <x:c r="D675" s="14" t="str">
        <x:v>Configuration</x:v>
      </x:c>
      <x:c r="E675" s="14" t="str">
        <x:v>NOT COMMISSIONED</x:v>
      </x:c>
      <x:c r="F675" s="14" t="str">
        <x:v>OPEN</x:v>
      </x:c>
    </x:row>
    <x:row r="676">
      <x:c r="A676" s="15" t="str">
        <x:v>CH-0672</x:v>
      </x:c>
      <x:c r="B676" s="15" t="str">
        <x:v>SYS-11</x:v>
      </x:c>
      <x:c r="C676" s="15" t="n">
        <x:v>32</x:v>
      </x:c>
      <x:c r="D676" s="15" t="str">
        <x:v>Configuration</x:v>
      </x:c>
      <x:c r="E676" s="15" t="str">
        <x:v>NOT COMMISSIONED</x:v>
      </x:c>
      <x:c r="F676" s="15" t="str">
        <x:v>OPEN</x:v>
      </x:c>
    </x:row>
    <x:row r="677">
      <x:c r="A677" s="14" t="str">
        <x:v>CH-0673</x:v>
      </x:c>
      <x:c r="B677" s="14" t="str">
        <x:v>SYS-11</x:v>
      </x:c>
      <x:c r="C677" s="14" t="n">
        <x:v>33</x:v>
      </x:c>
      <x:c r="D677" s="14" t="str">
        <x:v>Configuration</x:v>
      </x:c>
      <x:c r="E677" s="14" t="str">
        <x:v>NOT COMMISSIONED</x:v>
      </x:c>
      <x:c r="F677" s="14" t="str">
        <x:v>OPEN</x:v>
      </x:c>
    </x:row>
    <x:row r="678">
      <x:c r="A678" s="15" t="str">
        <x:v>CH-0674</x:v>
      </x:c>
      <x:c r="B678" s="15" t="str">
        <x:v>SYS-11</x:v>
      </x:c>
      <x:c r="C678" s="15" t="n">
        <x:v>34</x:v>
      </x:c>
      <x:c r="D678" s="15" t="str">
        <x:v>Configuration</x:v>
      </x:c>
      <x:c r="E678" s="15" t="str">
        <x:v>NOT COMMISSIONED</x:v>
      </x:c>
      <x:c r="F678" s="15" t="str">
        <x:v>OPEN</x:v>
      </x:c>
    </x:row>
    <x:row r="679">
      <x:c r="A679" s="14" t="str">
        <x:v>CH-0675</x:v>
      </x:c>
      <x:c r="B679" s="14" t="str">
        <x:v>SYS-11</x:v>
      </x:c>
      <x:c r="C679" s="14" t="n">
        <x:v>35</x:v>
      </x:c>
      <x:c r="D679" s="14" t="str">
        <x:v>Configuration</x:v>
      </x:c>
      <x:c r="E679" s="14" t="str">
        <x:v>NOT COMMISSIONED</x:v>
      </x:c>
      <x:c r="F679" s="14" t="str">
        <x:v>OPEN</x:v>
      </x:c>
    </x:row>
    <x:row r="680">
      <x:c r="A680" s="15" t="str">
        <x:v>CH-0676</x:v>
      </x:c>
      <x:c r="B680" s="15" t="str">
        <x:v>SYS-11</x:v>
      </x:c>
      <x:c r="C680" s="15" t="n">
        <x:v>36</x:v>
      </x:c>
      <x:c r="D680" s="15" t="str">
        <x:v>Configuration</x:v>
      </x:c>
      <x:c r="E680" s="15" t="str">
        <x:v>NOT COMMISSIONED</x:v>
      </x:c>
      <x:c r="F680" s="15" t="str">
        <x:v>OPEN</x:v>
      </x:c>
    </x:row>
    <x:row r="681">
      <x:c r="A681" s="14" t="str">
        <x:v>CH-0677</x:v>
      </x:c>
      <x:c r="B681" s="14" t="str">
        <x:v>SYS-11</x:v>
      </x:c>
      <x:c r="C681" s="14" t="n">
        <x:v>37</x:v>
      </x:c>
      <x:c r="D681" s="14" t="str">
        <x:v>Configuration</x:v>
      </x:c>
      <x:c r="E681" s="14" t="str">
        <x:v>NOT COMMISSIONED</x:v>
      </x:c>
      <x:c r="F681" s="14" t="str">
        <x:v>OPEN</x:v>
      </x:c>
    </x:row>
    <x:row r="682">
      <x:c r="A682" s="15" t="str">
        <x:v>CH-0678</x:v>
      </x:c>
      <x:c r="B682" s="15" t="str">
        <x:v>SYS-11</x:v>
      </x:c>
      <x:c r="C682" s="15" t="n">
        <x:v>38</x:v>
      </x:c>
      <x:c r="D682" s="15" t="str">
        <x:v>Configuration</x:v>
      </x:c>
      <x:c r="E682" s="15" t="str">
        <x:v>NOT COMMISSIONED</x:v>
      </x:c>
      <x:c r="F682" s="15" t="str">
        <x:v>OPEN</x:v>
      </x:c>
    </x:row>
    <x:row r="683">
      <x:c r="A683" s="14" t="str">
        <x:v>CH-0679</x:v>
      </x:c>
      <x:c r="B683" s="14" t="str">
        <x:v>SYS-11</x:v>
      </x:c>
      <x:c r="C683" s="14" t="n">
        <x:v>39</x:v>
      </x:c>
      <x:c r="D683" s="14" t="str">
        <x:v>Configuration</x:v>
      </x:c>
      <x:c r="E683" s="14" t="str">
        <x:v>NOT COMMISSIONED</x:v>
      </x:c>
      <x:c r="F683" s="14" t="str">
        <x:v>OPEN</x:v>
      </x:c>
    </x:row>
    <x:row r="684">
      <x:c r="A684" s="15" t="str">
        <x:v>CH-0680</x:v>
      </x:c>
      <x:c r="B684" s="15" t="str">
        <x:v>SYS-11</x:v>
      </x:c>
      <x:c r="C684" s="15" t="n">
        <x:v>40</x:v>
      </x:c>
      <x:c r="D684" s="15" t="str">
        <x:v>Configuration</x:v>
      </x:c>
      <x:c r="E684" s="15" t="str">
        <x:v>NOT COMMISSIONED</x:v>
      </x:c>
      <x:c r="F684" s="15" t="str">
        <x:v>OPEN</x:v>
      </x:c>
    </x:row>
    <x:row r="685">
      <x:c r="A685" s="14" t="str">
        <x:v>CH-0681</x:v>
      </x:c>
      <x:c r="B685" s="14" t="str">
        <x:v>SYS-11</x:v>
      </x:c>
      <x:c r="C685" s="14" t="n">
        <x:v>41</x:v>
      </x:c>
      <x:c r="D685" s="14" t="str">
        <x:v>Configuration</x:v>
      </x:c>
      <x:c r="E685" s="14" t="str">
        <x:v>NOT COMMISSIONED</x:v>
      </x:c>
      <x:c r="F685" s="14" t="str">
        <x:v>OPEN</x:v>
      </x:c>
    </x:row>
    <x:row r="686">
      <x:c r="A686" s="15" t="str">
        <x:v>CH-0682</x:v>
      </x:c>
      <x:c r="B686" s="15" t="str">
        <x:v>SYS-11</x:v>
      </x:c>
      <x:c r="C686" s="15" t="n">
        <x:v>42</x:v>
      </x:c>
      <x:c r="D686" s="15" t="str">
        <x:v>Configuration</x:v>
      </x:c>
      <x:c r="E686" s="15" t="str">
        <x:v>NOT COMMISSIONED</x:v>
      </x:c>
      <x:c r="F686" s="15" t="str">
        <x:v>OPEN</x:v>
      </x:c>
    </x:row>
    <x:row r="687">
      <x:c r="A687" s="14" t="str">
        <x:v>CH-0683</x:v>
      </x:c>
      <x:c r="B687" s="14" t="str">
        <x:v>SYS-11</x:v>
      </x:c>
      <x:c r="C687" s="14" t="n">
        <x:v>43</x:v>
      </x:c>
      <x:c r="D687" s="14" t="str">
        <x:v>Configuration</x:v>
      </x:c>
      <x:c r="E687" s="14" t="str">
        <x:v>NOT COMMISSIONED</x:v>
      </x:c>
      <x:c r="F687" s="14" t="str">
        <x:v>OPEN</x:v>
      </x:c>
    </x:row>
    <x:row r="688">
      <x:c r="A688" s="15" t="str">
        <x:v>CH-0684</x:v>
      </x:c>
      <x:c r="B688" s="15" t="str">
        <x:v>SYS-11</x:v>
      </x:c>
      <x:c r="C688" s="15" t="n">
        <x:v>44</x:v>
      </x:c>
      <x:c r="D688" s="15" t="str">
        <x:v>Configuration</x:v>
      </x:c>
      <x:c r="E688" s="15" t="str">
        <x:v>NOT COMMISSIONED</x:v>
      </x:c>
      <x:c r="F688" s="15" t="str">
        <x:v>OPEN</x:v>
      </x:c>
    </x:row>
    <x:row r="689">
      <x:c r="A689" s="14" t="str">
        <x:v>CH-0685</x:v>
      </x:c>
      <x:c r="B689" s="14" t="str">
        <x:v>SYS-11</x:v>
      </x:c>
      <x:c r="C689" s="14" t="n">
        <x:v>45</x:v>
      </x:c>
      <x:c r="D689" s="14" t="str">
        <x:v>Configuration</x:v>
      </x:c>
      <x:c r="E689" s="14" t="str">
        <x:v>NOT COMMISSIONED</x:v>
      </x:c>
      <x:c r="F689" s="14" t="str">
        <x:v>OPEN</x:v>
      </x:c>
    </x:row>
    <x:row r="690">
      <x:c r="A690" s="15" t="str">
        <x:v>CH-0686</x:v>
      </x:c>
      <x:c r="B690" s="15" t="str">
        <x:v>SYS-11</x:v>
      </x:c>
      <x:c r="C690" s="15" t="n">
        <x:v>46</x:v>
      </x:c>
      <x:c r="D690" s="15" t="str">
        <x:v>Configuration</x:v>
      </x:c>
      <x:c r="E690" s="15" t="str">
        <x:v>NOT COMMISSIONED</x:v>
      </x:c>
      <x:c r="F690" s="15" t="str">
        <x:v>OPEN</x:v>
      </x:c>
    </x:row>
    <x:row r="691">
      <x:c r="A691" s="14" t="str">
        <x:v>CH-0687</x:v>
      </x:c>
      <x:c r="B691" s="14" t="str">
        <x:v>SYS-11</x:v>
      </x:c>
      <x:c r="C691" s="14" t="n">
        <x:v>47</x:v>
      </x:c>
      <x:c r="D691" s="14" t="str">
        <x:v>Configuration</x:v>
      </x:c>
      <x:c r="E691" s="14" t="str">
        <x:v>NOT COMMISSIONED</x:v>
      </x:c>
      <x:c r="F691" s="14" t="str">
        <x:v>OPEN</x:v>
      </x:c>
    </x:row>
    <x:row r="692">
      <x:c r="A692" s="15" t="str">
        <x:v>CH-0688</x:v>
      </x:c>
      <x:c r="B692" s="15" t="str">
        <x:v>SYS-11</x:v>
      </x:c>
      <x:c r="C692" s="15" t="n">
        <x:v>48</x:v>
      </x:c>
      <x:c r="D692" s="15" t="str">
        <x:v>Configuration</x:v>
      </x:c>
      <x:c r="E692" s="15" t="str">
        <x:v>NOT COMMISSIONED</x:v>
      </x:c>
      <x:c r="F692" s="15" t="str">
        <x:v>OPEN</x:v>
      </x:c>
    </x:row>
    <x:row r="693">
      <x:c r="A693" s="14" t="str">
        <x:v>CH-0689</x:v>
      </x:c>
      <x:c r="B693" s="14" t="str">
        <x:v>SYS-11</x:v>
      </x:c>
      <x:c r="C693" s="14" t="n">
        <x:v>49</x:v>
      </x:c>
      <x:c r="D693" s="14" t="str">
        <x:v>Configuration</x:v>
      </x:c>
      <x:c r="E693" s="14" t="str">
        <x:v>NOT COMMISSIONED</x:v>
      </x:c>
      <x:c r="F693" s="14" t="str">
        <x:v>OPEN</x:v>
      </x:c>
    </x:row>
    <x:row r="694">
      <x:c r="A694" s="15" t="str">
        <x:v>CH-0690</x:v>
      </x:c>
      <x:c r="B694" s="15" t="str">
        <x:v>SYS-11</x:v>
      </x:c>
      <x:c r="C694" s="15" t="n">
        <x:v>50</x:v>
      </x:c>
      <x:c r="D694" s="15" t="str">
        <x:v>Configuration</x:v>
      </x:c>
      <x:c r="E694" s="15" t="str">
        <x:v>NOT COMMISSIONED</x:v>
      </x:c>
      <x:c r="F694" s="15" t="str">
        <x:v>OPEN</x:v>
      </x:c>
    </x:row>
    <x:row r="695">
      <x:c r="A695" s="14" t="str">
        <x:v>CH-0691</x:v>
      </x:c>
      <x:c r="B695" s="14" t="str">
        <x:v>SYS-11</x:v>
      </x:c>
      <x:c r="C695" s="14" t="n">
        <x:v>51</x:v>
      </x:c>
      <x:c r="D695" s="14" t="str">
        <x:v>Configuration</x:v>
      </x:c>
      <x:c r="E695" s="14" t="str">
        <x:v>NOT COMMISSIONED</x:v>
      </x:c>
      <x:c r="F695" s="14" t="str">
        <x:v>OPEN</x:v>
      </x:c>
    </x:row>
    <x:row r="696">
      <x:c r="A696" s="15" t="str">
        <x:v>CH-0692</x:v>
      </x:c>
      <x:c r="B696" s="15" t="str">
        <x:v>SYS-11</x:v>
      </x:c>
      <x:c r="C696" s="15" t="n">
        <x:v>52</x:v>
      </x:c>
      <x:c r="D696" s="15" t="str">
        <x:v>Configuration</x:v>
      </x:c>
      <x:c r="E696" s="15" t="str">
        <x:v>NOT COMMISSIONED</x:v>
      </x:c>
      <x:c r="F696" s="15" t="str">
        <x:v>OPEN</x:v>
      </x:c>
    </x:row>
    <x:row r="697">
      <x:c r="A697" s="14" t="str">
        <x:v>CH-0693</x:v>
      </x:c>
      <x:c r="B697" s="14" t="str">
        <x:v>SYS-11</x:v>
      </x:c>
      <x:c r="C697" s="14" t="n">
        <x:v>53</x:v>
      </x:c>
      <x:c r="D697" s="14" t="str">
        <x:v>Configuration</x:v>
      </x:c>
      <x:c r="E697" s="14" t="str">
        <x:v>NOT COMMISSIONED</x:v>
      </x:c>
      <x:c r="F697" s="14" t="str">
        <x:v>OPEN</x:v>
      </x:c>
    </x:row>
    <x:row r="698">
      <x:c r="A698" s="15" t="str">
        <x:v>CH-0694</x:v>
      </x:c>
      <x:c r="B698" s="15" t="str">
        <x:v>SYS-11</x:v>
      </x:c>
      <x:c r="C698" s="15" t="n">
        <x:v>54</x:v>
      </x:c>
      <x:c r="D698" s="15" t="str">
        <x:v>Configuration</x:v>
      </x:c>
      <x:c r="E698" s="15" t="str">
        <x:v>NOT COMMISSIONED</x:v>
      </x:c>
      <x:c r="F698" s="15" t="str">
        <x:v>OPEN</x:v>
      </x:c>
    </x:row>
    <x:row r="699">
      <x:c r="A699" s="14" t="str">
        <x:v>CH-0695</x:v>
      </x:c>
      <x:c r="B699" s="14" t="str">
        <x:v>SYS-11</x:v>
      </x:c>
      <x:c r="C699" s="14" t="n">
        <x:v>55</x:v>
      </x:c>
      <x:c r="D699" s="14" t="str">
        <x:v>Configuration</x:v>
      </x:c>
      <x:c r="E699" s="14" t="str">
        <x:v>NOT COMMISSIONED</x:v>
      </x:c>
      <x:c r="F699" s="14" t="str">
        <x:v>OPEN</x:v>
      </x:c>
    </x:row>
    <x:row r="700">
      <x:c r="A700" s="15" t="str">
        <x:v>CH-0696</x:v>
      </x:c>
      <x:c r="B700" s="15" t="str">
        <x:v>SYS-11</x:v>
      </x:c>
      <x:c r="C700" s="15" t="n">
        <x:v>56</x:v>
      </x:c>
      <x:c r="D700" s="15" t="str">
        <x:v>Configuration</x:v>
      </x:c>
      <x:c r="E700" s="15" t="str">
        <x:v>NOT COMMISSIONED</x:v>
      </x:c>
      <x:c r="F700" s="15" t="str">
        <x:v>OPEN</x:v>
      </x:c>
    </x:row>
    <x:row r="701">
      <x:c r="A701" s="14" t="str">
        <x:v>CH-0697</x:v>
      </x:c>
      <x:c r="B701" s="14" t="str">
        <x:v>SYS-11</x:v>
      </x:c>
      <x:c r="C701" s="14" t="n">
        <x:v>57</x:v>
      </x:c>
      <x:c r="D701" s="14" t="str">
        <x:v>Configuration</x:v>
      </x:c>
      <x:c r="E701" s="14" t="str">
        <x:v>NOT COMMISSIONED</x:v>
      </x:c>
      <x:c r="F701" s="14" t="str">
        <x:v>OPEN</x:v>
      </x:c>
    </x:row>
    <x:row r="702">
      <x:c r="A702" s="15" t="str">
        <x:v>CH-0698</x:v>
      </x:c>
      <x:c r="B702" s="15" t="str">
        <x:v>SYS-11</x:v>
      </x:c>
      <x:c r="C702" s="15" t="n">
        <x:v>58</x:v>
      </x:c>
      <x:c r="D702" s="15" t="str">
        <x:v>Configuration</x:v>
      </x:c>
      <x:c r="E702" s="15" t="str">
        <x:v>NOT COMMISSIONED</x:v>
      </x:c>
      <x:c r="F702" s="15" t="str">
        <x:v>OPEN</x:v>
      </x:c>
    </x:row>
    <x:row r="703">
      <x:c r="A703" s="14" t="str">
        <x:v>CH-0699</x:v>
      </x:c>
      <x:c r="B703" s="14" t="str">
        <x:v>SYS-11</x:v>
      </x:c>
      <x:c r="C703" s="14" t="n">
        <x:v>59</x:v>
      </x:c>
      <x:c r="D703" s="14" t="str">
        <x:v>Configuration</x:v>
      </x:c>
      <x:c r="E703" s="14" t="str">
        <x:v>NOT COMMISSIONED</x:v>
      </x:c>
      <x:c r="F703" s="14" t="str">
        <x:v>OPEN</x:v>
      </x:c>
    </x:row>
    <x:row r="704">
      <x:c r="A704" s="15" t="str">
        <x:v>CH-0700</x:v>
      </x:c>
      <x:c r="B704" s="15" t="str">
        <x:v>SYS-11</x:v>
      </x:c>
      <x:c r="C704" s="15" t="n">
        <x:v>60</x:v>
      </x:c>
      <x:c r="D704" s="15" t="str">
        <x:v>Configuration</x:v>
      </x:c>
      <x:c r="E704" s="15" t="str">
        <x:v>NOT COMMISSIONED</x:v>
      </x:c>
      <x:c r="F704" s="15" t="str">
        <x:v>OPEN</x:v>
      </x:c>
    </x:row>
    <x:row r="705">
      <x:c r="A705" s="14" t="str">
        <x:v>CH-0701</x:v>
      </x:c>
      <x:c r="B705" s="14" t="str">
        <x:v>SYS-11</x:v>
      </x:c>
      <x:c r="C705" s="14" t="n">
        <x:v>61</x:v>
      </x:c>
      <x:c r="D705" s="14" t="str">
        <x:v>Configuration</x:v>
      </x:c>
      <x:c r="E705" s="14" t="str">
        <x:v>NOT COMMISSIONED</x:v>
      </x:c>
      <x:c r="F705" s="14" t="str">
        <x:v>OPEN</x:v>
      </x:c>
    </x:row>
    <x:row r="706">
      <x:c r="A706" s="15" t="str">
        <x:v>CH-0702</x:v>
      </x:c>
      <x:c r="B706" s="15" t="str">
        <x:v>SYS-11</x:v>
      </x:c>
      <x:c r="C706" s="15" t="n">
        <x:v>62</x:v>
      </x:c>
      <x:c r="D706" s="15" t="str">
        <x:v>Configuration</x:v>
      </x:c>
      <x:c r="E706" s="15" t="str">
        <x:v>NOT COMMISSIONED</x:v>
      </x:c>
      <x:c r="F706" s="15" t="str">
        <x:v>OPEN</x:v>
      </x:c>
    </x:row>
    <x:row r="707">
      <x:c r="A707" s="14" t="str">
        <x:v>CH-0703</x:v>
      </x:c>
      <x:c r="B707" s="14" t="str">
        <x:v>SYS-11</x:v>
      </x:c>
      <x:c r="C707" s="14" t="n">
        <x:v>63</x:v>
      </x:c>
      <x:c r="D707" s="14" t="str">
        <x:v>Configuration</x:v>
      </x:c>
      <x:c r="E707" s="14" t="str">
        <x:v>NOT COMMISSIONED</x:v>
      </x:c>
      <x:c r="F707" s="14" t="str">
        <x:v>OPEN</x:v>
      </x:c>
    </x:row>
    <x:row r="708">
      <x:c r="A708" s="15" t="str">
        <x:v>CH-0704</x:v>
      </x:c>
      <x:c r="B708" s="15" t="str">
        <x:v>SYS-11</x:v>
      </x:c>
      <x:c r="C708" s="15" t="n">
        <x:v>64</x:v>
      </x:c>
      <x:c r="D708" s="15" t="str">
        <x:v>Configuration</x:v>
      </x:c>
      <x:c r="E708" s="15" t="str">
        <x:v>NOT COMMISSIONED</x:v>
      </x:c>
      <x:c r="F708" s="15" t="str">
        <x:v>OPEN</x:v>
      </x:c>
    </x:row>
    <x:row r="709">
      <x:c r="A709" s="14" t="str">
        <x:v>CH-0705</x:v>
      </x:c>
      <x:c r="B709" s="14" t="str">
        <x:v>SYS-12</x:v>
      </x:c>
      <x:c r="C709" s="14" t="n">
        <x:v>1</x:v>
      </x:c>
      <x:c r="D709" s="14" t="str">
        <x:v>Source</x:v>
      </x:c>
      <x:c r="E709" s="14" t="str">
        <x:v>NOT COMMISSIONED</x:v>
      </x:c>
      <x:c r="F709" s="14" t="str">
        <x:v>OPEN</x:v>
      </x:c>
    </x:row>
    <x:row r="710">
      <x:c r="A710" s="15" t="str">
        <x:v>CH-0706</x:v>
      </x:c>
      <x:c r="B710" s="15" t="str">
        <x:v>SYS-12</x:v>
      </x:c>
      <x:c r="C710" s="15" t="n">
        <x:v>2</x:v>
      </x:c>
      <x:c r="D710" s="15" t="str">
        <x:v>Source</x:v>
      </x:c>
      <x:c r="E710" s="15" t="str">
        <x:v>NOT COMMISSIONED</x:v>
      </x:c>
      <x:c r="F710" s="15" t="str">
        <x:v>OPEN</x:v>
      </x:c>
    </x:row>
    <x:row r="711">
      <x:c r="A711" s="14" t="str">
        <x:v>CH-0707</x:v>
      </x:c>
      <x:c r="B711" s="14" t="str">
        <x:v>SYS-12</x:v>
      </x:c>
      <x:c r="C711" s="14" t="n">
        <x:v>3</x:v>
      </x:c>
      <x:c r="D711" s="14" t="str">
        <x:v>Source</x:v>
      </x:c>
      <x:c r="E711" s="14" t="str">
        <x:v>NOT COMMISSIONED</x:v>
      </x:c>
      <x:c r="F711" s="14" t="str">
        <x:v>OPEN</x:v>
      </x:c>
    </x:row>
    <x:row r="712">
      <x:c r="A712" s="15" t="str">
        <x:v>CH-0708</x:v>
      </x:c>
      <x:c r="B712" s="15" t="str">
        <x:v>SYS-12</x:v>
      </x:c>
      <x:c r="C712" s="15" t="n">
        <x:v>4</x:v>
      </x:c>
      <x:c r="D712" s="15" t="str">
        <x:v>Source</x:v>
      </x:c>
      <x:c r="E712" s="15" t="str">
        <x:v>NOT COMMISSIONED</x:v>
      </x:c>
      <x:c r="F712" s="15" t="str">
        <x:v>OPEN</x:v>
      </x:c>
    </x:row>
    <x:row r="713">
      <x:c r="A713" s="14" t="str">
        <x:v>CH-0709</x:v>
      </x:c>
      <x:c r="B713" s="14" t="str">
        <x:v>SYS-12</x:v>
      </x:c>
      <x:c r="C713" s="14" t="n">
        <x:v>5</x:v>
      </x:c>
      <x:c r="D713" s="14" t="str">
        <x:v>Source</x:v>
      </x:c>
      <x:c r="E713" s="14" t="str">
        <x:v>NOT COMMISSIONED</x:v>
      </x:c>
      <x:c r="F713" s="14" t="str">
        <x:v>OPEN</x:v>
      </x:c>
    </x:row>
    <x:row r="714">
      <x:c r="A714" s="15" t="str">
        <x:v>CH-0710</x:v>
      </x:c>
      <x:c r="B714" s="15" t="str">
        <x:v>SYS-12</x:v>
      </x:c>
      <x:c r="C714" s="15" t="n">
        <x:v>6</x:v>
      </x:c>
      <x:c r="D714" s="15" t="str">
        <x:v>Source</x:v>
      </x:c>
      <x:c r="E714" s="15" t="str">
        <x:v>NOT COMMISSIONED</x:v>
      </x:c>
      <x:c r="F714" s="15" t="str">
        <x:v>OPEN</x:v>
      </x:c>
    </x:row>
    <x:row r="715">
      <x:c r="A715" s="14" t="str">
        <x:v>CH-0711</x:v>
      </x:c>
      <x:c r="B715" s="14" t="str">
        <x:v>SYS-12</x:v>
      </x:c>
      <x:c r="C715" s="14" t="n">
        <x:v>7</x:v>
      </x:c>
      <x:c r="D715" s="14" t="str">
        <x:v>Source</x:v>
      </x:c>
      <x:c r="E715" s="14" t="str">
        <x:v>NOT COMMISSIONED</x:v>
      </x:c>
      <x:c r="F715" s="14" t="str">
        <x:v>OPEN</x:v>
      </x:c>
    </x:row>
    <x:row r="716">
      <x:c r="A716" s="15" t="str">
        <x:v>CH-0712</x:v>
      </x:c>
      <x:c r="B716" s="15" t="str">
        <x:v>SYS-12</x:v>
      </x:c>
      <x:c r="C716" s="15" t="n">
        <x:v>8</x:v>
      </x:c>
      <x:c r="D716" s="15" t="str">
        <x:v>Source</x:v>
      </x:c>
      <x:c r="E716" s="15" t="str">
        <x:v>NOT COMMISSIONED</x:v>
      </x:c>
      <x:c r="F716" s="15" t="str">
        <x:v>OPEN</x:v>
      </x:c>
    </x:row>
    <x:row r="717">
      <x:c r="A717" s="14" t="str">
        <x:v>CH-0713</x:v>
      </x:c>
      <x:c r="B717" s="14" t="str">
        <x:v>SYS-12</x:v>
      </x:c>
      <x:c r="C717" s="14" t="n">
        <x:v>9</x:v>
      </x:c>
      <x:c r="D717" s="14" t="str">
        <x:v>Source</x:v>
      </x:c>
      <x:c r="E717" s="14" t="str">
        <x:v>NOT COMMISSIONED</x:v>
      </x:c>
      <x:c r="F717" s="14" t="str">
        <x:v>OPEN</x:v>
      </x:c>
    </x:row>
    <x:row r="718">
      <x:c r="A718" s="15" t="str">
        <x:v>CH-0714</x:v>
      </x:c>
      <x:c r="B718" s="15" t="str">
        <x:v>SYS-12</x:v>
      </x:c>
      <x:c r="C718" s="15" t="n">
        <x:v>10</x:v>
      </x:c>
      <x:c r="D718" s="15" t="str">
        <x:v>Source</x:v>
      </x:c>
      <x:c r="E718" s="15" t="str">
        <x:v>NOT COMMISSIONED</x:v>
      </x:c>
      <x:c r="F718" s="15" t="str">
        <x:v>OPEN</x:v>
      </x:c>
    </x:row>
    <x:row r="719">
      <x:c r="A719" s="14" t="str">
        <x:v>CH-0715</x:v>
      </x:c>
      <x:c r="B719" s="14" t="str">
        <x:v>SYS-12</x:v>
      </x:c>
      <x:c r="C719" s="14" t="n">
        <x:v>11</x:v>
      </x:c>
      <x:c r="D719" s="14" t="str">
        <x:v>Source</x:v>
      </x:c>
      <x:c r="E719" s="14" t="str">
        <x:v>NOT COMMISSIONED</x:v>
      </x:c>
      <x:c r="F719" s="14" t="str">
        <x:v>OPEN</x:v>
      </x:c>
    </x:row>
    <x:row r="720">
      <x:c r="A720" s="15" t="str">
        <x:v>CH-0716</x:v>
      </x:c>
      <x:c r="B720" s="15" t="str">
        <x:v>SYS-12</x:v>
      </x:c>
      <x:c r="C720" s="15" t="n">
        <x:v>12</x:v>
      </x:c>
      <x:c r="D720" s="15" t="str">
        <x:v>Source</x:v>
      </x:c>
      <x:c r="E720" s="15" t="str">
        <x:v>NOT COMMISSIONED</x:v>
      </x:c>
      <x:c r="F720" s="15" t="str">
        <x:v>OPEN</x:v>
      </x:c>
    </x:row>
    <x:row r="721">
      <x:c r="A721" s="14" t="str">
        <x:v>CH-0717</x:v>
      </x:c>
      <x:c r="B721" s="14" t="str">
        <x:v>SYS-12</x:v>
      </x:c>
      <x:c r="C721" s="14" t="n">
        <x:v>13</x:v>
      </x:c>
      <x:c r="D721" s="14" t="str">
        <x:v>Source</x:v>
      </x:c>
      <x:c r="E721" s="14" t="str">
        <x:v>NOT COMMISSIONED</x:v>
      </x:c>
      <x:c r="F721" s="14" t="str">
        <x:v>OPEN</x:v>
      </x:c>
    </x:row>
    <x:row r="722">
      <x:c r="A722" s="15" t="str">
        <x:v>CH-0718</x:v>
      </x:c>
      <x:c r="B722" s="15" t="str">
        <x:v>SYS-12</x:v>
      </x:c>
      <x:c r="C722" s="15" t="n">
        <x:v>14</x:v>
      </x:c>
      <x:c r="D722" s="15" t="str">
        <x:v>Source</x:v>
      </x:c>
      <x:c r="E722" s="15" t="str">
        <x:v>NOT COMMISSIONED</x:v>
      </x:c>
      <x:c r="F722" s="15" t="str">
        <x:v>OPEN</x:v>
      </x:c>
    </x:row>
    <x:row r="723">
      <x:c r="A723" s="14" t="str">
        <x:v>CH-0719</x:v>
      </x:c>
      <x:c r="B723" s="14" t="str">
        <x:v>SYS-12</x:v>
      </x:c>
      <x:c r="C723" s="14" t="n">
        <x:v>15</x:v>
      </x:c>
      <x:c r="D723" s="14" t="str">
        <x:v>Source</x:v>
      </x:c>
      <x:c r="E723" s="14" t="str">
        <x:v>NOT COMMISSIONED</x:v>
      </x:c>
      <x:c r="F723" s="14" t="str">
        <x:v>OPEN</x:v>
      </x:c>
    </x:row>
    <x:row r="724">
      <x:c r="A724" s="15" t="str">
        <x:v>CH-0720</x:v>
      </x:c>
      <x:c r="B724" s="15" t="str">
        <x:v>SYS-12</x:v>
      </x:c>
      <x:c r="C724" s="15" t="n">
        <x:v>16</x:v>
      </x:c>
      <x:c r="D724" s="15" t="str">
        <x:v>Source</x:v>
      </x:c>
      <x:c r="E724" s="15" t="str">
        <x:v>NOT COMMISSIONED</x:v>
      </x:c>
      <x:c r="F724" s="15" t="str">
        <x:v>OPEN</x:v>
      </x:c>
    </x:row>
    <x:row r="725">
      <x:c r="A725" s="14" t="str">
        <x:v>CH-0721</x:v>
      </x:c>
      <x:c r="B725" s="14" t="str">
        <x:v>SYS-12</x:v>
      </x:c>
      <x:c r="C725" s="14" t="n">
        <x:v>17</x:v>
      </x:c>
      <x:c r="D725" s="14" t="str">
        <x:v>Source</x:v>
      </x:c>
      <x:c r="E725" s="14" t="str">
        <x:v>NOT COMMISSIONED</x:v>
      </x:c>
      <x:c r="F725" s="14" t="str">
        <x:v>OPEN</x:v>
      </x:c>
    </x:row>
    <x:row r="726">
      <x:c r="A726" s="15" t="str">
        <x:v>CH-0722</x:v>
      </x:c>
      <x:c r="B726" s="15" t="str">
        <x:v>SYS-12</x:v>
      </x:c>
      <x:c r="C726" s="15" t="n">
        <x:v>18</x:v>
      </x:c>
      <x:c r="D726" s="15" t="str">
        <x:v>Source</x:v>
      </x:c>
      <x:c r="E726" s="15" t="str">
        <x:v>NOT COMMISSIONED</x:v>
      </x:c>
      <x:c r="F726" s="15" t="str">
        <x:v>OPEN</x:v>
      </x:c>
    </x:row>
    <x:row r="727">
      <x:c r="A727" s="14" t="str">
        <x:v>CH-0723</x:v>
      </x:c>
      <x:c r="B727" s="14" t="str">
        <x:v>SYS-12</x:v>
      </x:c>
      <x:c r="C727" s="14" t="n">
        <x:v>19</x:v>
      </x:c>
      <x:c r="D727" s="14" t="str">
        <x:v>Source</x:v>
      </x:c>
      <x:c r="E727" s="14" t="str">
        <x:v>NOT COMMISSIONED</x:v>
      </x:c>
      <x:c r="F727" s="14" t="str">
        <x:v>OPEN</x:v>
      </x:c>
    </x:row>
    <x:row r="728">
      <x:c r="A728" s="15" t="str">
        <x:v>CH-0724</x:v>
      </x:c>
      <x:c r="B728" s="15" t="str">
        <x:v>SYS-12</x:v>
      </x:c>
      <x:c r="C728" s="15" t="n">
        <x:v>20</x:v>
      </x:c>
      <x:c r="D728" s="15" t="str">
        <x:v>Source</x:v>
      </x:c>
      <x:c r="E728" s="15" t="str">
        <x:v>NOT COMMISSIONED</x:v>
      </x:c>
      <x:c r="F728" s="15" t="str">
        <x:v>OPEN</x:v>
      </x:c>
    </x:row>
    <x:row r="729">
      <x:c r="A729" s="14" t="str">
        <x:v>CH-0725</x:v>
      </x:c>
      <x:c r="B729" s="14" t="str">
        <x:v>SYS-12</x:v>
      </x:c>
      <x:c r="C729" s="14" t="n">
        <x:v>21</x:v>
      </x:c>
      <x:c r="D729" s="14" t="str">
        <x:v>Source</x:v>
      </x:c>
      <x:c r="E729" s="14" t="str">
        <x:v>NOT COMMISSIONED</x:v>
      </x:c>
      <x:c r="F729" s="14" t="str">
        <x:v>OPEN</x:v>
      </x:c>
    </x:row>
    <x:row r="730">
      <x:c r="A730" s="15" t="str">
        <x:v>CH-0726</x:v>
      </x:c>
      <x:c r="B730" s="15" t="str">
        <x:v>SYS-12</x:v>
      </x:c>
      <x:c r="C730" s="15" t="n">
        <x:v>22</x:v>
      </x:c>
      <x:c r="D730" s="15" t="str">
        <x:v>Source</x:v>
      </x:c>
      <x:c r="E730" s="15" t="str">
        <x:v>NOT COMMISSIONED</x:v>
      </x:c>
      <x:c r="F730" s="15" t="str">
        <x:v>OPEN</x:v>
      </x:c>
    </x:row>
    <x:row r="731">
      <x:c r="A731" s="14" t="str">
        <x:v>CH-0727</x:v>
      </x:c>
      <x:c r="B731" s="14" t="str">
        <x:v>SYS-12</x:v>
      </x:c>
      <x:c r="C731" s="14" t="n">
        <x:v>23</x:v>
      </x:c>
      <x:c r="D731" s="14" t="str">
        <x:v>Source</x:v>
      </x:c>
      <x:c r="E731" s="14" t="str">
        <x:v>NOT COMMISSIONED</x:v>
      </x:c>
      <x:c r="F731" s="14" t="str">
        <x:v>OPEN</x:v>
      </x:c>
    </x:row>
    <x:row r="732">
      <x:c r="A732" s="15" t="str">
        <x:v>CH-0728</x:v>
      </x:c>
      <x:c r="B732" s="15" t="str">
        <x:v>SYS-12</x:v>
      </x:c>
      <x:c r="C732" s="15" t="n">
        <x:v>24</x:v>
      </x:c>
      <x:c r="D732" s="15" t="str">
        <x:v>Source</x:v>
      </x:c>
      <x:c r="E732" s="15" t="str">
        <x:v>NOT COMMISSIONED</x:v>
      </x:c>
      <x:c r="F732" s="15" t="str">
        <x:v>OPEN</x:v>
      </x:c>
    </x:row>
    <x:row r="733">
      <x:c r="A733" s="14" t="str">
        <x:v>CH-0729</x:v>
      </x:c>
      <x:c r="B733" s="14" t="str">
        <x:v>SYS-12</x:v>
      </x:c>
      <x:c r="C733" s="14" t="n">
        <x:v>25</x:v>
      </x:c>
      <x:c r="D733" s="14" t="str">
        <x:v>Source</x:v>
      </x:c>
      <x:c r="E733" s="14" t="str">
        <x:v>NOT COMMISSIONED</x:v>
      </x:c>
      <x:c r="F733" s="14" t="str">
        <x:v>OPEN</x:v>
      </x:c>
    </x:row>
    <x:row r="734">
      <x:c r="A734" s="15" t="str">
        <x:v>CH-0730</x:v>
      </x:c>
      <x:c r="B734" s="15" t="str">
        <x:v>SYS-12</x:v>
      </x:c>
      <x:c r="C734" s="15" t="n">
        <x:v>26</x:v>
      </x:c>
      <x:c r="D734" s="15" t="str">
        <x:v>Source</x:v>
      </x:c>
      <x:c r="E734" s="15" t="str">
        <x:v>NOT COMMISSIONED</x:v>
      </x:c>
      <x:c r="F734" s="15" t="str">
        <x:v>OPEN</x:v>
      </x:c>
    </x:row>
    <x:row r="735">
      <x:c r="A735" s="14" t="str">
        <x:v>CH-0731</x:v>
      </x:c>
      <x:c r="B735" s="14" t="str">
        <x:v>SYS-12</x:v>
      </x:c>
      <x:c r="C735" s="14" t="n">
        <x:v>27</x:v>
      </x:c>
      <x:c r="D735" s="14" t="str">
        <x:v>Source</x:v>
      </x:c>
      <x:c r="E735" s="14" t="str">
        <x:v>NOT COMMISSIONED</x:v>
      </x:c>
      <x:c r="F735" s="14" t="str">
        <x:v>OPEN</x:v>
      </x:c>
    </x:row>
    <x:row r="736">
      <x:c r="A736" s="15" t="str">
        <x:v>CH-0732</x:v>
      </x:c>
      <x:c r="B736" s="15" t="str">
        <x:v>SYS-12</x:v>
      </x:c>
      <x:c r="C736" s="15" t="n">
        <x:v>28</x:v>
      </x:c>
      <x:c r="D736" s="15" t="str">
        <x:v>Source</x:v>
      </x:c>
      <x:c r="E736" s="15" t="str">
        <x:v>NOT COMMISSIONED</x:v>
      </x:c>
      <x:c r="F736" s="15" t="str">
        <x:v>OPEN</x:v>
      </x:c>
    </x:row>
    <x:row r="737">
      <x:c r="A737" s="14" t="str">
        <x:v>CH-0733</x:v>
      </x:c>
      <x:c r="B737" s="14" t="str">
        <x:v>SYS-12</x:v>
      </x:c>
      <x:c r="C737" s="14" t="n">
        <x:v>29</x:v>
      </x:c>
      <x:c r="D737" s="14" t="str">
        <x:v>Source</x:v>
      </x:c>
      <x:c r="E737" s="14" t="str">
        <x:v>NOT COMMISSIONED</x:v>
      </x:c>
      <x:c r="F737" s="14" t="str">
        <x:v>OPEN</x:v>
      </x:c>
    </x:row>
    <x:row r="738">
      <x:c r="A738" s="15" t="str">
        <x:v>CH-0734</x:v>
      </x:c>
      <x:c r="B738" s="15" t="str">
        <x:v>SYS-12</x:v>
      </x:c>
      <x:c r="C738" s="15" t="n">
        <x:v>30</x:v>
      </x:c>
      <x:c r="D738" s="15" t="str">
        <x:v>Source</x:v>
      </x:c>
      <x:c r="E738" s="15" t="str">
        <x:v>NOT COMMISSIONED</x:v>
      </x:c>
      <x:c r="F738" s="15" t="str">
        <x:v>OPEN</x:v>
      </x:c>
    </x:row>
    <x:row r="739">
      <x:c r="A739" s="14" t="str">
        <x:v>CH-0735</x:v>
      </x:c>
      <x:c r="B739" s="14" t="str">
        <x:v>SYS-12</x:v>
      </x:c>
      <x:c r="C739" s="14" t="n">
        <x:v>31</x:v>
      </x:c>
      <x:c r="D739" s="14" t="str">
        <x:v>Source</x:v>
      </x:c>
      <x:c r="E739" s="14" t="str">
        <x:v>NOT COMMISSIONED</x:v>
      </x:c>
      <x:c r="F739" s="14" t="str">
        <x:v>OPEN</x:v>
      </x:c>
    </x:row>
    <x:row r="740">
      <x:c r="A740" s="15" t="str">
        <x:v>CH-0736</x:v>
      </x:c>
      <x:c r="B740" s="15" t="str">
        <x:v>SYS-12</x:v>
      </x:c>
      <x:c r="C740" s="15" t="n">
        <x:v>32</x:v>
      </x:c>
      <x:c r="D740" s="15" t="str">
        <x:v>Source</x:v>
      </x:c>
      <x:c r="E740" s="15" t="str">
        <x:v>NOT COMMISSIONED</x:v>
      </x:c>
      <x:c r="F740" s="15" t="str">
        <x:v>OPEN</x:v>
      </x:c>
    </x:row>
    <x:row r="741">
      <x:c r="A741" s="14" t="str">
        <x:v>CH-0737</x:v>
      </x:c>
      <x:c r="B741" s="14" t="str">
        <x:v>SYS-12</x:v>
      </x:c>
      <x:c r="C741" s="14" t="n">
        <x:v>33</x:v>
      </x:c>
      <x:c r="D741" s="14" t="str">
        <x:v>Source</x:v>
      </x:c>
      <x:c r="E741" s="14" t="str">
        <x:v>NOT COMMISSIONED</x:v>
      </x:c>
      <x:c r="F741" s="14" t="str">
        <x:v>OPEN</x:v>
      </x:c>
    </x:row>
    <x:row r="742">
      <x:c r="A742" s="15" t="str">
        <x:v>CH-0738</x:v>
      </x:c>
      <x:c r="B742" s="15" t="str">
        <x:v>SYS-12</x:v>
      </x:c>
      <x:c r="C742" s="15" t="n">
        <x:v>34</x:v>
      </x:c>
      <x:c r="D742" s="15" t="str">
        <x:v>Source</x:v>
      </x:c>
      <x:c r="E742" s="15" t="str">
        <x:v>NOT COMMISSIONED</x:v>
      </x:c>
      <x:c r="F742" s="15" t="str">
        <x:v>OPEN</x:v>
      </x:c>
    </x:row>
    <x:row r="743">
      <x:c r="A743" s="14" t="str">
        <x:v>CH-0739</x:v>
      </x:c>
      <x:c r="B743" s="14" t="str">
        <x:v>SYS-12</x:v>
      </x:c>
      <x:c r="C743" s="14" t="n">
        <x:v>35</x:v>
      </x:c>
      <x:c r="D743" s="14" t="str">
        <x:v>Source</x:v>
      </x:c>
      <x:c r="E743" s="14" t="str">
        <x:v>NOT COMMISSIONED</x:v>
      </x:c>
      <x:c r="F743" s="14" t="str">
        <x:v>OPEN</x:v>
      </x:c>
    </x:row>
    <x:row r="744">
      <x:c r="A744" s="15" t="str">
        <x:v>CH-0740</x:v>
      </x:c>
      <x:c r="B744" s="15" t="str">
        <x:v>SYS-12</x:v>
      </x:c>
      <x:c r="C744" s="15" t="n">
        <x:v>36</x:v>
      </x:c>
      <x:c r="D744" s="15" t="str">
        <x:v>Source</x:v>
      </x:c>
      <x:c r="E744" s="15" t="str">
        <x:v>NOT COMMISSIONED</x:v>
      </x:c>
      <x:c r="F744" s="15" t="str">
        <x:v>OPEN</x:v>
      </x:c>
    </x:row>
    <x:row r="745">
      <x:c r="A745" s="14" t="str">
        <x:v>CH-0741</x:v>
      </x:c>
      <x:c r="B745" s="14" t="str">
        <x:v>SYS-12</x:v>
      </x:c>
      <x:c r="C745" s="14" t="n">
        <x:v>37</x:v>
      </x:c>
      <x:c r="D745" s="14" t="str">
        <x:v>Source</x:v>
      </x:c>
      <x:c r="E745" s="14" t="str">
        <x:v>NOT COMMISSIONED</x:v>
      </x:c>
      <x:c r="F745" s="14" t="str">
        <x:v>OPEN</x:v>
      </x:c>
    </x:row>
    <x:row r="746">
      <x:c r="A746" s="15" t="str">
        <x:v>CH-0742</x:v>
      </x:c>
      <x:c r="B746" s="15" t="str">
        <x:v>SYS-12</x:v>
      </x:c>
      <x:c r="C746" s="15" t="n">
        <x:v>38</x:v>
      </x:c>
      <x:c r="D746" s="15" t="str">
        <x:v>Source</x:v>
      </x:c>
      <x:c r="E746" s="15" t="str">
        <x:v>NOT COMMISSIONED</x:v>
      </x:c>
      <x:c r="F746" s="15" t="str">
        <x:v>OPEN</x:v>
      </x:c>
    </x:row>
    <x:row r="747">
      <x:c r="A747" s="14" t="str">
        <x:v>CH-0743</x:v>
      </x:c>
      <x:c r="B747" s="14" t="str">
        <x:v>SYS-12</x:v>
      </x:c>
      <x:c r="C747" s="14" t="n">
        <x:v>39</x:v>
      </x:c>
      <x:c r="D747" s="14" t="str">
        <x:v>Source</x:v>
      </x:c>
      <x:c r="E747" s="14" t="str">
        <x:v>NOT COMMISSIONED</x:v>
      </x:c>
      <x:c r="F747" s="14" t="str">
        <x:v>OPEN</x:v>
      </x:c>
    </x:row>
    <x:row r="748">
      <x:c r="A748" s="15" t="str">
        <x:v>CH-0744</x:v>
      </x:c>
      <x:c r="B748" s="15" t="str">
        <x:v>SYS-12</x:v>
      </x:c>
      <x:c r="C748" s="15" t="n">
        <x:v>40</x:v>
      </x:c>
      <x:c r="D748" s="15" t="str">
        <x:v>Source</x:v>
      </x:c>
      <x:c r="E748" s="15" t="str">
        <x:v>NOT COMMISSIONED</x:v>
      </x:c>
      <x:c r="F748" s="15" t="str">
        <x:v>OPEN</x:v>
      </x:c>
    </x:row>
    <x:row r="749">
      <x:c r="A749" s="14" t="str">
        <x:v>CH-0745</x:v>
      </x:c>
      <x:c r="B749" s="14" t="str">
        <x:v>SYS-12</x:v>
      </x:c>
      <x:c r="C749" s="14" t="n">
        <x:v>41</x:v>
      </x:c>
      <x:c r="D749" s="14" t="str">
        <x:v>Source</x:v>
      </x:c>
      <x:c r="E749" s="14" t="str">
        <x:v>NOT COMMISSIONED</x:v>
      </x:c>
      <x:c r="F749" s="14" t="str">
        <x:v>OPEN</x:v>
      </x:c>
    </x:row>
    <x:row r="750">
      <x:c r="A750" s="15" t="str">
        <x:v>CH-0746</x:v>
      </x:c>
      <x:c r="B750" s="15" t="str">
        <x:v>SYS-12</x:v>
      </x:c>
      <x:c r="C750" s="15" t="n">
        <x:v>42</x:v>
      </x:c>
      <x:c r="D750" s="15" t="str">
        <x:v>Source</x:v>
      </x:c>
      <x:c r="E750" s="15" t="str">
        <x:v>NOT COMMISSIONED</x:v>
      </x:c>
      <x:c r="F750" s="15" t="str">
        <x:v>OPEN</x:v>
      </x:c>
    </x:row>
    <x:row r="751">
      <x:c r="A751" s="14" t="str">
        <x:v>CH-0747</x:v>
      </x:c>
      <x:c r="B751" s="14" t="str">
        <x:v>SYS-12</x:v>
      </x:c>
      <x:c r="C751" s="14" t="n">
        <x:v>43</x:v>
      </x:c>
      <x:c r="D751" s="14" t="str">
        <x:v>Source</x:v>
      </x:c>
      <x:c r="E751" s="14" t="str">
        <x:v>NOT COMMISSIONED</x:v>
      </x:c>
      <x:c r="F751" s="14" t="str">
        <x:v>OPEN</x:v>
      </x:c>
    </x:row>
    <x:row r="752">
      <x:c r="A752" s="15" t="str">
        <x:v>CH-0748</x:v>
      </x:c>
      <x:c r="B752" s="15" t="str">
        <x:v>SYS-12</x:v>
      </x:c>
      <x:c r="C752" s="15" t="n">
        <x:v>44</x:v>
      </x:c>
      <x:c r="D752" s="15" t="str">
        <x:v>Source</x:v>
      </x:c>
      <x:c r="E752" s="15" t="str">
        <x:v>NOT COMMISSIONED</x:v>
      </x:c>
      <x:c r="F752" s="15" t="str">
        <x:v>OPEN</x:v>
      </x:c>
    </x:row>
    <x:row r="753">
      <x:c r="A753" s="14" t="str">
        <x:v>CH-0749</x:v>
      </x:c>
      <x:c r="B753" s="14" t="str">
        <x:v>SYS-12</x:v>
      </x:c>
      <x:c r="C753" s="14" t="n">
        <x:v>45</x:v>
      </x:c>
      <x:c r="D753" s="14" t="str">
        <x:v>Source</x:v>
      </x:c>
      <x:c r="E753" s="14" t="str">
        <x:v>NOT COMMISSIONED</x:v>
      </x:c>
      <x:c r="F753" s="14" t="str">
        <x:v>OPEN</x:v>
      </x:c>
    </x:row>
    <x:row r="754">
      <x:c r="A754" s="15" t="str">
        <x:v>CH-0750</x:v>
      </x:c>
      <x:c r="B754" s="15" t="str">
        <x:v>SYS-12</x:v>
      </x:c>
      <x:c r="C754" s="15" t="n">
        <x:v>46</x:v>
      </x:c>
      <x:c r="D754" s="15" t="str">
        <x:v>Source</x:v>
      </x:c>
      <x:c r="E754" s="15" t="str">
        <x:v>NOT COMMISSIONED</x:v>
      </x:c>
      <x:c r="F754" s="15" t="str">
        <x:v>OPEN</x:v>
      </x:c>
    </x:row>
    <x:row r="755">
      <x:c r="A755" s="14" t="str">
        <x:v>CH-0751</x:v>
      </x:c>
      <x:c r="B755" s="14" t="str">
        <x:v>SYS-12</x:v>
      </x:c>
      <x:c r="C755" s="14" t="n">
        <x:v>47</x:v>
      </x:c>
      <x:c r="D755" s="14" t="str">
        <x:v>Source</x:v>
      </x:c>
      <x:c r="E755" s="14" t="str">
        <x:v>NOT COMMISSIONED</x:v>
      </x:c>
      <x:c r="F755" s="14" t="str">
        <x:v>OPEN</x:v>
      </x:c>
    </x:row>
    <x:row r="756">
      <x:c r="A756" s="15" t="str">
        <x:v>CH-0752</x:v>
      </x:c>
      <x:c r="B756" s="15" t="str">
        <x:v>SYS-12</x:v>
      </x:c>
      <x:c r="C756" s="15" t="n">
        <x:v>48</x:v>
      </x:c>
      <x:c r="D756" s="15" t="str">
        <x:v>Source</x:v>
      </x:c>
      <x:c r="E756" s="15" t="str">
        <x:v>NOT COMMISSIONED</x:v>
      </x:c>
      <x:c r="F756" s="15" t="str">
        <x:v>OPEN</x:v>
      </x:c>
    </x:row>
    <x:row r="757">
      <x:c r="A757" s="14" t="str">
        <x:v>CH-0753</x:v>
      </x:c>
      <x:c r="B757" s="14" t="str">
        <x:v>SYS-12</x:v>
      </x:c>
      <x:c r="C757" s="14" t="n">
        <x:v>49</x:v>
      </x:c>
      <x:c r="D757" s="14" t="str">
        <x:v>Source</x:v>
      </x:c>
      <x:c r="E757" s="14" t="str">
        <x:v>NOT COMMISSIONED</x:v>
      </x:c>
      <x:c r="F757" s="14" t="str">
        <x:v>OPEN</x:v>
      </x:c>
    </x:row>
    <x:row r="758">
      <x:c r="A758" s="15" t="str">
        <x:v>CH-0754</x:v>
      </x:c>
      <x:c r="B758" s="15" t="str">
        <x:v>SYS-12</x:v>
      </x:c>
      <x:c r="C758" s="15" t="n">
        <x:v>50</x:v>
      </x:c>
      <x:c r="D758" s="15" t="str">
        <x:v>Source</x:v>
      </x:c>
      <x:c r="E758" s="15" t="str">
        <x:v>NOT COMMISSIONED</x:v>
      </x:c>
      <x:c r="F758" s="15" t="str">
        <x:v>OPEN</x:v>
      </x:c>
    </x:row>
    <x:row r="759">
      <x:c r="A759" s="14" t="str">
        <x:v>CH-0755</x:v>
      </x:c>
      <x:c r="B759" s="14" t="str">
        <x:v>SYS-12</x:v>
      </x:c>
      <x:c r="C759" s="14" t="n">
        <x:v>51</x:v>
      </x:c>
      <x:c r="D759" s="14" t="str">
        <x:v>Source</x:v>
      </x:c>
      <x:c r="E759" s="14" t="str">
        <x:v>NOT COMMISSIONED</x:v>
      </x:c>
      <x:c r="F759" s="14" t="str">
        <x:v>OPEN</x:v>
      </x:c>
    </x:row>
    <x:row r="760">
      <x:c r="A760" s="15" t="str">
        <x:v>CH-0756</x:v>
      </x:c>
      <x:c r="B760" s="15" t="str">
        <x:v>SYS-12</x:v>
      </x:c>
      <x:c r="C760" s="15" t="n">
        <x:v>52</x:v>
      </x:c>
      <x:c r="D760" s="15" t="str">
        <x:v>Source</x:v>
      </x:c>
      <x:c r="E760" s="15" t="str">
        <x:v>NOT COMMISSIONED</x:v>
      </x:c>
      <x:c r="F760" s="15" t="str">
        <x:v>OPEN</x:v>
      </x:c>
    </x:row>
    <x:row r="761">
      <x:c r="A761" s="14" t="str">
        <x:v>CH-0757</x:v>
      </x:c>
      <x:c r="B761" s="14" t="str">
        <x:v>SYS-12</x:v>
      </x:c>
      <x:c r="C761" s="14" t="n">
        <x:v>53</x:v>
      </x:c>
      <x:c r="D761" s="14" t="str">
        <x:v>Source</x:v>
      </x:c>
      <x:c r="E761" s="14" t="str">
        <x:v>NOT COMMISSIONED</x:v>
      </x:c>
      <x:c r="F761" s="14" t="str">
        <x:v>OPEN</x:v>
      </x:c>
    </x:row>
    <x:row r="762">
      <x:c r="A762" s="15" t="str">
        <x:v>CH-0758</x:v>
      </x:c>
      <x:c r="B762" s="15" t="str">
        <x:v>SYS-12</x:v>
      </x:c>
      <x:c r="C762" s="15" t="n">
        <x:v>54</x:v>
      </x:c>
      <x:c r="D762" s="15" t="str">
        <x:v>Source</x:v>
      </x:c>
      <x:c r="E762" s="15" t="str">
        <x:v>NOT COMMISSIONED</x:v>
      </x:c>
      <x:c r="F762" s="15" t="str">
        <x:v>OPEN</x:v>
      </x:c>
    </x:row>
    <x:row r="763">
      <x:c r="A763" s="14" t="str">
        <x:v>CH-0759</x:v>
      </x:c>
      <x:c r="B763" s="14" t="str">
        <x:v>SYS-12</x:v>
      </x:c>
      <x:c r="C763" s="14" t="n">
        <x:v>55</x:v>
      </x:c>
      <x:c r="D763" s="14" t="str">
        <x:v>Source</x:v>
      </x:c>
      <x:c r="E763" s="14" t="str">
        <x:v>NOT COMMISSIONED</x:v>
      </x:c>
      <x:c r="F763" s="14" t="str">
        <x:v>OPEN</x:v>
      </x:c>
    </x:row>
    <x:row r="764">
      <x:c r="A764" s="15" t="str">
        <x:v>CH-0760</x:v>
      </x:c>
      <x:c r="B764" s="15" t="str">
        <x:v>SYS-12</x:v>
      </x:c>
      <x:c r="C764" s="15" t="n">
        <x:v>56</x:v>
      </x:c>
      <x:c r="D764" s="15" t="str">
        <x:v>Source</x:v>
      </x:c>
      <x:c r="E764" s="15" t="str">
        <x:v>NOT COMMISSIONED</x:v>
      </x:c>
      <x:c r="F764" s="15" t="str">
        <x:v>OPEN</x:v>
      </x:c>
    </x:row>
    <x:row r="765">
      <x:c r="A765" s="14" t="str">
        <x:v>CH-0761</x:v>
      </x:c>
      <x:c r="B765" s="14" t="str">
        <x:v>SYS-12</x:v>
      </x:c>
      <x:c r="C765" s="14" t="n">
        <x:v>57</x:v>
      </x:c>
      <x:c r="D765" s="14" t="str">
        <x:v>Source</x:v>
      </x:c>
      <x:c r="E765" s="14" t="str">
        <x:v>NOT COMMISSIONED</x:v>
      </x:c>
      <x:c r="F765" s="14" t="str">
        <x:v>OPEN</x:v>
      </x:c>
    </x:row>
    <x:row r="766">
      <x:c r="A766" s="15" t="str">
        <x:v>CH-0762</x:v>
      </x:c>
      <x:c r="B766" s="15" t="str">
        <x:v>SYS-12</x:v>
      </x:c>
      <x:c r="C766" s="15" t="n">
        <x:v>58</x:v>
      </x:c>
      <x:c r="D766" s="15" t="str">
        <x:v>Source</x:v>
      </x:c>
      <x:c r="E766" s="15" t="str">
        <x:v>NOT COMMISSIONED</x:v>
      </x:c>
      <x:c r="F766" s="15" t="str">
        <x:v>OPEN</x:v>
      </x:c>
    </x:row>
    <x:row r="767">
      <x:c r="A767" s="14" t="str">
        <x:v>CH-0763</x:v>
      </x:c>
      <x:c r="B767" s="14" t="str">
        <x:v>SYS-12</x:v>
      </x:c>
      <x:c r="C767" s="14" t="n">
        <x:v>59</x:v>
      </x:c>
      <x:c r="D767" s="14" t="str">
        <x:v>Source</x:v>
      </x:c>
      <x:c r="E767" s="14" t="str">
        <x:v>NOT COMMISSIONED</x:v>
      </x:c>
      <x:c r="F767" s="14" t="str">
        <x:v>OPEN</x:v>
      </x:c>
    </x:row>
    <x:row r="768">
      <x:c r="A768" s="15" t="str">
        <x:v>CH-0764</x:v>
      </x:c>
      <x:c r="B768" s="15" t="str">
        <x:v>SYS-12</x:v>
      </x:c>
      <x:c r="C768" s="15" t="n">
        <x:v>60</x:v>
      </x:c>
      <x:c r="D768" s="15" t="str">
        <x:v>Source</x:v>
      </x:c>
      <x:c r="E768" s="15" t="str">
        <x:v>NOT COMMISSIONED</x:v>
      </x:c>
      <x:c r="F768" s="15" t="str">
        <x:v>OPEN</x:v>
      </x:c>
    </x:row>
    <x:row r="769">
      <x:c r="A769" s="14" t="str">
        <x:v>CH-0765</x:v>
      </x:c>
      <x:c r="B769" s="14" t="str">
        <x:v>SYS-12</x:v>
      </x:c>
      <x:c r="C769" s="14" t="n">
        <x:v>61</x:v>
      </x:c>
      <x:c r="D769" s="14" t="str">
        <x:v>Source</x:v>
      </x:c>
      <x:c r="E769" s="14" t="str">
        <x:v>NOT COMMISSIONED</x:v>
      </x:c>
      <x:c r="F769" s="14" t="str">
        <x:v>OPEN</x:v>
      </x:c>
    </x:row>
    <x:row r="770">
      <x:c r="A770" s="15" t="str">
        <x:v>CH-0766</x:v>
      </x:c>
      <x:c r="B770" s="15" t="str">
        <x:v>SYS-12</x:v>
      </x:c>
      <x:c r="C770" s="15" t="n">
        <x:v>62</x:v>
      </x:c>
      <x:c r="D770" s="15" t="str">
        <x:v>Source</x:v>
      </x:c>
      <x:c r="E770" s="15" t="str">
        <x:v>NOT COMMISSIONED</x:v>
      </x:c>
      <x:c r="F770" s="15" t="str">
        <x:v>OPEN</x:v>
      </x:c>
    </x:row>
    <x:row r="771">
      <x:c r="A771" s="14" t="str">
        <x:v>CH-0767</x:v>
      </x:c>
      <x:c r="B771" s="14" t="str">
        <x:v>SYS-12</x:v>
      </x:c>
      <x:c r="C771" s="14" t="n">
        <x:v>63</x:v>
      </x:c>
      <x:c r="D771" s="14" t="str">
        <x:v>Source</x:v>
      </x:c>
      <x:c r="E771" s="14" t="str">
        <x:v>NOT COMMISSIONED</x:v>
      </x:c>
      <x:c r="F771" s="14" t="str">
        <x:v>OPEN</x:v>
      </x:c>
    </x:row>
    <x:row r="772">
      <x:c r="A772" s="15" t="str">
        <x:v>CH-0768</x:v>
      </x:c>
      <x:c r="B772" s="15" t="str">
        <x:v>SYS-12</x:v>
      </x:c>
      <x:c r="C772" s="15" t="n">
        <x:v>64</x:v>
      </x:c>
      <x:c r="D772" s="15" t="str">
        <x:v>Source</x:v>
      </x:c>
      <x:c r="E772" s="15" t="str">
        <x:v>NOT COMMISSIONED</x:v>
      </x:c>
      <x:c r="F772" s="15" t="str">
        <x:v>OPEN</x:v>
      </x:c>
    </x:row>
    <x:row r="773">
      <x:c r="A773" s="14" t="str">
        <x:v>CH-0769</x:v>
      </x:c>
      <x:c r="B773" s="14" t="str">
        <x:v>SYS-13</x:v>
      </x:c>
      <x:c r="C773" s="14" t="n">
        <x:v>1</x:v>
      </x:c>
      <x:c r="D773" s="14" t="str">
        <x:v>Water</x:v>
      </x:c>
      <x:c r="E773" s="14" t="str">
        <x:v>NOT COMMISSIONED</x:v>
      </x:c>
      <x:c r="F773" s="14" t="str">
        <x:v>OPEN</x:v>
      </x:c>
    </x:row>
    <x:row r="774">
      <x:c r="A774" s="15" t="str">
        <x:v>CH-0770</x:v>
      </x:c>
      <x:c r="B774" s="15" t="str">
        <x:v>SYS-13</x:v>
      </x:c>
      <x:c r="C774" s="15" t="n">
        <x:v>2</x:v>
      </x:c>
      <x:c r="D774" s="15" t="str">
        <x:v>Water</x:v>
      </x:c>
      <x:c r="E774" s="15" t="str">
        <x:v>NOT COMMISSIONED</x:v>
      </x:c>
      <x:c r="F774" s="15" t="str">
        <x:v>OPEN</x:v>
      </x:c>
    </x:row>
    <x:row r="775">
      <x:c r="A775" s="14" t="str">
        <x:v>CH-0771</x:v>
      </x:c>
      <x:c r="B775" s="14" t="str">
        <x:v>SYS-13</x:v>
      </x:c>
      <x:c r="C775" s="14" t="n">
        <x:v>3</x:v>
      </x:c>
      <x:c r="D775" s="14" t="str">
        <x:v>Water</x:v>
      </x:c>
      <x:c r="E775" s="14" t="str">
        <x:v>NOT COMMISSIONED</x:v>
      </x:c>
      <x:c r="F775" s="14" t="str">
        <x:v>OPEN</x:v>
      </x:c>
    </x:row>
    <x:row r="776">
      <x:c r="A776" s="15" t="str">
        <x:v>CH-0772</x:v>
      </x:c>
      <x:c r="B776" s="15" t="str">
        <x:v>SYS-13</x:v>
      </x:c>
      <x:c r="C776" s="15" t="n">
        <x:v>4</x:v>
      </x:c>
      <x:c r="D776" s="15" t="str">
        <x:v>Water</x:v>
      </x:c>
      <x:c r="E776" s="15" t="str">
        <x:v>NOT COMMISSIONED</x:v>
      </x:c>
      <x:c r="F776" s="15" t="str">
        <x:v>OPEN</x:v>
      </x:c>
    </x:row>
    <x:row r="777">
      <x:c r="A777" s="14" t="str">
        <x:v>CH-0773</x:v>
      </x:c>
      <x:c r="B777" s="14" t="str">
        <x:v>SYS-13</x:v>
      </x:c>
      <x:c r="C777" s="14" t="n">
        <x:v>5</x:v>
      </x:c>
      <x:c r="D777" s="14" t="str">
        <x:v>Water</x:v>
      </x:c>
      <x:c r="E777" s="14" t="str">
        <x:v>NOT COMMISSIONED</x:v>
      </x:c>
      <x:c r="F777" s="14" t="str">
        <x:v>OPEN</x:v>
      </x:c>
    </x:row>
    <x:row r="778">
      <x:c r="A778" s="15" t="str">
        <x:v>CH-0774</x:v>
      </x:c>
      <x:c r="B778" s="15" t="str">
        <x:v>SYS-13</x:v>
      </x:c>
      <x:c r="C778" s="15" t="n">
        <x:v>6</x:v>
      </x:c>
      <x:c r="D778" s="15" t="str">
        <x:v>Water</x:v>
      </x:c>
      <x:c r="E778" s="15" t="str">
        <x:v>NOT COMMISSIONED</x:v>
      </x:c>
      <x:c r="F778" s="15" t="str">
        <x:v>OPEN</x:v>
      </x:c>
    </x:row>
    <x:row r="779">
      <x:c r="A779" s="14" t="str">
        <x:v>CH-0775</x:v>
      </x:c>
      <x:c r="B779" s="14" t="str">
        <x:v>SYS-13</x:v>
      </x:c>
      <x:c r="C779" s="14" t="n">
        <x:v>7</x:v>
      </x:c>
      <x:c r="D779" s="14" t="str">
        <x:v>Water</x:v>
      </x:c>
      <x:c r="E779" s="14" t="str">
        <x:v>NOT COMMISSIONED</x:v>
      </x:c>
      <x:c r="F779" s="14" t="str">
        <x:v>OPEN</x:v>
      </x:c>
    </x:row>
    <x:row r="780">
      <x:c r="A780" s="15" t="str">
        <x:v>CH-0776</x:v>
      </x:c>
      <x:c r="B780" s="15" t="str">
        <x:v>SYS-13</x:v>
      </x:c>
      <x:c r="C780" s="15" t="n">
        <x:v>8</x:v>
      </x:c>
      <x:c r="D780" s="15" t="str">
        <x:v>Water</x:v>
      </x:c>
      <x:c r="E780" s="15" t="str">
        <x:v>NOT COMMISSIONED</x:v>
      </x:c>
      <x:c r="F780" s="15" t="str">
        <x:v>OPEN</x:v>
      </x:c>
    </x:row>
    <x:row r="781">
      <x:c r="A781" s="14" t="str">
        <x:v>CH-0777</x:v>
      </x:c>
      <x:c r="B781" s="14" t="str">
        <x:v>SYS-13</x:v>
      </x:c>
      <x:c r="C781" s="14" t="n">
        <x:v>9</x:v>
      </x:c>
      <x:c r="D781" s="14" t="str">
        <x:v>Water</x:v>
      </x:c>
      <x:c r="E781" s="14" t="str">
        <x:v>NOT COMMISSIONED</x:v>
      </x:c>
      <x:c r="F781" s="14" t="str">
        <x:v>OPEN</x:v>
      </x:c>
    </x:row>
    <x:row r="782">
      <x:c r="A782" s="15" t="str">
        <x:v>CH-0778</x:v>
      </x:c>
      <x:c r="B782" s="15" t="str">
        <x:v>SYS-13</x:v>
      </x:c>
      <x:c r="C782" s="15" t="n">
        <x:v>10</x:v>
      </x:c>
      <x:c r="D782" s="15" t="str">
        <x:v>Water</x:v>
      </x:c>
      <x:c r="E782" s="15" t="str">
        <x:v>NOT COMMISSIONED</x:v>
      </x:c>
      <x:c r="F782" s="15" t="str">
        <x:v>OPEN</x:v>
      </x:c>
    </x:row>
    <x:row r="783">
      <x:c r="A783" s="14" t="str">
        <x:v>CH-0779</x:v>
      </x:c>
      <x:c r="B783" s="14" t="str">
        <x:v>SYS-13</x:v>
      </x:c>
      <x:c r="C783" s="14" t="n">
        <x:v>11</x:v>
      </x:c>
      <x:c r="D783" s="14" t="str">
        <x:v>Water</x:v>
      </x:c>
      <x:c r="E783" s="14" t="str">
        <x:v>NOT COMMISSIONED</x:v>
      </x:c>
      <x:c r="F783" s="14" t="str">
        <x:v>OPEN</x:v>
      </x:c>
    </x:row>
    <x:row r="784">
      <x:c r="A784" s="15" t="str">
        <x:v>CH-0780</x:v>
      </x:c>
      <x:c r="B784" s="15" t="str">
        <x:v>SYS-13</x:v>
      </x:c>
      <x:c r="C784" s="15" t="n">
        <x:v>12</x:v>
      </x:c>
      <x:c r="D784" s="15" t="str">
        <x:v>Water</x:v>
      </x:c>
      <x:c r="E784" s="15" t="str">
        <x:v>NOT COMMISSIONED</x:v>
      </x:c>
      <x:c r="F784" s="15" t="str">
        <x:v>OPEN</x:v>
      </x:c>
    </x:row>
    <x:row r="785">
      <x:c r="A785" s="14" t="str">
        <x:v>CH-0781</x:v>
      </x:c>
      <x:c r="B785" s="14" t="str">
        <x:v>SYS-13</x:v>
      </x:c>
      <x:c r="C785" s="14" t="n">
        <x:v>13</x:v>
      </x:c>
      <x:c r="D785" s="14" t="str">
        <x:v>Water</x:v>
      </x:c>
      <x:c r="E785" s="14" t="str">
        <x:v>NOT COMMISSIONED</x:v>
      </x:c>
      <x:c r="F785" s="14" t="str">
        <x:v>OPEN</x:v>
      </x:c>
    </x:row>
    <x:row r="786">
      <x:c r="A786" s="15" t="str">
        <x:v>CH-0782</x:v>
      </x:c>
      <x:c r="B786" s="15" t="str">
        <x:v>SYS-13</x:v>
      </x:c>
      <x:c r="C786" s="15" t="n">
        <x:v>14</x:v>
      </x:c>
      <x:c r="D786" s="15" t="str">
        <x:v>Water</x:v>
      </x:c>
      <x:c r="E786" s="15" t="str">
        <x:v>NOT COMMISSIONED</x:v>
      </x:c>
      <x:c r="F786" s="15" t="str">
        <x:v>OPEN</x:v>
      </x:c>
    </x:row>
    <x:row r="787">
      <x:c r="A787" s="14" t="str">
        <x:v>CH-0783</x:v>
      </x:c>
      <x:c r="B787" s="14" t="str">
        <x:v>SYS-13</x:v>
      </x:c>
      <x:c r="C787" s="14" t="n">
        <x:v>15</x:v>
      </x:c>
      <x:c r="D787" s="14" t="str">
        <x:v>Water</x:v>
      </x:c>
      <x:c r="E787" s="14" t="str">
        <x:v>NOT COMMISSIONED</x:v>
      </x:c>
      <x:c r="F787" s="14" t="str">
        <x:v>OPEN</x:v>
      </x:c>
    </x:row>
    <x:row r="788">
      <x:c r="A788" s="15" t="str">
        <x:v>CH-0784</x:v>
      </x:c>
      <x:c r="B788" s="15" t="str">
        <x:v>SYS-13</x:v>
      </x:c>
      <x:c r="C788" s="15" t="n">
        <x:v>16</x:v>
      </x:c>
      <x:c r="D788" s="15" t="str">
        <x:v>Water</x:v>
      </x:c>
      <x:c r="E788" s="15" t="str">
        <x:v>NOT COMMISSIONED</x:v>
      </x:c>
      <x:c r="F788" s="15" t="str">
        <x:v>OPEN</x:v>
      </x:c>
    </x:row>
    <x:row r="789">
      <x:c r="A789" s="14" t="str">
        <x:v>CH-0785</x:v>
      </x:c>
      <x:c r="B789" s="14" t="str">
        <x:v>SYS-13</x:v>
      </x:c>
      <x:c r="C789" s="14" t="n">
        <x:v>17</x:v>
      </x:c>
      <x:c r="D789" s="14" t="str">
        <x:v>Water</x:v>
      </x:c>
      <x:c r="E789" s="14" t="str">
        <x:v>NOT COMMISSIONED</x:v>
      </x:c>
      <x:c r="F789" s="14" t="str">
        <x:v>OPEN</x:v>
      </x:c>
    </x:row>
    <x:row r="790">
      <x:c r="A790" s="15" t="str">
        <x:v>CH-0786</x:v>
      </x:c>
      <x:c r="B790" s="15" t="str">
        <x:v>SYS-13</x:v>
      </x:c>
      <x:c r="C790" s="15" t="n">
        <x:v>18</x:v>
      </x:c>
      <x:c r="D790" s="15" t="str">
        <x:v>Water</x:v>
      </x:c>
      <x:c r="E790" s="15" t="str">
        <x:v>NOT COMMISSIONED</x:v>
      </x:c>
      <x:c r="F790" s="15" t="str">
        <x:v>OPEN</x:v>
      </x:c>
    </x:row>
    <x:row r="791">
      <x:c r="A791" s="14" t="str">
        <x:v>CH-0787</x:v>
      </x:c>
      <x:c r="B791" s="14" t="str">
        <x:v>SYS-13</x:v>
      </x:c>
      <x:c r="C791" s="14" t="n">
        <x:v>19</x:v>
      </x:c>
      <x:c r="D791" s="14" t="str">
        <x:v>Water</x:v>
      </x:c>
      <x:c r="E791" s="14" t="str">
        <x:v>NOT COMMISSIONED</x:v>
      </x:c>
      <x:c r="F791" s="14" t="str">
        <x:v>OPEN</x:v>
      </x:c>
    </x:row>
    <x:row r="792">
      <x:c r="A792" s="15" t="str">
        <x:v>CH-0788</x:v>
      </x:c>
      <x:c r="B792" s="15" t="str">
        <x:v>SYS-13</x:v>
      </x:c>
      <x:c r="C792" s="15" t="n">
        <x:v>20</x:v>
      </x:c>
      <x:c r="D792" s="15" t="str">
        <x:v>Water</x:v>
      </x:c>
      <x:c r="E792" s="15" t="str">
        <x:v>NOT COMMISSIONED</x:v>
      </x:c>
      <x:c r="F792" s="15" t="str">
        <x:v>OPEN</x:v>
      </x:c>
    </x:row>
    <x:row r="793">
      <x:c r="A793" s="14" t="str">
        <x:v>CH-0789</x:v>
      </x:c>
      <x:c r="B793" s="14" t="str">
        <x:v>SYS-13</x:v>
      </x:c>
      <x:c r="C793" s="14" t="n">
        <x:v>21</x:v>
      </x:c>
      <x:c r="D793" s="14" t="str">
        <x:v>Water</x:v>
      </x:c>
      <x:c r="E793" s="14" t="str">
        <x:v>NOT COMMISSIONED</x:v>
      </x:c>
      <x:c r="F793" s="14" t="str">
        <x:v>OPEN</x:v>
      </x:c>
    </x:row>
    <x:row r="794">
      <x:c r="A794" s="15" t="str">
        <x:v>CH-0790</x:v>
      </x:c>
      <x:c r="B794" s="15" t="str">
        <x:v>SYS-13</x:v>
      </x:c>
      <x:c r="C794" s="15" t="n">
        <x:v>22</x:v>
      </x:c>
      <x:c r="D794" s="15" t="str">
        <x:v>Water</x:v>
      </x:c>
      <x:c r="E794" s="15" t="str">
        <x:v>NOT COMMISSIONED</x:v>
      </x:c>
      <x:c r="F794" s="15" t="str">
        <x:v>OPEN</x:v>
      </x:c>
    </x:row>
    <x:row r="795">
      <x:c r="A795" s="14" t="str">
        <x:v>CH-0791</x:v>
      </x:c>
      <x:c r="B795" s="14" t="str">
        <x:v>SYS-13</x:v>
      </x:c>
      <x:c r="C795" s="14" t="n">
        <x:v>23</x:v>
      </x:c>
      <x:c r="D795" s="14" t="str">
        <x:v>Water</x:v>
      </x:c>
      <x:c r="E795" s="14" t="str">
        <x:v>NOT COMMISSIONED</x:v>
      </x:c>
      <x:c r="F795" s="14" t="str">
        <x:v>OPEN</x:v>
      </x:c>
    </x:row>
    <x:row r="796">
      <x:c r="A796" s="15" t="str">
        <x:v>CH-0792</x:v>
      </x:c>
      <x:c r="B796" s="15" t="str">
        <x:v>SYS-13</x:v>
      </x:c>
      <x:c r="C796" s="15" t="n">
        <x:v>24</x:v>
      </x:c>
      <x:c r="D796" s="15" t="str">
        <x:v>Water</x:v>
      </x:c>
      <x:c r="E796" s="15" t="str">
        <x:v>NOT COMMISSIONED</x:v>
      </x:c>
      <x:c r="F796" s="15" t="str">
        <x:v>OPEN</x:v>
      </x:c>
    </x:row>
    <x:row r="797">
      <x:c r="A797" s="14" t="str">
        <x:v>CH-0793</x:v>
      </x:c>
      <x:c r="B797" s="14" t="str">
        <x:v>SYS-13</x:v>
      </x:c>
      <x:c r="C797" s="14" t="n">
        <x:v>25</x:v>
      </x:c>
      <x:c r="D797" s="14" t="str">
        <x:v>Water</x:v>
      </x:c>
      <x:c r="E797" s="14" t="str">
        <x:v>NOT COMMISSIONED</x:v>
      </x:c>
      <x:c r="F797" s="14" t="str">
        <x:v>OPEN</x:v>
      </x:c>
    </x:row>
    <x:row r="798">
      <x:c r="A798" s="15" t="str">
        <x:v>CH-0794</x:v>
      </x:c>
      <x:c r="B798" s="15" t="str">
        <x:v>SYS-13</x:v>
      </x:c>
      <x:c r="C798" s="15" t="n">
        <x:v>26</x:v>
      </x:c>
      <x:c r="D798" s="15" t="str">
        <x:v>Water</x:v>
      </x:c>
      <x:c r="E798" s="15" t="str">
        <x:v>NOT COMMISSIONED</x:v>
      </x:c>
      <x:c r="F798" s="15" t="str">
        <x:v>OPEN</x:v>
      </x:c>
    </x:row>
    <x:row r="799">
      <x:c r="A799" s="14" t="str">
        <x:v>CH-0795</x:v>
      </x:c>
      <x:c r="B799" s="14" t="str">
        <x:v>SYS-13</x:v>
      </x:c>
      <x:c r="C799" s="14" t="n">
        <x:v>27</x:v>
      </x:c>
      <x:c r="D799" s="14" t="str">
        <x:v>Water</x:v>
      </x:c>
      <x:c r="E799" s="14" t="str">
        <x:v>NOT COMMISSIONED</x:v>
      </x:c>
      <x:c r="F799" s="14" t="str">
        <x:v>OPEN</x:v>
      </x:c>
    </x:row>
    <x:row r="800">
      <x:c r="A800" s="15" t="str">
        <x:v>CH-0796</x:v>
      </x:c>
      <x:c r="B800" s="15" t="str">
        <x:v>SYS-13</x:v>
      </x:c>
      <x:c r="C800" s="15" t="n">
        <x:v>28</x:v>
      </x:c>
      <x:c r="D800" s="15" t="str">
        <x:v>Water</x:v>
      </x:c>
      <x:c r="E800" s="15" t="str">
        <x:v>NOT COMMISSIONED</x:v>
      </x:c>
      <x:c r="F800" s="15" t="str">
        <x:v>OPEN</x:v>
      </x:c>
    </x:row>
    <x:row r="801">
      <x:c r="A801" s="14" t="str">
        <x:v>CH-0797</x:v>
      </x:c>
      <x:c r="B801" s="14" t="str">
        <x:v>SYS-13</x:v>
      </x:c>
      <x:c r="C801" s="14" t="n">
        <x:v>29</x:v>
      </x:c>
      <x:c r="D801" s="14" t="str">
        <x:v>Water</x:v>
      </x:c>
      <x:c r="E801" s="14" t="str">
        <x:v>NOT COMMISSIONED</x:v>
      </x:c>
      <x:c r="F801" s="14" t="str">
        <x:v>OPEN</x:v>
      </x:c>
    </x:row>
    <x:row r="802">
      <x:c r="A802" s="15" t="str">
        <x:v>CH-0798</x:v>
      </x:c>
      <x:c r="B802" s="15" t="str">
        <x:v>SYS-13</x:v>
      </x:c>
      <x:c r="C802" s="15" t="n">
        <x:v>30</x:v>
      </x:c>
      <x:c r="D802" s="15" t="str">
        <x:v>Water</x:v>
      </x:c>
      <x:c r="E802" s="15" t="str">
        <x:v>NOT COMMISSIONED</x:v>
      </x:c>
      <x:c r="F802" s="15" t="str">
        <x:v>OPEN</x:v>
      </x:c>
    </x:row>
    <x:row r="803">
      <x:c r="A803" s="14" t="str">
        <x:v>CH-0799</x:v>
      </x:c>
      <x:c r="B803" s="14" t="str">
        <x:v>SYS-13</x:v>
      </x:c>
      <x:c r="C803" s="14" t="n">
        <x:v>31</x:v>
      </x:c>
      <x:c r="D803" s="14" t="str">
        <x:v>Water</x:v>
      </x:c>
      <x:c r="E803" s="14" t="str">
        <x:v>NOT COMMISSIONED</x:v>
      </x:c>
      <x:c r="F803" s="14" t="str">
        <x:v>OPEN</x:v>
      </x:c>
    </x:row>
    <x:row r="804">
      <x:c r="A804" s="15" t="str">
        <x:v>CH-0800</x:v>
      </x:c>
      <x:c r="B804" s="15" t="str">
        <x:v>SYS-13</x:v>
      </x:c>
      <x:c r="C804" s="15" t="n">
        <x:v>32</x:v>
      </x:c>
      <x:c r="D804" s="15" t="str">
        <x:v>Water</x:v>
      </x:c>
      <x:c r="E804" s="15" t="str">
        <x:v>NOT COMMISSIONED</x:v>
      </x:c>
      <x:c r="F804" s="15" t="str">
        <x:v>OPEN</x:v>
      </x:c>
    </x:row>
    <x:row r="805">
      <x:c r="A805" s="14" t="str">
        <x:v>CH-0801</x:v>
      </x:c>
      <x:c r="B805" s="14" t="str">
        <x:v>SYS-13</x:v>
      </x:c>
      <x:c r="C805" s="14" t="n">
        <x:v>33</x:v>
      </x:c>
      <x:c r="D805" s="14" t="str">
        <x:v>Water</x:v>
      </x:c>
      <x:c r="E805" s="14" t="str">
        <x:v>NOT COMMISSIONED</x:v>
      </x:c>
      <x:c r="F805" s="14" t="str">
        <x:v>OPEN</x:v>
      </x:c>
    </x:row>
    <x:row r="806">
      <x:c r="A806" s="15" t="str">
        <x:v>CH-0802</x:v>
      </x:c>
      <x:c r="B806" s="15" t="str">
        <x:v>SYS-13</x:v>
      </x:c>
      <x:c r="C806" s="15" t="n">
        <x:v>34</x:v>
      </x:c>
      <x:c r="D806" s="15" t="str">
        <x:v>Water</x:v>
      </x:c>
      <x:c r="E806" s="15" t="str">
        <x:v>NOT COMMISSIONED</x:v>
      </x:c>
      <x:c r="F806" s="15" t="str">
        <x:v>OPEN</x:v>
      </x:c>
    </x:row>
    <x:row r="807">
      <x:c r="A807" s="14" t="str">
        <x:v>CH-0803</x:v>
      </x:c>
      <x:c r="B807" s="14" t="str">
        <x:v>SYS-13</x:v>
      </x:c>
      <x:c r="C807" s="14" t="n">
        <x:v>35</x:v>
      </x:c>
      <x:c r="D807" s="14" t="str">
        <x:v>Water</x:v>
      </x:c>
      <x:c r="E807" s="14" t="str">
        <x:v>NOT COMMISSIONED</x:v>
      </x:c>
      <x:c r="F807" s="14" t="str">
        <x:v>OPEN</x:v>
      </x:c>
    </x:row>
    <x:row r="808">
      <x:c r="A808" s="15" t="str">
        <x:v>CH-0804</x:v>
      </x:c>
      <x:c r="B808" s="15" t="str">
        <x:v>SYS-13</x:v>
      </x:c>
      <x:c r="C808" s="15" t="n">
        <x:v>36</x:v>
      </x:c>
      <x:c r="D808" s="15" t="str">
        <x:v>Water</x:v>
      </x:c>
      <x:c r="E808" s="15" t="str">
        <x:v>NOT COMMISSIONED</x:v>
      </x:c>
      <x:c r="F808" s="15" t="str">
        <x:v>OPEN</x:v>
      </x:c>
    </x:row>
    <x:row r="809">
      <x:c r="A809" s="14" t="str">
        <x:v>CH-0805</x:v>
      </x:c>
      <x:c r="B809" s="14" t="str">
        <x:v>SYS-13</x:v>
      </x:c>
      <x:c r="C809" s="14" t="n">
        <x:v>37</x:v>
      </x:c>
      <x:c r="D809" s="14" t="str">
        <x:v>Water</x:v>
      </x:c>
      <x:c r="E809" s="14" t="str">
        <x:v>NOT COMMISSIONED</x:v>
      </x:c>
      <x:c r="F809" s="14" t="str">
        <x:v>OPEN</x:v>
      </x:c>
    </x:row>
    <x:row r="810">
      <x:c r="A810" s="15" t="str">
        <x:v>CH-0806</x:v>
      </x:c>
      <x:c r="B810" s="15" t="str">
        <x:v>SYS-13</x:v>
      </x:c>
      <x:c r="C810" s="15" t="n">
        <x:v>38</x:v>
      </x:c>
      <x:c r="D810" s="15" t="str">
        <x:v>Water</x:v>
      </x:c>
      <x:c r="E810" s="15" t="str">
        <x:v>NOT COMMISSIONED</x:v>
      </x:c>
      <x:c r="F810" s="15" t="str">
        <x:v>OPEN</x:v>
      </x:c>
    </x:row>
    <x:row r="811">
      <x:c r="A811" s="14" t="str">
        <x:v>CH-0807</x:v>
      </x:c>
      <x:c r="B811" s="14" t="str">
        <x:v>SYS-13</x:v>
      </x:c>
      <x:c r="C811" s="14" t="n">
        <x:v>39</x:v>
      </x:c>
      <x:c r="D811" s="14" t="str">
        <x:v>Water</x:v>
      </x:c>
      <x:c r="E811" s="14" t="str">
        <x:v>NOT COMMISSIONED</x:v>
      </x:c>
      <x:c r="F811" s="14" t="str">
        <x:v>OPEN</x:v>
      </x:c>
    </x:row>
    <x:row r="812">
      <x:c r="A812" s="15" t="str">
        <x:v>CH-0808</x:v>
      </x:c>
      <x:c r="B812" s="15" t="str">
        <x:v>SYS-13</x:v>
      </x:c>
      <x:c r="C812" s="15" t="n">
        <x:v>40</x:v>
      </x:c>
      <x:c r="D812" s="15" t="str">
        <x:v>Water</x:v>
      </x:c>
      <x:c r="E812" s="15" t="str">
        <x:v>NOT COMMISSIONED</x:v>
      </x:c>
      <x:c r="F812" s="15" t="str">
        <x:v>OPEN</x:v>
      </x:c>
    </x:row>
    <x:row r="813">
      <x:c r="A813" s="14" t="str">
        <x:v>CH-0809</x:v>
      </x:c>
      <x:c r="B813" s="14" t="str">
        <x:v>SYS-13</x:v>
      </x:c>
      <x:c r="C813" s="14" t="n">
        <x:v>41</x:v>
      </x:c>
      <x:c r="D813" s="14" t="str">
        <x:v>Water</x:v>
      </x:c>
      <x:c r="E813" s="14" t="str">
        <x:v>NOT COMMISSIONED</x:v>
      </x:c>
      <x:c r="F813" s="14" t="str">
        <x:v>OPEN</x:v>
      </x:c>
    </x:row>
    <x:row r="814">
      <x:c r="A814" s="15" t="str">
        <x:v>CH-0810</x:v>
      </x:c>
      <x:c r="B814" s="15" t="str">
        <x:v>SYS-13</x:v>
      </x:c>
      <x:c r="C814" s="15" t="n">
        <x:v>42</x:v>
      </x:c>
      <x:c r="D814" s="15" t="str">
        <x:v>Water</x:v>
      </x:c>
      <x:c r="E814" s="15" t="str">
        <x:v>NOT COMMISSIONED</x:v>
      </x:c>
      <x:c r="F814" s="15" t="str">
        <x:v>OPEN</x:v>
      </x:c>
    </x:row>
    <x:row r="815">
      <x:c r="A815" s="14" t="str">
        <x:v>CH-0811</x:v>
      </x:c>
      <x:c r="B815" s="14" t="str">
        <x:v>SYS-13</x:v>
      </x:c>
      <x:c r="C815" s="14" t="n">
        <x:v>43</x:v>
      </x:c>
      <x:c r="D815" s="14" t="str">
        <x:v>Water</x:v>
      </x:c>
      <x:c r="E815" s="14" t="str">
        <x:v>NOT COMMISSIONED</x:v>
      </x:c>
      <x:c r="F815" s="14" t="str">
        <x:v>OPEN</x:v>
      </x:c>
    </x:row>
    <x:row r="816">
      <x:c r="A816" s="15" t="str">
        <x:v>CH-0812</x:v>
      </x:c>
      <x:c r="B816" s="15" t="str">
        <x:v>SYS-13</x:v>
      </x:c>
      <x:c r="C816" s="15" t="n">
        <x:v>44</x:v>
      </x:c>
      <x:c r="D816" s="15" t="str">
        <x:v>Water</x:v>
      </x:c>
      <x:c r="E816" s="15" t="str">
        <x:v>NOT COMMISSIONED</x:v>
      </x:c>
      <x:c r="F816" s="15" t="str">
        <x:v>OPEN</x:v>
      </x:c>
    </x:row>
    <x:row r="817">
      <x:c r="A817" s="14" t="str">
        <x:v>CH-0813</x:v>
      </x:c>
      <x:c r="B817" s="14" t="str">
        <x:v>SYS-13</x:v>
      </x:c>
      <x:c r="C817" s="14" t="n">
        <x:v>45</x:v>
      </x:c>
      <x:c r="D817" s="14" t="str">
        <x:v>Water</x:v>
      </x:c>
      <x:c r="E817" s="14" t="str">
        <x:v>NOT COMMISSIONED</x:v>
      </x:c>
      <x:c r="F817" s="14" t="str">
        <x:v>OPEN</x:v>
      </x:c>
    </x:row>
    <x:row r="818">
      <x:c r="A818" s="15" t="str">
        <x:v>CH-0814</x:v>
      </x:c>
      <x:c r="B818" s="15" t="str">
        <x:v>SYS-13</x:v>
      </x:c>
      <x:c r="C818" s="15" t="n">
        <x:v>46</x:v>
      </x:c>
      <x:c r="D818" s="15" t="str">
        <x:v>Water</x:v>
      </x:c>
      <x:c r="E818" s="15" t="str">
        <x:v>NOT COMMISSIONED</x:v>
      </x:c>
      <x:c r="F818" s="15" t="str">
        <x:v>OPEN</x:v>
      </x:c>
    </x:row>
    <x:row r="819">
      <x:c r="A819" s="14" t="str">
        <x:v>CH-0815</x:v>
      </x:c>
      <x:c r="B819" s="14" t="str">
        <x:v>SYS-13</x:v>
      </x:c>
      <x:c r="C819" s="14" t="n">
        <x:v>47</x:v>
      </x:c>
      <x:c r="D819" s="14" t="str">
        <x:v>Water</x:v>
      </x:c>
      <x:c r="E819" s="14" t="str">
        <x:v>NOT COMMISSIONED</x:v>
      </x:c>
      <x:c r="F819" s="14" t="str">
        <x:v>OPEN</x:v>
      </x:c>
    </x:row>
    <x:row r="820">
      <x:c r="A820" s="15" t="str">
        <x:v>CH-0816</x:v>
      </x:c>
      <x:c r="B820" s="15" t="str">
        <x:v>SYS-13</x:v>
      </x:c>
      <x:c r="C820" s="15" t="n">
        <x:v>48</x:v>
      </x:c>
      <x:c r="D820" s="15" t="str">
        <x:v>Water</x:v>
      </x:c>
      <x:c r="E820" s="15" t="str">
        <x:v>NOT COMMISSIONED</x:v>
      </x:c>
      <x:c r="F820" s="15" t="str">
        <x:v>OPEN</x:v>
      </x:c>
    </x:row>
    <x:row r="821">
      <x:c r="A821" s="14" t="str">
        <x:v>CH-0817</x:v>
      </x:c>
      <x:c r="B821" s="14" t="str">
        <x:v>SYS-13</x:v>
      </x:c>
      <x:c r="C821" s="14" t="n">
        <x:v>49</x:v>
      </x:c>
      <x:c r="D821" s="14" t="str">
        <x:v>Water</x:v>
      </x:c>
      <x:c r="E821" s="14" t="str">
        <x:v>NOT COMMISSIONED</x:v>
      </x:c>
      <x:c r="F821" s="14" t="str">
        <x:v>OPEN</x:v>
      </x:c>
    </x:row>
    <x:row r="822">
      <x:c r="A822" s="15" t="str">
        <x:v>CH-0818</x:v>
      </x:c>
      <x:c r="B822" s="15" t="str">
        <x:v>SYS-13</x:v>
      </x:c>
      <x:c r="C822" s="15" t="n">
        <x:v>50</x:v>
      </x:c>
      <x:c r="D822" s="15" t="str">
        <x:v>Water</x:v>
      </x:c>
      <x:c r="E822" s="15" t="str">
        <x:v>NOT COMMISSIONED</x:v>
      </x:c>
      <x:c r="F822" s="15" t="str">
        <x:v>OPEN</x:v>
      </x:c>
    </x:row>
    <x:row r="823">
      <x:c r="A823" s="14" t="str">
        <x:v>CH-0819</x:v>
      </x:c>
      <x:c r="B823" s="14" t="str">
        <x:v>SYS-13</x:v>
      </x:c>
      <x:c r="C823" s="14" t="n">
        <x:v>51</x:v>
      </x:c>
      <x:c r="D823" s="14" t="str">
        <x:v>Water</x:v>
      </x:c>
      <x:c r="E823" s="14" t="str">
        <x:v>NOT COMMISSIONED</x:v>
      </x:c>
      <x:c r="F823" s="14" t="str">
        <x:v>OPEN</x:v>
      </x:c>
    </x:row>
    <x:row r="824">
      <x:c r="A824" s="15" t="str">
        <x:v>CH-0820</x:v>
      </x:c>
      <x:c r="B824" s="15" t="str">
        <x:v>SYS-13</x:v>
      </x:c>
      <x:c r="C824" s="15" t="n">
        <x:v>52</x:v>
      </x:c>
      <x:c r="D824" s="15" t="str">
        <x:v>Water</x:v>
      </x:c>
      <x:c r="E824" s="15" t="str">
        <x:v>NOT COMMISSIONED</x:v>
      </x:c>
      <x:c r="F824" s="15" t="str">
        <x:v>OPEN</x:v>
      </x:c>
    </x:row>
    <x:row r="825">
      <x:c r="A825" s="14" t="str">
        <x:v>CH-0821</x:v>
      </x:c>
      <x:c r="B825" s="14" t="str">
        <x:v>SYS-13</x:v>
      </x:c>
      <x:c r="C825" s="14" t="n">
        <x:v>53</x:v>
      </x:c>
      <x:c r="D825" s="14" t="str">
        <x:v>Water</x:v>
      </x:c>
      <x:c r="E825" s="14" t="str">
        <x:v>NOT COMMISSIONED</x:v>
      </x:c>
      <x:c r="F825" s="14" t="str">
        <x:v>OPEN</x:v>
      </x:c>
    </x:row>
    <x:row r="826">
      <x:c r="A826" s="15" t="str">
        <x:v>CH-0822</x:v>
      </x:c>
      <x:c r="B826" s="15" t="str">
        <x:v>SYS-13</x:v>
      </x:c>
      <x:c r="C826" s="15" t="n">
        <x:v>54</x:v>
      </x:c>
      <x:c r="D826" s="15" t="str">
        <x:v>Water</x:v>
      </x:c>
      <x:c r="E826" s="15" t="str">
        <x:v>NOT COMMISSIONED</x:v>
      </x:c>
      <x:c r="F826" s="15" t="str">
        <x:v>OPEN</x:v>
      </x:c>
    </x:row>
    <x:row r="827">
      <x:c r="A827" s="14" t="str">
        <x:v>CH-0823</x:v>
      </x:c>
      <x:c r="B827" s="14" t="str">
        <x:v>SYS-13</x:v>
      </x:c>
      <x:c r="C827" s="14" t="n">
        <x:v>55</x:v>
      </x:c>
      <x:c r="D827" s="14" t="str">
        <x:v>Water</x:v>
      </x:c>
      <x:c r="E827" s="14" t="str">
        <x:v>NOT COMMISSIONED</x:v>
      </x:c>
      <x:c r="F827" s="14" t="str">
        <x:v>OPEN</x:v>
      </x:c>
    </x:row>
    <x:row r="828">
      <x:c r="A828" s="15" t="str">
        <x:v>CH-0824</x:v>
      </x:c>
      <x:c r="B828" s="15" t="str">
        <x:v>SYS-13</x:v>
      </x:c>
      <x:c r="C828" s="15" t="n">
        <x:v>56</x:v>
      </x:c>
      <x:c r="D828" s="15" t="str">
        <x:v>Water</x:v>
      </x:c>
      <x:c r="E828" s="15" t="str">
        <x:v>NOT COMMISSIONED</x:v>
      </x:c>
      <x:c r="F828" s="15" t="str">
        <x:v>OPEN</x:v>
      </x:c>
    </x:row>
    <x:row r="829">
      <x:c r="A829" s="14" t="str">
        <x:v>CH-0825</x:v>
      </x:c>
      <x:c r="B829" s="14" t="str">
        <x:v>SYS-13</x:v>
      </x:c>
      <x:c r="C829" s="14" t="n">
        <x:v>57</x:v>
      </x:c>
      <x:c r="D829" s="14" t="str">
        <x:v>Water</x:v>
      </x:c>
      <x:c r="E829" s="14" t="str">
        <x:v>NOT COMMISSIONED</x:v>
      </x:c>
      <x:c r="F829" s="14" t="str">
        <x:v>OPEN</x:v>
      </x:c>
    </x:row>
    <x:row r="830">
      <x:c r="A830" s="15" t="str">
        <x:v>CH-0826</x:v>
      </x:c>
      <x:c r="B830" s="15" t="str">
        <x:v>SYS-13</x:v>
      </x:c>
      <x:c r="C830" s="15" t="n">
        <x:v>58</x:v>
      </x:c>
      <x:c r="D830" s="15" t="str">
        <x:v>Water</x:v>
      </x:c>
      <x:c r="E830" s="15" t="str">
        <x:v>NOT COMMISSIONED</x:v>
      </x:c>
      <x:c r="F830" s="15" t="str">
        <x:v>OPEN</x:v>
      </x:c>
    </x:row>
    <x:row r="831">
      <x:c r="A831" s="14" t="str">
        <x:v>CH-0827</x:v>
      </x:c>
      <x:c r="B831" s="14" t="str">
        <x:v>SYS-13</x:v>
      </x:c>
      <x:c r="C831" s="14" t="n">
        <x:v>59</x:v>
      </x:c>
      <x:c r="D831" s="14" t="str">
        <x:v>Water</x:v>
      </x:c>
      <x:c r="E831" s="14" t="str">
        <x:v>NOT COMMISSIONED</x:v>
      </x:c>
      <x:c r="F831" s="14" t="str">
        <x:v>OPEN</x:v>
      </x:c>
    </x:row>
    <x:row r="832">
      <x:c r="A832" s="15" t="str">
        <x:v>CH-0828</x:v>
      </x:c>
      <x:c r="B832" s="15" t="str">
        <x:v>SYS-13</x:v>
      </x:c>
      <x:c r="C832" s="15" t="n">
        <x:v>60</x:v>
      </x:c>
      <x:c r="D832" s="15" t="str">
        <x:v>Water</x:v>
      </x:c>
      <x:c r="E832" s="15" t="str">
        <x:v>NOT COMMISSIONED</x:v>
      </x:c>
      <x:c r="F832" s="15" t="str">
        <x:v>OPEN</x:v>
      </x:c>
    </x:row>
    <x:row r="833">
      <x:c r="A833" s="14" t="str">
        <x:v>CH-0829</x:v>
      </x:c>
      <x:c r="B833" s="14" t="str">
        <x:v>SYS-13</x:v>
      </x:c>
      <x:c r="C833" s="14" t="n">
        <x:v>61</x:v>
      </x:c>
      <x:c r="D833" s="14" t="str">
        <x:v>Water</x:v>
      </x:c>
      <x:c r="E833" s="14" t="str">
        <x:v>NOT COMMISSIONED</x:v>
      </x:c>
      <x:c r="F833" s="14" t="str">
        <x:v>OPEN</x:v>
      </x:c>
    </x:row>
    <x:row r="834">
      <x:c r="A834" s="15" t="str">
        <x:v>CH-0830</x:v>
      </x:c>
      <x:c r="B834" s="15" t="str">
        <x:v>SYS-13</x:v>
      </x:c>
      <x:c r="C834" s="15" t="n">
        <x:v>62</x:v>
      </x:c>
      <x:c r="D834" s="15" t="str">
        <x:v>Water</x:v>
      </x:c>
      <x:c r="E834" s="15" t="str">
        <x:v>NOT COMMISSIONED</x:v>
      </x:c>
      <x:c r="F834" s="15" t="str">
        <x:v>OPEN</x:v>
      </x:c>
    </x:row>
    <x:row r="835">
      <x:c r="A835" s="14" t="str">
        <x:v>CH-0831</x:v>
      </x:c>
      <x:c r="B835" s="14" t="str">
        <x:v>SYS-13</x:v>
      </x:c>
      <x:c r="C835" s="14" t="n">
        <x:v>63</x:v>
      </x:c>
      <x:c r="D835" s="14" t="str">
        <x:v>Water</x:v>
      </x:c>
      <x:c r="E835" s="14" t="str">
        <x:v>NOT COMMISSIONED</x:v>
      </x:c>
      <x:c r="F835" s="14" t="str">
        <x:v>OPEN</x:v>
      </x:c>
    </x:row>
    <x:row r="836">
      <x:c r="A836" s="15" t="str">
        <x:v>CH-0832</x:v>
      </x:c>
      <x:c r="B836" s="15" t="str">
        <x:v>SYS-13</x:v>
      </x:c>
      <x:c r="C836" s="15" t="n">
        <x:v>64</x:v>
      </x:c>
      <x:c r="D836" s="15" t="str">
        <x:v>Water</x:v>
      </x:c>
      <x:c r="E836" s="15" t="str">
        <x:v>NOT COMMISSIONED</x:v>
      </x:c>
      <x:c r="F836" s="15" t="str">
        <x:v>OPEN</x:v>
      </x:c>
    </x:row>
    <x:row r="837">
      <x:c r="A837" s="14" t="str">
        <x:v>CH-0833</x:v>
      </x:c>
      <x:c r="B837" s="14" t="str">
        <x:v>SYS-14</x:v>
      </x:c>
      <x:c r="C837" s="14" t="n">
        <x:v>1</x:v>
      </x:c>
      <x:c r="D837" s="14" t="str">
        <x:v>Thermal</x:v>
      </x:c>
      <x:c r="E837" s="14" t="str">
        <x:v>NOT COMMISSIONED</x:v>
      </x:c>
      <x:c r="F837" s="14" t="str">
        <x:v>OPEN</x:v>
      </x:c>
    </x:row>
    <x:row r="838">
      <x:c r="A838" s="15" t="str">
        <x:v>CH-0834</x:v>
      </x:c>
      <x:c r="B838" s="15" t="str">
        <x:v>SYS-14</x:v>
      </x:c>
      <x:c r="C838" s="15" t="n">
        <x:v>2</x:v>
      </x:c>
      <x:c r="D838" s="15" t="str">
        <x:v>Thermal</x:v>
      </x:c>
      <x:c r="E838" s="15" t="str">
        <x:v>NOT COMMISSIONED</x:v>
      </x:c>
      <x:c r="F838" s="15" t="str">
        <x:v>OPEN</x:v>
      </x:c>
    </x:row>
    <x:row r="839">
      <x:c r="A839" s="14" t="str">
        <x:v>CH-0835</x:v>
      </x:c>
      <x:c r="B839" s="14" t="str">
        <x:v>SYS-14</x:v>
      </x:c>
      <x:c r="C839" s="14" t="n">
        <x:v>3</x:v>
      </x:c>
      <x:c r="D839" s="14" t="str">
        <x:v>Thermal</x:v>
      </x:c>
      <x:c r="E839" s="14" t="str">
        <x:v>NOT COMMISSIONED</x:v>
      </x:c>
      <x:c r="F839" s="14" t="str">
        <x:v>OPEN</x:v>
      </x:c>
    </x:row>
    <x:row r="840">
      <x:c r="A840" s="15" t="str">
        <x:v>CH-0836</x:v>
      </x:c>
      <x:c r="B840" s="15" t="str">
        <x:v>SYS-14</x:v>
      </x:c>
      <x:c r="C840" s="15" t="n">
        <x:v>4</x:v>
      </x:c>
      <x:c r="D840" s="15" t="str">
        <x:v>Thermal</x:v>
      </x:c>
      <x:c r="E840" s="15" t="str">
        <x:v>NOT COMMISSIONED</x:v>
      </x:c>
      <x:c r="F840" s="15" t="str">
        <x:v>OPEN</x:v>
      </x:c>
    </x:row>
    <x:row r="841">
      <x:c r="A841" s="14" t="str">
        <x:v>CH-0837</x:v>
      </x:c>
      <x:c r="B841" s="14" t="str">
        <x:v>SYS-14</x:v>
      </x:c>
      <x:c r="C841" s="14" t="n">
        <x:v>5</x:v>
      </x:c>
      <x:c r="D841" s="14" t="str">
        <x:v>Thermal</x:v>
      </x:c>
      <x:c r="E841" s="14" t="str">
        <x:v>NOT COMMISSIONED</x:v>
      </x:c>
      <x:c r="F841" s="14" t="str">
        <x:v>OPEN</x:v>
      </x:c>
    </x:row>
    <x:row r="842">
      <x:c r="A842" s="15" t="str">
        <x:v>CH-0838</x:v>
      </x:c>
      <x:c r="B842" s="15" t="str">
        <x:v>SYS-14</x:v>
      </x:c>
      <x:c r="C842" s="15" t="n">
        <x:v>6</x:v>
      </x:c>
      <x:c r="D842" s="15" t="str">
        <x:v>Thermal</x:v>
      </x:c>
      <x:c r="E842" s="15" t="str">
        <x:v>NOT COMMISSIONED</x:v>
      </x:c>
      <x:c r="F842" s="15" t="str">
        <x:v>OPEN</x:v>
      </x:c>
    </x:row>
    <x:row r="843">
      <x:c r="A843" s="14" t="str">
        <x:v>CH-0839</x:v>
      </x:c>
      <x:c r="B843" s="14" t="str">
        <x:v>SYS-14</x:v>
      </x:c>
      <x:c r="C843" s="14" t="n">
        <x:v>7</x:v>
      </x:c>
      <x:c r="D843" s="14" t="str">
        <x:v>Thermal</x:v>
      </x:c>
      <x:c r="E843" s="14" t="str">
        <x:v>NOT COMMISSIONED</x:v>
      </x:c>
      <x:c r="F843" s="14" t="str">
        <x:v>OPEN</x:v>
      </x:c>
    </x:row>
    <x:row r="844">
      <x:c r="A844" s="15" t="str">
        <x:v>CH-0840</x:v>
      </x:c>
      <x:c r="B844" s="15" t="str">
        <x:v>SYS-14</x:v>
      </x:c>
      <x:c r="C844" s="15" t="n">
        <x:v>8</x:v>
      </x:c>
      <x:c r="D844" s="15" t="str">
        <x:v>Thermal</x:v>
      </x:c>
      <x:c r="E844" s="15" t="str">
        <x:v>NOT COMMISSIONED</x:v>
      </x:c>
      <x:c r="F844" s="15" t="str">
        <x:v>OPEN</x:v>
      </x:c>
    </x:row>
    <x:row r="845">
      <x:c r="A845" s="14" t="str">
        <x:v>CH-0841</x:v>
      </x:c>
      <x:c r="B845" s="14" t="str">
        <x:v>SYS-14</x:v>
      </x:c>
      <x:c r="C845" s="14" t="n">
        <x:v>9</x:v>
      </x:c>
      <x:c r="D845" s="14" t="str">
        <x:v>Thermal</x:v>
      </x:c>
      <x:c r="E845" s="14" t="str">
        <x:v>NOT COMMISSIONED</x:v>
      </x:c>
      <x:c r="F845" s="14" t="str">
        <x:v>OPEN</x:v>
      </x:c>
    </x:row>
    <x:row r="846">
      <x:c r="A846" s="15" t="str">
        <x:v>CH-0842</x:v>
      </x:c>
      <x:c r="B846" s="15" t="str">
        <x:v>SYS-14</x:v>
      </x:c>
      <x:c r="C846" s="15" t="n">
        <x:v>10</x:v>
      </x:c>
      <x:c r="D846" s="15" t="str">
        <x:v>Thermal</x:v>
      </x:c>
      <x:c r="E846" s="15" t="str">
        <x:v>NOT COMMISSIONED</x:v>
      </x:c>
      <x:c r="F846" s="15" t="str">
        <x:v>OPEN</x:v>
      </x:c>
    </x:row>
    <x:row r="847">
      <x:c r="A847" s="14" t="str">
        <x:v>CH-0843</x:v>
      </x:c>
      <x:c r="B847" s="14" t="str">
        <x:v>SYS-14</x:v>
      </x:c>
      <x:c r="C847" s="14" t="n">
        <x:v>11</x:v>
      </x:c>
      <x:c r="D847" s="14" t="str">
        <x:v>Thermal</x:v>
      </x:c>
      <x:c r="E847" s="14" t="str">
        <x:v>NOT COMMISSIONED</x:v>
      </x:c>
      <x:c r="F847" s="14" t="str">
        <x:v>OPEN</x:v>
      </x:c>
    </x:row>
    <x:row r="848">
      <x:c r="A848" s="15" t="str">
        <x:v>CH-0844</x:v>
      </x:c>
      <x:c r="B848" s="15" t="str">
        <x:v>SYS-14</x:v>
      </x:c>
      <x:c r="C848" s="15" t="n">
        <x:v>12</x:v>
      </x:c>
      <x:c r="D848" s="15" t="str">
        <x:v>Thermal</x:v>
      </x:c>
      <x:c r="E848" s="15" t="str">
        <x:v>NOT COMMISSIONED</x:v>
      </x:c>
      <x:c r="F848" s="15" t="str">
        <x:v>OPEN</x:v>
      </x:c>
    </x:row>
    <x:row r="849">
      <x:c r="A849" s="14" t="str">
        <x:v>CH-0845</x:v>
      </x:c>
      <x:c r="B849" s="14" t="str">
        <x:v>SYS-14</x:v>
      </x:c>
      <x:c r="C849" s="14" t="n">
        <x:v>13</x:v>
      </x:c>
      <x:c r="D849" s="14" t="str">
        <x:v>Thermal</x:v>
      </x:c>
      <x:c r="E849" s="14" t="str">
        <x:v>NOT COMMISSIONED</x:v>
      </x:c>
      <x:c r="F849" s="14" t="str">
        <x:v>OPEN</x:v>
      </x:c>
    </x:row>
    <x:row r="850">
      <x:c r="A850" s="15" t="str">
        <x:v>CH-0846</x:v>
      </x:c>
      <x:c r="B850" s="15" t="str">
        <x:v>SYS-14</x:v>
      </x:c>
      <x:c r="C850" s="15" t="n">
        <x:v>14</x:v>
      </x:c>
      <x:c r="D850" s="15" t="str">
        <x:v>Thermal</x:v>
      </x:c>
      <x:c r="E850" s="15" t="str">
        <x:v>NOT COMMISSIONED</x:v>
      </x:c>
      <x:c r="F850" s="15" t="str">
        <x:v>OPEN</x:v>
      </x:c>
    </x:row>
    <x:row r="851">
      <x:c r="A851" s="14" t="str">
        <x:v>CH-0847</x:v>
      </x:c>
      <x:c r="B851" s="14" t="str">
        <x:v>SYS-14</x:v>
      </x:c>
      <x:c r="C851" s="14" t="n">
        <x:v>15</x:v>
      </x:c>
      <x:c r="D851" s="14" t="str">
        <x:v>Thermal</x:v>
      </x:c>
      <x:c r="E851" s="14" t="str">
        <x:v>NOT COMMISSIONED</x:v>
      </x:c>
      <x:c r="F851" s="14" t="str">
        <x:v>OPEN</x:v>
      </x:c>
    </x:row>
    <x:row r="852">
      <x:c r="A852" s="15" t="str">
        <x:v>CH-0848</x:v>
      </x:c>
      <x:c r="B852" s="15" t="str">
        <x:v>SYS-14</x:v>
      </x:c>
      <x:c r="C852" s="15" t="n">
        <x:v>16</x:v>
      </x:c>
      <x:c r="D852" s="15" t="str">
        <x:v>Thermal</x:v>
      </x:c>
      <x:c r="E852" s="15" t="str">
        <x:v>NOT COMMISSIONED</x:v>
      </x:c>
      <x:c r="F852" s="15" t="str">
        <x:v>OPEN</x:v>
      </x:c>
    </x:row>
    <x:row r="853">
      <x:c r="A853" s="14" t="str">
        <x:v>CH-0849</x:v>
      </x:c>
      <x:c r="B853" s="14" t="str">
        <x:v>SYS-14</x:v>
      </x:c>
      <x:c r="C853" s="14" t="n">
        <x:v>17</x:v>
      </x:c>
      <x:c r="D853" s="14" t="str">
        <x:v>Thermal</x:v>
      </x:c>
      <x:c r="E853" s="14" t="str">
        <x:v>NOT COMMISSIONED</x:v>
      </x:c>
      <x:c r="F853" s="14" t="str">
        <x:v>OPEN</x:v>
      </x:c>
    </x:row>
    <x:row r="854">
      <x:c r="A854" s="15" t="str">
        <x:v>CH-0850</x:v>
      </x:c>
      <x:c r="B854" s="15" t="str">
        <x:v>SYS-14</x:v>
      </x:c>
      <x:c r="C854" s="15" t="n">
        <x:v>18</x:v>
      </x:c>
      <x:c r="D854" s="15" t="str">
        <x:v>Thermal</x:v>
      </x:c>
      <x:c r="E854" s="15" t="str">
        <x:v>NOT COMMISSIONED</x:v>
      </x:c>
      <x:c r="F854" s="15" t="str">
        <x:v>OPEN</x:v>
      </x:c>
    </x:row>
    <x:row r="855">
      <x:c r="A855" s="14" t="str">
        <x:v>CH-0851</x:v>
      </x:c>
      <x:c r="B855" s="14" t="str">
        <x:v>SYS-14</x:v>
      </x:c>
      <x:c r="C855" s="14" t="n">
        <x:v>19</x:v>
      </x:c>
      <x:c r="D855" s="14" t="str">
        <x:v>Thermal</x:v>
      </x:c>
      <x:c r="E855" s="14" t="str">
        <x:v>NOT COMMISSIONED</x:v>
      </x:c>
      <x:c r="F855" s="14" t="str">
        <x:v>OPEN</x:v>
      </x:c>
    </x:row>
    <x:row r="856">
      <x:c r="A856" s="15" t="str">
        <x:v>CH-0852</x:v>
      </x:c>
      <x:c r="B856" s="15" t="str">
        <x:v>SYS-14</x:v>
      </x:c>
      <x:c r="C856" s="15" t="n">
        <x:v>20</x:v>
      </x:c>
      <x:c r="D856" s="15" t="str">
        <x:v>Thermal</x:v>
      </x:c>
      <x:c r="E856" s="15" t="str">
        <x:v>NOT COMMISSIONED</x:v>
      </x:c>
      <x:c r="F856" s="15" t="str">
        <x:v>OPEN</x:v>
      </x:c>
    </x:row>
    <x:row r="857">
      <x:c r="A857" s="14" t="str">
        <x:v>CH-0853</x:v>
      </x:c>
      <x:c r="B857" s="14" t="str">
        <x:v>SYS-14</x:v>
      </x:c>
      <x:c r="C857" s="14" t="n">
        <x:v>21</x:v>
      </x:c>
      <x:c r="D857" s="14" t="str">
        <x:v>Thermal</x:v>
      </x:c>
      <x:c r="E857" s="14" t="str">
        <x:v>NOT COMMISSIONED</x:v>
      </x:c>
      <x:c r="F857" s="14" t="str">
        <x:v>OPEN</x:v>
      </x:c>
    </x:row>
    <x:row r="858">
      <x:c r="A858" s="15" t="str">
        <x:v>CH-0854</x:v>
      </x:c>
      <x:c r="B858" s="15" t="str">
        <x:v>SYS-14</x:v>
      </x:c>
      <x:c r="C858" s="15" t="n">
        <x:v>22</x:v>
      </x:c>
      <x:c r="D858" s="15" t="str">
        <x:v>Thermal</x:v>
      </x:c>
      <x:c r="E858" s="15" t="str">
        <x:v>NOT COMMISSIONED</x:v>
      </x:c>
      <x:c r="F858" s="15" t="str">
        <x:v>OPEN</x:v>
      </x:c>
    </x:row>
    <x:row r="859">
      <x:c r="A859" s="14" t="str">
        <x:v>CH-0855</x:v>
      </x:c>
      <x:c r="B859" s="14" t="str">
        <x:v>SYS-14</x:v>
      </x:c>
      <x:c r="C859" s="14" t="n">
        <x:v>23</x:v>
      </x:c>
      <x:c r="D859" s="14" t="str">
        <x:v>Thermal</x:v>
      </x:c>
      <x:c r="E859" s="14" t="str">
        <x:v>NOT COMMISSIONED</x:v>
      </x:c>
      <x:c r="F859" s="14" t="str">
        <x:v>OPEN</x:v>
      </x:c>
    </x:row>
    <x:row r="860">
      <x:c r="A860" s="15" t="str">
        <x:v>CH-0856</x:v>
      </x:c>
      <x:c r="B860" s="15" t="str">
        <x:v>SYS-14</x:v>
      </x:c>
      <x:c r="C860" s="15" t="n">
        <x:v>24</x:v>
      </x:c>
      <x:c r="D860" s="15" t="str">
        <x:v>Thermal</x:v>
      </x:c>
      <x:c r="E860" s="15" t="str">
        <x:v>NOT COMMISSIONED</x:v>
      </x:c>
      <x:c r="F860" s="15" t="str">
        <x:v>OPEN</x:v>
      </x:c>
    </x:row>
    <x:row r="861">
      <x:c r="A861" s="14" t="str">
        <x:v>CH-0857</x:v>
      </x:c>
      <x:c r="B861" s="14" t="str">
        <x:v>SYS-14</x:v>
      </x:c>
      <x:c r="C861" s="14" t="n">
        <x:v>25</x:v>
      </x:c>
      <x:c r="D861" s="14" t="str">
        <x:v>Thermal</x:v>
      </x:c>
      <x:c r="E861" s="14" t="str">
        <x:v>NOT COMMISSIONED</x:v>
      </x:c>
      <x:c r="F861" s="14" t="str">
        <x:v>OPEN</x:v>
      </x:c>
    </x:row>
    <x:row r="862">
      <x:c r="A862" s="15" t="str">
        <x:v>CH-0858</x:v>
      </x:c>
      <x:c r="B862" s="15" t="str">
        <x:v>SYS-14</x:v>
      </x:c>
      <x:c r="C862" s="15" t="n">
        <x:v>26</x:v>
      </x:c>
      <x:c r="D862" s="15" t="str">
        <x:v>Thermal</x:v>
      </x:c>
      <x:c r="E862" s="15" t="str">
        <x:v>NOT COMMISSIONED</x:v>
      </x:c>
      <x:c r="F862" s="15" t="str">
        <x:v>OPEN</x:v>
      </x:c>
    </x:row>
    <x:row r="863">
      <x:c r="A863" s="14" t="str">
        <x:v>CH-0859</x:v>
      </x:c>
      <x:c r="B863" s="14" t="str">
        <x:v>SYS-14</x:v>
      </x:c>
      <x:c r="C863" s="14" t="n">
        <x:v>27</x:v>
      </x:c>
      <x:c r="D863" s="14" t="str">
        <x:v>Thermal</x:v>
      </x:c>
      <x:c r="E863" s="14" t="str">
        <x:v>NOT COMMISSIONED</x:v>
      </x:c>
      <x:c r="F863" s="14" t="str">
        <x:v>OPEN</x:v>
      </x:c>
    </x:row>
    <x:row r="864">
      <x:c r="A864" s="15" t="str">
        <x:v>CH-0860</x:v>
      </x:c>
      <x:c r="B864" s="15" t="str">
        <x:v>SYS-14</x:v>
      </x:c>
      <x:c r="C864" s="15" t="n">
        <x:v>28</x:v>
      </x:c>
      <x:c r="D864" s="15" t="str">
        <x:v>Thermal</x:v>
      </x:c>
      <x:c r="E864" s="15" t="str">
        <x:v>NOT COMMISSIONED</x:v>
      </x:c>
      <x:c r="F864" s="15" t="str">
        <x:v>OPEN</x:v>
      </x:c>
    </x:row>
    <x:row r="865">
      <x:c r="A865" s="14" t="str">
        <x:v>CH-0861</x:v>
      </x:c>
      <x:c r="B865" s="14" t="str">
        <x:v>SYS-14</x:v>
      </x:c>
      <x:c r="C865" s="14" t="n">
        <x:v>29</x:v>
      </x:c>
      <x:c r="D865" s="14" t="str">
        <x:v>Thermal</x:v>
      </x:c>
      <x:c r="E865" s="14" t="str">
        <x:v>NOT COMMISSIONED</x:v>
      </x:c>
      <x:c r="F865" s="14" t="str">
        <x:v>OPEN</x:v>
      </x:c>
    </x:row>
    <x:row r="866">
      <x:c r="A866" s="15" t="str">
        <x:v>CH-0862</x:v>
      </x:c>
      <x:c r="B866" s="15" t="str">
        <x:v>SYS-14</x:v>
      </x:c>
      <x:c r="C866" s="15" t="n">
        <x:v>30</x:v>
      </x:c>
      <x:c r="D866" s="15" t="str">
        <x:v>Thermal</x:v>
      </x:c>
      <x:c r="E866" s="15" t="str">
        <x:v>NOT COMMISSIONED</x:v>
      </x:c>
      <x:c r="F866" s="15" t="str">
        <x:v>OPEN</x:v>
      </x:c>
    </x:row>
    <x:row r="867">
      <x:c r="A867" s="14" t="str">
        <x:v>CH-0863</x:v>
      </x:c>
      <x:c r="B867" s="14" t="str">
        <x:v>SYS-14</x:v>
      </x:c>
      <x:c r="C867" s="14" t="n">
        <x:v>31</x:v>
      </x:c>
      <x:c r="D867" s="14" t="str">
        <x:v>Thermal</x:v>
      </x:c>
      <x:c r="E867" s="14" t="str">
        <x:v>NOT COMMISSIONED</x:v>
      </x:c>
      <x:c r="F867" s="14" t="str">
        <x:v>OPEN</x:v>
      </x:c>
    </x:row>
    <x:row r="868">
      <x:c r="A868" s="15" t="str">
        <x:v>CH-0864</x:v>
      </x:c>
      <x:c r="B868" s="15" t="str">
        <x:v>SYS-14</x:v>
      </x:c>
      <x:c r="C868" s="15" t="n">
        <x:v>32</x:v>
      </x:c>
      <x:c r="D868" s="15" t="str">
        <x:v>Thermal</x:v>
      </x:c>
      <x:c r="E868" s="15" t="str">
        <x:v>NOT COMMISSIONED</x:v>
      </x:c>
      <x:c r="F868" s="15" t="str">
        <x:v>OPEN</x:v>
      </x:c>
    </x:row>
    <x:row r="869">
      <x:c r="A869" s="14" t="str">
        <x:v>CH-0865</x:v>
      </x:c>
      <x:c r="B869" s="14" t="str">
        <x:v>SYS-14</x:v>
      </x:c>
      <x:c r="C869" s="14" t="n">
        <x:v>33</x:v>
      </x:c>
      <x:c r="D869" s="14" t="str">
        <x:v>Thermal</x:v>
      </x:c>
      <x:c r="E869" s="14" t="str">
        <x:v>NOT COMMISSIONED</x:v>
      </x:c>
      <x:c r="F869" s="14" t="str">
        <x:v>OPEN</x:v>
      </x:c>
    </x:row>
    <x:row r="870">
      <x:c r="A870" s="15" t="str">
        <x:v>CH-0866</x:v>
      </x:c>
      <x:c r="B870" s="15" t="str">
        <x:v>SYS-14</x:v>
      </x:c>
      <x:c r="C870" s="15" t="n">
        <x:v>34</x:v>
      </x:c>
      <x:c r="D870" s="15" t="str">
        <x:v>Thermal</x:v>
      </x:c>
      <x:c r="E870" s="15" t="str">
        <x:v>NOT COMMISSIONED</x:v>
      </x:c>
      <x:c r="F870" s="15" t="str">
        <x:v>OPEN</x:v>
      </x:c>
    </x:row>
    <x:row r="871">
      <x:c r="A871" s="14" t="str">
        <x:v>CH-0867</x:v>
      </x:c>
      <x:c r="B871" s="14" t="str">
        <x:v>SYS-14</x:v>
      </x:c>
      <x:c r="C871" s="14" t="n">
        <x:v>35</x:v>
      </x:c>
      <x:c r="D871" s="14" t="str">
        <x:v>Thermal</x:v>
      </x:c>
      <x:c r="E871" s="14" t="str">
        <x:v>NOT COMMISSIONED</x:v>
      </x:c>
      <x:c r="F871" s="14" t="str">
        <x:v>OPEN</x:v>
      </x:c>
    </x:row>
    <x:row r="872">
      <x:c r="A872" s="15" t="str">
        <x:v>CH-0868</x:v>
      </x:c>
      <x:c r="B872" s="15" t="str">
        <x:v>SYS-14</x:v>
      </x:c>
      <x:c r="C872" s="15" t="n">
        <x:v>36</x:v>
      </x:c>
      <x:c r="D872" s="15" t="str">
        <x:v>Thermal</x:v>
      </x:c>
      <x:c r="E872" s="15" t="str">
        <x:v>NOT COMMISSIONED</x:v>
      </x:c>
      <x:c r="F872" s="15" t="str">
        <x:v>OPEN</x:v>
      </x:c>
    </x:row>
    <x:row r="873">
      <x:c r="A873" s="14" t="str">
        <x:v>CH-0869</x:v>
      </x:c>
      <x:c r="B873" s="14" t="str">
        <x:v>SYS-14</x:v>
      </x:c>
      <x:c r="C873" s="14" t="n">
        <x:v>37</x:v>
      </x:c>
      <x:c r="D873" s="14" t="str">
        <x:v>Thermal</x:v>
      </x:c>
      <x:c r="E873" s="14" t="str">
        <x:v>NOT COMMISSIONED</x:v>
      </x:c>
      <x:c r="F873" s="14" t="str">
        <x:v>OPEN</x:v>
      </x:c>
    </x:row>
    <x:row r="874">
      <x:c r="A874" s="15" t="str">
        <x:v>CH-0870</x:v>
      </x:c>
      <x:c r="B874" s="15" t="str">
        <x:v>SYS-14</x:v>
      </x:c>
      <x:c r="C874" s="15" t="n">
        <x:v>38</x:v>
      </x:c>
      <x:c r="D874" s="15" t="str">
        <x:v>Thermal</x:v>
      </x:c>
      <x:c r="E874" s="15" t="str">
        <x:v>NOT COMMISSIONED</x:v>
      </x:c>
      <x:c r="F874" s="15" t="str">
        <x:v>OPEN</x:v>
      </x:c>
    </x:row>
    <x:row r="875">
      <x:c r="A875" s="14" t="str">
        <x:v>CH-0871</x:v>
      </x:c>
      <x:c r="B875" s="14" t="str">
        <x:v>SYS-14</x:v>
      </x:c>
      <x:c r="C875" s="14" t="n">
        <x:v>39</x:v>
      </x:c>
      <x:c r="D875" s="14" t="str">
        <x:v>Thermal</x:v>
      </x:c>
      <x:c r="E875" s="14" t="str">
        <x:v>NOT COMMISSIONED</x:v>
      </x:c>
      <x:c r="F875" s="14" t="str">
        <x:v>OPEN</x:v>
      </x:c>
    </x:row>
    <x:row r="876">
      <x:c r="A876" s="15" t="str">
        <x:v>CH-0872</x:v>
      </x:c>
      <x:c r="B876" s="15" t="str">
        <x:v>SYS-14</x:v>
      </x:c>
      <x:c r="C876" s="15" t="n">
        <x:v>40</x:v>
      </x:c>
      <x:c r="D876" s="15" t="str">
        <x:v>Thermal</x:v>
      </x:c>
      <x:c r="E876" s="15" t="str">
        <x:v>NOT COMMISSIONED</x:v>
      </x:c>
      <x:c r="F876" s="15" t="str">
        <x:v>OPEN</x:v>
      </x:c>
    </x:row>
    <x:row r="877">
      <x:c r="A877" s="14" t="str">
        <x:v>CH-0873</x:v>
      </x:c>
      <x:c r="B877" s="14" t="str">
        <x:v>SYS-14</x:v>
      </x:c>
      <x:c r="C877" s="14" t="n">
        <x:v>41</x:v>
      </x:c>
      <x:c r="D877" s="14" t="str">
        <x:v>Thermal</x:v>
      </x:c>
      <x:c r="E877" s="14" t="str">
        <x:v>NOT COMMISSIONED</x:v>
      </x:c>
      <x:c r="F877" s="14" t="str">
        <x:v>OPEN</x:v>
      </x:c>
    </x:row>
    <x:row r="878">
      <x:c r="A878" s="15" t="str">
        <x:v>CH-0874</x:v>
      </x:c>
      <x:c r="B878" s="15" t="str">
        <x:v>SYS-14</x:v>
      </x:c>
      <x:c r="C878" s="15" t="n">
        <x:v>42</x:v>
      </x:c>
      <x:c r="D878" s="15" t="str">
        <x:v>Thermal</x:v>
      </x:c>
      <x:c r="E878" s="15" t="str">
        <x:v>NOT COMMISSIONED</x:v>
      </x:c>
      <x:c r="F878" s="15" t="str">
        <x:v>OPEN</x:v>
      </x:c>
    </x:row>
    <x:row r="879">
      <x:c r="A879" s="14" t="str">
        <x:v>CH-0875</x:v>
      </x:c>
      <x:c r="B879" s="14" t="str">
        <x:v>SYS-14</x:v>
      </x:c>
      <x:c r="C879" s="14" t="n">
        <x:v>43</x:v>
      </x:c>
      <x:c r="D879" s="14" t="str">
        <x:v>Thermal</x:v>
      </x:c>
      <x:c r="E879" s="14" t="str">
        <x:v>NOT COMMISSIONED</x:v>
      </x:c>
      <x:c r="F879" s="14" t="str">
        <x:v>OPEN</x:v>
      </x:c>
    </x:row>
    <x:row r="880">
      <x:c r="A880" s="15" t="str">
        <x:v>CH-0876</x:v>
      </x:c>
      <x:c r="B880" s="15" t="str">
        <x:v>SYS-14</x:v>
      </x:c>
      <x:c r="C880" s="15" t="n">
        <x:v>44</x:v>
      </x:c>
      <x:c r="D880" s="15" t="str">
        <x:v>Thermal</x:v>
      </x:c>
      <x:c r="E880" s="15" t="str">
        <x:v>NOT COMMISSIONED</x:v>
      </x:c>
      <x:c r="F880" s="15" t="str">
        <x:v>OPEN</x:v>
      </x:c>
    </x:row>
    <x:row r="881">
      <x:c r="A881" s="14" t="str">
        <x:v>CH-0877</x:v>
      </x:c>
      <x:c r="B881" s="14" t="str">
        <x:v>SYS-14</x:v>
      </x:c>
      <x:c r="C881" s="14" t="n">
        <x:v>45</x:v>
      </x:c>
      <x:c r="D881" s="14" t="str">
        <x:v>Thermal</x:v>
      </x:c>
      <x:c r="E881" s="14" t="str">
        <x:v>NOT COMMISSIONED</x:v>
      </x:c>
      <x:c r="F881" s="14" t="str">
        <x:v>OPEN</x:v>
      </x:c>
    </x:row>
    <x:row r="882">
      <x:c r="A882" s="15" t="str">
        <x:v>CH-0878</x:v>
      </x:c>
      <x:c r="B882" s="15" t="str">
        <x:v>SYS-14</x:v>
      </x:c>
      <x:c r="C882" s="15" t="n">
        <x:v>46</x:v>
      </x:c>
      <x:c r="D882" s="15" t="str">
        <x:v>Thermal</x:v>
      </x:c>
      <x:c r="E882" s="15" t="str">
        <x:v>NOT COMMISSIONED</x:v>
      </x:c>
      <x:c r="F882" s="15" t="str">
        <x:v>OPEN</x:v>
      </x:c>
    </x:row>
    <x:row r="883">
      <x:c r="A883" s="14" t="str">
        <x:v>CH-0879</x:v>
      </x:c>
      <x:c r="B883" s="14" t="str">
        <x:v>SYS-14</x:v>
      </x:c>
      <x:c r="C883" s="14" t="n">
        <x:v>47</x:v>
      </x:c>
      <x:c r="D883" s="14" t="str">
        <x:v>Thermal</x:v>
      </x:c>
      <x:c r="E883" s="14" t="str">
        <x:v>NOT COMMISSIONED</x:v>
      </x:c>
      <x:c r="F883" s="14" t="str">
        <x:v>OPEN</x:v>
      </x:c>
    </x:row>
    <x:row r="884">
      <x:c r="A884" s="15" t="str">
        <x:v>CH-0880</x:v>
      </x:c>
      <x:c r="B884" s="15" t="str">
        <x:v>SYS-14</x:v>
      </x:c>
      <x:c r="C884" s="15" t="n">
        <x:v>48</x:v>
      </x:c>
      <x:c r="D884" s="15" t="str">
        <x:v>Thermal</x:v>
      </x:c>
      <x:c r="E884" s="15" t="str">
        <x:v>NOT COMMISSIONED</x:v>
      </x:c>
      <x:c r="F884" s="15" t="str">
        <x:v>OPEN</x:v>
      </x:c>
    </x:row>
    <x:row r="885">
      <x:c r="A885" s="14" t="str">
        <x:v>CH-0881</x:v>
      </x:c>
      <x:c r="B885" s="14" t="str">
        <x:v>SYS-14</x:v>
      </x:c>
      <x:c r="C885" s="14" t="n">
        <x:v>49</x:v>
      </x:c>
      <x:c r="D885" s="14" t="str">
        <x:v>Thermal</x:v>
      </x:c>
      <x:c r="E885" s="14" t="str">
        <x:v>NOT COMMISSIONED</x:v>
      </x:c>
      <x:c r="F885" s="14" t="str">
        <x:v>OPEN</x:v>
      </x:c>
    </x:row>
    <x:row r="886">
      <x:c r="A886" s="15" t="str">
        <x:v>CH-0882</x:v>
      </x:c>
      <x:c r="B886" s="15" t="str">
        <x:v>SYS-14</x:v>
      </x:c>
      <x:c r="C886" s="15" t="n">
        <x:v>50</x:v>
      </x:c>
      <x:c r="D886" s="15" t="str">
        <x:v>Thermal</x:v>
      </x:c>
      <x:c r="E886" s="15" t="str">
        <x:v>NOT COMMISSIONED</x:v>
      </x:c>
      <x:c r="F886" s="15" t="str">
        <x:v>OPEN</x:v>
      </x:c>
    </x:row>
    <x:row r="887">
      <x:c r="A887" s="14" t="str">
        <x:v>CH-0883</x:v>
      </x:c>
      <x:c r="B887" s="14" t="str">
        <x:v>SYS-14</x:v>
      </x:c>
      <x:c r="C887" s="14" t="n">
        <x:v>51</x:v>
      </x:c>
      <x:c r="D887" s="14" t="str">
        <x:v>Thermal</x:v>
      </x:c>
      <x:c r="E887" s="14" t="str">
        <x:v>NOT COMMISSIONED</x:v>
      </x:c>
      <x:c r="F887" s="14" t="str">
        <x:v>OPEN</x:v>
      </x:c>
    </x:row>
    <x:row r="888">
      <x:c r="A888" s="15" t="str">
        <x:v>CH-0884</x:v>
      </x:c>
      <x:c r="B888" s="15" t="str">
        <x:v>SYS-14</x:v>
      </x:c>
      <x:c r="C888" s="15" t="n">
        <x:v>52</x:v>
      </x:c>
      <x:c r="D888" s="15" t="str">
        <x:v>Thermal</x:v>
      </x:c>
      <x:c r="E888" s="15" t="str">
        <x:v>NOT COMMISSIONED</x:v>
      </x:c>
      <x:c r="F888" s="15" t="str">
        <x:v>OPEN</x:v>
      </x:c>
    </x:row>
    <x:row r="889">
      <x:c r="A889" s="14" t="str">
        <x:v>CH-0885</x:v>
      </x:c>
      <x:c r="B889" s="14" t="str">
        <x:v>SYS-14</x:v>
      </x:c>
      <x:c r="C889" s="14" t="n">
        <x:v>53</x:v>
      </x:c>
      <x:c r="D889" s="14" t="str">
        <x:v>Thermal</x:v>
      </x:c>
      <x:c r="E889" s="14" t="str">
        <x:v>NOT COMMISSIONED</x:v>
      </x:c>
      <x:c r="F889" s="14" t="str">
        <x:v>OPEN</x:v>
      </x:c>
    </x:row>
    <x:row r="890">
      <x:c r="A890" s="15" t="str">
        <x:v>CH-0886</x:v>
      </x:c>
      <x:c r="B890" s="15" t="str">
        <x:v>SYS-14</x:v>
      </x:c>
      <x:c r="C890" s="15" t="n">
        <x:v>54</x:v>
      </x:c>
      <x:c r="D890" s="15" t="str">
        <x:v>Thermal</x:v>
      </x:c>
      <x:c r="E890" s="15" t="str">
        <x:v>NOT COMMISSIONED</x:v>
      </x:c>
      <x:c r="F890" s="15" t="str">
        <x:v>OPEN</x:v>
      </x:c>
    </x:row>
    <x:row r="891">
      <x:c r="A891" s="14" t="str">
        <x:v>CH-0887</x:v>
      </x:c>
      <x:c r="B891" s="14" t="str">
        <x:v>SYS-14</x:v>
      </x:c>
      <x:c r="C891" s="14" t="n">
        <x:v>55</x:v>
      </x:c>
      <x:c r="D891" s="14" t="str">
        <x:v>Thermal</x:v>
      </x:c>
      <x:c r="E891" s="14" t="str">
        <x:v>NOT COMMISSIONED</x:v>
      </x:c>
      <x:c r="F891" s="14" t="str">
        <x:v>OPEN</x:v>
      </x:c>
    </x:row>
    <x:row r="892">
      <x:c r="A892" s="15" t="str">
        <x:v>CH-0888</x:v>
      </x:c>
      <x:c r="B892" s="15" t="str">
        <x:v>SYS-14</x:v>
      </x:c>
      <x:c r="C892" s="15" t="n">
        <x:v>56</x:v>
      </x:c>
      <x:c r="D892" s="15" t="str">
        <x:v>Thermal</x:v>
      </x:c>
      <x:c r="E892" s="15" t="str">
        <x:v>NOT COMMISSIONED</x:v>
      </x:c>
      <x:c r="F892" s="15" t="str">
        <x:v>OPEN</x:v>
      </x:c>
    </x:row>
    <x:row r="893">
      <x:c r="A893" s="14" t="str">
        <x:v>CH-0889</x:v>
      </x:c>
      <x:c r="B893" s="14" t="str">
        <x:v>SYS-14</x:v>
      </x:c>
      <x:c r="C893" s="14" t="n">
        <x:v>57</x:v>
      </x:c>
      <x:c r="D893" s="14" t="str">
        <x:v>Thermal</x:v>
      </x:c>
      <x:c r="E893" s="14" t="str">
        <x:v>NOT COMMISSIONED</x:v>
      </x:c>
      <x:c r="F893" s="14" t="str">
        <x:v>OPEN</x:v>
      </x:c>
    </x:row>
    <x:row r="894">
      <x:c r="A894" s="15" t="str">
        <x:v>CH-0890</x:v>
      </x:c>
      <x:c r="B894" s="15" t="str">
        <x:v>SYS-14</x:v>
      </x:c>
      <x:c r="C894" s="15" t="n">
        <x:v>58</x:v>
      </x:c>
      <x:c r="D894" s="15" t="str">
        <x:v>Thermal</x:v>
      </x:c>
      <x:c r="E894" s="15" t="str">
        <x:v>NOT COMMISSIONED</x:v>
      </x:c>
      <x:c r="F894" s="15" t="str">
        <x:v>OPEN</x:v>
      </x:c>
    </x:row>
    <x:row r="895">
      <x:c r="A895" s="14" t="str">
        <x:v>CH-0891</x:v>
      </x:c>
      <x:c r="B895" s="14" t="str">
        <x:v>SYS-14</x:v>
      </x:c>
      <x:c r="C895" s="14" t="n">
        <x:v>59</x:v>
      </x:c>
      <x:c r="D895" s="14" t="str">
        <x:v>Thermal</x:v>
      </x:c>
      <x:c r="E895" s="14" t="str">
        <x:v>NOT COMMISSIONED</x:v>
      </x:c>
      <x:c r="F895" s="14" t="str">
        <x:v>OPEN</x:v>
      </x:c>
    </x:row>
    <x:row r="896">
      <x:c r="A896" s="15" t="str">
        <x:v>CH-0892</x:v>
      </x:c>
      <x:c r="B896" s="15" t="str">
        <x:v>SYS-14</x:v>
      </x:c>
      <x:c r="C896" s="15" t="n">
        <x:v>60</x:v>
      </x:c>
      <x:c r="D896" s="15" t="str">
        <x:v>Thermal</x:v>
      </x:c>
      <x:c r="E896" s="15" t="str">
        <x:v>NOT COMMISSIONED</x:v>
      </x:c>
      <x:c r="F896" s="15" t="str">
        <x:v>OPEN</x:v>
      </x:c>
    </x:row>
    <x:row r="897">
      <x:c r="A897" s="14" t="str">
        <x:v>CH-0893</x:v>
      </x:c>
      <x:c r="B897" s="14" t="str">
        <x:v>SYS-14</x:v>
      </x:c>
      <x:c r="C897" s="14" t="n">
        <x:v>61</x:v>
      </x:c>
      <x:c r="D897" s="14" t="str">
        <x:v>Thermal</x:v>
      </x:c>
      <x:c r="E897" s="14" t="str">
        <x:v>NOT COMMISSIONED</x:v>
      </x:c>
      <x:c r="F897" s="14" t="str">
        <x:v>OPEN</x:v>
      </x:c>
    </x:row>
    <x:row r="898">
      <x:c r="A898" s="15" t="str">
        <x:v>CH-0894</x:v>
      </x:c>
      <x:c r="B898" s="15" t="str">
        <x:v>SYS-14</x:v>
      </x:c>
      <x:c r="C898" s="15" t="n">
        <x:v>62</x:v>
      </x:c>
      <x:c r="D898" s="15" t="str">
        <x:v>Thermal</x:v>
      </x:c>
      <x:c r="E898" s="15" t="str">
        <x:v>NOT COMMISSIONED</x:v>
      </x:c>
      <x:c r="F898" s="15" t="str">
        <x:v>OPEN</x:v>
      </x:c>
    </x:row>
    <x:row r="899">
      <x:c r="A899" s="14" t="str">
        <x:v>CH-0895</x:v>
      </x:c>
      <x:c r="B899" s="14" t="str">
        <x:v>SYS-14</x:v>
      </x:c>
      <x:c r="C899" s="14" t="n">
        <x:v>63</x:v>
      </x:c>
      <x:c r="D899" s="14" t="str">
        <x:v>Thermal</x:v>
      </x:c>
      <x:c r="E899" s="14" t="str">
        <x:v>NOT COMMISSIONED</x:v>
      </x:c>
      <x:c r="F899" s="14" t="str">
        <x:v>OPEN</x:v>
      </x:c>
    </x:row>
    <x:row r="900">
      <x:c r="A900" s="15" t="str">
        <x:v>CH-0896</x:v>
      </x:c>
      <x:c r="B900" s="15" t="str">
        <x:v>SYS-14</x:v>
      </x:c>
      <x:c r="C900" s="15" t="n">
        <x:v>64</x:v>
      </x:c>
      <x:c r="D900" s="15" t="str">
        <x:v>Thermal</x:v>
      </x:c>
      <x:c r="E900" s="15" t="str">
        <x:v>NOT COMMISSIONED</x:v>
      </x:c>
      <x:c r="F900" s="15" t="str">
        <x:v>OPEN</x:v>
      </x:c>
    </x:row>
    <x:row r="901">
      <x:c r="A901" s="14" t="str">
        <x:v>CH-0897</x:v>
      </x:c>
      <x:c r="B901" s="14" t="str">
        <x:v>SYS-15</x:v>
      </x:c>
      <x:c r="C901" s="14" t="n">
        <x:v>1</x:v>
      </x:c>
      <x:c r="D901" s="14" t="str">
        <x:v>Atmosphere</x:v>
      </x:c>
      <x:c r="E901" s="14" t="str">
        <x:v>NOT COMMISSIONED</x:v>
      </x:c>
      <x:c r="F901" s="14" t="str">
        <x:v>OPEN</x:v>
      </x:c>
    </x:row>
    <x:row r="902">
      <x:c r="A902" s="15" t="str">
        <x:v>CH-0898</x:v>
      </x:c>
      <x:c r="B902" s="15" t="str">
        <x:v>SYS-15</x:v>
      </x:c>
      <x:c r="C902" s="15" t="n">
        <x:v>2</x:v>
      </x:c>
      <x:c r="D902" s="15" t="str">
        <x:v>Atmosphere</x:v>
      </x:c>
      <x:c r="E902" s="15" t="str">
        <x:v>NOT COMMISSIONED</x:v>
      </x:c>
      <x:c r="F902" s="15" t="str">
        <x:v>OPEN</x:v>
      </x:c>
    </x:row>
    <x:row r="903">
      <x:c r="A903" s="14" t="str">
        <x:v>CH-0899</x:v>
      </x:c>
      <x:c r="B903" s="14" t="str">
        <x:v>SYS-15</x:v>
      </x:c>
      <x:c r="C903" s="14" t="n">
        <x:v>3</x:v>
      </x:c>
      <x:c r="D903" s="14" t="str">
        <x:v>Atmosphere</x:v>
      </x:c>
      <x:c r="E903" s="14" t="str">
        <x:v>NOT COMMISSIONED</x:v>
      </x:c>
      <x:c r="F903" s="14" t="str">
        <x:v>OPEN</x:v>
      </x:c>
    </x:row>
    <x:row r="904">
      <x:c r="A904" s="15" t="str">
        <x:v>CH-0900</x:v>
      </x:c>
      <x:c r="B904" s="15" t="str">
        <x:v>SYS-15</x:v>
      </x:c>
      <x:c r="C904" s="15" t="n">
        <x:v>4</x:v>
      </x:c>
      <x:c r="D904" s="15" t="str">
        <x:v>Atmosphere</x:v>
      </x:c>
      <x:c r="E904" s="15" t="str">
        <x:v>NOT COMMISSIONED</x:v>
      </x:c>
      <x:c r="F904" s="15" t="str">
        <x:v>OPEN</x:v>
      </x:c>
    </x:row>
    <x:row r="905">
      <x:c r="A905" s="14" t="str">
        <x:v>CH-0901</x:v>
      </x:c>
      <x:c r="B905" s="14" t="str">
        <x:v>SYS-15</x:v>
      </x:c>
      <x:c r="C905" s="14" t="n">
        <x:v>5</x:v>
      </x:c>
      <x:c r="D905" s="14" t="str">
        <x:v>Atmosphere</x:v>
      </x:c>
      <x:c r="E905" s="14" t="str">
        <x:v>NOT COMMISSIONED</x:v>
      </x:c>
      <x:c r="F905" s="14" t="str">
        <x:v>OPEN</x:v>
      </x:c>
    </x:row>
    <x:row r="906">
      <x:c r="A906" s="15" t="str">
        <x:v>CH-0902</x:v>
      </x:c>
      <x:c r="B906" s="15" t="str">
        <x:v>SYS-15</x:v>
      </x:c>
      <x:c r="C906" s="15" t="n">
        <x:v>6</x:v>
      </x:c>
      <x:c r="D906" s="15" t="str">
        <x:v>Atmosphere</x:v>
      </x:c>
      <x:c r="E906" s="15" t="str">
        <x:v>NOT COMMISSIONED</x:v>
      </x:c>
      <x:c r="F906" s="15" t="str">
        <x:v>OPEN</x:v>
      </x:c>
    </x:row>
    <x:row r="907">
      <x:c r="A907" s="14" t="str">
        <x:v>CH-0903</x:v>
      </x:c>
      <x:c r="B907" s="14" t="str">
        <x:v>SYS-15</x:v>
      </x:c>
      <x:c r="C907" s="14" t="n">
        <x:v>7</x:v>
      </x:c>
      <x:c r="D907" s="14" t="str">
        <x:v>Atmosphere</x:v>
      </x:c>
      <x:c r="E907" s="14" t="str">
        <x:v>NOT COMMISSIONED</x:v>
      </x:c>
      <x:c r="F907" s="14" t="str">
        <x:v>OPEN</x:v>
      </x:c>
    </x:row>
    <x:row r="908">
      <x:c r="A908" s="15" t="str">
        <x:v>CH-0904</x:v>
      </x:c>
      <x:c r="B908" s="15" t="str">
        <x:v>SYS-15</x:v>
      </x:c>
      <x:c r="C908" s="15" t="n">
        <x:v>8</x:v>
      </x:c>
      <x:c r="D908" s="15" t="str">
        <x:v>Atmosphere</x:v>
      </x:c>
      <x:c r="E908" s="15" t="str">
        <x:v>NOT COMMISSIONED</x:v>
      </x:c>
      <x:c r="F908" s="15" t="str">
        <x:v>OPEN</x:v>
      </x:c>
    </x:row>
    <x:row r="909">
      <x:c r="A909" s="14" t="str">
        <x:v>CH-0905</x:v>
      </x:c>
      <x:c r="B909" s="14" t="str">
        <x:v>SYS-15</x:v>
      </x:c>
      <x:c r="C909" s="14" t="n">
        <x:v>9</x:v>
      </x:c>
      <x:c r="D909" s="14" t="str">
        <x:v>Atmosphere</x:v>
      </x:c>
      <x:c r="E909" s="14" t="str">
        <x:v>NOT COMMISSIONED</x:v>
      </x:c>
      <x:c r="F909" s="14" t="str">
        <x:v>OPEN</x:v>
      </x:c>
    </x:row>
    <x:row r="910">
      <x:c r="A910" s="15" t="str">
        <x:v>CH-0906</x:v>
      </x:c>
      <x:c r="B910" s="15" t="str">
        <x:v>SYS-15</x:v>
      </x:c>
      <x:c r="C910" s="15" t="n">
        <x:v>10</x:v>
      </x:c>
      <x:c r="D910" s="15" t="str">
        <x:v>Atmosphere</x:v>
      </x:c>
      <x:c r="E910" s="15" t="str">
        <x:v>NOT COMMISSIONED</x:v>
      </x:c>
      <x:c r="F910" s="15" t="str">
        <x:v>OPEN</x:v>
      </x:c>
    </x:row>
    <x:row r="911">
      <x:c r="A911" s="14" t="str">
        <x:v>CH-0907</x:v>
      </x:c>
      <x:c r="B911" s="14" t="str">
        <x:v>SYS-15</x:v>
      </x:c>
      <x:c r="C911" s="14" t="n">
        <x:v>11</x:v>
      </x:c>
      <x:c r="D911" s="14" t="str">
        <x:v>Atmosphere</x:v>
      </x:c>
      <x:c r="E911" s="14" t="str">
        <x:v>NOT COMMISSIONED</x:v>
      </x:c>
      <x:c r="F911" s="14" t="str">
        <x:v>OPEN</x:v>
      </x:c>
    </x:row>
    <x:row r="912">
      <x:c r="A912" s="15" t="str">
        <x:v>CH-0908</x:v>
      </x:c>
      <x:c r="B912" s="15" t="str">
        <x:v>SYS-15</x:v>
      </x:c>
      <x:c r="C912" s="15" t="n">
        <x:v>12</x:v>
      </x:c>
      <x:c r="D912" s="15" t="str">
        <x:v>Atmosphere</x:v>
      </x:c>
      <x:c r="E912" s="15" t="str">
        <x:v>NOT COMMISSIONED</x:v>
      </x:c>
      <x:c r="F912" s="15" t="str">
        <x:v>OPEN</x:v>
      </x:c>
    </x:row>
    <x:row r="913">
      <x:c r="A913" s="14" t="str">
        <x:v>CH-0909</x:v>
      </x:c>
      <x:c r="B913" s="14" t="str">
        <x:v>SYS-15</x:v>
      </x:c>
      <x:c r="C913" s="14" t="n">
        <x:v>13</x:v>
      </x:c>
      <x:c r="D913" s="14" t="str">
        <x:v>Atmosphere</x:v>
      </x:c>
      <x:c r="E913" s="14" t="str">
        <x:v>NOT COMMISSIONED</x:v>
      </x:c>
      <x:c r="F913" s="14" t="str">
        <x:v>OPEN</x:v>
      </x:c>
    </x:row>
    <x:row r="914">
      <x:c r="A914" s="15" t="str">
        <x:v>CH-0910</x:v>
      </x:c>
      <x:c r="B914" s="15" t="str">
        <x:v>SYS-15</x:v>
      </x:c>
      <x:c r="C914" s="15" t="n">
        <x:v>14</x:v>
      </x:c>
      <x:c r="D914" s="15" t="str">
        <x:v>Atmosphere</x:v>
      </x:c>
      <x:c r="E914" s="15" t="str">
        <x:v>NOT COMMISSIONED</x:v>
      </x:c>
      <x:c r="F914" s="15" t="str">
        <x:v>OPEN</x:v>
      </x:c>
    </x:row>
    <x:row r="915">
      <x:c r="A915" s="14" t="str">
        <x:v>CH-0911</x:v>
      </x:c>
      <x:c r="B915" s="14" t="str">
        <x:v>SYS-15</x:v>
      </x:c>
      <x:c r="C915" s="14" t="n">
        <x:v>15</x:v>
      </x:c>
      <x:c r="D915" s="14" t="str">
        <x:v>Atmosphere</x:v>
      </x:c>
      <x:c r="E915" s="14" t="str">
        <x:v>NOT COMMISSIONED</x:v>
      </x:c>
      <x:c r="F915" s="14" t="str">
        <x:v>OPEN</x:v>
      </x:c>
    </x:row>
    <x:row r="916">
      <x:c r="A916" s="15" t="str">
        <x:v>CH-0912</x:v>
      </x:c>
      <x:c r="B916" s="15" t="str">
        <x:v>SYS-15</x:v>
      </x:c>
      <x:c r="C916" s="15" t="n">
        <x:v>16</x:v>
      </x:c>
      <x:c r="D916" s="15" t="str">
        <x:v>Atmosphere</x:v>
      </x:c>
      <x:c r="E916" s="15" t="str">
        <x:v>NOT COMMISSIONED</x:v>
      </x:c>
      <x:c r="F916" s="15" t="str">
        <x:v>OPEN</x:v>
      </x:c>
    </x:row>
    <x:row r="917">
      <x:c r="A917" s="14" t="str">
        <x:v>CH-0913</x:v>
      </x:c>
      <x:c r="B917" s="14" t="str">
        <x:v>SYS-15</x:v>
      </x:c>
      <x:c r="C917" s="14" t="n">
        <x:v>17</x:v>
      </x:c>
      <x:c r="D917" s="14" t="str">
        <x:v>Atmosphere</x:v>
      </x:c>
      <x:c r="E917" s="14" t="str">
        <x:v>NOT COMMISSIONED</x:v>
      </x:c>
      <x:c r="F917" s="14" t="str">
        <x:v>OPEN</x:v>
      </x:c>
    </x:row>
    <x:row r="918">
      <x:c r="A918" s="15" t="str">
        <x:v>CH-0914</x:v>
      </x:c>
      <x:c r="B918" s="15" t="str">
        <x:v>SYS-15</x:v>
      </x:c>
      <x:c r="C918" s="15" t="n">
        <x:v>18</x:v>
      </x:c>
      <x:c r="D918" s="15" t="str">
        <x:v>Atmosphere</x:v>
      </x:c>
      <x:c r="E918" s="15" t="str">
        <x:v>NOT COMMISSIONED</x:v>
      </x:c>
      <x:c r="F918" s="15" t="str">
        <x:v>OPEN</x:v>
      </x:c>
    </x:row>
    <x:row r="919">
      <x:c r="A919" s="14" t="str">
        <x:v>CH-0915</x:v>
      </x:c>
      <x:c r="B919" s="14" t="str">
        <x:v>SYS-15</x:v>
      </x:c>
      <x:c r="C919" s="14" t="n">
        <x:v>19</x:v>
      </x:c>
      <x:c r="D919" s="14" t="str">
        <x:v>Atmosphere</x:v>
      </x:c>
      <x:c r="E919" s="14" t="str">
        <x:v>NOT COMMISSIONED</x:v>
      </x:c>
      <x:c r="F919" s="14" t="str">
        <x:v>OPEN</x:v>
      </x:c>
    </x:row>
    <x:row r="920">
      <x:c r="A920" s="15" t="str">
        <x:v>CH-0916</x:v>
      </x:c>
      <x:c r="B920" s="15" t="str">
        <x:v>SYS-15</x:v>
      </x:c>
      <x:c r="C920" s="15" t="n">
        <x:v>20</x:v>
      </x:c>
      <x:c r="D920" s="15" t="str">
        <x:v>Atmosphere</x:v>
      </x:c>
      <x:c r="E920" s="15" t="str">
        <x:v>NOT COMMISSIONED</x:v>
      </x:c>
      <x:c r="F920" s="15" t="str">
        <x:v>OPEN</x:v>
      </x:c>
    </x:row>
    <x:row r="921">
      <x:c r="A921" s="14" t="str">
        <x:v>CH-0917</x:v>
      </x:c>
      <x:c r="B921" s="14" t="str">
        <x:v>SYS-15</x:v>
      </x:c>
      <x:c r="C921" s="14" t="n">
        <x:v>21</x:v>
      </x:c>
      <x:c r="D921" s="14" t="str">
        <x:v>Atmosphere</x:v>
      </x:c>
      <x:c r="E921" s="14" t="str">
        <x:v>NOT COMMISSIONED</x:v>
      </x:c>
      <x:c r="F921" s="14" t="str">
        <x:v>OPEN</x:v>
      </x:c>
    </x:row>
    <x:row r="922">
      <x:c r="A922" s="15" t="str">
        <x:v>CH-0918</x:v>
      </x:c>
      <x:c r="B922" s="15" t="str">
        <x:v>SYS-15</x:v>
      </x:c>
      <x:c r="C922" s="15" t="n">
        <x:v>22</x:v>
      </x:c>
      <x:c r="D922" s="15" t="str">
        <x:v>Atmosphere</x:v>
      </x:c>
      <x:c r="E922" s="15" t="str">
        <x:v>NOT COMMISSIONED</x:v>
      </x:c>
      <x:c r="F922" s="15" t="str">
        <x:v>OPEN</x:v>
      </x:c>
    </x:row>
    <x:row r="923">
      <x:c r="A923" s="14" t="str">
        <x:v>CH-0919</x:v>
      </x:c>
      <x:c r="B923" s="14" t="str">
        <x:v>SYS-15</x:v>
      </x:c>
      <x:c r="C923" s="14" t="n">
        <x:v>23</x:v>
      </x:c>
      <x:c r="D923" s="14" t="str">
        <x:v>Atmosphere</x:v>
      </x:c>
      <x:c r="E923" s="14" t="str">
        <x:v>NOT COMMISSIONED</x:v>
      </x:c>
      <x:c r="F923" s="14" t="str">
        <x:v>OPEN</x:v>
      </x:c>
    </x:row>
    <x:row r="924">
      <x:c r="A924" s="15" t="str">
        <x:v>CH-0920</x:v>
      </x:c>
      <x:c r="B924" s="15" t="str">
        <x:v>SYS-15</x:v>
      </x:c>
      <x:c r="C924" s="15" t="n">
        <x:v>24</x:v>
      </x:c>
      <x:c r="D924" s="15" t="str">
        <x:v>Atmosphere</x:v>
      </x:c>
      <x:c r="E924" s="15" t="str">
        <x:v>NOT COMMISSIONED</x:v>
      </x:c>
      <x:c r="F924" s="15" t="str">
        <x:v>OPEN</x:v>
      </x:c>
    </x:row>
    <x:row r="925">
      <x:c r="A925" s="14" t="str">
        <x:v>CH-0921</x:v>
      </x:c>
      <x:c r="B925" s="14" t="str">
        <x:v>SYS-15</x:v>
      </x:c>
      <x:c r="C925" s="14" t="n">
        <x:v>25</x:v>
      </x:c>
      <x:c r="D925" s="14" t="str">
        <x:v>Atmosphere</x:v>
      </x:c>
      <x:c r="E925" s="14" t="str">
        <x:v>NOT COMMISSIONED</x:v>
      </x:c>
      <x:c r="F925" s="14" t="str">
        <x:v>OPEN</x:v>
      </x:c>
    </x:row>
    <x:row r="926">
      <x:c r="A926" s="15" t="str">
        <x:v>CH-0922</x:v>
      </x:c>
      <x:c r="B926" s="15" t="str">
        <x:v>SYS-15</x:v>
      </x:c>
      <x:c r="C926" s="15" t="n">
        <x:v>26</x:v>
      </x:c>
      <x:c r="D926" s="15" t="str">
        <x:v>Atmosphere</x:v>
      </x:c>
      <x:c r="E926" s="15" t="str">
        <x:v>NOT COMMISSIONED</x:v>
      </x:c>
      <x:c r="F926" s="15" t="str">
        <x:v>OPEN</x:v>
      </x:c>
    </x:row>
    <x:row r="927">
      <x:c r="A927" s="14" t="str">
        <x:v>CH-0923</x:v>
      </x:c>
      <x:c r="B927" s="14" t="str">
        <x:v>SYS-15</x:v>
      </x:c>
      <x:c r="C927" s="14" t="n">
        <x:v>27</x:v>
      </x:c>
      <x:c r="D927" s="14" t="str">
        <x:v>Atmosphere</x:v>
      </x:c>
      <x:c r="E927" s="14" t="str">
        <x:v>NOT COMMISSIONED</x:v>
      </x:c>
      <x:c r="F927" s="14" t="str">
        <x:v>OPEN</x:v>
      </x:c>
    </x:row>
    <x:row r="928">
      <x:c r="A928" s="15" t="str">
        <x:v>CH-0924</x:v>
      </x:c>
      <x:c r="B928" s="15" t="str">
        <x:v>SYS-15</x:v>
      </x:c>
      <x:c r="C928" s="15" t="n">
        <x:v>28</x:v>
      </x:c>
      <x:c r="D928" s="15" t="str">
        <x:v>Atmosphere</x:v>
      </x:c>
      <x:c r="E928" s="15" t="str">
        <x:v>NOT COMMISSIONED</x:v>
      </x:c>
      <x:c r="F928" s="15" t="str">
        <x:v>OPEN</x:v>
      </x:c>
    </x:row>
    <x:row r="929">
      <x:c r="A929" s="14" t="str">
        <x:v>CH-0925</x:v>
      </x:c>
      <x:c r="B929" s="14" t="str">
        <x:v>SYS-15</x:v>
      </x:c>
      <x:c r="C929" s="14" t="n">
        <x:v>29</x:v>
      </x:c>
      <x:c r="D929" s="14" t="str">
        <x:v>Atmosphere</x:v>
      </x:c>
      <x:c r="E929" s="14" t="str">
        <x:v>NOT COMMISSIONED</x:v>
      </x:c>
      <x:c r="F929" s="14" t="str">
        <x:v>OPEN</x:v>
      </x:c>
    </x:row>
    <x:row r="930">
      <x:c r="A930" s="15" t="str">
        <x:v>CH-0926</x:v>
      </x:c>
      <x:c r="B930" s="15" t="str">
        <x:v>SYS-15</x:v>
      </x:c>
      <x:c r="C930" s="15" t="n">
        <x:v>30</x:v>
      </x:c>
      <x:c r="D930" s="15" t="str">
        <x:v>Atmosphere</x:v>
      </x:c>
      <x:c r="E930" s="15" t="str">
        <x:v>NOT COMMISSIONED</x:v>
      </x:c>
      <x:c r="F930" s="15" t="str">
        <x:v>OPEN</x:v>
      </x:c>
    </x:row>
    <x:row r="931">
      <x:c r="A931" s="14" t="str">
        <x:v>CH-0927</x:v>
      </x:c>
      <x:c r="B931" s="14" t="str">
        <x:v>SYS-15</x:v>
      </x:c>
      <x:c r="C931" s="14" t="n">
        <x:v>31</x:v>
      </x:c>
      <x:c r="D931" s="14" t="str">
        <x:v>Atmosphere</x:v>
      </x:c>
      <x:c r="E931" s="14" t="str">
        <x:v>NOT COMMISSIONED</x:v>
      </x:c>
      <x:c r="F931" s="14" t="str">
        <x:v>OPEN</x:v>
      </x:c>
    </x:row>
    <x:row r="932">
      <x:c r="A932" s="15" t="str">
        <x:v>CH-0928</x:v>
      </x:c>
      <x:c r="B932" s="15" t="str">
        <x:v>SYS-15</x:v>
      </x:c>
      <x:c r="C932" s="15" t="n">
        <x:v>32</x:v>
      </x:c>
      <x:c r="D932" s="15" t="str">
        <x:v>Atmosphere</x:v>
      </x:c>
      <x:c r="E932" s="15" t="str">
        <x:v>NOT COMMISSIONED</x:v>
      </x:c>
      <x:c r="F932" s="15" t="str">
        <x:v>OPEN</x:v>
      </x:c>
    </x:row>
    <x:row r="933">
      <x:c r="A933" s="14" t="str">
        <x:v>CH-0929</x:v>
      </x:c>
      <x:c r="B933" s="14" t="str">
        <x:v>SYS-15</x:v>
      </x:c>
      <x:c r="C933" s="14" t="n">
        <x:v>33</x:v>
      </x:c>
      <x:c r="D933" s="14" t="str">
        <x:v>Atmosphere</x:v>
      </x:c>
      <x:c r="E933" s="14" t="str">
        <x:v>NOT COMMISSIONED</x:v>
      </x:c>
      <x:c r="F933" s="14" t="str">
        <x:v>OPEN</x:v>
      </x:c>
    </x:row>
    <x:row r="934">
      <x:c r="A934" s="15" t="str">
        <x:v>CH-0930</x:v>
      </x:c>
      <x:c r="B934" s="15" t="str">
        <x:v>SYS-15</x:v>
      </x:c>
      <x:c r="C934" s="15" t="n">
        <x:v>34</x:v>
      </x:c>
      <x:c r="D934" s="15" t="str">
        <x:v>Atmosphere</x:v>
      </x:c>
      <x:c r="E934" s="15" t="str">
        <x:v>NOT COMMISSIONED</x:v>
      </x:c>
      <x:c r="F934" s="15" t="str">
        <x:v>OPEN</x:v>
      </x:c>
    </x:row>
    <x:row r="935">
      <x:c r="A935" s="14" t="str">
        <x:v>CH-0931</x:v>
      </x:c>
      <x:c r="B935" s="14" t="str">
        <x:v>SYS-15</x:v>
      </x:c>
      <x:c r="C935" s="14" t="n">
        <x:v>35</x:v>
      </x:c>
      <x:c r="D935" s="14" t="str">
        <x:v>Atmosphere</x:v>
      </x:c>
      <x:c r="E935" s="14" t="str">
        <x:v>NOT COMMISSIONED</x:v>
      </x:c>
      <x:c r="F935" s="14" t="str">
        <x:v>OPEN</x:v>
      </x:c>
    </x:row>
    <x:row r="936">
      <x:c r="A936" s="15" t="str">
        <x:v>CH-0932</x:v>
      </x:c>
      <x:c r="B936" s="15" t="str">
        <x:v>SYS-15</x:v>
      </x:c>
      <x:c r="C936" s="15" t="n">
        <x:v>36</x:v>
      </x:c>
      <x:c r="D936" s="15" t="str">
        <x:v>Atmosphere</x:v>
      </x:c>
      <x:c r="E936" s="15" t="str">
        <x:v>NOT COMMISSIONED</x:v>
      </x:c>
      <x:c r="F936" s="15" t="str">
        <x:v>OPEN</x:v>
      </x:c>
    </x:row>
    <x:row r="937">
      <x:c r="A937" s="14" t="str">
        <x:v>CH-0933</x:v>
      </x:c>
      <x:c r="B937" s="14" t="str">
        <x:v>SYS-15</x:v>
      </x:c>
      <x:c r="C937" s="14" t="n">
        <x:v>37</x:v>
      </x:c>
      <x:c r="D937" s="14" t="str">
        <x:v>Atmosphere</x:v>
      </x:c>
      <x:c r="E937" s="14" t="str">
        <x:v>NOT COMMISSIONED</x:v>
      </x:c>
      <x:c r="F937" s="14" t="str">
        <x:v>OPEN</x:v>
      </x:c>
    </x:row>
    <x:row r="938">
      <x:c r="A938" s="15" t="str">
        <x:v>CH-0934</x:v>
      </x:c>
      <x:c r="B938" s="15" t="str">
        <x:v>SYS-15</x:v>
      </x:c>
      <x:c r="C938" s="15" t="n">
        <x:v>38</x:v>
      </x:c>
      <x:c r="D938" s="15" t="str">
        <x:v>Atmosphere</x:v>
      </x:c>
      <x:c r="E938" s="15" t="str">
        <x:v>NOT COMMISSIONED</x:v>
      </x:c>
      <x:c r="F938" s="15" t="str">
        <x:v>OPEN</x:v>
      </x:c>
    </x:row>
    <x:row r="939">
      <x:c r="A939" s="14" t="str">
        <x:v>CH-0935</x:v>
      </x:c>
      <x:c r="B939" s="14" t="str">
        <x:v>SYS-15</x:v>
      </x:c>
      <x:c r="C939" s="14" t="n">
        <x:v>39</x:v>
      </x:c>
      <x:c r="D939" s="14" t="str">
        <x:v>Atmosphere</x:v>
      </x:c>
      <x:c r="E939" s="14" t="str">
        <x:v>NOT COMMISSIONED</x:v>
      </x:c>
      <x:c r="F939" s="14" t="str">
        <x:v>OPEN</x:v>
      </x:c>
    </x:row>
    <x:row r="940">
      <x:c r="A940" s="15" t="str">
        <x:v>CH-0936</x:v>
      </x:c>
      <x:c r="B940" s="15" t="str">
        <x:v>SYS-15</x:v>
      </x:c>
      <x:c r="C940" s="15" t="n">
        <x:v>40</x:v>
      </x:c>
      <x:c r="D940" s="15" t="str">
        <x:v>Atmosphere</x:v>
      </x:c>
      <x:c r="E940" s="15" t="str">
        <x:v>NOT COMMISSIONED</x:v>
      </x:c>
      <x:c r="F940" s="15" t="str">
        <x:v>OPEN</x:v>
      </x:c>
    </x:row>
    <x:row r="941">
      <x:c r="A941" s="14" t="str">
        <x:v>CH-0937</x:v>
      </x:c>
      <x:c r="B941" s="14" t="str">
        <x:v>SYS-15</x:v>
      </x:c>
      <x:c r="C941" s="14" t="n">
        <x:v>41</x:v>
      </x:c>
      <x:c r="D941" s="14" t="str">
        <x:v>Atmosphere</x:v>
      </x:c>
      <x:c r="E941" s="14" t="str">
        <x:v>NOT COMMISSIONED</x:v>
      </x:c>
      <x:c r="F941" s="14" t="str">
        <x:v>OPEN</x:v>
      </x:c>
    </x:row>
    <x:row r="942">
      <x:c r="A942" s="15" t="str">
        <x:v>CH-0938</x:v>
      </x:c>
      <x:c r="B942" s="15" t="str">
        <x:v>SYS-15</x:v>
      </x:c>
      <x:c r="C942" s="15" t="n">
        <x:v>42</x:v>
      </x:c>
      <x:c r="D942" s="15" t="str">
        <x:v>Atmosphere</x:v>
      </x:c>
      <x:c r="E942" s="15" t="str">
        <x:v>NOT COMMISSIONED</x:v>
      </x:c>
      <x:c r="F942" s="15" t="str">
        <x:v>OPEN</x:v>
      </x:c>
    </x:row>
    <x:row r="943">
      <x:c r="A943" s="14" t="str">
        <x:v>CH-0939</x:v>
      </x:c>
      <x:c r="B943" s="14" t="str">
        <x:v>SYS-15</x:v>
      </x:c>
      <x:c r="C943" s="14" t="n">
        <x:v>43</x:v>
      </x:c>
      <x:c r="D943" s="14" t="str">
        <x:v>Atmosphere</x:v>
      </x:c>
      <x:c r="E943" s="14" t="str">
        <x:v>NOT COMMISSIONED</x:v>
      </x:c>
      <x:c r="F943" s="14" t="str">
        <x:v>OPEN</x:v>
      </x:c>
    </x:row>
    <x:row r="944">
      <x:c r="A944" s="15" t="str">
        <x:v>CH-0940</x:v>
      </x:c>
      <x:c r="B944" s="15" t="str">
        <x:v>SYS-15</x:v>
      </x:c>
      <x:c r="C944" s="15" t="n">
        <x:v>44</x:v>
      </x:c>
      <x:c r="D944" s="15" t="str">
        <x:v>Atmosphere</x:v>
      </x:c>
      <x:c r="E944" s="15" t="str">
        <x:v>NOT COMMISSIONED</x:v>
      </x:c>
      <x:c r="F944" s="15" t="str">
        <x:v>OPEN</x:v>
      </x:c>
    </x:row>
    <x:row r="945">
      <x:c r="A945" s="14" t="str">
        <x:v>CH-0941</x:v>
      </x:c>
      <x:c r="B945" s="14" t="str">
        <x:v>SYS-15</x:v>
      </x:c>
      <x:c r="C945" s="14" t="n">
        <x:v>45</x:v>
      </x:c>
      <x:c r="D945" s="14" t="str">
        <x:v>Atmosphere</x:v>
      </x:c>
      <x:c r="E945" s="14" t="str">
        <x:v>NOT COMMISSIONED</x:v>
      </x:c>
      <x:c r="F945" s="14" t="str">
        <x:v>OPEN</x:v>
      </x:c>
    </x:row>
    <x:row r="946">
      <x:c r="A946" s="15" t="str">
        <x:v>CH-0942</x:v>
      </x:c>
      <x:c r="B946" s="15" t="str">
        <x:v>SYS-15</x:v>
      </x:c>
      <x:c r="C946" s="15" t="n">
        <x:v>46</x:v>
      </x:c>
      <x:c r="D946" s="15" t="str">
        <x:v>Atmosphere</x:v>
      </x:c>
      <x:c r="E946" s="15" t="str">
        <x:v>NOT COMMISSIONED</x:v>
      </x:c>
      <x:c r="F946" s="15" t="str">
        <x:v>OPEN</x:v>
      </x:c>
    </x:row>
    <x:row r="947">
      <x:c r="A947" s="14" t="str">
        <x:v>CH-0943</x:v>
      </x:c>
      <x:c r="B947" s="14" t="str">
        <x:v>SYS-15</x:v>
      </x:c>
      <x:c r="C947" s="14" t="n">
        <x:v>47</x:v>
      </x:c>
      <x:c r="D947" s="14" t="str">
        <x:v>Atmosphere</x:v>
      </x:c>
      <x:c r="E947" s="14" t="str">
        <x:v>NOT COMMISSIONED</x:v>
      </x:c>
      <x:c r="F947" s="14" t="str">
        <x:v>OPEN</x:v>
      </x:c>
    </x:row>
    <x:row r="948">
      <x:c r="A948" s="15" t="str">
        <x:v>CH-0944</x:v>
      </x:c>
      <x:c r="B948" s="15" t="str">
        <x:v>SYS-15</x:v>
      </x:c>
      <x:c r="C948" s="15" t="n">
        <x:v>48</x:v>
      </x:c>
      <x:c r="D948" s="15" t="str">
        <x:v>Atmosphere</x:v>
      </x:c>
      <x:c r="E948" s="15" t="str">
        <x:v>NOT COMMISSIONED</x:v>
      </x:c>
      <x:c r="F948" s="15" t="str">
        <x:v>OPEN</x:v>
      </x:c>
    </x:row>
    <x:row r="949">
      <x:c r="A949" s="14" t="str">
        <x:v>CH-0945</x:v>
      </x:c>
      <x:c r="B949" s="14" t="str">
        <x:v>SYS-15</x:v>
      </x:c>
      <x:c r="C949" s="14" t="n">
        <x:v>49</x:v>
      </x:c>
      <x:c r="D949" s="14" t="str">
        <x:v>Atmosphere</x:v>
      </x:c>
      <x:c r="E949" s="14" t="str">
        <x:v>NOT COMMISSIONED</x:v>
      </x:c>
      <x:c r="F949" s="14" t="str">
        <x:v>OPEN</x:v>
      </x:c>
    </x:row>
    <x:row r="950">
      <x:c r="A950" s="15" t="str">
        <x:v>CH-0946</x:v>
      </x:c>
      <x:c r="B950" s="15" t="str">
        <x:v>SYS-15</x:v>
      </x:c>
      <x:c r="C950" s="15" t="n">
        <x:v>50</x:v>
      </x:c>
      <x:c r="D950" s="15" t="str">
        <x:v>Atmosphere</x:v>
      </x:c>
      <x:c r="E950" s="15" t="str">
        <x:v>NOT COMMISSIONED</x:v>
      </x:c>
      <x:c r="F950" s="15" t="str">
        <x:v>OPEN</x:v>
      </x:c>
    </x:row>
    <x:row r="951">
      <x:c r="A951" s="14" t="str">
        <x:v>CH-0947</x:v>
      </x:c>
      <x:c r="B951" s="14" t="str">
        <x:v>SYS-15</x:v>
      </x:c>
      <x:c r="C951" s="14" t="n">
        <x:v>51</x:v>
      </x:c>
      <x:c r="D951" s="14" t="str">
        <x:v>Atmosphere</x:v>
      </x:c>
      <x:c r="E951" s="14" t="str">
        <x:v>NOT COMMISSIONED</x:v>
      </x:c>
      <x:c r="F951" s="14" t="str">
        <x:v>OPEN</x:v>
      </x:c>
    </x:row>
    <x:row r="952">
      <x:c r="A952" s="15" t="str">
        <x:v>CH-0948</x:v>
      </x:c>
      <x:c r="B952" s="15" t="str">
        <x:v>SYS-15</x:v>
      </x:c>
      <x:c r="C952" s="15" t="n">
        <x:v>52</x:v>
      </x:c>
      <x:c r="D952" s="15" t="str">
        <x:v>Atmosphere</x:v>
      </x:c>
      <x:c r="E952" s="15" t="str">
        <x:v>NOT COMMISSIONED</x:v>
      </x:c>
      <x:c r="F952" s="15" t="str">
        <x:v>OPEN</x:v>
      </x:c>
    </x:row>
    <x:row r="953">
      <x:c r="A953" s="14" t="str">
        <x:v>CH-0949</x:v>
      </x:c>
      <x:c r="B953" s="14" t="str">
        <x:v>SYS-15</x:v>
      </x:c>
      <x:c r="C953" s="14" t="n">
        <x:v>53</x:v>
      </x:c>
      <x:c r="D953" s="14" t="str">
        <x:v>Atmosphere</x:v>
      </x:c>
      <x:c r="E953" s="14" t="str">
        <x:v>NOT COMMISSIONED</x:v>
      </x:c>
      <x:c r="F953" s="14" t="str">
        <x:v>OPEN</x:v>
      </x:c>
    </x:row>
    <x:row r="954">
      <x:c r="A954" s="15" t="str">
        <x:v>CH-0950</x:v>
      </x:c>
      <x:c r="B954" s="15" t="str">
        <x:v>SYS-15</x:v>
      </x:c>
      <x:c r="C954" s="15" t="n">
        <x:v>54</x:v>
      </x:c>
      <x:c r="D954" s="15" t="str">
        <x:v>Atmosphere</x:v>
      </x:c>
      <x:c r="E954" s="15" t="str">
        <x:v>NOT COMMISSIONED</x:v>
      </x:c>
      <x:c r="F954" s="15" t="str">
        <x:v>OPEN</x:v>
      </x:c>
    </x:row>
    <x:row r="955">
      <x:c r="A955" s="14" t="str">
        <x:v>CH-0951</x:v>
      </x:c>
      <x:c r="B955" s="14" t="str">
        <x:v>SYS-15</x:v>
      </x:c>
      <x:c r="C955" s="14" t="n">
        <x:v>55</x:v>
      </x:c>
      <x:c r="D955" s="14" t="str">
        <x:v>Atmosphere</x:v>
      </x:c>
      <x:c r="E955" s="14" t="str">
        <x:v>NOT COMMISSIONED</x:v>
      </x:c>
      <x:c r="F955" s="14" t="str">
        <x:v>OPEN</x:v>
      </x:c>
    </x:row>
    <x:row r="956">
      <x:c r="A956" s="15" t="str">
        <x:v>CH-0952</x:v>
      </x:c>
      <x:c r="B956" s="15" t="str">
        <x:v>SYS-15</x:v>
      </x:c>
      <x:c r="C956" s="15" t="n">
        <x:v>56</x:v>
      </x:c>
      <x:c r="D956" s="15" t="str">
        <x:v>Atmosphere</x:v>
      </x:c>
      <x:c r="E956" s="15" t="str">
        <x:v>NOT COMMISSIONED</x:v>
      </x:c>
      <x:c r="F956" s="15" t="str">
        <x:v>OPEN</x:v>
      </x:c>
    </x:row>
    <x:row r="957">
      <x:c r="A957" s="14" t="str">
        <x:v>CH-0953</x:v>
      </x:c>
      <x:c r="B957" s="14" t="str">
        <x:v>SYS-15</x:v>
      </x:c>
      <x:c r="C957" s="14" t="n">
        <x:v>57</x:v>
      </x:c>
      <x:c r="D957" s="14" t="str">
        <x:v>Atmosphere</x:v>
      </x:c>
      <x:c r="E957" s="14" t="str">
        <x:v>NOT COMMISSIONED</x:v>
      </x:c>
      <x:c r="F957" s="14" t="str">
        <x:v>OPEN</x:v>
      </x:c>
    </x:row>
    <x:row r="958">
      <x:c r="A958" s="15" t="str">
        <x:v>CH-0954</x:v>
      </x:c>
      <x:c r="B958" s="15" t="str">
        <x:v>SYS-15</x:v>
      </x:c>
      <x:c r="C958" s="15" t="n">
        <x:v>58</x:v>
      </x:c>
      <x:c r="D958" s="15" t="str">
        <x:v>Atmosphere</x:v>
      </x:c>
      <x:c r="E958" s="15" t="str">
        <x:v>NOT COMMISSIONED</x:v>
      </x:c>
      <x:c r="F958" s="15" t="str">
        <x:v>OPEN</x:v>
      </x:c>
    </x:row>
    <x:row r="959">
      <x:c r="A959" s="14" t="str">
        <x:v>CH-0955</x:v>
      </x:c>
      <x:c r="B959" s="14" t="str">
        <x:v>SYS-15</x:v>
      </x:c>
      <x:c r="C959" s="14" t="n">
        <x:v>59</x:v>
      </x:c>
      <x:c r="D959" s="14" t="str">
        <x:v>Atmosphere</x:v>
      </x:c>
      <x:c r="E959" s="14" t="str">
        <x:v>NOT COMMISSIONED</x:v>
      </x:c>
      <x:c r="F959" s="14" t="str">
        <x:v>OPEN</x:v>
      </x:c>
    </x:row>
    <x:row r="960">
      <x:c r="A960" s="15" t="str">
        <x:v>CH-0956</x:v>
      </x:c>
      <x:c r="B960" s="15" t="str">
        <x:v>SYS-15</x:v>
      </x:c>
      <x:c r="C960" s="15" t="n">
        <x:v>60</x:v>
      </x:c>
      <x:c r="D960" s="15" t="str">
        <x:v>Atmosphere</x:v>
      </x:c>
      <x:c r="E960" s="15" t="str">
        <x:v>NOT COMMISSIONED</x:v>
      </x:c>
      <x:c r="F960" s="15" t="str">
        <x:v>OPEN</x:v>
      </x:c>
    </x:row>
    <x:row r="961">
      <x:c r="A961" s="14" t="str">
        <x:v>CH-0957</x:v>
      </x:c>
      <x:c r="B961" s="14" t="str">
        <x:v>SYS-15</x:v>
      </x:c>
      <x:c r="C961" s="14" t="n">
        <x:v>61</x:v>
      </x:c>
      <x:c r="D961" s="14" t="str">
        <x:v>Atmosphere</x:v>
      </x:c>
      <x:c r="E961" s="14" t="str">
        <x:v>NOT COMMISSIONED</x:v>
      </x:c>
      <x:c r="F961" s="14" t="str">
        <x:v>OPEN</x:v>
      </x:c>
    </x:row>
    <x:row r="962">
      <x:c r="A962" s="15" t="str">
        <x:v>CH-0958</x:v>
      </x:c>
      <x:c r="B962" s="15" t="str">
        <x:v>SYS-15</x:v>
      </x:c>
      <x:c r="C962" s="15" t="n">
        <x:v>62</x:v>
      </x:c>
      <x:c r="D962" s="15" t="str">
        <x:v>Atmosphere</x:v>
      </x:c>
      <x:c r="E962" s="15" t="str">
        <x:v>NOT COMMISSIONED</x:v>
      </x:c>
      <x:c r="F962" s="15" t="str">
        <x:v>OPEN</x:v>
      </x:c>
    </x:row>
    <x:row r="963">
      <x:c r="A963" s="14" t="str">
        <x:v>CH-0959</x:v>
      </x:c>
      <x:c r="B963" s="14" t="str">
        <x:v>SYS-15</x:v>
      </x:c>
      <x:c r="C963" s="14" t="n">
        <x:v>63</x:v>
      </x:c>
      <x:c r="D963" s="14" t="str">
        <x:v>Atmosphere</x:v>
      </x:c>
      <x:c r="E963" s="14" t="str">
        <x:v>NOT COMMISSIONED</x:v>
      </x:c>
      <x:c r="F963" s="14" t="str">
        <x:v>OPEN</x:v>
      </x:c>
    </x:row>
    <x:row r="964">
      <x:c r="A964" s="15" t="str">
        <x:v>CH-0960</x:v>
      </x:c>
      <x:c r="B964" s="15" t="str">
        <x:v>SYS-15</x:v>
      </x:c>
      <x:c r="C964" s="15" t="n">
        <x:v>64</x:v>
      </x:c>
      <x:c r="D964" s="15" t="str">
        <x:v>Atmosphere</x:v>
      </x:c>
      <x:c r="E964" s="15" t="str">
        <x:v>NOT COMMISSIONED</x:v>
      </x:c>
      <x:c r="F964" s="15" t="str">
        <x:v>OPEN</x:v>
      </x:c>
    </x:row>
    <x:row r="965">
      <x:c r="A965" s="14" t="str">
        <x:v>CH-0961</x:v>
      </x:c>
      <x:c r="B965" s="14" t="str">
        <x:v>SYS-16</x:v>
      </x:c>
      <x:c r="C965" s="14" t="n">
        <x:v>1</x:v>
      </x:c>
      <x:c r="D965" s="14" t="str">
        <x:v>Topology</x:v>
      </x:c>
      <x:c r="E965" s="14" t="str">
        <x:v>NOT COMMISSIONED</x:v>
      </x:c>
      <x:c r="F965" s="14" t="str">
        <x:v>OPEN</x:v>
      </x:c>
    </x:row>
    <x:row r="966">
      <x:c r="A966" s="15" t="str">
        <x:v>CH-0962</x:v>
      </x:c>
      <x:c r="B966" s="15" t="str">
        <x:v>SYS-16</x:v>
      </x:c>
      <x:c r="C966" s="15" t="n">
        <x:v>2</x:v>
      </x:c>
      <x:c r="D966" s="15" t="str">
        <x:v>Topology</x:v>
      </x:c>
      <x:c r="E966" s="15" t="str">
        <x:v>NOT COMMISSIONED</x:v>
      </x:c>
      <x:c r="F966" s="15" t="str">
        <x:v>OPEN</x:v>
      </x:c>
    </x:row>
    <x:row r="967">
      <x:c r="A967" s="14" t="str">
        <x:v>CH-0963</x:v>
      </x:c>
      <x:c r="B967" s="14" t="str">
        <x:v>SYS-16</x:v>
      </x:c>
      <x:c r="C967" s="14" t="n">
        <x:v>3</x:v>
      </x:c>
      <x:c r="D967" s="14" t="str">
        <x:v>Topology</x:v>
      </x:c>
      <x:c r="E967" s="14" t="str">
        <x:v>NOT COMMISSIONED</x:v>
      </x:c>
      <x:c r="F967" s="14" t="str">
        <x:v>OPEN</x:v>
      </x:c>
    </x:row>
    <x:row r="968">
      <x:c r="A968" s="15" t="str">
        <x:v>CH-0964</x:v>
      </x:c>
      <x:c r="B968" s="15" t="str">
        <x:v>SYS-16</x:v>
      </x:c>
      <x:c r="C968" s="15" t="n">
        <x:v>4</x:v>
      </x:c>
      <x:c r="D968" s="15" t="str">
        <x:v>Topology</x:v>
      </x:c>
      <x:c r="E968" s="15" t="str">
        <x:v>NOT COMMISSIONED</x:v>
      </x:c>
      <x:c r="F968" s="15" t="str">
        <x:v>OPEN</x:v>
      </x:c>
    </x:row>
    <x:row r="969">
      <x:c r="A969" s="14" t="str">
        <x:v>CH-0965</x:v>
      </x:c>
      <x:c r="B969" s="14" t="str">
        <x:v>SYS-16</x:v>
      </x:c>
      <x:c r="C969" s="14" t="n">
        <x:v>5</x:v>
      </x:c>
      <x:c r="D969" s="14" t="str">
        <x:v>Topology</x:v>
      </x:c>
      <x:c r="E969" s="14" t="str">
        <x:v>NOT COMMISSIONED</x:v>
      </x:c>
      <x:c r="F969" s="14" t="str">
        <x:v>OPEN</x:v>
      </x:c>
    </x:row>
    <x:row r="970">
      <x:c r="A970" s="15" t="str">
        <x:v>CH-0966</x:v>
      </x:c>
      <x:c r="B970" s="15" t="str">
        <x:v>SYS-16</x:v>
      </x:c>
      <x:c r="C970" s="15" t="n">
        <x:v>6</x:v>
      </x:c>
      <x:c r="D970" s="15" t="str">
        <x:v>Topology</x:v>
      </x:c>
      <x:c r="E970" s="15" t="str">
        <x:v>NOT COMMISSIONED</x:v>
      </x:c>
      <x:c r="F970" s="15" t="str">
        <x:v>OPEN</x:v>
      </x:c>
    </x:row>
    <x:row r="971">
      <x:c r="A971" s="14" t="str">
        <x:v>CH-0967</x:v>
      </x:c>
      <x:c r="B971" s="14" t="str">
        <x:v>SYS-16</x:v>
      </x:c>
      <x:c r="C971" s="14" t="n">
        <x:v>7</x:v>
      </x:c>
      <x:c r="D971" s="14" t="str">
        <x:v>Topology</x:v>
      </x:c>
      <x:c r="E971" s="14" t="str">
        <x:v>NOT COMMISSIONED</x:v>
      </x:c>
      <x:c r="F971" s="14" t="str">
        <x:v>OPEN</x:v>
      </x:c>
    </x:row>
    <x:row r="972">
      <x:c r="A972" s="15" t="str">
        <x:v>CH-0968</x:v>
      </x:c>
      <x:c r="B972" s="15" t="str">
        <x:v>SYS-16</x:v>
      </x:c>
      <x:c r="C972" s="15" t="n">
        <x:v>8</x:v>
      </x:c>
      <x:c r="D972" s="15" t="str">
        <x:v>Topology</x:v>
      </x:c>
      <x:c r="E972" s="15" t="str">
        <x:v>NOT COMMISSIONED</x:v>
      </x:c>
      <x:c r="F972" s="15" t="str">
        <x:v>OPEN</x:v>
      </x:c>
    </x:row>
    <x:row r="973">
      <x:c r="A973" s="14" t="str">
        <x:v>CH-0969</x:v>
      </x:c>
      <x:c r="B973" s="14" t="str">
        <x:v>SYS-16</x:v>
      </x:c>
      <x:c r="C973" s="14" t="n">
        <x:v>9</x:v>
      </x:c>
      <x:c r="D973" s="14" t="str">
        <x:v>Topology</x:v>
      </x:c>
      <x:c r="E973" s="14" t="str">
        <x:v>NOT COMMISSIONED</x:v>
      </x:c>
      <x:c r="F973" s="14" t="str">
        <x:v>OPEN</x:v>
      </x:c>
    </x:row>
    <x:row r="974">
      <x:c r="A974" s="15" t="str">
        <x:v>CH-0970</x:v>
      </x:c>
      <x:c r="B974" s="15" t="str">
        <x:v>SYS-16</x:v>
      </x:c>
      <x:c r="C974" s="15" t="n">
        <x:v>10</x:v>
      </x:c>
      <x:c r="D974" s="15" t="str">
        <x:v>Topology</x:v>
      </x:c>
      <x:c r="E974" s="15" t="str">
        <x:v>NOT COMMISSIONED</x:v>
      </x:c>
      <x:c r="F974" s="15" t="str">
        <x:v>OPEN</x:v>
      </x:c>
    </x:row>
    <x:row r="975">
      <x:c r="A975" s="14" t="str">
        <x:v>CH-0971</x:v>
      </x:c>
      <x:c r="B975" s="14" t="str">
        <x:v>SYS-16</x:v>
      </x:c>
      <x:c r="C975" s="14" t="n">
        <x:v>11</x:v>
      </x:c>
      <x:c r="D975" s="14" t="str">
        <x:v>Topology</x:v>
      </x:c>
      <x:c r="E975" s="14" t="str">
        <x:v>NOT COMMISSIONED</x:v>
      </x:c>
      <x:c r="F975" s="14" t="str">
        <x:v>OPEN</x:v>
      </x:c>
    </x:row>
    <x:row r="976">
      <x:c r="A976" s="15" t="str">
        <x:v>CH-0972</x:v>
      </x:c>
      <x:c r="B976" s="15" t="str">
        <x:v>SYS-16</x:v>
      </x:c>
      <x:c r="C976" s="15" t="n">
        <x:v>12</x:v>
      </x:c>
      <x:c r="D976" s="15" t="str">
        <x:v>Topology</x:v>
      </x:c>
      <x:c r="E976" s="15" t="str">
        <x:v>NOT COMMISSIONED</x:v>
      </x:c>
      <x:c r="F976" s="15" t="str">
        <x:v>OPEN</x:v>
      </x:c>
    </x:row>
    <x:row r="977">
      <x:c r="A977" s="14" t="str">
        <x:v>CH-0973</x:v>
      </x:c>
      <x:c r="B977" s="14" t="str">
        <x:v>SYS-16</x:v>
      </x:c>
      <x:c r="C977" s="14" t="n">
        <x:v>13</x:v>
      </x:c>
      <x:c r="D977" s="14" t="str">
        <x:v>Topology</x:v>
      </x:c>
      <x:c r="E977" s="14" t="str">
        <x:v>NOT COMMISSIONED</x:v>
      </x:c>
      <x:c r="F977" s="14" t="str">
        <x:v>OPEN</x:v>
      </x:c>
    </x:row>
    <x:row r="978">
      <x:c r="A978" s="15" t="str">
        <x:v>CH-0974</x:v>
      </x:c>
      <x:c r="B978" s="15" t="str">
        <x:v>SYS-16</x:v>
      </x:c>
      <x:c r="C978" s="15" t="n">
        <x:v>14</x:v>
      </x:c>
      <x:c r="D978" s="15" t="str">
        <x:v>Topology</x:v>
      </x:c>
      <x:c r="E978" s="15" t="str">
        <x:v>NOT COMMISSIONED</x:v>
      </x:c>
      <x:c r="F978" s="15" t="str">
        <x:v>OPEN</x:v>
      </x:c>
    </x:row>
    <x:row r="979">
      <x:c r="A979" s="14" t="str">
        <x:v>CH-0975</x:v>
      </x:c>
      <x:c r="B979" s="14" t="str">
        <x:v>SYS-16</x:v>
      </x:c>
      <x:c r="C979" s="14" t="n">
        <x:v>15</x:v>
      </x:c>
      <x:c r="D979" s="14" t="str">
        <x:v>Topology</x:v>
      </x:c>
      <x:c r="E979" s="14" t="str">
        <x:v>NOT COMMISSIONED</x:v>
      </x:c>
      <x:c r="F979" s="14" t="str">
        <x:v>OPEN</x:v>
      </x:c>
    </x:row>
    <x:row r="980">
      <x:c r="A980" s="15" t="str">
        <x:v>CH-0976</x:v>
      </x:c>
      <x:c r="B980" s="15" t="str">
        <x:v>SYS-16</x:v>
      </x:c>
      <x:c r="C980" s="15" t="n">
        <x:v>16</x:v>
      </x:c>
      <x:c r="D980" s="15" t="str">
        <x:v>Topology</x:v>
      </x:c>
      <x:c r="E980" s="15" t="str">
        <x:v>NOT COMMISSIONED</x:v>
      </x:c>
      <x:c r="F980" s="15" t="str">
        <x:v>OPEN</x:v>
      </x:c>
    </x:row>
    <x:row r="981">
      <x:c r="A981" s="14" t="str">
        <x:v>CH-0977</x:v>
      </x:c>
      <x:c r="B981" s="14" t="str">
        <x:v>SYS-16</x:v>
      </x:c>
      <x:c r="C981" s="14" t="n">
        <x:v>17</x:v>
      </x:c>
      <x:c r="D981" s="14" t="str">
        <x:v>Topology</x:v>
      </x:c>
      <x:c r="E981" s="14" t="str">
        <x:v>NOT COMMISSIONED</x:v>
      </x:c>
      <x:c r="F981" s="14" t="str">
        <x:v>OPEN</x:v>
      </x:c>
    </x:row>
    <x:row r="982">
      <x:c r="A982" s="15" t="str">
        <x:v>CH-0978</x:v>
      </x:c>
      <x:c r="B982" s="15" t="str">
        <x:v>SYS-16</x:v>
      </x:c>
      <x:c r="C982" s="15" t="n">
        <x:v>18</x:v>
      </x:c>
      <x:c r="D982" s="15" t="str">
        <x:v>Topology</x:v>
      </x:c>
      <x:c r="E982" s="15" t="str">
        <x:v>NOT COMMISSIONED</x:v>
      </x:c>
      <x:c r="F982" s="15" t="str">
        <x:v>OPEN</x:v>
      </x:c>
    </x:row>
    <x:row r="983">
      <x:c r="A983" s="14" t="str">
        <x:v>CH-0979</x:v>
      </x:c>
      <x:c r="B983" s="14" t="str">
        <x:v>SYS-16</x:v>
      </x:c>
      <x:c r="C983" s="14" t="n">
        <x:v>19</x:v>
      </x:c>
      <x:c r="D983" s="14" t="str">
        <x:v>Topology</x:v>
      </x:c>
      <x:c r="E983" s="14" t="str">
        <x:v>NOT COMMISSIONED</x:v>
      </x:c>
      <x:c r="F983" s="14" t="str">
        <x:v>OPEN</x:v>
      </x:c>
    </x:row>
    <x:row r="984">
      <x:c r="A984" s="15" t="str">
        <x:v>CH-0980</x:v>
      </x:c>
      <x:c r="B984" s="15" t="str">
        <x:v>SYS-16</x:v>
      </x:c>
      <x:c r="C984" s="15" t="n">
        <x:v>20</x:v>
      </x:c>
      <x:c r="D984" s="15" t="str">
        <x:v>Topology</x:v>
      </x:c>
      <x:c r="E984" s="15" t="str">
        <x:v>NOT COMMISSIONED</x:v>
      </x:c>
      <x:c r="F984" s="15" t="str">
        <x:v>OPEN</x:v>
      </x:c>
    </x:row>
    <x:row r="985">
      <x:c r="A985" s="14" t="str">
        <x:v>CH-0981</x:v>
      </x:c>
      <x:c r="B985" s="14" t="str">
        <x:v>SYS-16</x:v>
      </x:c>
      <x:c r="C985" s="14" t="n">
        <x:v>21</x:v>
      </x:c>
      <x:c r="D985" s="14" t="str">
        <x:v>Topology</x:v>
      </x:c>
      <x:c r="E985" s="14" t="str">
        <x:v>NOT COMMISSIONED</x:v>
      </x:c>
      <x:c r="F985" s="14" t="str">
        <x:v>OPEN</x:v>
      </x:c>
    </x:row>
    <x:row r="986">
      <x:c r="A986" s="15" t="str">
        <x:v>CH-0982</x:v>
      </x:c>
      <x:c r="B986" s="15" t="str">
        <x:v>SYS-16</x:v>
      </x:c>
      <x:c r="C986" s="15" t="n">
        <x:v>22</x:v>
      </x:c>
      <x:c r="D986" s="15" t="str">
        <x:v>Topology</x:v>
      </x:c>
      <x:c r="E986" s="15" t="str">
        <x:v>NOT COMMISSIONED</x:v>
      </x:c>
      <x:c r="F986" s="15" t="str">
        <x:v>OPEN</x:v>
      </x:c>
    </x:row>
    <x:row r="987">
      <x:c r="A987" s="14" t="str">
        <x:v>CH-0983</x:v>
      </x:c>
      <x:c r="B987" s="14" t="str">
        <x:v>SYS-16</x:v>
      </x:c>
      <x:c r="C987" s="14" t="n">
        <x:v>23</x:v>
      </x:c>
      <x:c r="D987" s="14" t="str">
        <x:v>Topology</x:v>
      </x:c>
      <x:c r="E987" s="14" t="str">
        <x:v>NOT COMMISSIONED</x:v>
      </x:c>
      <x:c r="F987" s="14" t="str">
        <x:v>OPEN</x:v>
      </x:c>
    </x:row>
    <x:row r="988">
      <x:c r="A988" s="15" t="str">
        <x:v>CH-0984</x:v>
      </x:c>
      <x:c r="B988" s="15" t="str">
        <x:v>SYS-16</x:v>
      </x:c>
      <x:c r="C988" s="15" t="n">
        <x:v>24</x:v>
      </x:c>
      <x:c r="D988" s="15" t="str">
        <x:v>Topology</x:v>
      </x:c>
      <x:c r="E988" s="15" t="str">
        <x:v>NOT COMMISSIONED</x:v>
      </x:c>
      <x:c r="F988" s="15" t="str">
        <x:v>OPEN</x:v>
      </x:c>
    </x:row>
    <x:row r="989">
      <x:c r="A989" s="14" t="str">
        <x:v>CH-0985</x:v>
      </x:c>
      <x:c r="B989" s="14" t="str">
        <x:v>SYS-16</x:v>
      </x:c>
      <x:c r="C989" s="14" t="n">
        <x:v>25</x:v>
      </x:c>
      <x:c r="D989" s="14" t="str">
        <x:v>Topology</x:v>
      </x:c>
      <x:c r="E989" s="14" t="str">
        <x:v>NOT COMMISSIONED</x:v>
      </x:c>
      <x:c r="F989" s="14" t="str">
        <x:v>OPEN</x:v>
      </x:c>
    </x:row>
    <x:row r="990">
      <x:c r="A990" s="15" t="str">
        <x:v>CH-0986</x:v>
      </x:c>
      <x:c r="B990" s="15" t="str">
        <x:v>SYS-16</x:v>
      </x:c>
      <x:c r="C990" s="15" t="n">
        <x:v>26</x:v>
      </x:c>
      <x:c r="D990" s="15" t="str">
        <x:v>Topology</x:v>
      </x:c>
      <x:c r="E990" s="15" t="str">
        <x:v>NOT COMMISSIONED</x:v>
      </x:c>
      <x:c r="F990" s="15" t="str">
        <x:v>OPEN</x:v>
      </x:c>
    </x:row>
    <x:row r="991">
      <x:c r="A991" s="14" t="str">
        <x:v>CH-0987</x:v>
      </x:c>
      <x:c r="B991" s="14" t="str">
        <x:v>SYS-16</x:v>
      </x:c>
      <x:c r="C991" s="14" t="n">
        <x:v>27</x:v>
      </x:c>
      <x:c r="D991" s="14" t="str">
        <x:v>Topology</x:v>
      </x:c>
      <x:c r="E991" s="14" t="str">
        <x:v>NOT COMMISSIONED</x:v>
      </x:c>
      <x:c r="F991" s="14" t="str">
        <x:v>OPEN</x:v>
      </x:c>
    </x:row>
    <x:row r="992">
      <x:c r="A992" s="15" t="str">
        <x:v>CH-0988</x:v>
      </x:c>
      <x:c r="B992" s="15" t="str">
        <x:v>SYS-16</x:v>
      </x:c>
      <x:c r="C992" s="15" t="n">
        <x:v>28</x:v>
      </x:c>
      <x:c r="D992" s="15" t="str">
        <x:v>Topology</x:v>
      </x:c>
      <x:c r="E992" s="15" t="str">
        <x:v>NOT COMMISSIONED</x:v>
      </x:c>
      <x:c r="F992" s="15" t="str">
        <x:v>OPEN</x:v>
      </x:c>
    </x:row>
    <x:row r="993">
      <x:c r="A993" s="14" t="str">
        <x:v>CH-0989</x:v>
      </x:c>
      <x:c r="B993" s="14" t="str">
        <x:v>SYS-16</x:v>
      </x:c>
      <x:c r="C993" s="14" t="n">
        <x:v>29</x:v>
      </x:c>
      <x:c r="D993" s="14" t="str">
        <x:v>Topology</x:v>
      </x:c>
      <x:c r="E993" s="14" t="str">
        <x:v>NOT COMMISSIONED</x:v>
      </x:c>
      <x:c r="F993" s="14" t="str">
        <x:v>OPEN</x:v>
      </x:c>
    </x:row>
    <x:row r="994">
      <x:c r="A994" s="15" t="str">
        <x:v>CH-0990</x:v>
      </x:c>
      <x:c r="B994" s="15" t="str">
        <x:v>SYS-16</x:v>
      </x:c>
      <x:c r="C994" s="15" t="n">
        <x:v>30</x:v>
      </x:c>
      <x:c r="D994" s="15" t="str">
        <x:v>Topology</x:v>
      </x:c>
      <x:c r="E994" s="15" t="str">
        <x:v>NOT COMMISSIONED</x:v>
      </x:c>
      <x:c r="F994" s="15" t="str">
        <x:v>OPEN</x:v>
      </x:c>
    </x:row>
    <x:row r="995">
      <x:c r="A995" s="14" t="str">
        <x:v>CH-0991</x:v>
      </x:c>
      <x:c r="B995" s="14" t="str">
        <x:v>SYS-16</x:v>
      </x:c>
      <x:c r="C995" s="14" t="n">
        <x:v>31</x:v>
      </x:c>
      <x:c r="D995" s="14" t="str">
        <x:v>Topology</x:v>
      </x:c>
      <x:c r="E995" s="14" t="str">
        <x:v>NOT COMMISSIONED</x:v>
      </x:c>
      <x:c r="F995" s="14" t="str">
        <x:v>OPEN</x:v>
      </x:c>
    </x:row>
    <x:row r="996">
      <x:c r="A996" s="15" t="str">
        <x:v>CH-0992</x:v>
      </x:c>
      <x:c r="B996" s="15" t="str">
        <x:v>SYS-16</x:v>
      </x:c>
      <x:c r="C996" s="15" t="n">
        <x:v>32</x:v>
      </x:c>
      <x:c r="D996" s="15" t="str">
        <x:v>Topology</x:v>
      </x:c>
      <x:c r="E996" s="15" t="str">
        <x:v>NOT COMMISSIONED</x:v>
      </x:c>
      <x:c r="F996" s="15" t="str">
        <x:v>OPEN</x:v>
      </x:c>
    </x:row>
    <x:row r="997">
      <x:c r="A997" s="14" t="str">
        <x:v>CH-0993</x:v>
      </x:c>
      <x:c r="B997" s="14" t="str">
        <x:v>SYS-16</x:v>
      </x:c>
      <x:c r="C997" s="14" t="n">
        <x:v>33</x:v>
      </x:c>
      <x:c r="D997" s="14" t="str">
        <x:v>Topology</x:v>
      </x:c>
      <x:c r="E997" s="14" t="str">
        <x:v>NOT COMMISSIONED</x:v>
      </x:c>
      <x:c r="F997" s="14" t="str">
        <x:v>OPEN</x:v>
      </x:c>
    </x:row>
    <x:row r="998">
      <x:c r="A998" s="15" t="str">
        <x:v>CH-0994</x:v>
      </x:c>
      <x:c r="B998" s="15" t="str">
        <x:v>SYS-16</x:v>
      </x:c>
      <x:c r="C998" s="15" t="n">
        <x:v>34</x:v>
      </x:c>
      <x:c r="D998" s="15" t="str">
        <x:v>Topology</x:v>
      </x:c>
      <x:c r="E998" s="15" t="str">
        <x:v>NOT COMMISSIONED</x:v>
      </x:c>
      <x:c r="F998" s="15" t="str">
        <x:v>OPEN</x:v>
      </x:c>
    </x:row>
    <x:row r="999">
      <x:c r="A999" s="14" t="str">
        <x:v>CH-0995</x:v>
      </x:c>
      <x:c r="B999" s="14" t="str">
        <x:v>SYS-16</x:v>
      </x:c>
      <x:c r="C999" s="14" t="n">
        <x:v>35</x:v>
      </x:c>
      <x:c r="D999" s="14" t="str">
        <x:v>Topology</x:v>
      </x:c>
      <x:c r="E999" s="14" t="str">
        <x:v>NOT COMMISSIONED</x:v>
      </x:c>
      <x:c r="F999" s="14" t="str">
        <x:v>OPEN</x:v>
      </x:c>
    </x:row>
    <x:row r="1000">
      <x:c r="A1000" s="15" t="str">
        <x:v>CH-0996</x:v>
      </x:c>
      <x:c r="B1000" s="15" t="str">
        <x:v>SYS-16</x:v>
      </x:c>
      <x:c r="C1000" s="15" t="n">
        <x:v>36</x:v>
      </x:c>
      <x:c r="D1000" s="15" t="str">
        <x:v>Topology</x:v>
      </x:c>
      <x:c r="E1000" s="15" t="str">
        <x:v>NOT COMMISSIONED</x:v>
      </x:c>
      <x:c r="F1000" s="15" t="str">
        <x:v>OPEN</x:v>
      </x:c>
    </x:row>
    <x:row r="1001">
      <x:c r="A1001" s="14" t="str">
        <x:v>CH-0997</x:v>
      </x:c>
      <x:c r="B1001" s="14" t="str">
        <x:v>SYS-16</x:v>
      </x:c>
      <x:c r="C1001" s="14" t="n">
        <x:v>37</x:v>
      </x:c>
      <x:c r="D1001" s="14" t="str">
        <x:v>Topology</x:v>
      </x:c>
      <x:c r="E1001" s="14" t="str">
        <x:v>NOT COMMISSIONED</x:v>
      </x:c>
      <x:c r="F1001" s="14" t="str">
        <x:v>OPEN</x:v>
      </x:c>
    </x:row>
    <x:row r="1002">
      <x:c r="A1002" s="15" t="str">
        <x:v>CH-0998</x:v>
      </x:c>
      <x:c r="B1002" s="15" t="str">
        <x:v>SYS-16</x:v>
      </x:c>
      <x:c r="C1002" s="15" t="n">
        <x:v>38</x:v>
      </x:c>
      <x:c r="D1002" s="15" t="str">
        <x:v>Topology</x:v>
      </x:c>
      <x:c r="E1002" s="15" t="str">
        <x:v>NOT COMMISSIONED</x:v>
      </x:c>
      <x:c r="F1002" s="15" t="str">
        <x:v>OPEN</x:v>
      </x:c>
    </x:row>
    <x:row r="1003">
      <x:c r="A1003" s="14" t="str">
        <x:v>CH-0999</x:v>
      </x:c>
      <x:c r="B1003" s="14" t="str">
        <x:v>SYS-16</x:v>
      </x:c>
      <x:c r="C1003" s="14" t="n">
        <x:v>39</x:v>
      </x:c>
      <x:c r="D1003" s="14" t="str">
        <x:v>Topology</x:v>
      </x:c>
      <x:c r="E1003" s="14" t="str">
        <x:v>NOT COMMISSIONED</x:v>
      </x:c>
      <x:c r="F1003" s="14" t="str">
        <x:v>OPEN</x:v>
      </x:c>
    </x:row>
    <x:row r="1004">
      <x:c r="A1004" s="15" t="str">
        <x:v>CH-1000</x:v>
      </x:c>
      <x:c r="B1004" s="15" t="str">
        <x:v>SYS-16</x:v>
      </x:c>
      <x:c r="C1004" s="15" t="n">
        <x:v>40</x:v>
      </x:c>
      <x:c r="D1004" s="15" t="str">
        <x:v>Topology</x:v>
      </x:c>
      <x:c r="E1004" s="15" t="str">
        <x:v>NOT COMMISSIONED</x:v>
      </x:c>
      <x:c r="F1004" s="15" t="str">
        <x:v>OPEN</x:v>
      </x:c>
    </x:row>
    <x:row r="1005">
      <x:c r="A1005" s="14" t="str">
        <x:v>CH-1001</x:v>
      </x:c>
      <x:c r="B1005" s="14" t="str">
        <x:v>SYS-16</x:v>
      </x:c>
      <x:c r="C1005" s="14" t="n">
        <x:v>41</x:v>
      </x:c>
      <x:c r="D1005" s="14" t="str">
        <x:v>Topology</x:v>
      </x:c>
      <x:c r="E1005" s="14" t="str">
        <x:v>NOT COMMISSIONED</x:v>
      </x:c>
      <x:c r="F1005" s="14" t="str">
        <x:v>OPEN</x:v>
      </x:c>
    </x:row>
    <x:row r="1006">
      <x:c r="A1006" s="15" t="str">
        <x:v>CH-1002</x:v>
      </x:c>
      <x:c r="B1006" s="15" t="str">
        <x:v>SYS-16</x:v>
      </x:c>
      <x:c r="C1006" s="15" t="n">
        <x:v>42</x:v>
      </x:c>
      <x:c r="D1006" s="15" t="str">
        <x:v>Topology</x:v>
      </x:c>
      <x:c r="E1006" s="15" t="str">
        <x:v>NOT COMMISSIONED</x:v>
      </x:c>
      <x:c r="F1006" s="15" t="str">
        <x:v>OPEN</x:v>
      </x:c>
    </x:row>
    <x:row r="1007">
      <x:c r="A1007" s="14" t="str">
        <x:v>CH-1003</x:v>
      </x:c>
      <x:c r="B1007" s="14" t="str">
        <x:v>SYS-16</x:v>
      </x:c>
      <x:c r="C1007" s="14" t="n">
        <x:v>43</x:v>
      </x:c>
      <x:c r="D1007" s="14" t="str">
        <x:v>Topology</x:v>
      </x:c>
      <x:c r="E1007" s="14" t="str">
        <x:v>NOT COMMISSIONED</x:v>
      </x:c>
      <x:c r="F1007" s="14" t="str">
        <x:v>OPEN</x:v>
      </x:c>
    </x:row>
    <x:row r="1008">
      <x:c r="A1008" s="15" t="str">
        <x:v>CH-1004</x:v>
      </x:c>
      <x:c r="B1008" s="15" t="str">
        <x:v>SYS-16</x:v>
      </x:c>
      <x:c r="C1008" s="15" t="n">
        <x:v>44</x:v>
      </x:c>
      <x:c r="D1008" s="15" t="str">
        <x:v>Topology</x:v>
      </x:c>
      <x:c r="E1008" s="15" t="str">
        <x:v>NOT COMMISSIONED</x:v>
      </x:c>
      <x:c r="F1008" s="15" t="str">
        <x:v>OPEN</x:v>
      </x:c>
    </x:row>
    <x:row r="1009">
      <x:c r="A1009" s="14" t="str">
        <x:v>CH-1005</x:v>
      </x:c>
      <x:c r="B1009" s="14" t="str">
        <x:v>SYS-16</x:v>
      </x:c>
      <x:c r="C1009" s="14" t="n">
        <x:v>45</x:v>
      </x:c>
      <x:c r="D1009" s="14" t="str">
        <x:v>Topology</x:v>
      </x:c>
      <x:c r="E1009" s="14" t="str">
        <x:v>NOT COMMISSIONED</x:v>
      </x:c>
      <x:c r="F1009" s="14" t="str">
        <x:v>OPEN</x:v>
      </x:c>
    </x:row>
    <x:row r="1010">
      <x:c r="A1010" s="15" t="str">
        <x:v>CH-1006</x:v>
      </x:c>
      <x:c r="B1010" s="15" t="str">
        <x:v>SYS-16</x:v>
      </x:c>
      <x:c r="C1010" s="15" t="n">
        <x:v>46</x:v>
      </x:c>
      <x:c r="D1010" s="15" t="str">
        <x:v>Topology</x:v>
      </x:c>
      <x:c r="E1010" s="15" t="str">
        <x:v>NOT COMMISSIONED</x:v>
      </x:c>
      <x:c r="F1010" s="15" t="str">
        <x:v>OPEN</x:v>
      </x:c>
    </x:row>
    <x:row r="1011">
      <x:c r="A1011" s="14" t="str">
        <x:v>CH-1007</x:v>
      </x:c>
      <x:c r="B1011" s="14" t="str">
        <x:v>SYS-16</x:v>
      </x:c>
      <x:c r="C1011" s="14" t="n">
        <x:v>47</x:v>
      </x:c>
      <x:c r="D1011" s="14" t="str">
        <x:v>Topology</x:v>
      </x:c>
      <x:c r="E1011" s="14" t="str">
        <x:v>NOT COMMISSIONED</x:v>
      </x:c>
      <x:c r="F1011" s="14" t="str">
        <x:v>OPEN</x:v>
      </x:c>
    </x:row>
    <x:row r="1012">
      <x:c r="A1012" s="15" t="str">
        <x:v>CH-1008</x:v>
      </x:c>
      <x:c r="B1012" s="15" t="str">
        <x:v>SYS-16</x:v>
      </x:c>
      <x:c r="C1012" s="15" t="n">
        <x:v>48</x:v>
      </x:c>
      <x:c r="D1012" s="15" t="str">
        <x:v>Topology</x:v>
      </x:c>
      <x:c r="E1012" s="15" t="str">
        <x:v>NOT COMMISSIONED</x:v>
      </x:c>
      <x:c r="F1012" s="15" t="str">
        <x:v>OPEN</x:v>
      </x:c>
    </x:row>
    <x:row r="1013">
      <x:c r="A1013" s="14" t="str">
        <x:v>CH-1009</x:v>
      </x:c>
      <x:c r="B1013" s="14" t="str">
        <x:v>SYS-16</x:v>
      </x:c>
      <x:c r="C1013" s="14" t="n">
        <x:v>49</x:v>
      </x:c>
      <x:c r="D1013" s="14" t="str">
        <x:v>Topology</x:v>
      </x:c>
      <x:c r="E1013" s="14" t="str">
        <x:v>NOT COMMISSIONED</x:v>
      </x:c>
      <x:c r="F1013" s="14" t="str">
        <x:v>OPEN</x:v>
      </x:c>
    </x:row>
    <x:row r="1014">
      <x:c r="A1014" s="15" t="str">
        <x:v>CH-1010</x:v>
      </x:c>
      <x:c r="B1014" s="15" t="str">
        <x:v>SYS-16</x:v>
      </x:c>
      <x:c r="C1014" s="15" t="n">
        <x:v>50</x:v>
      </x:c>
      <x:c r="D1014" s="15" t="str">
        <x:v>Topology</x:v>
      </x:c>
      <x:c r="E1014" s="15" t="str">
        <x:v>NOT COMMISSIONED</x:v>
      </x:c>
      <x:c r="F1014" s="15" t="str">
        <x:v>OPEN</x:v>
      </x:c>
    </x:row>
    <x:row r="1015">
      <x:c r="A1015" s="14" t="str">
        <x:v>CH-1011</x:v>
      </x:c>
      <x:c r="B1015" s="14" t="str">
        <x:v>SYS-16</x:v>
      </x:c>
      <x:c r="C1015" s="14" t="n">
        <x:v>51</x:v>
      </x:c>
      <x:c r="D1015" s="14" t="str">
        <x:v>Topology</x:v>
      </x:c>
      <x:c r="E1015" s="14" t="str">
        <x:v>NOT COMMISSIONED</x:v>
      </x:c>
      <x:c r="F1015" s="14" t="str">
        <x:v>OPEN</x:v>
      </x:c>
    </x:row>
    <x:row r="1016">
      <x:c r="A1016" s="15" t="str">
        <x:v>CH-1012</x:v>
      </x:c>
      <x:c r="B1016" s="15" t="str">
        <x:v>SYS-16</x:v>
      </x:c>
      <x:c r="C1016" s="15" t="n">
        <x:v>52</x:v>
      </x:c>
      <x:c r="D1016" s="15" t="str">
        <x:v>Topology</x:v>
      </x:c>
      <x:c r="E1016" s="15" t="str">
        <x:v>NOT COMMISSIONED</x:v>
      </x:c>
      <x:c r="F1016" s="15" t="str">
        <x:v>OPEN</x:v>
      </x:c>
    </x:row>
    <x:row r="1017">
      <x:c r="A1017" s="14" t="str">
        <x:v>CH-1013</x:v>
      </x:c>
      <x:c r="B1017" s="14" t="str">
        <x:v>SYS-16</x:v>
      </x:c>
      <x:c r="C1017" s="14" t="n">
        <x:v>53</x:v>
      </x:c>
      <x:c r="D1017" s="14" t="str">
        <x:v>Topology</x:v>
      </x:c>
      <x:c r="E1017" s="14" t="str">
        <x:v>NOT COMMISSIONED</x:v>
      </x:c>
      <x:c r="F1017" s="14" t="str">
        <x:v>OPEN</x:v>
      </x:c>
    </x:row>
    <x:row r="1018">
      <x:c r="A1018" s="15" t="str">
        <x:v>CH-1014</x:v>
      </x:c>
      <x:c r="B1018" s="15" t="str">
        <x:v>SYS-16</x:v>
      </x:c>
      <x:c r="C1018" s="15" t="n">
        <x:v>54</x:v>
      </x:c>
      <x:c r="D1018" s="15" t="str">
        <x:v>Topology</x:v>
      </x:c>
      <x:c r="E1018" s="15" t="str">
        <x:v>NOT COMMISSIONED</x:v>
      </x:c>
      <x:c r="F1018" s="15" t="str">
        <x:v>OPEN</x:v>
      </x:c>
    </x:row>
    <x:row r="1019">
      <x:c r="A1019" s="14" t="str">
        <x:v>CH-1015</x:v>
      </x:c>
      <x:c r="B1019" s="14" t="str">
        <x:v>SYS-16</x:v>
      </x:c>
      <x:c r="C1019" s="14" t="n">
        <x:v>55</x:v>
      </x:c>
      <x:c r="D1019" s="14" t="str">
        <x:v>Topology</x:v>
      </x:c>
      <x:c r="E1019" s="14" t="str">
        <x:v>NOT COMMISSIONED</x:v>
      </x:c>
      <x:c r="F1019" s="14" t="str">
        <x:v>OPEN</x:v>
      </x:c>
    </x:row>
    <x:row r="1020">
      <x:c r="A1020" s="15" t="str">
        <x:v>CH-1016</x:v>
      </x:c>
      <x:c r="B1020" s="15" t="str">
        <x:v>SYS-16</x:v>
      </x:c>
      <x:c r="C1020" s="15" t="n">
        <x:v>56</x:v>
      </x:c>
      <x:c r="D1020" s="15" t="str">
        <x:v>Topology</x:v>
      </x:c>
      <x:c r="E1020" s="15" t="str">
        <x:v>NOT COMMISSIONED</x:v>
      </x:c>
      <x:c r="F1020" s="15" t="str">
        <x:v>OPEN</x:v>
      </x:c>
    </x:row>
    <x:row r="1021">
      <x:c r="A1021" s="14" t="str">
        <x:v>CH-1017</x:v>
      </x:c>
      <x:c r="B1021" s="14" t="str">
        <x:v>SYS-16</x:v>
      </x:c>
      <x:c r="C1021" s="14" t="n">
        <x:v>57</x:v>
      </x:c>
      <x:c r="D1021" s="14" t="str">
        <x:v>Topology</x:v>
      </x:c>
      <x:c r="E1021" s="14" t="str">
        <x:v>NOT COMMISSIONED</x:v>
      </x:c>
      <x:c r="F1021" s="14" t="str">
        <x:v>OPEN</x:v>
      </x:c>
    </x:row>
    <x:row r="1022">
      <x:c r="A1022" s="15" t="str">
        <x:v>CH-1018</x:v>
      </x:c>
      <x:c r="B1022" s="15" t="str">
        <x:v>SYS-16</x:v>
      </x:c>
      <x:c r="C1022" s="15" t="n">
        <x:v>58</x:v>
      </x:c>
      <x:c r="D1022" s="15" t="str">
        <x:v>Topology</x:v>
      </x:c>
      <x:c r="E1022" s="15" t="str">
        <x:v>NOT COMMISSIONED</x:v>
      </x:c>
      <x:c r="F1022" s="15" t="str">
        <x:v>OPEN</x:v>
      </x:c>
    </x:row>
    <x:row r="1023">
      <x:c r="A1023" s="14" t="str">
        <x:v>CH-1019</x:v>
      </x:c>
      <x:c r="B1023" s="14" t="str">
        <x:v>SYS-16</x:v>
      </x:c>
      <x:c r="C1023" s="14" t="n">
        <x:v>59</x:v>
      </x:c>
      <x:c r="D1023" s="14" t="str">
        <x:v>Topology</x:v>
      </x:c>
      <x:c r="E1023" s="14" t="str">
        <x:v>NOT COMMISSIONED</x:v>
      </x:c>
      <x:c r="F1023" s="14" t="str">
        <x:v>OPEN</x:v>
      </x:c>
    </x:row>
    <x:row r="1024">
      <x:c r="A1024" s="15" t="str">
        <x:v>CH-1020</x:v>
      </x:c>
      <x:c r="B1024" s="15" t="str">
        <x:v>SYS-16</x:v>
      </x:c>
      <x:c r="C1024" s="15" t="n">
        <x:v>60</x:v>
      </x:c>
      <x:c r="D1024" s="15" t="str">
        <x:v>Topology</x:v>
      </x:c>
      <x:c r="E1024" s="15" t="str">
        <x:v>NOT COMMISSIONED</x:v>
      </x:c>
      <x:c r="F1024" s="15" t="str">
        <x:v>OPEN</x:v>
      </x:c>
    </x:row>
    <x:row r="1025">
      <x:c r="A1025" s="14" t="str">
        <x:v>CH-1021</x:v>
      </x:c>
      <x:c r="B1025" s="14" t="str">
        <x:v>SYS-16</x:v>
      </x:c>
      <x:c r="C1025" s="14" t="n">
        <x:v>61</x:v>
      </x:c>
      <x:c r="D1025" s="14" t="str">
        <x:v>Topology</x:v>
      </x:c>
      <x:c r="E1025" s="14" t="str">
        <x:v>NOT COMMISSIONED</x:v>
      </x:c>
      <x:c r="F1025" s="14" t="str">
        <x:v>OPEN</x:v>
      </x:c>
    </x:row>
    <x:row r="1026">
      <x:c r="A1026" s="15" t="str">
        <x:v>CH-1022</x:v>
      </x:c>
      <x:c r="B1026" s="15" t="str">
        <x:v>SYS-16</x:v>
      </x:c>
      <x:c r="C1026" s="15" t="n">
        <x:v>62</x:v>
      </x:c>
      <x:c r="D1026" s="15" t="str">
        <x:v>Topology</x:v>
      </x:c>
      <x:c r="E1026" s="15" t="str">
        <x:v>NOT COMMISSIONED</x:v>
      </x:c>
      <x:c r="F1026" s="15" t="str">
        <x:v>OPEN</x:v>
      </x:c>
    </x:row>
    <x:row r="1027">
      <x:c r="A1027" s="14" t="str">
        <x:v>CH-1023</x:v>
      </x:c>
      <x:c r="B1027" s="14" t="str">
        <x:v>SYS-16</x:v>
      </x:c>
      <x:c r="C1027" s="14" t="n">
        <x:v>63</x:v>
      </x:c>
      <x:c r="D1027" s="14" t="str">
        <x:v>Topology</x:v>
      </x:c>
      <x:c r="E1027" s="14" t="str">
        <x:v>NOT COMMISSIONED</x:v>
      </x:c>
      <x:c r="F1027" s="14" t="str">
        <x:v>OPEN</x:v>
      </x:c>
    </x:row>
    <x:row r="1028">
      <x:c r="A1028" s="15" t="str">
        <x:v>CH-1024</x:v>
      </x:c>
      <x:c r="B1028" s="15" t="str">
        <x:v>SYS-16</x:v>
      </x:c>
      <x:c r="C1028" s="15" t="n">
        <x:v>64</x:v>
      </x:c>
      <x:c r="D1028" s="15" t="str">
        <x:v>Topology</x:v>
      </x:c>
      <x:c r="E1028" s="15" t="str">
        <x:v>NOT COMMISSIONED</x:v>
      </x:c>
      <x:c r="F1028" s="15" t="str">
        <x:v>OPEN</x:v>
      </x:c>
    </x:row>
    <x:row r="1029">
      <x:c r="A1029" s="14" t="str">
        <x:v>CH-1025</x:v>
      </x:c>
      <x:c r="B1029" s="14" t="str">
        <x:v>SYS-17</x:v>
      </x:c>
      <x:c r="C1029" s="14" t="n">
        <x:v>1</x:v>
      </x:c>
      <x:c r="D1029" s="14" t="str">
        <x:v>Coupling</x:v>
      </x:c>
      <x:c r="E1029" s="14" t="str">
        <x:v>NOT COMMISSIONED</x:v>
      </x:c>
      <x:c r="F1029" s="14" t="str">
        <x:v>OPEN</x:v>
      </x:c>
    </x:row>
    <x:row r="1030">
      <x:c r="A1030" s="15" t="str">
        <x:v>CH-1026</x:v>
      </x:c>
      <x:c r="B1030" s="15" t="str">
        <x:v>SYS-17</x:v>
      </x:c>
      <x:c r="C1030" s="15" t="n">
        <x:v>2</x:v>
      </x:c>
      <x:c r="D1030" s="15" t="str">
        <x:v>Coupling</x:v>
      </x:c>
      <x:c r="E1030" s="15" t="str">
        <x:v>NOT COMMISSIONED</x:v>
      </x:c>
      <x:c r="F1030" s="15" t="str">
        <x:v>OPEN</x:v>
      </x:c>
    </x:row>
    <x:row r="1031">
      <x:c r="A1031" s="14" t="str">
        <x:v>CH-1027</x:v>
      </x:c>
      <x:c r="B1031" s="14" t="str">
        <x:v>SYS-17</x:v>
      </x:c>
      <x:c r="C1031" s="14" t="n">
        <x:v>3</x:v>
      </x:c>
      <x:c r="D1031" s="14" t="str">
        <x:v>Coupling</x:v>
      </x:c>
      <x:c r="E1031" s="14" t="str">
        <x:v>NOT COMMISSIONED</x:v>
      </x:c>
      <x:c r="F1031" s="14" t="str">
        <x:v>OPEN</x:v>
      </x:c>
    </x:row>
    <x:row r="1032">
      <x:c r="A1032" s="15" t="str">
        <x:v>CH-1028</x:v>
      </x:c>
      <x:c r="B1032" s="15" t="str">
        <x:v>SYS-17</x:v>
      </x:c>
      <x:c r="C1032" s="15" t="n">
        <x:v>4</x:v>
      </x:c>
      <x:c r="D1032" s="15" t="str">
        <x:v>Coupling</x:v>
      </x:c>
      <x:c r="E1032" s="15" t="str">
        <x:v>NOT COMMISSIONED</x:v>
      </x:c>
      <x:c r="F1032" s="15" t="str">
        <x:v>OPEN</x:v>
      </x:c>
    </x:row>
    <x:row r="1033">
      <x:c r="A1033" s="14" t="str">
        <x:v>CH-1029</x:v>
      </x:c>
      <x:c r="B1033" s="14" t="str">
        <x:v>SYS-17</x:v>
      </x:c>
      <x:c r="C1033" s="14" t="n">
        <x:v>5</x:v>
      </x:c>
      <x:c r="D1033" s="14" t="str">
        <x:v>Coupling</x:v>
      </x:c>
      <x:c r="E1033" s="14" t="str">
        <x:v>NOT COMMISSIONED</x:v>
      </x:c>
      <x:c r="F1033" s="14" t="str">
        <x:v>OPEN</x:v>
      </x:c>
    </x:row>
    <x:row r="1034">
      <x:c r="A1034" s="15" t="str">
        <x:v>CH-1030</x:v>
      </x:c>
      <x:c r="B1034" s="15" t="str">
        <x:v>SYS-17</x:v>
      </x:c>
      <x:c r="C1034" s="15" t="n">
        <x:v>6</x:v>
      </x:c>
      <x:c r="D1034" s="15" t="str">
        <x:v>Coupling</x:v>
      </x:c>
      <x:c r="E1034" s="15" t="str">
        <x:v>NOT COMMISSIONED</x:v>
      </x:c>
      <x:c r="F1034" s="15" t="str">
        <x:v>OPEN</x:v>
      </x:c>
    </x:row>
    <x:row r="1035">
      <x:c r="A1035" s="14" t="str">
        <x:v>CH-1031</x:v>
      </x:c>
      <x:c r="B1035" s="14" t="str">
        <x:v>SYS-17</x:v>
      </x:c>
      <x:c r="C1035" s="14" t="n">
        <x:v>7</x:v>
      </x:c>
      <x:c r="D1035" s="14" t="str">
        <x:v>Coupling</x:v>
      </x:c>
      <x:c r="E1035" s="14" t="str">
        <x:v>NOT COMMISSIONED</x:v>
      </x:c>
      <x:c r="F1035" s="14" t="str">
        <x:v>OPEN</x:v>
      </x:c>
    </x:row>
    <x:row r="1036">
      <x:c r="A1036" s="15" t="str">
        <x:v>CH-1032</x:v>
      </x:c>
      <x:c r="B1036" s="15" t="str">
        <x:v>SYS-17</x:v>
      </x:c>
      <x:c r="C1036" s="15" t="n">
        <x:v>8</x:v>
      </x:c>
      <x:c r="D1036" s="15" t="str">
        <x:v>Coupling</x:v>
      </x:c>
      <x:c r="E1036" s="15" t="str">
        <x:v>NOT COMMISSIONED</x:v>
      </x:c>
      <x:c r="F1036" s="15" t="str">
        <x:v>OPEN</x:v>
      </x:c>
    </x:row>
    <x:row r="1037">
      <x:c r="A1037" s="14" t="str">
        <x:v>CH-1033</x:v>
      </x:c>
      <x:c r="B1037" s="14" t="str">
        <x:v>SYS-17</x:v>
      </x:c>
      <x:c r="C1037" s="14" t="n">
        <x:v>9</x:v>
      </x:c>
      <x:c r="D1037" s="14" t="str">
        <x:v>Coupling</x:v>
      </x:c>
      <x:c r="E1037" s="14" t="str">
        <x:v>NOT COMMISSIONED</x:v>
      </x:c>
      <x:c r="F1037" s="14" t="str">
        <x:v>OPEN</x:v>
      </x:c>
    </x:row>
    <x:row r="1038">
      <x:c r="A1038" s="15" t="str">
        <x:v>CH-1034</x:v>
      </x:c>
      <x:c r="B1038" s="15" t="str">
        <x:v>SYS-17</x:v>
      </x:c>
      <x:c r="C1038" s="15" t="n">
        <x:v>10</x:v>
      </x:c>
      <x:c r="D1038" s="15" t="str">
        <x:v>Coupling</x:v>
      </x:c>
      <x:c r="E1038" s="15" t="str">
        <x:v>NOT COMMISSIONED</x:v>
      </x:c>
      <x:c r="F1038" s="15" t="str">
        <x:v>OPEN</x:v>
      </x:c>
    </x:row>
    <x:row r="1039">
      <x:c r="A1039" s="14" t="str">
        <x:v>CH-1035</x:v>
      </x:c>
      <x:c r="B1039" s="14" t="str">
        <x:v>SYS-17</x:v>
      </x:c>
      <x:c r="C1039" s="14" t="n">
        <x:v>11</x:v>
      </x:c>
      <x:c r="D1039" s="14" t="str">
        <x:v>Coupling</x:v>
      </x:c>
      <x:c r="E1039" s="14" t="str">
        <x:v>NOT COMMISSIONED</x:v>
      </x:c>
      <x:c r="F1039" s="14" t="str">
        <x:v>OPEN</x:v>
      </x:c>
    </x:row>
    <x:row r="1040">
      <x:c r="A1040" s="15" t="str">
        <x:v>CH-1036</x:v>
      </x:c>
      <x:c r="B1040" s="15" t="str">
        <x:v>SYS-17</x:v>
      </x:c>
      <x:c r="C1040" s="15" t="n">
        <x:v>12</x:v>
      </x:c>
      <x:c r="D1040" s="15" t="str">
        <x:v>Coupling</x:v>
      </x:c>
      <x:c r="E1040" s="15" t="str">
        <x:v>NOT COMMISSIONED</x:v>
      </x:c>
      <x:c r="F1040" s="15" t="str">
        <x:v>OPEN</x:v>
      </x:c>
    </x:row>
    <x:row r="1041">
      <x:c r="A1041" s="14" t="str">
        <x:v>CH-1037</x:v>
      </x:c>
      <x:c r="B1041" s="14" t="str">
        <x:v>SYS-17</x:v>
      </x:c>
      <x:c r="C1041" s="14" t="n">
        <x:v>13</x:v>
      </x:c>
      <x:c r="D1041" s="14" t="str">
        <x:v>Coupling</x:v>
      </x:c>
      <x:c r="E1041" s="14" t="str">
        <x:v>NOT COMMISSIONED</x:v>
      </x:c>
      <x:c r="F1041" s="14" t="str">
        <x:v>OPEN</x:v>
      </x:c>
    </x:row>
    <x:row r="1042">
      <x:c r="A1042" s="15" t="str">
        <x:v>CH-1038</x:v>
      </x:c>
      <x:c r="B1042" s="15" t="str">
        <x:v>SYS-17</x:v>
      </x:c>
      <x:c r="C1042" s="15" t="n">
        <x:v>14</x:v>
      </x:c>
      <x:c r="D1042" s="15" t="str">
        <x:v>Coupling</x:v>
      </x:c>
      <x:c r="E1042" s="15" t="str">
        <x:v>NOT COMMISSIONED</x:v>
      </x:c>
      <x:c r="F1042" s="15" t="str">
        <x:v>OPEN</x:v>
      </x:c>
    </x:row>
    <x:row r="1043">
      <x:c r="A1043" s="14" t="str">
        <x:v>CH-1039</x:v>
      </x:c>
      <x:c r="B1043" s="14" t="str">
        <x:v>SYS-17</x:v>
      </x:c>
      <x:c r="C1043" s="14" t="n">
        <x:v>15</x:v>
      </x:c>
      <x:c r="D1043" s="14" t="str">
        <x:v>Coupling</x:v>
      </x:c>
      <x:c r="E1043" s="14" t="str">
        <x:v>NOT COMMISSIONED</x:v>
      </x:c>
      <x:c r="F1043" s="14" t="str">
        <x:v>OPEN</x:v>
      </x:c>
    </x:row>
    <x:row r="1044">
      <x:c r="A1044" s="15" t="str">
        <x:v>CH-1040</x:v>
      </x:c>
      <x:c r="B1044" s="15" t="str">
        <x:v>SYS-17</x:v>
      </x:c>
      <x:c r="C1044" s="15" t="n">
        <x:v>16</x:v>
      </x:c>
      <x:c r="D1044" s="15" t="str">
        <x:v>Coupling</x:v>
      </x:c>
      <x:c r="E1044" s="15" t="str">
        <x:v>NOT COMMISSIONED</x:v>
      </x:c>
      <x:c r="F1044" s="15" t="str">
        <x:v>OPEN</x:v>
      </x:c>
    </x:row>
    <x:row r="1045">
      <x:c r="A1045" s="14" t="str">
        <x:v>CH-1041</x:v>
      </x:c>
      <x:c r="B1045" s="14" t="str">
        <x:v>SYS-17</x:v>
      </x:c>
      <x:c r="C1045" s="14" t="n">
        <x:v>17</x:v>
      </x:c>
      <x:c r="D1045" s="14" t="str">
        <x:v>Coupling</x:v>
      </x:c>
      <x:c r="E1045" s="14" t="str">
        <x:v>NOT COMMISSIONED</x:v>
      </x:c>
      <x:c r="F1045" s="14" t="str">
        <x:v>OPEN</x:v>
      </x:c>
    </x:row>
    <x:row r="1046">
      <x:c r="A1046" s="15" t="str">
        <x:v>CH-1042</x:v>
      </x:c>
      <x:c r="B1046" s="15" t="str">
        <x:v>SYS-17</x:v>
      </x:c>
      <x:c r="C1046" s="15" t="n">
        <x:v>18</x:v>
      </x:c>
      <x:c r="D1046" s="15" t="str">
        <x:v>Coupling</x:v>
      </x:c>
      <x:c r="E1046" s="15" t="str">
        <x:v>NOT COMMISSIONED</x:v>
      </x:c>
      <x:c r="F1046" s="15" t="str">
        <x:v>OPEN</x:v>
      </x:c>
    </x:row>
    <x:row r="1047">
      <x:c r="A1047" s="14" t="str">
        <x:v>CH-1043</x:v>
      </x:c>
      <x:c r="B1047" s="14" t="str">
        <x:v>SYS-17</x:v>
      </x:c>
      <x:c r="C1047" s="14" t="n">
        <x:v>19</x:v>
      </x:c>
      <x:c r="D1047" s="14" t="str">
        <x:v>Coupling</x:v>
      </x:c>
      <x:c r="E1047" s="14" t="str">
        <x:v>NOT COMMISSIONED</x:v>
      </x:c>
      <x:c r="F1047" s="14" t="str">
        <x:v>OPEN</x:v>
      </x:c>
    </x:row>
    <x:row r="1048">
      <x:c r="A1048" s="15" t="str">
        <x:v>CH-1044</x:v>
      </x:c>
      <x:c r="B1048" s="15" t="str">
        <x:v>SYS-17</x:v>
      </x:c>
      <x:c r="C1048" s="15" t="n">
        <x:v>20</x:v>
      </x:c>
      <x:c r="D1048" s="15" t="str">
        <x:v>Coupling</x:v>
      </x:c>
      <x:c r="E1048" s="15" t="str">
        <x:v>NOT COMMISSIONED</x:v>
      </x:c>
      <x:c r="F1048" s="15" t="str">
        <x:v>OPEN</x:v>
      </x:c>
    </x:row>
    <x:row r="1049">
      <x:c r="A1049" s="14" t="str">
        <x:v>CH-1045</x:v>
      </x:c>
      <x:c r="B1049" s="14" t="str">
        <x:v>SYS-17</x:v>
      </x:c>
      <x:c r="C1049" s="14" t="n">
        <x:v>21</x:v>
      </x:c>
      <x:c r="D1049" s="14" t="str">
        <x:v>Coupling</x:v>
      </x:c>
      <x:c r="E1049" s="14" t="str">
        <x:v>NOT COMMISSIONED</x:v>
      </x:c>
      <x:c r="F1049" s="14" t="str">
        <x:v>OPEN</x:v>
      </x:c>
    </x:row>
    <x:row r="1050">
      <x:c r="A1050" s="15" t="str">
        <x:v>CH-1046</x:v>
      </x:c>
      <x:c r="B1050" s="15" t="str">
        <x:v>SYS-17</x:v>
      </x:c>
      <x:c r="C1050" s="15" t="n">
        <x:v>22</x:v>
      </x:c>
      <x:c r="D1050" s="15" t="str">
        <x:v>Coupling</x:v>
      </x:c>
      <x:c r="E1050" s="15" t="str">
        <x:v>NOT COMMISSIONED</x:v>
      </x:c>
      <x:c r="F1050" s="15" t="str">
        <x:v>OPEN</x:v>
      </x:c>
    </x:row>
    <x:row r="1051">
      <x:c r="A1051" s="14" t="str">
        <x:v>CH-1047</x:v>
      </x:c>
      <x:c r="B1051" s="14" t="str">
        <x:v>SYS-17</x:v>
      </x:c>
      <x:c r="C1051" s="14" t="n">
        <x:v>23</x:v>
      </x:c>
      <x:c r="D1051" s="14" t="str">
        <x:v>Coupling</x:v>
      </x:c>
      <x:c r="E1051" s="14" t="str">
        <x:v>NOT COMMISSIONED</x:v>
      </x:c>
      <x:c r="F1051" s="14" t="str">
        <x:v>OPEN</x:v>
      </x:c>
    </x:row>
    <x:row r="1052">
      <x:c r="A1052" s="15" t="str">
        <x:v>CH-1048</x:v>
      </x:c>
      <x:c r="B1052" s="15" t="str">
        <x:v>SYS-17</x:v>
      </x:c>
      <x:c r="C1052" s="15" t="n">
        <x:v>24</x:v>
      </x:c>
      <x:c r="D1052" s="15" t="str">
        <x:v>Coupling</x:v>
      </x:c>
      <x:c r="E1052" s="15" t="str">
        <x:v>NOT COMMISSIONED</x:v>
      </x:c>
      <x:c r="F1052" s="15" t="str">
        <x:v>OPEN</x:v>
      </x:c>
    </x:row>
    <x:row r="1053">
      <x:c r="A1053" s="14" t="str">
        <x:v>CH-1049</x:v>
      </x:c>
      <x:c r="B1053" s="14" t="str">
        <x:v>SYS-17</x:v>
      </x:c>
      <x:c r="C1053" s="14" t="n">
        <x:v>25</x:v>
      </x:c>
      <x:c r="D1053" s="14" t="str">
        <x:v>Coupling</x:v>
      </x:c>
      <x:c r="E1053" s="14" t="str">
        <x:v>NOT COMMISSIONED</x:v>
      </x:c>
      <x:c r="F1053" s="14" t="str">
        <x:v>OPEN</x:v>
      </x:c>
    </x:row>
    <x:row r="1054">
      <x:c r="A1054" s="15" t="str">
        <x:v>CH-1050</x:v>
      </x:c>
      <x:c r="B1054" s="15" t="str">
        <x:v>SYS-17</x:v>
      </x:c>
      <x:c r="C1054" s="15" t="n">
        <x:v>26</x:v>
      </x:c>
      <x:c r="D1054" s="15" t="str">
        <x:v>Coupling</x:v>
      </x:c>
      <x:c r="E1054" s="15" t="str">
        <x:v>NOT COMMISSIONED</x:v>
      </x:c>
      <x:c r="F1054" s="15" t="str">
        <x:v>OPEN</x:v>
      </x:c>
    </x:row>
    <x:row r="1055">
      <x:c r="A1055" s="14" t="str">
        <x:v>CH-1051</x:v>
      </x:c>
      <x:c r="B1055" s="14" t="str">
        <x:v>SYS-17</x:v>
      </x:c>
      <x:c r="C1055" s="14" t="n">
        <x:v>27</x:v>
      </x:c>
      <x:c r="D1055" s="14" t="str">
        <x:v>Coupling</x:v>
      </x:c>
      <x:c r="E1055" s="14" t="str">
        <x:v>NOT COMMISSIONED</x:v>
      </x:c>
      <x:c r="F1055" s="14" t="str">
        <x:v>OPEN</x:v>
      </x:c>
    </x:row>
    <x:row r="1056">
      <x:c r="A1056" s="15" t="str">
        <x:v>CH-1052</x:v>
      </x:c>
      <x:c r="B1056" s="15" t="str">
        <x:v>SYS-17</x:v>
      </x:c>
      <x:c r="C1056" s="15" t="n">
        <x:v>28</x:v>
      </x:c>
      <x:c r="D1056" s="15" t="str">
        <x:v>Coupling</x:v>
      </x:c>
      <x:c r="E1056" s="15" t="str">
        <x:v>NOT COMMISSIONED</x:v>
      </x:c>
      <x:c r="F1056" s="15" t="str">
        <x:v>OPEN</x:v>
      </x:c>
    </x:row>
    <x:row r="1057">
      <x:c r="A1057" s="14" t="str">
        <x:v>CH-1053</x:v>
      </x:c>
      <x:c r="B1057" s="14" t="str">
        <x:v>SYS-17</x:v>
      </x:c>
      <x:c r="C1057" s="14" t="n">
        <x:v>29</x:v>
      </x:c>
      <x:c r="D1057" s="14" t="str">
        <x:v>Coupling</x:v>
      </x:c>
      <x:c r="E1057" s="14" t="str">
        <x:v>NOT COMMISSIONED</x:v>
      </x:c>
      <x:c r="F1057" s="14" t="str">
        <x:v>OPEN</x:v>
      </x:c>
    </x:row>
    <x:row r="1058">
      <x:c r="A1058" s="15" t="str">
        <x:v>CH-1054</x:v>
      </x:c>
      <x:c r="B1058" s="15" t="str">
        <x:v>SYS-17</x:v>
      </x:c>
      <x:c r="C1058" s="15" t="n">
        <x:v>30</x:v>
      </x:c>
      <x:c r="D1058" s="15" t="str">
        <x:v>Coupling</x:v>
      </x:c>
      <x:c r="E1058" s="15" t="str">
        <x:v>NOT COMMISSIONED</x:v>
      </x:c>
      <x:c r="F1058" s="15" t="str">
        <x:v>OPEN</x:v>
      </x:c>
    </x:row>
    <x:row r="1059">
      <x:c r="A1059" s="14" t="str">
        <x:v>CH-1055</x:v>
      </x:c>
      <x:c r="B1059" s="14" t="str">
        <x:v>SYS-17</x:v>
      </x:c>
      <x:c r="C1059" s="14" t="n">
        <x:v>31</x:v>
      </x:c>
      <x:c r="D1059" s="14" t="str">
        <x:v>Coupling</x:v>
      </x:c>
      <x:c r="E1059" s="14" t="str">
        <x:v>NOT COMMISSIONED</x:v>
      </x:c>
      <x:c r="F1059" s="14" t="str">
        <x:v>OPEN</x:v>
      </x:c>
    </x:row>
    <x:row r="1060">
      <x:c r="A1060" s="15" t="str">
        <x:v>CH-1056</x:v>
      </x:c>
      <x:c r="B1060" s="15" t="str">
        <x:v>SYS-17</x:v>
      </x:c>
      <x:c r="C1060" s="15" t="n">
        <x:v>32</x:v>
      </x:c>
      <x:c r="D1060" s="15" t="str">
        <x:v>Coupling</x:v>
      </x:c>
      <x:c r="E1060" s="15" t="str">
        <x:v>NOT COMMISSIONED</x:v>
      </x:c>
      <x:c r="F1060" s="15" t="str">
        <x:v>OPEN</x:v>
      </x:c>
    </x:row>
    <x:row r="1061">
      <x:c r="A1061" s="14" t="str">
        <x:v>CH-1057</x:v>
      </x:c>
      <x:c r="B1061" s="14" t="str">
        <x:v>SYS-17</x:v>
      </x:c>
      <x:c r="C1061" s="14" t="n">
        <x:v>33</x:v>
      </x:c>
      <x:c r="D1061" s="14" t="str">
        <x:v>Coupling</x:v>
      </x:c>
      <x:c r="E1061" s="14" t="str">
        <x:v>NOT COMMISSIONED</x:v>
      </x:c>
      <x:c r="F1061" s="14" t="str">
        <x:v>OPEN</x:v>
      </x:c>
    </x:row>
    <x:row r="1062">
      <x:c r="A1062" s="15" t="str">
        <x:v>CH-1058</x:v>
      </x:c>
      <x:c r="B1062" s="15" t="str">
        <x:v>SYS-17</x:v>
      </x:c>
      <x:c r="C1062" s="15" t="n">
        <x:v>34</x:v>
      </x:c>
      <x:c r="D1062" s="15" t="str">
        <x:v>Coupling</x:v>
      </x:c>
      <x:c r="E1062" s="15" t="str">
        <x:v>NOT COMMISSIONED</x:v>
      </x:c>
      <x:c r="F1062" s="15" t="str">
        <x:v>OPEN</x:v>
      </x:c>
    </x:row>
    <x:row r="1063">
      <x:c r="A1063" s="14" t="str">
        <x:v>CH-1059</x:v>
      </x:c>
      <x:c r="B1063" s="14" t="str">
        <x:v>SYS-17</x:v>
      </x:c>
      <x:c r="C1063" s="14" t="n">
        <x:v>35</x:v>
      </x:c>
      <x:c r="D1063" s="14" t="str">
        <x:v>Coupling</x:v>
      </x:c>
      <x:c r="E1063" s="14" t="str">
        <x:v>NOT COMMISSIONED</x:v>
      </x:c>
      <x:c r="F1063" s="14" t="str">
        <x:v>OPEN</x:v>
      </x:c>
    </x:row>
    <x:row r="1064">
      <x:c r="A1064" s="15" t="str">
        <x:v>CH-1060</x:v>
      </x:c>
      <x:c r="B1064" s="15" t="str">
        <x:v>SYS-17</x:v>
      </x:c>
      <x:c r="C1064" s="15" t="n">
        <x:v>36</x:v>
      </x:c>
      <x:c r="D1064" s="15" t="str">
        <x:v>Coupling</x:v>
      </x:c>
      <x:c r="E1064" s="15" t="str">
        <x:v>NOT COMMISSIONED</x:v>
      </x:c>
      <x:c r="F1064" s="15" t="str">
        <x:v>OPEN</x:v>
      </x:c>
    </x:row>
    <x:row r="1065">
      <x:c r="A1065" s="14" t="str">
        <x:v>CH-1061</x:v>
      </x:c>
      <x:c r="B1065" s="14" t="str">
        <x:v>SYS-17</x:v>
      </x:c>
      <x:c r="C1065" s="14" t="n">
        <x:v>37</x:v>
      </x:c>
      <x:c r="D1065" s="14" t="str">
        <x:v>Coupling</x:v>
      </x:c>
      <x:c r="E1065" s="14" t="str">
        <x:v>NOT COMMISSIONED</x:v>
      </x:c>
      <x:c r="F1065" s="14" t="str">
        <x:v>OPEN</x:v>
      </x:c>
    </x:row>
    <x:row r="1066">
      <x:c r="A1066" s="15" t="str">
        <x:v>CH-1062</x:v>
      </x:c>
      <x:c r="B1066" s="15" t="str">
        <x:v>SYS-17</x:v>
      </x:c>
      <x:c r="C1066" s="15" t="n">
        <x:v>38</x:v>
      </x:c>
      <x:c r="D1066" s="15" t="str">
        <x:v>Coupling</x:v>
      </x:c>
      <x:c r="E1066" s="15" t="str">
        <x:v>NOT COMMISSIONED</x:v>
      </x:c>
      <x:c r="F1066" s="15" t="str">
        <x:v>OPEN</x:v>
      </x:c>
    </x:row>
    <x:row r="1067">
      <x:c r="A1067" s="14" t="str">
        <x:v>CH-1063</x:v>
      </x:c>
      <x:c r="B1067" s="14" t="str">
        <x:v>SYS-17</x:v>
      </x:c>
      <x:c r="C1067" s="14" t="n">
        <x:v>39</x:v>
      </x:c>
      <x:c r="D1067" s="14" t="str">
        <x:v>Coupling</x:v>
      </x:c>
      <x:c r="E1067" s="14" t="str">
        <x:v>NOT COMMISSIONED</x:v>
      </x:c>
      <x:c r="F1067" s="14" t="str">
        <x:v>OPEN</x:v>
      </x:c>
    </x:row>
    <x:row r="1068">
      <x:c r="A1068" s="15" t="str">
        <x:v>CH-1064</x:v>
      </x:c>
      <x:c r="B1068" s="15" t="str">
        <x:v>SYS-17</x:v>
      </x:c>
      <x:c r="C1068" s="15" t="n">
        <x:v>40</x:v>
      </x:c>
      <x:c r="D1068" s="15" t="str">
        <x:v>Coupling</x:v>
      </x:c>
      <x:c r="E1068" s="15" t="str">
        <x:v>NOT COMMISSIONED</x:v>
      </x:c>
      <x:c r="F1068" s="15" t="str">
        <x:v>OPEN</x:v>
      </x:c>
    </x:row>
    <x:row r="1069">
      <x:c r="A1069" s="14" t="str">
        <x:v>CH-1065</x:v>
      </x:c>
      <x:c r="B1069" s="14" t="str">
        <x:v>SYS-17</x:v>
      </x:c>
      <x:c r="C1069" s="14" t="n">
        <x:v>41</x:v>
      </x:c>
      <x:c r="D1069" s="14" t="str">
        <x:v>Coupling</x:v>
      </x:c>
      <x:c r="E1069" s="14" t="str">
        <x:v>NOT COMMISSIONED</x:v>
      </x:c>
      <x:c r="F1069" s="14" t="str">
        <x:v>OPEN</x:v>
      </x:c>
    </x:row>
    <x:row r="1070">
      <x:c r="A1070" s="15" t="str">
        <x:v>CH-1066</x:v>
      </x:c>
      <x:c r="B1070" s="15" t="str">
        <x:v>SYS-17</x:v>
      </x:c>
      <x:c r="C1070" s="15" t="n">
        <x:v>42</x:v>
      </x:c>
      <x:c r="D1070" s="15" t="str">
        <x:v>Coupling</x:v>
      </x:c>
      <x:c r="E1070" s="15" t="str">
        <x:v>NOT COMMISSIONED</x:v>
      </x:c>
      <x:c r="F1070" s="15" t="str">
        <x:v>OPEN</x:v>
      </x:c>
    </x:row>
    <x:row r="1071">
      <x:c r="A1071" s="14" t="str">
        <x:v>CH-1067</x:v>
      </x:c>
      <x:c r="B1071" s="14" t="str">
        <x:v>SYS-17</x:v>
      </x:c>
      <x:c r="C1071" s="14" t="n">
        <x:v>43</x:v>
      </x:c>
      <x:c r="D1071" s="14" t="str">
        <x:v>Coupling</x:v>
      </x:c>
      <x:c r="E1071" s="14" t="str">
        <x:v>NOT COMMISSIONED</x:v>
      </x:c>
      <x:c r="F1071" s="14" t="str">
        <x:v>OPEN</x:v>
      </x:c>
    </x:row>
    <x:row r="1072">
      <x:c r="A1072" s="15" t="str">
        <x:v>CH-1068</x:v>
      </x:c>
      <x:c r="B1072" s="15" t="str">
        <x:v>SYS-17</x:v>
      </x:c>
      <x:c r="C1072" s="15" t="n">
        <x:v>44</x:v>
      </x:c>
      <x:c r="D1072" s="15" t="str">
        <x:v>Coupling</x:v>
      </x:c>
      <x:c r="E1072" s="15" t="str">
        <x:v>NOT COMMISSIONED</x:v>
      </x:c>
      <x:c r="F1072" s="15" t="str">
        <x:v>OPEN</x:v>
      </x:c>
    </x:row>
    <x:row r="1073">
      <x:c r="A1073" s="14" t="str">
        <x:v>CH-1069</x:v>
      </x:c>
      <x:c r="B1073" s="14" t="str">
        <x:v>SYS-17</x:v>
      </x:c>
      <x:c r="C1073" s="14" t="n">
        <x:v>45</x:v>
      </x:c>
      <x:c r="D1073" s="14" t="str">
        <x:v>Coupling</x:v>
      </x:c>
      <x:c r="E1073" s="14" t="str">
        <x:v>NOT COMMISSIONED</x:v>
      </x:c>
      <x:c r="F1073" s="14" t="str">
        <x:v>OPEN</x:v>
      </x:c>
    </x:row>
    <x:row r="1074">
      <x:c r="A1074" s="15" t="str">
        <x:v>CH-1070</x:v>
      </x:c>
      <x:c r="B1074" s="15" t="str">
        <x:v>SYS-17</x:v>
      </x:c>
      <x:c r="C1074" s="15" t="n">
        <x:v>46</x:v>
      </x:c>
      <x:c r="D1074" s="15" t="str">
        <x:v>Coupling</x:v>
      </x:c>
      <x:c r="E1074" s="15" t="str">
        <x:v>NOT COMMISSIONED</x:v>
      </x:c>
      <x:c r="F1074" s="15" t="str">
        <x:v>OPEN</x:v>
      </x:c>
    </x:row>
    <x:row r="1075">
      <x:c r="A1075" s="14" t="str">
        <x:v>CH-1071</x:v>
      </x:c>
      <x:c r="B1075" s="14" t="str">
        <x:v>SYS-17</x:v>
      </x:c>
      <x:c r="C1075" s="14" t="n">
        <x:v>47</x:v>
      </x:c>
      <x:c r="D1075" s="14" t="str">
        <x:v>Coupling</x:v>
      </x:c>
      <x:c r="E1075" s="14" t="str">
        <x:v>NOT COMMISSIONED</x:v>
      </x:c>
      <x:c r="F1075" s="14" t="str">
        <x:v>OPEN</x:v>
      </x:c>
    </x:row>
    <x:row r="1076">
      <x:c r="A1076" s="15" t="str">
        <x:v>CH-1072</x:v>
      </x:c>
      <x:c r="B1076" s="15" t="str">
        <x:v>SYS-17</x:v>
      </x:c>
      <x:c r="C1076" s="15" t="n">
        <x:v>48</x:v>
      </x:c>
      <x:c r="D1076" s="15" t="str">
        <x:v>Coupling</x:v>
      </x:c>
      <x:c r="E1076" s="15" t="str">
        <x:v>NOT COMMISSIONED</x:v>
      </x:c>
      <x:c r="F1076" s="15" t="str">
        <x:v>OPEN</x:v>
      </x:c>
    </x:row>
    <x:row r="1077">
      <x:c r="A1077" s="14" t="str">
        <x:v>CH-1073</x:v>
      </x:c>
      <x:c r="B1077" s="14" t="str">
        <x:v>SYS-17</x:v>
      </x:c>
      <x:c r="C1077" s="14" t="n">
        <x:v>49</x:v>
      </x:c>
      <x:c r="D1077" s="14" t="str">
        <x:v>Coupling</x:v>
      </x:c>
      <x:c r="E1077" s="14" t="str">
        <x:v>NOT COMMISSIONED</x:v>
      </x:c>
      <x:c r="F1077" s="14" t="str">
        <x:v>OPEN</x:v>
      </x:c>
    </x:row>
    <x:row r="1078">
      <x:c r="A1078" s="15" t="str">
        <x:v>CH-1074</x:v>
      </x:c>
      <x:c r="B1078" s="15" t="str">
        <x:v>SYS-17</x:v>
      </x:c>
      <x:c r="C1078" s="15" t="n">
        <x:v>50</x:v>
      </x:c>
      <x:c r="D1078" s="15" t="str">
        <x:v>Coupling</x:v>
      </x:c>
      <x:c r="E1078" s="15" t="str">
        <x:v>NOT COMMISSIONED</x:v>
      </x:c>
      <x:c r="F1078" s="15" t="str">
        <x:v>OPEN</x:v>
      </x:c>
    </x:row>
    <x:row r="1079">
      <x:c r="A1079" s="14" t="str">
        <x:v>CH-1075</x:v>
      </x:c>
      <x:c r="B1079" s="14" t="str">
        <x:v>SYS-17</x:v>
      </x:c>
      <x:c r="C1079" s="14" t="n">
        <x:v>51</x:v>
      </x:c>
      <x:c r="D1079" s="14" t="str">
        <x:v>Coupling</x:v>
      </x:c>
      <x:c r="E1079" s="14" t="str">
        <x:v>NOT COMMISSIONED</x:v>
      </x:c>
      <x:c r="F1079" s="14" t="str">
        <x:v>OPEN</x:v>
      </x:c>
    </x:row>
    <x:row r="1080">
      <x:c r="A1080" s="15" t="str">
        <x:v>CH-1076</x:v>
      </x:c>
      <x:c r="B1080" s="15" t="str">
        <x:v>SYS-17</x:v>
      </x:c>
      <x:c r="C1080" s="15" t="n">
        <x:v>52</x:v>
      </x:c>
      <x:c r="D1080" s="15" t="str">
        <x:v>Coupling</x:v>
      </x:c>
      <x:c r="E1080" s="15" t="str">
        <x:v>NOT COMMISSIONED</x:v>
      </x:c>
      <x:c r="F1080" s="15" t="str">
        <x:v>OPEN</x:v>
      </x:c>
    </x:row>
    <x:row r="1081">
      <x:c r="A1081" s="14" t="str">
        <x:v>CH-1077</x:v>
      </x:c>
      <x:c r="B1081" s="14" t="str">
        <x:v>SYS-17</x:v>
      </x:c>
      <x:c r="C1081" s="14" t="n">
        <x:v>53</x:v>
      </x:c>
      <x:c r="D1081" s="14" t="str">
        <x:v>Coupling</x:v>
      </x:c>
      <x:c r="E1081" s="14" t="str">
        <x:v>NOT COMMISSIONED</x:v>
      </x:c>
      <x:c r="F1081" s="14" t="str">
        <x:v>OPEN</x:v>
      </x:c>
    </x:row>
    <x:row r="1082">
      <x:c r="A1082" s="15" t="str">
        <x:v>CH-1078</x:v>
      </x:c>
      <x:c r="B1082" s="15" t="str">
        <x:v>SYS-17</x:v>
      </x:c>
      <x:c r="C1082" s="15" t="n">
        <x:v>54</x:v>
      </x:c>
      <x:c r="D1082" s="15" t="str">
        <x:v>Coupling</x:v>
      </x:c>
      <x:c r="E1082" s="15" t="str">
        <x:v>NOT COMMISSIONED</x:v>
      </x:c>
      <x:c r="F1082" s="15" t="str">
        <x:v>OPEN</x:v>
      </x:c>
    </x:row>
    <x:row r="1083">
      <x:c r="A1083" s="14" t="str">
        <x:v>CH-1079</x:v>
      </x:c>
      <x:c r="B1083" s="14" t="str">
        <x:v>SYS-17</x:v>
      </x:c>
      <x:c r="C1083" s="14" t="n">
        <x:v>55</x:v>
      </x:c>
      <x:c r="D1083" s="14" t="str">
        <x:v>Coupling</x:v>
      </x:c>
      <x:c r="E1083" s="14" t="str">
        <x:v>NOT COMMISSIONED</x:v>
      </x:c>
      <x:c r="F1083" s="14" t="str">
        <x:v>OPEN</x:v>
      </x:c>
    </x:row>
    <x:row r="1084">
      <x:c r="A1084" s="15" t="str">
        <x:v>CH-1080</x:v>
      </x:c>
      <x:c r="B1084" s="15" t="str">
        <x:v>SYS-17</x:v>
      </x:c>
      <x:c r="C1084" s="15" t="n">
        <x:v>56</x:v>
      </x:c>
      <x:c r="D1084" s="15" t="str">
        <x:v>Coupling</x:v>
      </x:c>
      <x:c r="E1084" s="15" t="str">
        <x:v>NOT COMMISSIONED</x:v>
      </x:c>
      <x:c r="F1084" s="15" t="str">
        <x:v>OPEN</x:v>
      </x:c>
    </x:row>
    <x:row r="1085">
      <x:c r="A1085" s="14" t="str">
        <x:v>CH-1081</x:v>
      </x:c>
      <x:c r="B1085" s="14" t="str">
        <x:v>SYS-17</x:v>
      </x:c>
      <x:c r="C1085" s="14" t="n">
        <x:v>57</x:v>
      </x:c>
      <x:c r="D1085" s="14" t="str">
        <x:v>Coupling</x:v>
      </x:c>
      <x:c r="E1085" s="14" t="str">
        <x:v>NOT COMMISSIONED</x:v>
      </x:c>
      <x:c r="F1085" s="14" t="str">
        <x:v>OPEN</x:v>
      </x:c>
    </x:row>
    <x:row r="1086">
      <x:c r="A1086" s="15" t="str">
        <x:v>CH-1082</x:v>
      </x:c>
      <x:c r="B1086" s="15" t="str">
        <x:v>SYS-17</x:v>
      </x:c>
      <x:c r="C1086" s="15" t="n">
        <x:v>58</x:v>
      </x:c>
      <x:c r="D1086" s="15" t="str">
        <x:v>Coupling</x:v>
      </x:c>
      <x:c r="E1086" s="15" t="str">
        <x:v>NOT COMMISSIONED</x:v>
      </x:c>
      <x:c r="F1086" s="15" t="str">
        <x:v>OPEN</x:v>
      </x:c>
    </x:row>
    <x:row r="1087">
      <x:c r="A1087" s="14" t="str">
        <x:v>CH-1083</x:v>
      </x:c>
      <x:c r="B1087" s="14" t="str">
        <x:v>SYS-17</x:v>
      </x:c>
      <x:c r="C1087" s="14" t="n">
        <x:v>59</x:v>
      </x:c>
      <x:c r="D1087" s="14" t="str">
        <x:v>Coupling</x:v>
      </x:c>
      <x:c r="E1087" s="14" t="str">
        <x:v>NOT COMMISSIONED</x:v>
      </x:c>
      <x:c r="F1087" s="14" t="str">
        <x:v>OPEN</x:v>
      </x:c>
    </x:row>
    <x:row r="1088">
      <x:c r="A1088" s="15" t="str">
        <x:v>CH-1084</x:v>
      </x:c>
      <x:c r="B1088" s="15" t="str">
        <x:v>SYS-17</x:v>
      </x:c>
      <x:c r="C1088" s="15" t="n">
        <x:v>60</x:v>
      </x:c>
      <x:c r="D1088" s="15" t="str">
        <x:v>Coupling</x:v>
      </x:c>
      <x:c r="E1088" s="15" t="str">
        <x:v>NOT COMMISSIONED</x:v>
      </x:c>
      <x:c r="F1088" s="15" t="str">
        <x:v>OPEN</x:v>
      </x:c>
    </x:row>
    <x:row r="1089">
      <x:c r="A1089" s="14" t="str">
        <x:v>CH-1085</x:v>
      </x:c>
      <x:c r="B1089" s="14" t="str">
        <x:v>SYS-17</x:v>
      </x:c>
      <x:c r="C1089" s="14" t="n">
        <x:v>61</x:v>
      </x:c>
      <x:c r="D1089" s="14" t="str">
        <x:v>Coupling</x:v>
      </x:c>
      <x:c r="E1089" s="14" t="str">
        <x:v>NOT COMMISSIONED</x:v>
      </x:c>
      <x:c r="F1089" s="14" t="str">
        <x:v>OPEN</x:v>
      </x:c>
    </x:row>
    <x:row r="1090">
      <x:c r="A1090" s="15" t="str">
        <x:v>CH-1086</x:v>
      </x:c>
      <x:c r="B1090" s="15" t="str">
        <x:v>SYS-17</x:v>
      </x:c>
      <x:c r="C1090" s="15" t="n">
        <x:v>62</x:v>
      </x:c>
      <x:c r="D1090" s="15" t="str">
        <x:v>Coupling</x:v>
      </x:c>
      <x:c r="E1090" s="15" t="str">
        <x:v>NOT COMMISSIONED</x:v>
      </x:c>
      <x:c r="F1090" s="15" t="str">
        <x:v>OPEN</x:v>
      </x:c>
    </x:row>
    <x:row r="1091">
      <x:c r="A1091" s="14" t="str">
        <x:v>CH-1087</x:v>
      </x:c>
      <x:c r="B1091" s="14" t="str">
        <x:v>SYS-17</x:v>
      </x:c>
      <x:c r="C1091" s="14" t="n">
        <x:v>63</x:v>
      </x:c>
      <x:c r="D1091" s="14" t="str">
        <x:v>Coupling</x:v>
      </x:c>
      <x:c r="E1091" s="14" t="str">
        <x:v>NOT COMMISSIONED</x:v>
      </x:c>
      <x:c r="F1091" s="14" t="str">
        <x:v>OPEN</x:v>
      </x:c>
    </x:row>
    <x:row r="1092">
      <x:c r="A1092" s="15" t="str">
        <x:v>CH-1088</x:v>
      </x:c>
      <x:c r="B1092" s="15" t="str">
        <x:v>SYS-17</x:v>
      </x:c>
      <x:c r="C1092" s="15" t="n">
        <x:v>64</x:v>
      </x:c>
      <x:c r="D1092" s="15" t="str">
        <x:v>Coupling</x:v>
      </x:c>
      <x:c r="E1092" s="15" t="str">
        <x:v>NOT COMMISSIONED</x:v>
      </x:c>
      <x:c r="F1092" s="15" t="str">
        <x:v>OPEN</x:v>
      </x:c>
    </x:row>
    <x:row r="1093">
      <x:c r="A1093" s="14" t="str">
        <x:v>CH-1089</x:v>
      </x:c>
      <x:c r="B1093" s="14" t="str">
        <x:v>SYS-18</x:v>
      </x:c>
      <x:c r="C1093" s="14" t="n">
        <x:v>1</x:v>
      </x:c>
      <x:c r="D1093" s="14" t="str">
        <x:v>Diversion</x:v>
      </x:c>
      <x:c r="E1093" s="14" t="str">
        <x:v>NOT COMMISSIONED</x:v>
      </x:c>
      <x:c r="F1093" s="14" t="str">
        <x:v>OPEN</x:v>
      </x:c>
    </x:row>
    <x:row r="1094">
      <x:c r="A1094" s="15" t="str">
        <x:v>CH-1090</x:v>
      </x:c>
      <x:c r="B1094" s="15" t="str">
        <x:v>SYS-18</x:v>
      </x:c>
      <x:c r="C1094" s="15" t="n">
        <x:v>2</x:v>
      </x:c>
      <x:c r="D1094" s="15" t="str">
        <x:v>Diversion</x:v>
      </x:c>
      <x:c r="E1094" s="15" t="str">
        <x:v>NOT COMMISSIONED</x:v>
      </x:c>
      <x:c r="F1094" s="15" t="str">
        <x:v>OPEN</x:v>
      </x:c>
    </x:row>
    <x:row r="1095">
      <x:c r="A1095" s="14" t="str">
        <x:v>CH-1091</x:v>
      </x:c>
      <x:c r="B1095" s="14" t="str">
        <x:v>SYS-18</x:v>
      </x:c>
      <x:c r="C1095" s="14" t="n">
        <x:v>3</x:v>
      </x:c>
      <x:c r="D1095" s="14" t="str">
        <x:v>Diversion</x:v>
      </x:c>
      <x:c r="E1095" s="14" t="str">
        <x:v>NOT COMMISSIONED</x:v>
      </x:c>
      <x:c r="F1095" s="14" t="str">
        <x:v>OPEN</x:v>
      </x:c>
    </x:row>
    <x:row r="1096">
      <x:c r="A1096" s="15" t="str">
        <x:v>CH-1092</x:v>
      </x:c>
      <x:c r="B1096" s="15" t="str">
        <x:v>SYS-18</x:v>
      </x:c>
      <x:c r="C1096" s="15" t="n">
        <x:v>4</x:v>
      </x:c>
      <x:c r="D1096" s="15" t="str">
        <x:v>Diversion</x:v>
      </x:c>
      <x:c r="E1096" s="15" t="str">
        <x:v>NOT COMMISSIONED</x:v>
      </x:c>
      <x:c r="F1096" s="15" t="str">
        <x:v>OPEN</x:v>
      </x:c>
    </x:row>
    <x:row r="1097">
      <x:c r="A1097" s="14" t="str">
        <x:v>CH-1093</x:v>
      </x:c>
      <x:c r="B1097" s="14" t="str">
        <x:v>SYS-18</x:v>
      </x:c>
      <x:c r="C1097" s="14" t="n">
        <x:v>5</x:v>
      </x:c>
      <x:c r="D1097" s="14" t="str">
        <x:v>Diversion</x:v>
      </x:c>
      <x:c r="E1097" s="14" t="str">
        <x:v>NOT COMMISSIONED</x:v>
      </x:c>
      <x:c r="F1097" s="14" t="str">
        <x:v>OPEN</x:v>
      </x:c>
    </x:row>
    <x:row r="1098">
      <x:c r="A1098" s="15" t="str">
        <x:v>CH-1094</x:v>
      </x:c>
      <x:c r="B1098" s="15" t="str">
        <x:v>SYS-18</x:v>
      </x:c>
      <x:c r="C1098" s="15" t="n">
        <x:v>6</x:v>
      </x:c>
      <x:c r="D1098" s="15" t="str">
        <x:v>Diversion</x:v>
      </x:c>
      <x:c r="E1098" s="15" t="str">
        <x:v>NOT COMMISSIONED</x:v>
      </x:c>
      <x:c r="F1098" s="15" t="str">
        <x:v>OPEN</x:v>
      </x:c>
    </x:row>
    <x:row r="1099">
      <x:c r="A1099" s="14" t="str">
        <x:v>CH-1095</x:v>
      </x:c>
      <x:c r="B1099" s="14" t="str">
        <x:v>SYS-18</x:v>
      </x:c>
      <x:c r="C1099" s="14" t="n">
        <x:v>7</x:v>
      </x:c>
      <x:c r="D1099" s="14" t="str">
        <x:v>Diversion</x:v>
      </x:c>
      <x:c r="E1099" s="14" t="str">
        <x:v>NOT COMMISSIONED</x:v>
      </x:c>
      <x:c r="F1099" s="14" t="str">
        <x:v>OPEN</x:v>
      </x:c>
    </x:row>
    <x:row r="1100">
      <x:c r="A1100" s="15" t="str">
        <x:v>CH-1096</x:v>
      </x:c>
      <x:c r="B1100" s="15" t="str">
        <x:v>SYS-18</x:v>
      </x:c>
      <x:c r="C1100" s="15" t="n">
        <x:v>8</x:v>
      </x:c>
      <x:c r="D1100" s="15" t="str">
        <x:v>Diversion</x:v>
      </x:c>
      <x:c r="E1100" s="15" t="str">
        <x:v>NOT COMMISSIONED</x:v>
      </x:c>
      <x:c r="F1100" s="15" t="str">
        <x:v>OPEN</x:v>
      </x:c>
    </x:row>
    <x:row r="1101">
      <x:c r="A1101" s="14" t="str">
        <x:v>CH-1097</x:v>
      </x:c>
      <x:c r="B1101" s="14" t="str">
        <x:v>SYS-18</x:v>
      </x:c>
      <x:c r="C1101" s="14" t="n">
        <x:v>9</x:v>
      </x:c>
      <x:c r="D1101" s="14" t="str">
        <x:v>Diversion</x:v>
      </x:c>
      <x:c r="E1101" s="14" t="str">
        <x:v>NOT COMMISSIONED</x:v>
      </x:c>
      <x:c r="F1101" s="14" t="str">
        <x:v>OPEN</x:v>
      </x:c>
    </x:row>
    <x:row r="1102">
      <x:c r="A1102" s="15" t="str">
        <x:v>CH-1098</x:v>
      </x:c>
      <x:c r="B1102" s="15" t="str">
        <x:v>SYS-18</x:v>
      </x:c>
      <x:c r="C1102" s="15" t="n">
        <x:v>10</x:v>
      </x:c>
      <x:c r="D1102" s="15" t="str">
        <x:v>Diversion</x:v>
      </x:c>
      <x:c r="E1102" s="15" t="str">
        <x:v>NOT COMMISSIONED</x:v>
      </x:c>
      <x:c r="F1102" s="15" t="str">
        <x:v>OPEN</x:v>
      </x:c>
    </x:row>
    <x:row r="1103">
      <x:c r="A1103" s="14" t="str">
        <x:v>CH-1099</x:v>
      </x:c>
      <x:c r="B1103" s="14" t="str">
        <x:v>SYS-18</x:v>
      </x:c>
      <x:c r="C1103" s="14" t="n">
        <x:v>11</x:v>
      </x:c>
      <x:c r="D1103" s="14" t="str">
        <x:v>Diversion</x:v>
      </x:c>
      <x:c r="E1103" s="14" t="str">
        <x:v>NOT COMMISSIONED</x:v>
      </x:c>
      <x:c r="F1103" s="14" t="str">
        <x:v>OPEN</x:v>
      </x:c>
    </x:row>
    <x:row r="1104">
      <x:c r="A1104" s="15" t="str">
        <x:v>CH-1100</x:v>
      </x:c>
      <x:c r="B1104" s="15" t="str">
        <x:v>SYS-18</x:v>
      </x:c>
      <x:c r="C1104" s="15" t="n">
        <x:v>12</x:v>
      </x:c>
      <x:c r="D1104" s="15" t="str">
        <x:v>Diversion</x:v>
      </x:c>
      <x:c r="E1104" s="15" t="str">
        <x:v>NOT COMMISSIONED</x:v>
      </x:c>
      <x:c r="F1104" s="15" t="str">
        <x:v>OPEN</x:v>
      </x:c>
    </x:row>
    <x:row r="1105">
      <x:c r="A1105" s="14" t="str">
        <x:v>CH-1101</x:v>
      </x:c>
      <x:c r="B1105" s="14" t="str">
        <x:v>SYS-18</x:v>
      </x:c>
      <x:c r="C1105" s="14" t="n">
        <x:v>13</x:v>
      </x:c>
      <x:c r="D1105" s="14" t="str">
        <x:v>Diversion</x:v>
      </x:c>
      <x:c r="E1105" s="14" t="str">
        <x:v>NOT COMMISSIONED</x:v>
      </x:c>
      <x:c r="F1105" s="14" t="str">
        <x:v>OPEN</x:v>
      </x:c>
    </x:row>
    <x:row r="1106">
      <x:c r="A1106" s="15" t="str">
        <x:v>CH-1102</x:v>
      </x:c>
      <x:c r="B1106" s="15" t="str">
        <x:v>SYS-18</x:v>
      </x:c>
      <x:c r="C1106" s="15" t="n">
        <x:v>14</x:v>
      </x:c>
      <x:c r="D1106" s="15" t="str">
        <x:v>Diversion</x:v>
      </x:c>
      <x:c r="E1106" s="15" t="str">
        <x:v>NOT COMMISSIONED</x:v>
      </x:c>
      <x:c r="F1106" s="15" t="str">
        <x:v>OPEN</x:v>
      </x:c>
    </x:row>
    <x:row r="1107">
      <x:c r="A1107" s="14" t="str">
        <x:v>CH-1103</x:v>
      </x:c>
      <x:c r="B1107" s="14" t="str">
        <x:v>SYS-18</x:v>
      </x:c>
      <x:c r="C1107" s="14" t="n">
        <x:v>15</x:v>
      </x:c>
      <x:c r="D1107" s="14" t="str">
        <x:v>Diversion</x:v>
      </x:c>
      <x:c r="E1107" s="14" t="str">
        <x:v>NOT COMMISSIONED</x:v>
      </x:c>
      <x:c r="F1107" s="14" t="str">
        <x:v>OPEN</x:v>
      </x:c>
    </x:row>
    <x:row r="1108">
      <x:c r="A1108" s="15" t="str">
        <x:v>CH-1104</x:v>
      </x:c>
      <x:c r="B1108" s="15" t="str">
        <x:v>SYS-18</x:v>
      </x:c>
      <x:c r="C1108" s="15" t="n">
        <x:v>16</x:v>
      </x:c>
      <x:c r="D1108" s="15" t="str">
        <x:v>Diversion</x:v>
      </x:c>
      <x:c r="E1108" s="15" t="str">
        <x:v>NOT COMMISSIONED</x:v>
      </x:c>
      <x:c r="F1108" s="15" t="str">
        <x:v>OPEN</x:v>
      </x:c>
    </x:row>
    <x:row r="1109">
      <x:c r="A1109" s="14" t="str">
        <x:v>CH-1105</x:v>
      </x:c>
      <x:c r="B1109" s="14" t="str">
        <x:v>SYS-18</x:v>
      </x:c>
      <x:c r="C1109" s="14" t="n">
        <x:v>17</x:v>
      </x:c>
      <x:c r="D1109" s="14" t="str">
        <x:v>Diversion</x:v>
      </x:c>
      <x:c r="E1109" s="14" t="str">
        <x:v>NOT COMMISSIONED</x:v>
      </x:c>
      <x:c r="F1109" s="14" t="str">
        <x:v>OPEN</x:v>
      </x:c>
    </x:row>
    <x:row r="1110">
      <x:c r="A1110" s="15" t="str">
        <x:v>CH-1106</x:v>
      </x:c>
      <x:c r="B1110" s="15" t="str">
        <x:v>SYS-18</x:v>
      </x:c>
      <x:c r="C1110" s="15" t="n">
        <x:v>18</x:v>
      </x:c>
      <x:c r="D1110" s="15" t="str">
        <x:v>Diversion</x:v>
      </x:c>
      <x:c r="E1110" s="15" t="str">
        <x:v>NOT COMMISSIONED</x:v>
      </x:c>
      <x:c r="F1110" s="15" t="str">
        <x:v>OPEN</x:v>
      </x:c>
    </x:row>
    <x:row r="1111">
      <x:c r="A1111" s="14" t="str">
        <x:v>CH-1107</x:v>
      </x:c>
      <x:c r="B1111" s="14" t="str">
        <x:v>SYS-18</x:v>
      </x:c>
      <x:c r="C1111" s="14" t="n">
        <x:v>19</x:v>
      </x:c>
      <x:c r="D1111" s="14" t="str">
        <x:v>Diversion</x:v>
      </x:c>
      <x:c r="E1111" s="14" t="str">
        <x:v>NOT COMMISSIONED</x:v>
      </x:c>
      <x:c r="F1111" s="14" t="str">
        <x:v>OPEN</x:v>
      </x:c>
    </x:row>
    <x:row r="1112">
      <x:c r="A1112" s="15" t="str">
        <x:v>CH-1108</x:v>
      </x:c>
      <x:c r="B1112" s="15" t="str">
        <x:v>SYS-18</x:v>
      </x:c>
      <x:c r="C1112" s="15" t="n">
        <x:v>20</x:v>
      </x:c>
      <x:c r="D1112" s="15" t="str">
        <x:v>Diversion</x:v>
      </x:c>
      <x:c r="E1112" s="15" t="str">
        <x:v>NOT COMMISSIONED</x:v>
      </x:c>
      <x:c r="F1112" s="15" t="str">
        <x:v>OPEN</x:v>
      </x:c>
    </x:row>
    <x:row r="1113">
      <x:c r="A1113" s="14" t="str">
        <x:v>CH-1109</x:v>
      </x:c>
      <x:c r="B1113" s="14" t="str">
        <x:v>SYS-18</x:v>
      </x:c>
      <x:c r="C1113" s="14" t="n">
        <x:v>21</x:v>
      </x:c>
      <x:c r="D1113" s="14" t="str">
        <x:v>Diversion</x:v>
      </x:c>
      <x:c r="E1113" s="14" t="str">
        <x:v>NOT COMMISSIONED</x:v>
      </x:c>
      <x:c r="F1113" s="14" t="str">
        <x:v>OPEN</x:v>
      </x:c>
    </x:row>
    <x:row r="1114">
      <x:c r="A1114" s="15" t="str">
        <x:v>CH-1110</x:v>
      </x:c>
      <x:c r="B1114" s="15" t="str">
        <x:v>SYS-18</x:v>
      </x:c>
      <x:c r="C1114" s="15" t="n">
        <x:v>22</x:v>
      </x:c>
      <x:c r="D1114" s="15" t="str">
        <x:v>Diversion</x:v>
      </x:c>
      <x:c r="E1114" s="15" t="str">
        <x:v>NOT COMMISSIONED</x:v>
      </x:c>
      <x:c r="F1114" s="15" t="str">
        <x:v>OPEN</x:v>
      </x:c>
    </x:row>
    <x:row r="1115">
      <x:c r="A1115" s="14" t="str">
        <x:v>CH-1111</x:v>
      </x:c>
      <x:c r="B1115" s="14" t="str">
        <x:v>SYS-18</x:v>
      </x:c>
      <x:c r="C1115" s="14" t="n">
        <x:v>23</x:v>
      </x:c>
      <x:c r="D1115" s="14" t="str">
        <x:v>Diversion</x:v>
      </x:c>
      <x:c r="E1115" s="14" t="str">
        <x:v>NOT COMMISSIONED</x:v>
      </x:c>
      <x:c r="F1115" s="14" t="str">
        <x:v>OPEN</x:v>
      </x:c>
    </x:row>
    <x:row r="1116">
      <x:c r="A1116" s="15" t="str">
        <x:v>CH-1112</x:v>
      </x:c>
      <x:c r="B1116" s="15" t="str">
        <x:v>SYS-18</x:v>
      </x:c>
      <x:c r="C1116" s="15" t="n">
        <x:v>24</x:v>
      </x:c>
      <x:c r="D1116" s="15" t="str">
        <x:v>Diversion</x:v>
      </x:c>
      <x:c r="E1116" s="15" t="str">
        <x:v>NOT COMMISSIONED</x:v>
      </x:c>
      <x:c r="F1116" s="15" t="str">
        <x:v>OPEN</x:v>
      </x:c>
    </x:row>
    <x:row r="1117">
      <x:c r="A1117" s="14" t="str">
        <x:v>CH-1113</x:v>
      </x:c>
      <x:c r="B1117" s="14" t="str">
        <x:v>SYS-18</x:v>
      </x:c>
      <x:c r="C1117" s="14" t="n">
        <x:v>25</x:v>
      </x:c>
      <x:c r="D1117" s="14" t="str">
        <x:v>Diversion</x:v>
      </x:c>
      <x:c r="E1117" s="14" t="str">
        <x:v>NOT COMMISSIONED</x:v>
      </x:c>
      <x:c r="F1117" s="14" t="str">
        <x:v>OPEN</x:v>
      </x:c>
    </x:row>
    <x:row r="1118">
      <x:c r="A1118" s="15" t="str">
        <x:v>CH-1114</x:v>
      </x:c>
      <x:c r="B1118" s="15" t="str">
        <x:v>SYS-18</x:v>
      </x:c>
      <x:c r="C1118" s="15" t="n">
        <x:v>26</x:v>
      </x:c>
      <x:c r="D1118" s="15" t="str">
        <x:v>Diversion</x:v>
      </x:c>
      <x:c r="E1118" s="15" t="str">
        <x:v>NOT COMMISSIONED</x:v>
      </x:c>
      <x:c r="F1118" s="15" t="str">
        <x:v>OPEN</x:v>
      </x:c>
    </x:row>
    <x:row r="1119">
      <x:c r="A1119" s="14" t="str">
        <x:v>CH-1115</x:v>
      </x:c>
      <x:c r="B1119" s="14" t="str">
        <x:v>SYS-18</x:v>
      </x:c>
      <x:c r="C1119" s="14" t="n">
        <x:v>27</x:v>
      </x:c>
      <x:c r="D1119" s="14" t="str">
        <x:v>Diversion</x:v>
      </x:c>
      <x:c r="E1119" s="14" t="str">
        <x:v>NOT COMMISSIONED</x:v>
      </x:c>
      <x:c r="F1119" s="14" t="str">
        <x:v>OPEN</x:v>
      </x:c>
    </x:row>
    <x:row r="1120">
      <x:c r="A1120" s="15" t="str">
        <x:v>CH-1116</x:v>
      </x:c>
      <x:c r="B1120" s="15" t="str">
        <x:v>SYS-18</x:v>
      </x:c>
      <x:c r="C1120" s="15" t="n">
        <x:v>28</x:v>
      </x:c>
      <x:c r="D1120" s="15" t="str">
        <x:v>Diversion</x:v>
      </x:c>
      <x:c r="E1120" s="15" t="str">
        <x:v>NOT COMMISSIONED</x:v>
      </x:c>
      <x:c r="F1120" s="15" t="str">
        <x:v>OPEN</x:v>
      </x:c>
    </x:row>
    <x:row r="1121">
      <x:c r="A1121" s="14" t="str">
        <x:v>CH-1117</x:v>
      </x:c>
      <x:c r="B1121" s="14" t="str">
        <x:v>SYS-18</x:v>
      </x:c>
      <x:c r="C1121" s="14" t="n">
        <x:v>29</x:v>
      </x:c>
      <x:c r="D1121" s="14" t="str">
        <x:v>Diversion</x:v>
      </x:c>
      <x:c r="E1121" s="14" t="str">
        <x:v>NOT COMMISSIONED</x:v>
      </x:c>
      <x:c r="F1121" s="14" t="str">
        <x:v>OPEN</x:v>
      </x:c>
    </x:row>
    <x:row r="1122">
      <x:c r="A1122" s="15" t="str">
        <x:v>CH-1118</x:v>
      </x:c>
      <x:c r="B1122" s="15" t="str">
        <x:v>SYS-18</x:v>
      </x:c>
      <x:c r="C1122" s="15" t="n">
        <x:v>30</x:v>
      </x:c>
      <x:c r="D1122" s="15" t="str">
        <x:v>Diversion</x:v>
      </x:c>
      <x:c r="E1122" s="15" t="str">
        <x:v>NOT COMMISSIONED</x:v>
      </x:c>
      <x:c r="F1122" s="15" t="str">
        <x:v>OPEN</x:v>
      </x:c>
    </x:row>
    <x:row r="1123">
      <x:c r="A1123" s="14" t="str">
        <x:v>CH-1119</x:v>
      </x:c>
      <x:c r="B1123" s="14" t="str">
        <x:v>SYS-18</x:v>
      </x:c>
      <x:c r="C1123" s="14" t="n">
        <x:v>31</x:v>
      </x:c>
      <x:c r="D1123" s="14" t="str">
        <x:v>Diversion</x:v>
      </x:c>
      <x:c r="E1123" s="14" t="str">
        <x:v>NOT COMMISSIONED</x:v>
      </x:c>
      <x:c r="F1123" s="14" t="str">
        <x:v>OPEN</x:v>
      </x:c>
    </x:row>
    <x:row r="1124">
      <x:c r="A1124" s="15" t="str">
        <x:v>CH-1120</x:v>
      </x:c>
      <x:c r="B1124" s="15" t="str">
        <x:v>SYS-18</x:v>
      </x:c>
      <x:c r="C1124" s="15" t="n">
        <x:v>32</x:v>
      </x:c>
      <x:c r="D1124" s="15" t="str">
        <x:v>Diversion</x:v>
      </x:c>
      <x:c r="E1124" s="15" t="str">
        <x:v>NOT COMMISSIONED</x:v>
      </x:c>
      <x:c r="F1124" s="15" t="str">
        <x:v>OPEN</x:v>
      </x:c>
    </x:row>
    <x:row r="1125">
      <x:c r="A1125" s="14" t="str">
        <x:v>CH-1121</x:v>
      </x:c>
      <x:c r="B1125" s="14" t="str">
        <x:v>SYS-18</x:v>
      </x:c>
      <x:c r="C1125" s="14" t="n">
        <x:v>33</x:v>
      </x:c>
      <x:c r="D1125" s="14" t="str">
        <x:v>Diversion</x:v>
      </x:c>
      <x:c r="E1125" s="14" t="str">
        <x:v>NOT COMMISSIONED</x:v>
      </x:c>
      <x:c r="F1125" s="14" t="str">
        <x:v>OPEN</x:v>
      </x:c>
    </x:row>
    <x:row r="1126">
      <x:c r="A1126" s="15" t="str">
        <x:v>CH-1122</x:v>
      </x:c>
      <x:c r="B1126" s="15" t="str">
        <x:v>SYS-18</x:v>
      </x:c>
      <x:c r="C1126" s="15" t="n">
        <x:v>34</x:v>
      </x:c>
      <x:c r="D1126" s="15" t="str">
        <x:v>Diversion</x:v>
      </x:c>
      <x:c r="E1126" s="15" t="str">
        <x:v>NOT COMMISSIONED</x:v>
      </x:c>
      <x:c r="F1126" s="15" t="str">
        <x:v>OPEN</x:v>
      </x:c>
    </x:row>
    <x:row r="1127">
      <x:c r="A1127" s="14" t="str">
        <x:v>CH-1123</x:v>
      </x:c>
      <x:c r="B1127" s="14" t="str">
        <x:v>SYS-18</x:v>
      </x:c>
      <x:c r="C1127" s="14" t="n">
        <x:v>35</x:v>
      </x:c>
      <x:c r="D1127" s="14" t="str">
        <x:v>Diversion</x:v>
      </x:c>
      <x:c r="E1127" s="14" t="str">
        <x:v>NOT COMMISSIONED</x:v>
      </x:c>
      <x:c r="F1127" s="14" t="str">
        <x:v>OPEN</x:v>
      </x:c>
    </x:row>
    <x:row r="1128">
      <x:c r="A1128" s="15" t="str">
        <x:v>CH-1124</x:v>
      </x:c>
      <x:c r="B1128" s="15" t="str">
        <x:v>SYS-18</x:v>
      </x:c>
      <x:c r="C1128" s="15" t="n">
        <x:v>36</x:v>
      </x:c>
      <x:c r="D1128" s="15" t="str">
        <x:v>Diversion</x:v>
      </x:c>
      <x:c r="E1128" s="15" t="str">
        <x:v>NOT COMMISSIONED</x:v>
      </x:c>
      <x:c r="F1128" s="15" t="str">
        <x:v>OPEN</x:v>
      </x:c>
    </x:row>
    <x:row r="1129">
      <x:c r="A1129" s="14" t="str">
        <x:v>CH-1125</x:v>
      </x:c>
      <x:c r="B1129" s="14" t="str">
        <x:v>SYS-18</x:v>
      </x:c>
      <x:c r="C1129" s="14" t="n">
        <x:v>37</x:v>
      </x:c>
      <x:c r="D1129" s="14" t="str">
        <x:v>Diversion</x:v>
      </x:c>
      <x:c r="E1129" s="14" t="str">
        <x:v>NOT COMMISSIONED</x:v>
      </x:c>
      <x:c r="F1129" s="14" t="str">
        <x:v>OPEN</x:v>
      </x:c>
    </x:row>
    <x:row r="1130">
      <x:c r="A1130" s="15" t="str">
        <x:v>CH-1126</x:v>
      </x:c>
      <x:c r="B1130" s="15" t="str">
        <x:v>SYS-18</x:v>
      </x:c>
      <x:c r="C1130" s="15" t="n">
        <x:v>38</x:v>
      </x:c>
      <x:c r="D1130" s="15" t="str">
        <x:v>Diversion</x:v>
      </x:c>
      <x:c r="E1130" s="15" t="str">
        <x:v>NOT COMMISSIONED</x:v>
      </x:c>
      <x:c r="F1130" s="15" t="str">
        <x:v>OPEN</x:v>
      </x:c>
    </x:row>
    <x:row r="1131">
      <x:c r="A1131" s="14" t="str">
        <x:v>CH-1127</x:v>
      </x:c>
      <x:c r="B1131" s="14" t="str">
        <x:v>SYS-18</x:v>
      </x:c>
      <x:c r="C1131" s="14" t="n">
        <x:v>39</x:v>
      </x:c>
      <x:c r="D1131" s="14" t="str">
        <x:v>Diversion</x:v>
      </x:c>
      <x:c r="E1131" s="14" t="str">
        <x:v>NOT COMMISSIONED</x:v>
      </x:c>
      <x:c r="F1131" s="14" t="str">
        <x:v>OPEN</x:v>
      </x:c>
    </x:row>
    <x:row r="1132">
      <x:c r="A1132" s="15" t="str">
        <x:v>CH-1128</x:v>
      </x:c>
      <x:c r="B1132" s="15" t="str">
        <x:v>SYS-18</x:v>
      </x:c>
      <x:c r="C1132" s="15" t="n">
        <x:v>40</x:v>
      </x:c>
      <x:c r="D1132" s="15" t="str">
        <x:v>Diversion</x:v>
      </x:c>
      <x:c r="E1132" s="15" t="str">
        <x:v>NOT COMMISSIONED</x:v>
      </x:c>
      <x:c r="F1132" s="15" t="str">
        <x:v>OPEN</x:v>
      </x:c>
    </x:row>
    <x:row r="1133">
      <x:c r="A1133" s="14" t="str">
        <x:v>CH-1129</x:v>
      </x:c>
      <x:c r="B1133" s="14" t="str">
        <x:v>SYS-18</x:v>
      </x:c>
      <x:c r="C1133" s="14" t="n">
        <x:v>41</x:v>
      </x:c>
      <x:c r="D1133" s="14" t="str">
        <x:v>Diversion</x:v>
      </x:c>
      <x:c r="E1133" s="14" t="str">
        <x:v>NOT COMMISSIONED</x:v>
      </x:c>
      <x:c r="F1133" s="14" t="str">
        <x:v>OPEN</x:v>
      </x:c>
    </x:row>
    <x:row r="1134">
      <x:c r="A1134" s="15" t="str">
        <x:v>CH-1130</x:v>
      </x:c>
      <x:c r="B1134" s="15" t="str">
        <x:v>SYS-18</x:v>
      </x:c>
      <x:c r="C1134" s="15" t="n">
        <x:v>42</x:v>
      </x:c>
      <x:c r="D1134" s="15" t="str">
        <x:v>Diversion</x:v>
      </x:c>
      <x:c r="E1134" s="15" t="str">
        <x:v>NOT COMMISSIONED</x:v>
      </x:c>
      <x:c r="F1134" s="15" t="str">
        <x:v>OPEN</x:v>
      </x:c>
    </x:row>
    <x:row r="1135">
      <x:c r="A1135" s="14" t="str">
        <x:v>CH-1131</x:v>
      </x:c>
      <x:c r="B1135" s="14" t="str">
        <x:v>SYS-18</x:v>
      </x:c>
      <x:c r="C1135" s="14" t="n">
        <x:v>43</x:v>
      </x:c>
      <x:c r="D1135" s="14" t="str">
        <x:v>Diversion</x:v>
      </x:c>
      <x:c r="E1135" s="14" t="str">
        <x:v>NOT COMMISSIONED</x:v>
      </x:c>
      <x:c r="F1135" s="14" t="str">
        <x:v>OPEN</x:v>
      </x:c>
    </x:row>
    <x:row r="1136">
      <x:c r="A1136" s="15" t="str">
        <x:v>CH-1132</x:v>
      </x:c>
      <x:c r="B1136" s="15" t="str">
        <x:v>SYS-18</x:v>
      </x:c>
      <x:c r="C1136" s="15" t="n">
        <x:v>44</x:v>
      </x:c>
      <x:c r="D1136" s="15" t="str">
        <x:v>Diversion</x:v>
      </x:c>
      <x:c r="E1136" s="15" t="str">
        <x:v>NOT COMMISSIONED</x:v>
      </x:c>
      <x:c r="F1136" s="15" t="str">
        <x:v>OPEN</x:v>
      </x:c>
    </x:row>
    <x:row r="1137">
      <x:c r="A1137" s="14" t="str">
        <x:v>CH-1133</x:v>
      </x:c>
      <x:c r="B1137" s="14" t="str">
        <x:v>SYS-18</x:v>
      </x:c>
      <x:c r="C1137" s="14" t="n">
        <x:v>45</x:v>
      </x:c>
      <x:c r="D1137" s="14" t="str">
        <x:v>Diversion</x:v>
      </x:c>
      <x:c r="E1137" s="14" t="str">
        <x:v>NOT COMMISSIONED</x:v>
      </x:c>
      <x:c r="F1137" s="14" t="str">
        <x:v>OPEN</x:v>
      </x:c>
    </x:row>
    <x:row r="1138">
      <x:c r="A1138" s="15" t="str">
        <x:v>CH-1134</x:v>
      </x:c>
      <x:c r="B1138" s="15" t="str">
        <x:v>SYS-18</x:v>
      </x:c>
      <x:c r="C1138" s="15" t="n">
        <x:v>46</x:v>
      </x:c>
      <x:c r="D1138" s="15" t="str">
        <x:v>Diversion</x:v>
      </x:c>
      <x:c r="E1138" s="15" t="str">
        <x:v>NOT COMMISSIONED</x:v>
      </x:c>
      <x:c r="F1138" s="15" t="str">
        <x:v>OPEN</x:v>
      </x:c>
    </x:row>
    <x:row r="1139">
      <x:c r="A1139" s="14" t="str">
        <x:v>CH-1135</x:v>
      </x:c>
      <x:c r="B1139" s="14" t="str">
        <x:v>SYS-18</x:v>
      </x:c>
      <x:c r="C1139" s="14" t="n">
        <x:v>47</x:v>
      </x:c>
      <x:c r="D1139" s="14" t="str">
        <x:v>Diversion</x:v>
      </x:c>
      <x:c r="E1139" s="14" t="str">
        <x:v>NOT COMMISSIONED</x:v>
      </x:c>
      <x:c r="F1139" s="14" t="str">
        <x:v>OPEN</x:v>
      </x:c>
    </x:row>
    <x:row r="1140">
      <x:c r="A1140" s="15" t="str">
        <x:v>CH-1136</x:v>
      </x:c>
      <x:c r="B1140" s="15" t="str">
        <x:v>SYS-18</x:v>
      </x:c>
      <x:c r="C1140" s="15" t="n">
        <x:v>48</x:v>
      </x:c>
      <x:c r="D1140" s="15" t="str">
        <x:v>Diversion</x:v>
      </x:c>
      <x:c r="E1140" s="15" t="str">
        <x:v>NOT COMMISSIONED</x:v>
      </x:c>
      <x:c r="F1140" s="15" t="str">
        <x:v>OPEN</x:v>
      </x:c>
    </x:row>
    <x:row r="1141">
      <x:c r="A1141" s="14" t="str">
        <x:v>CH-1137</x:v>
      </x:c>
      <x:c r="B1141" s="14" t="str">
        <x:v>SYS-18</x:v>
      </x:c>
      <x:c r="C1141" s="14" t="n">
        <x:v>49</x:v>
      </x:c>
      <x:c r="D1141" s="14" t="str">
        <x:v>Diversion</x:v>
      </x:c>
      <x:c r="E1141" s="14" t="str">
        <x:v>NOT COMMISSIONED</x:v>
      </x:c>
      <x:c r="F1141" s="14" t="str">
        <x:v>OPEN</x:v>
      </x:c>
    </x:row>
    <x:row r="1142">
      <x:c r="A1142" s="15" t="str">
        <x:v>CH-1138</x:v>
      </x:c>
      <x:c r="B1142" s="15" t="str">
        <x:v>SYS-18</x:v>
      </x:c>
      <x:c r="C1142" s="15" t="n">
        <x:v>50</x:v>
      </x:c>
      <x:c r="D1142" s="15" t="str">
        <x:v>Diversion</x:v>
      </x:c>
      <x:c r="E1142" s="15" t="str">
        <x:v>NOT COMMISSIONED</x:v>
      </x:c>
      <x:c r="F1142" s="15" t="str">
        <x:v>OPEN</x:v>
      </x:c>
    </x:row>
    <x:row r="1143">
      <x:c r="A1143" s="14" t="str">
        <x:v>CH-1139</x:v>
      </x:c>
      <x:c r="B1143" s="14" t="str">
        <x:v>SYS-18</x:v>
      </x:c>
      <x:c r="C1143" s="14" t="n">
        <x:v>51</x:v>
      </x:c>
      <x:c r="D1143" s="14" t="str">
        <x:v>Diversion</x:v>
      </x:c>
      <x:c r="E1143" s="14" t="str">
        <x:v>NOT COMMISSIONED</x:v>
      </x:c>
      <x:c r="F1143" s="14" t="str">
        <x:v>OPEN</x:v>
      </x:c>
    </x:row>
    <x:row r="1144">
      <x:c r="A1144" s="15" t="str">
        <x:v>CH-1140</x:v>
      </x:c>
      <x:c r="B1144" s="15" t="str">
        <x:v>SYS-18</x:v>
      </x:c>
      <x:c r="C1144" s="15" t="n">
        <x:v>52</x:v>
      </x:c>
      <x:c r="D1144" s="15" t="str">
        <x:v>Diversion</x:v>
      </x:c>
      <x:c r="E1144" s="15" t="str">
        <x:v>NOT COMMISSIONED</x:v>
      </x:c>
      <x:c r="F1144" s="15" t="str">
        <x:v>OPEN</x:v>
      </x:c>
    </x:row>
    <x:row r="1145">
      <x:c r="A1145" s="14" t="str">
        <x:v>CH-1141</x:v>
      </x:c>
      <x:c r="B1145" s="14" t="str">
        <x:v>SYS-18</x:v>
      </x:c>
      <x:c r="C1145" s="14" t="n">
        <x:v>53</x:v>
      </x:c>
      <x:c r="D1145" s="14" t="str">
        <x:v>Diversion</x:v>
      </x:c>
      <x:c r="E1145" s="14" t="str">
        <x:v>NOT COMMISSIONED</x:v>
      </x:c>
      <x:c r="F1145" s="14" t="str">
        <x:v>OPEN</x:v>
      </x:c>
    </x:row>
    <x:row r="1146">
      <x:c r="A1146" s="15" t="str">
        <x:v>CH-1142</x:v>
      </x:c>
      <x:c r="B1146" s="15" t="str">
        <x:v>SYS-18</x:v>
      </x:c>
      <x:c r="C1146" s="15" t="n">
        <x:v>54</x:v>
      </x:c>
      <x:c r="D1146" s="15" t="str">
        <x:v>Diversion</x:v>
      </x:c>
      <x:c r="E1146" s="15" t="str">
        <x:v>NOT COMMISSIONED</x:v>
      </x:c>
      <x:c r="F1146" s="15" t="str">
        <x:v>OPEN</x:v>
      </x:c>
    </x:row>
    <x:row r="1147">
      <x:c r="A1147" s="14" t="str">
        <x:v>CH-1143</x:v>
      </x:c>
      <x:c r="B1147" s="14" t="str">
        <x:v>SYS-18</x:v>
      </x:c>
      <x:c r="C1147" s="14" t="n">
        <x:v>55</x:v>
      </x:c>
      <x:c r="D1147" s="14" t="str">
        <x:v>Diversion</x:v>
      </x:c>
      <x:c r="E1147" s="14" t="str">
        <x:v>NOT COMMISSIONED</x:v>
      </x:c>
      <x:c r="F1147" s="14" t="str">
        <x:v>OPEN</x:v>
      </x:c>
    </x:row>
    <x:row r="1148">
      <x:c r="A1148" s="15" t="str">
        <x:v>CH-1144</x:v>
      </x:c>
      <x:c r="B1148" s="15" t="str">
        <x:v>SYS-18</x:v>
      </x:c>
      <x:c r="C1148" s="15" t="n">
        <x:v>56</x:v>
      </x:c>
      <x:c r="D1148" s="15" t="str">
        <x:v>Diversion</x:v>
      </x:c>
      <x:c r="E1148" s="15" t="str">
        <x:v>NOT COMMISSIONED</x:v>
      </x:c>
      <x:c r="F1148" s="15" t="str">
        <x:v>OPEN</x:v>
      </x:c>
    </x:row>
    <x:row r="1149">
      <x:c r="A1149" s="14" t="str">
        <x:v>CH-1145</x:v>
      </x:c>
      <x:c r="B1149" s="14" t="str">
        <x:v>SYS-18</x:v>
      </x:c>
      <x:c r="C1149" s="14" t="n">
        <x:v>57</x:v>
      </x:c>
      <x:c r="D1149" s="14" t="str">
        <x:v>Diversion</x:v>
      </x:c>
      <x:c r="E1149" s="14" t="str">
        <x:v>NOT COMMISSIONED</x:v>
      </x:c>
      <x:c r="F1149" s="14" t="str">
        <x:v>OPEN</x:v>
      </x:c>
    </x:row>
    <x:row r="1150">
      <x:c r="A1150" s="15" t="str">
        <x:v>CH-1146</x:v>
      </x:c>
      <x:c r="B1150" s="15" t="str">
        <x:v>SYS-18</x:v>
      </x:c>
      <x:c r="C1150" s="15" t="n">
        <x:v>58</x:v>
      </x:c>
      <x:c r="D1150" s="15" t="str">
        <x:v>Diversion</x:v>
      </x:c>
      <x:c r="E1150" s="15" t="str">
        <x:v>NOT COMMISSIONED</x:v>
      </x:c>
      <x:c r="F1150" s="15" t="str">
        <x:v>OPEN</x:v>
      </x:c>
    </x:row>
    <x:row r="1151">
      <x:c r="A1151" s="14" t="str">
        <x:v>CH-1147</x:v>
      </x:c>
      <x:c r="B1151" s="14" t="str">
        <x:v>SYS-18</x:v>
      </x:c>
      <x:c r="C1151" s="14" t="n">
        <x:v>59</x:v>
      </x:c>
      <x:c r="D1151" s="14" t="str">
        <x:v>Diversion</x:v>
      </x:c>
      <x:c r="E1151" s="14" t="str">
        <x:v>NOT COMMISSIONED</x:v>
      </x:c>
      <x:c r="F1151" s="14" t="str">
        <x:v>OPEN</x:v>
      </x:c>
    </x:row>
    <x:row r="1152">
      <x:c r="A1152" s="15" t="str">
        <x:v>CH-1148</x:v>
      </x:c>
      <x:c r="B1152" s="15" t="str">
        <x:v>SYS-18</x:v>
      </x:c>
      <x:c r="C1152" s="15" t="n">
        <x:v>60</x:v>
      </x:c>
      <x:c r="D1152" s="15" t="str">
        <x:v>Diversion</x:v>
      </x:c>
      <x:c r="E1152" s="15" t="str">
        <x:v>NOT COMMISSIONED</x:v>
      </x:c>
      <x:c r="F1152" s="15" t="str">
        <x:v>OPEN</x:v>
      </x:c>
    </x:row>
    <x:row r="1153">
      <x:c r="A1153" s="14" t="str">
        <x:v>CH-1149</x:v>
      </x:c>
      <x:c r="B1153" s="14" t="str">
        <x:v>SYS-18</x:v>
      </x:c>
      <x:c r="C1153" s="14" t="n">
        <x:v>61</x:v>
      </x:c>
      <x:c r="D1153" s="14" t="str">
        <x:v>Diversion</x:v>
      </x:c>
      <x:c r="E1153" s="14" t="str">
        <x:v>NOT COMMISSIONED</x:v>
      </x:c>
      <x:c r="F1153" s="14" t="str">
        <x:v>OPEN</x:v>
      </x:c>
    </x:row>
    <x:row r="1154">
      <x:c r="A1154" s="15" t="str">
        <x:v>CH-1150</x:v>
      </x:c>
      <x:c r="B1154" s="15" t="str">
        <x:v>SYS-18</x:v>
      </x:c>
      <x:c r="C1154" s="15" t="n">
        <x:v>62</x:v>
      </x:c>
      <x:c r="D1154" s="15" t="str">
        <x:v>Diversion</x:v>
      </x:c>
      <x:c r="E1154" s="15" t="str">
        <x:v>NOT COMMISSIONED</x:v>
      </x:c>
      <x:c r="F1154" s="15" t="str">
        <x:v>OPEN</x:v>
      </x:c>
    </x:row>
    <x:row r="1155">
      <x:c r="A1155" s="14" t="str">
        <x:v>CH-1151</x:v>
      </x:c>
      <x:c r="B1155" s="14" t="str">
        <x:v>SYS-18</x:v>
      </x:c>
      <x:c r="C1155" s="14" t="n">
        <x:v>63</x:v>
      </x:c>
      <x:c r="D1155" s="14" t="str">
        <x:v>Diversion</x:v>
      </x:c>
      <x:c r="E1155" s="14" t="str">
        <x:v>NOT COMMISSIONED</x:v>
      </x:c>
      <x:c r="F1155" s="14" t="str">
        <x:v>OPEN</x:v>
      </x:c>
    </x:row>
    <x:row r="1156">
      <x:c r="A1156" s="15" t="str">
        <x:v>CH-1152</x:v>
      </x:c>
      <x:c r="B1156" s="15" t="str">
        <x:v>SYS-18</x:v>
      </x:c>
      <x:c r="C1156" s="15" t="n">
        <x:v>64</x:v>
      </x:c>
      <x:c r="D1156" s="15" t="str">
        <x:v>Diversion</x:v>
      </x:c>
      <x:c r="E1156" s="15" t="str">
        <x:v>NOT COMMISSIONED</x:v>
      </x:c>
      <x:c r="F1156" s="15" t="str">
        <x:v>OPEN</x:v>
      </x:c>
    </x:row>
    <x:row r="1157">
      <x:c r="A1157" s="14" t="str">
        <x:v>CH-1153</x:v>
      </x:c>
      <x:c r="B1157" s="14" t="str">
        <x:v>SYS-19</x:v>
      </x:c>
      <x:c r="C1157" s="14" t="n">
        <x:v>1</x:v>
      </x:c>
      <x:c r="D1157" s="14" t="str">
        <x:v>Public action</x:v>
      </x:c>
      <x:c r="E1157" s="14" t="str">
        <x:v>NOT COMMISSIONED</x:v>
      </x:c>
      <x:c r="F1157" s="14" t="str">
        <x:v>OPEN</x:v>
      </x:c>
    </x:row>
    <x:row r="1158">
      <x:c r="A1158" s="15" t="str">
        <x:v>CH-1154</x:v>
      </x:c>
      <x:c r="B1158" s="15" t="str">
        <x:v>SYS-19</x:v>
      </x:c>
      <x:c r="C1158" s="15" t="n">
        <x:v>2</x:v>
      </x:c>
      <x:c r="D1158" s="15" t="str">
        <x:v>Public action</x:v>
      </x:c>
      <x:c r="E1158" s="15" t="str">
        <x:v>NOT COMMISSIONED</x:v>
      </x:c>
      <x:c r="F1158" s="15" t="str">
        <x:v>OPEN</x:v>
      </x:c>
    </x:row>
    <x:row r="1159">
      <x:c r="A1159" s="14" t="str">
        <x:v>CH-1155</x:v>
      </x:c>
      <x:c r="B1159" s="14" t="str">
        <x:v>SYS-19</x:v>
      </x:c>
      <x:c r="C1159" s="14" t="n">
        <x:v>3</x:v>
      </x:c>
      <x:c r="D1159" s="14" t="str">
        <x:v>Public action</x:v>
      </x:c>
      <x:c r="E1159" s="14" t="str">
        <x:v>NOT COMMISSIONED</x:v>
      </x:c>
      <x:c r="F1159" s="14" t="str">
        <x:v>OPEN</x:v>
      </x:c>
    </x:row>
    <x:row r="1160">
      <x:c r="A1160" s="15" t="str">
        <x:v>CH-1156</x:v>
      </x:c>
      <x:c r="B1160" s="15" t="str">
        <x:v>SYS-19</x:v>
      </x:c>
      <x:c r="C1160" s="15" t="n">
        <x:v>4</x:v>
      </x:c>
      <x:c r="D1160" s="15" t="str">
        <x:v>Public action</x:v>
      </x:c>
      <x:c r="E1160" s="15" t="str">
        <x:v>NOT COMMISSIONED</x:v>
      </x:c>
      <x:c r="F1160" s="15" t="str">
        <x:v>OPEN</x:v>
      </x:c>
    </x:row>
    <x:row r="1161">
      <x:c r="A1161" s="14" t="str">
        <x:v>CH-1157</x:v>
      </x:c>
      <x:c r="B1161" s="14" t="str">
        <x:v>SYS-19</x:v>
      </x:c>
      <x:c r="C1161" s="14" t="n">
        <x:v>5</x:v>
      </x:c>
      <x:c r="D1161" s="14" t="str">
        <x:v>Public action</x:v>
      </x:c>
      <x:c r="E1161" s="14" t="str">
        <x:v>NOT COMMISSIONED</x:v>
      </x:c>
      <x:c r="F1161" s="14" t="str">
        <x:v>OPEN</x:v>
      </x:c>
    </x:row>
    <x:row r="1162">
      <x:c r="A1162" s="15" t="str">
        <x:v>CH-1158</x:v>
      </x:c>
      <x:c r="B1162" s="15" t="str">
        <x:v>SYS-19</x:v>
      </x:c>
      <x:c r="C1162" s="15" t="n">
        <x:v>6</x:v>
      </x:c>
      <x:c r="D1162" s="15" t="str">
        <x:v>Public action</x:v>
      </x:c>
      <x:c r="E1162" s="15" t="str">
        <x:v>NOT COMMISSIONED</x:v>
      </x:c>
      <x:c r="F1162" s="15" t="str">
        <x:v>OPEN</x:v>
      </x:c>
    </x:row>
    <x:row r="1163">
      <x:c r="A1163" s="14" t="str">
        <x:v>CH-1159</x:v>
      </x:c>
      <x:c r="B1163" s="14" t="str">
        <x:v>SYS-19</x:v>
      </x:c>
      <x:c r="C1163" s="14" t="n">
        <x:v>7</x:v>
      </x:c>
      <x:c r="D1163" s="14" t="str">
        <x:v>Public action</x:v>
      </x:c>
      <x:c r="E1163" s="14" t="str">
        <x:v>NOT COMMISSIONED</x:v>
      </x:c>
      <x:c r="F1163" s="14" t="str">
        <x:v>OPEN</x:v>
      </x:c>
    </x:row>
    <x:row r="1164">
      <x:c r="A1164" s="15" t="str">
        <x:v>CH-1160</x:v>
      </x:c>
      <x:c r="B1164" s="15" t="str">
        <x:v>SYS-19</x:v>
      </x:c>
      <x:c r="C1164" s="15" t="n">
        <x:v>8</x:v>
      </x:c>
      <x:c r="D1164" s="15" t="str">
        <x:v>Public action</x:v>
      </x:c>
      <x:c r="E1164" s="15" t="str">
        <x:v>NOT COMMISSIONED</x:v>
      </x:c>
      <x:c r="F1164" s="15" t="str">
        <x:v>OPEN</x:v>
      </x:c>
    </x:row>
    <x:row r="1165">
      <x:c r="A1165" s="14" t="str">
        <x:v>CH-1161</x:v>
      </x:c>
      <x:c r="B1165" s="14" t="str">
        <x:v>SYS-19</x:v>
      </x:c>
      <x:c r="C1165" s="14" t="n">
        <x:v>9</x:v>
      </x:c>
      <x:c r="D1165" s="14" t="str">
        <x:v>Public action</x:v>
      </x:c>
      <x:c r="E1165" s="14" t="str">
        <x:v>NOT COMMISSIONED</x:v>
      </x:c>
      <x:c r="F1165" s="14" t="str">
        <x:v>OPEN</x:v>
      </x:c>
    </x:row>
    <x:row r="1166">
      <x:c r="A1166" s="15" t="str">
        <x:v>CH-1162</x:v>
      </x:c>
      <x:c r="B1166" s="15" t="str">
        <x:v>SYS-19</x:v>
      </x:c>
      <x:c r="C1166" s="15" t="n">
        <x:v>10</x:v>
      </x:c>
      <x:c r="D1166" s="15" t="str">
        <x:v>Public action</x:v>
      </x:c>
      <x:c r="E1166" s="15" t="str">
        <x:v>NOT COMMISSIONED</x:v>
      </x:c>
      <x:c r="F1166" s="15" t="str">
        <x:v>OPEN</x:v>
      </x:c>
    </x:row>
    <x:row r="1167">
      <x:c r="A1167" s="14" t="str">
        <x:v>CH-1163</x:v>
      </x:c>
      <x:c r="B1167" s="14" t="str">
        <x:v>SYS-19</x:v>
      </x:c>
      <x:c r="C1167" s="14" t="n">
        <x:v>11</x:v>
      </x:c>
      <x:c r="D1167" s="14" t="str">
        <x:v>Public action</x:v>
      </x:c>
      <x:c r="E1167" s="14" t="str">
        <x:v>NOT COMMISSIONED</x:v>
      </x:c>
      <x:c r="F1167" s="14" t="str">
        <x:v>OPEN</x:v>
      </x:c>
    </x:row>
    <x:row r="1168">
      <x:c r="A1168" s="15" t="str">
        <x:v>CH-1164</x:v>
      </x:c>
      <x:c r="B1168" s="15" t="str">
        <x:v>SYS-19</x:v>
      </x:c>
      <x:c r="C1168" s="15" t="n">
        <x:v>12</x:v>
      </x:c>
      <x:c r="D1168" s="15" t="str">
        <x:v>Public action</x:v>
      </x:c>
      <x:c r="E1168" s="15" t="str">
        <x:v>NOT COMMISSIONED</x:v>
      </x:c>
      <x:c r="F1168" s="15" t="str">
        <x:v>OPEN</x:v>
      </x:c>
    </x:row>
    <x:row r="1169">
      <x:c r="A1169" s="14" t="str">
        <x:v>CH-1165</x:v>
      </x:c>
      <x:c r="B1169" s="14" t="str">
        <x:v>SYS-19</x:v>
      </x:c>
      <x:c r="C1169" s="14" t="n">
        <x:v>13</x:v>
      </x:c>
      <x:c r="D1169" s="14" t="str">
        <x:v>Public action</x:v>
      </x:c>
      <x:c r="E1169" s="14" t="str">
        <x:v>NOT COMMISSIONED</x:v>
      </x:c>
      <x:c r="F1169" s="14" t="str">
        <x:v>OPEN</x:v>
      </x:c>
    </x:row>
    <x:row r="1170">
      <x:c r="A1170" s="15" t="str">
        <x:v>CH-1166</x:v>
      </x:c>
      <x:c r="B1170" s="15" t="str">
        <x:v>SYS-19</x:v>
      </x:c>
      <x:c r="C1170" s="15" t="n">
        <x:v>14</x:v>
      </x:c>
      <x:c r="D1170" s="15" t="str">
        <x:v>Public action</x:v>
      </x:c>
      <x:c r="E1170" s="15" t="str">
        <x:v>NOT COMMISSIONED</x:v>
      </x:c>
      <x:c r="F1170" s="15" t="str">
        <x:v>OPEN</x:v>
      </x:c>
    </x:row>
    <x:row r="1171">
      <x:c r="A1171" s="14" t="str">
        <x:v>CH-1167</x:v>
      </x:c>
      <x:c r="B1171" s="14" t="str">
        <x:v>SYS-19</x:v>
      </x:c>
      <x:c r="C1171" s="14" t="n">
        <x:v>15</x:v>
      </x:c>
      <x:c r="D1171" s="14" t="str">
        <x:v>Public action</x:v>
      </x:c>
      <x:c r="E1171" s="14" t="str">
        <x:v>NOT COMMISSIONED</x:v>
      </x:c>
      <x:c r="F1171" s="14" t="str">
        <x:v>OPEN</x:v>
      </x:c>
    </x:row>
    <x:row r="1172">
      <x:c r="A1172" s="15" t="str">
        <x:v>CH-1168</x:v>
      </x:c>
      <x:c r="B1172" s="15" t="str">
        <x:v>SYS-19</x:v>
      </x:c>
      <x:c r="C1172" s="15" t="n">
        <x:v>16</x:v>
      </x:c>
      <x:c r="D1172" s="15" t="str">
        <x:v>Public action</x:v>
      </x:c>
      <x:c r="E1172" s="15" t="str">
        <x:v>NOT COMMISSIONED</x:v>
      </x:c>
      <x:c r="F1172" s="15" t="str">
        <x:v>OPEN</x:v>
      </x:c>
    </x:row>
    <x:row r="1173">
      <x:c r="A1173" s="14" t="str">
        <x:v>CH-1169</x:v>
      </x:c>
      <x:c r="B1173" s="14" t="str">
        <x:v>SYS-19</x:v>
      </x:c>
      <x:c r="C1173" s="14" t="n">
        <x:v>17</x:v>
      </x:c>
      <x:c r="D1173" s="14" t="str">
        <x:v>Public action</x:v>
      </x:c>
      <x:c r="E1173" s="14" t="str">
        <x:v>NOT COMMISSIONED</x:v>
      </x:c>
      <x:c r="F1173" s="14" t="str">
        <x:v>OPEN</x:v>
      </x:c>
    </x:row>
    <x:row r="1174">
      <x:c r="A1174" s="15" t="str">
        <x:v>CH-1170</x:v>
      </x:c>
      <x:c r="B1174" s="15" t="str">
        <x:v>SYS-19</x:v>
      </x:c>
      <x:c r="C1174" s="15" t="n">
        <x:v>18</x:v>
      </x:c>
      <x:c r="D1174" s="15" t="str">
        <x:v>Public action</x:v>
      </x:c>
      <x:c r="E1174" s="15" t="str">
        <x:v>NOT COMMISSIONED</x:v>
      </x:c>
      <x:c r="F1174" s="15" t="str">
        <x:v>OPEN</x:v>
      </x:c>
    </x:row>
    <x:row r="1175">
      <x:c r="A1175" s="14" t="str">
        <x:v>CH-1171</x:v>
      </x:c>
      <x:c r="B1175" s="14" t="str">
        <x:v>SYS-19</x:v>
      </x:c>
      <x:c r="C1175" s="14" t="n">
        <x:v>19</x:v>
      </x:c>
      <x:c r="D1175" s="14" t="str">
        <x:v>Public action</x:v>
      </x:c>
      <x:c r="E1175" s="14" t="str">
        <x:v>NOT COMMISSIONED</x:v>
      </x:c>
      <x:c r="F1175" s="14" t="str">
        <x:v>OPEN</x:v>
      </x:c>
    </x:row>
    <x:row r="1176">
      <x:c r="A1176" s="15" t="str">
        <x:v>CH-1172</x:v>
      </x:c>
      <x:c r="B1176" s="15" t="str">
        <x:v>SYS-19</x:v>
      </x:c>
      <x:c r="C1176" s="15" t="n">
        <x:v>20</x:v>
      </x:c>
      <x:c r="D1176" s="15" t="str">
        <x:v>Public action</x:v>
      </x:c>
      <x:c r="E1176" s="15" t="str">
        <x:v>NOT COMMISSIONED</x:v>
      </x:c>
      <x:c r="F1176" s="15" t="str">
        <x:v>OPEN</x:v>
      </x:c>
    </x:row>
    <x:row r="1177">
      <x:c r="A1177" s="14" t="str">
        <x:v>CH-1173</x:v>
      </x:c>
      <x:c r="B1177" s="14" t="str">
        <x:v>SYS-19</x:v>
      </x:c>
      <x:c r="C1177" s="14" t="n">
        <x:v>21</x:v>
      </x:c>
      <x:c r="D1177" s="14" t="str">
        <x:v>Public action</x:v>
      </x:c>
      <x:c r="E1177" s="14" t="str">
        <x:v>NOT COMMISSIONED</x:v>
      </x:c>
      <x:c r="F1177" s="14" t="str">
        <x:v>OPEN</x:v>
      </x:c>
    </x:row>
    <x:row r="1178">
      <x:c r="A1178" s="15" t="str">
        <x:v>CH-1174</x:v>
      </x:c>
      <x:c r="B1178" s="15" t="str">
        <x:v>SYS-19</x:v>
      </x:c>
      <x:c r="C1178" s="15" t="n">
        <x:v>22</x:v>
      </x:c>
      <x:c r="D1178" s="15" t="str">
        <x:v>Public action</x:v>
      </x:c>
      <x:c r="E1178" s="15" t="str">
        <x:v>NOT COMMISSIONED</x:v>
      </x:c>
      <x:c r="F1178" s="15" t="str">
        <x:v>OPEN</x:v>
      </x:c>
    </x:row>
    <x:row r="1179">
      <x:c r="A1179" s="14" t="str">
        <x:v>CH-1175</x:v>
      </x:c>
      <x:c r="B1179" s="14" t="str">
        <x:v>SYS-19</x:v>
      </x:c>
      <x:c r="C1179" s="14" t="n">
        <x:v>23</x:v>
      </x:c>
      <x:c r="D1179" s="14" t="str">
        <x:v>Public action</x:v>
      </x:c>
      <x:c r="E1179" s="14" t="str">
        <x:v>NOT COMMISSIONED</x:v>
      </x:c>
      <x:c r="F1179" s="14" t="str">
        <x:v>OPEN</x:v>
      </x:c>
    </x:row>
    <x:row r="1180">
      <x:c r="A1180" s="15" t="str">
        <x:v>CH-1176</x:v>
      </x:c>
      <x:c r="B1180" s="15" t="str">
        <x:v>SYS-19</x:v>
      </x:c>
      <x:c r="C1180" s="15" t="n">
        <x:v>24</x:v>
      </x:c>
      <x:c r="D1180" s="15" t="str">
        <x:v>Public action</x:v>
      </x:c>
      <x:c r="E1180" s="15" t="str">
        <x:v>NOT COMMISSIONED</x:v>
      </x:c>
      <x:c r="F1180" s="15" t="str">
        <x:v>OPEN</x:v>
      </x:c>
    </x:row>
    <x:row r="1181">
      <x:c r="A1181" s="14" t="str">
        <x:v>CH-1177</x:v>
      </x:c>
      <x:c r="B1181" s="14" t="str">
        <x:v>SYS-19</x:v>
      </x:c>
      <x:c r="C1181" s="14" t="n">
        <x:v>25</x:v>
      </x:c>
      <x:c r="D1181" s="14" t="str">
        <x:v>Public action</x:v>
      </x:c>
      <x:c r="E1181" s="14" t="str">
        <x:v>NOT COMMISSIONED</x:v>
      </x:c>
      <x:c r="F1181" s="14" t="str">
        <x:v>OPEN</x:v>
      </x:c>
    </x:row>
    <x:row r="1182">
      <x:c r="A1182" s="15" t="str">
        <x:v>CH-1178</x:v>
      </x:c>
      <x:c r="B1182" s="15" t="str">
        <x:v>SYS-19</x:v>
      </x:c>
      <x:c r="C1182" s="15" t="n">
        <x:v>26</x:v>
      </x:c>
      <x:c r="D1182" s="15" t="str">
        <x:v>Public action</x:v>
      </x:c>
      <x:c r="E1182" s="15" t="str">
        <x:v>NOT COMMISSIONED</x:v>
      </x:c>
      <x:c r="F1182" s="15" t="str">
        <x:v>OPEN</x:v>
      </x:c>
    </x:row>
    <x:row r="1183">
      <x:c r="A1183" s="14" t="str">
        <x:v>CH-1179</x:v>
      </x:c>
      <x:c r="B1183" s="14" t="str">
        <x:v>SYS-19</x:v>
      </x:c>
      <x:c r="C1183" s="14" t="n">
        <x:v>27</x:v>
      </x:c>
      <x:c r="D1183" s="14" t="str">
        <x:v>Public action</x:v>
      </x:c>
      <x:c r="E1183" s="14" t="str">
        <x:v>NOT COMMISSIONED</x:v>
      </x:c>
      <x:c r="F1183" s="14" t="str">
        <x:v>OPEN</x:v>
      </x:c>
    </x:row>
    <x:row r="1184">
      <x:c r="A1184" s="15" t="str">
        <x:v>CH-1180</x:v>
      </x:c>
      <x:c r="B1184" s="15" t="str">
        <x:v>SYS-19</x:v>
      </x:c>
      <x:c r="C1184" s="15" t="n">
        <x:v>28</x:v>
      </x:c>
      <x:c r="D1184" s="15" t="str">
        <x:v>Public action</x:v>
      </x:c>
      <x:c r="E1184" s="15" t="str">
        <x:v>NOT COMMISSIONED</x:v>
      </x:c>
      <x:c r="F1184" s="15" t="str">
        <x:v>OPEN</x:v>
      </x:c>
    </x:row>
    <x:row r="1185">
      <x:c r="A1185" s="14" t="str">
        <x:v>CH-1181</x:v>
      </x:c>
      <x:c r="B1185" s="14" t="str">
        <x:v>SYS-19</x:v>
      </x:c>
      <x:c r="C1185" s="14" t="n">
        <x:v>29</x:v>
      </x:c>
      <x:c r="D1185" s="14" t="str">
        <x:v>Public action</x:v>
      </x:c>
      <x:c r="E1185" s="14" t="str">
        <x:v>NOT COMMISSIONED</x:v>
      </x:c>
      <x:c r="F1185" s="14" t="str">
        <x:v>OPEN</x:v>
      </x:c>
    </x:row>
    <x:row r="1186">
      <x:c r="A1186" s="15" t="str">
        <x:v>CH-1182</x:v>
      </x:c>
      <x:c r="B1186" s="15" t="str">
        <x:v>SYS-19</x:v>
      </x:c>
      <x:c r="C1186" s="15" t="n">
        <x:v>30</x:v>
      </x:c>
      <x:c r="D1186" s="15" t="str">
        <x:v>Public action</x:v>
      </x:c>
      <x:c r="E1186" s="15" t="str">
        <x:v>NOT COMMISSIONED</x:v>
      </x:c>
      <x:c r="F1186" s="15" t="str">
        <x:v>OPEN</x:v>
      </x:c>
    </x:row>
    <x:row r="1187">
      <x:c r="A1187" s="14" t="str">
        <x:v>CH-1183</x:v>
      </x:c>
      <x:c r="B1187" s="14" t="str">
        <x:v>SYS-19</x:v>
      </x:c>
      <x:c r="C1187" s="14" t="n">
        <x:v>31</x:v>
      </x:c>
      <x:c r="D1187" s="14" t="str">
        <x:v>Public action</x:v>
      </x:c>
      <x:c r="E1187" s="14" t="str">
        <x:v>NOT COMMISSIONED</x:v>
      </x:c>
      <x:c r="F1187" s="14" t="str">
        <x:v>OPEN</x:v>
      </x:c>
    </x:row>
    <x:row r="1188">
      <x:c r="A1188" s="15" t="str">
        <x:v>CH-1184</x:v>
      </x:c>
      <x:c r="B1188" s="15" t="str">
        <x:v>SYS-19</x:v>
      </x:c>
      <x:c r="C1188" s="15" t="n">
        <x:v>32</x:v>
      </x:c>
      <x:c r="D1188" s="15" t="str">
        <x:v>Public action</x:v>
      </x:c>
      <x:c r="E1188" s="15" t="str">
        <x:v>NOT COMMISSIONED</x:v>
      </x:c>
      <x:c r="F1188" s="15" t="str">
        <x:v>OPEN</x:v>
      </x:c>
    </x:row>
    <x:row r="1189">
      <x:c r="A1189" s="14" t="str">
        <x:v>CH-1185</x:v>
      </x:c>
      <x:c r="B1189" s="14" t="str">
        <x:v>SYS-19</x:v>
      </x:c>
      <x:c r="C1189" s="14" t="n">
        <x:v>33</x:v>
      </x:c>
      <x:c r="D1189" s="14" t="str">
        <x:v>Public action</x:v>
      </x:c>
      <x:c r="E1189" s="14" t="str">
        <x:v>NOT COMMISSIONED</x:v>
      </x:c>
      <x:c r="F1189" s="14" t="str">
        <x:v>OPEN</x:v>
      </x:c>
    </x:row>
    <x:row r="1190">
      <x:c r="A1190" s="15" t="str">
        <x:v>CH-1186</x:v>
      </x:c>
      <x:c r="B1190" s="15" t="str">
        <x:v>SYS-19</x:v>
      </x:c>
      <x:c r="C1190" s="15" t="n">
        <x:v>34</x:v>
      </x:c>
      <x:c r="D1190" s="15" t="str">
        <x:v>Public action</x:v>
      </x:c>
      <x:c r="E1190" s="15" t="str">
        <x:v>NOT COMMISSIONED</x:v>
      </x:c>
      <x:c r="F1190" s="15" t="str">
        <x:v>OPEN</x:v>
      </x:c>
    </x:row>
    <x:row r="1191">
      <x:c r="A1191" s="14" t="str">
        <x:v>CH-1187</x:v>
      </x:c>
      <x:c r="B1191" s="14" t="str">
        <x:v>SYS-19</x:v>
      </x:c>
      <x:c r="C1191" s="14" t="n">
        <x:v>35</x:v>
      </x:c>
      <x:c r="D1191" s="14" t="str">
        <x:v>Public action</x:v>
      </x:c>
      <x:c r="E1191" s="14" t="str">
        <x:v>NOT COMMISSIONED</x:v>
      </x:c>
      <x:c r="F1191" s="14" t="str">
        <x:v>OPEN</x:v>
      </x:c>
    </x:row>
    <x:row r="1192">
      <x:c r="A1192" s="15" t="str">
        <x:v>CH-1188</x:v>
      </x:c>
      <x:c r="B1192" s="15" t="str">
        <x:v>SYS-19</x:v>
      </x:c>
      <x:c r="C1192" s="15" t="n">
        <x:v>36</x:v>
      </x:c>
      <x:c r="D1192" s="15" t="str">
        <x:v>Public action</x:v>
      </x:c>
      <x:c r="E1192" s="15" t="str">
        <x:v>NOT COMMISSIONED</x:v>
      </x:c>
      <x:c r="F1192" s="15" t="str">
        <x:v>OPEN</x:v>
      </x:c>
    </x:row>
    <x:row r="1193">
      <x:c r="A1193" s="14" t="str">
        <x:v>CH-1189</x:v>
      </x:c>
      <x:c r="B1193" s="14" t="str">
        <x:v>SYS-19</x:v>
      </x:c>
      <x:c r="C1193" s="14" t="n">
        <x:v>37</x:v>
      </x:c>
      <x:c r="D1193" s="14" t="str">
        <x:v>Public action</x:v>
      </x:c>
      <x:c r="E1193" s="14" t="str">
        <x:v>NOT COMMISSIONED</x:v>
      </x:c>
      <x:c r="F1193" s="14" t="str">
        <x:v>OPEN</x:v>
      </x:c>
    </x:row>
    <x:row r="1194">
      <x:c r="A1194" s="15" t="str">
        <x:v>CH-1190</x:v>
      </x:c>
      <x:c r="B1194" s="15" t="str">
        <x:v>SYS-19</x:v>
      </x:c>
      <x:c r="C1194" s="15" t="n">
        <x:v>38</x:v>
      </x:c>
      <x:c r="D1194" s="15" t="str">
        <x:v>Public action</x:v>
      </x:c>
      <x:c r="E1194" s="15" t="str">
        <x:v>NOT COMMISSIONED</x:v>
      </x:c>
      <x:c r="F1194" s="15" t="str">
        <x:v>OPEN</x:v>
      </x:c>
    </x:row>
    <x:row r="1195">
      <x:c r="A1195" s="14" t="str">
        <x:v>CH-1191</x:v>
      </x:c>
      <x:c r="B1195" s="14" t="str">
        <x:v>SYS-19</x:v>
      </x:c>
      <x:c r="C1195" s="14" t="n">
        <x:v>39</x:v>
      </x:c>
      <x:c r="D1195" s="14" t="str">
        <x:v>Public action</x:v>
      </x:c>
      <x:c r="E1195" s="14" t="str">
        <x:v>NOT COMMISSIONED</x:v>
      </x:c>
      <x:c r="F1195" s="14" t="str">
        <x:v>OPEN</x:v>
      </x:c>
    </x:row>
    <x:row r="1196">
      <x:c r="A1196" s="15" t="str">
        <x:v>CH-1192</x:v>
      </x:c>
      <x:c r="B1196" s="15" t="str">
        <x:v>SYS-19</x:v>
      </x:c>
      <x:c r="C1196" s="15" t="n">
        <x:v>40</x:v>
      </x:c>
      <x:c r="D1196" s="15" t="str">
        <x:v>Public action</x:v>
      </x:c>
      <x:c r="E1196" s="15" t="str">
        <x:v>NOT COMMISSIONED</x:v>
      </x:c>
      <x:c r="F1196" s="15" t="str">
        <x:v>OPEN</x:v>
      </x:c>
    </x:row>
    <x:row r="1197">
      <x:c r="A1197" s="14" t="str">
        <x:v>CH-1193</x:v>
      </x:c>
      <x:c r="B1197" s="14" t="str">
        <x:v>SYS-19</x:v>
      </x:c>
      <x:c r="C1197" s="14" t="n">
        <x:v>41</x:v>
      </x:c>
      <x:c r="D1197" s="14" t="str">
        <x:v>Public action</x:v>
      </x:c>
      <x:c r="E1197" s="14" t="str">
        <x:v>NOT COMMISSIONED</x:v>
      </x:c>
      <x:c r="F1197" s="14" t="str">
        <x:v>OPEN</x:v>
      </x:c>
    </x:row>
    <x:row r="1198">
      <x:c r="A1198" s="15" t="str">
        <x:v>CH-1194</x:v>
      </x:c>
      <x:c r="B1198" s="15" t="str">
        <x:v>SYS-19</x:v>
      </x:c>
      <x:c r="C1198" s="15" t="n">
        <x:v>42</x:v>
      </x:c>
      <x:c r="D1198" s="15" t="str">
        <x:v>Public action</x:v>
      </x:c>
      <x:c r="E1198" s="15" t="str">
        <x:v>NOT COMMISSIONED</x:v>
      </x:c>
      <x:c r="F1198" s="15" t="str">
        <x:v>OPEN</x:v>
      </x:c>
    </x:row>
    <x:row r="1199">
      <x:c r="A1199" s="14" t="str">
        <x:v>CH-1195</x:v>
      </x:c>
      <x:c r="B1199" s="14" t="str">
        <x:v>SYS-19</x:v>
      </x:c>
      <x:c r="C1199" s="14" t="n">
        <x:v>43</x:v>
      </x:c>
      <x:c r="D1199" s="14" t="str">
        <x:v>Public action</x:v>
      </x:c>
      <x:c r="E1199" s="14" t="str">
        <x:v>NOT COMMISSIONED</x:v>
      </x:c>
      <x:c r="F1199" s="14" t="str">
        <x:v>OPEN</x:v>
      </x:c>
    </x:row>
    <x:row r="1200">
      <x:c r="A1200" s="15" t="str">
        <x:v>CH-1196</x:v>
      </x:c>
      <x:c r="B1200" s="15" t="str">
        <x:v>SYS-19</x:v>
      </x:c>
      <x:c r="C1200" s="15" t="n">
        <x:v>44</x:v>
      </x:c>
      <x:c r="D1200" s="15" t="str">
        <x:v>Public action</x:v>
      </x:c>
      <x:c r="E1200" s="15" t="str">
        <x:v>NOT COMMISSIONED</x:v>
      </x:c>
      <x:c r="F1200" s="15" t="str">
        <x:v>OPEN</x:v>
      </x:c>
    </x:row>
    <x:row r="1201">
      <x:c r="A1201" s="14" t="str">
        <x:v>CH-1197</x:v>
      </x:c>
      <x:c r="B1201" s="14" t="str">
        <x:v>SYS-19</x:v>
      </x:c>
      <x:c r="C1201" s="14" t="n">
        <x:v>45</x:v>
      </x:c>
      <x:c r="D1201" s="14" t="str">
        <x:v>Public action</x:v>
      </x:c>
      <x:c r="E1201" s="14" t="str">
        <x:v>NOT COMMISSIONED</x:v>
      </x:c>
      <x:c r="F1201" s="14" t="str">
        <x:v>OPEN</x:v>
      </x:c>
    </x:row>
    <x:row r="1202">
      <x:c r="A1202" s="15" t="str">
        <x:v>CH-1198</x:v>
      </x:c>
      <x:c r="B1202" s="15" t="str">
        <x:v>SYS-19</x:v>
      </x:c>
      <x:c r="C1202" s="15" t="n">
        <x:v>46</x:v>
      </x:c>
      <x:c r="D1202" s="15" t="str">
        <x:v>Public action</x:v>
      </x:c>
      <x:c r="E1202" s="15" t="str">
        <x:v>NOT COMMISSIONED</x:v>
      </x:c>
      <x:c r="F1202" s="15" t="str">
        <x:v>OPEN</x:v>
      </x:c>
    </x:row>
    <x:row r="1203">
      <x:c r="A1203" s="14" t="str">
        <x:v>CH-1199</x:v>
      </x:c>
      <x:c r="B1203" s="14" t="str">
        <x:v>SYS-19</x:v>
      </x:c>
      <x:c r="C1203" s="14" t="n">
        <x:v>47</x:v>
      </x:c>
      <x:c r="D1203" s="14" t="str">
        <x:v>Public action</x:v>
      </x:c>
      <x:c r="E1203" s="14" t="str">
        <x:v>NOT COMMISSIONED</x:v>
      </x:c>
      <x:c r="F1203" s="14" t="str">
        <x:v>OPEN</x:v>
      </x:c>
    </x:row>
    <x:row r="1204">
      <x:c r="A1204" s="15" t="str">
        <x:v>CH-1200</x:v>
      </x:c>
      <x:c r="B1204" s="15" t="str">
        <x:v>SYS-19</x:v>
      </x:c>
      <x:c r="C1204" s="15" t="n">
        <x:v>48</x:v>
      </x:c>
      <x:c r="D1204" s="15" t="str">
        <x:v>Public action</x:v>
      </x:c>
      <x:c r="E1204" s="15" t="str">
        <x:v>NOT COMMISSIONED</x:v>
      </x:c>
      <x:c r="F1204" s="15" t="str">
        <x:v>OPEN</x:v>
      </x:c>
    </x:row>
    <x:row r="1205">
      <x:c r="A1205" s="14" t="str">
        <x:v>CH-1201</x:v>
      </x:c>
      <x:c r="B1205" s="14" t="str">
        <x:v>SYS-19</x:v>
      </x:c>
      <x:c r="C1205" s="14" t="n">
        <x:v>49</x:v>
      </x:c>
      <x:c r="D1205" s="14" t="str">
        <x:v>Public action</x:v>
      </x:c>
      <x:c r="E1205" s="14" t="str">
        <x:v>NOT COMMISSIONED</x:v>
      </x:c>
      <x:c r="F1205" s="14" t="str">
        <x:v>OPEN</x:v>
      </x:c>
    </x:row>
    <x:row r="1206">
      <x:c r="A1206" s="15" t="str">
        <x:v>CH-1202</x:v>
      </x:c>
      <x:c r="B1206" s="15" t="str">
        <x:v>SYS-19</x:v>
      </x:c>
      <x:c r="C1206" s="15" t="n">
        <x:v>50</x:v>
      </x:c>
      <x:c r="D1206" s="15" t="str">
        <x:v>Public action</x:v>
      </x:c>
      <x:c r="E1206" s="15" t="str">
        <x:v>NOT COMMISSIONED</x:v>
      </x:c>
      <x:c r="F1206" s="15" t="str">
        <x:v>OPEN</x:v>
      </x:c>
    </x:row>
    <x:row r="1207">
      <x:c r="A1207" s="14" t="str">
        <x:v>CH-1203</x:v>
      </x:c>
      <x:c r="B1207" s="14" t="str">
        <x:v>SYS-19</x:v>
      </x:c>
      <x:c r="C1207" s="14" t="n">
        <x:v>51</x:v>
      </x:c>
      <x:c r="D1207" s="14" t="str">
        <x:v>Public action</x:v>
      </x:c>
      <x:c r="E1207" s="14" t="str">
        <x:v>NOT COMMISSIONED</x:v>
      </x:c>
      <x:c r="F1207" s="14" t="str">
        <x:v>OPEN</x:v>
      </x:c>
    </x:row>
    <x:row r="1208">
      <x:c r="A1208" s="15" t="str">
        <x:v>CH-1204</x:v>
      </x:c>
      <x:c r="B1208" s="15" t="str">
        <x:v>SYS-19</x:v>
      </x:c>
      <x:c r="C1208" s="15" t="n">
        <x:v>52</x:v>
      </x:c>
      <x:c r="D1208" s="15" t="str">
        <x:v>Public action</x:v>
      </x:c>
      <x:c r="E1208" s="15" t="str">
        <x:v>NOT COMMISSIONED</x:v>
      </x:c>
      <x:c r="F1208" s="15" t="str">
        <x:v>OPEN</x:v>
      </x:c>
    </x:row>
    <x:row r="1209">
      <x:c r="A1209" s="14" t="str">
        <x:v>CH-1205</x:v>
      </x:c>
      <x:c r="B1209" s="14" t="str">
        <x:v>SYS-19</x:v>
      </x:c>
      <x:c r="C1209" s="14" t="n">
        <x:v>53</x:v>
      </x:c>
      <x:c r="D1209" s="14" t="str">
        <x:v>Public action</x:v>
      </x:c>
      <x:c r="E1209" s="14" t="str">
        <x:v>NOT COMMISSIONED</x:v>
      </x:c>
      <x:c r="F1209" s="14" t="str">
        <x:v>OPEN</x:v>
      </x:c>
    </x:row>
    <x:row r="1210">
      <x:c r="A1210" s="15" t="str">
        <x:v>CH-1206</x:v>
      </x:c>
      <x:c r="B1210" s="15" t="str">
        <x:v>SYS-19</x:v>
      </x:c>
      <x:c r="C1210" s="15" t="n">
        <x:v>54</x:v>
      </x:c>
      <x:c r="D1210" s="15" t="str">
        <x:v>Public action</x:v>
      </x:c>
      <x:c r="E1210" s="15" t="str">
        <x:v>NOT COMMISSIONED</x:v>
      </x:c>
      <x:c r="F1210" s="15" t="str">
        <x:v>OPEN</x:v>
      </x:c>
    </x:row>
    <x:row r="1211">
      <x:c r="A1211" s="14" t="str">
        <x:v>CH-1207</x:v>
      </x:c>
      <x:c r="B1211" s="14" t="str">
        <x:v>SYS-19</x:v>
      </x:c>
      <x:c r="C1211" s="14" t="n">
        <x:v>55</x:v>
      </x:c>
      <x:c r="D1211" s="14" t="str">
        <x:v>Public action</x:v>
      </x:c>
      <x:c r="E1211" s="14" t="str">
        <x:v>NOT COMMISSIONED</x:v>
      </x:c>
      <x:c r="F1211" s="14" t="str">
        <x:v>OPEN</x:v>
      </x:c>
    </x:row>
    <x:row r="1212">
      <x:c r="A1212" s="15" t="str">
        <x:v>CH-1208</x:v>
      </x:c>
      <x:c r="B1212" s="15" t="str">
        <x:v>SYS-19</x:v>
      </x:c>
      <x:c r="C1212" s="15" t="n">
        <x:v>56</x:v>
      </x:c>
      <x:c r="D1212" s="15" t="str">
        <x:v>Public action</x:v>
      </x:c>
      <x:c r="E1212" s="15" t="str">
        <x:v>NOT COMMISSIONED</x:v>
      </x:c>
      <x:c r="F1212" s="15" t="str">
        <x:v>OPEN</x:v>
      </x:c>
    </x:row>
    <x:row r="1213">
      <x:c r="A1213" s="14" t="str">
        <x:v>CH-1209</x:v>
      </x:c>
      <x:c r="B1213" s="14" t="str">
        <x:v>SYS-19</x:v>
      </x:c>
      <x:c r="C1213" s="14" t="n">
        <x:v>57</x:v>
      </x:c>
      <x:c r="D1213" s="14" t="str">
        <x:v>Public action</x:v>
      </x:c>
      <x:c r="E1213" s="14" t="str">
        <x:v>NOT COMMISSIONED</x:v>
      </x:c>
      <x:c r="F1213" s="14" t="str">
        <x:v>OPEN</x:v>
      </x:c>
    </x:row>
    <x:row r="1214">
      <x:c r="A1214" s="15" t="str">
        <x:v>CH-1210</x:v>
      </x:c>
      <x:c r="B1214" s="15" t="str">
        <x:v>SYS-19</x:v>
      </x:c>
      <x:c r="C1214" s="15" t="n">
        <x:v>58</x:v>
      </x:c>
      <x:c r="D1214" s="15" t="str">
        <x:v>Public action</x:v>
      </x:c>
      <x:c r="E1214" s="15" t="str">
        <x:v>NOT COMMISSIONED</x:v>
      </x:c>
      <x:c r="F1214" s="15" t="str">
        <x:v>OPEN</x:v>
      </x:c>
    </x:row>
    <x:row r="1215">
      <x:c r="A1215" s="14" t="str">
        <x:v>CH-1211</x:v>
      </x:c>
      <x:c r="B1215" s="14" t="str">
        <x:v>SYS-19</x:v>
      </x:c>
      <x:c r="C1215" s="14" t="n">
        <x:v>59</x:v>
      </x:c>
      <x:c r="D1215" s="14" t="str">
        <x:v>Public action</x:v>
      </x:c>
      <x:c r="E1215" s="14" t="str">
        <x:v>NOT COMMISSIONED</x:v>
      </x:c>
      <x:c r="F1215" s="14" t="str">
        <x:v>OPEN</x:v>
      </x:c>
    </x:row>
    <x:row r="1216">
      <x:c r="A1216" s="15" t="str">
        <x:v>CH-1212</x:v>
      </x:c>
      <x:c r="B1216" s="15" t="str">
        <x:v>SYS-19</x:v>
      </x:c>
      <x:c r="C1216" s="15" t="n">
        <x:v>60</x:v>
      </x:c>
      <x:c r="D1216" s="15" t="str">
        <x:v>Public action</x:v>
      </x:c>
      <x:c r="E1216" s="15" t="str">
        <x:v>NOT COMMISSIONED</x:v>
      </x:c>
      <x:c r="F1216" s="15" t="str">
        <x:v>OPEN</x:v>
      </x:c>
    </x:row>
    <x:row r="1217">
      <x:c r="A1217" s="14" t="str">
        <x:v>CH-1213</x:v>
      </x:c>
      <x:c r="B1217" s="14" t="str">
        <x:v>SYS-19</x:v>
      </x:c>
      <x:c r="C1217" s="14" t="n">
        <x:v>61</x:v>
      </x:c>
      <x:c r="D1217" s="14" t="str">
        <x:v>Public action</x:v>
      </x:c>
      <x:c r="E1217" s="14" t="str">
        <x:v>NOT COMMISSIONED</x:v>
      </x:c>
      <x:c r="F1217" s="14" t="str">
        <x:v>OPEN</x:v>
      </x:c>
    </x:row>
    <x:row r="1218">
      <x:c r="A1218" s="15" t="str">
        <x:v>CH-1214</x:v>
      </x:c>
      <x:c r="B1218" s="15" t="str">
        <x:v>SYS-19</x:v>
      </x:c>
      <x:c r="C1218" s="15" t="n">
        <x:v>62</x:v>
      </x:c>
      <x:c r="D1218" s="15" t="str">
        <x:v>Public action</x:v>
      </x:c>
      <x:c r="E1218" s="15" t="str">
        <x:v>NOT COMMISSIONED</x:v>
      </x:c>
      <x:c r="F1218" s="15" t="str">
        <x:v>OPEN</x:v>
      </x:c>
    </x:row>
    <x:row r="1219">
      <x:c r="A1219" s="14" t="str">
        <x:v>CH-1215</x:v>
      </x:c>
      <x:c r="B1219" s="14" t="str">
        <x:v>SYS-19</x:v>
      </x:c>
      <x:c r="C1219" s="14" t="n">
        <x:v>63</x:v>
      </x:c>
      <x:c r="D1219" s="14" t="str">
        <x:v>Public action</x:v>
      </x:c>
      <x:c r="E1219" s="14" t="str">
        <x:v>NOT COMMISSIONED</x:v>
      </x:c>
      <x:c r="F1219" s="14" t="str">
        <x:v>OPEN</x:v>
      </x:c>
    </x:row>
    <x:row r="1220">
      <x:c r="A1220" s="15" t="str">
        <x:v>CH-1216</x:v>
      </x:c>
      <x:c r="B1220" s="15" t="str">
        <x:v>SYS-19</x:v>
      </x:c>
      <x:c r="C1220" s="15" t="n">
        <x:v>64</x:v>
      </x:c>
      <x:c r="D1220" s="15" t="str">
        <x:v>Public action</x:v>
      </x:c>
      <x:c r="E1220" s="15" t="str">
        <x:v>NOT COMMISSIONED</x:v>
      </x:c>
      <x:c r="F1220" s="15" t="str">
        <x:v>OPEN</x:v>
      </x:c>
    </x:row>
    <x:row r="1221">
      <x:c r="A1221" s="14" t="str">
        <x:v>CH-1217</x:v>
      </x:c>
      <x:c r="B1221" s="14" t="str">
        <x:v>SYS-20</x:v>
      </x:c>
      <x:c r="C1221" s="14" t="n">
        <x:v>1</x:v>
      </x:c>
      <x:c r="D1221" s="14" t="str">
        <x:v>Evidence</x:v>
      </x:c>
      <x:c r="E1221" s="14" t="str">
        <x:v>NOT COMMISSIONED</x:v>
      </x:c>
      <x:c r="F1221" s="14" t="str">
        <x:v>OPEN</x:v>
      </x:c>
    </x:row>
    <x:row r="1222">
      <x:c r="A1222" s="15" t="str">
        <x:v>CH-1218</x:v>
      </x:c>
      <x:c r="B1222" s="15" t="str">
        <x:v>SYS-20</x:v>
      </x:c>
      <x:c r="C1222" s="15" t="n">
        <x:v>2</x:v>
      </x:c>
      <x:c r="D1222" s="15" t="str">
        <x:v>Evidence</x:v>
      </x:c>
      <x:c r="E1222" s="15" t="str">
        <x:v>NOT COMMISSIONED</x:v>
      </x:c>
      <x:c r="F1222" s="15" t="str">
        <x:v>OPEN</x:v>
      </x:c>
    </x:row>
    <x:row r="1223">
      <x:c r="A1223" s="14" t="str">
        <x:v>CH-1219</x:v>
      </x:c>
      <x:c r="B1223" s="14" t="str">
        <x:v>SYS-20</x:v>
      </x:c>
      <x:c r="C1223" s="14" t="n">
        <x:v>3</x:v>
      </x:c>
      <x:c r="D1223" s="14" t="str">
        <x:v>Evidence</x:v>
      </x:c>
      <x:c r="E1223" s="14" t="str">
        <x:v>NOT COMMISSIONED</x:v>
      </x:c>
      <x:c r="F1223" s="14" t="str">
        <x:v>OPEN</x:v>
      </x:c>
    </x:row>
    <x:row r="1224">
      <x:c r="A1224" s="15" t="str">
        <x:v>CH-1220</x:v>
      </x:c>
      <x:c r="B1224" s="15" t="str">
        <x:v>SYS-20</x:v>
      </x:c>
      <x:c r="C1224" s="15" t="n">
        <x:v>4</x:v>
      </x:c>
      <x:c r="D1224" s="15" t="str">
        <x:v>Evidence</x:v>
      </x:c>
      <x:c r="E1224" s="15" t="str">
        <x:v>NOT COMMISSIONED</x:v>
      </x:c>
      <x:c r="F1224" s="15" t="str">
        <x:v>OPEN</x:v>
      </x:c>
    </x:row>
    <x:row r="1225">
      <x:c r="A1225" s="14" t="str">
        <x:v>CH-1221</x:v>
      </x:c>
      <x:c r="B1225" s="14" t="str">
        <x:v>SYS-20</x:v>
      </x:c>
      <x:c r="C1225" s="14" t="n">
        <x:v>5</x:v>
      </x:c>
      <x:c r="D1225" s="14" t="str">
        <x:v>Evidence</x:v>
      </x:c>
      <x:c r="E1225" s="14" t="str">
        <x:v>NOT COMMISSIONED</x:v>
      </x:c>
      <x:c r="F1225" s="14" t="str">
        <x:v>OPEN</x:v>
      </x:c>
    </x:row>
    <x:row r="1226">
      <x:c r="A1226" s="15" t="str">
        <x:v>CH-1222</x:v>
      </x:c>
      <x:c r="B1226" s="15" t="str">
        <x:v>SYS-20</x:v>
      </x:c>
      <x:c r="C1226" s="15" t="n">
        <x:v>6</x:v>
      </x:c>
      <x:c r="D1226" s="15" t="str">
        <x:v>Evidence</x:v>
      </x:c>
      <x:c r="E1226" s="15" t="str">
        <x:v>NOT COMMISSIONED</x:v>
      </x:c>
      <x:c r="F1226" s="15" t="str">
        <x:v>OPEN</x:v>
      </x:c>
    </x:row>
    <x:row r="1227">
      <x:c r="A1227" s="14" t="str">
        <x:v>CH-1223</x:v>
      </x:c>
      <x:c r="B1227" s="14" t="str">
        <x:v>SYS-20</x:v>
      </x:c>
      <x:c r="C1227" s="14" t="n">
        <x:v>7</x:v>
      </x:c>
      <x:c r="D1227" s="14" t="str">
        <x:v>Evidence</x:v>
      </x:c>
      <x:c r="E1227" s="14" t="str">
        <x:v>NOT COMMISSIONED</x:v>
      </x:c>
      <x:c r="F1227" s="14" t="str">
        <x:v>OPEN</x:v>
      </x:c>
    </x:row>
    <x:row r="1228">
      <x:c r="A1228" s="15" t="str">
        <x:v>CH-1224</x:v>
      </x:c>
      <x:c r="B1228" s="15" t="str">
        <x:v>SYS-20</x:v>
      </x:c>
      <x:c r="C1228" s="15" t="n">
        <x:v>8</x:v>
      </x:c>
      <x:c r="D1228" s="15" t="str">
        <x:v>Evidence</x:v>
      </x:c>
      <x:c r="E1228" s="15" t="str">
        <x:v>NOT COMMISSIONED</x:v>
      </x:c>
      <x:c r="F1228" s="15" t="str">
        <x:v>OPEN</x:v>
      </x:c>
    </x:row>
    <x:row r="1229">
      <x:c r="A1229" s="14" t="str">
        <x:v>CH-1225</x:v>
      </x:c>
      <x:c r="B1229" s="14" t="str">
        <x:v>SYS-20</x:v>
      </x:c>
      <x:c r="C1229" s="14" t="n">
        <x:v>9</x:v>
      </x:c>
      <x:c r="D1229" s="14" t="str">
        <x:v>Evidence</x:v>
      </x:c>
      <x:c r="E1229" s="14" t="str">
        <x:v>NOT COMMISSIONED</x:v>
      </x:c>
      <x:c r="F1229" s="14" t="str">
        <x:v>OPEN</x:v>
      </x:c>
    </x:row>
    <x:row r="1230">
      <x:c r="A1230" s="15" t="str">
        <x:v>CH-1226</x:v>
      </x:c>
      <x:c r="B1230" s="15" t="str">
        <x:v>SYS-20</x:v>
      </x:c>
      <x:c r="C1230" s="15" t="n">
        <x:v>10</x:v>
      </x:c>
      <x:c r="D1230" s="15" t="str">
        <x:v>Evidence</x:v>
      </x:c>
      <x:c r="E1230" s="15" t="str">
        <x:v>NOT COMMISSIONED</x:v>
      </x:c>
      <x:c r="F1230" s="15" t="str">
        <x:v>OPEN</x:v>
      </x:c>
    </x:row>
    <x:row r="1231">
      <x:c r="A1231" s="14" t="str">
        <x:v>CH-1227</x:v>
      </x:c>
      <x:c r="B1231" s="14" t="str">
        <x:v>SYS-20</x:v>
      </x:c>
      <x:c r="C1231" s="14" t="n">
        <x:v>11</x:v>
      </x:c>
      <x:c r="D1231" s="14" t="str">
        <x:v>Evidence</x:v>
      </x:c>
      <x:c r="E1231" s="14" t="str">
        <x:v>NOT COMMISSIONED</x:v>
      </x:c>
      <x:c r="F1231" s="14" t="str">
        <x:v>OPEN</x:v>
      </x:c>
    </x:row>
    <x:row r="1232">
      <x:c r="A1232" s="15" t="str">
        <x:v>CH-1228</x:v>
      </x:c>
      <x:c r="B1232" s="15" t="str">
        <x:v>SYS-20</x:v>
      </x:c>
      <x:c r="C1232" s="15" t="n">
        <x:v>12</x:v>
      </x:c>
      <x:c r="D1232" s="15" t="str">
        <x:v>Evidence</x:v>
      </x:c>
      <x:c r="E1232" s="15" t="str">
        <x:v>NOT COMMISSIONED</x:v>
      </x:c>
      <x:c r="F1232" s="15" t="str">
        <x:v>OPEN</x:v>
      </x:c>
    </x:row>
    <x:row r="1233">
      <x:c r="A1233" s="14" t="str">
        <x:v>CH-1229</x:v>
      </x:c>
      <x:c r="B1233" s="14" t="str">
        <x:v>SYS-20</x:v>
      </x:c>
      <x:c r="C1233" s="14" t="n">
        <x:v>13</x:v>
      </x:c>
      <x:c r="D1233" s="14" t="str">
        <x:v>Evidence</x:v>
      </x:c>
      <x:c r="E1233" s="14" t="str">
        <x:v>NOT COMMISSIONED</x:v>
      </x:c>
      <x:c r="F1233" s="14" t="str">
        <x:v>OPEN</x:v>
      </x:c>
    </x:row>
    <x:row r="1234">
      <x:c r="A1234" s="15" t="str">
        <x:v>CH-1230</x:v>
      </x:c>
      <x:c r="B1234" s="15" t="str">
        <x:v>SYS-20</x:v>
      </x:c>
      <x:c r="C1234" s="15" t="n">
        <x:v>14</x:v>
      </x:c>
      <x:c r="D1234" s="15" t="str">
        <x:v>Evidence</x:v>
      </x:c>
      <x:c r="E1234" s="15" t="str">
        <x:v>NOT COMMISSIONED</x:v>
      </x:c>
      <x:c r="F1234" s="15" t="str">
        <x:v>OPEN</x:v>
      </x:c>
    </x:row>
    <x:row r="1235">
      <x:c r="A1235" s="14" t="str">
        <x:v>CH-1231</x:v>
      </x:c>
      <x:c r="B1235" s="14" t="str">
        <x:v>SYS-20</x:v>
      </x:c>
      <x:c r="C1235" s="14" t="n">
        <x:v>15</x:v>
      </x:c>
      <x:c r="D1235" s="14" t="str">
        <x:v>Evidence</x:v>
      </x:c>
      <x:c r="E1235" s="14" t="str">
        <x:v>NOT COMMISSIONED</x:v>
      </x:c>
      <x:c r="F1235" s="14" t="str">
        <x:v>OPEN</x:v>
      </x:c>
    </x:row>
    <x:row r="1236">
      <x:c r="A1236" s="15" t="str">
        <x:v>CH-1232</x:v>
      </x:c>
      <x:c r="B1236" s="15" t="str">
        <x:v>SYS-20</x:v>
      </x:c>
      <x:c r="C1236" s="15" t="n">
        <x:v>16</x:v>
      </x:c>
      <x:c r="D1236" s="15" t="str">
        <x:v>Evidence</x:v>
      </x:c>
      <x:c r="E1236" s="15" t="str">
        <x:v>NOT COMMISSIONED</x:v>
      </x:c>
      <x:c r="F1236" s="15" t="str">
        <x:v>OPEN</x:v>
      </x:c>
    </x:row>
    <x:row r="1237">
      <x:c r="A1237" s="14" t="str">
        <x:v>CH-1233</x:v>
      </x:c>
      <x:c r="B1237" s="14" t="str">
        <x:v>SYS-20</x:v>
      </x:c>
      <x:c r="C1237" s="14" t="n">
        <x:v>17</x:v>
      </x:c>
      <x:c r="D1237" s="14" t="str">
        <x:v>Evidence</x:v>
      </x:c>
      <x:c r="E1237" s="14" t="str">
        <x:v>NOT COMMISSIONED</x:v>
      </x:c>
      <x:c r="F1237" s="14" t="str">
        <x:v>OPEN</x:v>
      </x:c>
    </x:row>
    <x:row r="1238">
      <x:c r="A1238" s="15" t="str">
        <x:v>CH-1234</x:v>
      </x:c>
      <x:c r="B1238" s="15" t="str">
        <x:v>SYS-20</x:v>
      </x:c>
      <x:c r="C1238" s="15" t="n">
        <x:v>18</x:v>
      </x:c>
      <x:c r="D1238" s="15" t="str">
        <x:v>Evidence</x:v>
      </x:c>
      <x:c r="E1238" s="15" t="str">
        <x:v>NOT COMMISSIONED</x:v>
      </x:c>
      <x:c r="F1238" s="15" t="str">
        <x:v>OPEN</x:v>
      </x:c>
    </x:row>
    <x:row r="1239">
      <x:c r="A1239" s="14" t="str">
        <x:v>CH-1235</x:v>
      </x:c>
      <x:c r="B1239" s="14" t="str">
        <x:v>SYS-20</x:v>
      </x:c>
      <x:c r="C1239" s="14" t="n">
        <x:v>19</x:v>
      </x:c>
      <x:c r="D1239" s="14" t="str">
        <x:v>Evidence</x:v>
      </x:c>
      <x:c r="E1239" s="14" t="str">
        <x:v>NOT COMMISSIONED</x:v>
      </x:c>
      <x:c r="F1239" s="14" t="str">
        <x:v>OPEN</x:v>
      </x:c>
    </x:row>
    <x:row r="1240">
      <x:c r="A1240" s="15" t="str">
        <x:v>CH-1236</x:v>
      </x:c>
      <x:c r="B1240" s="15" t="str">
        <x:v>SYS-20</x:v>
      </x:c>
      <x:c r="C1240" s="15" t="n">
        <x:v>20</x:v>
      </x:c>
      <x:c r="D1240" s="15" t="str">
        <x:v>Evidence</x:v>
      </x:c>
      <x:c r="E1240" s="15" t="str">
        <x:v>NOT COMMISSIONED</x:v>
      </x:c>
      <x:c r="F1240" s="15" t="str">
        <x:v>OPEN</x:v>
      </x:c>
    </x:row>
    <x:row r="1241">
      <x:c r="A1241" s="14" t="str">
        <x:v>CH-1237</x:v>
      </x:c>
      <x:c r="B1241" s="14" t="str">
        <x:v>SYS-20</x:v>
      </x:c>
      <x:c r="C1241" s="14" t="n">
        <x:v>21</x:v>
      </x:c>
      <x:c r="D1241" s="14" t="str">
        <x:v>Evidence</x:v>
      </x:c>
      <x:c r="E1241" s="14" t="str">
        <x:v>NOT COMMISSIONED</x:v>
      </x:c>
      <x:c r="F1241" s="14" t="str">
        <x:v>OPEN</x:v>
      </x:c>
    </x:row>
    <x:row r="1242">
      <x:c r="A1242" s="15" t="str">
        <x:v>CH-1238</x:v>
      </x:c>
      <x:c r="B1242" s="15" t="str">
        <x:v>SYS-20</x:v>
      </x:c>
      <x:c r="C1242" s="15" t="n">
        <x:v>22</x:v>
      </x:c>
      <x:c r="D1242" s="15" t="str">
        <x:v>Evidence</x:v>
      </x:c>
      <x:c r="E1242" s="15" t="str">
        <x:v>NOT COMMISSIONED</x:v>
      </x:c>
      <x:c r="F1242" s="15" t="str">
        <x:v>OPEN</x:v>
      </x:c>
    </x:row>
    <x:row r="1243">
      <x:c r="A1243" s="14" t="str">
        <x:v>CH-1239</x:v>
      </x:c>
      <x:c r="B1243" s="14" t="str">
        <x:v>SYS-20</x:v>
      </x:c>
      <x:c r="C1243" s="14" t="n">
        <x:v>23</x:v>
      </x:c>
      <x:c r="D1243" s="14" t="str">
        <x:v>Evidence</x:v>
      </x:c>
      <x:c r="E1243" s="14" t="str">
        <x:v>NOT COMMISSIONED</x:v>
      </x:c>
      <x:c r="F1243" s="14" t="str">
        <x:v>OPEN</x:v>
      </x:c>
    </x:row>
    <x:row r="1244">
      <x:c r="A1244" s="15" t="str">
        <x:v>CH-1240</x:v>
      </x:c>
      <x:c r="B1244" s="15" t="str">
        <x:v>SYS-20</x:v>
      </x:c>
      <x:c r="C1244" s="15" t="n">
        <x:v>24</x:v>
      </x:c>
      <x:c r="D1244" s="15" t="str">
        <x:v>Evidence</x:v>
      </x:c>
      <x:c r="E1244" s="15" t="str">
        <x:v>NOT COMMISSIONED</x:v>
      </x:c>
      <x:c r="F1244" s="15" t="str">
        <x:v>OPEN</x:v>
      </x:c>
    </x:row>
    <x:row r="1245">
      <x:c r="A1245" s="14" t="str">
        <x:v>CH-1241</x:v>
      </x:c>
      <x:c r="B1245" s="14" t="str">
        <x:v>SYS-20</x:v>
      </x:c>
      <x:c r="C1245" s="14" t="n">
        <x:v>25</x:v>
      </x:c>
      <x:c r="D1245" s="14" t="str">
        <x:v>Evidence</x:v>
      </x:c>
      <x:c r="E1245" s="14" t="str">
        <x:v>NOT COMMISSIONED</x:v>
      </x:c>
      <x:c r="F1245" s="14" t="str">
        <x:v>OPEN</x:v>
      </x:c>
    </x:row>
    <x:row r="1246">
      <x:c r="A1246" s="15" t="str">
        <x:v>CH-1242</x:v>
      </x:c>
      <x:c r="B1246" s="15" t="str">
        <x:v>SYS-20</x:v>
      </x:c>
      <x:c r="C1246" s="15" t="n">
        <x:v>26</x:v>
      </x:c>
      <x:c r="D1246" s="15" t="str">
        <x:v>Evidence</x:v>
      </x:c>
      <x:c r="E1246" s="15" t="str">
        <x:v>NOT COMMISSIONED</x:v>
      </x:c>
      <x:c r="F1246" s="15" t="str">
        <x:v>OPEN</x:v>
      </x:c>
    </x:row>
    <x:row r="1247">
      <x:c r="A1247" s="14" t="str">
        <x:v>CH-1243</x:v>
      </x:c>
      <x:c r="B1247" s="14" t="str">
        <x:v>SYS-20</x:v>
      </x:c>
      <x:c r="C1247" s="14" t="n">
        <x:v>27</x:v>
      </x:c>
      <x:c r="D1247" s="14" t="str">
        <x:v>Evidence</x:v>
      </x:c>
      <x:c r="E1247" s="14" t="str">
        <x:v>NOT COMMISSIONED</x:v>
      </x:c>
      <x:c r="F1247" s="14" t="str">
        <x:v>OPEN</x:v>
      </x:c>
    </x:row>
    <x:row r="1248">
      <x:c r="A1248" s="15" t="str">
        <x:v>CH-1244</x:v>
      </x:c>
      <x:c r="B1248" s="15" t="str">
        <x:v>SYS-20</x:v>
      </x:c>
      <x:c r="C1248" s="15" t="n">
        <x:v>28</x:v>
      </x:c>
      <x:c r="D1248" s="15" t="str">
        <x:v>Evidence</x:v>
      </x:c>
      <x:c r="E1248" s="15" t="str">
        <x:v>NOT COMMISSIONED</x:v>
      </x:c>
      <x:c r="F1248" s="15" t="str">
        <x:v>OPEN</x:v>
      </x:c>
    </x:row>
    <x:row r="1249">
      <x:c r="A1249" s="14" t="str">
        <x:v>CH-1245</x:v>
      </x:c>
      <x:c r="B1249" s="14" t="str">
        <x:v>SYS-20</x:v>
      </x:c>
      <x:c r="C1249" s="14" t="n">
        <x:v>29</x:v>
      </x:c>
      <x:c r="D1249" s="14" t="str">
        <x:v>Evidence</x:v>
      </x:c>
      <x:c r="E1249" s="14" t="str">
        <x:v>NOT COMMISSIONED</x:v>
      </x:c>
      <x:c r="F1249" s="14" t="str">
        <x:v>OPEN</x:v>
      </x:c>
    </x:row>
    <x:row r="1250">
      <x:c r="A1250" s="15" t="str">
        <x:v>CH-1246</x:v>
      </x:c>
      <x:c r="B1250" s="15" t="str">
        <x:v>SYS-20</x:v>
      </x:c>
      <x:c r="C1250" s="15" t="n">
        <x:v>30</x:v>
      </x:c>
      <x:c r="D1250" s="15" t="str">
        <x:v>Evidence</x:v>
      </x:c>
      <x:c r="E1250" s="15" t="str">
        <x:v>NOT COMMISSIONED</x:v>
      </x:c>
      <x:c r="F1250" s="15" t="str">
        <x:v>OPEN</x:v>
      </x:c>
    </x:row>
    <x:row r="1251">
      <x:c r="A1251" s="14" t="str">
        <x:v>CH-1247</x:v>
      </x:c>
      <x:c r="B1251" s="14" t="str">
        <x:v>SYS-20</x:v>
      </x:c>
      <x:c r="C1251" s="14" t="n">
        <x:v>31</x:v>
      </x:c>
      <x:c r="D1251" s="14" t="str">
        <x:v>Evidence</x:v>
      </x:c>
      <x:c r="E1251" s="14" t="str">
        <x:v>NOT COMMISSIONED</x:v>
      </x:c>
      <x:c r="F1251" s="14" t="str">
        <x:v>OPEN</x:v>
      </x:c>
    </x:row>
    <x:row r="1252">
      <x:c r="A1252" s="15" t="str">
        <x:v>CH-1248</x:v>
      </x:c>
      <x:c r="B1252" s="15" t="str">
        <x:v>SYS-20</x:v>
      </x:c>
      <x:c r="C1252" s="15" t="n">
        <x:v>32</x:v>
      </x:c>
      <x:c r="D1252" s="15" t="str">
        <x:v>Evidence</x:v>
      </x:c>
      <x:c r="E1252" s="15" t="str">
        <x:v>NOT COMMISSIONED</x:v>
      </x:c>
      <x:c r="F1252" s="15" t="str">
        <x:v>OPEN</x:v>
      </x:c>
    </x:row>
    <x:row r="1253">
      <x:c r="A1253" s="14" t="str">
        <x:v>CH-1249</x:v>
      </x:c>
      <x:c r="B1253" s="14" t="str">
        <x:v>SYS-20</x:v>
      </x:c>
      <x:c r="C1253" s="14" t="n">
        <x:v>33</x:v>
      </x:c>
      <x:c r="D1253" s="14" t="str">
        <x:v>Evidence</x:v>
      </x:c>
      <x:c r="E1253" s="14" t="str">
        <x:v>NOT COMMISSIONED</x:v>
      </x:c>
      <x:c r="F1253" s="14" t="str">
        <x:v>OPEN</x:v>
      </x:c>
    </x:row>
    <x:row r="1254">
      <x:c r="A1254" s="15" t="str">
        <x:v>CH-1250</x:v>
      </x:c>
      <x:c r="B1254" s="15" t="str">
        <x:v>SYS-20</x:v>
      </x:c>
      <x:c r="C1254" s="15" t="n">
        <x:v>34</x:v>
      </x:c>
      <x:c r="D1254" s="15" t="str">
        <x:v>Evidence</x:v>
      </x:c>
      <x:c r="E1254" s="15" t="str">
        <x:v>NOT COMMISSIONED</x:v>
      </x:c>
      <x:c r="F1254" s="15" t="str">
        <x:v>OPEN</x:v>
      </x:c>
    </x:row>
    <x:row r="1255">
      <x:c r="A1255" s="14" t="str">
        <x:v>CH-1251</x:v>
      </x:c>
      <x:c r="B1255" s="14" t="str">
        <x:v>SYS-20</x:v>
      </x:c>
      <x:c r="C1255" s="14" t="n">
        <x:v>35</x:v>
      </x:c>
      <x:c r="D1255" s="14" t="str">
        <x:v>Evidence</x:v>
      </x:c>
      <x:c r="E1255" s="14" t="str">
        <x:v>NOT COMMISSIONED</x:v>
      </x:c>
      <x:c r="F1255" s="14" t="str">
        <x:v>OPEN</x:v>
      </x:c>
    </x:row>
    <x:row r="1256">
      <x:c r="A1256" s="15" t="str">
        <x:v>CH-1252</x:v>
      </x:c>
      <x:c r="B1256" s="15" t="str">
        <x:v>SYS-20</x:v>
      </x:c>
      <x:c r="C1256" s="15" t="n">
        <x:v>36</x:v>
      </x:c>
      <x:c r="D1256" s="15" t="str">
        <x:v>Evidence</x:v>
      </x:c>
      <x:c r="E1256" s="15" t="str">
        <x:v>NOT COMMISSIONED</x:v>
      </x:c>
      <x:c r="F1256" s="15" t="str">
        <x:v>OPEN</x:v>
      </x:c>
    </x:row>
    <x:row r="1257">
      <x:c r="A1257" s="14" t="str">
        <x:v>CH-1253</x:v>
      </x:c>
      <x:c r="B1257" s="14" t="str">
        <x:v>SYS-20</x:v>
      </x:c>
      <x:c r="C1257" s="14" t="n">
        <x:v>37</x:v>
      </x:c>
      <x:c r="D1257" s="14" t="str">
        <x:v>Evidence</x:v>
      </x:c>
      <x:c r="E1257" s="14" t="str">
        <x:v>NOT COMMISSIONED</x:v>
      </x:c>
      <x:c r="F1257" s="14" t="str">
        <x:v>OPEN</x:v>
      </x:c>
    </x:row>
    <x:row r="1258">
      <x:c r="A1258" s="15" t="str">
        <x:v>CH-1254</x:v>
      </x:c>
      <x:c r="B1258" s="15" t="str">
        <x:v>SYS-20</x:v>
      </x:c>
      <x:c r="C1258" s="15" t="n">
        <x:v>38</x:v>
      </x:c>
      <x:c r="D1258" s="15" t="str">
        <x:v>Evidence</x:v>
      </x:c>
      <x:c r="E1258" s="15" t="str">
        <x:v>NOT COMMISSIONED</x:v>
      </x:c>
      <x:c r="F1258" s="15" t="str">
        <x:v>OPEN</x:v>
      </x:c>
    </x:row>
    <x:row r="1259">
      <x:c r="A1259" s="14" t="str">
        <x:v>CH-1255</x:v>
      </x:c>
      <x:c r="B1259" s="14" t="str">
        <x:v>SYS-20</x:v>
      </x:c>
      <x:c r="C1259" s="14" t="n">
        <x:v>39</x:v>
      </x:c>
      <x:c r="D1259" s="14" t="str">
        <x:v>Evidence</x:v>
      </x:c>
      <x:c r="E1259" s="14" t="str">
        <x:v>NOT COMMISSIONED</x:v>
      </x:c>
      <x:c r="F1259" s="14" t="str">
        <x:v>OPEN</x:v>
      </x:c>
    </x:row>
    <x:row r="1260">
      <x:c r="A1260" s="15" t="str">
        <x:v>CH-1256</x:v>
      </x:c>
      <x:c r="B1260" s="15" t="str">
        <x:v>SYS-20</x:v>
      </x:c>
      <x:c r="C1260" s="15" t="n">
        <x:v>40</x:v>
      </x:c>
      <x:c r="D1260" s="15" t="str">
        <x:v>Evidence</x:v>
      </x:c>
      <x:c r="E1260" s="15" t="str">
        <x:v>NOT COMMISSIONED</x:v>
      </x:c>
      <x:c r="F1260" s="15" t="str">
        <x:v>OPEN</x:v>
      </x:c>
    </x:row>
    <x:row r="1261">
      <x:c r="A1261" s="14" t="str">
        <x:v>CH-1257</x:v>
      </x:c>
      <x:c r="B1261" s="14" t="str">
        <x:v>SYS-20</x:v>
      </x:c>
      <x:c r="C1261" s="14" t="n">
        <x:v>41</x:v>
      </x:c>
      <x:c r="D1261" s="14" t="str">
        <x:v>Evidence</x:v>
      </x:c>
      <x:c r="E1261" s="14" t="str">
        <x:v>NOT COMMISSIONED</x:v>
      </x:c>
      <x:c r="F1261" s="14" t="str">
        <x:v>OPEN</x:v>
      </x:c>
    </x:row>
    <x:row r="1262">
      <x:c r="A1262" s="15" t="str">
        <x:v>CH-1258</x:v>
      </x:c>
      <x:c r="B1262" s="15" t="str">
        <x:v>SYS-20</x:v>
      </x:c>
      <x:c r="C1262" s="15" t="n">
        <x:v>42</x:v>
      </x:c>
      <x:c r="D1262" s="15" t="str">
        <x:v>Evidence</x:v>
      </x:c>
      <x:c r="E1262" s="15" t="str">
        <x:v>NOT COMMISSIONED</x:v>
      </x:c>
      <x:c r="F1262" s="15" t="str">
        <x:v>OPEN</x:v>
      </x:c>
    </x:row>
    <x:row r="1263">
      <x:c r="A1263" s="14" t="str">
        <x:v>CH-1259</x:v>
      </x:c>
      <x:c r="B1263" s="14" t="str">
        <x:v>SYS-20</x:v>
      </x:c>
      <x:c r="C1263" s="14" t="n">
        <x:v>43</x:v>
      </x:c>
      <x:c r="D1263" s="14" t="str">
        <x:v>Evidence</x:v>
      </x:c>
      <x:c r="E1263" s="14" t="str">
        <x:v>NOT COMMISSIONED</x:v>
      </x:c>
      <x:c r="F1263" s="14" t="str">
        <x:v>OPEN</x:v>
      </x:c>
    </x:row>
    <x:row r="1264">
      <x:c r="A1264" s="15" t="str">
        <x:v>CH-1260</x:v>
      </x:c>
      <x:c r="B1264" s="15" t="str">
        <x:v>SYS-20</x:v>
      </x:c>
      <x:c r="C1264" s="15" t="n">
        <x:v>44</x:v>
      </x:c>
      <x:c r="D1264" s="15" t="str">
        <x:v>Evidence</x:v>
      </x:c>
      <x:c r="E1264" s="15" t="str">
        <x:v>NOT COMMISSIONED</x:v>
      </x:c>
      <x:c r="F1264" s="15" t="str">
        <x:v>OPEN</x:v>
      </x:c>
    </x:row>
    <x:row r="1265">
      <x:c r="A1265" s="14" t="str">
        <x:v>CH-1261</x:v>
      </x:c>
      <x:c r="B1265" s="14" t="str">
        <x:v>SYS-20</x:v>
      </x:c>
      <x:c r="C1265" s="14" t="n">
        <x:v>45</x:v>
      </x:c>
      <x:c r="D1265" s="14" t="str">
        <x:v>Evidence</x:v>
      </x:c>
      <x:c r="E1265" s="14" t="str">
        <x:v>NOT COMMISSIONED</x:v>
      </x:c>
      <x:c r="F1265" s="14" t="str">
        <x:v>OPEN</x:v>
      </x:c>
    </x:row>
    <x:row r="1266">
      <x:c r="A1266" s="15" t="str">
        <x:v>CH-1262</x:v>
      </x:c>
      <x:c r="B1266" s="15" t="str">
        <x:v>SYS-20</x:v>
      </x:c>
      <x:c r="C1266" s="15" t="n">
        <x:v>46</x:v>
      </x:c>
      <x:c r="D1266" s="15" t="str">
        <x:v>Evidence</x:v>
      </x:c>
      <x:c r="E1266" s="15" t="str">
        <x:v>NOT COMMISSIONED</x:v>
      </x:c>
      <x:c r="F1266" s="15" t="str">
        <x:v>OPEN</x:v>
      </x:c>
    </x:row>
    <x:row r="1267">
      <x:c r="A1267" s="14" t="str">
        <x:v>CH-1263</x:v>
      </x:c>
      <x:c r="B1267" s="14" t="str">
        <x:v>SYS-20</x:v>
      </x:c>
      <x:c r="C1267" s="14" t="n">
        <x:v>47</x:v>
      </x:c>
      <x:c r="D1267" s="14" t="str">
        <x:v>Evidence</x:v>
      </x:c>
      <x:c r="E1267" s="14" t="str">
        <x:v>NOT COMMISSIONED</x:v>
      </x:c>
      <x:c r="F1267" s="14" t="str">
        <x:v>OPEN</x:v>
      </x:c>
    </x:row>
    <x:row r="1268">
      <x:c r="A1268" s="15" t="str">
        <x:v>CH-1264</x:v>
      </x:c>
      <x:c r="B1268" s="15" t="str">
        <x:v>SYS-20</x:v>
      </x:c>
      <x:c r="C1268" s="15" t="n">
        <x:v>48</x:v>
      </x:c>
      <x:c r="D1268" s="15" t="str">
        <x:v>Evidence</x:v>
      </x:c>
      <x:c r="E1268" s="15" t="str">
        <x:v>NOT COMMISSIONED</x:v>
      </x:c>
      <x:c r="F1268" s="15" t="str">
        <x:v>OPEN</x:v>
      </x:c>
    </x:row>
    <x:row r="1269">
      <x:c r="A1269" s="14" t="str">
        <x:v>CH-1265</x:v>
      </x:c>
      <x:c r="B1269" s="14" t="str">
        <x:v>SYS-20</x:v>
      </x:c>
      <x:c r="C1269" s="14" t="n">
        <x:v>49</x:v>
      </x:c>
      <x:c r="D1269" s="14" t="str">
        <x:v>Evidence</x:v>
      </x:c>
      <x:c r="E1269" s="14" t="str">
        <x:v>NOT COMMISSIONED</x:v>
      </x:c>
      <x:c r="F1269" s="14" t="str">
        <x:v>OPEN</x:v>
      </x:c>
    </x:row>
    <x:row r="1270">
      <x:c r="A1270" s="15" t="str">
        <x:v>CH-1266</x:v>
      </x:c>
      <x:c r="B1270" s="15" t="str">
        <x:v>SYS-20</x:v>
      </x:c>
      <x:c r="C1270" s="15" t="n">
        <x:v>50</x:v>
      </x:c>
      <x:c r="D1270" s="15" t="str">
        <x:v>Evidence</x:v>
      </x:c>
      <x:c r="E1270" s="15" t="str">
        <x:v>NOT COMMISSIONED</x:v>
      </x:c>
      <x:c r="F1270" s="15" t="str">
        <x:v>OPEN</x:v>
      </x:c>
    </x:row>
    <x:row r="1271">
      <x:c r="A1271" s="14" t="str">
        <x:v>CH-1267</x:v>
      </x:c>
      <x:c r="B1271" s="14" t="str">
        <x:v>SYS-20</x:v>
      </x:c>
      <x:c r="C1271" s="14" t="n">
        <x:v>51</x:v>
      </x:c>
      <x:c r="D1271" s="14" t="str">
        <x:v>Evidence</x:v>
      </x:c>
      <x:c r="E1271" s="14" t="str">
        <x:v>NOT COMMISSIONED</x:v>
      </x:c>
      <x:c r="F1271" s="14" t="str">
        <x:v>OPEN</x:v>
      </x:c>
    </x:row>
    <x:row r="1272">
      <x:c r="A1272" s="15" t="str">
        <x:v>CH-1268</x:v>
      </x:c>
      <x:c r="B1272" s="15" t="str">
        <x:v>SYS-20</x:v>
      </x:c>
      <x:c r="C1272" s="15" t="n">
        <x:v>52</x:v>
      </x:c>
      <x:c r="D1272" s="15" t="str">
        <x:v>Evidence</x:v>
      </x:c>
      <x:c r="E1272" s="15" t="str">
        <x:v>NOT COMMISSIONED</x:v>
      </x:c>
      <x:c r="F1272" s="15" t="str">
        <x:v>OPEN</x:v>
      </x:c>
    </x:row>
    <x:row r="1273">
      <x:c r="A1273" s="14" t="str">
        <x:v>CH-1269</x:v>
      </x:c>
      <x:c r="B1273" s="14" t="str">
        <x:v>SYS-20</x:v>
      </x:c>
      <x:c r="C1273" s="14" t="n">
        <x:v>53</x:v>
      </x:c>
      <x:c r="D1273" s="14" t="str">
        <x:v>Evidence</x:v>
      </x:c>
      <x:c r="E1273" s="14" t="str">
        <x:v>NOT COMMISSIONED</x:v>
      </x:c>
      <x:c r="F1273" s="14" t="str">
        <x:v>OPEN</x:v>
      </x:c>
    </x:row>
    <x:row r="1274">
      <x:c r="A1274" s="15" t="str">
        <x:v>CH-1270</x:v>
      </x:c>
      <x:c r="B1274" s="15" t="str">
        <x:v>SYS-20</x:v>
      </x:c>
      <x:c r="C1274" s="15" t="n">
        <x:v>54</x:v>
      </x:c>
      <x:c r="D1274" s="15" t="str">
        <x:v>Evidence</x:v>
      </x:c>
      <x:c r="E1274" s="15" t="str">
        <x:v>NOT COMMISSIONED</x:v>
      </x:c>
      <x:c r="F1274" s="15" t="str">
        <x:v>OPEN</x:v>
      </x:c>
    </x:row>
    <x:row r="1275">
      <x:c r="A1275" s="14" t="str">
        <x:v>CH-1271</x:v>
      </x:c>
      <x:c r="B1275" s="14" t="str">
        <x:v>SYS-20</x:v>
      </x:c>
      <x:c r="C1275" s="14" t="n">
        <x:v>55</x:v>
      </x:c>
      <x:c r="D1275" s="14" t="str">
        <x:v>Evidence</x:v>
      </x:c>
      <x:c r="E1275" s="14" t="str">
        <x:v>NOT COMMISSIONED</x:v>
      </x:c>
      <x:c r="F1275" s="14" t="str">
        <x:v>OPEN</x:v>
      </x:c>
    </x:row>
    <x:row r="1276">
      <x:c r="A1276" s="15" t="str">
        <x:v>CH-1272</x:v>
      </x:c>
      <x:c r="B1276" s="15" t="str">
        <x:v>SYS-20</x:v>
      </x:c>
      <x:c r="C1276" s="15" t="n">
        <x:v>56</x:v>
      </x:c>
      <x:c r="D1276" s="15" t="str">
        <x:v>Evidence</x:v>
      </x:c>
      <x:c r="E1276" s="15" t="str">
        <x:v>NOT COMMISSIONED</x:v>
      </x:c>
      <x:c r="F1276" s="15" t="str">
        <x:v>OPEN</x:v>
      </x:c>
    </x:row>
    <x:row r="1277">
      <x:c r="A1277" s="14" t="str">
        <x:v>CH-1273</x:v>
      </x:c>
      <x:c r="B1277" s="14" t="str">
        <x:v>SYS-20</x:v>
      </x:c>
      <x:c r="C1277" s="14" t="n">
        <x:v>57</x:v>
      </x:c>
      <x:c r="D1277" s="14" t="str">
        <x:v>Evidence</x:v>
      </x:c>
      <x:c r="E1277" s="14" t="str">
        <x:v>NOT COMMISSIONED</x:v>
      </x:c>
      <x:c r="F1277" s="14" t="str">
        <x:v>OPEN</x:v>
      </x:c>
    </x:row>
    <x:row r="1278">
      <x:c r="A1278" s="15" t="str">
        <x:v>CH-1274</x:v>
      </x:c>
      <x:c r="B1278" s="15" t="str">
        <x:v>SYS-20</x:v>
      </x:c>
      <x:c r="C1278" s="15" t="n">
        <x:v>58</x:v>
      </x:c>
      <x:c r="D1278" s="15" t="str">
        <x:v>Evidence</x:v>
      </x:c>
      <x:c r="E1278" s="15" t="str">
        <x:v>NOT COMMISSIONED</x:v>
      </x:c>
      <x:c r="F1278" s="15" t="str">
        <x:v>OPEN</x:v>
      </x:c>
    </x:row>
    <x:row r="1279">
      <x:c r="A1279" s="14" t="str">
        <x:v>CH-1275</x:v>
      </x:c>
      <x:c r="B1279" s="14" t="str">
        <x:v>SYS-20</x:v>
      </x:c>
      <x:c r="C1279" s="14" t="n">
        <x:v>59</x:v>
      </x:c>
      <x:c r="D1279" s="14" t="str">
        <x:v>Evidence</x:v>
      </x:c>
      <x:c r="E1279" s="14" t="str">
        <x:v>NOT COMMISSIONED</x:v>
      </x:c>
      <x:c r="F1279" s="14" t="str">
        <x:v>OPEN</x:v>
      </x:c>
    </x:row>
    <x:row r="1280">
      <x:c r="A1280" s="15" t="str">
        <x:v>CH-1276</x:v>
      </x:c>
      <x:c r="B1280" s="15" t="str">
        <x:v>SYS-20</x:v>
      </x:c>
      <x:c r="C1280" s="15" t="n">
        <x:v>60</x:v>
      </x:c>
      <x:c r="D1280" s="15" t="str">
        <x:v>Evidence</x:v>
      </x:c>
      <x:c r="E1280" s="15" t="str">
        <x:v>NOT COMMISSIONED</x:v>
      </x:c>
      <x:c r="F1280" s="15" t="str">
        <x:v>OPEN</x:v>
      </x:c>
    </x:row>
    <x:row r="1281">
      <x:c r="A1281" s="14" t="str">
        <x:v>CH-1277</x:v>
      </x:c>
      <x:c r="B1281" s="14" t="str">
        <x:v>SYS-20</x:v>
      </x:c>
      <x:c r="C1281" s="14" t="n">
        <x:v>61</x:v>
      </x:c>
      <x:c r="D1281" s="14" t="str">
        <x:v>Evidence</x:v>
      </x:c>
      <x:c r="E1281" s="14" t="str">
        <x:v>NOT COMMISSIONED</x:v>
      </x:c>
      <x:c r="F1281" s="14" t="str">
        <x:v>OPEN</x:v>
      </x:c>
    </x:row>
    <x:row r="1282">
      <x:c r="A1282" s="15" t="str">
        <x:v>CH-1278</x:v>
      </x:c>
      <x:c r="B1282" s="15" t="str">
        <x:v>SYS-20</x:v>
      </x:c>
      <x:c r="C1282" s="15" t="n">
        <x:v>62</x:v>
      </x:c>
      <x:c r="D1282" s="15" t="str">
        <x:v>Evidence</x:v>
      </x:c>
      <x:c r="E1282" s="15" t="str">
        <x:v>NOT COMMISSIONED</x:v>
      </x:c>
      <x:c r="F1282" s="15" t="str">
        <x:v>OPEN</x:v>
      </x:c>
    </x:row>
    <x:row r="1283">
      <x:c r="A1283" s="14" t="str">
        <x:v>CH-1279</x:v>
      </x:c>
      <x:c r="B1283" s="14" t="str">
        <x:v>SYS-20</x:v>
      </x:c>
      <x:c r="C1283" s="14" t="n">
        <x:v>63</x:v>
      </x:c>
      <x:c r="D1283" s="14" t="str">
        <x:v>Evidence</x:v>
      </x:c>
      <x:c r="E1283" s="14" t="str">
        <x:v>NOT COMMISSIONED</x:v>
      </x:c>
      <x:c r="F1283" s="14" t="str">
        <x:v>OPEN</x:v>
      </x:c>
    </x:row>
    <x:row r="1284">
      <x:c r="A1284" s="15" t="str">
        <x:v>CH-1280</x:v>
      </x:c>
      <x:c r="B1284" s="15" t="str">
        <x:v>SYS-20</x:v>
      </x:c>
      <x:c r="C1284" s="15" t="n">
        <x:v>64</x:v>
      </x:c>
      <x:c r="D1284" s="15" t="str">
        <x:v>Evidence</x:v>
      </x:c>
      <x:c r="E1284" s="15" t="str">
        <x:v>NOT COMMISSIONED</x:v>
      </x:c>
      <x:c r="F1284" s="15" t="str">
        <x:v>OPEN</x:v>
      </x:c>
    </x:row>
    <x:row r="1285">
      <x:c r="A1285" s="14" t="str">
        <x:v>CH-1281</x:v>
      </x:c>
      <x:c r="B1285" s="14" t="str">
        <x:v>SYS-21</x:v>
      </x:c>
      <x:c r="C1285" s="14" t="n">
        <x:v>1</x:v>
      </x:c>
      <x:c r="D1285" s="14" t="str">
        <x:v>Configuration</x:v>
      </x:c>
      <x:c r="E1285" s="14" t="str">
        <x:v>NOT COMMISSIONED</x:v>
      </x:c>
      <x:c r="F1285" s="14" t="str">
        <x:v>OPEN</x:v>
      </x:c>
    </x:row>
    <x:row r="1286">
      <x:c r="A1286" s="15" t="str">
        <x:v>CH-1282</x:v>
      </x:c>
      <x:c r="B1286" s="15" t="str">
        <x:v>SYS-21</x:v>
      </x:c>
      <x:c r="C1286" s="15" t="n">
        <x:v>2</x:v>
      </x:c>
      <x:c r="D1286" s="15" t="str">
        <x:v>Configuration</x:v>
      </x:c>
      <x:c r="E1286" s="15" t="str">
        <x:v>NOT COMMISSIONED</x:v>
      </x:c>
      <x:c r="F1286" s="15" t="str">
        <x:v>OPEN</x:v>
      </x:c>
    </x:row>
    <x:row r="1287">
      <x:c r="A1287" s="14" t="str">
        <x:v>CH-1283</x:v>
      </x:c>
      <x:c r="B1287" s="14" t="str">
        <x:v>SYS-21</x:v>
      </x:c>
      <x:c r="C1287" s="14" t="n">
        <x:v>3</x:v>
      </x:c>
      <x:c r="D1287" s="14" t="str">
        <x:v>Configuration</x:v>
      </x:c>
      <x:c r="E1287" s="14" t="str">
        <x:v>NOT COMMISSIONED</x:v>
      </x:c>
      <x:c r="F1287" s="14" t="str">
        <x:v>OPEN</x:v>
      </x:c>
    </x:row>
    <x:row r="1288">
      <x:c r="A1288" s="15" t="str">
        <x:v>CH-1284</x:v>
      </x:c>
      <x:c r="B1288" s="15" t="str">
        <x:v>SYS-21</x:v>
      </x:c>
      <x:c r="C1288" s="15" t="n">
        <x:v>4</x:v>
      </x:c>
      <x:c r="D1288" s="15" t="str">
        <x:v>Configuration</x:v>
      </x:c>
      <x:c r="E1288" s="15" t="str">
        <x:v>NOT COMMISSIONED</x:v>
      </x:c>
      <x:c r="F1288" s="15" t="str">
        <x:v>OPEN</x:v>
      </x:c>
    </x:row>
    <x:row r="1289">
      <x:c r="A1289" s="14" t="str">
        <x:v>CH-1285</x:v>
      </x:c>
      <x:c r="B1289" s="14" t="str">
        <x:v>SYS-21</x:v>
      </x:c>
      <x:c r="C1289" s="14" t="n">
        <x:v>5</x:v>
      </x:c>
      <x:c r="D1289" s="14" t="str">
        <x:v>Configuration</x:v>
      </x:c>
      <x:c r="E1289" s="14" t="str">
        <x:v>NOT COMMISSIONED</x:v>
      </x:c>
      <x:c r="F1289" s="14" t="str">
        <x:v>OPEN</x:v>
      </x:c>
    </x:row>
    <x:row r="1290">
      <x:c r="A1290" s="15" t="str">
        <x:v>CH-1286</x:v>
      </x:c>
      <x:c r="B1290" s="15" t="str">
        <x:v>SYS-21</x:v>
      </x:c>
      <x:c r="C1290" s="15" t="n">
        <x:v>6</x:v>
      </x:c>
      <x:c r="D1290" s="15" t="str">
        <x:v>Configuration</x:v>
      </x:c>
      <x:c r="E1290" s="15" t="str">
        <x:v>NOT COMMISSIONED</x:v>
      </x:c>
      <x:c r="F1290" s="15" t="str">
        <x:v>OPEN</x:v>
      </x:c>
    </x:row>
    <x:row r="1291">
      <x:c r="A1291" s="14" t="str">
        <x:v>CH-1287</x:v>
      </x:c>
      <x:c r="B1291" s="14" t="str">
        <x:v>SYS-21</x:v>
      </x:c>
      <x:c r="C1291" s="14" t="n">
        <x:v>7</x:v>
      </x:c>
      <x:c r="D1291" s="14" t="str">
        <x:v>Configuration</x:v>
      </x:c>
      <x:c r="E1291" s="14" t="str">
        <x:v>NOT COMMISSIONED</x:v>
      </x:c>
      <x:c r="F1291" s="14" t="str">
        <x:v>OPEN</x:v>
      </x:c>
    </x:row>
    <x:row r="1292">
      <x:c r="A1292" s="15" t="str">
        <x:v>CH-1288</x:v>
      </x:c>
      <x:c r="B1292" s="15" t="str">
        <x:v>SYS-21</x:v>
      </x:c>
      <x:c r="C1292" s="15" t="n">
        <x:v>8</x:v>
      </x:c>
      <x:c r="D1292" s="15" t="str">
        <x:v>Configuration</x:v>
      </x:c>
      <x:c r="E1292" s="15" t="str">
        <x:v>NOT COMMISSIONED</x:v>
      </x:c>
      <x:c r="F1292" s="15" t="str">
        <x:v>OPEN</x:v>
      </x:c>
    </x:row>
    <x:row r="1293">
      <x:c r="A1293" s="14" t="str">
        <x:v>CH-1289</x:v>
      </x:c>
      <x:c r="B1293" s="14" t="str">
        <x:v>SYS-21</x:v>
      </x:c>
      <x:c r="C1293" s="14" t="n">
        <x:v>9</x:v>
      </x:c>
      <x:c r="D1293" s="14" t="str">
        <x:v>Configuration</x:v>
      </x:c>
      <x:c r="E1293" s="14" t="str">
        <x:v>NOT COMMISSIONED</x:v>
      </x:c>
      <x:c r="F1293" s="14" t="str">
        <x:v>OPEN</x:v>
      </x:c>
    </x:row>
    <x:row r="1294">
      <x:c r="A1294" s="15" t="str">
        <x:v>CH-1290</x:v>
      </x:c>
      <x:c r="B1294" s="15" t="str">
        <x:v>SYS-21</x:v>
      </x:c>
      <x:c r="C1294" s="15" t="n">
        <x:v>10</x:v>
      </x:c>
      <x:c r="D1294" s="15" t="str">
        <x:v>Configuration</x:v>
      </x:c>
      <x:c r="E1294" s="15" t="str">
        <x:v>NOT COMMISSIONED</x:v>
      </x:c>
      <x:c r="F1294" s="15" t="str">
        <x:v>OPEN</x:v>
      </x:c>
    </x:row>
    <x:row r="1295">
      <x:c r="A1295" s="14" t="str">
        <x:v>CH-1291</x:v>
      </x:c>
      <x:c r="B1295" s="14" t="str">
        <x:v>SYS-21</x:v>
      </x:c>
      <x:c r="C1295" s="14" t="n">
        <x:v>11</x:v>
      </x:c>
      <x:c r="D1295" s="14" t="str">
        <x:v>Configuration</x:v>
      </x:c>
      <x:c r="E1295" s="14" t="str">
        <x:v>NOT COMMISSIONED</x:v>
      </x:c>
      <x:c r="F1295" s="14" t="str">
        <x:v>OPEN</x:v>
      </x:c>
    </x:row>
    <x:row r="1296">
      <x:c r="A1296" s="15" t="str">
        <x:v>CH-1292</x:v>
      </x:c>
      <x:c r="B1296" s="15" t="str">
        <x:v>SYS-21</x:v>
      </x:c>
      <x:c r="C1296" s="15" t="n">
        <x:v>12</x:v>
      </x:c>
      <x:c r="D1296" s="15" t="str">
        <x:v>Configuration</x:v>
      </x:c>
      <x:c r="E1296" s="15" t="str">
        <x:v>NOT COMMISSIONED</x:v>
      </x:c>
      <x:c r="F1296" s="15" t="str">
        <x:v>OPEN</x:v>
      </x:c>
    </x:row>
    <x:row r="1297">
      <x:c r="A1297" s="14" t="str">
        <x:v>CH-1293</x:v>
      </x:c>
      <x:c r="B1297" s="14" t="str">
        <x:v>SYS-21</x:v>
      </x:c>
      <x:c r="C1297" s="14" t="n">
        <x:v>13</x:v>
      </x:c>
      <x:c r="D1297" s="14" t="str">
        <x:v>Configuration</x:v>
      </x:c>
      <x:c r="E1297" s="14" t="str">
        <x:v>NOT COMMISSIONED</x:v>
      </x:c>
      <x:c r="F1297" s="14" t="str">
        <x:v>OPEN</x:v>
      </x:c>
    </x:row>
    <x:row r="1298">
      <x:c r="A1298" s="15" t="str">
        <x:v>CH-1294</x:v>
      </x:c>
      <x:c r="B1298" s="15" t="str">
        <x:v>SYS-21</x:v>
      </x:c>
      <x:c r="C1298" s="15" t="n">
        <x:v>14</x:v>
      </x:c>
      <x:c r="D1298" s="15" t="str">
        <x:v>Configuration</x:v>
      </x:c>
      <x:c r="E1298" s="15" t="str">
        <x:v>NOT COMMISSIONED</x:v>
      </x:c>
      <x:c r="F1298" s="15" t="str">
        <x:v>OPEN</x:v>
      </x:c>
    </x:row>
    <x:row r="1299">
      <x:c r="A1299" s="14" t="str">
        <x:v>CH-1295</x:v>
      </x:c>
      <x:c r="B1299" s="14" t="str">
        <x:v>SYS-21</x:v>
      </x:c>
      <x:c r="C1299" s="14" t="n">
        <x:v>15</x:v>
      </x:c>
      <x:c r="D1299" s="14" t="str">
        <x:v>Configuration</x:v>
      </x:c>
      <x:c r="E1299" s="14" t="str">
        <x:v>NOT COMMISSIONED</x:v>
      </x:c>
      <x:c r="F1299" s="14" t="str">
        <x:v>OPEN</x:v>
      </x:c>
    </x:row>
    <x:row r="1300">
      <x:c r="A1300" s="15" t="str">
        <x:v>CH-1296</x:v>
      </x:c>
      <x:c r="B1300" s="15" t="str">
        <x:v>SYS-21</x:v>
      </x:c>
      <x:c r="C1300" s="15" t="n">
        <x:v>16</x:v>
      </x:c>
      <x:c r="D1300" s="15" t="str">
        <x:v>Configuration</x:v>
      </x:c>
      <x:c r="E1300" s="15" t="str">
        <x:v>NOT COMMISSIONED</x:v>
      </x:c>
      <x:c r="F1300" s="15" t="str">
        <x:v>OPEN</x:v>
      </x:c>
    </x:row>
    <x:row r="1301">
      <x:c r="A1301" s="14" t="str">
        <x:v>CH-1297</x:v>
      </x:c>
      <x:c r="B1301" s="14" t="str">
        <x:v>SYS-21</x:v>
      </x:c>
      <x:c r="C1301" s="14" t="n">
        <x:v>17</x:v>
      </x:c>
      <x:c r="D1301" s="14" t="str">
        <x:v>Configuration</x:v>
      </x:c>
      <x:c r="E1301" s="14" t="str">
        <x:v>NOT COMMISSIONED</x:v>
      </x:c>
      <x:c r="F1301" s="14" t="str">
        <x:v>OPEN</x:v>
      </x:c>
    </x:row>
    <x:row r="1302">
      <x:c r="A1302" s="15" t="str">
        <x:v>CH-1298</x:v>
      </x:c>
      <x:c r="B1302" s="15" t="str">
        <x:v>SYS-21</x:v>
      </x:c>
      <x:c r="C1302" s="15" t="n">
        <x:v>18</x:v>
      </x:c>
      <x:c r="D1302" s="15" t="str">
        <x:v>Configuration</x:v>
      </x:c>
      <x:c r="E1302" s="15" t="str">
        <x:v>NOT COMMISSIONED</x:v>
      </x:c>
      <x:c r="F1302" s="15" t="str">
        <x:v>OPEN</x:v>
      </x:c>
    </x:row>
    <x:row r="1303">
      <x:c r="A1303" s="14" t="str">
        <x:v>CH-1299</x:v>
      </x:c>
      <x:c r="B1303" s="14" t="str">
        <x:v>SYS-21</x:v>
      </x:c>
      <x:c r="C1303" s="14" t="n">
        <x:v>19</x:v>
      </x:c>
      <x:c r="D1303" s="14" t="str">
        <x:v>Configuration</x:v>
      </x:c>
      <x:c r="E1303" s="14" t="str">
        <x:v>NOT COMMISSIONED</x:v>
      </x:c>
      <x:c r="F1303" s="14" t="str">
        <x:v>OPEN</x:v>
      </x:c>
    </x:row>
    <x:row r="1304">
      <x:c r="A1304" s="15" t="str">
        <x:v>CH-1300</x:v>
      </x:c>
      <x:c r="B1304" s="15" t="str">
        <x:v>SYS-21</x:v>
      </x:c>
      <x:c r="C1304" s="15" t="n">
        <x:v>20</x:v>
      </x:c>
      <x:c r="D1304" s="15" t="str">
        <x:v>Configuration</x:v>
      </x:c>
      <x:c r="E1304" s="15" t="str">
        <x:v>NOT COMMISSIONED</x:v>
      </x:c>
      <x:c r="F1304" s="15" t="str">
        <x:v>OPEN</x:v>
      </x:c>
    </x:row>
    <x:row r="1305">
      <x:c r="A1305" s="14" t="str">
        <x:v>CH-1301</x:v>
      </x:c>
      <x:c r="B1305" s="14" t="str">
        <x:v>SYS-21</x:v>
      </x:c>
      <x:c r="C1305" s="14" t="n">
        <x:v>21</x:v>
      </x:c>
      <x:c r="D1305" s="14" t="str">
        <x:v>Configuration</x:v>
      </x:c>
      <x:c r="E1305" s="14" t="str">
        <x:v>NOT COMMISSIONED</x:v>
      </x:c>
      <x:c r="F1305" s="14" t="str">
        <x:v>OPEN</x:v>
      </x:c>
    </x:row>
    <x:row r="1306">
      <x:c r="A1306" s="15" t="str">
        <x:v>CH-1302</x:v>
      </x:c>
      <x:c r="B1306" s="15" t="str">
        <x:v>SYS-21</x:v>
      </x:c>
      <x:c r="C1306" s="15" t="n">
        <x:v>22</x:v>
      </x:c>
      <x:c r="D1306" s="15" t="str">
        <x:v>Configuration</x:v>
      </x:c>
      <x:c r="E1306" s="15" t="str">
        <x:v>NOT COMMISSIONED</x:v>
      </x:c>
      <x:c r="F1306" s="15" t="str">
        <x:v>OPEN</x:v>
      </x:c>
    </x:row>
    <x:row r="1307">
      <x:c r="A1307" s="14" t="str">
        <x:v>CH-1303</x:v>
      </x:c>
      <x:c r="B1307" s="14" t="str">
        <x:v>SYS-21</x:v>
      </x:c>
      <x:c r="C1307" s="14" t="n">
        <x:v>23</x:v>
      </x:c>
      <x:c r="D1307" s="14" t="str">
        <x:v>Configuration</x:v>
      </x:c>
      <x:c r="E1307" s="14" t="str">
        <x:v>NOT COMMISSIONED</x:v>
      </x:c>
      <x:c r="F1307" s="14" t="str">
        <x:v>OPEN</x:v>
      </x:c>
    </x:row>
    <x:row r="1308">
      <x:c r="A1308" s="15" t="str">
        <x:v>CH-1304</x:v>
      </x:c>
      <x:c r="B1308" s="15" t="str">
        <x:v>SYS-21</x:v>
      </x:c>
      <x:c r="C1308" s="15" t="n">
        <x:v>24</x:v>
      </x:c>
      <x:c r="D1308" s="15" t="str">
        <x:v>Configuration</x:v>
      </x:c>
      <x:c r="E1308" s="15" t="str">
        <x:v>NOT COMMISSIONED</x:v>
      </x:c>
      <x:c r="F1308" s="15" t="str">
        <x:v>OPEN</x:v>
      </x:c>
    </x:row>
    <x:row r="1309">
      <x:c r="A1309" s="14" t="str">
        <x:v>CH-1305</x:v>
      </x:c>
      <x:c r="B1309" s="14" t="str">
        <x:v>SYS-21</x:v>
      </x:c>
      <x:c r="C1309" s="14" t="n">
        <x:v>25</x:v>
      </x:c>
      <x:c r="D1309" s="14" t="str">
        <x:v>Configuration</x:v>
      </x:c>
      <x:c r="E1309" s="14" t="str">
        <x:v>NOT COMMISSIONED</x:v>
      </x:c>
      <x:c r="F1309" s="14" t="str">
        <x:v>OPEN</x:v>
      </x:c>
    </x:row>
    <x:row r="1310">
      <x:c r="A1310" s="15" t="str">
        <x:v>CH-1306</x:v>
      </x:c>
      <x:c r="B1310" s="15" t="str">
        <x:v>SYS-21</x:v>
      </x:c>
      <x:c r="C1310" s="15" t="n">
        <x:v>26</x:v>
      </x:c>
      <x:c r="D1310" s="15" t="str">
        <x:v>Configuration</x:v>
      </x:c>
      <x:c r="E1310" s="15" t="str">
        <x:v>NOT COMMISSIONED</x:v>
      </x:c>
      <x:c r="F1310" s="15" t="str">
        <x:v>OPEN</x:v>
      </x:c>
    </x:row>
    <x:row r="1311">
      <x:c r="A1311" s="14" t="str">
        <x:v>CH-1307</x:v>
      </x:c>
      <x:c r="B1311" s="14" t="str">
        <x:v>SYS-21</x:v>
      </x:c>
      <x:c r="C1311" s="14" t="n">
        <x:v>27</x:v>
      </x:c>
      <x:c r="D1311" s="14" t="str">
        <x:v>Configuration</x:v>
      </x:c>
      <x:c r="E1311" s="14" t="str">
        <x:v>NOT COMMISSIONED</x:v>
      </x:c>
      <x:c r="F1311" s="14" t="str">
        <x:v>OPEN</x:v>
      </x:c>
    </x:row>
    <x:row r="1312">
      <x:c r="A1312" s="15" t="str">
        <x:v>CH-1308</x:v>
      </x:c>
      <x:c r="B1312" s="15" t="str">
        <x:v>SYS-21</x:v>
      </x:c>
      <x:c r="C1312" s="15" t="n">
        <x:v>28</x:v>
      </x:c>
      <x:c r="D1312" s="15" t="str">
        <x:v>Configuration</x:v>
      </x:c>
      <x:c r="E1312" s="15" t="str">
        <x:v>NOT COMMISSIONED</x:v>
      </x:c>
      <x:c r="F1312" s="15" t="str">
        <x:v>OPEN</x:v>
      </x:c>
    </x:row>
    <x:row r="1313">
      <x:c r="A1313" s="14" t="str">
        <x:v>CH-1309</x:v>
      </x:c>
      <x:c r="B1313" s="14" t="str">
        <x:v>SYS-21</x:v>
      </x:c>
      <x:c r="C1313" s="14" t="n">
        <x:v>29</x:v>
      </x:c>
      <x:c r="D1313" s="14" t="str">
        <x:v>Configuration</x:v>
      </x:c>
      <x:c r="E1313" s="14" t="str">
        <x:v>NOT COMMISSIONED</x:v>
      </x:c>
      <x:c r="F1313" s="14" t="str">
        <x:v>OPEN</x:v>
      </x:c>
    </x:row>
    <x:row r="1314">
      <x:c r="A1314" s="15" t="str">
        <x:v>CH-1310</x:v>
      </x:c>
      <x:c r="B1314" s="15" t="str">
        <x:v>SYS-21</x:v>
      </x:c>
      <x:c r="C1314" s="15" t="n">
        <x:v>30</x:v>
      </x:c>
      <x:c r="D1314" s="15" t="str">
        <x:v>Configuration</x:v>
      </x:c>
      <x:c r="E1314" s="15" t="str">
        <x:v>NOT COMMISSIONED</x:v>
      </x:c>
      <x:c r="F1314" s="15" t="str">
        <x:v>OPEN</x:v>
      </x:c>
    </x:row>
    <x:row r="1315">
      <x:c r="A1315" s="14" t="str">
        <x:v>CH-1311</x:v>
      </x:c>
      <x:c r="B1315" s="14" t="str">
        <x:v>SYS-21</x:v>
      </x:c>
      <x:c r="C1315" s="14" t="n">
        <x:v>31</x:v>
      </x:c>
      <x:c r="D1315" s="14" t="str">
        <x:v>Configuration</x:v>
      </x:c>
      <x:c r="E1315" s="14" t="str">
        <x:v>NOT COMMISSIONED</x:v>
      </x:c>
      <x:c r="F1315" s="14" t="str">
        <x:v>OPEN</x:v>
      </x:c>
    </x:row>
    <x:row r="1316">
      <x:c r="A1316" s="15" t="str">
        <x:v>CH-1312</x:v>
      </x:c>
      <x:c r="B1316" s="15" t="str">
        <x:v>SYS-21</x:v>
      </x:c>
      <x:c r="C1316" s="15" t="n">
        <x:v>32</x:v>
      </x:c>
      <x:c r="D1316" s="15" t="str">
        <x:v>Configuration</x:v>
      </x:c>
      <x:c r="E1316" s="15" t="str">
        <x:v>NOT COMMISSIONED</x:v>
      </x:c>
      <x:c r="F1316" s="15" t="str">
        <x:v>OPEN</x:v>
      </x:c>
    </x:row>
    <x:row r="1317">
      <x:c r="A1317" s="14" t="str">
        <x:v>CH-1313</x:v>
      </x:c>
      <x:c r="B1317" s="14" t="str">
        <x:v>SYS-21</x:v>
      </x:c>
      <x:c r="C1317" s="14" t="n">
        <x:v>33</x:v>
      </x:c>
      <x:c r="D1317" s="14" t="str">
        <x:v>Configuration</x:v>
      </x:c>
      <x:c r="E1317" s="14" t="str">
        <x:v>NOT COMMISSIONED</x:v>
      </x:c>
      <x:c r="F1317" s="14" t="str">
        <x:v>OPEN</x:v>
      </x:c>
    </x:row>
    <x:row r="1318">
      <x:c r="A1318" s="15" t="str">
        <x:v>CH-1314</x:v>
      </x:c>
      <x:c r="B1318" s="15" t="str">
        <x:v>SYS-21</x:v>
      </x:c>
      <x:c r="C1318" s="15" t="n">
        <x:v>34</x:v>
      </x:c>
      <x:c r="D1318" s="15" t="str">
        <x:v>Configuration</x:v>
      </x:c>
      <x:c r="E1318" s="15" t="str">
        <x:v>NOT COMMISSIONED</x:v>
      </x:c>
      <x:c r="F1318" s="15" t="str">
        <x:v>OPEN</x:v>
      </x:c>
    </x:row>
    <x:row r="1319">
      <x:c r="A1319" s="14" t="str">
        <x:v>CH-1315</x:v>
      </x:c>
      <x:c r="B1319" s="14" t="str">
        <x:v>SYS-21</x:v>
      </x:c>
      <x:c r="C1319" s="14" t="n">
        <x:v>35</x:v>
      </x:c>
      <x:c r="D1319" s="14" t="str">
        <x:v>Configuration</x:v>
      </x:c>
      <x:c r="E1319" s="14" t="str">
        <x:v>NOT COMMISSIONED</x:v>
      </x:c>
      <x:c r="F1319" s="14" t="str">
        <x:v>OPEN</x:v>
      </x:c>
    </x:row>
    <x:row r="1320">
      <x:c r="A1320" s="15" t="str">
        <x:v>CH-1316</x:v>
      </x:c>
      <x:c r="B1320" s="15" t="str">
        <x:v>SYS-21</x:v>
      </x:c>
      <x:c r="C1320" s="15" t="n">
        <x:v>36</x:v>
      </x:c>
      <x:c r="D1320" s="15" t="str">
        <x:v>Configuration</x:v>
      </x:c>
      <x:c r="E1320" s="15" t="str">
        <x:v>NOT COMMISSIONED</x:v>
      </x:c>
      <x:c r="F1320" s="15" t="str">
        <x:v>OPEN</x:v>
      </x:c>
    </x:row>
    <x:row r="1321">
      <x:c r="A1321" s="14" t="str">
        <x:v>CH-1317</x:v>
      </x:c>
      <x:c r="B1321" s="14" t="str">
        <x:v>SYS-21</x:v>
      </x:c>
      <x:c r="C1321" s="14" t="n">
        <x:v>37</x:v>
      </x:c>
      <x:c r="D1321" s="14" t="str">
        <x:v>Configuration</x:v>
      </x:c>
      <x:c r="E1321" s="14" t="str">
        <x:v>NOT COMMISSIONED</x:v>
      </x:c>
      <x:c r="F1321" s="14" t="str">
        <x:v>OPEN</x:v>
      </x:c>
    </x:row>
    <x:row r="1322">
      <x:c r="A1322" s="15" t="str">
        <x:v>CH-1318</x:v>
      </x:c>
      <x:c r="B1322" s="15" t="str">
        <x:v>SYS-21</x:v>
      </x:c>
      <x:c r="C1322" s="15" t="n">
        <x:v>38</x:v>
      </x:c>
      <x:c r="D1322" s="15" t="str">
        <x:v>Configuration</x:v>
      </x:c>
      <x:c r="E1322" s="15" t="str">
        <x:v>NOT COMMISSIONED</x:v>
      </x:c>
      <x:c r="F1322" s="15" t="str">
        <x:v>OPEN</x:v>
      </x:c>
    </x:row>
    <x:row r="1323">
      <x:c r="A1323" s="14" t="str">
        <x:v>CH-1319</x:v>
      </x:c>
      <x:c r="B1323" s="14" t="str">
        <x:v>SYS-21</x:v>
      </x:c>
      <x:c r="C1323" s="14" t="n">
        <x:v>39</x:v>
      </x:c>
      <x:c r="D1323" s="14" t="str">
        <x:v>Configuration</x:v>
      </x:c>
      <x:c r="E1323" s="14" t="str">
        <x:v>NOT COMMISSIONED</x:v>
      </x:c>
      <x:c r="F1323" s="14" t="str">
        <x:v>OPEN</x:v>
      </x:c>
    </x:row>
    <x:row r="1324">
      <x:c r="A1324" s="15" t="str">
        <x:v>CH-1320</x:v>
      </x:c>
      <x:c r="B1324" s="15" t="str">
        <x:v>SYS-21</x:v>
      </x:c>
      <x:c r="C1324" s="15" t="n">
        <x:v>40</x:v>
      </x:c>
      <x:c r="D1324" s="15" t="str">
        <x:v>Configuration</x:v>
      </x:c>
      <x:c r="E1324" s="15" t="str">
        <x:v>NOT COMMISSIONED</x:v>
      </x:c>
      <x:c r="F1324" s="15" t="str">
        <x:v>OPEN</x:v>
      </x:c>
    </x:row>
    <x:row r="1325">
      <x:c r="A1325" s="14" t="str">
        <x:v>CH-1321</x:v>
      </x:c>
      <x:c r="B1325" s="14" t="str">
        <x:v>SYS-21</x:v>
      </x:c>
      <x:c r="C1325" s="14" t="n">
        <x:v>41</x:v>
      </x:c>
      <x:c r="D1325" s="14" t="str">
        <x:v>Configuration</x:v>
      </x:c>
      <x:c r="E1325" s="14" t="str">
        <x:v>NOT COMMISSIONED</x:v>
      </x:c>
      <x:c r="F1325" s="14" t="str">
        <x:v>OPEN</x:v>
      </x:c>
    </x:row>
    <x:row r="1326">
      <x:c r="A1326" s="15" t="str">
        <x:v>CH-1322</x:v>
      </x:c>
      <x:c r="B1326" s="15" t="str">
        <x:v>SYS-21</x:v>
      </x:c>
      <x:c r="C1326" s="15" t="n">
        <x:v>42</x:v>
      </x:c>
      <x:c r="D1326" s="15" t="str">
        <x:v>Configuration</x:v>
      </x:c>
      <x:c r="E1326" s="15" t="str">
        <x:v>NOT COMMISSIONED</x:v>
      </x:c>
      <x:c r="F1326" s="15" t="str">
        <x:v>OPEN</x:v>
      </x:c>
    </x:row>
    <x:row r="1327">
      <x:c r="A1327" s="14" t="str">
        <x:v>CH-1323</x:v>
      </x:c>
      <x:c r="B1327" s="14" t="str">
        <x:v>SYS-21</x:v>
      </x:c>
      <x:c r="C1327" s="14" t="n">
        <x:v>43</x:v>
      </x:c>
      <x:c r="D1327" s="14" t="str">
        <x:v>Configuration</x:v>
      </x:c>
      <x:c r="E1327" s="14" t="str">
        <x:v>NOT COMMISSIONED</x:v>
      </x:c>
      <x:c r="F1327" s="14" t="str">
        <x:v>OPEN</x:v>
      </x:c>
    </x:row>
    <x:row r="1328">
      <x:c r="A1328" s="15" t="str">
        <x:v>CH-1324</x:v>
      </x:c>
      <x:c r="B1328" s="15" t="str">
        <x:v>SYS-21</x:v>
      </x:c>
      <x:c r="C1328" s="15" t="n">
        <x:v>44</x:v>
      </x:c>
      <x:c r="D1328" s="15" t="str">
        <x:v>Configuration</x:v>
      </x:c>
      <x:c r="E1328" s="15" t="str">
        <x:v>NOT COMMISSIONED</x:v>
      </x:c>
      <x:c r="F1328" s="15" t="str">
        <x:v>OPEN</x:v>
      </x:c>
    </x:row>
    <x:row r="1329">
      <x:c r="A1329" s="14" t="str">
        <x:v>CH-1325</x:v>
      </x:c>
      <x:c r="B1329" s="14" t="str">
        <x:v>SYS-21</x:v>
      </x:c>
      <x:c r="C1329" s="14" t="n">
        <x:v>45</x:v>
      </x:c>
      <x:c r="D1329" s="14" t="str">
        <x:v>Configuration</x:v>
      </x:c>
      <x:c r="E1329" s="14" t="str">
        <x:v>NOT COMMISSIONED</x:v>
      </x:c>
      <x:c r="F1329" s="14" t="str">
        <x:v>OPEN</x:v>
      </x:c>
    </x:row>
    <x:row r="1330">
      <x:c r="A1330" s="15" t="str">
        <x:v>CH-1326</x:v>
      </x:c>
      <x:c r="B1330" s="15" t="str">
        <x:v>SYS-21</x:v>
      </x:c>
      <x:c r="C1330" s="15" t="n">
        <x:v>46</x:v>
      </x:c>
      <x:c r="D1330" s="15" t="str">
        <x:v>Configuration</x:v>
      </x:c>
      <x:c r="E1330" s="15" t="str">
        <x:v>NOT COMMISSIONED</x:v>
      </x:c>
      <x:c r="F1330" s="15" t="str">
        <x:v>OPEN</x:v>
      </x:c>
    </x:row>
    <x:row r="1331">
      <x:c r="A1331" s="14" t="str">
        <x:v>CH-1327</x:v>
      </x:c>
      <x:c r="B1331" s="14" t="str">
        <x:v>SYS-21</x:v>
      </x:c>
      <x:c r="C1331" s="14" t="n">
        <x:v>47</x:v>
      </x:c>
      <x:c r="D1331" s="14" t="str">
        <x:v>Configuration</x:v>
      </x:c>
      <x:c r="E1331" s="14" t="str">
        <x:v>NOT COMMISSIONED</x:v>
      </x:c>
      <x:c r="F1331" s="14" t="str">
        <x:v>OPEN</x:v>
      </x:c>
    </x:row>
    <x:row r="1332">
      <x:c r="A1332" s="15" t="str">
        <x:v>CH-1328</x:v>
      </x:c>
      <x:c r="B1332" s="15" t="str">
        <x:v>SYS-21</x:v>
      </x:c>
      <x:c r="C1332" s="15" t="n">
        <x:v>48</x:v>
      </x:c>
      <x:c r="D1332" s="15" t="str">
        <x:v>Configuration</x:v>
      </x:c>
      <x:c r="E1332" s="15" t="str">
        <x:v>NOT COMMISSIONED</x:v>
      </x:c>
      <x:c r="F1332" s="15" t="str">
        <x:v>OPEN</x:v>
      </x:c>
    </x:row>
    <x:row r="1333">
      <x:c r="A1333" s="14" t="str">
        <x:v>CH-1329</x:v>
      </x:c>
      <x:c r="B1333" s="14" t="str">
        <x:v>SYS-21</x:v>
      </x:c>
      <x:c r="C1333" s="14" t="n">
        <x:v>49</x:v>
      </x:c>
      <x:c r="D1333" s="14" t="str">
        <x:v>Configuration</x:v>
      </x:c>
      <x:c r="E1333" s="14" t="str">
        <x:v>NOT COMMISSIONED</x:v>
      </x:c>
      <x:c r="F1333" s="14" t="str">
        <x:v>OPEN</x:v>
      </x:c>
    </x:row>
    <x:row r="1334">
      <x:c r="A1334" s="15" t="str">
        <x:v>CH-1330</x:v>
      </x:c>
      <x:c r="B1334" s="15" t="str">
        <x:v>SYS-21</x:v>
      </x:c>
      <x:c r="C1334" s="15" t="n">
        <x:v>50</x:v>
      </x:c>
      <x:c r="D1334" s="15" t="str">
        <x:v>Configuration</x:v>
      </x:c>
      <x:c r="E1334" s="15" t="str">
        <x:v>NOT COMMISSIONED</x:v>
      </x:c>
      <x:c r="F1334" s="15" t="str">
        <x:v>OPEN</x:v>
      </x:c>
    </x:row>
    <x:row r="1335">
      <x:c r="A1335" s="14" t="str">
        <x:v>CH-1331</x:v>
      </x:c>
      <x:c r="B1335" s="14" t="str">
        <x:v>SYS-21</x:v>
      </x:c>
      <x:c r="C1335" s="14" t="n">
        <x:v>51</x:v>
      </x:c>
      <x:c r="D1335" s="14" t="str">
        <x:v>Configuration</x:v>
      </x:c>
      <x:c r="E1335" s="14" t="str">
        <x:v>NOT COMMISSIONED</x:v>
      </x:c>
      <x:c r="F1335" s="14" t="str">
        <x:v>OPEN</x:v>
      </x:c>
    </x:row>
    <x:row r="1336">
      <x:c r="A1336" s="15" t="str">
        <x:v>CH-1332</x:v>
      </x:c>
      <x:c r="B1336" s="15" t="str">
        <x:v>SYS-21</x:v>
      </x:c>
      <x:c r="C1336" s="15" t="n">
        <x:v>52</x:v>
      </x:c>
      <x:c r="D1336" s="15" t="str">
        <x:v>Configuration</x:v>
      </x:c>
      <x:c r="E1336" s="15" t="str">
        <x:v>NOT COMMISSIONED</x:v>
      </x:c>
      <x:c r="F1336" s="15" t="str">
        <x:v>OPEN</x:v>
      </x:c>
    </x:row>
    <x:row r="1337">
      <x:c r="A1337" s="14" t="str">
        <x:v>CH-1333</x:v>
      </x:c>
      <x:c r="B1337" s="14" t="str">
        <x:v>SYS-21</x:v>
      </x:c>
      <x:c r="C1337" s="14" t="n">
        <x:v>53</x:v>
      </x:c>
      <x:c r="D1337" s="14" t="str">
        <x:v>Configuration</x:v>
      </x:c>
      <x:c r="E1337" s="14" t="str">
        <x:v>NOT COMMISSIONED</x:v>
      </x:c>
      <x:c r="F1337" s="14" t="str">
        <x:v>OPEN</x:v>
      </x:c>
    </x:row>
    <x:row r="1338">
      <x:c r="A1338" s="15" t="str">
        <x:v>CH-1334</x:v>
      </x:c>
      <x:c r="B1338" s="15" t="str">
        <x:v>SYS-21</x:v>
      </x:c>
      <x:c r="C1338" s="15" t="n">
        <x:v>54</x:v>
      </x:c>
      <x:c r="D1338" s="15" t="str">
        <x:v>Configuration</x:v>
      </x:c>
      <x:c r="E1338" s="15" t="str">
        <x:v>NOT COMMISSIONED</x:v>
      </x:c>
      <x:c r="F1338" s="15" t="str">
        <x:v>OPEN</x:v>
      </x:c>
    </x:row>
    <x:row r="1339">
      <x:c r="A1339" s="14" t="str">
        <x:v>CH-1335</x:v>
      </x:c>
      <x:c r="B1339" s="14" t="str">
        <x:v>SYS-21</x:v>
      </x:c>
      <x:c r="C1339" s="14" t="n">
        <x:v>55</x:v>
      </x:c>
      <x:c r="D1339" s="14" t="str">
        <x:v>Configuration</x:v>
      </x:c>
      <x:c r="E1339" s="14" t="str">
        <x:v>NOT COMMISSIONED</x:v>
      </x:c>
      <x:c r="F1339" s="14" t="str">
        <x:v>OPEN</x:v>
      </x:c>
    </x:row>
    <x:row r="1340">
      <x:c r="A1340" s="15" t="str">
        <x:v>CH-1336</x:v>
      </x:c>
      <x:c r="B1340" s="15" t="str">
        <x:v>SYS-21</x:v>
      </x:c>
      <x:c r="C1340" s="15" t="n">
        <x:v>56</x:v>
      </x:c>
      <x:c r="D1340" s="15" t="str">
        <x:v>Configuration</x:v>
      </x:c>
      <x:c r="E1340" s="15" t="str">
        <x:v>NOT COMMISSIONED</x:v>
      </x:c>
      <x:c r="F1340" s="15" t="str">
        <x:v>OPEN</x:v>
      </x:c>
    </x:row>
    <x:row r="1341">
      <x:c r="A1341" s="14" t="str">
        <x:v>CH-1337</x:v>
      </x:c>
      <x:c r="B1341" s="14" t="str">
        <x:v>SYS-21</x:v>
      </x:c>
      <x:c r="C1341" s="14" t="n">
        <x:v>57</x:v>
      </x:c>
      <x:c r="D1341" s="14" t="str">
        <x:v>Configuration</x:v>
      </x:c>
      <x:c r="E1341" s="14" t="str">
        <x:v>NOT COMMISSIONED</x:v>
      </x:c>
      <x:c r="F1341" s="14" t="str">
        <x:v>OPEN</x:v>
      </x:c>
    </x:row>
    <x:row r="1342">
      <x:c r="A1342" s="15" t="str">
        <x:v>CH-1338</x:v>
      </x:c>
      <x:c r="B1342" s="15" t="str">
        <x:v>SYS-21</x:v>
      </x:c>
      <x:c r="C1342" s="15" t="n">
        <x:v>58</x:v>
      </x:c>
      <x:c r="D1342" s="15" t="str">
        <x:v>Configuration</x:v>
      </x:c>
      <x:c r="E1342" s="15" t="str">
        <x:v>NOT COMMISSIONED</x:v>
      </x:c>
      <x:c r="F1342" s="15" t="str">
        <x:v>OPEN</x:v>
      </x:c>
    </x:row>
    <x:row r="1343">
      <x:c r="A1343" s="14" t="str">
        <x:v>CH-1339</x:v>
      </x:c>
      <x:c r="B1343" s="14" t="str">
        <x:v>SYS-21</x:v>
      </x:c>
      <x:c r="C1343" s="14" t="n">
        <x:v>59</x:v>
      </x:c>
      <x:c r="D1343" s="14" t="str">
        <x:v>Configuration</x:v>
      </x:c>
      <x:c r="E1343" s="14" t="str">
        <x:v>NOT COMMISSIONED</x:v>
      </x:c>
      <x:c r="F1343" s="14" t="str">
        <x:v>OPEN</x:v>
      </x:c>
    </x:row>
    <x:row r="1344">
      <x:c r="A1344" s="15" t="str">
        <x:v>CH-1340</x:v>
      </x:c>
      <x:c r="B1344" s="15" t="str">
        <x:v>SYS-21</x:v>
      </x:c>
      <x:c r="C1344" s="15" t="n">
        <x:v>60</x:v>
      </x:c>
      <x:c r="D1344" s="15" t="str">
        <x:v>Configuration</x:v>
      </x:c>
      <x:c r="E1344" s="15" t="str">
        <x:v>NOT COMMISSIONED</x:v>
      </x:c>
      <x:c r="F1344" s="15" t="str">
        <x:v>OPEN</x:v>
      </x:c>
    </x:row>
    <x:row r="1345">
      <x:c r="A1345" s="14" t="str">
        <x:v>CH-1341</x:v>
      </x:c>
      <x:c r="B1345" s="14" t="str">
        <x:v>SYS-21</x:v>
      </x:c>
      <x:c r="C1345" s="14" t="n">
        <x:v>61</x:v>
      </x:c>
      <x:c r="D1345" s="14" t="str">
        <x:v>Configuration</x:v>
      </x:c>
      <x:c r="E1345" s="14" t="str">
        <x:v>NOT COMMISSIONED</x:v>
      </x:c>
      <x:c r="F1345" s="14" t="str">
        <x:v>OPEN</x:v>
      </x:c>
    </x:row>
    <x:row r="1346">
      <x:c r="A1346" s="15" t="str">
        <x:v>CH-1342</x:v>
      </x:c>
      <x:c r="B1346" s="15" t="str">
        <x:v>SYS-21</x:v>
      </x:c>
      <x:c r="C1346" s="15" t="n">
        <x:v>62</x:v>
      </x:c>
      <x:c r="D1346" s="15" t="str">
        <x:v>Configuration</x:v>
      </x:c>
      <x:c r="E1346" s="15" t="str">
        <x:v>NOT COMMISSIONED</x:v>
      </x:c>
      <x:c r="F1346" s="15" t="str">
        <x:v>OPEN</x:v>
      </x:c>
    </x:row>
    <x:row r="1347">
      <x:c r="A1347" s="14" t="str">
        <x:v>CH-1343</x:v>
      </x:c>
      <x:c r="B1347" s="14" t="str">
        <x:v>SYS-21</x:v>
      </x:c>
      <x:c r="C1347" s="14" t="n">
        <x:v>63</x:v>
      </x:c>
      <x:c r="D1347" s="14" t="str">
        <x:v>Configuration</x:v>
      </x:c>
      <x:c r="E1347" s="14" t="str">
        <x:v>NOT COMMISSIONED</x:v>
      </x:c>
      <x:c r="F1347" s="14" t="str">
        <x:v>OPEN</x:v>
      </x:c>
    </x:row>
    <x:row r="1348">
      <x:c r="A1348" s="15" t="str">
        <x:v>CH-1344</x:v>
      </x:c>
      <x:c r="B1348" s="15" t="str">
        <x:v>SYS-21</x:v>
      </x:c>
      <x:c r="C1348" s="15" t="n">
        <x:v>64</x:v>
      </x:c>
      <x:c r="D1348" s="15" t="str">
        <x:v>Configuration</x:v>
      </x:c>
      <x:c r="E1348" s="15" t="str">
        <x:v>NOT COMMISSIONED</x:v>
      </x:c>
      <x:c r="F1348" s="15" t="str">
        <x:v>OPEN</x:v>
      </x:c>
    </x:row>
    <x:row r="1349">
      <x:c r="A1349" s="14" t="str">
        <x:v>CH-1345</x:v>
      </x:c>
      <x:c r="B1349" s="14" t="str">
        <x:v>SYS-22</x:v>
      </x:c>
      <x:c r="C1349" s="14" t="n">
        <x:v>1</x:v>
      </x:c>
      <x:c r="D1349" s="14" t="str">
        <x:v>Source</x:v>
      </x:c>
      <x:c r="E1349" s="14" t="str">
        <x:v>NOT COMMISSIONED</x:v>
      </x:c>
      <x:c r="F1349" s="14" t="str">
        <x:v>OPEN</x:v>
      </x:c>
    </x:row>
    <x:row r="1350">
      <x:c r="A1350" s="15" t="str">
        <x:v>CH-1346</x:v>
      </x:c>
      <x:c r="B1350" s="15" t="str">
        <x:v>SYS-22</x:v>
      </x:c>
      <x:c r="C1350" s="15" t="n">
        <x:v>2</x:v>
      </x:c>
      <x:c r="D1350" s="15" t="str">
        <x:v>Source</x:v>
      </x:c>
      <x:c r="E1350" s="15" t="str">
        <x:v>NOT COMMISSIONED</x:v>
      </x:c>
      <x:c r="F1350" s="15" t="str">
        <x:v>OPEN</x:v>
      </x:c>
    </x:row>
    <x:row r="1351">
      <x:c r="A1351" s="14" t="str">
        <x:v>CH-1347</x:v>
      </x:c>
      <x:c r="B1351" s="14" t="str">
        <x:v>SYS-22</x:v>
      </x:c>
      <x:c r="C1351" s="14" t="n">
        <x:v>3</x:v>
      </x:c>
      <x:c r="D1351" s="14" t="str">
        <x:v>Source</x:v>
      </x:c>
      <x:c r="E1351" s="14" t="str">
        <x:v>NOT COMMISSIONED</x:v>
      </x:c>
      <x:c r="F1351" s="14" t="str">
        <x:v>OPEN</x:v>
      </x:c>
    </x:row>
    <x:row r="1352">
      <x:c r="A1352" s="15" t="str">
        <x:v>CH-1348</x:v>
      </x:c>
      <x:c r="B1352" s="15" t="str">
        <x:v>SYS-22</x:v>
      </x:c>
      <x:c r="C1352" s="15" t="n">
        <x:v>4</x:v>
      </x:c>
      <x:c r="D1352" s="15" t="str">
        <x:v>Source</x:v>
      </x:c>
      <x:c r="E1352" s="15" t="str">
        <x:v>NOT COMMISSIONED</x:v>
      </x:c>
      <x:c r="F1352" s="15" t="str">
        <x:v>OPEN</x:v>
      </x:c>
    </x:row>
    <x:row r="1353">
      <x:c r="A1353" s="14" t="str">
        <x:v>CH-1349</x:v>
      </x:c>
      <x:c r="B1353" s="14" t="str">
        <x:v>SYS-22</x:v>
      </x:c>
      <x:c r="C1353" s="14" t="n">
        <x:v>5</x:v>
      </x:c>
      <x:c r="D1353" s="14" t="str">
        <x:v>Source</x:v>
      </x:c>
      <x:c r="E1353" s="14" t="str">
        <x:v>NOT COMMISSIONED</x:v>
      </x:c>
      <x:c r="F1353" s="14" t="str">
        <x:v>OPEN</x:v>
      </x:c>
    </x:row>
    <x:row r="1354">
      <x:c r="A1354" s="15" t="str">
        <x:v>CH-1350</x:v>
      </x:c>
      <x:c r="B1354" s="15" t="str">
        <x:v>SYS-22</x:v>
      </x:c>
      <x:c r="C1354" s="15" t="n">
        <x:v>6</x:v>
      </x:c>
      <x:c r="D1354" s="15" t="str">
        <x:v>Source</x:v>
      </x:c>
      <x:c r="E1354" s="15" t="str">
        <x:v>NOT COMMISSIONED</x:v>
      </x:c>
      <x:c r="F1354" s="15" t="str">
        <x:v>OPEN</x:v>
      </x:c>
    </x:row>
    <x:row r="1355">
      <x:c r="A1355" s="14" t="str">
        <x:v>CH-1351</x:v>
      </x:c>
      <x:c r="B1355" s="14" t="str">
        <x:v>SYS-22</x:v>
      </x:c>
      <x:c r="C1355" s="14" t="n">
        <x:v>7</x:v>
      </x:c>
      <x:c r="D1355" s="14" t="str">
        <x:v>Source</x:v>
      </x:c>
      <x:c r="E1355" s="14" t="str">
        <x:v>NOT COMMISSIONED</x:v>
      </x:c>
      <x:c r="F1355" s="14" t="str">
        <x:v>OPEN</x:v>
      </x:c>
    </x:row>
    <x:row r="1356">
      <x:c r="A1356" s="15" t="str">
        <x:v>CH-1352</x:v>
      </x:c>
      <x:c r="B1356" s="15" t="str">
        <x:v>SYS-22</x:v>
      </x:c>
      <x:c r="C1356" s="15" t="n">
        <x:v>8</x:v>
      </x:c>
      <x:c r="D1356" s="15" t="str">
        <x:v>Source</x:v>
      </x:c>
      <x:c r="E1356" s="15" t="str">
        <x:v>NOT COMMISSIONED</x:v>
      </x:c>
      <x:c r="F1356" s="15" t="str">
        <x:v>OPEN</x:v>
      </x:c>
    </x:row>
    <x:row r="1357">
      <x:c r="A1357" s="14" t="str">
        <x:v>CH-1353</x:v>
      </x:c>
      <x:c r="B1357" s="14" t="str">
        <x:v>SYS-22</x:v>
      </x:c>
      <x:c r="C1357" s="14" t="n">
        <x:v>9</x:v>
      </x:c>
      <x:c r="D1357" s="14" t="str">
        <x:v>Source</x:v>
      </x:c>
      <x:c r="E1357" s="14" t="str">
        <x:v>NOT COMMISSIONED</x:v>
      </x:c>
      <x:c r="F1357" s="14" t="str">
        <x:v>OPEN</x:v>
      </x:c>
    </x:row>
    <x:row r="1358">
      <x:c r="A1358" s="15" t="str">
        <x:v>CH-1354</x:v>
      </x:c>
      <x:c r="B1358" s="15" t="str">
        <x:v>SYS-22</x:v>
      </x:c>
      <x:c r="C1358" s="15" t="n">
        <x:v>10</x:v>
      </x:c>
      <x:c r="D1358" s="15" t="str">
        <x:v>Source</x:v>
      </x:c>
      <x:c r="E1358" s="15" t="str">
        <x:v>NOT COMMISSIONED</x:v>
      </x:c>
      <x:c r="F1358" s="15" t="str">
        <x:v>OPEN</x:v>
      </x:c>
    </x:row>
    <x:row r="1359">
      <x:c r="A1359" s="14" t="str">
        <x:v>CH-1355</x:v>
      </x:c>
      <x:c r="B1359" s="14" t="str">
        <x:v>SYS-22</x:v>
      </x:c>
      <x:c r="C1359" s="14" t="n">
        <x:v>11</x:v>
      </x:c>
      <x:c r="D1359" s="14" t="str">
        <x:v>Source</x:v>
      </x:c>
      <x:c r="E1359" s="14" t="str">
        <x:v>NOT COMMISSIONED</x:v>
      </x:c>
      <x:c r="F1359" s="14" t="str">
        <x:v>OPEN</x:v>
      </x:c>
    </x:row>
    <x:row r="1360">
      <x:c r="A1360" s="15" t="str">
        <x:v>CH-1356</x:v>
      </x:c>
      <x:c r="B1360" s="15" t="str">
        <x:v>SYS-22</x:v>
      </x:c>
      <x:c r="C1360" s="15" t="n">
        <x:v>12</x:v>
      </x:c>
      <x:c r="D1360" s="15" t="str">
        <x:v>Source</x:v>
      </x:c>
      <x:c r="E1360" s="15" t="str">
        <x:v>NOT COMMISSIONED</x:v>
      </x:c>
      <x:c r="F1360" s="15" t="str">
        <x:v>OPEN</x:v>
      </x:c>
    </x:row>
    <x:row r="1361">
      <x:c r="A1361" s="14" t="str">
        <x:v>CH-1357</x:v>
      </x:c>
      <x:c r="B1361" s="14" t="str">
        <x:v>SYS-22</x:v>
      </x:c>
      <x:c r="C1361" s="14" t="n">
        <x:v>13</x:v>
      </x:c>
      <x:c r="D1361" s="14" t="str">
        <x:v>Source</x:v>
      </x:c>
      <x:c r="E1361" s="14" t="str">
        <x:v>NOT COMMISSIONED</x:v>
      </x:c>
      <x:c r="F1361" s="14" t="str">
        <x:v>OPEN</x:v>
      </x:c>
    </x:row>
    <x:row r="1362">
      <x:c r="A1362" s="15" t="str">
        <x:v>CH-1358</x:v>
      </x:c>
      <x:c r="B1362" s="15" t="str">
        <x:v>SYS-22</x:v>
      </x:c>
      <x:c r="C1362" s="15" t="n">
        <x:v>14</x:v>
      </x:c>
      <x:c r="D1362" s="15" t="str">
        <x:v>Source</x:v>
      </x:c>
      <x:c r="E1362" s="15" t="str">
        <x:v>NOT COMMISSIONED</x:v>
      </x:c>
      <x:c r="F1362" s="15" t="str">
        <x:v>OPEN</x:v>
      </x:c>
    </x:row>
    <x:row r="1363">
      <x:c r="A1363" s="14" t="str">
        <x:v>CH-1359</x:v>
      </x:c>
      <x:c r="B1363" s="14" t="str">
        <x:v>SYS-22</x:v>
      </x:c>
      <x:c r="C1363" s="14" t="n">
        <x:v>15</x:v>
      </x:c>
      <x:c r="D1363" s="14" t="str">
        <x:v>Source</x:v>
      </x:c>
      <x:c r="E1363" s="14" t="str">
        <x:v>NOT COMMISSIONED</x:v>
      </x:c>
      <x:c r="F1363" s="14" t="str">
        <x:v>OPEN</x:v>
      </x:c>
    </x:row>
    <x:row r="1364">
      <x:c r="A1364" s="15" t="str">
        <x:v>CH-1360</x:v>
      </x:c>
      <x:c r="B1364" s="15" t="str">
        <x:v>SYS-22</x:v>
      </x:c>
      <x:c r="C1364" s="15" t="n">
        <x:v>16</x:v>
      </x:c>
      <x:c r="D1364" s="15" t="str">
        <x:v>Source</x:v>
      </x:c>
      <x:c r="E1364" s="15" t="str">
        <x:v>NOT COMMISSIONED</x:v>
      </x:c>
      <x:c r="F1364" s="15" t="str">
        <x:v>OPEN</x:v>
      </x:c>
    </x:row>
    <x:row r="1365">
      <x:c r="A1365" s="14" t="str">
        <x:v>CH-1361</x:v>
      </x:c>
      <x:c r="B1365" s="14" t="str">
        <x:v>SYS-22</x:v>
      </x:c>
      <x:c r="C1365" s="14" t="n">
        <x:v>17</x:v>
      </x:c>
      <x:c r="D1365" s="14" t="str">
        <x:v>Source</x:v>
      </x:c>
      <x:c r="E1365" s="14" t="str">
        <x:v>NOT COMMISSIONED</x:v>
      </x:c>
      <x:c r="F1365" s="14" t="str">
        <x:v>OPEN</x:v>
      </x:c>
    </x:row>
    <x:row r="1366">
      <x:c r="A1366" s="15" t="str">
        <x:v>CH-1362</x:v>
      </x:c>
      <x:c r="B1366" s="15" t="str">
        <x:v>SYS-22</x:v>
      </x:c>
      <x:c r="C1366" s="15" t="n">
        <x:v>18</x:v>
      </x:c>
      <x:c r="D1366" s="15" t="str">
        <x:v>Source</x:v>
      </x:c>
      <x:c r="E1366" s="15" t="str">
        <x:v>NOT COMMISSIONED</x:v>
      </x:c>
      <x:c r="F1366" s="15" t="str">
        <x:v>OPEN</x:v>
      </x:c>
    </x:row>
    <x:row r="1367">
      <x:c r="A1367" s="14" t="str">
        <x:v>CH-1363</x:v>
      </x:c>
      <x:c r="B1367" s="14" t="str">
        <x:v>SYS-22</x:v>
      </x:c>
      <x:c r="C1367" s="14" t="n">
        <x:v>19</x:v>
      </x:c>
      <x:c r="D1367" s="14" t="str">
        <x:v>Source</x:v>
      </x:c>
      <x:c r="E1367" s="14" t="str">
        <x:v>NOT COMMISSIONED</x:v>
      </x:c>
      <x:c r="F1367" s="14" t="str">
        <x:v>OPEN</x:v>
      </x:c>
    </x:row>
    <x:row r="1368">
      <x:c r="A1368" s="15" t="str">
        <x:v>CH-1364</x:v>
      </x:c>
      <x:c r="B1368" s="15" t="str">
        <x:v>SYS-22</x:v>
      </x:c>
      <x:c r="C1368" s="15" t="n">
        <x:v>20</x:v>
      </x:c>
      <x:c r="D1368" s="15" t="str">
        <x:v>Source</x:v>
      </x:c>
      <x:c r="E1368" s="15" t="str">
        <x:v>NOT COMMISSIONED</x:v>
      </x:c>
      <x:c r="F1368" s="15" t="str">
        <x:v>OPEN</x:v>
      </x:c>
    </x:row>
    <x:row r="1369">
      <x:c r="A1369" s="14" t="str">
        <x:v>CH-1365</x:v>
      </x:c>
      <x:c r="B1369" s="14" t="str">
        <x:v>SYS-22</x:v>
      </x:c>
      <x:c r="C1369" s="14" t="n">
        <x:v>21</x:v>
      </x:c>
      <x:c r="D1369" s="14" t="str">
        <x:v>Source</x:v>
      </x:c>
      <x:c r="E1369" s="14" t="str">
        <x:v>NOT COMMISSIONED</x:v>
      </x:c>
      <x:c r="F1369" s="14" t="str">
        <x:v>OPEN</x:v>
      </x:c>
    </x:row>
    <x:row r="1370">
      <x:c r="A1370" s="15" t="str">
        <x:v>CH-1366</x:v>
      </x:c>
      <x:c r="B1370" s="15" t="str">
        <x:v>SYS-22</x:v>
      </x:c>
      <x:c r="C1370" s="15" t="n">
        <x:v>22</x:v>
      </x:c>
      <x:c r="D1370" s="15" t="str">
        <x:v>Source</x:v>
      </x:c>
      <x:c r="E1370" s="15" t="str">
        <x:v>NOT COMMISSIONED</x:v>
      </x:c>
      <x:c r="F1370" s="15" t="str">
        <x:v>OPEN</x:v>
      </x:c>
    </x:row>
    <x:row r="1371">
      <x:c r="A1371" s="14" t="str">
        <x:v>CH-1367</x:v>
      </x:c>
      <x:c r="B1371" s="14" t="str">
        <x:v>SYS-22</x:v>
      </x:c>
      <x:c r="C1371" s="14" t="n">
        <x:v>23</x:v>
      </x:c>
      <x:c r="D1371" s="14" t="str">
        <x:v>Source</x:v>
      </x:c>
      <x:c r="E1371" s="14" t="str">
        <x:v>NOT COMMISSIONED</x:v>
      </x:c>
      <x:c r="F1371" s="14" t="str">
        <x:v>OPEN</x:v>
      </x:c>
    </x:row>
    <x:row r="1372">
      <x:c r="A1372" s="15" t="str">
        <x:v>CH-1368</x:v>
      </x:c>
      <x:c r="B1372" s="15" t="str">
        <x:v>SYS-22</x:v>
      </x:c>
      <x:c r="C1372" s="15" t="n">
        <x:v>24</x:v>
      </x:c>
      <x:c r="D1372" s="15" t="str">
        <x:v>Source</x:v>
      </x:c>
      <x:c r="E1372" s="15" t="str">
        <x:v>NOT COMMISSIONED</x:v>
      </x:c>
      <x:c r="F1372" s="15" t="str">
        <x:v>OPEN</x:v>
      </x:c>
    </x:row>
    <x:row r="1373">
      <x:c r="A1373" s="14" t="str">
        <x:v>CH-1369</x:v>
      </x:c>
      <x:c r="B1373" s="14" t="str">
        <x:v>SYS-22</x:v>
      </x:c>
      <x:c r="C1373" s="14" t="n">
        <x:v>25</x:v>
      </x:c>
      <x:c r="D1373" s="14" t="str">
        <x:v>Source</x:v>
      </x:c>
      <x:c r="E1373" s="14" t="str">
        <x:v>NOT COMMISSIONED</x:v>
      </x:c>
      <x:c r="F1373" s="14" t="str">
        <x:v>OPEN</x:v>
      </x:c>
    </x:row>
    <x:row r="1374">
      <x:c r="A1374" s="15" t="str">
        <x:v>CH-1370</x:v>
      </x:c>
      <x:c r="B1374" s="15" t="str">
        <x:v>SYS-22</x:v>
      </x:c>
      <x:c r="C1374" s="15" t="n">
        <x:v>26</x:v>
      </x:c>
      <x:c r="D1374" s="15" t="str">
        <x:v>Source</x:v>
      </x:c>
      <x:c r="E1374" s="15" t="str">
        <x:v>NOT COMMISSIONED</x:v>
      </x:c>
      <x:c r="F1374" s="15" t="str">
        <x:v>OPEN</x:v>
      </x:c>
    </x:row>
    <x:row r="1375">
      <x:c r="A1375" s="14" t="str">
        <x:v>CH-1371</x:v>
      </x:c>
      <x:c r="B1375" s="14" t="str">
        <x:v>SYS-22</x:v>
      </x:c>
      <x:c r="C1375" s="14" t="n">
        <x:v>27</x:v>
      </x:c>
      <x:c r="D1375" s="14" t="str">
        <x:v>Source</x:v>
      </x:c>
      <x:c r="E1375" s="14" t="str">
        <x:v>NOT COMMISSIONED</x:v>
      </x:c>
      <x:c r="F1375" s="14" t="str">
        <x:v>OPEN</x:v>
      </x:c>
    </x:row>
    <x:row r="1376">
      <x:c r="A1376" s="15" t="str">
        <x:v>CH-1372</x:v>
      </x:c>
      <x:c r="B1376" s="15" t="str">
        <x:v>SYS-22</x:v>
      </x:c>
      <x:c r="C1376" s="15" t="n">
        <x:v>28</x:v>
      </x:c>
      <x:c r="D1376" s="15" t="str">
        <x:v>Source</x:v>
      </x:c>
      <x:c r="E1376" s="15" t="str">
        <x:v>NOT COMMISSIONED</x:v>
      </x:c>
      <x:c r="F1376" s="15" t="str">
        <x:v>OPEN</x:v>
      </x:c>
    </x:row>
    <x:row r="1377">
      <x:c r="A1377" s="14" t="str">
        <x:v>CH-1373</x:v>
      </x:c>
      <x:c r="B1377" s="14" t="str">
        <x:v>SYS-22</x:v>
      </x:c>
      <x:c r="C1377" s="14" t="n">
        <x:v>29</x:v>
      </x:c>
      <x:c r="D1377" s="14" t="str">
        <x:v>Source</x:v>
      </x:c>
      <x:c r="E1377" s="14" t="str">
        <x:v>NOT COMMISSIONED</x:v>
      </x:c>
      <x:c r="F1377" s="14" t="str">
        <x:v>OPEN</x:v>
      </x:c>
    </x:row>
    <x:row r="1378">
      <x:c r="A1378" s="15" t="str">
        <x:v>CH-1374</x:v>
      </x:c>
      <x:c r="B1378" s="15" t="str">
        <x:v>SYS-22</x:v>
      </x:c>
      <x:c r="C1378" s="15" t="n">
        <x:v>30</x:v>
      </x:c>
      <x:c r="D1378" s="15" t="str">
        <x:v>Source</x:v>
      </x:c>
      <x:c r="E1378" s="15" t="str">
        <x:v>NOT COMMISSIONED</x:v>
      </x:c>
      <x:c r="F1378" s="15" t="str">
        <x:v>OPEN</x:v>
      </x:c>
    </x:row>
    <x:row r="1379">
      <x:c r="A1379" s="14" t="str">
        <x:v>CH-1375</x:v>
      </x:c>
      <x:c r="B1379" s="14" t="str">
        <x:v>SYS-22</x:v>
      </x:c>
      <x:c r="C1379" s="14" t="n">
        <x:v>31</x:v>
      </x:c>
      <x:c r="D1379" s="14" t="str">
        <x:v>Source</x:v>
      </x:c>
      <x:c r="E1379" s="14" t="str">
        <x:v>NOT COMMISSIONED</x:v>
      </x:c>
      <x:c r="F1379" s="14" t="str">
        <x:v>OPEN</x:v>
      </x:c>
    </x:row>
    <x:row r="1380">
      <x:c r="A1380" s="15" t="str">
        <x:v>CH-1376</x:v>
      </x:c>
      <x:c r="B1380" s="15" t="str">
        <x:v>SYS-22</x:v>
      </x:c>
      <x:c r="C1380" s="15" t="n">
        <x:v>32</x:v>
      </x:c>
      <x:c r="D1380" s="15" t="str">
        <x:v>Source</x:v>
      </x:c>
      <x:c r="E1380" s="15" t="str">
        <x:v>NOT COMMISSIONED</x:v>
      </x:c>
      <x:c r="F1380" s="15" t="str">
        <x:v>OPEN</x:v>
      </x:c>
    </x:row>
    <x:row r="1381">
      <x:c r="A1381" s="14" t="str">
        <x:v>CH-1377</x:v>
      </x:c>
      <x:c r="B1381" s="14" t="str">
        <x:v>SYS-22</x:v>
      </x:c>
      <x:c r="C1381" s="14" t="n">
        <x:v>33</x:v>
      </x:c>
      <x:c r="D1381" s="14" t="str">
        <x:v>Source</x:v>
      </x:c>
      <x:c r="E1381" s="14" t="str">
        <x:v>NOT COMMISSIONED</x:v>
      </x:c>
      <x:c r="F1381" s="14" t="str">
        <x:v>OPEN</x:v>
      </x:c>
    </x:row>
    <x:row r="1382">
      <x:c r="A1382" s="15" t="str">
        <x:v>CH-1378</x:v>
      </x:c>
      <x:c r="B1382" s="15" t="str">
        <x:v>SYS-22</x:v>
      </x:c>
      <x:c r="C1382" s="15" t="n">
        <x:v>34</x:v>
      </x:c>
      <x:c r="D1382" s="15" t="str">
        <x:v>Source</x:v>
      </x:c>
      <x:c r="E1382" s="15" t="str">
        <x:v>NOT COMMISSIONED</x:v>
      </x:c>
      <x:c r="F1382" s="15" t="str">
        <x:v>OPEN</x:v>
      </x:c>
    </x:row>
    <x:row r="1383">
      <x:c r="A1383" s="14" t="str">
        <x:v>CH-1379</x:v>
      </x:c>
      <x:c r="B1383" s="14" t="str">
        <x:v>SYS-22</x:v>
      </x:c>
      <x:c r="C1383" s="14" t="n">
        <x:v>35</x:v>
      </x:c>
      <x:c r="D1383" s="14" t="str">
        <x:v>Source</x:v>
      </x:c>
      <x:c r="E1383" s="14" t="str">
        <x:v>NOT COMMISSIONED</x:v>
      </x:c>
      <x:c r="F1383" s="14" t="str">
        <x:v>OPEN</x:v>
      </x:c>
    </x:row>
    <x:row r="1384">
      <x:c r="A1384" s="15" t="str">
        <x:v>CH-1380</x:v>
      </x:c>
      <x:c r="B1384" s="15" t="str">
        <x:v>SYS-22</x:v>
      </x:c>
      <x:c r="C1384" s="15" t="n">
        <x:v>36</x:v>
      </x:c>
      <x:c r="D1384" s="15" t="str">
        <x:v>Source</x:v>
      </x:c>
      <x:c r="E1384" s="15" t="str">
        <x:v>NOT COMMISSIONED</x:v>
      </x:c>
      <x:c r="F1384" s="15" t="str">
        <x:v>OPEN</x:v>
      </x:c>
    </x:row>
    <x:row r="1385">
      <x:c r="A1385" s="14" t="str">
        <x:v>CH-1381</x:v>
      </x:c>
      <x:c r="B1385" s="14" t="str">
        <x:v>SYS-22</x:v>
      </x:c>
      <x:c r="C1385" s="14" t="n">
        <x:v>37</x:v>
      </x:c>
      <x:c r="D1385" s="14" t="str">
        <x:v>Source</x:v>
      </x:c>
      <x:c r="E1385" s="14" t="str">
        <x:v>NOT COMMISSIONED</x:v>
      </x:c>
      <x:c r="F1385" s="14" t="str">
        <x:v>OPEN</x:v>
      </x:c>
    </x:row>
    <x:row r="1386">
      <x:c r="A1386" s="15" t="str">
        <x:v>CH-1382</x:v>
      </x:c>
      <x:c r="B1386" s="15" t="str">
        <x:v>SYS-22</x:v>
      </x:c>
      <x:c r="C1386" s="15" t="n">
        <x:v>38</x:v>
      </x:c>
      <x:c r="D1386" s="15" t="str">
        <x:v>Source</x:v>
      </x:c>
      <x:c r="E1386" s="15" t="str">
        <x:v>NOT COMMISSIONED</x:v>
      </x:c>
      <x:c r="F1386" s="15" t="str">
        <x:v>OPEN</x:v>
      </x:c>
    </x:row>
    <x:row r="1387">
      <x:c r="A1387" s="14" t="str">
        <x:v>CH-1383</x:v>
      </x:c>
      <x:c r="B1387" s="14" t="str">
        <x:v>SYS-22</x:v>
      </x:c>
      <x:c r="C1387" s="14" t="n">
        <x:v>39</x:v>
      </x:c>
      <x:c r="D1387" s="14" t="str">
        <x:v>Source</x:v>
      </x:c>
      <x:c r="E1387" s="14" t="str">
        <x:v>NOT COMMISSIONED</x:v>
      </x:c>
      <x:c r="F1387" s="14" t="str">
        <x:v>OPEN</x:v>
      </x:c>
    </x:row>
    <x:row r="1388">
      <x:c r="A1388" s="15" t="str">
        <x:v>CH-1384</x:v>
      </x:c>
      <x:c r="B1388" s="15" t="str">
        <x:v>SYS-22</x:v>
      </x:c>
      <x:c r="C1388" s="15" t="n">
        <x:v>40</x:v>
      </x:c>
      <x:c r="D1388" s="15" t="str">
        <x:v>Source</x:v>
      </x:c>
      <x:c r="E1388" s="15" t="str">
        <x:v>NOT COMMISSIONED</x:v>
      </x:c>
      <x:c r="F1388" s="15" t="str">
        <x:v>OPEN</x:v>
      </x:c>
    </x:row>
    <x:row r="1389">
      <x:c r="A1389" s="14" t="str">
        <x:v>CH-1385</x:v>
      </x:c>
      <x:c r="B1389" s="14" t="str">
        <x:v>SYS-22</x:v>
      </x:c>
      <x:c r="C1389" s="14" t="n">
        <x:v>41</x:v>
      </x:c>
      <x:c r="D1389" s="14" t="str">
        <x:v>Source</x:v>
      </x:c>
      <x:c r="E1389" s="14" t="str">
        <x:v>NOT COMMISSIONED</x:v>
      </x:c>
      <x:c r="F1389" s="14" t="str">
        <x:v>OPEN</x:v>
      </x:c>
    </x:row>
    <x:row r="1390">
      <x:c r="A1390" s="15" t="str">
        <x:v>CH-1386</x:v>
      </x:c>
      <x:c r="B1390" s="15" t="str">
        <x:v>SYS-22</x:v>
      </x:c>
      <x:c r="C1390" s="15" t="n">
        <x:v>42</x:v>
      </x:c>
      <x:c r="D1390" s="15" t="str">
        <x:v>Source</x:v>
      </x:c>
      <x:c r="E1390" s="15" t="str">
        <x:v>NOT COMMISSIONED</x:v>
      </x:c>
      <x:c r="F1390" s="15" t="str">
        <x:v>OPEN</x:v>
      </x:c>
    </x:row>
    <x:row r="1391">
      <x:c r="A1391" s="14" t="str">
        <x:v>CH-1387</x:v>
      </x:c>
      <x:c r="B1391" s="14" t="str">
        <x:v>SYS-22</x:v>
      </x:c>
      <x:c r="C1391" s="14" t="n">
        <x:v>43</x:v>
      </x:c>
      <x:c r="D1391" s="14" t="str">
        <x:v>Source</x:v>
      </x:c>
      <x:c r="E1391" s="14" t="str">
        <x:v>NOT COMMISSIONED</x:v>
      </x:c>
      <x:c r="F1391" s="14" t="str">
        <x:v>OPEN</x:v>
      </x:c>
    </x:row>
    <x:row r="1392">
      <x:c r="A1392" s="15" t="str">
        <x:v>CH-1388</x:v>
      </x:c>
      <x:c r="B1392" s="15" t="str">
        <x:v>SYS-22</x:v>
      </x:c>
      <x:c r="C1392" s="15" t="n">
        <x:v>44</x:v>
      </x:c>
      <x:c r="D1392" s="15" t="str">
        <x:v>Source</x:v>
      </x:c>
      <x:c r="E1392" s="15" t="str">
        <x:v>NOT COMMISSIONED</x:v>
      </x:c>
      <x:c r="F1392" s="15" t="str">
        <x:v>OPEN</x:v>
      </x:c>
    </x:row>
    <x:row r="1393">
      <x:c r="A1393" s="14" t="str">
        <x:v>CH-1389</x:v>
      </x:c>
      <x:c r="B1393" s="14" t="str">
        <x:v>SYS-22</x:v>
      </x:c>
      <x:c r="C1393" s="14" t="n">
        <x:v>45</x:v>
      </x:c>
      <x:c r="D1393" s="14" t="str">
        <x:v>Source</x:v>
      </x:c>
      <x:c r="E1393" s="14" t="str">
        <x:v>NOT COMMISSIONED</x:v>
      </x:c>
      <x:c r="F1393" s="14" t="str">
        <x:v>OPEN</x:v>
      </x:c>
    </x:row>
    <x:row r="1394">
      <x:c r="A1394" s="15" t="str">
        <x:v>CH-1390</x:v>
      </x:c>
      <x:c r="B1394" s="15" t="str">
        <x:v>SYS-22</x:v>
      </x:c>
      <x:c r="C1394" s="15" t="n">
        <x:v>46</x:v>
      </x:c>
      <x:c r="D1394" s="15" t="str">
        <x:v>Source</x:v>
      </x:c>
      <x:c r="E1394" s="15" t="str">
        <x:v>NOT COMMISSIONED</x:v>
      </x:c>
      <x:c r="F1394" s="15" t="str">
        <x:v>OPEN</x:v>
      </x:c>
    </x:row>
    <x:row r="1395">
      <x:c r="A1395" s="14" t="str">
        <x:v>CH-1391</x:v>
      </x:c>
      <x:c r="B1395" s="14" t="str">
        <x:v>SYS-22</x:v>
      </x:c>
      <x:c r="C1395" s="14" t="n">
        <x:v>47</x:v>
      </x:c>
      <x:c r="D1395" s="14" t="str">
        <x:v>Source</x:v>
      </x:c>
      <x:c r="E1395" s="14" t="str">
        <x:v>NOT COMMISSIONED</x:v>
      </x:c>
      <x:c r="F1395" s="14" t="str">
        <x:v>OPEN</x:v>
      </x:c>
    </x:row>
    <x:row r="1396">
      <x:c r="A1396" s="15" t="str">
        <x:v>CH-1392</x:v>
      </x:c>
      <x:c r="B1396" s="15" t="str">
        <x:v>SYS-22</x:v>
      </x:c>
      <x:c r="C1396" s="15" t="n">
        <x:v>48</x:v>
      </x:c>
      <x:c r="D1396" s="15" t="str">
        <x:v>Source</x:v>
      </x:c>
      <x:c r="E1396" s="15" t="str">
        <x:v>NOT COMMISSIONED</x:v>
      </x:c>
      <x:c r="F1396" s="15" t="str">
        <x:v>OPEN</x:v>
      </x:c>
    </x:row>
    <x:row r="1397">
      <x:c r="A1397" s="14" t="str">
        <x:v>CH-1393</x:v>
      </x:c>
      <x:c r="B1397" s="14" t="str">
        <x:v>SYS-22</x:v>
      </x:c>
      <x:c r="C1397" s="14" t="n">
        <x:v>49</x:v>
      </x:c>
      <x:c r="D1397" s="14" t="str">
        <x:v>Source</x:v>
      </x:c>
      <x:c r="E1397" s="14" t="str">
        <x:v>NOT COMMISSIONED</x:v>
      </x:c>
      <x:c r="F1397" s="14" t="str">
        <x:v>OPEN</x:v>
      </x:c>
    </x:row>
    <x:row r="1398">
      <x:c r="A1398" s="15" t="str">
        <x:v>CH-1394</x:v>
      </x:c>
      <x:c r="B1398" s="15" t="str">
        <x:v>SYS-22</x:v>
      </x:c>
      <x:c r="C1398" s="15" t="n">
        <x:v>50</x:v>
      </x:c>
      <x:c r="D1398" s="15" t="str">
        <x:v>Source</x:v>
      </x:c>
      <x:c r="E1398" s="15" t="str">
        <x:v>NOT COMMISSIONED</x:v>
      </x:c>
      <x:c r="F1398" s="15" t="str">
        <x:v>OPEN</x:v>
      </x:c>
    </x:row>
    <x:row r="1399">
      <x:c r="A1399" s="14" t="str">
        <x:v>CH-1395</x:v>
      </x:c>
      <x:c r="B1399" s="14" t="str">
        <x:v>SYS-22</x:v>
      </x:c>
      <x:c r="C1399" s="14" t="n">
        <x:v>51</x:v>
      </x:c>
      <x:c r="D1399" s="14" t="str">
        <x:v>Source</x:v>
      </x:c>
      <x:c r="E1399" s="14" t="str">
        <x:v>NOT COMMISSIONED</x:v>
      </x:c>
      <x:c r="F1399" s="14" t="str">
        <x:v>OPEN</x:v>
      </x:c>
    </x:row>
    <x:row r="1400">
      <x:c r="A1400" s="15" t="str">
        <x:v>CH-1396</x:v>
      </x:c>
      <x:c r="B1400" s="15" t="str">
        <x:v>SYS-22</x:v>
      </x:c>
      <x:c r="C1400" s="15" t="n">
        <x:v>52</x:v>
      </x:c>
      <x:c r="D1400" s="15" t="str">
        <x:v>Source</x:v>
      </x:c>
      <x:c r="E1400" s="15" t="str">
        <x:v>NOT COMMISSIONED</x:v>
      </x:c>
      <x:c r="F1400" s="15" t="str">
        <x:v>OPEN</x:v>
      </x:c>
    </x:row>
    <x:row r="1401">
      <x:c r="A1401" s="14" t="str">
        <x:v>CH-1397</x:v>
      </x:c>
      <x:c r="B1401" s="14" t="str">
        <x:v>SYS-22</x:v>
      </x:c>
      <x:c r="C1401" s="14" t="n">
        <x:v>53</x:v>
      </x:c>
      <x:c r="D1401" s="14" t="str">
        <x:v>Source</x:v>
      </x:c>
      <x:c r="E1401" s="14" t="str">
        <x:v>NOT COMMISSIONED</x:v>
      </x:c>
      <x:c r="F1401" s="14" t="str">
        <x:v>OPEN</x:v>
      </x:c>
    </x:row>
    <x:row r="1402">
      <x:c r="A1402" s="15" t="str">
        <x:v>CH-1398</x:v>
      </x:c>
      <x:c r="B1402" s="15" t="str">
        <x:v>SYS-22</x:v>
      </x:c>
      <x:c r="C1402" s="15" t="n">
        <x:v>54</x:v>
      </x:c>
      <x:c r="D1402" s="15" t="str">
        <x:v>Source</x:v>
      </x:c>
      <x:c r="E1402" s="15" t="str">
        <x:v>NOT COMMISSIONED</x:v>
      </x:c>
      <x:c r="F1402" s="15" t="str">
        <x:v>OPEN</x:v>
      </x:c>
    </x:row>
    <x:row r="1403">
      <x:c r="A1403" s="14" t="str">
        <x:v>CH-1399</x:v>
      </x:c>
      <x:c r="B1403" s="14" t="str">
        <x:v>SYS-22</x:v>
      </x:c>
      <x:c r="C1403" s="14" t="n">
        <x:v>55</x:v>
      </x:c>
      <x:c r="D1403" s="14" t="str">
        <x:v>Source</x:v>
      </x:c>
      <x:c r="E1403" s="14" t="str">
        <x:v>NOT COMMISSIONED</x:v>
      </x:c>
      <x:c r="F1403" s="14" t="str">
        <x:v>OPEN</x:v>
      </x:c>
    </x:row>
    <x:row r="1404">
      <x:c r="A1404" s="15" t="str">
        <x:v>CH-1400</x:v>
      </x:c>
      <x:c r="B1404" s="15" t="str">
        <x:v>SYS-22</x:v>
      </x:c>
      <x:c r="C1404" s="15" t="n">
        <x:v>56</x:v>
      </x:c>
      <x:c r="D1404" s="15" t="str">
        <x:v>Source</x:v>
      </x:c>
      <x:c r="E1404" s="15" t="str">
        <x:v>NOT COMMISSIONED</x:v>
      </x:c>
      <x:c r="F1404" s="15" t="str">
        <x:v>OPEN</x:v>
      </x:c>
    </x:row>
    <x:row r="1405">
      <x:c r="A1405" s="14" t="str">
        <x:v>CH-1401</x:v>
      </x:c>
      <x:c r="B1405" s="14" t="str">
        <x:v>SYS-22</x:v>
      </x:c>
      <x:c r="C1405" s="14" t="n">
        <x:v>57</x:v>
      </x:c>
      <x:c r="D1405" s="14" t="str">
        <x:v>Source</x:v>
      </x:c>
      <x:c r="E1405" s="14" t="str">
        <x:v>NOT COMMISSIONED</x:v>
      </x:c>
      <x:c r="F1405" s="14" t="str">
        <x:v>OPEN</x:v>
      </x:c>
    </x:row>
    <x:row r="1406">
      <x:c r="A1406" s="15" t="str">
        <x:v>CH-1402</x:v>
      </x:c>
      <x:c r="B1406" s="15" t="str">
        <x:v>SYS-22</x:v>
      </x:c>
      <x:c r="C1406" s="15" t="n">
        <x:v>58</x:v>
      </x:c>
      <x:c r="D1406" s="15" t="str">
        <x:v>Source</x:v>
      </x:c>
      <x:c r="E1406" s="15" t="str">
        <x:v>NOT COMMISSIONED</x:v>
      </x:c>
      <x:c r="F1406" s="15" t="str">
        <x:v>OPEN</x:v>
      </x:c>
    </x:row>
    <x:row r="1407">
      <x:c r="A1407" s="14" t="str">
        <x:v>CH-1403</x:v>
      </x:c>
      <x:c r="B1407" s="14" t="str">
        <x:v>SYS-22</x:v>
      </x:c>
      <x:c r="C1407" s="14" t="n">
        <x:v>59</x:v>
      </x:c>
      <x:c r="D1407" s="14" t="str">
        <x:v>Source</x:v>
      </x:c>
      <x:c r="E1407" s="14" t="str">
        <x:v>NOT COMMISSIONED</x:v>
      </x:c>
      <x:c r="F1407" s="14" t="str">
        <x:v>OPEN</x:v>
      </x:c>
    </x:row>
    <x:row r="1408">
      <x:c r="A1408" s="15" t="str">
        <x:v>CH-1404</x:v>
      </x:c>
      <x:c r="B1408" s="15" t="str">
        <x:v>SYS-22</x:v>
      </x:c>
      <x:c r="C1408" s="15" t="n">
        <x:v>60</x:v>
      </x:c>
      <x:c r="D1408" s="15" t="str">
        <x:v>Source</x:v>
      </x:c>
      <x:c r="E1408" s="15" t="str">
        <x:v>NOT COMMISSIONED</x:v>
      </x:c>
      <x:c r="F1408" s="15" t="str">
        <x:v>OPEN</x:v>
      </x:c>
    </x:row>
    <x:row r="1409">
      <x:c r="A1409" s="14" t="str">
        <x:v>CH-1405</x:v>
      </x:c>
      <x:c r="B1409" s="14" t="str">
        <x:v>SYS-22</x:v>
      </x:c>
      <x:c r="C1409" s="14" t="n">
        <x:v>61</x:v>
      </x:c>
      <x:c r="D1409" s="14" t="str">
        <x:v>Source</x:v>
      </x:c>
      <x:c r="E1409" s="14" t="str">
        <x:v>NOT COMMISSIONED</x:v>
      </x:c>
      <x:c r="F1409" s="14" t="str">
        <x:v>OPEN</x:v>
      </x:c>
    </x:row>
    <x:row r="1410">
      <x:c r="A1410" s="15" t="str">
        <x:v>CH-1406</x:v>
      </x:c>
      <x:c r="B1410" s="15" t="str">
        <x:v>SYS-22</x:v>
      </x:c>
      <x:c r="C1410" s="15" t="n">
        <x:v>62</x:v>
      </x:c>
      <x:c r="D1410" s="15" t="str">
        <x:v>Source</x:v>
      </x:c>
      <x:c r="E1410" s="15" t="str">
        <x:v>NOT COMMISSIONED</x:v>
      </x:c>
      <x:c r="F1410" s="15" t="str">
        <x:v>OPEN</x:v>
      </x:c>
    </x:row>
    <x:row r="1411">
      <x:c r="A1411" s="14" t="str">
        <x:v>CH-1407</x:v>
      </x:c>
      <x:c r="B1411" s="14" t="str">
        <x:v>SYS-22</x:v>
      </x:c>
      <x:c r="C1411" s="14" t="n">
        <x:v>63</x:v>
      </x:c>
      <x:c r="D1411" s="14" t="str">
        <x:v>Source</x:v>
      </x:c>
      <x:c r="E1411" s="14" t="str">
        <x:v>NOT COMMISSIONED</x:v>
      </x:c>
      <x:c r="F1411" s="14" t="str">
        <x:v>OPEN</x:v>
      </x:c>
    </x:row>
    <x:row r="1412">
      <x:c r="A1412" s="15" t="str">
        <x:v>CH-1408</x:v>
      </x:c>
      <x:c r="B1412" s="15" t="str">
        <x:v>SYS-22</x:v>
      </x:c>
      <x:c r="C1412" s="15" t="n">
        <x:v>64</x:v>
      </x:c>
      <x:c r="D1412" s="15" t="str">
        <x:v>Source</x:v>
      </x:c>
      <x:c r="E1412" s="15" t="str">
        <x:v>NOT COMMISSIONED</x:v>
      </x:c>
      <x:c r="F1412" s="15" t="str">
        <x:v>OPEN</x:v>
      </x:c>
    </x:row>
    <x:row r="1413">
      <x:c r="A1413" s="14" t="str">
        <x:v>CH-1409</x:v>
      </x:c>
      <x:c r="B1413" s="14" t="str">
        <x:v>SYS-23</x:v>
      </x:c>
      <x:c r="C1413" s="14" t="n">
        <x:v>1</x:v>
      </x:c>
      <x:c r="D1413" s="14" t="str">
        <x:v>Water</x:v>
      </x:c>
      <x:c r="E1413" s="14" t="str">
        <x:v>NOT COMMISSIONED</x:v>
      </x:c>
      <x:c r="F1413" s="14" t="str">
        <x:v>OPEN</x:v>
      </x:c>
    </x:row>
    <x:row r="1414">
      <x:c r="A1414" s="15" t="str">
        <x:v>CH-1410</x:v>
      </x:c>
      <x:c r="B1414" s="15" t="str">
        <x:v>SYS-23</x:v>
      </x:c>
      <x:c r="C1414" s="15" t="n">
        <x:v>2</x:v>
      </x:c>
      <x:c r="D1414" s="15" t="str">
        <x:v>Water</x:v>
      </x:c>
      <x:c r="E1414" s="15" t="str">
        <x:v>NOT COMMISSIONED</x:v>
      </x:c>
      <x:c r="F1414" s="15" t="str">
        <x:v>OPEN</x:v>
      </x:c>
    </x:row>
    <x:row r="1415">
      <x:c r="A1415" s="14" t="str">
        <x:v>CH-1411</x:v>
      </x:c>
      <x:c r="B1415" s="14" t="str">
        <x:v>SYS-23</x:v>
      </x:c>
      <x:c r="C1415" s="14" t="n">
        <x:v>3</x:v>
      </x:c>
      <x:c r="D1415" s="14" t="str">
        <x:v>Water</x:v>
      </x:c>
      <x:c r="E1415" s="14" t="str">
        <x:v>NOT COMMISSIONED</x:v>
      </x:c>
      <x:c r="F1415" s="14" t="str">
        <x:v>OPEN</x:v>
      </x:c>
    </x:row>
    <x:row r="1416">
      <x:c r="A1416" s="15" t="str">
        <x:v>CH-1412</x:v>
      </x:c>
      <x:c r="B1416" s="15" t="str">
        <x:v>SYS-23</x:v>
      </x:c>
      <x:c r="C1416" s="15" t="n">
        <x:v>4</x:v>
      </x:c>
      <x:c r="D1416" s="15" t="str">
        <x:v>Water</x:v>
      </x:c>
      <x:c r="E1416" s="15" t="str">
        <x:v>NOT COMMISSIONED</x:v>
      </x:c>
      <x:c r="F1416" s="15" t="str">
        <x:v>OPEN</x:v>
      </x:c>
    </x:row>
    <x:row r="1417">
      <x:c r="A1417" s="14" t="str">
        <x:v>CH-1413</x:v>
      </x:c>
      <x:c r="B1417" s="14" t="str">
        <x:v>SYS-23</x:v>
      </x:c>
      <x:c r="C1417" s="14" t="n">
        <x:v>5</x:v>
      </x:c>
      <x:c r="D1417" s="14" t="str">
        <x:v>Water</x:v>
      </x:c>
      <x:c r="E1417" s="14" t="str">
        <x:v>NOT COMMISSIONED</x:v>
      </x:c>
      <x:c r="F1417" s="14" t="str">
        <x:v>OPEN</x:v>
      </x:c>
    </x:row>
    <x:row r="1418">
      <x:c r="A1418" s="15" t="str">
        <x:v>CH-1414</x:v>
      </x:c>
      <x:c r="B1418" s="15" t="str">
        <x:v>SYS-23</x:v>
      </x:c>
      <x:c r="C1418" s="15" t="n">
        <x:v>6</x:v>
      </x:c>
      <x:c r="D1418" s="15" t="str">
        <x:v>Water</x:v>
      </x:c>
      <x:c r="E1418" s="15" t="str">
        <x:v>NOT COMMISSIONED</x:v>
      </x:c>
      <x:c r="F1418" s="15" t="str">
        <x:v>OPEN</x:v>
      </x:c>
    </x:row>
    <x:row r="1419">
      <x:c r="A1419" s="14" t="str">
        <x:v>CH-1415</x:v>
      </x:c>
      <x:c r="B1419" s="14" t="str">
        <x:v>SYS-23</x:v>
      </x:c>
      <x:c r="C1419" s="14" t="n">
        <x:v>7</x:v>
      </x:c>
      <x:c r="D1419" s="14" t="str">
        <x:v>Water</x:v>
      </x:c>
      <x:c r="E1419" s="14" t="str">
        <x:v>NOT COMMISSIONED</x:v>
      </x:c>
      <x:c r="F1419" s="14" t="str">
        <x:v>OPEN</x:v>
      </x:c>
    </x:row>
    <x:row r="1420">
      <x:c r="A1420" s="15" t="str">
        <x:v>CH-1416</x:v>
      </x:c>
      <x:c r="B1420" s="15" t="str">
        <x:v>SYS-23</x:v>
      </x:c>
      <x:c r="C1420" s="15" t="n">
        <x:v>8</x:v>
      </x:c>
      <x:c r="D1420" s="15" t="str">
        <x:v>Water</x:v>
      </x:c>
      <x:c r="E1420" s="15" t="str">
        <x:v>NOT COMMISSIONED</x:v>
      </x:c>
      <x:c r="F1420" s="15" t="str">
        <x:v>OPEN</x:v>
      </x:c>
    </x:row>
    <x:row r="1421">
      <x:c r="A1421" s="14" t="str">
        <x:v>CH-1417</x:v>
      </x:c>
      <x:c r="B1421" s="14" t="str">
        <x:v>SYS-23</x:v>
      </x:c>
      <x:c r="C1421" s="14" t="n">
        <x:v>9</x:v>
      </x:c>
      <x:c r="D1421" s="14" t="str">
        <x:v>Water</x:v>
      </x:c>
      <x:c r="E1421" s="14" t="str">
        <x:v>NOT COMMISSIONED</x:v>
      </x:c>
      <x:c r="F1421" s="14" t="str">
        <x:v>OPEN</x:v>
      </x:c>
    </x:row>
    <x:row r="1422">
      <x:c r="A1422" s="15" t="str">
        <x:v>CH-1418</x:v>
      </x:c>
      <x:c r="B1422" s="15" t="str">
        <x:v>SYS-23</x:v>
      </x:c>
      <x:c r="C1422" s="15" t="n">
        <x:v>10</x:v>
      </x:c>
      <x:c r="D1422" s="15" t="str">
        <x:v>Water</x:v>
      </x:c>
      <x:c r="E1422" s="15" t="str">
        <x:v>NOT COMMISSIONED</x:v>
      </x:c>
      <x:c r="F1422" s="15" t="str">
        <x:v>OPEN</x:v>
      </x:c>
    </x:row>
    <x:row r="1423">
      <x:c r="A1423" s="14" t="str">
        <x:v>CH-1419</x:v>
      </x:c>
      <x:c r="B1423" s="14" t="str">
        <x:v>SYS-23</x:v>
      </x:c>
      <x:c r="C1423" s="14" t="n">
        <x:v>11</x:v>
      </x:c>
      <x:c r="D1423" s="14" t="str">
        <x:v>Water</x:v>
      </x:c>
      <x:c r="E1423" s="14" t="str">
        <x:v>NOT COMMISSIONED</x:v>
      </x:c>
      <x:c r="F1423" s="14" t="str">
        <x:v>OPEN</x:v>
      </x:c>
    </x:row>
    <x:row r="1424">
      <x:c r="A1424" s="15" t="str">
        <x:v>CH-1420</x:v>
      </x:c>
      <x:c r="B1424" s="15" t="str">
        <x:v>SYS-23</x:v>
      </x:c>
      <x:c r="C1424" s="15" t="n">
        <x:v>12</x:v>
      </x:c>
      <x:c r="D1424" s="15" t="str">
        <x:v>Water</x:v>
      </x:c>
      <x:c r="E1424" s="15" t="str">
        <x:v>NOT COMMISSIONED</x:v>
      </x:c>
      <x:c r="F1424" s="15" t="str">
        <x:v>OPEN</x:v>
      </x:c>
    </x:row>
    <x:row r="1425">
      <x:c r="A1425" s="14" t="str">
        <x:v>CH-1421</x:v>
      </x:c>
      <x:c r="B1425" s="14" t="str">
        <x:v>SYS-23</x:v>
      </x:c>
      <x:c r="C1425" s="14" t="n">
        <x:v>13</x:v>
      </x:c>
      <x:c r="D1425" s="14" t="str">
        <x:v>Water</x:v>
      </x:c>
      <x:c r="E1425" s="14" t="str">
        <x:v>NOT COMMISSIONED</x:v>
      </x:c>
      <x:c r="F1425" s="14" t="str">
        <x:v>OPEN</x:v>
      </x:c>
    </x:row>
    <x:row r="1426">
      <x:c r="A1426" s="15" t="str">
        <x:v>CH-1422</x:v>
      </x:c>
      <x:c r="B1426" s="15" t="str">
        <x:v>SYS-23</x:v>
      </x:c>
      <x:c r="C1426" s="15" t="n">
        <x:v>14</x:v>
      </x:c>
      <x:c r="D1426" s="15" t="str">
        <x:v>Water</x:v>
      </x:c>
      <x:c r="E1426" s="15" t="str">
        <x:v>NOT COMMISSIONED</x:v>
      </x:c>
      <x:c r="F1426" s="15" t="str">
        <x:v>OPEN</x:v>
      </x:c>
    </x:row>
    <x:row r="1427">
      <x:c r="A1427" s="14" t="str">
        <x:v>CH-1423</x:v>
      </x:c>
      <x:c r="B1427" s="14" t="str">
        <x:v>SYS-23</x:v>
      </x:c>
      <x:c r="C1427" s="14" t="n">
        <x:v>15</x:v>
      </x:c>
      <x:c r="D1427" s="14" t="str">
        <x:v>Water</x:v>
      </x:c>
      <x:c r="E1427" s="14" t="str">
        <x:v>NOT COMMISSIONED</x:v>
      </x:c>
      <x:c r="F1427" s="14" t="str">
        <x:v>OPEN</x:v>
      </x:c>
    </x:row>
    <x:row r="1428">
      <x:c r="A1428" s="15" t="str">
        <x:v>CH-1424</x:v>
      </x:c>
      <x:c r="B1428" s="15" t="str">
        <x:v>SYS-23</x:v>
      </x:c>
      <x:c r="C1428" s="15" t="n">
        <x:v>16</x:v>
      </x:c>
      <x:c r="D1428" s="15" t="str">
        <x:v>Water</x:v>
      </x:c>
      <x:c r="E1428" s="15" t="str">
        <x:v>NOT COMMISSIONED</x:v>
      </x:c>
      <x:c r="F1428" s="15" t="str">
        <x:v>OPEN</x:v>
      </x:c>
    </x:row>
    <x:row r="1429">
      <x:c r="A1429" s="14" t="str">
        <x:v>CH-1425</x:v>
      </x:c>
      <x:c r="B1429" s="14" t="str">
        <x:v>SYS-23</x:v>
      </x:c>
      <x:c r="C1429" s="14" t="n">
        <x:v>17</x:v>
      </x:c>
      <x:c r="D1429" s="14" t="str">
        <x:v>Water</x:v>
      </x:c>
      <x:c r="E1429" s="14" t="str">
        <x:v>NOT COMMISSIONED</x:v>
      </x:c>
      <x:c r="F1429" s="14" t="str">
        <x:v>OPEN</x:v>
      </x:c>
    </x:row>
    <x:row r="1430">
      <x:c r="A1430" s="15" t="str">
        <x:v>CH-1426</x:v>
      </x:c>
      <x:c r="B1430" s="15" t="str">
        <x:v>SYS-23</x:v>
      </x:c>
      <x:c r="C1430" s="15" t="n">
        <x:v>18</x:v>
      </x:c>
      <x:c r="D1430" s="15" t="str">
        <x:v>Water</x:v>
      </x:c>
      <x:c r="E1430" s="15" t="str">
        <x:v>NOT COMMISSIONED</x:v>
      </x:c>
      <x:c r="F1430" s="15" t="str">
        <x:v>OPEN</x:v>
      </x:c>
    </x:row>
    <x:row r="1431">
      <x:c r="A1431" s="14" t="str">
        <x:v>CH-1427</x:v>
      </x:c>
      <x:c r="B1431" s="14" t="str">
        <x:v>SYS-23</x:v>
      </x:c>
      <x:c r="C1431" s="14" t="n">
        <x:v>19</x:v>
      </x:c>
      <x:c r="D1431" s="14" t="str">
        <x:v>Water</x:v>
      </x:c>
      <x:c r="E1431" s="14" t="str">
        <x:v>NOT COMMISSIONED</x:v>
      </x:c>
      <x:c r="F1431" s="14" t="str">
        <x:v>OPEN</x:v>
      </x:c>
    </x:row>
    <x:row r="1432">
      <x:c r="A1432" s="15" t="str">
        <x:v>CH-1428</x:v>
      </x:c>
      <x:c r="B1432" s="15" t="str">
        <x:v>SYS-23</x:v>
      </x:c>
      <x:c r="C1432" s="15" t="n">
        <x:v>20</x:v>
      </x:c>
      <x:c r="D1432" s="15" t="str">
        <x:v>Water</x:v>
      </x:c>
      <x:c r="E1432" s="15" t="str">
        <x:v>NOT COMMISSIONED</x:v>
      </x:c>
      <x:c r="F1432" s="15" t="str">
        <x:v>OPEN</x:v>
      </x:c>
    </x:row>
    <x:row r="1433">
      <x:c r="A1433" s="14" t="str">
        <x:v>CH-1429</x:v>
      </x:c>
      <x:c r="B1433" s="14" t="str">
        <x:v>SYS-23</x:v>
      </x:c>
      <x:c r="C1433" s="14" t="n">
        <x:v>21</x:v>
      </x:c>
      <x:c r="D1433" s="14" t="str">
        <x:v>Water</x:v>
      </x:c>
      <x:c r="E1433" s="14" t="str">
        <x:v>NOT COMMISSIONED</x:v>
      </x:c>
      <x:c r="F1433" s="14" t="str">
        <x:v>OPEN</x:v>
      </x:c>
    </x:row>
    <x:row r="1434">
      <x:c r="A1434" s="15" t="str">
        <x:v>CH-1430</x:v>
      </x:c>
      <x:c r="B1434" s="15" t="str">
        <x:v>SYS-23</x:v>
      </x:c>
      <x:c r="C1434" s="15" t="n">
        <x:v>22</x:v>
      </x:c>
      <x:c r="D1434" s="15" t="str">
        <x:v>Water</x:v>
      </x:c>
      <x:c r="E1434" s="15" t="str">
        <x:v>NOT COMMISSIONED</x:v>
      </x:c>
      <x:c r="F1434" s="15" t="str">
        <x:v>OPEN</x:v>
      </x:c>
    </x:row>
    <x:row r="1435">
      <x:c r="A1435" s="14" t="str">
        <x:v>CH-1431</x:v>
      </x:c>
      <x:c r="B1435" s="14" t="str">
        <x:v>SYS-23</x:v>
      </x:c>
      <x:c r="C1435" s="14" t="n">
        <x:v>23</x:v>
      </x:c>
      <x:c r="D1435" s="14" t="str">
        <x:v>Water</x:v>
      </x:c>
      <x:c r="E1435" s="14" t="str">
        <x:v>NOT COMMISSIONED</x:v>
      </x:c>
      <x:c r="F1435" s="14" t="str">
        <x:v>OPEN</x:v>
      </x:c>
    </x:row>
    <x:row r="1436">
      <x:c r="A1436" s="15" t="str">
        <x:v>CH-1432</x:v>
      </x:c>
      <x:c r="B1436" s="15" t="str">
        <x:v>SYS-23</x:v>
      </x:c>
      <x:c r="C1436" s="15" t="n">
        <x:v>24</x:v>
      </x:c>
      <x:c r="D1436" s="15" t="str">
        <x:v>Water</x:v>
      </x:c>
      <x:c r="E1436" s="15" t="str">
        <x:v>NOT COMMISSIONED</x:v>
      </x:c>
      <x:c r="F1436" s="15" t="str">
        <x:v>OPEN</x:v>
      </x:c>
    </x:row>
    <x:row r="1437">
      <x:c r="A1437" s="14" t="str">
        <x:v>CH-1433</x:v>
      </x:c>
      <x:c r="B1437" s="14" t="str">
        <x:v>SYS-23</x:v>
      </x:c>
      <x:c r="C1437" s="14" t="n">
        <x:v>25</x:v>
      </x:c>
      <x:c r="D1437" s="14" t="str">
        <x:v>Water</x:v>
      </x:c>
      <x:c r="E1437" s="14" t="str">
        <x:v>NOT COMMISSIONED</x:v>
      </x:c>
      <x:c r="F1437" s="14" t="str">
        <x:v>OPEN</x:v>
      </x:c>
    </x:row>
    <x:row r="1438">
      <x:c r="A1438" s="15" t="str">
        <x:v>CH-1434</x:v>
      </x:c>
      <x:c r="B1438" s="15" t="str">
        <x:v>SYS-23</x:v>
      </x:c>
      <x:c r="C1438" s="15" t="n">
        <x:v>26</x:v>
      </x:c>
      <x:c r="D1438" s="15" t="str">
        <x:v>Water</x:v>
      </x:c>
      <x:c r="E1438" s="15" t="str">
        <x:v>NOT COMMISSIONED</x:v>
      </x:c>
      <x:c r="F1438" s="15" t="str">
        <x:v>OPEN</x:v>
      </x:c>
    </x:row>
    <x:row r="1439">
      <x:c r="A1439" s="14" t="str">
        <x:v>CH-1435</x:v>
      </x:c>
      <x:c r="B1439" s="14" t="str">
        <x:v>SYS-23</x:v>
      </x:c>
      <x:c r="C1439" s="14" t="n">
        <x:v>27</x:v>
      </x:c>
      <x:c r="D1439" s="14" t="str">
        <x:v>Water</x:v>
      </x:c>
      <x:c r="E1439" s="14" t="str">
        <x:v>NOT COMMISSIONED</x:v>
      </x:c>
      <x:c r="F1439" s="14" t="str">
        <x:v>OPEN</x:v>
      </x:c>
    </x:row>
    <x:row r="1440">
      <x:c r="A1440" s="15" t="str">
        <x:v>CH-1436</x:v>
      </x:c>
      <x:c r="B1440" s="15" t="str">
        <x:v>SYS-23</x:v>
      </x:c>
      <x:c r="C1440" s="15" t="n">
        <x:v>28</x:v>
      </x:c>
      <x:c r="D1440" s="15" t="str">
        <x:v>Water</x:v>
      </x:c>
      <x:c r="E1440" s="15" t="str">
        <x:v>NOT COMMISSIONED</x:v>
      </x:c>
      <x:c r="F1440" s="15" t="str">
        <x:v>OPEN</x:v>
      </x:c>
    </x:row>
    <x:row r="1441">
      <x:c r="A1441" s="14" t="str">
        <x:v>CH-1437</x:v>
      </x:c>
      <x:c r="B1441" s="14" t="str">
        <x:v>SYS-23</x:v>
      </x:c>
      <x:c r="C1441" s="14" t="n">
        <x:v>29</x:v>
      </x:c>
      <x:c r="D1441" s="14" t="str">
        <x:v>Water</x:v>
      </x:c>
      <x:c r="E1441" s="14" t="str">
        <x:v>NOT COMMISSIONED</x:v>
      </x:c>
      <x:c r="F1441" s="14" t="str">
        <x:v>OPEN</x:v>
      </x:c>
    </x:row>
    <x:row r="1442">
      <x:c r="A1442" s="15" t="str">
        <x:v>CH-1438</x:v>
      </x:c>
      <x:c r="B1442" s="15" t="str">
        <x:v>SYS-23</x:v>
      </x:c>
      <x:c r="C1442" s="15" t="n">
        <x:v>30</x:v>
      </x:c>
      <x:c r="D1442" s="15" t="str">
        <x:v>Water</x:v>
      </x:c>
      <x:c r="E1442" s="15" t="str">
        <x:v>NOT COMMISSIONED</x:v>
      </x:c>
      <x:c r="F1442" s="15" t="str">
        <x:v>OPEN</x:v>
      </x:c>
    </x:row>
    <x:row r="1443">
      <x:c r="A1443" s="14" t="str">
        <x:v>CH-1439</x:v>
      </x:c>
      <x:c r="B1443" s="14" t="str">
        <x:v>SYS-23</x:v>
      </x:c>
      <x:c r="C1443" s="14" t="n">
        <x:v>31</x:v>
      </x:c>
      <x:c r="D1443" s="14" t="str">
        <x:v>Water</x:v>
      </x:c>
      <x:c r="E1443" s="14" t="str">
        <x:v>NOT COMMISSIONED</x:v>
      </x:c>
      <x:c r="F1443" s="14" t="str">
        <x:v>OPEN</x:v>
      </x:c>
    </x:row>
    <x:row r="1444">
      <x:c r="A1444" s="15" t="str">
        <x:v>CH-1440</x:v>
      </x:c>
      <x:c r="B1444" s="15" t="str">
        <x:v>SYS-23</x:v>
      </x:c>
      <x:c r="C1444" s="15" t="n">
        <x:v>32</x:v>
      </x:c>
      <x:c r="D1444" s="15" t="str">
        <x:v>Water</x:v>
      </x:c>
      <x:c r="E1444" s="15" t="str">
        <x:v>NOT COMMISSIONED</x:v>
      </x:c>
      <x:c r="F1444" s="15" t="str">
        <x:v>OPEN</x:v>
      </x:c>
    </x:row>
    <x:row r="1445">
      <x:c r="A1445" s="14" t="str">
        <x:v>CH-1441</x:v>
      </x:c>
      <x:c r="B1445" s="14" t="str">
        <x:v>SYS-23</x:v>
      </x:c>
      <x:c r="C1445" s="14" t="n">
        <x:v>33</x:v>
      </x:c>
      <x:c r="D1445" s="14" t="str">
        <x:v>Water</x:v>
      </x:c>
      <x:c r="E1445" s="14" t="str">
        <x:v>NOT COMMISSIONED</x:v>
      </x:c>
      <x:c r="F1445" s="14" t="str">
        <x:v>OPEN</x:v>
      </x:c>
    </x:row>
    <x:row r="1446">
      <x:c r="A1446" s="15" t="str">
        <x:v>CH-1442</x:v>
      </x:c>
      <x:c r="B1446" s="15" t="str">
        <x:v>SYS-23</x:v>
      </x:c>
      <x:c r="C1446" s="15" t="n">
        <x:v>34</x:v>
      </x:c>
      <x:c r="D1446" s="15" t="str">
        <x:v>Water</x:v>
      </x:c>
      <x:c r="E1446" s="15" t="str">
        <x:v>NOT COMMISSIONED</x:v>
      </x:c>
      <x:c r="F1446" s="15" t="str">
        <x:v>OPEN</x:v>
      </x:c>
    </x:row>
    <x:row r="1447">
      <x:c r="A1447" s="14" t="str">
        <x:v>CH-1443</x:v>
      </x:c>
      <x:c r="B1447" s="14" t="str">
        <x:v>SYS-23</x:v>
      </x:c>
      <x:c r="C1447" s="14" t="n">
        <x:v>35</x:v>
      </x:c>
      <x:c r="D1447" s="14" t="str">
        <x:v>Water</x:v>
      </x:c>
      <x:c r="E1447" s="14" t="str">
        <x:v>NOT COMMISSIONED</x:v>
      </x:c>
      <x:c r="F1447" s="14" t="str">
        <x:v>OPEN</x:v>
      </x:c>
    </x:row>
    <x:row r="1448">
      <x:c r="A1448" s="15" t="str">
        <x:v>CH-1444</x:v>
      </x:c>
      <x:c r="B1448" s="15" t="str">
        <x:v>SYS-23</x:v>
      </x:c>
      <x:c r="C1448" s="15" t="n">
        <x:v>36</x:v>
      </x:c>
      <x:c r="D1448" s="15" t="str">
        <x:v>Water</x:v>
      </x:c>
      <x:c r="E1448" s="15" t="str">
        <x:v>NOT COMMISSIONED</x:v>
      </x:c>
      <x:c r="F1448" s="15" t="str">
        <x:v>OPEN</x:v>
      </x:c>
    </x:row>
    <x:row r="1449">
      <x:c r="A1449" s="14" t="str">
        <x:v>CH-1445</x:v>
      </x:c>
      <x:c r="B1449" s="14" t="str">
        <x:v>SYS-23</x:v>
      </x:c>
      <x:c r="C1449" s="14" t="n">
        <x:v>37</x:v>
      </x:c>
      <x:c r="D1449" s="14" t="str">
        <x:v>Water</x:v>
      </x:c>
      <x:c r="E1449" s="14" t="str">
        <x:v>NOT COMMISSIONED</x:v>
      </x:c>
      <x:c r="F1449" s="14" t="str">
        <x:v>OPEN</x:v>
      </x:c>
    </x:row>
    <x:row r="1450">
      <x:c r="A1450" s="15" t="str">
        <x:v>CH-1446</x:v>
      </x:c>
      <x:c r="B1450" s="15" t="str">
        <x:v>SYS-23</x:v>
      </x:c>
      <x:c r="C1450" s="15" t="n">
        <x:v>38</x:v>
      </x:c>
      <x:c r="D1450" s="15" t="str">
        <x:v>Water</x:v>
      </x:c>
      <x:c r="E1450" s="15" t="str">
        <x:v>NOT COMMISSIONED</x:v>
      </x:c>
      <x:c r="F1450" s="15" t="str">
        <x:v>OPEN</x:v>
      </x:c>
    </x:row>
    <x:row r="1451">
      <x:c r="A1451" s="14" t="str">
        <x:v>CH-1447</x:v>
      </x:c>
      <x:c r="B1451" s="14" t="str">
        <x:v>SYS-23</x:v>
      </x:c>
      <x:c r="C1451" s="14" t="n">
        <x:v>39</x:v>
      </x:c>
      <x:c r="D1451" s="14" t="str">
        <x:v>Water</x:v>
      </x:c>
      <x:c r="E1451" s="14" t="str">
        <x:v>NOT COMMISSIONED</x:v>
      </x:c>
      <x:c r="F1451" s="14" t="str">
        <x:v>OPEN</x:v>
      </x:c>
    </x:row>
    <x:row r="1452">
      <x:c r="A1452" s="15" t="str">
        <x:v>CH-1448</x:v>
      </x:c>
      <x:c r="B1452" s="15" t="str">
        <x:v>SYS-23</x:v>
      </x:c>
      <x:c r="C1452" s="15" t="n">
        <x:v>40</x:v>
      </x:c>
      <x:c r="D1452" s="15" t="str">
        <x:v>Water</x:v>
      </x:c>
      <x:c r="E1452" s="15" t="str">
        <x:v>NOT COMMISSIONED</x:v>
      </x:c>
      <x:c r="F1452" s="15" t="str">
        <x:v>OPEN</x:v>
      </x:c>
    </x:row>
    <x:row r="1453">
      <x:c r="A1453" s="14" t="str">
        <x:v>CH-1449</x:v>
      </x:c>
      <x:c r="B1453" s="14" t="str">
        <x:v>SYS-23</x:v>
      </x:c>
      <x:c r="C1453" s="14" t="n">
        <x:v>41</x:v>
      </x:c>
      <x:c r="D1453" s="14" t="str">
        <x:v>Water</x:v>
      </x:c>
      <x:c r="E1453" s="14" t="str">
        <x:v>NOT COMMISSIONED</x:v>
      </x:c>
      <x:c r="F1453" s="14" t="str">
        <x:v>OPEN</x:v>
      </x:c>
    </x:row>
    <x:row r="1454">
      <x:c r="A1454" s="15" t="str">
        <x:v>CH-1450</x:v>
      </x:c>
      <x:c r="B1454" s="15" t="str">
        <x:v>SYS-23</x:v>
      </x:c>
      <x:c r="C1454" s="15" t="n">
        <x:v>42</x:v>
      </x:c>
      <x:c r="D1454" s="15" t="str">
        <x:v>Water</x:v>
      </x:c>
      <x:c r="E1454" s="15" t="str">
        <x:v>NOT COMMISSIONED</x:v>
      </x:c>
      <x:c r="F1454" s="15" t="str">
        <x:v>OPEN</x:v>
      </x:c>
    </x:row>
    <x:row r="1455">
      <x:c r="A1455" s="14" t="str">
        <x:v>CH-1451</x:v>
      </x:c>
      <x:c r="B1455" s="14" t="str">
        <x:v>SYS-23</x:v>
      </x:c>
      <x:c r="C1455" s="14" t="n">
        <x:v>43</x:v>
      </x:c>
      <x:c r="D1455" s="14" t="str">
        <x:v>Water</x:v>
      </x:c>
      <x:c r="E1455" s="14" t="str">
        <x:v>NOT COMMISSIONED</x:v>
      </x:c>
      <x:c r="F1455" s="14" t="str">
        <x:v>OPEN</x:v>
      </x:c>
    </x:row>
    <x:row r="1456">
      <x:c r="A1456" s="15" t="str">
        <x:v>CH-1452</x:v>
      </x:c>
      <x:c r="B1456" s="15" t="str">
        <x:v>SYS-23</x:v>
      </x:c>
      <x:c r="C1456" s="15" t="n">
        <x:v>44</x:v>
      </x:c>
      <x:c r="D1456" s="15" t="str">
        <x:v>Water</x:v>
      </x:c>
      <x:c r="E1456" s="15" t="str">
        <x:v>NOT COMMISSIONED</x:v>
      </x:c>
      <x:c r="F1456" s="15" t="str">
        <x:v>OPEN</x:v>
      </x:c>
    </x:row>
    <x:row r="1457">
      <x:c r="A1457" s="14" t="str">
        <x:v>CH-1453</x:v>
      </x:c>
      <x:c r="B1457" s="14" t="str">
        <x:v>SYS-23</x:v>
      </x:c>
      <x:c r="C1457" s="14" t="n">
        <x:v>45</x:v>
      </x:c>
      <x:c r="D1457" s="14" t="str">
        <x:v>Water</x:v>
      </x:c>
      <x:c r="E1457" s="14" t="str">
        <x:v>NOT COMMISSIONED</x:v>
      </x:c>
      <x:c r="F1457" s="14" t="str">
        <x:v>OPEN</x:v>
      </x:c>
    </x:row>
    <x:row r="1458">
      <x:c r="A1458" s="15" t="str">
        <x:v>CH-1454</x:v>
      </x:c>
      <x:c r="B1458" s="15" t="str">
        <x:v>SYS-23</x:v>
      </x:c>
      <x:c r="C1458" s="15" t="n">
        <x:v>46</x:v>
      </x:c>
      <x:c r="D1458" s="15" t="str">
        <x:v>Water</x:v>
      </x:c>
      <x:c r="E1458" s="15" t="str">
        <x:v>NOT COMMISSIONED</x:v>
      </x:c>
      <x:c r="F1458" s="15" t="str">
        <x:v>OPEN</x:v>
      </x:c>
    </x:row>
    <x:row r="1459">
      <x:c r="A1459" s="14" t="str">
        <x:v>CH-1455</x:v>
      </x:c>
      <x:c r="B1459" s="14" t="str">
        <x:v>SYS-23</x:v>
      </x:c>
      <x:c r="C1459" s="14" t="n">
        <x:v>47</x:v>
      </x:c>
      <x:c r="D1459" s="14" t="str">
        <x:v>Water</x:v>
      </x:c>
      <x:c r="E1459" s="14" t="str">
        <x:v>NOT COMMISSIONED</x:v>
      </x:c>
      <x:c r="F1459" s="14" t="str">
        <x:v>OPEN</x:v>
      </x:c>
    </x:row>
    <x:row r="1460">
      <x:c r="A1460" s="15" t="str">
        <x:v>CH-1456</x:v>
      </x:c>
      <x:c r="B1460" s="15" t="str">
        <x:v>SYS-23</x:v>
      </x:c>
      <x:c r="C1460" s="15" t="n">
        <x:v>48</x:v>
      </x:c>
      <x:c r="D1460" s="15" t="str">
        <x:v>Water</x:v>
      </x:c>
      <x:c r="E1460" s="15" t="str">
        <x:v>NOT COMMISSIONED</x:v>
      </x:c>
      <x:c r="F1460" s="15" t="str">
        <x:v>OPEN</x:v>
      </x:c>
    </x:row>
    <x:row r="1461">
      <x:c r="A1461" s="14" t="str">
        <x:v>CH-1457</x:v>
      </x:c>
      <x:c r="B1461" s="14" t="str">
        <x:v>SYS-23</x:v>
      </x:c>
      <x:c r="C1461" s="14" t="n">
        <x:v>49</x:v>
      </x:c>
      <x:c r="D1461" s="14" t="str">
        <x:v>Water</x:v>
      </x:c>
      <x:c r="E1461" s="14" t="str">
        <x:v>NOT COMMISSIONED</x:v>
      </x:c>
      <x:c r="F1461" s="14" t="str">
        <x:v>OPEN</x:v>
      </x:c>
    </x:row>
    <x:row r="1462">
      <x:c r="A1462" s="15" t="str">
        <x:v>CH-1458</x:v>
      </x:c>
      <x:c r="B1462" s="15" t="str">
        <x:v>SYS-23</x:v>
      </x:c>
      <x:c r="C1462" s="15" t="n">
        <x:v>50</x:v>
      </x:c>
      <x:c r="D1462" s="15" t="str">
        <x:v>Water</x:v>
      </x:c>
      <x:c r="E1462" s="15" t="str">
        <x:v>NOT COMMISSIONED</x:v>
      </x:c>
      <x:c r="F1462" s="15" t="str">
        <x:v>OPEN</x:v>
      </x:c>
    </x:row>
    <x:row r="1463">
      <x:c r="A1463" s="14" t="str">
        <x:v>CH-1459</x:v>
      </x:c>
      <x:c r="B1463" s="14" t="str">
        <x:v>SYS-23</x:v>
      </x:c>
      <x:c r="C1463" s="14" t="n">
        <x:v>51</x:v>
      </x:c>
      <x:c r="D1463" s="14" t="str">
        <x:v>Water</x:v>
      </x:c>
      <x:c r="E1463" s="14" t="str">
        <x:v>NOT COMMISSIONED</x:v>
      </x:c>
      <x:c r="F1463" s="14" t="str">
        <x:v>OPEN</x:v>
      </x:c>
    </x:row>
    <x:row r="1464">
      <x:c r="A1464" s="15" t="str">
        <x:v>CH-1460</x:v>
      </x:c>
      <x:c r="B1464" s="15" t="str">
        <x:v>SYS-23</x:v>
      </x:c>
      <x:c r="C1464" s="15" t="n">
        <x:v>52</x:v>
      </x:c>
      <x:c r="D1464" s="15" t="str">
        <x:v>Water</x:v>
      </x:c>
      <x:c r="E1464" s="15" t="str">
        <x:v>NOT COMMISSIONED</x:v>
      </x:c>
      <x:c r="F1464" s="15" t="str">
        <x:v>OPEN</x:v>
      </x:c>
    </x:row>
    <x:row r="1465">
      <x:c r="A1465" s="14" t="str">
        <x:v>CH-1461</x:v>
      </x:c>
      <x:c r="B1465" s="14" t="str">
        <x:v>SYS-23</x:v>
      </x:c>
      <x:c r="C1465" s="14" t="n">
        <x:v>53</x:v>
      </x:c>
      <x:c r="D1465" s="14" t="str">
        <x:v>Water</x:v>
      </x:c>
      <x:c r="E1465" s="14" t="str">
        <x:v>NOT COMMISSIONED</x:v>
      </x:c>
      <x:c r="F1465" s="14" t="str">
        <x:v>OPEN</x:v>
      </x:c>
    </x:row>
    <x:row r="1466">
      <x:c r="A1466" s="15" t="str">
        <x:v>CH-1462</x:v>
      </x:c>
      <x:c r="B1466" s="15" t="str">
        <x:v>SYS-23</x:v>
      </x:c>
      <x:c r="C1466" s="15" t="n">
        <x:v>54</x:v>
      </x:c>
      <x:c r="D1466" s="15" t="str">
        <x:v>Water</x:v>
      </x:c>
      <x:c r="E1466" s="15" t="str">
        <x:v>NOT COMMISSIONED</x:v>
      </x:c>
      <x:c r="F1466" s="15" t="str">
        <x:v>OPEN</x:v>
      </x:c>
    </x:row>
    <x:row r="1467">
      <x:c r="A1467" s="14" t="str">
        <x:v>CH-1463</x:v>
      </x:c>
      <x:c r="B1467" s="14" t="str">
        <x:v>SYS-23</x:v>
      </x:c>
      <x:c r="C1467" s="14" t="n">
        <x:v>55</x:v>
      </x:c>
      <x:c r="D1467" s="14" t="str">
        <x:v>Water</x:v>
      </x:c>
      <x:c r="E1467" s="14" t="str">
        <x:v>NOT COMMISSIONED</x:v>
      </x:c>
      <x:c r="F1467" s="14" t="str">
        <x:v>OPEN</x:v>
      </x:c>
    </x:row>
    <x:row r="1468">
      <x:c r="A1468" s="15" t="str">
        <x:v>CH-1464</x:v>
      </x:c>
      <x:c r="B1468" s="15" t="str">
        <x:v>SYS-23</x:v>
      </x:c>
      <x:c r="C1468" s="15" t="n">
        <x:v>56</x:v>
      </x:c>
      <x:c r="D1468" s="15" t="str">
        <x:v>Water</x:v>
      </x:c>
      <x:c r="E1468" s="15" t="str">
        <x:v>NOT COMMISSIONED</x:v>
      </x:c>
      <x:c r="F1468" s="15" t="str">
        <x:v>OPEN</x:v>
      </x:c>
    </x:row>
    <x:row r="1469">
      <x:c r="A1469" s="14" t="str">
        <x:v>CH-1465</x:v>
      </x:c>
      <x:c r="B1469" s="14" t="str">
        <x:v>SYS-23</x:v>
      </x:c>
      <x:c r="C1469" s="14" t="n">
        <x:v>57</x:v>
      </x:c>
      <x:c r="D1469" s="14" t="str">
        <x:v>Water</x:v>
      </x:c>
      <x:c r="E1469" s="14" t="str">
        <x:v>NOT COMMISSIONED</x:v>
      </x:c>
      <x:c r="F1469" s="14" t="str">
        <x:v>OPEN</x:v>
      </x:c>
    </x:row>
    <x:row r="1470">
      <x:c r="A1470" s="15" t="str">
        <x:v>CH-1466</x:v>
      </x:c>
      <x:c r="B1470" s="15" t="str">
        <x:v>SYS-23</x:v>
      </x:c>
      <x:c r="C1470" s="15" t="n">
        <x:v>58</x:v>
      </x:c>
      <x:c r="D1470" s="15" t="str">
        <x:v>Water</x:v>
      </x:c>
      <x:c r="E1470" s="15" t="str">
        <x:v>NOT COMMISSIONED</x:v>
      </x:c>
      <x:c r="F1470" s="15" t="str">
        <x:v>OPEN</x:v>
      </x:c>
    </x:row>
    <x:row r="1471">
      <x:c r="A1471" s="14" t="str">
        <x:v>CH-1467</x:v>
      </x:c>
      <x:c r="B1471" s="14" t="str">
        <x:v>SYS-23</x:v>
      </x:c>
      <x:c r="C1471" s="14" t="n">
        <x:v>59</x:v>
      </x:c>
      <x:c r="D1471" s="14" t="str">
        <x:v>Water</x:v>
      </x:c>
      <x:c r="E1471" s="14" t="str">
        <x:v>NOT COMMISSIONED</x:v>
      </x:c>
      <x:c r="F1471" s="14" t="str">
        <x:v>OPEN</x:v>
      </x:c>
    </x:row>
    <x:row r="1472">
      <x:c r="A1472" s="15" t="str">
        <x:v>CH-1468</x:v>
      </x:c>
      <x:c r="B1472" s="15" t="str">
        <x:v>SYS-23</x:v>
      </x:c>
      <x:c r="C1472" s="15" t="n">
        <x:v>60</x:v>
      </x:c>
      <x:c r="D1472" s="15" t="str">
        <x:v>Water</x:v>
      </x:c>
      <x:c r="E1472" s="15" t="str">
        <x:v>NOT COMMISSIONED</x:v>
      </x:c>
      <x:c r="F1472" s="15" t="str">
        <x:v>OPEN</x:v>
      </x:c>
    </x:row>
    <x:row r="1473">
      <x:c r="A1473" s="14" t="str">
        <x:v>CH-1469</x:v>
      </x:c>
      <x:c r="B1473" s="14" t="str">
        <x:v>SYS-23</x:v>
      </x:c>
      <x:c r="C1473" s="14" t="n">
        <x:v>61</x:v>
      </x:c>
      <x:c r="D1473" s="14" t="str">
        <x:v>Water</x:v>
      </x:c>
      <x:c r="E1473" s="14" t="str">
        <x:v>NOT COMMISSIONED</x:v>
      </x:c>
      <x:c r="F1473" s="14" t="str">
        <x:v>OPEN</x:v>
      </x:c>
    </x:row>
    <x:row r="1474">
      <x:c r="A1474" s="15" t="str">
        <x:v>CH-1470</x:v>
      </x:c>
      <x:c r="B1474" s="15" t="str">
        <x:v>SYS-23</x:v>
      </x:c>
      <x:c r="C1474" s="15" t="n">
        <x:v>62</x:v>
      </x:c>
      <x:c r="D1474" s="15" t="str">
        <x:v>Water</x:v>
      </x:c>
      <x:c r="E1474" s="15" t="str">
        <x:v>NOT COMMISSIONED</x:v>
      </x:c>
      <x:c r="F1474" s="15" t="str">
        <x:v>OPEN</x:v>
      </x:c>
    </x:row>
    <x:row r="1475">
      <x:c r="A1475" s="14" t="str">
        <x:v>CH-1471</x:v>
      </x:c>
      <x:c r="B1475" s="14" t="str">
        <x:v>SYS-23</x:v>
      </x:c>
      <x:c r="C1475" s="14" t="n">
        <x:v>63</x:v>
      </x:c>
      <x:c r="D1475" s="14" t="str">
        <x:v>Water</x:v>
      </x:c>
      <x:c r="E1475" s="14" t="str">
        <x:v>NOT COMMISSIONED</x:v>
      </x:c>
      <x:c r="F1475" s="14" t="str">
        <x:v>OPEN</x:v>
      </x:c>
    </x:row>
    <x:row r="1476">
      <x:c r="A1476" s="15" t="str">
        <x:v>CH-1472</x:v>
      </x:c>
      <x:c r="B1476" s="15" t="str">
        <x:v>SYS-23</x:v>
      </x:c>
      <x:c r="C1476" s="15" t="n">
        <x:v>64</x:v>
      </x:c>
      <x:c r="D1476" s="15" t="str">
        <x:v>Water</x:v>
      </x:c>
      <x:c r="E1476" s="15" t="str">
        <x:v>NOT COMMISSIONED</x:v>
      </x:c>
      <x:c r="F1476" s="15" t="str">
        <x:v>OPEN</x:v>
      </x:c>
    </x:row>
    <x:row r="1477">
      <x:c r="A1477" s="14" t="str">
        <x:v>CH-1473</x:v>
      </x:c>
      <x:c r="B1477" s="14" t="str">
        <x:v>SYS-24</x:v>
      </x:c>
      <x:c r="C1477" s="14" t="n">
        <x:v>1</x:v>
      </x:c>
      <x:c r="D1477" s="14" t="str">
        <x:v>Thermal</x:v>
      </x:c>
      <x:c r="E1477" s="14" t="str">
        <x:v>NOT COMMISSIONED</x:v>
      </x:c>
      <x:c r="F1477" s="14" t="str">
        <x:v>OPEN</x:v>
      </x:c>
    </x:row>
    <x:row r="1478">
      <x:c r="A1478" s="15" t="str">
        <x:v>CH-1474</x:v>
      </x:c>
      <x:c r="B1478" s="15" t="str">
        <x:v>SYS-24</x:v>
      </x:c>
      <x:c r="C1478" s="15" t="n">
        <x:v>2</x:v>
      </x:c>
      <x:c r="D1478" s="15" t="str">
        <x:v>Thermal</x:v>
      </x:c>
      <x:c r="E1478" s="15" t="str">
        <x:v>NOT COMMISSIONED</x:v>
      </x:c>
      <x:c r="F1478" s="15" t="str">
        <x:v>OPEN</x:v>
      </x:c>
    </x:row>
    <x:row r="1479">
      <x:c r="A1479" s="14" t="str">
        <x:v>CH-1475</x:v>
      </x:c>
      <x:c r="B1479" s="14" t="str">
        <x:v>SYS-24</x:v>
      </x:c>
      <x:c r="C1479" s="14" t="n">
        <x:v>3</x:v>
      </x:c>
      <x:c r="D1479" s="14" t="str">
        <x:v>Thermal</x:v>
      </x:c>
      <x:c r="E1479" s="14" t="str">
        <x:v>NOT COMMISSIONED</x:v>
      </x:c>
      <x:c r="F1479" s="14" t="str">
        <x:v>OPEN</x:v>
      </x:c>
    </x:row>
    <x:row r="1480">
      <x:c r="A1480" s="15" t="str">
        <x:v>CH-1476</x:v>
      </x:c>
      <x:c r="B1480" s="15" t="str">
        <x:v>SYS-24</x:v>
      </x:c>
      <x:c r="C1480" s="15" t="n">
        <x:v>4</x:v>
      </x:c>
      <x:c r="D1480" s="15" t="str">
        <x:v>Thermal</x:v>
      </x:c>
      <x:c r="E1480" s="15" t="str">
        <x:v>NOT COMMISSIONED</x:v>
      </x:c>
      <x:c r="F1480" s="15" t="str">
        <x:v>OPEN</x:v>
      </x:c>
    </x:row>
    <x:row r="1481">
      <x:c r="A1481" s="14" t="str">
        <x:v>CH-1477</x:v>
      </x:c>
      <x:c r="B1481" s="14" t="str">
        <x:v>SYS-24</x:v>
      </x:c>
      <x:c r="C1481" s="14" t="n">
        <x:v>5</x:v>
      </x:c>
      <x:c r="D1481" s="14" t="str">
        <x:v>Thermal</x:v>
      </x:c>
      <x:c r="E1481" s="14" t="str">
        <x:v>NOT COMMISSIONED</x:v>
      </x:c>
      <x:c r="F1481" s="14" t="str">
        <x:v>OPEN</x:v>
      </x:c>
    </x:row>
    <x:row r="1482">
      <x:c r="A1482" s="15" t="str">
        <x:v>CH-1478</x:v>
      </x:c>
      <x:c r="B1482" s="15" t="str">
        <x:v>SYS-24</x:v>
      </x:c>
      <x:c r="C1482" s="15" t="n">
        <x:v>6</x:v>
      </x:c>
      <x:c r="D1482" s="15" t="str">
        <x:v>Thermal</x:v>
      </x:c>
      <x:c r="E1482" s="15" t="str">
        <x:v>NOT COMMISSIONED</x:v>
      </x:c>
      <x:c r="F1482" s="15" t="str">
        <x:v>OPEN</x:v>
      </x:c>
    </x:row>
    <x:row r="1483">
      <x:c r="A1483" s="14" t="str">
        <x:v>CH-1479</x:v>
      </x:c>
      <x:c r="B1483" s="14" t="str">
        <x:v>SYS-24</x:v>
      </x:c>
      <x:c r="C1483" s="14" t="n">
        <x:v>7</x:v>
      </x:c>
      <x:c r="D1483" s="14" t="str">
        <x:v>Thermal</x:v>
      </x:c>
      <x:c r="E1483" s="14" t="str">
        <x:v>NOT COMMISSIONED</x:v>
      </x:c>
      <x:c r="F1483" s="14" t="str">
        <x:v>OPEN</x:v>
      </x:c>
    </x:row>
    <x:row r="1484">
      <x:c r="A1484" s="15" t="str">
        <x:v>CH-1480</x:v>
      </x:c>
      <x:c r="B1484" s="15" t="str">
        <x:v>SYS-24</x:v>
      </x:c>
      <x:c r="C1484" s="15" t="n">
        <x:v>8</x:v>
      </x:c>
      <x:c r="D1484" s="15" t="str">
        <x:v>Thermal</x:v>
      </x:c>
      <x:c r="E1484" s="15" t="str">
        <x:v>NOT COMMISSIONED</x:v>
      </x:c>
      <x:c r="F1484" s="15" t="str">
        <x:v>OPEN</x:v>
      </x:c>
    </x:row>
    <x:row r="1485">
      <x:c r="A1485" s="14" t="str">
        <x:v>CH-1481</x:v>
      </x:c>
      <x:c r="B1485" s="14" t="str">
        <x:v>SYS-24</x:v>
      </x:c>
      <x:c r="C1485" s="14" t="n">
        <x:v>9</x:v>
      </x:c>
      <x:c r="D1485" s="14" t="str">
        <x:v>Thermal</x:v>
      </x:c>
      <x:c r="E1485" s="14" t="str">
        <x:v>NOT COMMISSIONED</x:v>
      </x:c>
      <x:c r="F1485" s="14" t="str">
        <x:v>OPEN</x:v>
      </x:c>
    </x:row>
    <x:row r="1486">
      <x:c r="A1486" s="15" t="str">
        <x:v>CH-1482</x:v>
      </x:c>
      <x:c r="B1486" s="15" t="str">
        <x:v>SYS-24</x:v>
      </x:c>
      <x:c r="C1486" s="15" t="n">
        <x:v>10</x:v>
      </x:c>
      <x:c r="D1486" s="15" t="str">
        <x:v>Thermal</x:v>
      </x:c>
      <x:c r="E1486" s="15" t="str">
        <x:v>NOT COMMISSIONED</x:v>
      </x:c>
      <x:c r="F1486" s="15" t="str">
        <x:v>OPEN</x:v>
      </x:c>
    </x:row>
    <x:row r="1487">
      <x:c r="A1487" s="14" t="str">
        <x:v>CH-1483</x:v>
      </x:c>
      <x:c r="B1487" s="14" t="str">
        <x:v>SYS-24</x:v>
      </x:c>
      <x:c r="C1487" s="14" t="n">
        <x:v>11</x:v>
      </x:c>
      <x:c r="D1487" s="14" t="str">
        <x:v>Thermal</x:v>
      </x:c>
      <x:c r="E1487" s="14" t="str">
        <x:v>NOT COMMISSIONED</x:v>
      </x:c>
      <x:c r="F1487" s="14" t="str">
        <x:v>OPEN</x:v>
      </x:c>
    </x:row>
    <x:row r="1488">
      <x:c r="A1488" s="15" t="str">
        <x:v>CH-1484</x:v>
      </x:c>
      <x:c r="B1488" s="15" t="str">
        <x:v>SYS-24</x:v>
      </x:c>
      <x:c r="C1488" s="15" t="n">
        <x:v>12</x:v>
      </x:c>
      <x:c r="D1488" s="15" t="str">
        <x:v>Thermal</x:v>
      </x:c>
      <x:c r="E1488" s="15" t="str">
        <x:v>NOT COMMISSIONED</x:v>
      </x:c>
      <x:c r="F1488" s="15" t="str">
        <x:v>OPEN</x:v>
      </x:c>
    </x:row>
    <x:row r="1489">
      <x:c r="A1489" s="14" t="str">
        <x:v>CH-1485</x:v>
      </x:c>
      <x:c r="B1489" s="14" t="str">
        <x:v>SYS-24</x:v>
      </x:c>
      <x:c r="C1489" s="14" t="n">
        <x:v>13</x:v>
      </x:c>
      <x:c r="D1489" s="14" t="str">
        <x:v>Thermal</x:v>
      </x:c>
      <x:c r="E1489" s="14" t="str">
        <x:v>NOT COMMISSIONED</x:v>
      </x:c>
      <x:c r="F1489" s="14" t="str">
        <x:v>OPEN</x:v>
      </x:c>
    </x:row>
    <x:row r="1490">
      <x:c r="A1490" s="15" t="str">
        <x:v>CH-1486</x:v>
      </x:c>
      <x:c r="B1490" s="15" t="str">
        <x:v>SYS-24</x:v>
      </x:c>
      <x:c r="C1490" s="15" t="n">
        <x:v>14</x:v>
      </x:c>
      <x:c r="D1490" s="15" t="str">
        <x:v>Thermal</x:v>
      </x:c>
      <x:c r="E1490" s="15" t="str">
        <x:v>NOT COMMISSIONED</x:v>
      </x:c>
      <x:c r="F1490" s="15" t="str">
        <x:v>OPEN</x:v>
      </x:c>
    </x:row>
    <x:row r="1491">
      <x:c r="A1491" s="14" t="str">
        <x:v>CH-1487</x:v>
      </x:c>
      <x:c r="B1491" s="14" t="str">
        <x:v>SYS-24</x:v>
      </x:c>
      <x:c r="C1491" s="14" t="n">
        <x:v>15</x:v>
      </x:c>
      <x:c r="D1491" s="14" t="str">
        <x:v>Thermal</x:v>
      </x:c>
      <x:c r="E1491" s="14" t="str">
        <x:v>NOT COMMISSIONED</x:v>
      </x:c>
      <x:c r="F1491" s="14" t="str">
        <x:v>OPEN</x:v>
      </x:c>
    </x:row>
    <x:row r="1492">
      <x:c r="A1492" s="15" t="str">
        <x:v>CH-1488</x:v>
      </x:c>
      <x:c r="B1492" s="15" t="str">
        <x:v>SYS-24</x:v>
      </x:c>
      <x:c r="C1492" s="15" t="n">
        <x:v>16</x:v>
      </x:c>
      <x:c r="D1492" s="15" t="str">
        <x:v>Thermal</x:v>
      </x:c>
      <x:c r="E1492" s="15" t="str">
        <x:v>NOT COMMISSIONED</x:v>
      </x:c>
      <x:c r="F1492" s="15" t="str">
        <x:v>OPEN</x:v>
      </x:c>
    </x:row>
    <x:row r="1493">
      <x:c r="A1493" s="14" t="str">
        <x:v>CH-1489</x:v>
      </x:c>
      <x:c r="B1493" s="14" t="str">
        <x:v>SYS-24</x:v>
      </x:c>
      <x:c r="C1493" s="14" t="n">
        <x:v>17</x:v>
      </x:c>
      <x:c r="D1493" s="14" t="str">
        <x:v>Thermal</x:v>
      </x:c>
      <x:c r="E1493" s="14" t="str">
        <x:v>NOT COMMISSIONED</x:v>
      </x:c>
      <x:c r="F1493" s="14" t="str">
        <x:v>OPEN</x:v>
      </x:c>
    </x:row>
    <x:row r="1494">
      <x:c r="A1494" s="15" t="str">
        <x:v>CH-1490</x:v>
      </x:c>
      <x:c r="B1494" s="15" t="str">
        <x:v>SYS-24</x:v>
      </x:c>
      <x:c r="C1494" s="15" t="n">
        <x:v>18</x:v>
      </x:c>
      <x:c r="D1494" s="15" t="str">
        <x:v>Thermal</x:v>
      </x:c>
      <x:c r="E1494" s="15" t="str">
        <x:v>NOT COMMISSIONED</x:v>
      </x:c>
      <x:c r="F1494" s="15" t="str">
        <x:v>OPEN</x:v>
      </x:c>
    </x:row>
    <x:row r="1495">
      <x:c r="A1495" s="14" t="str">
        <x:v>CH-1491</x:v>
      </x:c>
      <x:c r="B1495" s="14" t="str">
        <x:v>SYS-24</x:v>
      </x:c>
      <x:c r="C1495" s="14" t="n">
        <x:v>19</x:v>
      </x:c>
      <x:c r="D1495" s="14" t="str">
        <x:v>Thermal</x:v>
      </x:c>
      <x:c r="E1495" s="14" t="str">
        <x:v>NOT COMMISSIONED</x:v>
      </x:c>
      <x:c r="F1495" s="14" t="str">
        <x:v>OPEN</x:v>
      </x:c>
    </x:row>
    <x:row r="1496">
      <x:c r="A1496" s="15" t="str">
        <x:v>CH-1492</x:v>
      </x:c>
      <x:c r="B1496" s="15" t="str">
        <x:v>SYS-24</x:v>
      </x:c>
      <x:c r="C1496" s="15" t="n">
        <x:v>20</x:v>
      </x:c>
      <x:c r="D1496" s="15" t="str">
        <x:v>Thermal</x:v>
      </x:c>
      <x:c r="E1496" s="15" t="str">
        <x:v>NOT COMMISSIONED</x:v>
      </x:c>
      <x:c r="F1496" s="15" t="str">
        <x:v>OPEN</x:v>
      </x:c>
    </x:row>
    <x:row r="1497">
      <x:c r="A1497" s="14" t="str">
        <x:v>CH-1493</x:v>
      </x:c>
      <x:c r="B1497" s="14" t="str">
        <x:v>SYS-24</x:v>
      </x:c>
      <x:c r="C1497" s="14" t="n">
        <x:v>21</x:v>
      </x:c>
      <x:c r="D1497" s="14" t="str">
        <x:v>Thermal</x:v>
      </x:c>
      <x:c r="E1497" s="14" t="str">
        <x:v>NOT COMMISSIONED</x:v>
      </x:c>
      <x:c r="F1497" s="14" t="str">
        <x:v>OPEN</x:v>
      </x:c>
    </x:row>
    <x:row r="1498">
      <x:c r="A1498" s="15" t="str">
        <x:v>CH-1494</x:v>
      </x:c>
      <x:c r="B1498" s="15" t="str">
        <x:v>SYS-24</x:v>
      </x:c>
      <x:c r="C1498" s="15" t="n">
        <x:v>22</x:v>
      </x:c>
      <x:c r="D1498" s="15" t="str">
        <x:v>Thermal</x:v>
      </x:c>
      <x:c r="E1498" s="15" t="str">
        <x:v>NOT COMMISSIONED</x:v>
      </x:c>
      <x:c r="F1498" s="15" t="str">
        <x:v>OPEN</x:v>
      </x:c>
    </x:row>
    <x:row r="1499">
      <x:c r="A1499" s="14" t="str">
        <x:v>CH-1495</x:v>
      </x:c>
      <x:c r="B1499" s="14" t="str">
        <x:v>SYS-24</x:v>
      </x:c>
      <x:c r="C1499" s="14" t="n">
        <x:v>23</x:v>
      </x:c>
      <x:c r="D1499" s="14" t="str">
        <x:v>Thermal</x:v>
      </x:c>
      <x:c r="E1499" s="14" t="str">
        <x:v>NOT COMMISSIONED</x:v>
      </x:c>
      <x:c r="F1499" s="14" t="str">
        <x:v>OPEN</x:v>
      </x:c>
    </x:row>
    <x:row r="1500">
      <x:c r="A1500" s="15" t="str">
        <x:v>CH-1496</x:v>
      </x:c>
      <x:c r="B1500" s="15" t="str">
        <x:v>SYS-24</x:v>
      </x:c>
      <x:c r="C1500" s="15" t="n">
        <x:v>24</x:v>
      </x:c>
      <x:c r="D1500" s="15" t="str">
        <x:v>Thermal</x:v>
      </x:c>
      <x:c r="E1500" s="15" t="str">
        <x:v>NOT COMMISSIONED</x:v>
      </x:c>
      <x:c r="F1500" s="15" t="str">
        <x:v>OPEN</x:v>
      </x:c>
    </x:row>
    <x:row r="1501">
      <x:c r="A1501" s="14" t="str">
        <x:v>CH-1497</x:v>
      </x:c>
      <x:c r="B1501" s="14" t="str">
        <x:v>SYS-24</x:v>
      </x:c>
      <x:c r="C1501" s="14" t="n">
        <x:v>25</x:v>
      </x:c>
      <x:c r="D1501" s="14" t="str">
        <x:v>Thermal</x:v>
      </x:c>
      <x:c r="E1501" s="14" t="str">
        <x:v>NOT COMMISSIONED</x:v>
      </x:c>
      <x:c r="F1501" s="14" t="str">
        <x:v>OPEN</x:v>
      </x:c>
    </x:row>
    <x:row r="1502">
      <x:c r="A1502" s="15" t="str">
        <x:v>CH-1498</x:v>
      </x:c>
      <x:c r="B1502" s="15" t="str">
        <x:v>SYS-24</x:v>
      </x:c>
      <x:c r="C1502" s="15" t="n">
        <x:v>26</x:v>
      </x:c>
      <x:c r="D1502" s="15" t="str">
        <x:v>Thermal</x:v>
      </x:c>
      <x:c r="E1502" s="15" t="str">
        <x:v>NOT COMMISSIONED</x:v>
      </x:c>
      <x:c r="F1502" s="15" t="str">
        <x:v>OPEN</x:v>
      </x:c>
    </x:row>
    <x:row r="1503">
      <x:c r="A1503" s="14" t="str">
        <x:v>CH-1499</x:v>
      </x:c>
      <x:c r="B1503" s="14" t="str">
        <x:v>SYS-24</x:v>
      </x:c>
      <x:c r="C1503" s="14" t="n">
        <x:v>27</x:v>
      </x:c>
      <x:c r="D1503" s="14" t="str">
        <x:v>Thermal</x:v>
      </x:c>
      <x:c r="E1503" s="14" t="str">
        <x:v>NOT COMMISSIONED</x:v>
      </x:c>
      <x:c r="F1503" s="14" t="str">
        <x:v>OPEN</x:v>
      </x:c>
    </x:row>
    <x:row r="1504">
      <x:c r="A1504" s="15" t="str">
        <x:v>CH-1500</x:v>
      </x:c>
      <x:c r="B1504" s="15" t="str">
        <x:v>SYS-24</x:v>
      </x:c>
      <x:c r="C1504" s="15" t="n">
        <x:v>28</x:v>
      </x:c>
      <x:c r="D1504" s="15" t="str">
        <x:v>Thermal</x:v>
      </x:c>
      <x:c r="E1504" s="15" t="str">
        <x:v>NOT COMMISSIONED</x:v>
      </x:c>
      <x:c r="F1504" s="15" t="str">
        <x:v>OPEN</x:v>
      </x:c>
    </x:row>
    <x:row r="1505">
      <x:c r="A1505" s="14" t="str">
        <x:v>CH-1501</x:v>
      </x:c>
      <x:c r="B1505" s="14" t="str">
        <x:v>SYS-24</x:v>
      </x:c>
      <x:c r="C1505" s="14" t="n">
        <x:v>29</x:v>
      </x:c>
      <x:c r="D1505" s="14" t="str">
        <x:v>Thermal</x:v>
      </x:c>
      <x:c r="E1505" s="14" t="str">
        <x:v>NOT COMMISSIONED</x:v>
      </x:c>
      <x:c r="F1505" s="14" t="str">
        <x:v>OPEN</x:v>
      </x:c>
    </x:row>
    <x:row r="1506">
      <x:c r="A1506" s="15" t="str">
        <x:v>CH-1502</x:v>
      </x:c>
      <x:c r="B1506" s="15" t="str">
        <x:v>SYS-24</x:v>
      </x:c>
      <x:c r="C1506" s="15" t="n">
        <x:v>30</x:v>
      </x:c>
      <x:c r="D1506" s="15" t="str">
        <x:v>Thermal</x:v>
      </x:c>
      <x:c r="E1506" s="15" t="str">
        <x:v>NOT COMMISSIONED</x:v>
      </x:c>
      <x:c r="F1506" s="15" t="str">
        <x:v>OPEN</x:v>
      </x:c>
    </x:row>
    <x:row r="1507">
      <x:c r="A1507" s="14" t="str">
        <x:v>CH-1503</x:v>
      </x:c>
      <x:c r="B1507" s="14" t="str">
        <x:v>SYS-24</x:v>
      </x:c>
      <x:c r="C1507" s="14" t="n">
        <x:v>31</x:v>
      </x:c>
      <x:c r="D1507" s="14" t="str">
        <x:v>Thermal</x:v>
      </x:c>
      <x:c r="E1507" s="14" t="str">
        <x:v>NOT COMMISSIONED</x:v>
      </x:c>
      <x:c r="F1507" s="14" t="str">
        <x:v>OPEN</x:v>
      </x:c>
    </x:row>
    <x:row r="1508">
      <x:c r="A1508" s="15" t="str">
        <x:v>CH-1504</x:v>
      </x:c>
      <x:c r="B1508" s="15" t="str">
        <x:v>SYS-24</x:v>
      </x:c>
      <x:c r="C1508" s="15" t="n">
        <x:v>32</x:v>
      </x:c>
      <x:c r="D1508" s="15" t="str">
        <x:v>Thermal</x:v>
      </x:c>
      <x:c r="E1508" s="15" t="str">
        <x:v>NOT COMMISSIONED</x:v>
      </x:c>
      <x:c r="F1508" s="15" t="str">
        <x:v>OPEN</x:v>
      </x:c>
    </x:row>
    <x:row r="1509">
      <x:c r="A1509" s="14" t="str">
        <x:v>CH-1505</x:v>
      </x:c>
      <x:c r="B1509" s="14" t="str">
        <x:v>SYS-24</x:v>
      </x:c>
      <x:c r="C1509" s="14" t="n">
        <x:v>33</x:v>
      </x:c>
      <x:c r="D1509" s="14" t="str">
        <x:v>Thermal</x:v>
      </x:c>
      <x:c r="E1509" s="14" t="str">
        <x:v>NOT COMMISSIONED</x:v>
      </x:c>
      <x:c r="F1509" s="14" t="str">
        <x:v>OPEN</x:v>
      </x:c>
    </x:row>
    <x:row r="1510">
      <x:c r="A1510" s="15" t="str">
        <x:v>CH-1506</x:v>
      </x:c>
      <x:c r="B1510" s="15" t="str">
        <x:v>SYS-24</x:v>
      </x:c>
      <x:c r="C1510" s="15" t="n">
        <x:v>34</x:v>
      </x:c>
      <x:c r="D1510" s="15" t="str">
        <x:v>Thermal</x:v>
      </x:c>
      <x:c r="E1510" s="15" t="str">
        <x:v>NOT COMMISSIONED</x:v>
      </x:c>
      <x:c r="F1510" s="15" t="str">
        <x:v>OPEN</x:v>
      </x:c>
    </x:row>
    <x:row r="1511">
      <x:c r="A1511" s="14" t="str">
        <x:v>CH-1507</x:v>
      </x:c>
      <x:c r="B1511" s="14" t="str">
        <x:v>SYS-24</x:v>
      </x:c>
      <x:c r="C1511" s="14" t="n">
        <x:v>35</x:v>
      </x:c>
      <x:c r="D1511" s="14" t="str">
        <x:v>Thermal</x:v>
      </x:c>
      <x:c r="E1511" s="14" t="str">
        <x:v>NOT COMMISSIONED</x:v>
      </x:c>
      <x:c r="F1511" s="14" t="str">
        <x:v>OPEN</x:v>
      </x:c>
    </x:row>
    <x:row r="1512">
      <x:c r="A1512" s="15" t="str">
        <x:v>CH-1508</x:v>
      </x:c>
      <x:c r="B1512" s="15" t="str">
        <x:v>SYS-24</x:v>
      </x:c>
      <x:c r="C1512" s="15" t="n">
        <x:v>36</x:v>
      </x:c>
      <x:c r="D1512" s="15" t="str">
        <x:v>Thermal</x:v>
      </x:c>
      <x:c r="E1512" s="15" t="str">
        <x:v>NOT COMMISSIONED</x:v>
      </x:c>
      <x:c r="F1512" s="15" t="str">
        <x:v>OPEN</x:v>
      </x:c>
    </x:row>
    <x:row r="1513">
      <x:c r="A1513" s="14" t="str">
        <x:v>CH-1509</x:v>
      </x:c>
      <x:c r="B1513" s="14" t="str">
        <x:v>SYS-24</x:v>
      </x:c>
      <x:c r="C1513" s="14" t="n">
        <x:v>37</x:v>
      </x:c>
      <x:c r="D1513" s="14" t="str">
        <x:v>Thermal</x:v>
      </x:c>
      <x:c r="E1513" s="14" t="str">
        <x:v>NOT COMMISSIONED</x:v>
      </x:c>
      <x:c r="F1513" s="14" t="str">
        <x:v>OPEN</x:v>
      </x:c>
    </x:row>
    <x:row r="1514">
      <x:c r="A1514" s="15" t="str">
        <x:v>CH-1510</x:v>
      </x:c>
      <x:c r="B1514" s="15" t="str">
        <x:v>SYS-24</x:v>
      </x:c>
      <x:c r="C1514" s="15" t="n">
        <x:v>38</x:v>
      </x:c>
      <x:c r="D1514" s="15" t="str">
        <x:v>Thermal</x:v>
      </x:c>
      <x:c r="E1514" s="15" t="str">
        <x:v>NOT COMMISSIONED</x:v>
      </x:c>
      <x:c r="F1514" s="15" t="str">
        <x:v>OPEN</x:v>
      </x:c>
    </x:row>
    <x:row r="1515">
      <x:c r="A1515" s="14" t="str">
        <x:v>CH-1511</x:v>
      </x:c>
      <x:c r="B1515" s="14" t="str">
        <x:v>SYS-24</x:v>
      </x:c>
      <x:c r="C1515" s="14" t="n">
        <x:v>39</x:v>
      </x:c>
      <x:c r="D1515" s="14" t="str">
        <x:v>Thermal</x:v>
      </x:c>
      <x:c r="E1515" s="14" t="str">
        <x:v>NOT COMMISSIONED</x:v>
      </x:c>
      <x:c r="F1515" s="14" t="str">
        <x:v>OPEN</x:v>
      </x:c>
    </x:row>
    <x:row r="1516">
      <x:c r="A1516" s="15" t="str">
        <x:v>CH-1512</x:v>
      </x:c>
      <x:c r="B1516" s="15" t="str">
        <x:v>SYS-24</x:v>
      </x:c>
      <x:c r="C1516" s="15" t="n">
        <x:v>40</x:v>
      </x:c>
      <x:c r="D1516" s="15" t="str">
        <x:v>Thermal</x:v>
      </x:c>
      <x:c r="E1516" s="15" t="str">
        <x:v>NOT COMMISSIONED</x:v>
      </x:c>
      <x:c r="F1516" s="15" t="str">
        <x:v>OPEN</x:v>
      </x:c>
    </x:row>
    <x:row r="1517">
      <x:c r="A1517" s="14" t="str">
        <x:v>CH-1513</x:v>
      </x:c>
      <x:c r="B1517" s="14" t="str">
        <x:v>SYS-24</x:v>
      </x:c>
      <x:c r="C1517" s="14" t="n">
        <x:v>41</x:v>
      </x:c>
      <x:c r="D1517" s="14" t="str">
        <x:v>Thermal</x:v>
      </x:c>
      <x:c r="E1517" s="14" t="str">
        <x:v>NOT COMMISSIONED</x:v>
      </x:c>
      <x:c r="F1517" s="14" t="str">
        <x:v>OPEN</x:v>
      </x:c>
    </x:row>
    <x:row r="1518">
      <x:c r="A1518" s="15" t="str">
        <x:v>CH-1514</x:v>
      </x:c>
      <x:c r="B1518" s="15" t="str">
        <x:v>SYS-24</x:v>
      </x:c>
      <x:c r="C1518" s="15" t="n">
        <x:v>42</x:v>
      </x:c>
      <x:c r="D1518" s="15" t="str">
        <x:v>Thermal</x:v>
      </x:c>
      <x:c r="E1518" s="15" t="str">
        <x:v>NOT COMMISSIONED</x:v>
      </x:c>
      <x:c r="F1518" s="15" t="str">
        <x:v>OPEN</x:v>
      </x:c>
    </x:row>
    <x:row r="1519">
      <x:c r="A1519" s="14" t="str">
        <x:v>CH-1515</x:v>
      </x:c>
      <x:c r="B1519" s="14" t="str">
        <x:v>SYS-24</x:v>
      </x:c>
      <x:c r="C1519" s="14" t="n">
        <x:v>43</x:v>
      </x:c>
      <x:c r="D1519" s="14" t="str">
        <x:v>Thermal</x:v>
      </x:c>
      <x:c r="E1519" s="14" t="str">
        <x:v>NOT COMMISSIONED</x:v>
      </x:c>
      <x:c r="F1519" s="14" t="str">
        <x:v>OPEN</x:v>
      </x:c>
    </x:row>
    <x:row r="1520">
      <x:c r="A1520" s="15" t="str">
        <x:v>CH-1516</x:v>
      </x:c>
      <x:c r="B1520" s="15" t="str">
        <x:v>SYS-24</x:v>
      </x:c>
      <x:c r="C1520" s="15" t="n">
        <x:v>44</x:v>
      </x:c>
      <x:c r="D1520" s="15" t="str">
        <x:v>Thermal</x:v>
      </x:c>
      <x:c r="E1520" s="15" t="str">
        <x:v>NOT COMMISSIONED</x:v>
      </x:c>
      <x:c r="F1520" s="15" t="str">
        <x:v>OPEN</x:v>
      </x:c>
    </x:row>
    <x:row r="1521">
      <x:c r="A1521" s="14" t="str">
        <x:v>CH-1517</x:v>
      </x:c>
      <x:c r="B1521" s="14" t="str">
        <x:v>SYS-24</x:v>
      </x:c>
      <x:c r="C1521" s="14" t="n">
        <x:v>45</x:v>
      </x:c>
      <x:c r="D1521" s="14" t="str">
        <x:v>Thermal</x:v>
      </x:c>
      <x:c r="E1521" s="14" t="str">
        <x:v>NOT COMMISSIONED</x:v>
      </x:c>
      <x:c r="F1521" s="14" t="str">
        <x:v>OPEN</x:v>
      </x:c>
    </x:row>
    <x:row r="1522">
      <x:c r="A1522" s="15" t="str">
        <x:v>CH-1518</x:v>
      </x:c>
      <x:c r="B1522" s="15" t="str">
        <x:v>SYS-24</x:v>
      </x:c>
      <x:c r="C1522" s="15" t="n">
        <x:v>46</x:v>
      </x:c>
      <x:c r="D1522" s="15" t="str">
        <x:v>Thermal</x:v>
      </x:c>
      <x:c r="E1522" s="15" t="str">
        <x:v>NOT COMMISSIONED</x:v>
      </x:c>
      <x:c r="F1522" s="15" t="str">
        <x:v>OPEN</x:v>
      </x:c>
    </x:row>
    <x:row r="1523">
      <x:c r="A1523" s="14" t="str">
        <x:v>CH-1519</x:v>
      </x:c>
      <x:c r="B1523" s="14" t="str">
        <x:v>SYS-24</x:v>
      </x:c>
      <x:c r="C1523" s="14" t="n">
        <x:v>47</x:v>
      </x:c>
      <x:c r="D1523" s="14" t="str">
        <x:v>Thermal</x:v>
      </x:c>
      <x:c r="E1523" s="14" t="str">
        <x:v>NOT COMMISSIONED</x:v>
      </x:c>
      <x:c r="F1523" s="14" t="str">
        <x:v>OPEN</x:v>
      </x:c>
    </x:row>
    <x:row r="1524">
      <x:c r="A1524" s="15" t="str">
        <x:v>CH-1520</x:v>
      </x:c>
      <x:c r="B1524" s="15" t="str">
        <x:v>SYS-24</x:v>
      </x:c>
      <x:c r="C1524" s="15" t="n">
        <x:v>48</x:v>
      </x:c>
      <x:c r="D1524" s="15" t="str">
        <x:v>Thermal</x:v>
      </x:c>
      <x:c r="E1524" s="15" t="str">
        <x:v>NOT COMMISSIONED</x:v>
      </x:c>
      <x:c r="F1524" s="15" t="str">
        <x:v>OPEN</x:v>
      </x:c>
    </x:row>
    <x:row r="1525">
      <x:c r="A1525" s="14" t="str">
        <x:v>CH-1521</x:v>
      </x:c>
      <x:c r="B1525" s="14" t="str">
        <x:v>SYS-24</x:v>
      </x:c>
      <x:c r="C1525" s="14" t="n">
        <x:v>49</x:v>
      </x:c>
      <x:c r="D1525" s="14" t="str">
        <x:v>Thermal</x:v>
      </x:c>
      <x:c r="E1525" s="14" t="str">
        <x:v>NOT COMMISSIONED</x:v>
      </x:c>
      <x:c r="F1525" s="14" t="str">
        <x:v>OPEN</x:v>
      </x:c>
    </x:row>
    <x:row r="1526">
      <x:c r="A1526" s="15" t="str">
        <x:v>CH-1522</x:v>
      </x:c>
      <x:c r="B1526" s="15" t="str">
        <x:v>SYS-24</x:v>
      </x:c>
      <x:c r="C1526" s="15" t="n">
        <x:v>50</x:v>
      </x:c>
      <x:c r="D1526" s="15" t="str">
        <x:v>Thermal</x:v>
      </x:c>
      <x:c r="E1526" s="15" t="str">
        <x:v>NOT COMMISSIONED</x:v>
      </x:c>
      <x:c r="F1526" s="15" t="str">
        <x:v>OPEN</x:v>
      </x:c>
    </x:row>
    <x:row r="1527">
      <x:c r="A1527" s="14" t="str">
        <x:v>CH-1523</x:v>
      </x:c>
      <x:c r="B1527" s="14" t="str">
        <x:v>SYS-24</x:v>
      </x:c>
      <x:c r="C1527" s="14" t="n">
        <x:v>51</x:v>
      </x:c>
      <x:c r="D1527" s="14" t="str">
        <x:v>Thermal</x:v>
      </x:c>
      <x:c r="E1527" s="14" t="str">
        <x:v>NOT COMMISSIONED</x:v>
      </x:c>
      <x:c r="F1527" s="14" t="str">
        <x:v>OPEN</x:v>
      </x:c>
    </x:row>
    <x:row r="1528">
      <x:c r="A1528" s="15" t="str">
        <x:v>CH-1524</x:v>
      </x:c>
      <x:c r="B1528" s="15" t="str">
        <x:v>SYS-24</x:v>
      </x:c>
      <x:c r="C1528" s="15" t="n">
        <x:v>52</x:v>
      </x:c>
      <x:c r="D1528" s="15" t="str">
        <x:v>Thermal</x:v>
      </x:c>
      <x:c r="E1528" s="15" t="str">
        <x:v>NOT COMMISSIONED</x:v>
      </x:c>
      <x:c r="F1528" s="15" t="str">
        <x:v>OPEN</x:v>
      </x:c>
    </x:row>
    <x:row r="1529">
      <x:c r="A1529" s="14" t="str">
        <x:v>CH-1525</x:v>
      </x:c>
      <x:c r="B1529" s="14" t="str">
        <x:v>SYS-24</x:v>
      </x:c>
      <x:c r="C1529" s="14" t="n">
        <x:v>53</x:v>
      </x:c>
      <x:c r="D1529" s="14" t="str">
        <x:v>Thermal</x:v>
      </x:c>
      <x:c r="E1529" s="14" t="str">
        <x:v>NOT COMMISSIONED</x:v>
      </x:c>
      <x:c r="F1529" s="14" t="str">
        <x:v>OPEN</x:v>
      </x:c>
    </x:row>
    <x:row r="1530">
      <x:c r="A1530" s="15" t="str">
        <x:v>CH-1526</x:v>
      </x:c>
      <x:c r="B1530" s="15" t="str">
        <x:v>SYS-24</x:v>
      </x:c>
      <x:c r="C1530" s="15" t="n">
        <x:v>54</x:v>
      </x:c>
      <x:c r="D1530" s="15" t="str">
        <x:v>Thermal</x:v>
      </x:c>
      <x:c r="E1530" s="15" t="str">
        <x:v>NOT COMMISSIONED</x:v>
      </x:c>
      <x:c r="F1530" s="15" t="str">
        <x:v>OPEN</x:v>
      </x:c>
    </x:row>
    <x:row r="1531">
      <x:c r="A1531" s="14" t="str">
        <x:v>CH-1527</x:v>
      </x:c>
      <x:c r="B1531" s="14" t="str">
        <x:v>SYS-24</x:v>
      </x:c>
      <x:c r="C1531" s="14" t="n">
        <x:v>55</x:v>
      </x:c>
      <x:c r="D1531" s="14" t="str">
        <x:v>Thermal</x:v>
      </x:c>
      <x:c r="E1531" s="14" t="str">
        <x:v>NOT COMMISSIONED</x:v>
      </x:c>
      <x:c r="F1531" s="14" t="str">
        <x:v>OPEN</x:v>
      </x:c>
    </x:row>
    <x:row r="1532">
      <x:c r="A1532" s="15" t="str">
        <x:v>CH-1528</x:v>
      </x:c>
      <x:c r="B1532" s="15" t="str">
        <x:v>SYS-24</x:v>
      </x:c>
      <x:c r="C1532" s="15" t="n">
        <x:v>56</x:v>
      </x:c>
      <x:c r="D1532" s="15" t="str">
        <x:v>Thermal</x:v>
      </x:c>
      <x:c r="E1532" s="15" t="str">
        <x:v>NOT COMMISSIONED</x:v>
      </x:c>
      <x:c r="F1532" s="15" t="str">
        <x:v>OPEN</x:v>
      </x:c>
    </x:row>
    <x:row r="1533">
      <x:c r="A1533" s="14" t="str">
        <x:v>CH-1529</x:v>
      </x:c>
      <x:c r="B1533" s="14" t="str">
        <x:v>SYS-24</x:v>
      </x:c>
      <x:c r="C1533" s="14" t="n">
        <x:v>57</x:v>
      </x:c>
      <x:c r="D1533" s="14" t="str">
        <x:v>Thermal</x:v>
      </x:c>
      <x:c r="E1533" s="14" t="str">
        <x:v>NOT COMMISSIONED</x:v>
      </x:c>
      <x:c r="F1533" s="14" t="str">
        <x:v>OPEN</x:v>
      </x:c>
    </x:row>
    <x:row r="1534">
      <x:c r="A1534" s="15" t="str">
        <x:v>CH-1530</x:v>
      </x:c>
      <x:c r="B1534" s="15" t="str">
        <x:v>SYS-24</x:v>
      </x:c>
      <x:c r="C1534" s="15" t="n">
        <x:v>58</x:v>
      </x:c>
      <x:c r="D1534" s="15" t="str">
        <x:v>Thermal</x:v>
      </x:c>
      <x:c r="E1534" s="15" t="str">
        <x:v>NOT COMMISSIONED</x:v>
      </x:c>
      <x:c r="F1534" s="15" t="str">
        <x:v>OPEN</x:v>
      </x:c>
    </x:row>
    <x:row r="1535">
      <x:c r="A1535" s="14" t="str">
        <x:v>CH-1531</x:v>
      </x:c>
      <x:c r="B1535" s="14" t="str">
        <x:v>SYS-24</x:v>
      </x:c>
      <x:c r="C1535" s="14" t="n">
        <x:v>59</x:v>
      </x:c>
      <x:c r="D1535" s="14" t="str">
        <x:v>Thermal</x:v>
      </x:c>
      <x:c r="E1535" s="14" t="str">
        <x:v>NOT COMMISSIONED</x:v>
      </x:c>
      <x:c r="F1535" s="14" t="str">
        <x:v>OPEN</x:v>
      </x:c>
    </x:row>
    <x:row r="1536">
      <x:c r="A1536" s="15" t="str">
        <x:v>CH-1532</x:v>
      </x:c>
      <x:c r="B1536" s="15" t="str">
        <x:v>SYS-24</x:v>
      </x:c>
      <x:c r="C1536" s="15" t="n">
        <x:v>60</x:v>
      </x:c>
      <x:c r="D1536" s="15" t="str">
        <x:v>Thermal</x:v>
      </x:c>
      <x:c r="E1536" s="15" t="str">
        <x:v>NOT COMMISSIONED</x:v>
      </x:c>
      <x:c r="F1536" s="15" t="str">
        <x:v>OPEN</x:v>
      </x:c>
    </x:row>
    <x:row r="1537">
      <x:c r="A1537" s="14" t="str">
        <x:v>CH-1533</x:v>
      </x:c>
      <x:c r="B1537" s="14" t="str">
        <x:v>SYS-24</x:v>
      </x:c>
      <x:c r="C1537" s="14" t="n">
        <x:v>61</x:v>
      </x:c>
      <x:c r="D1537" s="14" t="str">
        <x:v>Thermal</x:v>
      </x:c>
      <x:c r="E1537" s="14" t="str">
        <x:v>NOT COMMISSIONED</x:v>
      </x:c>
      <x:c r="F1537" s="14" t="str">
        <x:v>OPEN</x:v>
      </x:c>
    </x:row>
    <x:row r="1538">
      <x:c r="A1538" s="15" t="str">
        <x:v>CH-1534</x:v>
      </x:c>
      <x:c r="B1538" s="15" t="str">
        <x:v>SYS-24</x:v>
      </x:c>
      <x:c r="C1538" s="15" t="n">
        <x:v>62</x:v>
      </x:c>
      <x:c r="D1538" s="15" t="str">
        <x:v>Thermal</x:v>
      </x:c>
      <x:c r="E1538" s="15" t="str">
        <x:v>NOT COMMISSIONED</x:v>
      </x:c>
      <x:c r="F1538" s="15" t="str">
        <x:v>OPEN</x:v>
      </x:c>
    </x:row>
    <x:row r="1539">
      <x:c r="A1539" s="14" t="str">
        <x:v>CH-1535</x:v>
      </x:c>
      <x:c r="B1539" s="14" t="str">
        <x:v>SYS-24</x:v>
      </x:c>
      <x:c r="C1539" s="14" t="n">
        <x:v>63</x:v>
      </x:c>
      <x:c r="D1539" s="14" t="str">
        <x:v>Thermal</x:v>
      </x:c>
      <x:c r="E1539" s="14" t="str">
        <x:v>NOT COMMISSIONED</x:v>
      </x:c>
      <x:c r="F1539" s="14" t="str">
        <x:v>OPEN</x:v>
      </x:c>
    </x:row>
    <x:row r="1540">
      <x:c r="A1540" s="15" t="str">
        <x:v>CH-1536</x:v>
      </x:c>
      <x:c r="B1540" s="15" t="str">
        <x:v>SYS-24</x:v>
      </x:c>
      <x:c r="C1540" s="15" t="n">
        <x:v>64</x:v>
      </x:c>
      <x:c r="D1540" s="15" t="str">
        <x:v>Thermal</x:v>
      </x:c>
      <x:c r="E1540" s="15" t="str">
        <x:v>NOT COMMISSIONED</x:v>
      </x:c>
      <x:c r="F1540" s="15" t="str">
        <x:v>OPEN</x:v>
      </x:c>
    </x:row>
    <x:row r="1541">
      <x:c r="A1541" s="14" t="str">
        <x:v>CH-1537</x:v>
      </x:c>
      <x:c r="B1541" s="14" t="str">
        <x:v>SYS-25</x:v>
      </x:c>
      <x:c r="C1541" s="14" t="n">
        <x:v>1</x:v>
      </x:c>
      <x:c r="D1541" s="14" t="str">
        <x:v>Atmosphere</x:v>
      </x:c>
      <x:c r="E1541" s="14" t="str">
        <x:v>NOT COMMISSIONED</x:v>
      </x:c>
      <x:c r="F1541" s="14" t="str">
        <x:v>OPEN</x:v>
      </x:c>
    </x:row>
    <x:row r="1542">
      <x:c r="A1542" s="15" t="str">
        <x:v>CH-1538</x:v>
      </x:c>
      <x:c r="B1542" s="15" t="str">
        <x:v>SYS-25</x:v>
      </x:c>
      <x:c r="C1542" s="15" t="n">
        <x:v>2</x:v>
      </x:c>
      <x:c r="D1542" s="15" t="str">
        <x:v>Atmosphere</x:v>
      </x:c>
      <x:c r="E1542" s="15" t="str">
        <x:v>NOT COMMISSIONED</x:v>
      </x:c>
      <x:c r="F1542" s="15" t="str">
        <x:v>OPEN</x:v>
      </x:c>
    </x:row>
    <x:row r="1543">
      <x:c r="A1543" s="14" t="str">
        <x:v>CH-1539</x:v>
      </x:c>
      <x:c r="B1543" s="14" t="str">
        <x:v>SYS-25</x:v>
      </x:c>
      <x:c r="C1543" s="14" t="n">
        <x:v>3</x:v>
      </x:c>
      <x:c r="D1543" s="14" t="str">
        <x:v>Atmosphere</x:v>
      </x:c>
      <x:c r="E1543" s="14" t="str">
        <x:v>NOT COMMISSIONED</x:v>
      </x:c>
      <x:c r="F1543" s="14" t="str">
        <x:v>OPEN</x:v>
      </x:c>
    </x:row>
    <x:row r="1544">
      <x:c r="A1544" s="15" t="str">
        <x:v>CH-1540</x:v>
      </x:c>
      <x:c r="B1544" s="15" t="str">
        <x:v>SYS-25</x:v>
      </x:c>
      <x:c r="C1544" s="15" t="n">
        <x:v>4</x:v>
      </x:c>
      <x:c r="D1544" s="15" t="str">
        <x:v>Atmosphere</x:v>
      </x:c>
      <x:c r="E1544" s="15" t="str">
        <x:v>NOT COMMISSIONED</x:v>
      </x:c>
      <x:c r="F1544" s="15" t="str">
        <x:v>OPEN</x:v>
      </x:c>
    </x:row>
    <x:row r="1545">
      <x:c r="A1545" s="14" t="str">
        <x:v>CH-1541</x:v>
      </x:c>
      <x:c r="B1545" s="14" t="str">
        <x:v>SYS-25</x:v>
      </x:c>
      <x:c r="C1545" s="14" t="n">
        <x:v>5</x:v>
      </x:c>
      <x:c r="D1545" s="14" t="str">
        <x:v>Atmosphere</x:v>
      </x:c>
      <x:c r="E1545" s="14" t="str">
        <x:v>NOT COMMISSIONED</x:v>
      </x:c>
      <x:c r="F1545" s="14" t="str">
        <x:v>OPEN</x:v>
      </x:c>
    </x:row>
    <x:row r="1546">
      <x:c r="A1546" s="15" t="str">
        <x:v>CH-1542</x:v>
      </x:c>
      <x:c r="B1546" s="15" t="str">
        <x:v>SYS-25</x:v>
      </x:c>
      <x:c r="C1546" s="15" t="n">
        <x:v>6</x:v>
      </x:c>
      <x:c r="D1546" s="15" t="str">
        <x:v>Atmosphere</x:v>
      </x:c>
      <x:c r="E1546" s="15" t="str">
        <x:v>NOT COMMISSIONED</x:v>
      </x:c>
      <x:c r="F1546" s="15" t="str">
        <x:v>OPEN</x:v>
      </x:c>
    </x:row>
    <x:row r="1547">
      <x:c r="A1547" s="14" t="str">
        <x:v>CH-1543</x:v>
      </x:c>
      <x:c r="B1547" s="14" t="str">
        <x:v>SYS-25</x:v>
      </x:c>
      <x:c r="C1547" s="14" t="n">
        <x:v>7</x:v>
      </x:c>
      <x:c r="D1547" s="14" t="str">
        <x:v>Atmosphere</x:v>
      </x:c>
      <x:c r="E1547" s="14" t="str">
        <x:v>NOT COMMISSIONED</x:v>
      </x:c>
      <x:c r="F1547" s="14" t="str">
        <x:v>OPEN</x:v>
      </x:c>
    </x:row>
    <x:row r="1548">
      <x:c r="A1548" s="15" t="str">
        <x:v>CH-1544</x:v>
      </x:c>
      <x:c r="B1548" s="15" t="str">
        <x:v>SYS-25</x:v>
      </x:c>
      <x:c r="C1548" s="15" t="n">
        <x:v>8</x:v>
      </x:c>
      <x:c r="D1548" s="15" t="str">
        <x:v>Atmosphere</x:v>
      </x:c>
      <x:c r="E1548" s="15" t="str">
        <x:v>NOT COMMISSIONED</x:v>
      </x:c>
      <x:c r="F1548" s="15" t="str">
        <x:v>OPEN</x:v>
      </x:c>
    </x:row>
    <x:row r="1549">
      <x:c r="A1549" s="14" t="str">
        <x:v>CH-1545</x:v>
      </x:c>
      <x:c r="B1549" s="14" t="str">
        <x:v>SYS-25</x:v>
      </x:c>
      <x:c r="C1549" s="14" t="n">
        <x:v>9</x:v>
      </x:c>
      <x:c r="D1549" s="14" t="str">
        <x:v>Atmosphere</x:v>
      </x:c>
      <x:c r="E1549" s="14" t="str">
        <x:v>NOT COMMISSIONED</x:v>
      </x:c>
      <x:c r="F1549" s="14" t="str">
        <x:v>OPEN</x:v>
      </x:c>
    </x:row>
    <x:row r="1550">
      <x:c r="A1550" s="15" t="str">
        <x:v>CH-1546</x:v>
      </x:c>
      <x:c r="B1550" s="15" t="str">
        <x:v>SYS-25</x:v>
      </x:c>
      <x:c r="C1550" s="15" t="n">
        <x:v>10</x:v>
      </x:c>
      <x:c r="D1550" s="15" t="str">
        <x:v>Atmosphere</x:v>
      </x:c>
      <x:c r="E1550" s="15" t="str">
        <x:v>NOT COMMISSIONED</x:v>
      </x:c>
      <x:c r="F1550" s="15" t="str">
        <x:v>OPEN</x:v>
      </x:c>
    </x:row>
    <x:row r="1551">
      <x:c r="A1551" s="14" t="str">
        <x:v>CH-1547</x:v>
      </x:c>
      <x:c r="B1551" s="14" t="str">
        <x:v>SYS-25</x:v>
      </x:c>
      <x:c r="C1551" s="14" t="n">
        <x:v>11</x:v>
      </x:c>
      <x:c r="D1551" s="14" t="str">
        <x:v>Atmosphere</x:v>
      </x:c>
      <x:c r="E1551" s="14" t="str">
        <x:v>NOT COMMISSIONED</x:v>
      </x:c>
      <x:c r="F1551" s="14" t="str">
        <x:v>OPEN</x:v>
      </x:c>
    </x:row>
    <x:row r="1552">
      <x:c r="A1552" s="15" t="str">
        <x:v>CH-1548</x:v>
      </x:c>
      <x:c r="B1552" s="15" t="str">
        <x:v>SYS-25</x:v>
      </x:c>
      <x:c r="C1552" s="15" t="n">
        <x:v>12</x:v>
      </x:c>
      <x:c r="D1552" s="15" t="str">
        <x:v>Atmosphere</x:v>
      </x:c>
      <x:c r="E1552" s="15" t="str">
        <x:v>NOT COMMISSIONED</x:v>
      </x:c>
      <x:c r="F1552" s="15" t="str">
        <x:v>OPEN</x:v>
      </x:c>
    </x:row>
    <x:row r="1553">
      <x:c r="A1553" s="14" t="str">
        <x:v>CH-1549</x:v>
      </x:c>
      <x:c r="B1553" s="14" t="str">
        <x:v>SYS-25</x:v>
      </x:c>
      <x:c r="C1553" s="14" t="n">
        <x:v>13</x:v>
      </x:c>
      <x:c r="D1553" s="14" t="str">
        <x:v>Atmosphere</x:v>
      </x:c>
      <x:c r="E1553" s="14" t="str">
        <x:v>NOT COMMISSIONED</x:v>
      </x:c>
      <x:c r="F1553" s="14" t="str">
        <x:v>OPEN</x:v>
      </x:c>
    </x:row>
    <x:row r="1554">
      <x:c r="A1554" s="15" t="str">
        <x:v>CH-1550</x:v>
      </x:c>
      <x:c r="B1554" s="15" t="str">
        <x:v>SYS-25</x:v>
      </x:c>
      <x:c r="C1554" s="15" t="n">
        <x:v>14</x:v>
      </x:c>
      <x:c r="D1554" s="15" t="str">
        <x:v>Atmosphere</x:v>
      </x:c>
      <x:c r="E1554" s="15" t="str">
        <x:v>NOT COMMISSIONED</x:v>
      </x:c>
      <x:c r="F1554" s="15" t="str">
        <x:v>OPEN</x:v>
      </x:c>
    </x:row>
    <x:row r="1555">
      <x:c r="A1555" s="14" t="str">
        <x:v>CH-1551</x:v>
      </x:c>
      <x:c r="B1555" s="14" t="str">
        <x:v>SYS-25</x:v>
      </x:c>
      <x:c r="C1555" s="14" t="n">
        <x:v>15</x:v>
      </x:c>
      <x:c r="D1555" s="14" t="str">
        <x:v>Atmosphere</x:v>
      </x:c>
      <x:c r="E1555" s="14" t="str">
        <x:v>NOT COMMISSIONED</x:v>
      </x:c>
      <x:c r="F1555" s="14" t="str">
        <x:v>OPEN</x:v>
      </x:c>
    </x:row>
    <x:row r="1556">
      <x:c r="A1556" s="15" t="str">
        <x:v>CH-1552</x:v>
      </x:c>
      <x:c r="B1556" s="15" t="str">
        <x:v>SYS-25</x:v>
      </x:c>
      <x:c r="C1556" s="15" t="n">
        <x:v>16</x:v>
      </x:c>
      <x:c r="D1556" s="15" t="str">
        <x:v>Atmosphere</x:v>
      </x:c>
      <x:c r="E1556" s="15" t="str">
        <x:v>NOT COMMISSIONED</x:v>
      </x:c>
      <x:c r="F1556" s="15" t="str">
        <x:v>OPEN</x:v>
      </x:c>
    </x:row>
    <x:row r="1557">
      <x:c r="A1557" s="14" t="str">
        <x:v>CH-1553</x:v>
      </x:c>
      <x:c r="B1557" s="14" t="str">
        <x:v>SYS-25</x:v>
      </x:c>
      <x:c r="C1557" s="14" t="n">
        <x:v>17</x:v>
      </x:c>
      <x:c r="D1557" s="14" t="str">
        <x:v>Atmosphere</x:v>
      </x:c>
      <x:c r="E1557" s="14" t="str">
        <x:v>NOT COMMISSIONED</x:v>
      </x:c>
      <x:c r="F1557" s="14" t="str">
        <x:v>OPEN</x:v>
      </x:c>
    </x:row>
    <x:row r="1558">
      <x:c r="A1558" s="15" t="str">
        <x:v>CH-1554</x:v>
      </x:c>
      <x:c r="B1558" s="15" t="str">
        <x:v>SYS-25</x:v>
      </x:c>
      <x:c r="C1558" s="15" t="n">
        <x:v>18</x:v>
      </x:c>
      <x:c r="D1558" s="15" t="str">
        <x:v>Atmosphere</x:v>
      </x:c>
      <x:c r="E1558" s="15" t="str">
        <x:v>NOT COMMISSIONED</x:v>
      </x:c>
      <x:c r="F1558" s="15" t="str">
        <x:v>OPEN</x:v>
      </x:c>
    </x:row>
    <x:row r="1559">
      <x:c r="A1559" s="14" t="str">
        <x:v>CH-1555</x:v>
      </x:c>
      <x:c r="B1559" s="14" t="str">
        <x:v>SYS-25</x:v>
      </x:c>
      <x:c r="C1559" s="14" t="n">
        <x:v>19</x:v>
      </x:c>
      <x:c r="D1559" s="14" t="str">
        <x:v>Atmosphere</x:v>
      </x:c>
      <x:c r="E1559" s="14" t="str">
        <x:v>NOT COMMISSIONED</x:v>
      </x:c>
      <x:c r="F1559" s="14" t="str">
        <x:v>OPEN</x:v>
      </x:c>
    </x:row>
    <x:row r="1560">
      <x:c r="A1560" s="15" t="str">
        <x:v>CH-1556</x:v>
      </x:c>
      <x:c r="B1560" s="15" t="str">
        <x:v>SYS-25</x:v>
      </x:c>
      <x:c r="C1560" s="15" t="n">
        <x:v>20</x:v>
      </x:c>
      <x:c r="D1560" s="15" t="str">
        <x:v>Atmosphere</x:v>
      </x:c>
      <x:c r="E1560" s="15" t="str">
        <x:v>NOT COMMISSIONED</x:v>
      </x:c>
      <x:c r="F1560" s="15" t="str">
        <x:v>OPEN</x:v>
      </x:c>
    </x:row>
    <x:row r="1561">
      <x:c r="A1561" s="14" t="str">
        <x:v>CH-1557</x:v>
      </x:c>
      <x:c r="B1561" s="14" t="str">
        <x:v>SYS-25</x:v>
      </x:c>
      <x:c r="C1561" s="14" t="n">
        <x:v>21</x:v>
      </x:c>
      <x:c r="D1561" s="14" t="str">
        <x:v>Atmosphere</x:v>
      </x:c>
      <x:c r="E1561" s="14" t="str">
        <x:v>NOT COMMISSIONED</x:v>
      </x:c>
      <x:c r="F1561" s="14" t="str">
        <x:v>OPEN</x:v>
      </x:c>
    </x:row>
    <x:row r="1562">
      <x:c r="A1562" s="15" t="str">
        <x:v>CH-1558</x:v>
      </x:c>
      <x:c r="B1562" s="15" t="str">
        <x:v>SYS-25</x:v>
      </x:c>
      <x:c r="C1562" s="15" t="n">
        <x:v>22</x:v>
      </x:c>
      <x:c r="D1562" s="15" t="str">
        <x:v>Atmosphere</x:v>
      </x:c>
      <x:c r="E1562" s="15" t="str">
        <x:v>NOT COMMISSIONED</x:v>
      </x:c>
      <x:c r="F1562" s="15" t="str">
        <x:v>OPEN</x:v>
      </x:c>
    </x:row>
    <x:row r="1563">
      <x:c r="A1563" s="14" t="str">
        <x:v>CH-1559</x:v>
      </x:c>
      <x:c r="B1563" s="14" t="str">
        <x:v>SYS-25</x:v>
      </x:c>
      <x:c r="C1563" s="14" t="n">
        <x:v>23</x:v>
      </x:c>
      <x:c r="D1563" s="14" t="str">
        <x:v>Atmosphere</x:v>
      </x:c>
      <x:c r="E1563" s="14" t="str">
        <x:v>NOT COMMISSIONED</x:v>
      </x:c>
      <x:c r="F1563" s="14" t="str">
        <x:v>OPEN</x:v>
      </x:c>
    </x:row>
    <x:row r="1564">
      <x:c r="A1564" s="15" t="str">
        <x:v>CH-1560</x:v>
      </x:c>
      <x:c r="B1564" s="15" t="str">
        <x:v>SYS-25</x:v>
      </x:c>
      <x:c r="C1564" s="15" t="n">
        <x:v>24</x:v>
      </x:c>
      <x:c r="D1564" s="15" t="str">
        <x:v>Atmosphere</x:v>
      </x:c>
      <x:c r="E1564" s="15" t="str">
        <x:v>NOT COMMISSIONED</x:v>
      </x:c>
      <x:c r="F1564" s="15" t="str">
        <x:v>OPEN</x:v>
      </x:c>
    </x:row>
    <x:row r="1565">
      <x:c r="A1565" s="14" t="str">
        <x:v>CH-1561</x:v>
      </x:c>
      <x:c r="B1565" s="14" t="str">
        <x:v>SYS-25</x:v>
      </x:c>
      <x:c r="C1565" s="14" t="n">
        <x:v>25</x:v>
      </x:c>
      <x:c r="D1565" s="14" t="str">
        <x:v>Atmosphere</x:v>
      </x:c>
      <x:c r="E1565" s="14" t="str">
        <x:v>NOT COMMISSIONED</x:v>
      </x:c>
      <x:c r="F1565" s="14" t="str">
        <x:v>OPEN</x:v>
      </x:c>
    </x:row>
    <x:row r="1566">
      <x:c r="A1566" s="15" t="str">
        <x:v>CH-1562</x:v>
      </x:c>
      <x:c r="B1566" s="15" t="str">
        <x:v>SYS-25</x:v>
      </x:c>
      <x:c r="C1566" s="15" t="n">
        <x:v>26</x:v>
      </x:c>
      <x:c r="D1566" s="15" t="str">
        <x:v>Atmosphere</x:v>
      </x:c>
      <x:c r="E1566" s="15" t="str">
        <x:v>NOT COMMISSIONED</x:v>
      </x:c>
      <x:c r="F1566" s="15" t="str">
        <x:v>OPEN</x:v>
      </x:c>
    </x:row>
    <x:row r="1567">
      <x:c r="A1567" s="14" t="str">
        <x:v>CH-1563</x:v>
      </x:c>
      <x:c r="B1567" s="14" t="str">
        <x:v>SYS-25</x:v>
      </x:c>
      <x:c r="C1567" s="14" t="n">
        <x:v>27</x:v>
      </x:c>
      <x:c r="D1567" s="14" t="str">
        <x:v>Atmosphere</x:v>
      </x:c>
      <x:c r="E1567" s="14" t="str">
        <x:v>NOT COMMISSIONED</x:v>
      </x:c>
      <x:c r="F1567" s="14" t="str">
        <x:v>OPEN</x:v>
      </x:c>
    </x:row>
    <x:row r="1568">
      <x:c r="A1568" s="15" t="str">
        <x:v>CH-1564</x:v>
      </x:c>
      <x:c r="B1568" s="15" t="str">
        <x:v>SYS-25</x:v>
      </x:c>
      <x:c r="C1568" s="15" t="n">
        <x:v>28</x:v>
      </x:c>
      <x:c r="D1568" s="15" t="str">
        <x:v>Atmosphere</x:v>
      </x:c>
      <x:c r="E1568" s="15" t="str">
        <x:v>NOT COMMISSIONED</x:v>
      </x:c>
      <x:c r="F1568" s="15" t="str">
        <x:v>OPEN</x:v>
      </x:c>
    </x:row>
    <x:row r="1569">
      <x:c r="A1569" s="14" t="str">
        <x:v>CH-1565</x:v>
      </x:c>
      <x:c r="B1569" s="14" t="str">
        <x:v>SYS-25</x:v>
      </x:c>
      <x:c r="C1569" s="14" t="n">
        <x:v>29</x:v>
      </x:c>
      <x:c r="D1569" s="14" t="str">
        <x:v>Atmosphere</x:v>
      </x:c>
      <x:c r="E1569" s="14" t="str">
        <x:v>NOT COMMISSIONED</x:v>
      </x:c>
      <x:c r="F1569" s="14" t="str">
        <x:v>OPEN</x:v>
      </x:c>
    </x:row>
    <x:row r="1570">
      <x:c r="A1570" s="15" t="str">
        <x:v>CH-1566</x:v>
      </x:c>
      <x:c r="B1570" s="15" t="str">
        <x:v>SYS-25</x:v>
      </x:c>
      <x:c r="C1570" s="15" t="n">
        <x:v>30</x:v>
      </x:c>
      <x:c r="D1570" s="15" t="str">
        <x:v>Atmosphere</x:v>
      </x:c>
      <x:c r="E1570" s="15" t="str">
        <x:v>NOT COMMISSIONED</x:v>
      </x:c>
      <x:c r="F1570" s="15" t="str">
        <x:v>OPEN</x:v>
      </x:c>
    </x:row>
    <x:row r="1571">
      <x:c r="A1571" s="14" t="str">
        <x:v>CH-1567</x:v>
      </x:c>
      <x:c r="B1571" s="14" t="str">
        <x:v>SYS-25</x:v>
      </x:c>
      <x:c r="C1571" s="14" t="n">
        <x:v>31</x:v>
      </x:c>
      <x:c r="D1571" s="14" t="str">
        <x:v>Atmosphere</x:v>
      </x:c>
      <x:c r="E1571" s="14" t="str">
        <x:v>NOT COMMISSIONED</x:v>
      </x:c>
      <x:c r="F1571" s="14" t="str">
        <x:v>OPEN</x:v>
      </x:c>
    </x:row>
    <x:row r="1572">
      <x:c r="A1572" s="15" t="str">
        <x:v>CH-1568</x:v>
      </x:c>
      <x:c r="B1572" s="15" t="str">
        <x:v>SYS-25</x:v>
      </x:c>
      <x:c r="C1572" s="15" t="n">
        <x:v>32</x:v>
      </x:c>
      <x:c r="D1572" s="15" t="str">
        <x:v>Atmosphere</x:v>
      </x:c>
      <x:c r="E1572" s="15" t="str">
        <x:v>NOT COMMISSIONED</x:v>
      </x:c>
      <x:c r="F1572" s="15" t="str">
        <x:v>OPEN</x:v>
      </x:c>
    </x:row>
    <x:row r="1573">
      <x:c r="A1573" s="14" t="str">
        <x:v>CH-1569</x:v>
      </x:c>
      <x:c r="B1573" s="14" t="str">
        <x:v>SYS-25</x:v>
      </x:c>
      <x:c r="C1573" s="14" t="n">
        <x:v>33</x:v>
      </x:c>
      <x:c r="D1573" s="14" t="str">
        <x:v>Atmosphere</x:v>
      </x:c>
      <x:c r="E1573" s="14" t="str">
        <x:v>NOT COMMISSIONED</x:v>
      </x:c>
      <x:c r="F1573" s="14" t="str">
        <x:v>OPEN</x:v>
      </x:c>
    </x:row>
    <x:row r="1574">
      <x:c r="A1574" s="15" t="str">
        <x:v>CH-1570</x:v>
      </x:c>
      <x:c r="B1574" s="15" t="str">
        <x:v>SYS-25</x:v>
      </x:c>
      <x:c r="C1574" s="15" t="n">
        <x:v>34</x:v>
      </x:c>
      <x:c r="D1574" s="15" t="str">
        <x:v>Atmosphere</x:v>
      </x:c>
      <x:c r="E1574" s="15" t="str">
        <x:v>NOT COMMISSIONED</x:v>
      </x:c>
      <x:c r="F1574" s="15" t="str">
        <x:v>OPEN</x:v>
      </x:c>
    </x:row>
    <x:row r="1575">
      <x:c r="A1575" s="14" t="str">
        <x:v>CH-1571</x:v>
      </x:c>
      <x:c r="B1575" s="14" t="str">
        <x:v>SYS-25</x:v>
      </x:c>
      <x:c r="C1575" s="14" t="n">
        <x:v>35</x:v>
      </x:c>
      <x:c r="D1575" s="14" t="str">
        <x:v>Atmosphere</x:v>
      </x:c>
      <x:c r="E1575" s="14" t="str">
        <x:v>NOT COMMISSIONED</x:v>
      </x:c>
      <x:c r="F1575" s="14" t="str">
        <x:v>OPEN</x:v>
      </x:c>
    </x:row>
    <x:row r="1576">
      <x:c r="A1576" s="15" t="str">
        <x:v>CH-1572</x:v>
      </x:c>
      <x:c r="B1576" s="15" t="str">
        <x:v>SYS-25</x:v>
      </x:c>
      <x:c r="C1576" s="15" t="n">
        <x:v>36</x:v>
      </x:c>
      <x:c r="D1576" s="15" t="str">
        <x:v>Atmosphere</x:v>
      </x:c>
      <x:c r="E1576" s="15" t="str">
        <x:v>NOT COMMISSIONED</x:v>
      </x:c>
      <x:c r="F1576" s="15" t="str">
        <x:v>OPEN</x:v>
      </x:c>
    </x:row>
    <x:row r="1577">
      <x:c r="A1577" s="14" t="str">
        <x:v>CH-1573</x:v>
      </x:c>
      <x:c r="B1577" s="14" t="str">
        <x:v>SYS-25</x:v>
      </x:c>
      <x:c r="C1577" s="14" t="n">
        <x:v>37</x:v>
      </x:c>
      <x:c r="D1577" s="14" t="str">
        <x:v>Atmosphere</x:v>
      </x:c>
      <x:c r="E1577" s="14" t="str">
        <x:v>NOT COMMISSIONED</x:v>
      </x:c>
      <x:c r="F1577" s="14" t="str">
        <x:v>OPEN</x:v>
      </x:c>
    </x:row>
    <x:row r="1578">
      <x:c r="A1578" s="15" t="str">
        <x:v>CH-1574</x:v>
      </x:c>
      <x:c r="B1578" s="15" t="str">
        <x:v>SYS-25</x:v>
      </x:c>
      <x:c r="C1578" s="15" t="n">
        <x:v>38</x:v>
      </x:c>
      <x:c r="D1578" s="15" t="str">
        <x:v>Atmosphere</x:v>
      </x:c>
      <x:c r="E1578" s="15" t="str">
        <x:v>NOT COMMISSIONED</x:v>
      </x:c>
      <x:c r="F1578" s="15" t="str">
        <x:v>OPEN</x:v>
      </x:c>
    </x:row>
    <x:row r="1579">
      <x:c r="A1579" s="14" t="str">
        <x:v>CH-1575</x:v>
      </x:c>
      <x:c r="B1579" s="14" t="str">
        <x:v>SYS-25</x:v>
      </x:c>
      <x:c r="C1579" s="14" t="n">
        <x:v>39</x:v>
      </x:c>
      <x:c r="D1579" s="14" t="str">
        <x:v>Atmosphere</x:v>
      </x:c>
      <x:c r="E1579" s="14" t="str">
        <x:v>NOT COMMISSIONED</x:v>
      </x:c>
      <x:c r="F1579" s="14" t="str">
        <x:v>OPEN</x:v>
      </x:c>
    </x:row>
    <x:row r="1580">
      <x:c r="A1580" s="15" t="str">
        <x:v>CH-1576</x:v>
      </x:c>
      <x:c r="B1580" s="15" t="str">
        <x:v>SYS-25</x:v>
      </x:c>
      <x:c r="C1580" s="15" t="n">
        <x:v>40</x:v>
      </x:c>
      <x:c r="D1580" s="15" t="str">
        <x:v>Atmosphere</x:v>
      </x:c>
      <x:c r="E1580" s="15" t="str">
        <x:v>NOT COMMISSIONED</x:v>
      </x:c>
      <x:c r="F1580" s="15" t="str">
        <x:v>OPEN</x:v>
      </x:c>
    </x:row>
    <x:row r="1581">
      <x:c r="A1581" s="14" t="str">
        <x:v>CH-1577</x:v>
      </x:c>
      <x:c r="B1581" s="14" t="str">
        <x:v>SYS-25</x:v>
      </x:c>
      <x:c r="C1581" s="14" t="n">
        <x:v>41</x:v>
      </x:c>
      <x:c r="D1581" s="14" t="str">
        <x:v>Atmosphere</x:v>
      </x:c>
      <x:c r="E1581" s="14" t="str">
        <x:v>NOT COMMISSIONED</x:v>
      </x:c>
      <x:c r="F1581" s="14" t="str">
        <x:v>OPEN</x:v>
      </x:c>
    </x:row>
    <x:row r="1582">
      <x:c r="A1582" s="15" t="str">
        <x:v>CH-1578</x:v>
      </x:c>
      <x:c r="B1582" s="15" t="str">
        <x:v>SYS-25</x:v>
      </x:c>
      <x:c r="C1582" s="15" t="n">
        <x:v>42</x:v>
      </x:c>
      <x:c r="D1582" s="15" t="str">
        <x:v>Atmosphere</x:v>
      </x:c>
      <x:c r="E1582" s="15" t="str">
        <x:v>NOT COMMISSIONED</x:v>
      </x:c>
      <x:c r="F1582" s="15" t="str">
        <x:v>OPEN</x:v>
      </x:c>
    </x:row>
    <x:row r="1583">
      <x:c r="A1583" s="14" t="str">
        <x:v>CH-1579</x:v>
      </x:c>
      <x:c r="B1583" s="14" t="str">
        <x:v>SYS-25</x:v>
      </x:c>
      <x:c r="C1583" s="14" t="n">
        <x:v>43</x:v>
      </x:c>
      <x:c r="D1583" s="14" t="str">
        <x:v>Atmosphere</x:v>
      </x:c>
      <x:c r="E1583" s="14" t="str">
        <x:v>NOT COMMISSIONED</x:v>
      </x:c>
      <x:c r="F1583" s="14" t="str">
        <x:v>OPEN</x:v>
      </x:c>
    </x:row>
    <x:row r="1584">
      <x:c r="A1584" s="15" t="str">
        <x:v>CH-1580</x:v>
      </x:c>
      <x:c r="B1584" s="15" t="str">
        <x:v>SYS-25</x:v>
      </x:c>
      <x:c r="C1584" s="15" t="n">
        <x:v>44</x:v>
      </x:c>
      <x:c r="D1584" s="15" t="str">
        <x:v>Atmosphere</x:v>
      </x:c>
      <x:c r="E1584" s="15" t="str">
        <x:v>NOT COMMISSIONED</x:v>
      </x:c>
      <x:c r="F1584" s="15" t="str">
        <x:v>OPEN</x:v>
      </x:c>
    </x:row>
    <x:row r="1585">
      <x:c r="A1585" s="14" t="str">
        <x:v>CH-1581</x:v>
      </x:c>
      <x:c r="B1585" s="14" t="str">
        <x:v>SYS-25</x:v>
      </x:c>
      <x:c r="C1585" s="14" t="n">
        <x:v>45</x:v>
      </x:c>
      <x:c r="D1585" s="14" t="str">
        <x:v>Atmosphere</x:v>
      </x:c>
      <x:c r="E1585" s="14" t="str">
        <x:v>NOT COMMISSIONED</x:v>
      </x:c>
      <x:c r="F1585" s="14" t="str">
        <x:v>OPEN</x:v>
      </x:c>
    </x:row>
    <x:row r="1586">
      <x:c r="A1586" s="15" t="str">
        <x:v>CH-1582</x:v>
      </x:c>
      <x:c r="B1586" s="15" t="str">
        <x:v>SYS-25</x:v>
      </x:c>
      <x:c r="C1586" s="15" t="n">
        <x:v>46</x:v>
      </x:c>
      <x:c r="D1586" s="15" t="str">
        <x:v>Atmosphere</x:v>
      </x:c>
      <x:c r="E1586" s="15" t="str">
        <x:v>NOT COMMISSIONED</x:v>
      </x:c>
      <x:c r="F1586" s="15" t="str">
        <x:v>OPEN</x:v>
      </x:c>
    </x:row>
    <x:row r="1587">
      <x:c r="A1587" s="14" t="str">
        <x:v>CH-1583</x:v>
      </x:c>
      <x:c r="B1587" s="14" t="str">
        <x:v>SYS-25</x:v>
      </x:c>
      <x:c r="C1587" s="14" t="n">
        <x:v>47</x:v>
      </x:c>
      <x:c r="D1587" s="14" t="str">
        <x:v>Atmosphere</x:v>
      </x:c>
      <x:c r="E1587" s="14" t="str">
        <x:v>NOT COMMISSIONED</x:v>
      </x:c>
      <x:c r="F1587" s="14" t="str">
        <x:v>OPEN</x:v>
      </x:c>
    </x:row>
    <x:row r="1588">
      <x:c r="A1588" s="15" t="str">
        <x:v>CH-1584</x:v>
      </x:c>
      <x:c r="B1588" s="15" t="str">
        <x:v>SYS-25</x:v>
      </x:c>
      <x:c r="C1588" s="15" t="n">
        <x:v>48</x:v>
      </x:c>
      <x:c r="D1588" s="15" t="str">
        <x:v>Atmosphere</x:v>
      </x:c>
      <x:c r="E1588" s="15" t="str">
        <x:v>NOT COMMISSIONED</x:v>
      </x:c>
      <x:c r="F1588" s="15" t="str">
        <x:v>OPEN</x:v>
      </x:c>
    </x:row>
    <x:row r="1589">
      <x:c r="A1589" s="14" t="str">
        <x:v>CH-1585</x:v>
      </x:c>
      <x:c r="B1589" s="14" t="str">
        <x:v>SYS-25</x:v>
      </x:c>
      <x:c r="C1589" s="14" t="n">
        <x:v>49</x:v>
      </x:c>
      <x:c r="D1589" s="14" t="str">
        <x:v>Atmosphere</x:v>
      </x:c>
      <x:c r="E1589" s="14" t="str">
        <x:v>NOT COMMISSIONED</x:v>
      </x:c>
      <x:c r="F1589" s="14" t="str">
        <x:v>OPEN</x:v>
      </x:c>
    </x:row>
    <x:row r="1590">
      <x:c r="A1590" s="15" t="str">
        <x:v>CH-1586</x:v>
      </x:c>
      <x:c r="B1590" s="15" t="str">
        <x:v>SYS-25</x:v>
      </x:c>
      <x:c r="C1590" s="15" t="n">
        <x:v>50</x:v>
      </x:c>
      <x:c r="D1590" s="15" t="str">
        <x:v>Atmosphere</x:v>
      </x:c>
      <x:c r="E1590" s="15" t="str">
        <x:v>NOT COMMISSIONED</x:v>
      </x:c>
      <x:c r="F1590" s="15" t="str">
        <x:v>OPEN</x:v>
      </x:c>
    </x:row>
    <x:row r="1591">
      <x:c r="A1591" s="14" t="str">
        <x:v>CH-1587</x:v>
      </x:c>
      <x:c r="B1591" s="14" t="str">
        <x:v>SYS-25</x:v>
      </x:c>
      <x:c r="C1591" s="14" t="n">
        <x:v>51</x:v>
      </x:c>
      <x:c r="D1591" s="14" t="str">
        <x:v>Atmosphere</x:v>
      </x:c>
      <x:c r="E1591" s="14" t="str">
        <x:v>NOT COMMISSIONED</x:v>
      </x:c>
      <x:c r="F1591" s="14" t="str">
        <x:v>OPEN</x:v>
      </x:c>
    </x:row>
    <x:row r="1592">
      <x:c r="A1592" s="15" t="str">
        <x:v>CH-1588</x:v>
      </x:c>
      <x:c r="B1592" s="15" t="str">
        <x:v>SYS-25</x:v>
      </x:c>
      <x:c r="C1592" s="15" t="n">
        <x:v>52</x:v>
      </x:c>
      <x:c r="D1592" s="15" t="str">
        <x:v>Atmosphere</x:v>
      </x:c>
      <x:c r="E1592" s="15" t="str">
        <x:v>NOT COMMISSIONED</x:v>
      </x:c>
      <x:c r="F1592" s="15" t="str">
        <x:v>OPEN</x:v>
      </x:c>
    </x:row>
    <x:row r="1593">
      <x:c r="A1593" s="14" t="str">
        <x:v>CH-1589</x:v>
      </x:c>
      <x:c r="B1593" s="14" t="str">
        <x:v>SYS-25</x:v>
      </x:c>
      <x:c r="C1593" s="14" t="n">
        <x:v>53</x:v>
      </x:c>
      <x:c r="D1593" s="14" t="str">
        <x:v>Atmosphere</x:v>
      </x:c>
      <x:c r="E1593" s="14" t="str">
        <x:v>NOT COMMISSIONED</x:v>
      </x:c>
      <x:c r="F1593" s="14" t="str">
        <x:v>OPEN</x:v>
      </x:c>
    </x:row>
    <x:row r="1594">
      <x:c r="A1594" s="15" t="str">
        <x:v>CH-1590</x:v>
      </x:c>
      <x:c r="B1594" s="15" t="str">
        <x:v>SYS-25</x:v>
      </x:c>
      <x:c r="C1594" s="15" t="n">
        <x:v>54</x:v>
      </x:c>
      <x:c r="D1594" s="15" t="str">
        <x:v>Atmosphere</x:v>
      </x:c>
      <x:c r="E1594" s="15" t="str">
        <x:v>NOT COMMISSIONED</x:v>
      </x:c>
      <x:c r="F1594" s="15" t="str">
        <x:v>OPEN</x:v>
      </x:c>
    </x:row>
    <x:row r="1595">
      <x:c r="A1595" s="14" t="str">
        <x:v>CH-1591</x:v>
      </x:c>
      <x:c r="B1595" s="14" t="str">
        <x:v>SYS-25</x:v>
      </x:c>
      <x:c r="C1595" s="14" t="n">
        <x:v>55</x:v>
      </x:c>
      <x:c r="D1595" s="14" t="str">
        <x:v>Atmosphere</x:v>
      </x:c>
      <x:c r="E1595" s="14" t="str">
        <x:v>NOT COMMISSIONED</x:v>
      </x:c>
      <x:c r="F1595" s="14" t="str">
        <x:v>OPEN</x:v>
      </x:c>
    </x:row>
    <x:row r="1596">
      <x:c r="A1596" s="15" t="str">
        <x:v>CH-1592</x:v>
      </x:c>
      <x:c r="B1596" s="15" t="str">
        <x:v>SYS-25</x:v>
      </x:c>
      <x:c r="C1596" s="15" t="n">
        <x:v>56</x:v>
      </x:c>
      <x:c r="D1596" s="15" t="str">
        <x:v>Atmosphere</x:v>
      </x:c>
      <x:c r="E1596" s="15" t="str">
        <x:v>NOT COMMISSIONED</x:v>
      </x:c>
      <x:c r="F1596" s="15" t="str">
        <x:v>OPEN</x:v>
      </x:c>
    </x:row>
    <x:row r="1597">
      <x:c r="A1597" s="14" t="str">
        <x:v>CH-1593</x:v>
      </x:c>
      <x:c r="B1597" s="14" t="str">
        <x:v>SYS-25</x:v>
      </x:c>
      <x:c r="C1597" s="14" t="n">
        <x:v>57</x:v>
      </x:c>
      <x:c r="D1597" s="14" t="str">
        <x:v>Atmosphere</x:v>
      </x:c>
      <x:c r="E1597" s="14" t="str">
        <x:v>NOT COMMISSIONED</x:v>
      </x:c>
      <x:c r="F1597" s="14" t="str">
        <x:v>OPEN</x:v>
      </x:c>
    </x:row>
    <x:row r="1598">
      <x:c r="A1598" s="15" t="str">
        <x:v>CH-1594</x:v>
      </x:c>
      <x:c r="B1598" s="15" t="str">
        <x:v>SYS-25</x:v>
      </x:c>
      <x:c r="C1598" s="15" t="n">
        <x:v>58</x:v>
      </x:c>
      <x:c r="D1598" s="15" t="str">
        <x:v>Atmosphere</x:v>
      </x:c>
      <x:c r="E1598" s="15" t="str">
        <x:v>NOT COMMISSIONED</x:v>
      </x:c>
      <x:c r="F1598" s="15" t="str">
        <x:v>OPEN</x:v>
      </x:c>
    </x:row>
    <x:row r="1599">
      <x:c r="A1599" s="14" t="str">
        <x:v>CH-1595</x:v>
      </x:c>
      <x:c r="B1599" s="14" t="str">
        <x:v>SYS-25</x:v>
      </x:c>
      <x:c r="C1599" s="14" t="n">
        <x:v>59</x:v>
      </x:c>
      <x:c r="D1599" s="14" t="str">
        <x:v>Atmosphere</x:v>
      </x:c>
      <x:c r="E1599" s="14" t="str">
        <x:v>NOT COMMISSIONED</x:v>
      </x:c>
      <x:c r="F1599" s="14" t="str">
        <x:v>OPEN</x:v>
      </x:c>
    </x:row>
    <x:row r="1600">
      <x:c r="A1600" s="15" t="str">
        <x:v>CH-1596</x:v>
      </x:c>
      <x:c r="B1600" s="15" t="str">
        <x:v>SYS-25</x:v>
      </x:c>
      <x:c r="C1600" s="15" t="n">
        <x:v>60</x:v>
      </x:c>
      <x:c r="D1600" s="15" t="str">
        <x:v>Atmosphere</x:v>
      </x:c>
      <x:c r="E1600" s="15" t="str">
        <x:v>NOT COMMISSIONED</x:v>
      </x:c>
      <x:c r="F1600" s="15" t="str">
        <x:v>OPEN</x:v>
      </x:c>
    </x:row>
    <x:row r="1601">
      <x:c r="A1601" s="14" t="str">
        <x:v>CH-1597</x:v>
      </x:c>
      <x:c r="B1601" s="14" t="str">
        <x:v>SYS-25</x:v>
      </x:c>
      <x:c r="C1601" s="14" t="n">
        <x:v>61</x:v>
      </x:c>
      <x:c r="D1601" s="14" t="str">
        <x:v>Atmosphere</x:v>
      </x:c>
      <x:c r="E1601" s="14" t="str">
        <x:v>NOT COMMISSIONED</x:v>
      </x:c>
      <x:c r="F1601" s="14" t="str">
        <x:v>OPEN</x:v>
      </x:c>
    </x:row>
    <x:row r="1602">
      <x:c r="A1602" s="15" t="str">
        <x:v>CH-1598</x:v>
      </x:c>
      <x:c r="B1602" s="15" t="str">
        <x:v>SYS-25</x:v>
      </x:c>
      <x:c r="C1602" s="15" t="n">
        <x:v>62</x:v>
      </x:c>
      <x:c r="D1602" s="15" t="str">
        <x:v>Atmosphere</x:v>
      </x:c>
      <x:c r="E1602" s="15" t="str">
        <x:v>NOT COMMISSIONED</x:v>
      </x:c>
      <x:c r="F1602" s="15" t="str">
        <x:v>OPEN</x:v>
      </x:c>
    </x:row>
    <x:row r="1603">
      <x:c r="A1603" s="14" t="str">
        <x:v>CH-1599</x:v>
      </x:c>
      <x:c r="B1603" s="14" t="str">
        <x:v>SYS-25</x:v>
      </x:c>
      <x:c r="C1603" s="14" t="n">
        <x:v>63</x:v>
      </x:c>
      <x:c r="D1603" s="14" t="str">
        <x:v>Atmosphere</x:v>
      </x:c>
      <x:c r="E1603" s="14" t="str">
        <x:v>NOT COMMISSIONED</x:v>
      </x:c>
      <x:c r="F1603" s="14" t="str">
        <x:v>OPEN</x:v>
      </x:c>
    </x:row>
    <x:row r="1604">
      <x:c r="A1604" s="15" t="str">
        <x:v>CH-1600</x:v>
      </x:c>
      <x:c r="B1604" s="15" t="str">
        <x:v>SYS-25</x:v>
      </x:c>
      <x:c r="C1604" s="15" t="n">
        <x:v>64</x:v>
      </x:c>
      <x:c r="D1604" s="15" t="str">
        <x:v>Atmosphere</x:v>
      </x:c>
      <x:c r="E1604" s="15" t="str">
        <x:v>NOT COMMISSIONED</x:v>
      </x:c>
      <x:c r="F1604" s="15" t="str">
        <x:v>OPEN</x:v>
      </x:c>
    </x:row>
    <x:row r="1605">
      <x:c r="A1605" s="14" t="str">
        <x:v>CH-1601</x:v>
      </x:c>
      <x:c r="B1605" s="14" t="str">
        <x:v>SYS-26</x:v>
      </x:c>
      <x:c r="C1605" s="14" t="n">
        <x:v>1</x:v>
      </x:c>
      <x:c r="D1605" s="14" t="str">
        <x:v>Topology</x:v>
      </x:c>
      <x:c r="E1605" s="14" t="str">
        <x:v>NOT COMMISSIONED</x:v>
      </x:c>
      <x:c r="F1605" s="14" t="str">
        <x:v>OPEN</x:v>
      </x:c>
    </x:row>
    <x:row r="1606">
      <x:c r="A1606" s="15" t="str">
        <x:v>CH-1602</x:v>
      </x:c>
      <x:c r="B1606" s="15" t="str">
        <x:v>SYS-26</x:v>
      </x:c>
      <x:c r="C1606" s="15" t="n">
        <x:v>2</x:v>
      </x:c>
      <x:c r="D1606" s="15" t="str">
        <x:v>Topology</x:v>
      </x:c>
      <x:c r="E1606" s="15" t="str">
        <x:v>NOT COMMISSIONED</x:v>
      </x:c>
      <x:c r="F1606" s="15" t="str">
        <x:v>OPEN</x:v>
      </x:c>
    </x:row>
    <x:row r="1607">
      <x:c r="A1607" s="14" t="str">
        <x:v>CH-1603</x:v>
      </x:c>
      <x:c r="B1607" s="14" t="str">
        <x:v>SYS-26</x:v>
      </x:c>
      <x:c r="C1607" s="14" t="n">
        <x:v>3</x:v>
      </x:c>
      <x:c r="D1607" s="14" t="str">
        <x:v>Topology</x:v>
      </x:c>
      <x:c r="E1607" s="14" t="str">
        <x:v>NOT COMMISSIONED</x:v>
      </x:c>
      <x:c r="F1607" s="14" t="str">
        <x:v>OPEN</x:v>
      </x:c>
    </x:row>
    <x:row r="1608">
      <x:c r="A1608" s="15" t="str">
        <x:v>CH-1604</x:v>
      </x:c>
      <x:c r="B1608" s="15" t="str">
        <x:v>SYS-26</x:v>
      </x:c>
      <x:c r="C1608" s="15" t="n">
        <x:v>4</x:v>
      </x:c>
      <x:c r="D1608" s="15" t="str">
        <x:v>Topology</x:v>
      </x:c>
      <x:c r="E1608" s="15" t="str">
        <x:v>NOT COMMISSIONED</x:v>
      </x:c>
      <x:c r="F1608" s="15" t="str">
        <x:v>OPEN</x:v>
      </x:c>
    </x:row>
    <x:row r="1609">
      <x:c r="A1609" s="14" t="str">
        <x:v>CH-1605</x:v>
      </x:c>
      <x:c r="B1609" s="14" t="str">
        <x:v>SYS-26</x:v>
      </x:c>
      <x:c r="C1609" s="14" t="n">
        <x:v>5</x:v>
      </x:c>
      <x:c r="D1609" s="14" t="str">
        <x:v>Topology</x:v>
      </x:c>
      <x:c r="E1609" s="14" t="str">
        <x:v>NOT COMMISSIONED</x:v>
      </x:c>
      <x:c r="F1609" s="14" t="str">
        <x:v>OPEN</x:v>
      </x:c>
    </x:row>
    <x:row r="1610">
      <x:c r="A1610" s="15" t="str">
        <x:v>CH-1606</x:v>
      </x:c>
      <x:c r="B1610" s="15" t="str">
        <x:v>SYS-26</x:v>
      </x:c>
      <x:c r="C1610" s="15" t="n">
        <x:v>6</x:v>
      </x:c>
      <x:c r="D1610" s="15" t="str">
        <x:v>Topology</x:v>
      </x:c>
      <x:c r="E1610" s="15" t="str">
        <x:v>NOT COMMISSIONED</x:v>
      </x:c>
      <x:c r="F1610" s="15" t="str">
        <x:v>OPEN</x:v>
      </x:c>
    </x:row>
    <x:row r="1611">
      <x:c r="A1611" s="14" t="str">
        <x:v>CH-1607</x:v>
      </x:c>
      <x:c r="B1611" s="14" t="str">
        <x:v>SYS-26</x:v>
      </x:c>
      <x:c r="C1611" s="14" t="n">
        <x:v>7</x:v>
      </x:c>
      <x:c r="D1611" s="14" t="str">
        <x:v>Topology</x:v>
      </x:c>
      <x:c r="E1611" s="14" t="str">
        <x:v>NOT COMMISSIONED</x:v>
      </x:c>
      <x:c r="F1611" s="14" t="str">
        <x:v>OPEN</x:v>
      </x:c>
    </x:row>
    <x:row r="1612">
      <x:c r="A1612" s="15" t="str">
        <x:v>CH-1608</x:v>
      </x:c>
      <x:c r="B1612" s="15" t="str">
        <x:v>SYS-26</x:v>
      </x:c>
      <x:c r="C1612" s="15" t="n">
        <x:v>8</x:v>
      </x:c>
      <x:c r="D1612" s="15" t="str">
        <x:v>Topology</x:v>
      </x:c>
      <x:c r="E1612" s="15" t="str">
        <x:v>NOT COMMISSIONED</x:v>
      </x:c>
      <x:c r="F1612" s="15" t="str">
        <x:v>OPEN</x:v>
      </x:c>
    </x:row>
    <x:row r="1613">
      <x:c r="A1613" s="14" t="str">
        <x:v>CH-1609</x:v>
      </x:c>
      <x:c r="B1613" s="14" t="str">
        <x:v>SYS-26</x:v>
      </x:c>
      <x:c r="C1613" s="14" t="n">
        <x:v>9</x:v>
      </x:c>
      <x:c r="D1613" s="14" t="str">
        <x:v>Topology</x:v>
      </x:c>
      <x:c r="E1613" s="14" t="str">
        <x:v>NOT COMMISSIONED</x:v>
      </x:c>
      <x:c r="F1613" s="14" t="str">
        <x:v>OPEN</x:v>
      </x:c>
    </x:row>
    <x:row r="1614">
      <x:c r="A1614" s="15" t="str">
        <x:v>CH-1610</x:v>
      </x:c>
      <x:c r="B1614" s="15" t="str">
        <x:v>SYS-26</x:v>
      </x:c>
      <x:c r="C1614" s="15" t="n">
        <x:v>10</x:v>
      </x:c>
      <x:c r="D1614" s="15" t="str">
        <x:v>Topology</x:v>
      </x:c>
      <x:c r="E1614" s="15" t="str">
        <x:v>NOT COMMISSIONED</x:v>
      </x:c>
      <x:c r="F1614" s="15" t="str">
        <x:v>OPEN</x:v>
      </x:c>
    </x:row>
    <x:row r="1615">
      <x:c r="A1615" s="14" t="str">
        <x:v>CH-1611</x:v>
      </x:c>
      <x:c r="B1615" s="14" t="str">
        <x:v>SYS-26</x:v>
      </x:c>
      <x:c r="C1615" s="14" t="n">
        <x:v>11</x:v>
      </x:c>
      <x:c r="D1615" s="14" t="str">
        <x:v>Topology</x:v>
      </x:c>
      <x:c r="E1615" s="14" t="str">
        <x:v>NOT COMMISSIONED</x:v>
      </x:c>
      <x:c r="F1615" s="14" t="str">
        <x:v>OPEN</x:v>
      </x:c>
    </x:row>
    <x:row r="1616">
      <x:c r="A1616" s="15" t="str">
        <x:v>CH-1612</x:v>
      </x:c>
      <x:c r="B1616" s="15" t="str">
        <x:v>SYS-26</x:v>
      </x:c>
      <x:c r="C1616" s="15" t="n">
        <x:v>12</x:v>
      </x:c>
      <x:c r="D1616" s="15" t="str">
        <x:v>Topology</x:v>
      </x:c>
      <x:c r="E1616" s="15" t="str">
        <x:v>NOT COMMISSIONED</x:v>
      </x:c>
      <x:c r="F1616" s="15" t="str">
        <x:v>OPEN</x:v>
      </x:c>
    </x:row>
    <x:row r="1617">
      <x:c r="A1617" s="14" t="str">
        <x:v>CH-1613</x:v>
      </x:c>
      <x:c r="B1617" s="14" t="str">
        <x:v>SYS-26</x:v>
      </x:c>
      <x:c r="C1617" s="14" t="n">
        <x:v>13</x:v>
      </x:c>
      <x:c r="D1617" s="14" t="str">
        <x:v>Topology</x:v>
      </x:c>
      <x:c r="E1617" s="14" t="str">
        <x:v>NOT COMMISSIONED</x:v>
      </x:c>
      <x:c r="F1617" s="14" t="str">
        <x:v>OPEN</x:v>
      </x:c>
    </x:row>
    <x:row r="1618">
      <x:c r="A1618" s="15" t="str">
        <x:v>CH-1614</x:v>
      </x:c>
      <x:c r="B1618" s="15" t="str">
        <x:v>SYS-26</x:v>
      </x:c>
      <x:c r="C1618" s="15" t="n">
        <x:v>14</x:v>
      </x:c>
      <x:c r="D1618" s="15" t="str">
        <x:v>Topology</x:v>
      </x:c>
      <x:c r="E1618" s="15" t="str">
        <x:v>NOT COMMISSIONED</x:v>
      </x:c>
      <x:c r="F1618" s="15" t="str">
        <x:v>OPEN</x:v>
      </x:c>
    </x:row>
    <x:row r="1619">
      <x:c r="A1619" s="14" t="str">
        <x:v>CH-1615</x:v>
      </x:c>
      <x:c r="B1619" s="14" t="str">
        <x:v>SYS-26</x:v>
      </x:c>
      <x:c r="C1619" s="14" t="n">
        <x:v>15</x:v>
      </x:c>
      <x:c r="D1619" s="14" t="str">
        <x:v>Topology</x:v>
      </x:c>
      <x:c r="E1619" s="14" t="str">
        <x:v>NOT COMMISSIONED</x:v>
      </x:c>
      <x:c r="F1619" s="14" t="str">
        <x:v>OPEN</x:v>
      </x:c>
    </x:row>
    <x:row r="1620">
      <x:c r="A1620" s="15" t="str">
        <x:v>CH-1616</x:v>
      </x:c>
      <x:c r="B1620" s="15" t="str">
        <x:v>SYS-26</x:v>
      </x:c>
      <x:c r="C1620" s="15" t="n">
        <x:v>16</x:v>
      </x:c>
      <x:c r="D1620" s="15" t="str">
        <x:v>Topology</x:v>
      </x:c>
      <x:c r="E1620" s="15" t="str">
        <x:v>NOT COMMISSIONED</x:v>
      </x:c>
      <x:c r="F1620" s="15" t="str">
        <x:v>OPEN</x:v>
      </x:c>
    </x:row>
    <x:row r="1621">
      <x:c r="A1621" s="14" t="str">
        <x:v>CH-1617</x:v>
      </x:c>
      <x:c r="B1621" s="14" t="str">
        <x:v>SYS-26</x:v>
      </x:c>
      <x:c r="C1621" s="14" t="n">
        <x:v>17</x:v>
      </x:c>
      <x:c r="D1621" s="14" t="str">
        <x:v>Topology</x:v>
      </x:c>
      <x:c r="E1621" s="14" t="str">
        <x:v>NOT COMMISSIONED</x:v>
      </x:c>
      <x:c r="F1621" s="14" t="str">
        <x:v>OPEN</x:v>
      </x:c>
    </x:row>
    <x:row r="1622">
      <x:c r="A1622" s="15" t="str">
        <x:v>CH-1618</x:v>
      </x:c>
      <x:c r="B1622" s="15" t="str">
        <x:v>SYS-26</x:v>
      </x:c>
      <x:c r="C1622" s="15" t="n">
        <x:v>18</x:v>
      </x:c>
      <x:c r="D1622" s="15" t="str">
        <x:v>Topology</x:v>
      </x:c>
      <x:c r="E1622" s="15" t="str">
        <x:v>NOT COMMISSIONED</x:v>
      </x:c>
      <x:c r="F1622" s="15" t="str">
        <x:v>OPEN</x:v>
      </x:c>
    </x:row>
    <x:row r="1623">
      <x:c r="A1623" s="14" t="str">
        <x:v>CH-1619</x:v>
      </x:c>
      <x:c r="B1623" s="14" t="str">
        <x:v>SYS-26</x:v>
      </x:c>
      <x:c r="C1623" s="14" t="n">
        <x:v>19</x:v>
      </x:c>
      <x:c r="D1623" s="14" t="str">
        <x:v>Topology</x:v>
      </x:c>
      <x:c r="E1623" s="14" t="str">
        <x:v>NOT COMMISSIONED</x:v>
      </x:c>
      <x:c r="F1623" s="14" t="str">
        <x:v>OPEN</x:v>
      </x:c>
    </x:row>
    <x:row r="1624">
      <x:c r="A1624" s="15" t="str">
        <x:v>CH-1620</x:v>
      </x:c>
      <x:c r="B1624" s="15" t="str">
        <x:v>SYS-26</x:v>
      </x:c>
      <x:c r="C1624" s="15" t="n">
        <x:v>20</x:v>
      </x:c>
      <x:c r="D1624" s="15" t="str">
        <x:v>Topology</x:v>
      </x:c>
      <x:c r="E1624" s="15" t="str">
        <x:v>NOT COMMISSIONED</x:v>
      </x:c>
      <x:c r="F1624" s="15" t="str">
        <x:v>OPEN</x:v>
      </x:c>
    </x:row>
    <x:row r="1625">
      <x:c r="A1625" s="14" t="str">
        <x:v>CH-1621</x:v>
      </x:c>
      <x:c r="B1625" s="14" t="str">
        <x:v>SYS-26</x:v>
      </x:c>
      <x:c r="C1625" s="14" t="n">
        <x:v>21</x:v>
      </x:c>
      <x:c r="D1625" s="14" t="str">
        <x:v>Topology</x:v>
      </x:c>
      <x:c r="E1625" s="14" t="str">
        <x:v>NOT COMMISSIONED</x:v>
      </x:c>
      <x:c r="F1625" s="14" t="str">
        <x:v>OPEN</x:v>
      </x:c>
    </x:row>
    <x:row r="1626">
      <x:c r="A1626" s="15" t="str">
        <x:v>CH-1622</x:v>
      </x:c>
      <x:c r="B1626" s="15" t="str">
        <x:v>SYS-26</x:v>
      </x:c>
      <x:c r="C1626" s="15" t="n">
        <x:v>22</x:v>
      </x:c>
      <x:c r="D1626" s="15" t="str">
        <x:v>Topology</x:v>
      </x:c>
      <x:c r="E1626" s="15" t="str">
        <x:v>NOT COMMISSIONED</x:v>
      </x:c>
      <x:c r="F1626" s="15" t="str">
        <x:v>OPEN</x:v>
      </x:c>
    </x:row>
    <x:row r="1627">
      <x:c r="A1627" s="14" t="str">
        <x:v>CH-1623</x:v>
      </x:c>
      <x:c r="B1627" s="14" t="str">
        <x:v>SYS-26</x:v>
      </x:c>
      <x:c r="C1627" s="14" t="n">
        <x:v>23</x:v>
      </x:c>
      <x:c r="D1627" s="14" t="str">
        <x:v>Topology</x:v>
      </x:c>
      <x:c r="E1627" s="14" t="str">
        <x:v>NOT COMMISSIONED</x:v>
      </x:c>
      <x:c r="F1627" s="14" t="str">
        <x:v>OPEN</x:v>
      </x:c>
    </x:row>
    <x:row r="1628">
      <x:c r="A1628" s="15" t="str">
        <x:v>CH-1624</x:v>
      </x:c>
      <x:c r="B1628" s="15" t="str">
        <x:v>SYS-26</x:v>
      </x:c>
      <x:c r="C1628" s="15" t="n">
        <x:v>24</x:v>
      </x:c>
      <x:c r="D1628" s="15" t="str">
        <x:v>Topology</x:v>
      </x:c>
      <x:c r="E1628" s="15" t="str">
        <x:v>NOT COMMISSIONED</x:v>
      </x:c>
      <x:c r="F1628" s="15" t="str">
        <x:v>OPEN</x:v>
      </x:c>
    </x:row>
    <x:row r="1629">
      <x:c r="A1629" s="14" t="str">
        <x:v>CH-1625</x:v>
      </x:c>
      <x:c r="B1629" s="14" t="str">
        <x:v>SYS-26</x:v>
      </x:c>
      <x:c r="C1629" s="14" t="n">
        <x:v>25</x:v>
      </x:c>
      <x:c r="D1629" s="14" t="str">
        <x:v>Topology</x:v>
      </x:c>
      <x:c r="E1629" s="14" t="str">
        <x:v>NOT COMMISSIONED</x:v>
      </x:c>
      <x:c r="F1629" s="14" t="str">
        <x:v>OPEN</x:v>
      </x:c>
    </x:row>
    <x:row r="1630">
      <x:c r="A1630" s="15" t="str">
        <x:v>CH-1626</x:v>
      </x:c>
      <x:c r="B1630" s="15" t="str">
        <x:v>SYS-26</x:v>
      </x:c>
      <x:c r="C1630" s="15" t="n">
        <x:v>26</x:v>
      </x:c>
      <x:c r="D1630" s="15" t="str">
        <x:v>Topology</x:v>
      </x:c>
      <x:c r="E1630" s="15" t="str">
        <x:v>NOT COMMISSIONED</x:v>
      </x:c>
      <x:c r="F1630" s="15" t="str">
        <x:v>OPEN</x:v>
      </x:c>
    </x:row>
    <x:row r="1631">
      <x:c r="A1631" s="14" t="str">
        <x:v>CH-1627</x:v>
      </x:c>
      <x:c r="B1631" s="14" t="str">
        <x:v>SYS-26</x:v>
      </x:c>
      <x:c r="C1631" s="14" t="n">
        <x:v>27</x:v>
      </x:c>
      <x:c r="D1631" s="14" t="str">
        <x:v>Topology</x:v>
      </x:c>
      <x:c r="E1631" s="14" t="str">
        <x:v>NOT COMMISSIONED</x:v>
      </x:c>
      <x:c r="F1631" s="14" t="str">
        <x:v>OPEN</x:v>
      </x:c>
    </x:row>
    <x:row r="1632">
      <x:c r="A1632" s="15" t="str">
        <x:v>CH-1628</x:v>
      </x:c>
      <x:c r="B1632" s="15" t="str">
        <x:v>SYS-26</x:v>
      </x:c>
      <x:c r="C1632" s="15" t="n">
        <x:v>28</x:v>
      </x:c>
      <x:c r="D1632" s="15" t="str">
        <x:v>Topology</x:v>
      </x:c>
      <x:c r="E1632" s="15" t="str">
        <x:v>NOT COMMISSIONED</x:v>
      </x:c>
      <x:c r="F1632" s="15" t="str">
        <x:v>OPEN</x:v>
      </x:c>
    </x:row>
    <x:row r="1633">
      <x:c r="A1633" s="14" t="str">
        <x:v>CH-1629</x:v>
      </x:c>
      <x:c r="B1633" s="14" t="str">
        <x:v>SYS-26</x:v>
      </x:c>
      <x:c r="C1633" s="14" t="n">
        <x:v>29</x:v>
      </x:c>
      <x:c r="D1633" s="14" t="str">
        <x:v>Topology</x:v>
      </x:c>
      <x:c r="E1633" s="14" t="str">
        <x:v>NOT COMMISSIONED</x:v>
      </x:c>
      <x:c r="F1633" s="14" t="str">
        <x:v>OPEN</x:v>
      </x:c>
    </x:row>
    <x:row r="1634">
      <x:c r="A1634" s="15" t="str">
        <x:v>CH-1630</x:v>
      </x:c>
      <x:c r="B1634" s="15" t="str">
        <x:v>SYS-26</x:v>
      </x:c>
      <x:c r="C1634" s="15" t="n">
        <x:v>30</x:v>
      </x:c>
      <x:c r="D1634" s="15" t="str">
        <x:v>Topology</x:v>
      </x:c>
      <x:c r="E1634" s="15" t="str">
        <x:v>NOT COMMISSIONED</x:v>
      </x:c>
      <x:c r="F1634" s="15" t="str">
        <x:v>OPEN</x:v>
      </x:c>
    </x:row>
    <x:row r="1635">
      <x:c r="A1635" s="14" t="str">
        <x:v>CH-1631</x:v>
      </x:c>
      <x:c r="B1635" s="14" t="str">
        <x:v>SYS-26</x:v>
      </x:c>
      <x:c r="C1635" s="14" t="n">
        <x:v>31</x:v>
      </x:c>
      <x:c r="D1635" s="14" t="str">
        <x:v>Topology</x:v>
      </x:c>
      <x:c r="E1635" s="14" t="str">
        <x:v>NOT COMMISSIONED</x:v>
      </x:c>
      <x:c r="F1635" s="14" t="str">
        <x:v>OPEN</x:v>
      </x:c>
    </x:row>
    <x:row r="1636">
      <x:c r="A1636" s="15" t="str">
        <x:v>CH-1632</x:v>
      </x:c>
      <x:c r="B1636" s="15" t="str">
        <x:v>SYS-26</x:v>
      </x:c>
      <x:c r="C1636" s="15" t="n">
        <x:v>32</x:v>
      </x:c>
      <x:c r="D1636" s="15" t="str">
        <x:v>Topology</x:v>
      </x:c>
      <x:c r="E1636" s="15" t="str">
        <x:v>NOT COMMISSIONED</x:v>
      </x:c>
      <x:c r="F1636" s="15" t="str">
        <x:v>OPEN</x:v>
      </x:c>
    </x:row>
    <x:row r="1637">
      <x:c r="A1637" s="14" t="str">
        <x:v>CH-1633</x:v>
      </x:c>
      <x:c r="B1637" s="14" t="str">
        <x:v>SYS-26</x:v>
      </x:c>
      <x:c r="C1637" s="14" t="n">
        <x:v>33</x:v>
      </x:c>
      <x:c r="D1637" s="14" t="str">
        <x:v>Topology</x:v>
      </x:c>
      <x:c r="E1637" s="14" t="str">
        <x:v>NOT COMMISSIONED</x:v>
      </x:c>
      <x:c r="F1637" s="14" t="str">
        <x:v>OPEN</x:v>
      </x:c>
    </x:row>
    <x:row r="1638">
      <x:c r="A1638" s="15" t="str">
        <x:v>CH-1634</x:v>
      </x:c>
      <x:c r="B1638" s="15" t="str">
        <x:v>SYS-26</x:v>
      </x:c>
      <x:c r="C1638" s="15" t="n">
        <x:v>34</x:v>
      </x:c>
      <x:c r="D1638" s="15" t="str">
        <x:v>Topology</x:v>
      </x:c>
      <x:c r="E1638" s="15" t="str">
        <x:v>NOT COMMISSIONED</x:v>
      </x:c>
      <x:c r="F1638" s="15" t="str">
        <x:v>OPEN</x:v>
      </x:c>
    </x:row>
    <x:row r="1639">
      <x:c r="A1639" s="14" t="str">
        <x:v>CH-1635</x:v>
      </x:c>
      <x:c r="B1639" s="14" t="str">
        <x:v>SYS-26</x:v>
      </x:c>
      <x:c r="C1639" s="14" t="n">
        <x:v>35</x:v>
      </x:c>
      <x:c r="D1639" s="14" t="str">
        <x:v>Topology</x:v>
      </x:c>
      <x:c r="E1639" s="14" t="str">
        <x:v>NOT COMMISSIONED</x:v>
      </x:c>
      <x:c r="F1639" s="14" t="str">
        <x:v>OPEN</x:v>
      </x:c>
    </x:row>
    <x:row r="1640">
      <x:c r="A1640" s="15" t="str">
        <x:v>CH-1636</x:v>
      </x:c>
      <x:c r="B1640" s="15" t="str">
        <x:v>SYS-26</x:v>
      </x:c>
      <x:c r="C1640" s="15" t="n">
        <x:v>36</x:v>
      </x:c>
      <x:c r="D1640" s="15" t="str">
        <x:v>Topology</x:v>
      </x:c>
      <x:c r="E1640" s="15" t="str">
        <x:v>NOT COMMISSIONED</x:v>
      </x:c>
      <x:c r="F1640" s="15" t="str">
        <x:v>OPEN</x:v>
      </x:c>
    </x:row>
    <x:row r="1641">
      <x:c r="A1641" s="14" t="str">
        <x:v>CH-1637</x:v>
      </x:c>
      <x:c r="B1641" s="14" t="str">
        <x:v>SYS-26</x:v>
      </x:c>
      <x:c r="C1641" s="14" t="n">
        <x:v>37</x:v>
      </x:c>
      <x:c r="D1641" s="14" t="str">
        <x:v>Topology</x:v>
      </x:c>
      <x:c r="E1641" s="14" t="str">
        <x:v>NOT COMMISSIONED</x:v>
      </x:c>
      <x:c r="F1641" s="14" t="str">
        <x:v>OPEN</x:v>
      </x:c>
    </x:row>
    <x:row r="1642">
      <x:c r="A1642" s="15" t="str">
        <x:v>CH-1638</x:v>
      </x:c>
      <x:c r="B1642" s="15" t="str">
        <x:v>SYS-26</x:v>
      </x:c>
      <x:c r="C1642" s="15" t="n">
        <x:v>38</x:v>
      </x:c>
      <x:c r="D1642" s="15" t="str">
        <x:v>Topology</x:v>
      </x:c>
      <x:c r="E1642" s="15" t="str">
        <x:v>NOT COMMISSIONED</x:v>
      </x:c>
      <x:c r="F1642" s="15" t="str">
        <x:v>OPEN</x:v>
      </x:c>
    </x:row>
    <x:row r="1643">
      <x:c r="A1643" s="14" t="str">
        <x:v>CH-1639</x:v>
      </x:c>
      <x:c r="B1643" s="14" t="str">
        <x:v>SYS-26</x:v>
      </x:c>
      <x:c r="C1643" s="14" t="n">
        <x:v>39</x:v>
      </x:c>
      <x:c r="D1643" s="14" t="str">
        <x:v>Topology</x:v>
      </x:c>
      <x:c r="E1643" s="14" t="str">
        <x:v>NOT COMMISSIONED</x:v>
      </x:c>
      <x:c r="F1643" s="14" t="str">
        <x:v>OPEN</x:v>
      </x:c>
    </x:row>
    <x:row r="1644">
      <x:c r="A1644" s="15" t="str">
        <x:v>CH-1640</x:v>
      </x:c>
      <x:c r="B1644" s="15" t="str">
        <x:v>SYS-26</x:v>
      </x:c>
      <x:c r="C1644" s="15" t="n">
        <x:v>40</x:v>
      </x:c>
      <x:c r="D1644" s="15" t="str">
        <x:v>Topology</x:v>
      </x:c>
      <x:c r="E1644" s="15" t="str">
        <x:v>NOT COMMISSIONED</x:v>
      </x:c>
      <x:c r="F1644" s="15" t="str">
        <x:v>OPEN</x:v>
      </x:c>
    </x:row>
    <x:row r="1645">
      <x:c r="A1645" s="14" t="str">
        <x:v>CH-1641</x:v>
      </x:c>
      <x:c r="B1645" s="14" t="str">
        <x:v>SYS-26</x:v>
      </x:c>
      <x:c r="C1645" s="14" t="n">
        <x:v>41</x:v>
      </x:c>
      <x:c r="D1645" s="14" t="str">
        <x:v>Topology</x:v>
      </x:c>
      <x:c r="E1645" s="14" t="str">
        <x:v>NOT COMMISSIONED</x:v>
      </x:c>
      <x:c r="F1645" s="14" t="str">
        <x:v>OPEN</x:v>
      </x:c>
    </x:row>
    <x:row r="1646">
      <x:c r="A1646" s="15" t="str">
        <x:v>CH-1642</x:v>
      </x:c>
      <x:c r="B1646" s="15" t="str">
        <x:v>SYS-26</x:v>
      </x:c>
      <x:c r="C1646" s="15" t="n">
        <x:v>42</x:v>
      </x:c>
      <x:c r="D1646" s="15" t="str">
        <x:v>Topology</x:v>
      </x:c>
      <x:c r="E1646" s="15" t="str">
        <x:v>NOT COMMISSIONED</x:v>
      </x:c>
      <x:c r="F1646" s="15" t="str">
        <x:v>OPEN</x:v>
      </x:c>
    </x:row>
    <x:row r="1647">
      <x:c r="A1647" s="14" t="str">
        <x:v>CH-1643</x:v>
      </x:c>
      <x:c r="B1647" s="14" t="str">
        <x:v>SYS-26</x:v>
      </x:c>
      <x:c r="C1647" s="14" t="n">
        <x:v>43</x:v>
      </x:c>
      <x:c r="D1647" s="14" t="str">
        <x:v>Topology</x:v>
      </x:c>
      <x:c r="E1647" s="14" t="str">
        <x:v>NOT COMMISSIONED</x:v>
      </x:c>
      <x:c r="F1647" s="14" t="str">
        <x:v>OPEN</x:v>
      </x:c>
    </x:row>
    <x:row r="1648">
      <x:c r="A1648" s="15" t="str">
        <x:v>CH-1644</x:v>
      </x:c>
      <x:c r="B1648" s="15" t="str">
        <x:v>SYS-26</x:v>
      </x:c>
      <x:c r="C1648" s="15" t="n">
        <x:v>44</x:v>
      </x:c>
      <x:c r="D1648" s="15" t="str">
        <x:v>Topology</x:v>
      </x:c>
      <x:c r="E1648" s="15" t="str">
        <x:v>NOT COMMISSIONED</x:v>
      </x:c>
      <x:c r="F1648" s="15" t="str">
        <x:v>OPEN</x:v>
      </x:c>
    </x:row>
    <x:row r="1649">
      <x:c r="A1649" s="14" t="str">
        <x:v>CH-1645</x:v>
      </x:c>
      <x:c r="B1649" s="14" t="str">
        <x:v>SYS-26</x:v>
      </x:c>
      <x:c r="C1649" s="14" t="n">
        <x:v>45</x:v>
      </x:c>
      <x:c r="D1649" s="14" t="str">
        <x:v>Topology</x:v>
      </x:c>
      <x:c r="E1649" s="14" t="str">
        <x:v>NOT COMMISSIONED</x:v>
      </x:c>
      <x:c r="F1649" s="14" t="str">
        <x:v>OPEN</x:v>
      </x:c>
    </x:row>
    <x:row r="1650">
      <x:c r="A1650" s="15" t="str">
        <x:v>CH-1646</x:v>
      </x:c>
      <x:c r="B1650" s="15" t="str">
        <x:v>SYS-26</x:v>
      </x:c>
      <x:c r="C1650" s="15" t="n">
        <x:v>46</x:v>
      </x:c>
      <x:c r="D1650" s="15" t="str">
        <x:v>Topology</x:v>
      </x:c>
      <x:c r="E1650" s="15" t="str">
        <x:v>NOT COMMISSIONED</x:v>
      </x:c>
      <x:c r="F1650" s="15" t="str">
        <x:v>OPEN</x:v>
      </x:c>
    </x:row>
    <x:row r="1651">
      <x:c r="A1651" s="14" t="str">
        <x:v>CH-1647</x:v>
      </x:c>
      <x:c r="B1651" s="14" t="str">
        <x:v>SYS-26</x:v>
      </x:c>
      <x:c r="C1651" s="14" t="n">
        <x:v>47</x:v>
      </x:c>
      <x:c r="D1651" s="14" t="str">
        <x:v>Topology</x:v>
      </x:c>
      <x:c r="E1651" s="14" t="str">
        <x:v>NOT COMMISSIONED</x:v>
      </x:c>
      <x:c r="F1651" s="14" t="str">
        <x:v>OPEN</x:v>
      </x:c>
    </x:row>
    <x:row r="1652">
      <x:c r="A1652" s="15" t="str">
        <x:v>CH-1648</x:v>
      </x:c>
      <x:c r="B1652" s="15" t="str">
        <x:v>SYS-26</x:v>
      </x:c>
      <x:c r="C1652" s="15" t="n">
        <x:v>48</x:v>
      </x:c>
      <x:c r="D1652" s="15" t="str">
        <x:v>Topology</x:v>
      </x:c>
      <x:c r="E1652" s="15" t="str">
        <x:v>NOT COMMISSIONED</x:v>
      </x:c>
      <x:c r="F1652" s="15" t="str">
        <x:v>OPEN</x:v>
      </x:c>
    </x:row>
    <x:row r="1653">
      <x:c r="A1653" s="14" t="str">
        <x:v>CH-1649</x:v>
      </x:c>
      <x:c r="B1653" s="14" t="str">
        <x:v>SYS-26</x:v>
      </x:c>
      <x:c r="C1653" s="14" t="n">
        <x:v>49</x:v>
      </x:c>
      <x:c r="D1653" s="14" t="str">
        <x:v>Topology</x:v>
      </x:c>
      <x:c r="E1653" s="14" t="str">
        <x:v>NOT COMMISSIONED</x:v>
      </x:c>
      <x:c r="F1653" s="14" t="str">
        <x:v>OPEN</x:v>
      </x:c>
    </x:row>
    <x:row r="1654">
      <x:c r="A1654" s="15" t="str">
        <x:v>CH-1650</x:v>
      </x:c>
      <x:c r="B1654" s="15" t="str">
        <x:v>SYS-26</x:v>
      </x:c>
      <x:c r="C1654" s="15" t="n">
        <x:v>50</x:v>
      </x:c>
      <x:c r="D1654" s="15" t="str">
        <x:v>Topology</x:v>
      </x:c>
      <x:c r="E1654" s="15" t="str">
        <x:v>NOT COMMISSIONED</x:v>
      </x:c>
      <x:c r="F1654" s="15" t="str">
        <x:v>OPEN</x:v>
      </x:c>
    </x:row>
    <x:row r="1655">
      <x:c r="A1655" s="14" t="str">
        <x:v>CH-1651</x:v>
      </x:c>
      <x:c r="B1655" s="14" t="str">
        <x:v>SYS-26</x:v>
      </x:c>
      <x:c r="C1655" s="14" t="n">
        <x:v>51</x:v>
      </x:c>
      <x:c r="D1655" s="14" t="str">
        <x:v>Topology</x:v>
      </x:c>
      <x:c r="E1655" s="14" t="str">
        <x:v>NOT COMMISSIONED</x:v>
      </x:c>
      <x:c r="F1655" s="14" t="str">
        <x:v>OPEN</x:v>
      </x:c>
    </x:row>
    <x:row r="1656">
      <x:c r="A1656" s="15" t="str">
        <x:v>CH-1652</x:v>
      </x:c>
      <x:c r="B1656" s="15" t="str">
        <x:v>SYS-26</x:v>
      </x:c>
      <x:c r="C1656" s="15" t="n">
        <x:v>52</x:v>
      </x:c>
      <x:c r="D1656" s="15" t="str">
        <x:v>Topology</x:v>
      </x:c>
      <x:c r="E1656" s="15" t="str">
        <x:v>NOT COMMISSIONED</x:v>
      </x:c>
      <x:c r="F1656" s="15" t="str">
        <x:v>OPEN</x:v>
      </x:c>
    </x:row>
    <x:row r="1657">
      <x:c r="A1657" s="14" t="str">
        <x:v>CH-1653</x:v>
      </x:c>
      <x:c r="B1657" s="14" t="str">
        <x:v>SYS-26</x:v>
      </x:c>
      <x:c r="C1657" s="14" t="n">
        <x:v>53</x:v>
      </x:c>
      <x:c r="D1657" s="14" t="str">
        <x:v>Topology</x:v>
      </x:c>
      <x:c r="E1657" s="14" t="str">
        <x:v>NOT COMMISSIONED</x:v>
      </x:c>
      <x:c r="F1657" s="14" t="str">
        <x:v>OPEN</x:v>
      </x:c>
    </x:row>
    <x:row r="1658">
      <x:c r="A1658" s="15" t="str">
        <x:v>CH-1654</x:v>
      </x:c>
      <x:c r="B1658" s="15" t="str">
        <x:v>SYS-26</x:v>
      </x:c>
      <x:c r="C1658" s="15" t="n">
        <x:v>54</x:v>
      </x:c>
      <x:c r="D1658" s="15" t="str">
        <x:v>Topology</x:v>
      </x:c>
      <x:c r="E1658" s="15" t="str">
        <x:v>NOT COMMISSIONED</x:v>
      </x:c>
      <x:c r="F1658" s="15" t="str">
        <x:v>OPEN</x:v>
      </x:c>
    </x:row>
    <x:row r="1659">
      <x:c r="A1659" s="14" t="str">
        <x:v>CH-1655</x:v>
      </x:c>
      <x:c r="B1659" s="14" t="str">
        <x:v>SYS-26</x:v>
      </x:c>
      <x:c r="C1659" s="14" t="n">
        <x:v>55</x:v>
      </x:c>
      <x:c r="D1659" s="14" t="str">
        <x:v>Topology</x:v>
      </x:c>
      <x:c r="E1659" s="14" t="str">
        <x:v>NOT COMMISSIONED</x:v>
      </x:c>
      <x:c r="F1659" s="14" t="str">
        <x:v>OPEN</x:v>
      </x:c>
    </x:row>
    <x:row r="1660">
      <x:c r="A1660" s="15" t="str">
        <x:v>CH-1656</x:v>
      </x:c>
      <x:c r="B1660" s="15" t="str">
        <x:v>SYS-26</x:v>
      </x:c>
      <x:c r="C1660" s="15" t="n">
        <x:v>56</x:v>
      </x:c>
      <x:c r="D1660" s="15" t="str">
        <x:v>Topology</x:v>
      </x:c>
      <x:c r="E1660" s="15" t="str">
        <x:v>NOT COMMISSIONED</x:v>
      </x:c>
      <x:c r="F1660" s="15" t="str">
        <x:v>OPEN</x:v>
      </x:c>
    </x:row>
    <x:row r="1661">
      <x:c r="A1661" s="14" t="str">
        <x:v>CH-1657</x:v>
      </x:c>
      <x:c r="B1661" s="14" t="str">
        <x:v>SYS-26</x:v>
      </x:c>
      <x:c r="C1661" s="14" t="n">
        <x:v>57</x:v>
      </x:c>
      <x:c r="D1661" s="14" t="str">
        <x:v>Topology</x:v>
      </x:c>
      <x:c r="E1661" s="14" t="str">
        <x:v>NOT COMMISSIONED</x:v>
      </x:c>
      <x:c r="F1661" s="14" t="str">
        <x:v>OPEN</x:v>
      </x:c>
    </x:row>
    <x:row r="1662">
      <x:c r="A1662" s="15" t="str">
        <x:v>CH-1658</x:v>
      </x:c>
      <x:c r="B1662" s="15" t="str">
        <x:v>SYS-26</x:v>
      </x:c>
      <x:c r="C1662" s="15" t="n">
        <x:v>58</x:v>
      </x:c>
      <x:c r="D1662" s="15" t="str">
        <x:v>Topology</x:v>
      </x:c>
      <x:c r="E1662" s="15" t="str">
        <x:v>NOT COMMISSIONED</x:v>
      </x:c>
      <x:c r="F1662" s="15" t="str">
        <x:v>OPEN</x:v>
      </x:c>
    </x:row>
    <x:row r="1663">
      <x:c r="A1663" s="14" t="str">
        <x:v>CH-1659</x:v>
      </x:c>
      <x:c r="B1663" s="14" t="str">
        <x:v>SYS-26</x:v>
      </x:c>
      <x:c r="C1663" s="14" t="n">
        <x:v>59</x:v>
      </x:c>
      <x:c r="D1663" s="14" t="str">
        <x:v>Topology</x:v>
      </x:c>
      <x:c r="E1663" s="14" t="str">
        <x:v>NOT COMMISSIONED</x:v>
      </x:c>
      <x:c r="F1663" s="14" t="str">
        <x:v>OPEN</x:v>
      </x:c>
    </x:row>
    <x:row r="1664">
      <x:c r="A1664" s="15" t="str">
        <x:v>CH-1660</x:v>
      </x:c>
      <x:c r="B1664" s="15" t="str">
        <x:v>SYS-26</x:v>
      </x:c>
      <x:c r="C1664" s="15" t="n">
        <x:v>60</x:v>
      </x:c>
      <x:c r="D1664" s="15" t="str">
        <x:v>Topology</x:v>
      </x:c>
      <x:c r="E1664" s="15" t="str">
        <x:v>NOT COMMISSIONED</x:v>
      </x:c>
      <x:c r="F1664" s="15" t="str">
        <x:v>OPEN</x:v>
      </x:c>
    </x:row>
    <x:row r="1665">
      <x:c r="A1665" s="14" t="str">
        <x:v>CH-1661</x:v>
      </x:c>
      <x:c r="B1665" s="14" t="str">
        <x:v>SYS-26</x:v>
      </x:c>
      <x:c r="C1665" s="14" t="n">
        <x:v>61</x:v>
      </x:c>
      <x:c r="D1665" s="14" t="str">
        <x:v>Topology</x:v>
      </x:c>
      <x:c r="E1665" s="14" t="str">
        <x:v>NOT COMMISSIONED</x:v>
      </x:c>
      <x:c r="F1665" s="14" t="str">
        <x:v>OPEN</x:v>
      </x:c>
    </x:row>
    <x:row r="1666">
      <x:c r="A1666" s="15" t="str">
        <x:v>CH-1662</x:v>
      </x:c>
      <x:c r="B1666" s="15" t="str">
        <x:v>SYS-26</x:v>
      </x:c>
      <x:c r="C1666" s="15" t="n">
        <x:v>62</x:v>
      </x:c>
      <x:c r="D1666" s="15" t="str">
        <x:v>Topology</x:v>
      </x:c>
      <x:c r="E1666" s="15" t="str">
        <x:v>NOT COMMISSIONED</x:v>
      </x:c>
      <x:c r="F1666" s="15" t="str">
        <x:v>OPEN</x:v>
      </x:c>
    </x:row>
    <x:row r="1667">
      <x:c r="A1667" s="14" t="str">
        <x:v>CH-1663</x:v>
      </x:c>
      <x:c r="B1667" s="14" t="str">
        <x:v>SYS-26</x:v>
      </x:c>
      <x:c r="C1667" s="14" t="n">
        <x:v>63</x:v>
      </x:c>
      <x:c r="D1667" s="14" t="str">
        <x:v>Topology</x:v>
      </x:c>
      <x:c r="E1667" s="14" t="str">
        <x:v>NOT COMMISSIONED</x:v>
      </x:c>
      <x:c r="F1667" s="14" t="str">
        <x:v>OPEN</x:v>
      </x:c>
    </x:row>
    <x:row r="1668">
      <x:c r="A1668" s="15" t="str">
        <x:v>CH-1664</x:v>
      </x:c>
      <x:c r="B1668" s="15" t="str">
        <x:v>SYS-26</x:v>
      </x:c>
      <x:c r="C1668" s="15" t="n">
        <x:v>64</x:v>
      </x:c>
      <x:c r="D1668" s="15" t="str">
        <x:v>Topology</x:v>
      </x:c>
      <x:c r="E1668" s="15" t="str">
        <x:v>NOT COMMISSIONED</x:v>
      </x:c>
      <x:c r="F1668" s="15" t="str">
        <x:v>OPEN</x:v>
      </x:c>
    </x:row>
    <x:row r="1669">
      <x:c r="A1669" s="14" t="str">
        <x:v>CH-1665</x:v>
      </x:c>
      <x:c r="B1669" s="14" t="str">
        <x:v>SYS-27</x:v>
      </x:c>
      <x:c r="C1669" s="14" t="n">
        <x:v>1</x:v>
      </x:c>
      <x:c r="D1669" s="14" t="str">
        <x:v>Coupling</x:v>
      </x:c>
      <x:c r="E1669" s="14" t="str">
        <x:v>NOT COMMISSIONED</x:v>
      </x:c>
      <x:c r="F1669" s="14" t="str">
        <x:v>OPEN</x:v>
      </x:c>
    </x:row>
    <x:row r="1670">
      <x:c r="A1670" s="15" t="str">
        <x:v>CH-1666</x:v>
      </x:c>
      <x:c r="B1670" s="15" t="str">
        <x:v>SYS-27</x:v>
      </x:c>
      <x:c r="C1670" s="15" t="n">
        <x:v>2</x:v>
      </x:c>
      <x:c r="D1670" s="15" t="str">
        <x:v>Coupling</x:v>
      </x:c>
      <x:c r="E1670" s="15" t="str">
        <x:v>NOT COMMISSIONED</x:v>
      </x:c>
      <x:c r="F1670" s="15" t="str">
        <x:v>OPEN</x:v>
      </x:c>
    </x:row>
    <x:row r="1671">
      <x:c r="A1671" s="14" t="str">
        <x:v>CH-1667</x:v>
      </x:c>
      <x:c r="B1671" s="14" t="str">
        <x:v>SYS-27</x:v>
      </x:c>
      <x:c r="C1671" s="14" t="n">
        <x:v>3</x:v>
      </x:c>
      <x:c r="D1671" s="14" t="str">
        <x:v>Coupling</x:v>
      </x:c>
      <x:c r="E1671" s="14" t="str">
        <x:v>NOT COMMISSIONED</x:v>
      </x:c>
      <x:c r="F1671" s="14" t="str">
        <x:v>OPEN</x:v>
      </x:c>
    </x:row>
    <x:row r="1672">
      <x:c r="A1672" s="15" t="str">
        <x:v>CH-1668</x:v>
      </x:c>
      <x:c r="B1672" s="15" t="str">
        <x:v>SYS-27</x:v>
      </x:c>
      <x:c r="C1672" s="15" t="n">
        <x:v>4</x:v>
      </x:c>
      <x:c r="D1672" s="15" t="str">
        <x:v>Coupling</x:v>
      </x:c>
      <x:c r="E1672" s="15" t="str">
        <x:v>NOT COMMISSIONED</x:v>
      </x:c>
      <x:c r="F1672" s="15" t="str">
        <x:v>OPEN</x:v>
      </x:c>
    </x:row>
    <x:row r="1673">
      <x:c r="A1673" s="14" t="str">
        <x:v>CH-1669</x:v>
      </x:c>
      <x:c r="B1673" s="14" t="str">
        <x:v>SYS-27</x:v>
      </x:c>
      <x:c r="C1673" s="14" t="n">
        <x:v>5</x:v>
      </x:c>
      <x:c r="D1673" s="14" t="str">
        <x:v>Coupling</x:v>
      </x:c>
      <x:c r="E1673" s="14" t="str">
        <x:v>NOT COMMISSIONED</x:v>
      </x:c>
      <x:c r="F1673" s="14" t="str">
        <x:v>OPEN</x:v>
      </x:c>
    </x:row>
    <x:row r="1674">
      <x:c r="A1674" s="15" t="str">
        <x:v>CH-1670</x:v>
      </x:c>
      <x:c r="B1674" s="15" t="str">
        <x:v>SYS-27</x:v>
      </x:c>
      <x:c r="C1674" s="15" t="n">
        <x:v>6</x:v>
      </x:c>
      <x:c r="D1674" s="15" t="str">
        <x:v>Coupling</x:v>
      </x:c>
      <x:c r="E1674" s="15" t="str">
        <x:v>NOT COMMISSIONED</x:v>
      </x:c>
      <x:c r="F1674" s="15" t="str">
        <x:v>OPEN</x:v>
      </x:c>
    </x:row>
    <x:row r="1675">
      <x:c r="A1675" s="14" t="str">
        <x:v>CH-1671</x:v>
      </x:c>
      <x:c r="B1675" s="14" t="str">
        <x:v>SYS-27</x:v>
      </x:c>
      <x:c r="C1675" s="14" t="n">
        <x:v>7</x:v>
      </x:c>
      <x:c r="D1675" s="14" t="str">
        <x:v>Coupling</x:v>
      </x:c>
      <x:c r="E1675" s="14" t="str">
        <x:v>NOT COMMISSIONED</x:v>
      </x:c>
      <x:c r="F1675" s="14" t="str">
        <x:v>OPEN</x:v>
      </x:c>
    </x:row>
    <x:row r="1676">
      <x:c r="A1676" s="15" t="str">
        <x:v>CH-1672</x:v>
      </x:c>
      <x:c r="B1676" s="15" t="str">
        <x:v>SYS-27</x:v>
      </x:c>
      <x:c r="C1676" s="15" t="n">
        <x:v>8</x:v>
      </x:c>
      <x:c r="D1676" s="15" t="str">
        <x:v>Coupling</x:v>
      </x:c>
      <x:c r="E1676" s="15" t="str">
        <x:v>NOT COMMISSIONED</x:v>
      </x:c>
      <x:c r="F1676" s="15" t="str">
        <x:v>OPEN</x:v>
      </x:c>
    </x:row>
    <x:row r="1677">
      <x:c r="A1677" s="14" t="str">
        <x:v>CH-1673</x:v>
      </x:c>
      <x:c r="B1677" s="14" t="str">
        <x:v>SYS-27</x:v>
      </x:c>
      <x:c r="C1677" s="14" t="n">
        <x:v>9</x:v>
      </x:c>
      <x:c r="D1677" s="14" t="str">
        <x:v>Coupling</x:v>
      </x:c>
      <x:c r="E1677" s="14" t="str">
        <x:v>NOT COMMISSIONED</x:v>
      </x:c>
      <x:c r="F1677" s="14" t="str">
        <x:v>OPEN</x:v>
      </x:c>
    </x:row>
    <x:row r="1678">
      <x:c r="A1678" s="15" t="str">
        <x:v>CH-1674</x:v>
      </x:c>
      <x:c r="B1678" s="15" t="str">
        <x:v>SYS-27</x:v>
      </x:c>
      <x:c r="C1678" s="15" t="n">
        <x:v>10</x:v>
      </x:c>
      <x:c r="D1678" s="15" t="str">
        <x:v>Coupling</x:v>
      </x:c>
      <x:c r="E1678" s="15" t="str">
        <x:v>NOT COMMISSIONED</x:v>
      </x:c>
      <x:c r="F1678" s="15" t="str">
        <x:v>OPEN</x:v>
      </x:c>
    </x:row>
    <x:row r="1679">
      <x:c r="A1679" s="14" t="str">
        <x:v>CH-1675</x:v>
      </x:c>
      <x:c r="B1679" s="14" t="str">
        <x:v>SYS-27</x:v>
      </x:c>
      <x:c r="C1679" s="14" t="n">
        <x:v>11</x:v>
      </x:c>
      <x:c r="D1679" s="14" t="str">
        <x:v>Coupling</x:v>
      </x:c>
      <x:c r="E1679" s="14" t="str">
        <x:v>NOT COMMISSIONED</x:v>
      </x:c>
      <x:c r="F1679" s="14" t="str">
        <x:v>OPEN</x:v>
      </x:c>
    </x:row>
    <x:row r="1680">
      <x:c r="A1680" s="15" t="str">
        <x:v>CH-1676</x:v>
      </x:c>
      <x:c r="B1680" s="15" t="str">
        <x:v>SYS-27</x:v>
      </x:c>
      <x:c r="C1680" s="15" t="n">
        <x:v>12</x:v>
      </x:c>
      <x:c r="D1680" s="15" t="str">
        <x:v>Coupling</x:v>
      </x:c>
      <x:c r="E1680" s="15" t="str">
        <x:v>NOT COMMISSIONED</x:v>
      </x:c>
      <x:c r="F1680" s="15" t="str">
        <x:v>OPEN</x:v>
      </x:c>
    </x:row>
    <x:row r="1681">
      <x:c r="A1681" s="14" t="str">
        <x:v>CH-1677</x:v>
      </x:c>
      <x:c r="B1681" s="14" t="str">
        <x:v>SYS-27</x:v>
      </x:c>
      <x:c r="C1681" s="14" t="n">
        <x:v>13</x:v>
      </x:c>
      <x:c r="D1681" s="14" t="str">
        <x:v>Coupling</x:v>
      </x:c>
      <x:c r="E1681" s="14" t="str">
        <x:v>NOT COMMISSIONED</x:v>
      </x:c>
      <x:c r="F1681" s="14" t="str">
        <x:v>OPEN</x:v>
      </x:c>
    </x:row>
    <x:row r="1682">
      <x:c r="A1682" s="15" t="str">
        <x:v>CH-1678</x:v>
      </x:c>
      <x:c r="B1682" s="15" t="str">
        <x:v>SYS-27</x:v>
      </x:c>
      <x:c r="C1682" s="15" t="n">
        <x:v>14</x:v>
      </x:c>
      <x:c r="D1682" s="15" t="str">
        <x:v>Coupling</x:v>
      </x:c>
      <x:c r="E1682" s="15" t="str">
        <x:v>NOT COMMISSIONED</x:v>
      </x:c>
      <x:c r="F1682" s="15" t="str">
        <x:v>OPEN</x:v>
      </x:c>
    </x:row>
    <x:row r="1683">
      <x:c r="A1683" s="14" t="str">
        <x:v>CH-1679</x:v>
      </x:c>
      <x:c r="B1683" s="14" t="str">
        <x:v>SYS-27</x:v>
      </x:c>
      <x:c r="C1683" s="14" t="n">
        <x:v>15</x:v>
      </x:c>
      <x:c r="D1683" s="14" t="str">
        <x:v>Coupling</x:v>
      </x:c>
      <x:c r="E1683" s="14" t="str">
        <x:v>NOT COMMISSIONED</x:v>
      </x:c>
      <x:c r="F1683" s="14" t="str">
        <x:v>OPEN</x:v>
      </x:c>
    </x:row>
    <x:row r="1684">
      <x:c r="A1684" s="15" t="str">
        <x:v>CH-1680</x:v>
      </x:c>
      <x:c r="B1684" s="15" t="str">
        <x:v>SYS-27</x:v>
      </x:c>
      <x:c r="C1684" s="15" t="n">
        <x:v>16</x:v>
      </x:c>
      <x:c r="D1684" s="15" t="str">
        <x:v>Coupling</x:v>
      </x:c>
      <x:c r="E1684" s="15" t="str">
        <x:v>NOT COMMISSIONED</x:v>
      </x:c>
      <x:c r="F1684" s="15" t="str">
        <x:v>OPEN</x:v>
      </x:c>
    </x:row>
    <x:row r="1685">
      <x:c r="A1685" s="14" t="str">
        <x:v>CH-1681</x:v>
      </x:c>
      <x:c r="B1685" s="14" t="str">
        <x:v>SYS-27</x:v>
      </x:c>
      <x:c r="C1685" s="14" t="n">
        <x:v>17</x:v>
      </x:c>
      <x:c r="D1685" s="14" t="str">
        <x:v>Coupling</x:v>
      </x:c>
      <x:c r="E1685" s="14" t="str">
        <x:v>NOT COMMISSIONED</x:v>
      </x:c>
      <x:c r="F1685" s="14" t="str">
        <x:v>OPEN</x:v>
      </x:c>
    </x:row>
    <x:row r="1686">
      <x:c r="A1686" s="15" t="str">
        <x:v>CH-1682</x:v>
      </x:c>
      <x:c r="B1686" s="15" t="str">
        <x:v>SYS-27</x:v>
      </x:c>
      <x:c r="C1686" s="15" t="n">
        <x:v>18</x:v>
      </x:c>
      <x:c r="D1686" s="15" t="str">
        <x:v>Coupling</x:v>
      </x:c>
      <x:c r="E1686" s="15" t="str">
        <x:v>NOT COMMISSIONED</x:v>
      </x:c>
      <x:c r="F1686" s="15" t="str">
        <x:v>OPEN</x:v>
      </x:c>
    </x:row>
    <x:row r="1687">
      <x:c r="A1687" s="14" t="str">
        <x:v>CH-1683</x:v>
      </x:c>
      <x:c r="B1687" s="14" t="str">
        <x:v>SYS-27</x:v>
      </x:c>
      <x:c r="C1687" s="14" t="n">
        <x:v>19</x:v>
      </x:c>
      <x:c r="D1687" s="14" t="str">
        <x:v>Coupling</x:v>
      </x:c>
      <x:c r="E1687" s="14" t="str">
        <x:v>NOT COMMISSIONED</x:v>
      </x:c>
      <x:c r="F1687" s="14" t="str">
        <x:v>OPEN</x:v>
      </x:c>
    </x:row>
    <x:row r="1688">
      <x:c r="A1688" s="15" t="str">
        <x:v>CH-1684</x:v>
      </x:c>
      <x:c r="B1688" s="15" t="str">
        <x:v>SYS-27</x:v>
      </x:c>
      <x:c r="C1688" s="15" t="n">
        <x:v>20</x:v>
      </x:c>
      <x:c r="D1688" s="15" t="str">
        <x:v>Coupling</x:v>
      </x:c>
      <x:c r="E1688" s="15" t="str">
        <x:v>NOT COMMISSIONED</x:v>
      </x:c>
      <x:c r="F1688" s="15" t="str">
        <x:v>OPEN</x:v>
      </x:c>
    </x:row>
    <x:row r="1689">
      <x:c r="A1689" s="14" t="str">
        <x:v>CH-1685</x:v>
      </x:c>
      <x:c r="B1689" s="14" t="str">
        <x:v>SYS-27</x:v>
      </x:c>
      <x:c r="C1689" s="14" t="n">
        <x:v>21</x:v>
      </x:c>
      <x:c r="D1689" s="14" t="str">
        <x:v>Coupling</x:v>
      </x:c>
      <x:c r="E1689" s="14" t="str">
        <x:v>NOT COMMISSIONED</x:v>
      </x:c>
      <x:c r="F1689" s="14" t="str">
        <x:v>OPEN</x:v>
      </x:c>
    </x:row>
    <x:row r="1690">
      <x:c r="A1690" s="15" t="str">
        <x:v>CH-1686</x:v>
      </x:c>
      <x:c r="B1690" s="15" t="str">
        <x:v>SYS-27</x:v>
      </x:c>
      <x:c r="C1690" s="15" t="n">
        <x:v>22</x:v>
      </x:c>
      <x:c r="D1690" s="15" t="str">
        <x:v>Coupling</x:v>
      </x:c>
      <x:c r="E1690" s="15" t="str">
        <x:v>NOT COMMISSIONED</x:v>
      </x:c>
      <x:c r="F1690" s="15" t="str">
        <x:v>OPEN</x:v>
      </x:c>
    </x:row>
    <x:row r="1691">
      <x:c r="A1691" s="14" t="str">
        <x:v>CH-1687</x:v>
      </x:c>
      <x:c r="B1691" s="14" t="str">
        <x:v>SYS-27</x:v>
      </x:c>
      <x:c r="C1691" s="14" t="n">
        <x:v>23</x:v>
      </x:c>
      <x:c r="D1691" s="14" t="str">
        <x:v>Coupling</x:v>
      </x:c>
      <x:c r="E1691" s="14" t="str">
        <x:v>NOT COMMISSIONED</x:v>
      </x:c>
      <x:c r="F1691" s="14" t="str">
        <x:v>OPEN</x:v>
      </x:c>
    </x:row>
    <x:row r="1692">
      <x:c r="A1692" s="15" t="str">
        <x:v>CH-1688</x:v>
      </x:c>
      <x:c r="B1692" s="15" t="str">
        <x:v>SYS-27</x:v>
      </x:c>
      <x:c r="C1692" s="15" t="n">
        <x:v>24</x:v>
      </x:c>
      <x:c r="D1692" s="15" t="str">
        <x:v>Coupling</x:v>
      </x:c>
      <x:c r="E1692" s="15" t="str">
        <x:v>NOT COMMISSIONED</x:v>
      </x:c>
      <x:c r="F1692" s="15" t="str">
        <x:v>OPEN</x:v>
      </x:c>
    </x:row>
    <x:row r="1693">
      <x:c r="A1693" s="14" t="str">
        <x:v>CH-1689</x:v>
      </x:c>
      <x:c r="B1693" s="14" t="str">
        <x:v>SYS-27</x:v>
      </x:c>
      <x:c r="C1693" s="14" t="n">
        <x:v>25</x:v>
      </x:c>
      <x:c r="D1693" s="14" t="str">
        <x:v>Coupling</x:v>
      </x:c>
      <x:c r="E1693" s="14" t="str">
        <x:v>NOT COMMISSIONED</x:v>
      </x:c>
      <x:c r="F1693" s="14" t="str">
        <x:v>OPEN</x:v>
      </x:c>
    </x:row>
    <x:row r="1694">
      <x:c r="A1694" s="15" t="str">
        <x:v>CH-1690</x:v>
      </x:c>
      <x:c r="B1694" s="15" t="str">
        <x:v>SYS-27</x:v>
      </x:c>
      <x:c r="C1694" s="15" t="n">
        <x:v>26</x:v>
      </x:c>
      <x:c r="D1694" s="15" t="str">
        <x:v>Coupling</x:v>
      </x:c>
      <x:c r="E1694" s="15" t="str">
        <x:v>NOT COMMISSIONED</x:v>
      </x:c>
      <x:c r="F1694" s="15" t="str">
        <x:v>OPEN</x:v>
      </x:c>
    </x:row>
    <x:row r="1695">
      <x:c r="A1695" s="14" t="str">
        <x:v>CH-1691</x:v>
      </x:c>
      <x:c r="B1695" s="14" t="str">
        <x:v>SYS-27</x:v>
      </x:c>
      <x:c r="C1695" s="14" t="n">
        <x:v>27</x:v>
      </x:c>
      <x:c r="D1695" s="14" t="str">
        <x:v>Coupling</x:v>
      </x:c>
      <x:c r="E1695" s="14" t="str">
        <x:v>NOT COMMISSIONED</x:v>
      </x:c>
      <x:c r="F1695" s="14" t="str">
        <x:v>OPEN</x:v>
      </x:c>
    </x:row>
    <x:row r="1696">
      <x:c r="A1696" s="15" t="str">
        <x:v>CH-1692</x:v>
      </x:c>
      <x:c r="B1696" s="15" t="str">
        <x:v>SYS-27</x:v>
      </x:c>
      <x:c r="C1696" s="15" t="n">
        <x:v>28</x:v>
      </x:c>
      <x:c r="D1696" s="15" t="str">
        <x:v>Coupling</x:v>
      </x:c>
      <x:c r="E1696" s="15" t="str">
        <x:v>NOT COMMISSIONED</x:v>
      </x:c>
      <x:c r="F1696" s="15" t="str">
        <x:v>OPEN</x:v>
      </x:c>
    </x:row>
    <x:row r="1697">
      <x:c r="A1697" s="14" t="str">
        <x:v>CH-1693</x:v>
      </x:c>
      <x:c r="B1697" s="14" t="str">
        <x:v>SYS-27</x:v>
      </x:c>
      <x:c r="C1697" s="14" t="n">
        <x:v>29</x:v>
      </x:c>
      <x:c r="D1697" s="14" t="str">
        <x:v>Coupling</x:v>
      </x:c>
      <x:c r="E1697" s="14" t="str">
        <x:v>NOT COMMISSIONED</x:v>
      </x:c>
      <x:c r="F1697" s="14" t="str">
        <x:v>OPEN</x:v>
      </x:c>
    </x:row>
    <x:row r="1698">
      <x:c r="A1698" s="15" t="str">
        <x:v>CH-1694</x:v>
      </x:c>
      <x:c r="B1698" s="15" t="str">
        <x:v>SYS-27</x:v>
      </x:c>
      <x:c r="C1698" s="15" t="n">
        <x:v>30</x:v>
      </x:c>
      <x:c r="D1698" s="15" t="str">
        <x:v>Coupling</x:v>
      </x:c>
      <x:c r="E1698" s="15" t="str">
        <x:v>NOT COMMISSIONED</x:v>
      </x:c>
      <x:c r="F1698" s="15" t="str">
        <x:v>OPEN</x:v>
      </x:c>
    </x:row>
    <x:row r="1699">
      <x:c r="A1699" s="14" t="str">
        <x:v>CH-1695</x:v>
      </x:c>
      <x:c r="B1699" s="14" t="str">
        <x:v>SYS-27</x:v>
      </x:c>
      <x:c r="C1699" s="14" t="n">
        <x:v>31</x:v>
      </x:c>
      <x:c r="D1699" s="14" t="str">
        <x:v>Coupling</x:v>
      </x:c>
      <x:c r="E1699" s="14" t="str">
        <x:v>NOT COMMISSIONED</x:v>
      </x:c>
      <x:c r="F1699" s="14" t="str">
        <x:v>OPEN</x:v>
      </x:c>
    </x:row>
    <x:row r="1700">
      <x:c r="A1700" s="15" t="str">
        <x:v>CH-1696</x:v>
      </x:c>
      <x:c r="B1700" s="15" t="str">
        <x:v>SYS-27</x:v>
      </x:c>
      <x:c r="C1700" s="15" t="n">
        <x:v>32</x:v>
      </x:c>
      <x:c r="D1700" s="15" t="str">
        <x:v>Coupling</x:v>
      </x:c>
      <x:c r="E1700" s="15" t="str">
        <x:v>NOT COMMISSIONED</x:v>
      </x:c>
      <x:c r="F1700" s="15" t="str">
        <x:v>OPEN</x:v>
      </x:c>
    </x:row>
    <x:row r="1701">
      <x:c r="A1701" s="14" t="str">
        <x:v>CH-1697</x:v>
      </x:c>
      <x:c r="B1701" s="14" t="str">
        <x:v>SYS-27</x:v>
      </x:c>
      <x:c r="C1701" s="14" t="n">
        <x:v>33</x:v>
      </x:c>
      <x:c r="D1701" s="14" t="str">
        <x:v>Coupling</x:v>
      </x:c>
      <x:c r="E1701" s="14" t="str">
        <x:v>NOT COMMISSIONED</x:v>
      </x:c>
      <x:c r="F1701" s="14" t="str">
        <x:v>OPEN</x:v>
      </x:c>
    </x:row>
    <x:row r="1702">
      <x:c r="A1702" s="15" t="str">
        <x:v>CH-1698</x:v>
      </x:c>
      <x:c r="B1702" s="15" t="str">
        <x:v>SYS-27</x:v>
      </x:c>
      <x:c r="C1702" s="15" t="n">
        <x:v>34</x:v>
      </x:c>
      <x:c r="D1702" s="15" t="str">
        <x:v>Coupling</x:v>
      </x:c>
      <x:c r="E1702" s="15" t="str">
        <x:v>NOT COMMISSIONED</x:v>
      </x:c>
      <x:c r="F1702" s="15" t="str">
        <x:v>OPEN</x:v>
      </x:c>
    </x:row>
    <x:row r="1703">
      <x:c r="A1703" s="14" t="str">
        <x:v>CH-1699</x:v>
      </x:c>
      <x:c r="B1703" s="14" t="str">
        <x:v>SYS-27</x:v>
      </x:c>
      <x:c r="C1703" s="14" t="n">
        <x:v>35</x:v>
      </x:c>
      <x:c r="D1703" s="14" t="str">
        <x:v>Coupling</x:v>
      </x:c>
      <x:c r="E1703" s="14" t="str">
        <x:v>NOT COMMISSIONED</x:v>
      </x:c>
      <x:c r="F1703" s="14" t="str">
        <x:v>OPEN</x:v>
      </x:c>
    </x:row>
    <x:row r="1704">
      <x:c r="A1704" s="15" t="str">
        <x:v>CH-1700</x:v>
      </x:c>
      <x:c r="B1704" s="15" t="str">
        <x:v>SYS-27</x:v>
      </x:c>
      <x:c r="C1704" s="15" t="n">
        <x:v>36</x:v>
      </x:c>
      <x:c r="D1704" s="15" t="str">
        <x:v>Coupling</x:v>
      </x:c>
      <x:c r="E1704" s="15" t="str">
        <x:v>NOT COMMISSIONED</x:v>
      </x:c>
      <x:c r="F1704" s="15" t="str">
        <x:v>OPEN</x:v>
      </x:c>
    </x:row>
    <x:row r="1705">
      <x:c r="A1705" s="14" t="str">
        <x:v>CH-1701</x:v>
      </x:c>
      <x:c r="B1705" s="14" t="str">
        <x:v>SYS-27</x:v>
      </x:c>
      <x:c r="C1705" s="14" t="n">
        <x:v>37</x:v>
      </x:c>
      <x:c r="D1705" s="14" t="str">
        <x:v>Coupling</x:v>
      </x:c>
      <x:c r="E1705" s="14" t="str">
        <x:v>NOT COMMISSIONED</x:v>
      </x:c>
      <x:c r="F1705" s="14" t="str">
        <x:v>OPEN</x:v>
      </x:c>
    </x:row>
    <x:row r="1706">
      <x:c r="A1706" s="15" t="str">
        <x:v>CH-1702</x:v>
      </x:c>
      <x:c r="B1706" s="15" t="str">
        <x:v>SYS-27</x:v>
      </x:c>
      <x:c r="C1706" s="15" t="n">
        <x:v>38</x:v>
      </x:c>
      <x:c r="D1706" s="15" t="str">
        <x:v>Coupling</x:v>
      </x:c>
      <x:c r="E1706" s="15" t="str">
        <x:v>NOT COMMISSIONED</x:v>
      </x:c>
      <x:c r="F1706" s="15" t="str">
        <x:v>OPEN</x:v>
      </x:c>
    </x:row>
    <x:row r="1707">
      <x:c r="A1707" s="14" t="str">
        <x:v>CH-1703</x:v>
      </x:c>
      <x:c r="B1707" s="14" t="str">
        <x:v>SYS-27</x:v>
      </x:c>
      <x:c r="C1707" s="14" t="n">
        <x:v>39</x:v>
      </x:c>
      <x:c r="D1707" s="14" t="str">
        <x:v>Coupling</x:v>
      </x:c>
      <x:c r="E1707" s="14" t="str">
        <x:v>NOT COMMISSIONED</x:v>
      </x:c>
      <x:c r="F1707" s="14" t="str">
        <x:v>OPEN</x:v>
      </x:c>
    </x:row>
    <x:row r="1708">
      <x:c r="A1708" s="15" t="str">
        <x:v>CH-1704</x:v>
      </x:c>
      <x:c r="B1708" s="15" t="str">
        <x:v>SYS-27</x:v>
      </x:c>
      <x:c r="C1708" s="15" t="n">
        <x:v>40</x:v>
      </x:c>
      <x:c r="D1708" s="15" t="str">
        <x:v>Coupling</x:v>
      </x:c>
      <x:c r="E1708" s="15" t="str">
        <x:v>NOT COMMISSIONED</x:v>
      </x:c>
      <x:c r="F1708" s="15" t="str">
        <x:v>OPEN</x:v>
      </x:c>
    </x:row>
    <x:row r="1709">
      <x:c r="A1709" s="14" t="str">
        <x:v>CH-1705</x:v>
      </x:c>
      <x:c r="B1709" s="14" t="str">
        <x:v>SYS-27</x:v>
      </x:c>
      <x:c r="C1709" s="14" t="n">
        <x:v>41</x:v>
      </x:c>
      <x:c r="D1709" s="14" t="str">
        <x:v>Coupling</x:v>
      </x:c>
      <x:c r="E1709" s="14" t="str">
        <x:v>NOT COMMISSIONED</x:v>
      </x:c>
      <x:c r="F1709" s="14" t="str">
        <x:v>OPEN</x:v>
      </x:c>
    </x:row>
    <x:row r="1710">
      <x:c r="A1710" s="15" t="str">
        <x:v>CH-1706</x:v>
      </x:c>
      <x:c r="B1710" s="15" t="str">
        <x:v>SYS-27</x:v>
      </x:c>
      <x:c r="C1710" s="15" t="n">
        <x:v>42</x:v>
      </x:c>
      <x:c r="D1710" s="15" t="str">
        <x:v>Coupling</x:v>
      </x:c>
      <x:c r="E1710" s="15" t="str">
        <x:v>NOT COMMISSIONED</x:v>
      </x:c>
      <x:c r="F1710" s="15" t="str">
        <x:v>OPEN</x:v>
      </x:c>
    </x:row>
    <x:row r="1711">
      <x:c r="A1711" s="14" t="str">
        <x:v>CH-1707</x:v>
      </x:c>
      <x:c r="B1711" s="14" t="str">
        <x:v>SYS-27</x:v>
      </x:c>
      <x:c r="C1711" s="14" t="n">
        <x:v>43</x:v>
      </x:c>
      <x:c r="D1711" s="14" t="str">
        <x:v>Coupling</x:v>
      </x:c>
      <x:c r="E1711" s="14" t="str">
        <x:v>NOT COMMISSIONED</x:v>
      </x:c>
      <x:c r="F1711" s="14" t="str">
        <x:v>OPEN</x:v>
      </x:c>
    </x:row>
    <x:row r="1712">
      <x:c r="A1712" s="15" t="str">
        <x:v>CH-1708</x:v>
      </x:c>
      <x:c r="B1712" s="15" t="str">
        <x:v>SYS-27</x:v>
      </x:c>
      <x:c r="C1712" s="15" t="n">
        <x:v>44</x:v>
      </x:c>
      <x:c r="D1712" s="15" t="str">
        <x:v>Coupling</x:v>
      </x:c>
      <x:c r="E1712" s="15" t="str">
        <x:v>NOT COMMISSIONED</x:v>
      </x:c>
      <x:c r="F1712" s="15" t="str">
        <x:v>OPEN</x:v>
      </x:c>
    </x:row>
    <x:row r="1713">
      <x:c r="A1713" s="14" t="str">
        <x:v>CH-1709</x:v>
      </x:c>
      <x:c r="B1713" s="14" t="str">
        <x:v>SYS-27</x:v>
      </x:c>
      <x:c r="C1713" s="14" t="n">
        <x:v>45</x:v>
      </x:c>
      <x:c r="D1713" s="14" t="str">
        <x:v>Coupling</x:v>
      </x:c>
      <x:c r="E1713" s="14" t="str">
        <x:v>NOT COMMISSIONED</x:v>
      </x:c>
      <x:c r="F1713" s="14" t="str">
        <x:v>OPEN</x:v>
      </x:c>
    </x:row>
    <x:row r="1714">
      <x:c r="A1714" s="15" t="str">
        <x:v>CH-1710</x:v>
      </x:c>
      <x:c r="B1714" s="15" t="str">
        <x:v>SYS-27</x:v>
      </x:c>
      <x:c r="C1714" s="15" t="n">
        <x:v>46</x:v>
      </x:c>
      <x:c r="D1714" s="15" t="str">
        <x:v>Coupling</x:v>
      </x:c>
      <x:c r="E1714" s="15" t="str">
        <x:v>NOT COMMISSIONED</x:v>
      </x:c>
      <x:c r="F1714" s="15" t="str">
        <x:v>OPEN</x:v>
      </x:c>
    </x:row>
    <x:row r="1715">
      <x:c r="A1715" s="14" t="str">
        <x:v>CH-1711</x:v>
      </x:c>
      <x:c r="B1715" s="14" t="str">
        <x:v>SYS-27</x:v>
      </x:c>
      <x:c r="C1715" s="14" t="n">
        <x:v>47</x:v>
      </x:c>
      <x:c r="D1715" s="14" t="str">
        <x:v>Coupling</x:v>
      </x:c>
      <x:c r="E1715" s="14" t="str">
        <x:v>NOT COMMISSIONED</x:v>
      </x:c>
      <x:c r="F1715" s="14" t="str">
        <x:v>OPEN</x:v>
      </x:c>
    </x:row>
    <x:row r="1716">
      <x:c r="A1716" s="15" t="str">
        <x:v>CH-1712</x:v>
      </x:c>
      <x:c r="B1716" s="15" t="str">
        <x:v>SYS-27</x:v>
      </x:c>
      <x:c r="C1716" s="15" t="n">
        <x:v>48</x:v>
      </x:c>
      <x:c r="D1716" s="15" t="str">
        <x:v>Coupling</x:v>
      </x:c>
      <x:c r="E1716" s="15" t="str">
        <x:v>NOT COMMISSIONED</x:v>
      </x:c>
      <x:c r="F1716" s="15" t="str">
        <x:v>OPEN</x:v>
      </x:c>
    </x:row>
    <x:row r="1717">
      <x:c r="A1717" s="14" t="str">
        <x:v>CH-1713</x:v>
      </x:c>
      <x:c r="B1717" s="14" t="str">
        <x:v>SYS-27</x:v>
      </x:c>
      <x:c r="C1717" s="14" t="n">
        <x:v>49</x:v>
      </x:c>
      <x:c r="D1717" s="14" t="str">
        <x:v>Coupling</x:v>
      </x:c>
      <x:c r="E1717" s="14" t="str">
        <x:v>NOT COMMISSIONED</x:v>
      </x:c>
      <x:c r="F1717" s="14" t="str">
        <x:v>OPEN</x:v>
      </x:c>
    </x:row>
    <x:row r="1718">
      <x:c r="A1718" s="15" t="str">
        <x:v>CH-1714</x:v>
      </x:c>
      <x:c r="B1718" s="15" t="str">
        <x:v>SYS-27</x:v>
      </x:c>
      <x:c r="C1718" s="15" t="n">
        <x:v>50</x:v>
      </x:c>
      <x:c r="D1718" s="15" t="str">
        <x:v>Coupling</x:v>
      </x:c>
      <x:c r="E1718" s="15" t="str">
        <x:v>NOT COMMISSIONED</x:v>
      </x:c>
      <x:c r="F1718" s="15" t="str">
        <x:v>OPEN</x:v>
      </x:c>
    </x:row>
    <x:row r="1719">
      <x:c r="A1719" s="14" t="str">
        <x:v>CH-1715</x:v>
      </x:c>
      <x:c r="B1719" s="14" t="str">
        <x:v>SYS-27</x:v>
      </x:c>
      <x:c r="C1719" s="14" t="n">
        <x:v>51</x:v>
      </x:c>
      <x:c r="D1719" s="14" t="str">
        <x:v>Coupling</x:v>
      </x:c>
      <x:c r="E1719" s="14" t="str">
        <x:v>NOT COMMISSIONED</x:v>
      </x:c>
      <x:c r="F1719" s="14" t="str">
        <x:v>OPEN</x:v>
      </x:c>
    </x:row>
    <x:row r="1720">
      <x:c r="A1720" s="15" t="str">
        <x:v>CH-1716</x:v>
      </x:c>
      <x:c r="B1720" s="15" t="str">
        <x:v>SYS-27</x:v>
      </x:c>
      <x:c r="C1720" s="15" t="n">
        <x:v>52</x:v>
      </x:c>
      <x:c r="D1720" s="15" t="str">
        <x:v>Coupling</x:v>
      </x:c>
      <x:c r="E1720" s="15" t="str">
        <x:v>NOT COMMISSIONED</x:v>
      </x:c>
      <x:c r="F1720" s="15" t="str">
        <x:v>OPEN</x:v>
      </x:c>
    </x:row>
    <x:row r="1721">
      <x:c r="A1721" s="14" t="str">
        <x:v>CH-1717</x:v>
      </x:c>
      <x:c r="B1721" s="14" t="str">
        <x:v>SYS-27</x:v>
      </x:c>
      <x:c r="C1721" s="14" t="n">
        <x:v>53</x:v>
      </x:c>
      <x:c r="D1721" s="14" t="str">
        <x:v>Coupling</x:v>
      </x:c>
      <x:c r="E1721" s="14" t="str">
        <x:v>NOT COMMISSIONED</x:v>
      </x:c>
      <x:c r="F1721" s="14" t="str">
        <x:v>OPEN</x:v>
      </x:c>
    </x:row>
    <x:row r="1722">
      <x:c r="A1722" s="15" t="str">
        <x:v>CH-1718</x:v>
      </x:c>
      <x:c r="B1722" s="15" t="str">
        <x:v>SYS-27</x:v>
      </x:c>
      <x:c r="C1722" s="15" t="n">
        <x:v>54</x:v>
      </x:c>
      <x:c r="D1722" s="15" t="str">
        <x:v>Coupling</x:v>
      </x:c>
      <x:c r="E1722" s="15" t="str">
        <x:v>NOT COMMISSIONED</x:v>
      </x:c>
      <x:c r="F1722" s="15" t="str">
        <x:v>OPEN</x:v>
      </x:c>
    </x:row>
    <x:row r="1723">
      <x:c r="A1723" s="14" t="str">
        <x:v>CH-1719</x:v>
      </x:c>
      <x:c r="B1723" s="14" t="str">
        <x:v>SYS-27</x:v>
      </x:c>
      <x:c r="C1723" s="14" t="n">
        <x:v>55</x:v>
      </x:c>
      <x:c r="D1723" s="14" t="str">
        <x:v>Coupling</x:v>
      </x:c>
      <x:c r="E1723" s="14" t="str">
        <x:v>NOT COMMISSIONED</x:v>
      </x:c>
      <x:c r="F1723" s="14" t="str">
        <x:v>OPEN</x:v>
      </x:c>
    </x:row>
    <x:row r="1724">
      <x:c r="A1724" s="15" t="str">
        <x:v>CH-1720</x:v>
      </x:c>
      <x:c r="B1724" s="15" t="str">
        <x:v>SYS-27</x:v>
      </x:c>
      <x:c r="C1724" s="15" t="n">
        <x:v>56</x:v>
      </x:c>
      <x:c r="D1724" s="15" t="str">
        <x:v>Coupling</x:v>
      </x:c>
      <x:c r="E1724" s="15" t="str">
        <x:v>NOT COMMISSIONED</x:v>
      </x:c>
      <x:c r="F1724" s="15" t="str">
        <x:v>OPEN</x:v>
      </x:c>
    </x:row>
    <x:row r="1725">
      <x:c r="A1725" s="14" t="str">
        <x:v>CH-1721</x:v>
      </x:c>
      <x:c r="B1725" s="14" t="str">
        <x:v>SYS-27</x:v>
      </x:c>
      <x:c r="C1725" s="14" t="n">
        <x:v>57</x:v>
      </x:c>
      <x:c r="D1725" s="14" t="str">
        <x:v>Coupling</x:v>
      </x:c>
      <x:c r="E1725" s="14" t="str">
        <x:v>NOT COMMISSIONED</x:v>
      </x:c>
      <x:c r="F1725" s="14" t="str">
        <x:v>OPEN</x:v>
      </x:c>
    </x:row>
    <x:row r="1726">
      <x:c r="A1726" s="15" t="str">
        <x:v>CH-1722</x:v>
      </x:c>
      <x:c r="B1726" s="15" t="str">
        <x:v>SYS-27</x:v>
      </x:c>
      <x:c r="C1726" s="15" t="n">
        <x:v>58</x:v>
      </x:c>
      <x:c r="D1726" s="15" t="str">
        <x:v>Coupling</x:v>
      </x:c>
      <x:c r="E1726" s="15" t="str">
        <x:v>NOT COMMISSIONED</x:v>
      </x:c>
      <x:c r="F1726" s="15" t="str">
        <x:v>OPEN</x:v>
      </x:c>
    </x:row>
    <x:row r="1727">
      <x:c r="A1727" s="14" t="str">
        <x:v>CH-1723</x:v>
      </x:c>
      <x:c r="B1727" s="14" t="str">
        <x:v>SYS-27</x:v>
      </x:c>
      <x:c r="C1727" s="14" t="n">
        <x:v>59</x:v>
      </x:c>
      <x:c r="D1727" s="14" t="str">
        <x:v>Coupling</x:v>
      </x:c>
      <x:c r="E1727" s="14" t="str">
        <x:v>NOT COMMISSIONED</x:v>
      </x:c>
      <x:c r="F1727" s="14" t="str">
        <x:v>OPEN</x:v>
      </x:c>
    </x:row>
    <x:row r="1728">
      <x:c r="A1728" s="15" t="str">
        <x:v>CH-1724</x:v>
      </x:c>
      <x:c r="B1728" s="15" t="str">
        <x:v>SYS-27</x:v>
      </x:c>
      <x:c r="C1728" s="15" t="n">
        <x:v>60</x:v>
      </x:c>
      <x:c r="D1728" s="15" t="str">
        <x:v>Coupling</x:v>
      </x:c>
      <x:c r="E1728" s="15" t="str">
        <x:v>NOT COMMISSIONED</x:v>
      </x:c>
      <x:c r="F1728" s="15" t="str">
        <x:v>OPEN</x:v>
      </x:c>
    </x:row>
    <x:row r="1729">
      <x:c r="A1729" s="14" t="str">
        <x:v>CH-1725</x:v>
      </x:c>
      <x:c r="B1729" s="14" t="str">
        <x:v>SYS-27</x:v>
      </x:c>
      <x:c r="C1729" s="14" t="n">
        <x:v>61</x:v>
      </x:c>
      <x:c r="D1729" s="14" t="str">
        <x:v>Coupling</x:v>
      </x:c>
      <x:c r="E1729" s="14" t="str">
        <x:v>NOT COMMISSIONED</x:v>
      </x:c>
      <x:c r="F1729" s="14" t="str">
        <x:v>OPEN</x:v>
      </x:c>
    </x:row>
    <x:row r="1730">
      <x:c r="A1730" s="15" t="str">
        <x:v>CH-1726</x:v>
      </x:c>
      <x:c r="B1730" s="15" t="str">
        <x:v>SYS-27</x:v>
      </x:c>
      <x:c r="C1730" s="15" t="n">
        <x:v>62</x:v>
      </x:c>
      <x:c r="D1730" s="15" t="str">
        <x:v>Coupling</x:v>
      </x:c>
      <x:c r="E1730" s="15" t="str">
        <x:v>NOT COMMISSIONED</x:v>
      </x:c>
      <x:c r="F1730" s="15" t="str">
        <x:v>OPEN</x:v>
      </x:c>
    </x:row>
    <x:row r="1731">
      <x:c r="A1731" s="14" t="str">
        <x:v>CH-1727</x:v>
      </x:c>
      <x:c r="B1731" s="14" t="str">
        <x:v>SYS-27</x:v>
      </x:c>
      <x:c r="C1731" s="14" t="n">
        <x:v>63</x:v>
      </x:c>
      <x:c r="D1731" s="14" t="str">
        <x:v>Coupling</x:v>
      </x:c>
      <x:c r="E1731" s="14" t="str">
        <x:v>NOT COMMISSIONED</x:v>
      </x:c>
      <x:c r="F1731" s="14" t="str">
        <x:v>OPEN</x:v>
      </x:c>
    </x:row>
    <x:row r="1732">
      <x:c r="A1732" s="15" t="str">
        <x:v>CH-1728</x:v>
      </x:c>
      <x:c r="B1732" s="15" t="str">
        <x:v>SYS-27</x:v>
      </x:c>
      <x:c r="C1732" s="15" t="n">
        <x:v>64</x:v>
      </x:c>
      <x:c r="D1732" s="15" t="str">
        <x:v>Coupling</x:v>
      </x:c>
      <x:c r="E1732" s="15" t="str">
        <x:v>NOT COMMISSIONED</x:v>
      </x:c>
      <x:c r="F1732" s="15" t="str">
        <x:v>OPEN</x:v>
      </x:c>
    </x:row>
    <x:row r="1733">
      <x:c r="A1733" s="14" t="str">
        <x:v>CH-1729</x:v>
      </x:c>
      <x:c r="B1733" s="14" t="str">
        <x:v>SYS-28</x:v>
      </x:c>
      <x:c r="C1733" s="14" t="n">
        <x:v>1</x:v>
      </x:c>
      <x:c r="D1733" s="14" t="str">
        <x:v>Diversion</x:v>
      </x:c>
      <x:c r="E1733" s="14" t="str">
        <x:v>NOT COMMISSIONED</x:v>
      </x:c>
      <x:c r="F1733" s="14" t="str">
        <x:v>OPEN</x:v>
      </x:c>
    </x:row>
    <x:row r="1734">
      <x:c r="A1734" s="15" t="str">
        <x:v>CH-1730</x:v>
      </x:c>
      <x:c r="B1734" s="15" t="str">
        <x:v>SYS-28</x:v>
      </x:c>
      <x:c r="C1734" s="15" t="n">
        <x:v>2</x:v>
      </x:c>
      <x:c r="D1734" s="15" t="str">
        <x:v>Diversion</x:v>
      </x:c>
      <x:c r="E1734" s="15" t="str">
        <x:v>NOT COMMISSIONED</x:v>
      </x:c>
      <x:c r="F1734" s="15" t="str">
        <x:v>OPEN</x:v>
      </x:c>
    </x:row>
    <x:row r="1735">
      <x:c r="A1735" s="14" t="str">
        <x:v>CH-1731</x:v>
      </x:c>
      <x:c r="B1735" s="14" t="str">
        <x:v>SYS-28</x:v>
      </x:c>
      <x:c r="C1735" s="14" t="n">
        <x:v>3</x:v>
      </x:c>
      <x:c r="D1735" s="14" t="str">
        <x:v>Diversion</x:v>
      </x:c>
      <x:c r="E1735" s="14" t="str">
        <x:v>NOT COMMISSIONED</x:v>
      </x:c>
      <x:c r="F1735" s="14" t="str">
        <x:v>OPEN</x:v>
      </x:c>
    </x:row>
    <x:row r="1736">
      <x:c r="A1736" s="15" t="str">
        <x:v>CH-1732</x:v>
      </x:c>
      <x:c r="B1736" s="15" t="str">
        <x:v>SYS-28</x:v>
      </x:c>
      <x:c r="C1736" s="15" t="n">
        <x:v>4</x:v>
      </x:c>
      <x:c r="D1736" s="15" t="str">
        <x:v>Diversion</x:v>
      </x:c>
      <x:c r="E1736" s="15" t="str">
        <x:v>NOT COMMISSIONED</x:v>
      </x:c>
      <x:c r="F1736" s="15" t="str">
        <x:v>OPEN</x:v>
      </x:c>
    </x:row>
    <x:row r="1737">
      <x:c r="A1737" s="14" t="str">
        <x:v>CH-1733</x:v>
      </x:c>
      <x:c r="B1737" s="14" t="str">
        <x:v>SYS-28</x:v>
      </x:c>
      <x:c r="C1737" s="14" t="n">
        <x:v>5</x:v>
      </x:c>
      <x:c r="D1737" s="14" t="str">
        <x:v>Diversion</x:v>
      </x:c>
      <x:c r="E1737" s="14" t="str">
        <x:v>NOT COMMISSIONED</x:v>
      </x:c>
      <x:c r="F1737" s="14" t="str">
        <x:v>OPEN</x:v>
      </x:c>
    </x:row>
    <x:row r="1738">
      <x:c r="A1738" s="15" t="str">
        <x:v>CH-1734</x:v>
      </x:c>
      <x:c r="B1738" s="15" t="str">
        <x:v>SYS-28</x:v>
      </x:c>
      <x:c r="C1738" s="15" t="n">
        <x:v>6</x:v>
      </x:c>
      <x:c r="D1738" s="15" t="str">
        <x:v>Diversion</x:v>
      </x:c>
      <x:c r="E1738" s="15" t="str">
        <x:v>NOT COMMISSIONED</x:v>
      </x:c>
      <x:c r="F1738" s="15" t="str">
        <x:v>OPEN</x:v>
      </x:c>
    </x:row>
    <x:row r="1739">
      <x:c r="A1739" s="14" t="str">
        <x:v>CH-1735</x:v>
      </x:c>
      <x:c r="B1739" s="14" t="str">
        <x:v>SYS-28</x:v>
      </x:c>
      <x:c r="C1739" s="14" t="n">
        <x:v>7</x:v>
      </x:c>
      <x:c r="D1739" s="14" t="str">
        <x:v>Diversion</x:v>
      </x:c>
      <x:c r="E1739" s="14" t="str">
        <x:v>NOT COMMISSIONED</x:v>
      </x:c>
      <x:c r="F1739" s="14" t="str">
        <x:v>OPEN</x:v>
      </x:c>
    </x:row>
    <x:row r="1740">
      <x:c r="A1740" s="15" t="str">
        <x:v>CH-1736</x:v>
      </x:c>
      <x:c r="B1740" s="15" t="str">
        <x:v>SYS-28</x:v>
      </x:c>
      <x:c r="C1740" s="15" t="n">
        <x:v>8</x:v>
      </x:c>
      <x:c r="D1740" s="15" t="str">
        <x:v>Diversion</x:v>
      </x:c>
      <x:c r="E1740" s="15" t="str">
        <x:v>NOT COMMISSIONED</x:v>
      </x:c>
      <x:c r="F1740" s="15" t="str">
        <x:v>OPEN</x:v>
      </x:c>
    </x:row>
    <x:row r="1741">
      <x:c r="A1741" s="14" t="str">
        <x:v>CH-1737</x:v>
      </x:c>
      <x:c r="B1741" s="14" t="str">
        <x:v>SYS-28</x:v>
      </x:c>
      <x:c r="C1741" s="14" t="n">
        <x:v>9</x:v>
      </x:c>
      <x:c r="D1741" s="14" t="str">
        <x:v>Diversion</x:v>
      </x:c>
      <x:c r="E1741" s="14" t="str">
        <x:v>NOT COMMISSIONED</x:v>
      </x:c>
      <x:c r="F1741" s="14" t="str">
        <x:v>OPEN</x:v>
      </x:c>
    </x:row>
    <x:row r="1742">
      <x:c r="A1742" s="15" t="str">
        <x:v>CH-1738</x:v>
      </x:c>
      <x:c r="B1742" s="15" t="str">
        <x:v>SYS-28</x:v>
      </x:c>
      <x:c r="C1742" s="15" t="n">
        <x:v>10</x:v>
      </x:c>
      <x:c r="D1742" s="15" t="str">
        <x:v>Diversion</x:v>
      </x:c>
      <x:c r="E1742" s="15" t="str">
        <x:v>NOT COMMISSIONED</x:v>
      </x:c>
      <x:c r="F1742" s="15" t="str">
        <x:v>OPEN</x:v>
      </x:c>
    </x:row>
    <x:row r="1743">
      <x:c r="A1743" s="14" t="str">
        <x:v>CH-1739</x:v>
      </x:c>
      <x:c r="B1743" s="14" t="str">
        <x:v>SYS-28</x:v>
      </x:c>
      <x:c r="C1743" s="14" t="n">
        <x:v>11</x:v>
      </x:c>
      <x:c r="D1743" s="14" t="str">
        <x:v>Diversion</x:v>
      </x:c>
      <x:c r="E1743" s="14" t="str">
        <x:v>NOT COMMISSIONED</x:v>
      </x:c>
      <x:c r="F1743" s="14" t="str">
        <x:v>OPEN</x:v>
      </x:c>
    </x:row>
    <x:row r="1744">
      <x:c r="A1744" s="15" t="str">
        <x:v>CH-1740</x:v>
      </x:c>
      <x:c r="B1744" s="15" t="str">
        <x:v>SYS-28</x:v>
      </x:c>
      <x:c r="C1744" s="15" t="n">
        <x:v>12</x:v>
      </x:c>
      <x:c r="D1744" s="15" t="str">
        <x:v>Diversion</x:v>
      </x:c>
      <x:c r="E1744" s="15" t="str">
        <x:v>NOT COMMISSIONED</x:v>
      </x:c>
      <x:c r="F1744" s="15" t="str">
        <x:v>OPEN</x:v>
      </x:c>
    </x:row>
    <x:row r="1745">
      <x:c r="A1745" s="14" t="str">
        <x:v>CH-1741</x:v>
      </x:c>
      <x:c r="B1745" s="14" t="str">
        <x:v>SYS-28</x:v>
      </x:c>
      <x:c r="C1745" s="14" t="n">
        <x:v>13</x:v>
      </x:c>
      <x:c r="D1745" s="14" t="str">
        <x:v>Diversion</x:v>
      </x:c>
      <x:c r="E1745" s="14" t="str">
        <x:v>NOT COMMISSIONED</x:v>
      </x:c>
      <x:c r="F1745" s="14" t="str">
        <x:v>OPEN</x:v>
      </x:c>
    </x:row>
    <x:row r="1746">
      <x:c r="A1746" s="15" t="str">
        <x:v>CH-1742</x:v>
      </x:c>
      <x:c r="B1746" s="15" t="str">
        <x:v>SYS-28</x:v>
      </x:c>
      <x:c r="C1746" s="15" t="n">
        <x:v>14</x:v>
      </x:c>
      <x:c r="D1746" s="15" t="str">
        <x:v>Diversion</x:v>
      </x:c>
      <x:c r="E1746" s="15" t="str">
        <x:v>NOT COMMISSIONED</x:v>
      </x:c>
      <x:c r="F1746" s="15" t="str">
        <x:v>OPEN</x:v>
      </x:c>
    </x:row>
    <x:row r="1747">
      <x:c r="A1747" s="14" t="str">
        <x:v>CH-1743</x:v>
      </x:c>
      <x:c r="B1747" s="14" t="str">
        <x:v>SYS-28</x:v>
      </x:c>
      <x:c r="C1747" s="14" t="n">
        <x:v>15</x:v>
      </x:c>
      <x:c r="D1747" s="14" t="str">
        <x:v>Diversion</x:v>
      </x:c>
      <x:c r="E1747" s="14" t="str">
        <x:v>NOT COMMISSIONED</x:v>
      </x:c>
      <x:c r="F1747" s="14" t="str">
        <x:v>OPEN</x:v>
      </x:c>
    </x:row>
    <x:row r="1748">
      <x:c r="A1748" s="15" t="str">
        <x:v>CH-1744</x:v>
      </x:c>
      <x:c r="B1748" s="15" t="str">
        <x:v>SYS-28</x:v>
      </x:c>
      <x:c r="C1748" s="15" t="n">
        <x:v>16</x:v>
      </x:c>
      <x:c r="D1748" s="15" t="str">
        <x:v>Diversion</x:v>
      </x:c>
      <x:c r="E1748" s="15" t="str">
        <x:v>NOT COMMISSIONED</x:v>
      </x:c>
      <x:c r="F1748" s="15" t="str">
        <x:v>OPEN</x:v>
      </x:c>
    </x:row>
    <x:row r="1749">
      <x:c r="A1749" s="14" t="str">
        <x:v>CH-1745</x:v>
      </x:c>
      <x:c r="B1749" s="14" t="str">
        <x:v>SYS-28</x:v>
      </x:c>
      <x:c r="C1749" s="14" t="n">
        <x:v>17</x:v>
      </x:c>
      <x:c r="D1749" s="14" t="str">
        <x:v>Diversion</x:v>
      </x:c>
      <x:c r="E1749" s="14" t="str">
        <x:v>NOT COMMISSIONED</x:v>
      </x:c>
      <x:c r="F1749" s="14" t="str">
        <x:v>OPEN</x:v>
      </x:c>
    </x:row>
    <x:row r="1750">
      <x:c r="A1750" s="15" t="str">
        <x:v>CH-1746</x:v>
      </x:c>
      <x:c r="B1750" s="15" t="str">
        <x:v>SYS-28</x:v>
      </x:c>
      <x:c r="C1750" s="15" t="n">
        <x:v>18</x:v>
      </x:c>
      <x:c r="D1750" s="15" t="str">
        <x:v>Diversion</x:v>
      </x:c>
      <x:c r="E1750" s="15" t="str">
        <x:v>NOT COMMISSIONED</x:v>
      </x:c>
      <x:c r="F1750" s="15" t="str">
        <x:v>OPEN</x:v>
      </x:c>
    </x:row>
    <x:row r="1751">
      <x:c r="A1751" s="14" t="str">
        <x:v>CH-1747</x:v>
      </x:c>
      <x:c r="B1751" s="14" t="str">
        <x:v>SYS-28</x:v>
      </x:c>
      <x:c r="C1751" s="14" t="n">
        <x:v>19</x:v>
      </x:c>
      <x:c r="D1751" s="14" t="str">
        <x:v>Diversion</x:v>
      </x:c>
      <x:c r="E1751" s="14" t="str">
        <x:v>NOT COMMISSIONED</x:v>
      </x:c>
      <x:c r="F1751" s="14" t="str">
        <x:v>OPEN</x:v>
      </x:c>
    </x:row>
    <x:row r="1752">
      <x:c r="A1752" s="15" t="str">
        <x:v>CH-1748</x:v>
      </x:c>
      <x:c r="B1752" s="15" t="str">
        <x:v>SYS-28</x:v>
      </x:c>
      <x:c r="C1752" s="15" t="n">
        <x:v>20</x:v>
      </x:c>
      <x:c r="D1752" s="15" t="str">
        <x:v>Diversion</x:v>
      </x:c>
      <x:c r="E1752" s="15" t="str">
        <x:v>NOT COMMISSIONED</x:v>
      </x:c>
      <x:c r="F1752" s="15" t="str">
        <x:v>OPEN</x:v>
      </x:c>
    </x:row>
    <x:row r="1753">
      <x:c r="A1753" s="14" t="str">
        <x:v>CH-1749</x:v>
      </x:c>
      <x:c r="B1753" s="14" t="str">
        <x:v>SYS-28</x:v>
      </x:c>
      <x:c r="C1753" s="14" t="n">
        <x:v>21</x:v>
      </x:c>
      <x:c r="D1753" s="14" t="str">
        <x:v>Diversion</x:v>
      </x:c>
      <x:c r="E1753" s="14" t="str">
        <x:v>NOT COMMISSIONED</x:v>
      </x:c>
      <x:c r="F1753" s="14" t="str">
        <x:v>OPEN</x:v>
      </x:c>
    </x:row>
    <x:row r="1754">
      <x:c r="A1754" s="15" t="str">
        <x:v>CH-1750</x:v>
      </x:c>
      <x:c r="B1754" s="15" t="str">
        <x:v>SYS-28</x:v>
      </x:c>
      <x:c r="C1754" s="15" t="n">
        <x:v>22</x:v>
      </x:c>
      <x:c r="D1754" s="15" t="str">
        <x:v>Diversion</x:v>
      </x:c>
      <x:c r="E1754" s="15" t="str">
        <x:v>NOT COMMISSIONED</x:v>
      </x:c>
      <x:c r="F1754" s="15" t="str">
        <x:v>OPEN</x:v>
      </x:c>
    </x:row>
    <x:row r="1755">
      <x:c r="A1755" s="14" t="str">
        <x:v>CH-1751</x:v>
      </x:c>
      <x:c r="B1755" s="14" t="str">
        <x:v>SYS-28</x:v>
      </x:c>
      <x:c r="C1755" s="14" t="n">
        <x:v>23</x:v>
      </x:c>
      <x:c r="D1755" s="14" t="str">
        <x:v>Diversion</x:v>
      </x:c>
      <x:c r="E1755" s="14" t="str">
        <x:v>NOT COMMISSIONED</x:v>
      </x:c>
      <x:c r="F1755" s="14" t="str">
        <x:v>OPEN</x:v>
      </x:c>
    </x:row>
    <x:row r="1756">
      <x:c r="A1756" s="15" t="str">
        <x:v>CH-1752</x:v>
      </x:c>
      <x:c r="B1756" s="15" t="str">
        <x:v>SYS-28</x:v>
      </x:c>
      <x:c r="C1756" s="15" t="n">
        <x:v>24</x:v>
      </x:c>
      <x:c r="D1756" s="15" t="str">
        <x:v>Diversion</x:v>
      </x:c>
      <x:c r="E1756" s="15" t="str">
        <x:v>NOT COMMISSIONED</x:v>
      </x:c>
      <x:c r="F1756" s="15" t="str">
        <x:v>OPEN</x:v>
      </x:c>
    </x:row>
    <x:row r="1757">
      <x:c r="A1757" s="14" t="str">
        <x:v>CH-1753</x:v>
      </x:c>
      <x:c r="B1757" s="14" t="str">
        <x:v>SYS-28</x:v>
      </x:c>
      <x:c r="C1757" s="14" t="n">
        <x:v>25</x:v>
      </x:c>
      <x:c r="D1757" s="14" t="str">
        <x:v>Diversion</x:v>
      </x:c>
      <x:c r="E1757" s="14" t="str">
        <x:v>NOT COMMISSIONED</x:v>
      </x:c>
      <x:c r="F1757" s="14" t="str">
        <x:v>OPEN</x:v>
      </x:c>
    </x:row>
    <x:row r="1758">
      <x:c r="A1758" s="15" t="str">
        <x:v>CH-1754</x:v>
      </x:c>
      <x:c r="B1758" s="15" t="str">
        <x:v>SYS-28</x:v>
      </x:c>
      <x:c r="C1758" s="15" t="n">
        <x:v>26</x:v>
      </x:c>
      <x:c r="D1758" s="15" t="str">
        <x:v>Diversion</x:v>
      </x:c>
      <x:c r="E1758" s="15" t="str">
        <x:v>NOT COMMISSIONED</x:v>
      </x:c>
      <x:c r="F1758" s="15" t="str">
        <x:v>OPEN</x:v>
      </x:c>
    </x:row>
    <x:row r="1759">
      <x:c r="A1759" s="14" t="str">
        <x:v>CH-1755</x:v>
      </x:c>
      <x:c r="B1759" s="14" t="str">
        <x:v>SYS-28</x:v>
      </x:c>
      <x:c r="C1759" s="14" t="n">
        <x:v>27</x:v>
      </x:c>
      <x:c r="D1759" s="14" t="str">
        <x:v>Diversion</x:v>
      </x:c>
      <x:c r="E1759" s="14" t="str">
        <x:v>NOT COMMISSIONED</x:v>
      </x:c>
      <x:c r="F1759" s="14" t="str">
        <x:v>OPEN</x:v>
      </x:c>
    </x:row>
    <x:row r="1760">
      <x:c r="A1760" s="15" t="str">
        <x:v>CH-1756</x:v>
      </x:c>
      <x:c r="B1760" s="15" t="str">
        <x:v>SYS-28</x:v>
      </x:c>
      <x:c r="C1760" s="15" t="n">
        <x:v>28</x:v>
      </x:c>
      <x:c r="D1760" s="15" t="str">
        <x:v>Diversion</x:v>
      </x:c>
      <x:c r="E1760" s="15" t="str">
        <x:v>NOT COMMISSIONED</x:v>
      </x:c>
      <x:c r="F1760" s="15" t="str">
        <x:v>OPEN</x:v>
      </x:c>
    </x:row>
    <x:row r="1761">
      <x:c r="A1761" s="14" t="str">
        <x:v>CH-1757</x:v>
      </x:c>
      <x:c r="B1761" s="14" t="str">
        <x:v>SYS-28</x:v>
      </x:c>
      <x:c r="C1761" s="14" t="n">
        <x:v>29</x:v>
      </x:c>
      <x:c r="D1761" s="14" t="str">
        <x:v>Diversion</x:v>
      </x:c>
      <x:c r="E1761" s="14" t="str">
        <x:v>NOT COMMISSIONED</x:v>
      </x:c>
      <x:c r="F1761" s="14" t="str">
        <x:v>OPEN</x:v>
      </x:c>
    </x:row>
    <x:row r="1762">
      <x:c r="A1762" s="15" t="str">
        <x:v>CH-1758</x:v>
      </x:c>
      <x:c r="B1762" s="15" t="str">
        <x:v>SYS-28</x:v>
      </x:c>
      <x:c r="C1762" s="15" t="n">
        <x:v>30</x:v>
      </x:c>
      <x:c r="D1762" s="15" t="str">
        <x:v>Diversion</x:v>
      </x:c>
      <x:c r="E1762" s="15" t="str">
        <x:v>NOT COMMISSIONED</x:v>
      </x:c>
      <x:c r="F1762" s="15" t="str">
        <x:v>OPEN</x:v>
      </x:c>
    </x:row>
    <x:row r="1763">
      <x:c r="A1763" s="14" t="str">
        <x:v>CH-1759</x:v>
      </x:c>
      <x:c r="B1763" s="14" t="str">
        <x:v>SYS-28</x:v>
      </x:c>
      <x:c r="C1763" s="14" t="n">
        <x:v>31</x:v>
      </x:c>
      <x:c r="D1763" s="14" t="str">
        <x:v>Diversion</x:v>
      </x:c>
      <x:c r="E1763" s="14" t="str">
        <x:v>NOT COMMISSIONED</x:v>
      </x:c>
      <x:c r="F1763" s="14" t="str">
        <x:v>OPEN</x:v>
      </x:c>
    </x:row>
    <x:row r="1764">
      <x:c r="A1764" s="15" t="str">
        <x:v>CH-1760</x:v>
      </x:c>
      <x:c r="B1764" s="15" t="str">
        <x:v>SYS-28</x:v>
      </x:c>
      <x:c r="C1764" s="15" t="n">
        <x:v>32</x:v>
      </x:c>
      <x:c r="D1764" s="15" t="str">
        <x:v>Diversion</x:v>
      </x:c>
      <x:c r="E1764" s="15" t="str">
        <x:v>NOT COMMISSIONED</x:v>
      </x:c>
      <x:c r="F1764" s="15" t="str">
        <x:v>OPEN</x:v>
      </x:c>
    </x:row>
    <x:row r="1765">
      <x:c r="A1765" s="14" t="str">
        <x:v>CH-1761</x:v>
      </x:c>
      <x:c r="B1765" s="14" t="str">
        <x:v>SYS-28</x:v>
      </x:c>
      <x:c r="C1765" s="14" t="n">
        <x:v>33</x:v>
      </x:c>
      <x:c r="D1765" s="14" t="str">
        <x:v>Diversion</x:v>
      </x:c>
      <x:c r="E1765" s="14" t="str">
        <x:v>NOT COMMISSIONED</x:v>
      </x:c>
      <x:c r="F1765" s="14" t="str">
        <x:v>OPEN</x:v>
      </x:c>
    </x:row>
    <x:row r="1766">
      <x:c r="A1766" s="15" t="str">
        <x:v>CH-1762</x:v>
      </x:c>
      <x:c r="B1766" s="15" t="str">
        <x:v>SYS-28</x:v>
      </x:c>
      <x:c r="C1766" s="15" t="n">
        <x:v>34</x:v>
      </x:c>
      <x:c r="D1766" s="15" t="str">
        <x:v>Diversion</x:v>
      </x:c>
      <x:c r="E1766" s="15" t="str">
        <x:v>NOT COMMISSIONED</x:v>
      </x:c>
      <x:c r="F1766" s="15" t="str">
        <x:v>OPEN</x:v>
      </x:c>
    </x:row>
    <x:row r="1767">
      <x:c r="A1767" s="14" t="str">
        <x:v>CH-1763</x:v>
      </x:c>
      <x:c r="B1767" s="14" t="str">
        <x:v>SYS-28</x:v>
      </x:c>
      <x:c r="C1767" s="14" t="n">
        <x:v>35</x:v>
      </x:c>
      <x:c r="D1767" s="14" t="str">
        <x:v>Diversion</x:v>
      </x:c>
      <x:c r="E1767" s="14" t="str">
        <x:v>NOT COMMISSIONED</x:v>
      </x:c>
      <x:c r="F1767" s="14" t="str">
        <x:v>OPEN</x:v>
      </x:c>
    </x:row>
    <x:row r="1768">
      <x:c r="A1768" s="15" t="str">
        <x:v>CH-1764</x:v>
      </x:c>
      <x:c r="B1768" s="15" t="str">
        <x:v>SYS-28</x:v>
      </x:c>
      <x:c r="C1768" s="15" t="n">
        <x:v>36</x:v>
      </x:c>
      <x:c r="D1768" s="15" t="str">
        <x:v>Diversion</x:v>
      </x:c>
      <x:c r="E1768" s="15" t="str">
        <x:v>NOT COMMISSIONED</x:v>
      </x:c>
      <x:c r="F1768" s="15" t="str">
        <x:v>OPEN</x:v>
      </x:c>
    </x:row>
    <x:row r="1769">
      <x:c r="A1769" s="14" t="str">
        <x:v>CH-1765</x:v>
      </x:c>
      <x:c r="B1769" s="14" t="str">
        <x:v>SYS-28</x:v>
      </x:c>
      <x:c r="C1769" s="14" t="n">
        <x:v>37</x:v>
      </x:c>
      <x:c r="D1769" s="14" t="str">
        <x:v>Diversion</x:v>
      </x:c>
      <x:c r="E1769" s="14" t="str">
        <x:v>NOT COMMISSIONED</x:v>
      </x:c>
      <x:c r="F1769" s="14" t="str">
        <x:v>OPEN</x:v>
      </x:c>
    </x:row>
    <x:row r="1770">
      <x:c r="A1770" s="15" t="str">
        <x:v>CH-1766</x:v>
      </x:c>
      <x:c r="B1770" s="15" t="str">
        <x:v>SYS-28</x:v>
      </x:c>
      <x:c r="C1770" s="15" t="n">
        <x:v>38</x:v>
      </x:c>
      <x:c r="D1770" s="15" t="str">
        <x:v>Diversion</x:v>
      </x:c>
      <x:c r="E1770" s="15" t="str">
        <x:v>NOT COMMISSIONED</x:v>
      </x:c>
      <x:c r="F1770" s="15" t="str">
        <x:v>OPEN</x:v>
      </x:c>
    </x:row>
    <x:row r="1771">
      <x:c r="A1771" s="14" t="str">
        <x:v>CH-1767</x:v>
      </x:c>
      <x:c r="B1771" s="14" t="str">
        <x:v>SYS-28</x:v>
      </x:c>
      <x:c r="C1771" s="14" t="n">
        <x:v>39</x:v>
      </x:c>
      <x:c r="D1771" s="14" t="str">
        <x:v>Diversion</x:v>
      </x:c>
      <x:c r="E1771" s="14" t="str">
        <x:v>NOT COMMISSIONED</x:v>
      </x:c>
      <x:c r="F1771" s="14" t="str">
        <x:v>OPEN</x:v>
      </x:c>
    </x:row>
    <x:row r="1772">
      <x:c r="A1772" s="15" t="str">
        <x:v>CH-1768</x:v>
      </x:c>
      <x:c r="B1772" s="15" t="str">
        <x:v>SYS-28</x:v>
      </x:c>
      <x:c r="C1772" s="15" t="n">
        <x:v>40</x:v>
      </x:c>
      <x:c r="D1772" s="15" t="str">
        <x:v>Diversion</x:v>
      </x:c>
      <x:c r="E1772" s="15" t="str">
        <x:v>NOT COMMISSIONED</x:v>
      </x:c>
      <x:c r="F1772" s="15" t="str">
        <x:v>OPEN</x:v>
      </x:c>
    </x:row>
    <x:row r="1773">
      <x:c r="A1773" s="14" t="str">
        <x:v>CH-1769</x:v>
      </x:c>
      <x:c r="B1773" s="14" t="str">
        <x:v>SYS-28</x:v>
      </x:c>
      <x:c r="C1773" s="14" t="n">
        <x:v>41</x:v>
      </x:c>
      <x:c r="D1773" s="14" t="str">
        <x:v>Diversion</x:v>
      </x:c>
      <x:c r="E1773" s="14" t="str">
        <x:v>NOT COMMISSIONED</x:v>
      </x:c>
      <x:c r="F1773" s="14" t="str">
        <x:v>OPEN</x:v>
      </x:c>
    </x:row>
    <x:row r="1774">
      <x:c r="A1774" s="15" t="str">
        <x:v>CH-1770</x:v>
      </x:c>
      <x:c r="B1774" s="15" t="str">
        <x:v>SYS-28</x:v>
      </x:c>
      <x:c r="C1774" s="15" t="n">
        <x:v>42</x:v>
      </x:c>
      <x:c r="D1774" s="15" t="str">
        <x:v>Diversion</x:v>
      </x:c>
      <x:c r="E1774" s="15" t="str">
        <x:v>NOT COMMISSIONED</x:v>
      </x:c>
      <x:c r="F1774" s="15" t="str">
        <x:v>OPEN</x:v>
      </x:c>
    </x:row>
    <x:row r="1775">
      <x:c r="A1775" s="14" t="str">
        <x:v>CH-1771</x:v>
      </x:c>
      <x:c r="B1775" s="14" t="str">
        <x:v>SYS-28</x:v>
      </x:c>
      <x:c r="C1775" s="14" t="n">
        <x:v>43</x:v>
      </x:c>
      <x:c r="D1775" s="14" t="str">
        <x:v>Diversion</x:v>
      </x:c>
      <x:c r="E1775" s="14" t="str">
        <x:v>NOT COMMISSIONED</x:v>
      </x:c>
      <x:c r="F1775" s="14" t="str">
        <x:v>OPEN</x:v>
      </x:c>
    </x:row>
    <x:row r="1776">
      <x:c r="A1776" s="15" t="str">
        <x:v>CH-1772</x:v>
      </x:c>
      <x:c r="B1776" s="15" t="str">
        <x:v>SYS-28</x:v>
      </x:c>
      <x:c r="C1776" s="15" t="n">
        <x:v>44</x:v>
      </x:c>
      <x:c r="D1776" s="15" t="str">
        <x:v>Diversion</x:v>
      </x:c>
      <x:c r="E1776" s="15" t="str">
        <x:v>NOT COMMISSIONED</x:v>
      </x:c>
      <x:c r="F1776" s="15" t="str">
        <x:v>OPEN</x:v>
      </x:c>
    </x:row>
    <x:row r="1777">
      <x:c r="A1777" s="14" t="str">
        <x:v>CH-1773</x:v>
      </x:c>
      <x:c r="B1777" s="14" t="str">
        <x:v>SYS-28</x:v>
      </x:c>
      <x:c r="C1777" s="14" t="n">
        <x:v>45</x:v>
      </x:c>
      <x:c r="D1777" s="14" t="str">
        <x:v>Diversion</x:v>
      </x:c>
      <x:c r="E1777" s="14" t="str">
        <x:v>NOT COMMISSIONED</x:v>
      </x:c>
      <x:c r="F1777" s="14" t="str">
        <x:v>OPEN</x:v>
      </x:c>
    </x:row>
    <x:row r="1778">
      <x:c r="A1778" s="15" t="str">
        <x:v>CH-1774</x:v>
      </x:c>
      <x:c r="B1778" s="15" t="str">
        <x:v>SYS-28</x:v>
      </x:c>
      <x:c r="C1778" s="15" t="n">
        <x:v>46</x:v>
      </x:c>
      <x:c r="D1778" s="15" t="str">
        <x:v>Diversion</x:v>
      </x:c>
      <x:c r="E1778" s="15" t="str">
        <x:v>NOT COMMISSIONED</x:v>
      </x:c>
      <x:c r="F1778" s="15" t="str">
        <x:v>OPEN</x:v>
      </x:c>
    </x:row>
    <x:row r="1779">
      <x:c r="A1779" s="14" t="str">
        <x:v>CH-1775</x:v>
      </x:c>
      <x:c r="B1779" s="14" t="str">
        <x:v>SYS-28</x:v>
      </x:c>
      <x:c r="C1779" s="14" t="n">
        <x:v>47</x:v>
      </x:c>
      <x:c r="D1779" s="14" t="str">
        <x:v>Diversion</x:v>
      </x:c>
      <x:c r="E1779" s="14" t="str">
        <x:v>NOT COMMISSIONED</x:v>
      </x:c>
      <x:c r="F1779" s="14" t="str">
        <x:v>OPEN</x:v>
      </x:c>
    </x:row>
    <x:row r="1780">
      <x:c r="A1780" s="15" t="str">
        <x:v>CH-1776</x:v>
      </x:c>
      <x:c r="B1780" s="15" t="str">
        <x:v>SYS-28</x:v>
      </x:c>
      <x:c r="C1780" s="15" t="n">
        <x:v>48</x:v>
      </x:c>
      <x:c r="D1780" s="15" t="str">
        <x:v>Diversion</x:v>
      </x:c>
      <x:c r="E1780" s="15" t="str">
        <x:v>NOT COMMISSIONED</x:v>
      </x:c>
      <x:c r="F1780" s="15" t="str">
        <x:v>OPEN</x:v>
      </x:c>
    </x:row>
    <x:row r="1781">
      <x:c r="A1781" s="14" t="str">
        <x:v>CH-1777</x:v>
      </x:c>
      <x:c r="B1781" s="14" t="str">
        <x:v>SYS-28</x:v>
      </x:c>
      <x:c r="C1781" s="14" t="n">
        <x:v>49</x:v>
      </x:c>
      <x:c r="D1781" s="14" t="str">
        <x:v>Diversion</x:v>
      </x:c>
      <x:c r="E1781" s="14" t="str">
        <x:v>NOT COMMISSIONED</x:v>
      </x:c>
      <x:c r="F1781" s="14" t="str">
        <x:v>OPEN</x:v>
      </x:c>
    </x:row>
    <x:row r="1782">
      <x:c r="A1782" s="15" t="str">
        <x:v>CH-1778</x:v>
      </x:c>
      <x:c r="B1782" s="15" t="str">
        <x:v>SYS-28</x:v>
      </x:c>
      <x:c r="C1782" s="15" t="n">
        <x:v>50</x:v>
      </x:c>
      <x:c r="D1782" s="15" t="str">
        <x:v>Diversion</x:v>
      </x:c>
      <x:c r="E1782" s="15" t="str">
        <x:v>NOT COMMISSIONED</x:v>
      </x:c>
      <x:c r="F1782" s="15" t="str">
        <x:v>OPEN</x:v>
      </x:c>
    </x:row>
    <x:row r="1783">
      <x:c r="A1783" s="14" t="str">
        <x:v>CH-1779</x:v>
      </x:c>
      <x:c r="B1783" s="14" t="str">
        <x:v>SYS-28</x:v>
      </x:c>
      <x:c r="C1783" s="14" t="n">
        <x:v>51</x:v>
      </x:c>
      <x:c r="D1783" s="14" t="str">
        <x:v>Diversion</x:v>
      </x:c>
      <x:c r="E1783" s="14" t="str">
        <x:v>NOT COMMISSIONED</x:v>
      </x:c>
      <x:c r="F1783" s="14" t="str">
        <x:v>OPEN</x:v>
      </x:c>
    </x:row>
    <x:row r="1784">
      <x:c r="A1784" s="15" t="str">
        <x:v>CH-1780</x:v>
      </x:c>
      <x:c r="B1784" s="15" t="str">
        <x:v>SYS-28</x:v>
      </x:c>
      <x:c r="C1784" s="15" t="n">
        <x:v>52</x:v>
      </x:c>
      <x:c r="D1784" s="15" t="str">
        <x:v>Diversion</x:v>
      </x:c>
      <x:c r="E1784" s="15" t="str">
        <x:v>NOT COMMISSIONED</x:v>
      </x:c>
      <x:c r="F1784" s="15" t="str">
        <x:v>OPEN</x:v>
      </x:c>
    </x:row>
    <x:row r="1785">
      <x:c r="A1785" s="14" t="str">
        <x:v>CH-1781</x:v>
      </x:c>
      <x:c r="B1785" s="14" t="str">
        <x:v>SYS-28</x:v>
      </x:c>
      <x:c r="C1785" s="14" t="n">
        <x:v>53</x:v>
      </x:c>
      <x:c r="D1785" s="14" t="str">
        <x:v>Diversion</x:v>
      </x:c>
      <x:c r="E1785" s="14" t="str">
        <x:v>NOT COMMISSIONED</x:v>
      </x:c>
      <x:c r="F1785" s="14" t="str">
        <x:v>OPEN</x:v>
      </x:c>
    </x:row>
    <x:row r="1786">
      <x:c r="A1786" s="15" t="str">
        <x:v>CH-1782</x:v>
      </x:c>
      <x:c r="B1786" s="15" t="str">
        <x:v>SYS-28</x:v>
      </x:c>
      <x:c r="C1786" s="15" t="n">
        <x:v>54</x:v>
      </x:c>
      <x:c r="D1786" s="15" t="str">
        <x:v>Diversion</x:v>
      </x:c>
      <x:c r="E1786" s="15" t="str">
        <x:v>NOT COMMISSIONED</x:v>
      </x:c>
      <x:c r="F1786" s="15" t="str">
        <x:v>OPEN</x:v>
      </x:c>
    </x:row>
    <x:row r="1787">
      <x:c r="A1787" s="14" t="str">
        <x:v>CH-1783</x:v>
      </x:c>
      <x:c r="B1787" s="14" t="str">
        <x:v>SYS-28</x:v>
      </x:c>
      <x:c r="C1787" s="14" t="n">
        <x:v>55</x:v>
      </x:c>
      <x:c r="D1787" s="14" t="str">
        <x:v>Diversion</x:v>
      </x:c>
      <x:c r="E1787" s="14" t="str">
        <x:v>NOT COMMISSIONED</x:v>
      </x:c>
      <x:c r="F1787" s="14" t="str">
        <x:v>OPEN</x:v>
      </x:c>
    </x:row>
    <x:row r="1788">
      <x:c r="A1788" s="15" t="str">
        <x:v>CH-1784</x:v>
      </x:c>
      <x:c r="B1788" s="15" t="str">
        <x:v>SYS-28</x:v>
      </x:c>
      <x:c r="C1788" s="15" t="n">
        <x:v>56</x:v>
      </x:c>
      <x:c r="D1788" s="15" t="str">
        <x:v>Diversion</x:v>
      </x:c>
      <x:c r="E1788" s="15" t="str">
        <x:v>NOT COMMISSIONED</x:v>
      </x:c>
      <x:c r="F1788" s="15" t="str">
        <x:v>OPEN</x:v>
      </x:c>
    </x:row>
    <x:row r="1789">
      <x:c r="A1789" s="14" t="str">
        <x:v>CH-1785</x:v>
      </x:c>
      <x:c r="B1789" s="14" t="str">
        <x:v>SYS-28</x:v>
      </x:c>
      <x:c r="C1789" s="14" t="n">
        <x:v>57</x:v>
      </x:c>
      <x:c r="D1789" s="14" t="str">
        <x:v>Diversion</x:v>
      </x:c>
      <x:c r="E1789" s="14" t="str">
        <x:v>NOT COMMISSIONED</x:v>
      </x:c>
      <x:c r="F1789" s="14" t="str">
        <x:v>OPEN</x:v>
      </x:c>
    </x:row>
    <x:row r="1790">
      <x:c r="A1790" s="15" t="str">
        <x:v>CH-1786</x:v>
      </x:c>
      <x:c r="B1790" s="15" t="str">
        <x:v>SYS-28</x:v>
      </x:c>
      <x:c r="C1790" s="15" t="n">
        <x:v>58</x:v>
      </x:c>
      <x:c r="D1790" s="15" t="str">
        <x:v>Diversion</x:v>
      </x:c>
      <x:c r="E1790" s="15" t="str">
        <x:v>NOT COMMISSIONED</x:v>
      </x:c>
      <x:c r="F1790" s="15" t="str">
        <x:v>OPEN</x:v>
      </x:c>
    </x:row>
    <x:row r="1791">
      <x:c r="A1791" s="14" t="str">
        <x:v>CH-1787</x:v>
      </x:c>
      <x:c r="B1791" s="14" t="str">
        <x:v>SYS-28</x:v>
      </x:c>
      <x:c r="C1791" s="14" t="n">
        <x:v>59</x:v>
      </x:c>
      <x:c r="D1791" s="14" t="str">
        <x:v>Diversion</x:v>
      </x:c>
      <x:c r="E1791" s="14" t="str">
        <x:v>NOT COMMISSIONED</x:v>
      </x:c>
      <x:c r="F1791" s="14" t="str">
        <x:v>OPEN</x:v>
      </x:c>
    </x:row>
    <x:row r="1792">
      <x:c r="A1792" s="15" t="str">
        <x:v>CH-1788</x:v>
      </x:c>
      <x:c r="B1792" s="15" t="str">
        <x:v>SYS-28</x:v>
      </x:c>
      <x:c r="C1792" s="15" t="n">
        <x:v>60</x:v>
      </x:c>
      <x:c r="D1792" s="15" t="str">
        <x:v>Diversion</x:v>
      </x:c>
      <x:c r="E1792" s="15" t="str">
        <x:v>NOT COMMISSIONED</x:v>
      </x:c>
      <x:c r="F1792" s="15" t="str">
        <x:v>OPEN</x:v>
      </x:c>
    </x:row>
    <x:row r="1793">
      <x:c r="A1793" s="14" t="str">
        <x:v>CH-1789</x:v>
      </x:c>
      <x:c r="B1793" s="14" t="str">
        <x:v>SYS-28</x:v>
      </x:c>
      <x:c r="C1793" s="14" t="n">
        <x:v>61</x:v>
      </x:c>
      <x:c r="D1793" s="14" t="str">
        <x:v>Diversion</x:v>
      </x:c>
      <x:c r="E1793" s="14" t="str">
        <x:v>NOT COMMISSIONED</x:v>
      </x:c>
      <x:c r="F1793" s="14" t="str">
        <x:v>OPEN</x:v>
      </x:c>
    </x:row>
    <x:row r="1794">
      <x:c r="A1794" s="15" t="str">
        <x:v>CH-1790</x:v>
      </x:c>
      <x:c r="B1794" s="15" t="str">
        <x:v>SYS-28</x:v>
      </x:c>
      <x:c r="C1794" s="15" t="n">
        <x:v>62</x:v>
      </x:c>
      <x:c r="D1794" s="15" t="str">
        <x:v>Diversion</x:v>
      </x:c>
      <x:c r="E1794" s="15" t="str">
        <x:v>NOT COMMISSIONED</x:v>
      </x:c>
      <x:c r="F1794" s="15" t="str">
        <x:v>OPEN</x:v>
      </x:c>
    </x:row>
    <x:row r="1795">
      <x:c r="A1795" s="14" t="str">
        <x:v>CH-1791</x:v>
      </x:c>
      <x:c r="B1795" s="14" t="str">
        <x:v>SYS-28</x:v>
      </x:c>
      <x:c r="C1795" s="14" t="n">
        <x:v>63</x:v>
      </x:c>
      <x:c r="D1795" s="14" t="str">
        <x:v>Diversion</x:v>
      </x:c>
      <x:c r="E1795" s="14" t="str">
        <x:v>NOT COMMISSIONED</x:v>
      </x:c>
      <x:c r="F1795" s="14" t="str">
        <x:v>OPEN</x:v>
      </x:c>
    </x:row>
    <x:row r="1796">
      <x:c r="A1796" s="15" t="str">
        <x:v>CH-1792</x:v>
      </x:c>
      <x:c r="B1796" s="15" t="str">
        <x:v>SYS-28</x:v>
      </x:c>
      <x:c r="C1796" s="15" t="n">
        <x:v>64</x:v>
      </x:c>
      <x:c r="D1796" s="15" t="str">
        <x:v>Diversion</x:v>
      </x:c>
      <x:c r="E1796" s="15" t="str">
        <x:v>NOT COMMISSIONED</x:v>
      </x:c>
      <x:c r="F1796" s="15" t="str">
        <x:v>OPEN</x:v>
      </x:c>
    </x:row>
    <x:row r="1797">
      <x:c r="A1797" s="14" t="str">
        <x:v>CH-1793</x:v>
      </x:c>
      <x:c r="B1797" s="14" t="str">
        <x:v>SYS-29</x:v>
      </x:c>
      <x:c r="C1797" s="14" t="n">
        <x:v>1</x:v>
      </x:c>
      <x:c r="D1797" s="14" t="str">
        <x:v>Public action</x:v>
      </x:c>
      <x:c r="E1797" s="14" t="str">
        <x:v>NOT COMMISSIONED</x:v>
      </x:c>
      <x:c r="F1797" s="14" t="str">
        <x:v>OPEN</x:v>
      </x:c>
    </x:row>
    <x:row r="1798">
      <x:c r="A1798" s="15" t="str">
        <x:v>CH-1794</x:v>
      </x:c>
      <x:c r="B1798" s="15" t="str">
        <x:v>SYS-29</x:v>
      </x:c>
      <x:c r="C1798" s="15" t="n">
        <x:v>2</x:v>
      </x:c>
      <x:c r="D1798" s="15" t="str">
        <x:v>Public action</x:v>
      </x:c>
      <x:c r="E1798" s="15" t="str">
        <x:v>NOT COMMISSIONED</x:v>
      </x:c>
      <x:c r="F1798" s="15" t="str">
        <x:v>OPEN</x:v>
      </x:c>
    </x:row>
    <x:row r="1799">
      <x:c r="A1799" s="14" t="str">
        <x:v>CH-1795</x:v>
      </x:c>
      <x:c r="B1799" s="14" t="str">
        <x:v>SYS-29</x:v>
      </x:c>
      <x:c r="C1799" s="14" t="n">
        <x:v>3</x:v>
      </x:c>
      <x:c r="D1799" s="14" t="str">
        <x:v>Public action</x:v>
      </x:c>
      <x:c r="E1799" s="14" t="str">
        <x:v>NOT COMMISSIONED</x:v>
      </x:c>
      <x:c r="F1799" s="14" t="str">
        <x:v>OPEN</x:v>
      </x:c>
    </x:row>
    <x:row r="1800">
      <x:c r="A1800" s="15" t="str">
        <x:v>CH-1796</x:v>
      </x:c>
      <x:c r="B1800" s="15" t="str">
        <x:v>SYS-29</x:v>
      </x:c>
      <x:c r="C1800" s="15" t="n">
        <x:v>4</x:v>
      </x:c>
      <x:c r="D1800" s="15" t="str">
        <x:v>Public action</x:v>
      </x:c>
      <x:c r="E1800" s="15" t="str">
        <x:v>NOT COMMISSIONED</x:v>
      </x:c>
      <x:c r="F1800" s="15" t="str">
        <x:v>OPEN</x:v>
      </x:c>
    </x:row>
    <x:row r="1801">
      <x:c r="A1801" s="14" t="str">
        <x:v>CH-1797</x:v>
      </x:c>
      <x:c r="B1801" s="14" t="str">
        <x:v>SYS-29</x:v>
      </x:c>
      <x:c r="C1801" s="14" t="n">
        <x:v>5</x:v>
      </x:c>
      <x:c r="D1801" s="14" t="str">
        <x:v>Public action</x:v>
      </x:c>
      <x:c r="E1801" s="14" t="str">
        <x:v>NOT COMMISSIONED</x:v>
      </x:c>
      <x:c r="F1801" s="14" t="str">
        <x:v>OPEN</x:v>
      </x:c>
    </x:row>
    <x:row r="1802">
      <x:c r="A1802" s="15" t="str">
        <x:v>CH-1798</x:v>
      </x:c>
      <x:c r="B1802" s="15" t="str">
        <x:v>SYS-29</x:v>
      </x:c>
      <x:c r="C1802" s="15" t="n">
        <x:v>6</x:v>
      </x:c>
      <x:c r="D1802" s="15" t="str">
        <x:v>Public action</x:v>
      </x:c>
      <x:c r="E1802" s="15" t="str">
        <x:v>NOT COMMISSIONED</x:v>
      </x:c>
      <x:c r="F1802" s="15" t="str">
        <x:v>OPEN</x:v>
      </x:c>
    </x:row>
    <x:row r="1803">
      <x:c r="A1803" s="14" t="str">
        <x:v>CH-1799</x:v>
      </x:c>
      <x:c r="B1803" s="14" t="str">
        <x:v>SYS-29</x:v>
      </x:c>
      <x:c r="C1803" s="14" t="n">
        <x:v>7</x:v>
      </x:c>
      <x:c r="D1803" s="14" t="str">
        <x:v>Public action</x:v>
      </x:c>
      <x:c r="E1803" s="14" t="str">
        <x:v>NOT COMMISSIONED</x:v>
      </x:c>
      <x:c r="F1803" s="14" t="str">
        <x:v>OPEN</x:v>
      </x:c>
    </x:row>
    <x:row r="1804">
      <x:c r="A1804" s="15" t="str">
        <x:v>CH-1800</x:v>
      </x:c>
      <x:c r="B1804" s="15" t="str">
        <x:v>SYS-29</x:v>
      </x:c>
      <x:c r="C1804" s="15" t="n">
        <x:v>8</x:v>
      </x:c>
      <x:c r="D1804" s="15" t="str">
        <x:v>Public action</x:v>
      </x:c>
      <x:c r="E1804" s="15" t="str">
        <x:v>NOT COMMISSIONED</x:v>
      </x:c>
      <x:c r="F1804" s="15" t="str">
        <x:v>OPEN</x:v>
      </x:c>
    </x:row>
    <x:row r="1805">
      <x:c r="A1805" s="14" t="str">
        <x:v>CH-1801</x:v>
      </x:c>
      <x:c r="B1805" s="14" t="str">
        <x:v>SYS-29</x:v>
      </x:c>
      <x:c r="C1805" s="14" t="n">
        <x:v>9</x:v>
      </x:c>
      <x:c r="D1805" s="14" t="str">
        <x:v>Public action</x:v>
      </x:c>
      <x:c r="E1805" s="14" t="str">
        <x:v>NOT COMMISSIONED</x:v>
      </x:c>
      <x:c r="F1805" s="14" t="str">
        <x:v>OPEN</x:v>
      </x:c>
    </x:row>
    <x:row r="1806">
      <x:c r="A1806" s="15" t="str">
        <x:v>CH-1802</x:v>
      </x:c>
      <x:c r="B1806" s="15" t="str">
        <x:v>SYS-29</x:v>
      </x:c>
      <x:c r="C1806" s="15" t="n">
        <x:v>10</x:v>
      </x:c>
      <x:c r="D1806" s="15" t="str">
        <x:v>Public action</x:v>
      </x:c>
      <x:c r="E1806" s="15" t="str">
        <x:v>NOT COMMISSIONED</x:v>
      </x:c>
      <x:c r="F1806" s="15" t="str">
        <x:v>OPEN</x:v>
      </x:c>
    </x:row>
    <x:row r="1807">
      <x:c r="A1807" s="14" t="str">
        <x:v>CH-1803</x:v>
      </x:c>
      <x:c r="B1807" s="14" t="str">
        <x:v>SYS-29</x:v>
      </x:c>
      <x:c r="C1807" s="14" t="n">
        <x:v>11</x:v>
      </x:c>
      <x:c r="D1807" s="14" t="str">
        <x:v>Public action</x:v>
      </x:c>
      <x:c r="E1807" s="14" t="str">
        <x:v>NOT COMMISSIONED</x:v>
      </x:c>
      <x:c r="F1807" s="14" t="str">
        <x:v>OPEN</x:v>
      </x:c>
    </x:row>
    <x:row r="1808">
      <x:c r="A1808" s="15" t="str">
        <x:v>CH-1804</x:v>
      </x:c>
      <x:c r="B1808" s="15" t="str">
        <x:v>SYS-29</x:v>
      </x:c>
      <x:c r="C1808" s="15" t="n">
        <x:v>12</x:v>
      </x:c>
      <x:c r="D1808" s="15" t="str">
        <x:v>Public action</x:v>
      </x:c>
      <x:c r="E1808" s="15" t="str">
        <x:v>NOT COMMISSIONED</x:v>
      </x:c>
      <x:c r="F1808" s="15" t="str">
        <x:v>OPEN</x:v>
      </x:c>
    </x:row>
    <x:row r="1809">
      <x:c r="A1809" s="14" t="str">
        <x:v>CH-1805</x:v>
      </x:c>
      <x:c r="B1809" s="14" t="str">
        <x:v>SYS-29</x:v>
      </x:c>
      <x:c r="C1809" s="14" t="n">
        <x:v>13</x:v>
      </x:c>
      <x:c r="D1809" s="14" t="str">
        <x:v>Public action</x:v>
      </x:c>
      <x:c r="E1809" s="14" t="str">
        <x:v>NOT COMMISSIONED</x:v>
      </x:c>
      <x:c r="F1809" s="14" t="str">
        <x:v>OPEN</x:v>
      </x:c>
    </x:row>
    <x:row r="1810">
      <x:c r="A1810" s="15" t="str">
        <x:v>CH-1806</x:v>
      </x:c>
      <x:c r="B1810" s="15" t="str">
        <x:v>SYS-29</x:v>
      </x:c>
      <x:c r="C1810" s="15" t="n">
        <x:v>14</x:v>
      </x:c>
      <x:c r="D1810" s="15" t="str">
        <x:v>Public action</x:v>
      </x:c>
      <x:c r="E1810" s="15" t="str">
        <x:v>NOT COMMISSIONED</x:v>
      </x:c>
      <x:c r="F1810" s="15" t="str">
        <x:v>OPEN</x:v>
      </x:c>
    </x:row>
    <x:row r="1811">
      <x:c r="A1811" s="14" t="str">
        <x:v>CH-1807</x:v>
      </x:c>
      <x:c r="B1811" s="14" t="str">
        <x:v>SYS-29</x:v>
      </x:c>
      <x:c r="C1811" s="14" t="n">
        <x:v>15</x:v>
      </x:c>
      <x:c r="D1811" s="14" t="str">
        <x:v>Public action</x:v>
      </x:c>
      <x:c r="E1811" s="14" t="str">
        <x:v>NOT COMMISSIONED</x:v>
      </x:c>
      <x:c r="F1811" s="14" t="str">
        <x:v>OPEN</x:v>
      </x:c>
    </x:row>
    <x:row r="1812">
      <x:c r="A1812" s="15" t="str">
        <x:v>CH-1808</x:v>
      </x:c>
      <x:c r="B1812" s="15" t="str">
        <x:v>SYS-29</x:v>
      </x:c>
      <x:c r="C1812" s="15" t="n">
        <x:v>16</x:v>
      </x:c>
      <x:c r="D1812" s="15" t="str">
        <x:v>Public action</x:v>
      </x:c>
      <x:c r="E1812" s="15" t="str">
        <x:v>NOT COMMISSIONED</x:v>
      </x:c>
      <x:c r="F1812" s="15" t="str">
        <x:v>OPEN</x:v>
      </x:c>
    </x:row>
    <x:row r="1813">
      <x:c r="A1813" s="14" t="str">
        <x:v>CH-1809</x:v>
      </x:c>
      <x:c r="B1813" s="14" t="str">
        <x:v>SYS-29</x:v>
      </x:c>
      <x:c r="C1813" s="14" t="n">
        <x:v>17</x:v>
      </x:c>
      <x:c r="D1813" s="14" t="str">
        <x:v>Public action</x:v>
      </x:c>
      <x:c r="E1813" s="14" t="str">
        <x:v>NOT COMMISSIONED</x:v>
      </x:c>
      <x:c r="F1813" s="14" t="str">
        <x:v>OPEN</x:v>
      </x:c>
    </x:row>
    <x:row r="1814">
      <x:c r="A1814" s="15" t="str">
        <x:v>CH-1810</x:v>
      </x:c>
      <x:c r="B1814" s="15" t="str">
        <x:v>SYS-29</x:v>
      </x:c>
      <x:c r="C1814" s="15" t="n">
        <x:v>18</x:v>
      </x:c>
      <x:c r="D1814" s="15" t="str">
        <x:v>Public action</x:v>
      </x:c>
      <x:c r="E1814" s="15" t="str">
        <x:v>NOT COMMISSIONED</x:v>
      </x:c>
      <x:c r="F1814" s="15" t="str">
        <x:v>OPEN</x:v>
      </x:c>
    </x:row>
    <x:row r="1815">
      <x:c r="A1815" s="14" t="str">
        <x:v>CH-1811</x:v>
      </x:c>
      <x:c r="B1815" s="14" t="str">
        <x:v>SYS-29</x:v>
      </x:c>
      <x:c r="C1815" s="14" t="n">
        <x:v>19</x:v>
      </x:c>
      <x:c r="D1815" s="14" t="str">
        <x:v>Public action</x:v>
      </x:c>
      <x:c r="E1815" s="14" t="str">
        <x:v>NOT COMMISSIONED</x:v>
      </x:c>
      <x:c r="F1815" s="14" t="str">
        <x:v>OPEN</x:v>
      </x:c>
    </x:row>
    <x:row r="1816">
      <x:c r="A1816" s="15" t="str">
        <x:v>CH-1812</x:v>
      </x:c>
      <x:c r="B1816" s="15" t="str">
        <x:v>SYS-29</x:v>
      </x:c>
      <x:c r="C1816" s="15" t="n">
        <x:v>20</x:v>
      </x:c>
      <x:c r="D1816" s="15" t="str">
        <x:v>Public action</x:v>
      </x:c>
      <x:c r="E1816" s="15" t="str">
        <x:v>NOT COMMISSIONED</x:v>
      </x:c>
      <x:c r="F1816" s="15" t="str">
        <x:v>OPEN</x:v>
      </x:c>
    </x:row>
    <x:row r="1817">
      <x:c r="A1817" s="14" t="str">
        <x:v>CH-1813</x:v>
      </x:c>
      <x:c r="B1817" s="14" t="str">
        <x:v>SYS-29</x:v>
      </x:c>
      <x:c r="C1817" s="14" t="n">
        <x:v>21</x:v>
      </x:c>
      <x:c r="D1817" s="14" t="str">
        <x:v>Public action</x:v>
      </x:c>
      <x:c r="E1817" s="14" t="str">
        <x:v>NOT COMMISSIONED</x:v>
      </x:c>
      <x:c r="F1817" s="14" t="str">
        <x:v>OPEN</x:v>
      </x:c>
    </x:row>
    <x:row r="1818">
      <x:c r="A1818" s="15" t="str">
        <x:v>CH-1814</x:v>
      </x:c>
      <x:c r="B1818" s="15" t="str">
        <x:v>SYS-29</x:v>
      </x:c>
      <x:c r="C1818" s="15" t="n">
        <x:v>22</x:v>
      </x:c>
      <x:c r="D1818" s="15" t="str">
        <x:v>Public action</x:v>
      </x:c>
      <x:c r="E1818" s="15" t="str">
        <x:v>NOT COMMISSIONED</x:v>
      </x:c>
      <x:c r="F1818" s="15" t="str">
        <x:v>OPEN</x:v>
      </x:c>
    </x:row>
    <x:row r="1819">
      <x:c r="A1819" s="14" t="str">
        <x:v>CH-1815</x:v>
      </x:c>
      <x:c r="B1819" s="14" t="str">
        <x:v>SYS-29</x:v>
      </x:c>
      <x:c r="C1819" s="14" t="n">
        <x:v>23</x:v>
      </x:c>
      <x:c r="D1819" s="14" t="str">
        <x:v>Public action</x:v>
      </x:c>
      <x:c r="E1819" s="14" t="str">
        <x:v>NOT COMMISSIONED</x:v>
      </x:c>
      <x:c r="F1819" s="14" t="str">
        <x:v>OPEN</x:v>
      </x:c>
    </x:row>
    <x:row r="1820">
      <x:c r="A1820" s="15" t="str">
        <x:v>CH-1816</x:v>
      </x:c>
      <x:c r="B1820" s="15" t="str">
        <x:v>SYS-29</x:v>
      </x:c>
      <x:c r="C1820" s="15" t="n">
        <x:v>24</x:v>
      </x:c>
      <x:c r="D1820" s="15" t="str">
        <x:v>Public action</x:v>
      </x:c>
      <x:c r="E1820" s="15" t="str">
        <x:v>NOT COMMISSIONED</x:v>
      </x:c>
      <x:c r="F1820" s="15" t="str">
        <x:v>OPEN</x:v>
      </x:c>
    </x:row>
    <x:row r="1821">
      <x:c r="A1821" s="14" t="str">
        <x:v>CH-1817</x:v>
      </x:c>
      <x:c r="B1821" s="14" t="str">
        <x:v>SYS-29</x:v>
      </x:c>
      <x:c r="C1821" s="14" t="n">
        <x:v>25</x:v>
      </x:c>
      <x:c r="D1821" s="14" t="str">
        <x:v>Public action</x:v>
      </x:c>
      <x:c r="E1821" s="14" t="str">
        <x:v>NOT COMMISSIONED</x:v>
      </x:c>
      <x:c r="F1821" s="14" t="str">
        <x:v>OPEN</x:v>
      </x:c>
    </x:row>
    <x:row r="1822">
      <x:c r="A1822" s="15" t="str">
        <x:v>CH-1818</x:v>
      </x:c>
      <x:c r="B1822" s="15" t="str">
        <x:v>SYS-29</x:v>
      </x:c>
      <x:c r="C1822" s="15" t="n">
        <x:v>26</x:v>
      </x:c>
      <x:c r="D1822" s="15" t="str">
        <x:v>Public action</x:v>
      </x:c>
      <x:c r="E1822" s="15" t="str">
        <x:v>NOT COMMISSIONED</x:v>
      </x:c>
      <x:c r="F1822" s="15" t="str">
        <x:v>OPEN</x:v>
      </x:c>
    </x:row>
    <x:row r="1823">
      <x:c r="A1823" s="14" t="str">
        <x:v>CH-1819</x:v>
      </x:c>
      <x:c r="B1823" s="14" t="str">
        <x:v>SYS-29</x:v>
      </x:c>
      <x:c r="C1823" s="14" t="n">
        <x:v>27</x:v>
      </x:c>
      <x:c r="D1823" s="14" t="str">
        <x:v>Public action</x:v>
      </x:c>
      <x:c r="E1823" s="14" t="str">
        <x:v>NOT COMMISSIONED</x:v>
      </x:c>
      <x:c r="F1823" s="14" t="str">
        <x:v>OPEN</x:v>
      </x:c>
    </x:row>
    <x:row r="1824">
      <x:c r="A1824" s="15" t="str">
        <x:v>CH-1820</x:v>
      </x:c>
      <x:c r="B1824" s="15" t="str">
        <x:v>SYS-29</x:v>
      </x:c>
      <x:c r="C1824" s="15" t="n">
        <x:v>28</x:v>
      </x:c>
      <x:c r="D1824" s="15" t="str">
        <x:v>Public action</x:v>
      </x:c>
      <x:c r="E1824" s="15" t="str">
        <x:v>NOT COMMISSIONED</x:v>
      </x:c>
      <x:c r="F1824" s="15" t="str">
        <x:v>OPEN</x:v>
      </x:c>
    </x:row>
    <x:row r="1825">
      <x:c r="A1825" s="14" t="str">
        <x:v>CH-1821</x:v>
      </x:c>
      <x:c r="B1825" s="14" t="str">
        <x:v>SYS-29</x:v>
      </x:c>
      <x:c r="C1825" s="14" t="n">
        <x:v>29</x:v>
      </x:c>
      <x:c r="D1825" s="14" t="str">
        <x:v>Public action</x:v>
      </x:c>
      <x:c r="E1825" s="14" t="str">
        <x:v>NOT COMMISSIONED</x:v>
      </x:c>
      <x:c r="F1825" s="14" t="str">
        <x:v>OPEN</x:v>
      </x:c>
    </x:row>
    <x:row r="1826">
      <x:c r="A1826" s="15" t="str">
        <x:v>CH-1822</x:v>
      </x:c>
      <x:c r="B1826" s="15" t="str">
        <x:v>SYS-29</x:v>
      </x:c>
      <x:c r="C1826" s="15" t="n">
        <x:v>30</x:v>
      </x:c>
      <x:c r="D1826" s="15" t="str">
        <x:v>Public action</x:v>
      </x:c>
      <x:c r="E1826" s="15" t="str">
        <x:v>NOT COMMISSIONED</x:v>
      </x:c>
      <x:c r="F1826" s="15" t="str">
        <x:v>OPEN</x:v>
      </x:c>
    </x:row>
    <x:row r="1827">
      <x:c r="A1827" s="14" t="str">
        <x:v>CH-1823</x:v>
      </x:c>
      <x:c r="B1827" s="14" t="str">
        <x:v>SYS-29</x:v>
      </x:c>
      <x:c r="C1827" s="14" t="n">
        <x:v>31</x:v>
      </x:c>
      <x:c r="D1827" s="14" t="str">
        <x:v>Public action</x:v>
      </x:c>
      <x:c r="E1827" s="14" t="str">
        <x:v>NOT COMMISSIONED</x:v>
      </x:c>
      <x:c r="F1827" s="14" t="str">
        <x:v>OPEN</x:v>
      </x:c>
    </x:row>
    <x:row r="1828">
      <x:c r="A1828" s="15" t="str">
        <x:v>CH-1824</x:v>
      </x:c>
      <x:c r="B1828" s="15" t="str">
        <x:v>SYS-29</x:v>
      </x:c>
      <x:c r="C1828" s="15" t="n">
        <x:v>32</x:v>
      </x:c>
      <x:c r="D1828" s="15" t="str">
        <x:v>Public action</x:v>
      </x:c>
      <x:c r="E1828" s="15" t="str">
        <x:v>NOT COMMISSIONED</x:v>
      </x:c>
      <x:c r="F1828" s="15" t="str">
        <x:v>OPEN</x:v>
      </x:c>
    </x:row>
    <x:row r="1829">
      <x:c r="A1829" s="14" t="str">
        <x:v>CH-1825</x:v>
      </x:c>
      <x:c r="B1829" s="14" t="str">
        <x:v>SYS-29</x:v>
      </x:c>
      <x:c r="C1829" s="14" t="n">
        <x:v>33</x:v>
      </x:c>
      <x:c r="D1829" s="14" t="str">
        <x:v>Public action</x:v>
      </x:c>
      <x:c r="E1829" s="14" t="str">
        <x:v>NOT COMMISSIONED</x:v>
      </x:c>
      <x:c r="F1829" s="14" t="str">
        <x:v>OPEN</x:v>
      </x:c>
    </x:row>
    <x:row r="1830">
      <x:c r="A1830" s="15" t="str">
        <x:v>CH-1826</x:v>
      </x:c>
      <x:c r="B1830" s="15" t="str">
        <x:v>SYS-29</x:v>
      </x:c>
      <x:c r="C1830" s="15" t="n">
        <x:v>34</x:v>
      </x:c>
      <x:c r="D1830" s="15" t="str">
        <x:v>Public action</x:v>
      </x:c>
      <x:c r="E1830" s="15" t="str">
        <x:v>NOT COMMISSIONED</x:v>
      </x:c>
      <x:c r="F1830" s="15" t="str">
        <x:v>OPEN</x:v>
      </x:c>
    </x:row>
    <x:row r="1831">
      <x:c r="A1831" s="14" t="str">
        <x:v>CH-1827</x:v>
      </x:c>
      <x:c r="B1831" s="14" t="str">
        <x:v>SYS-29</x:v>
      </x:c>
      <x:c r="C1831" s="14" t="n">
        <x:v>35</x:v>
      </x:c>
      <x:c r="D1831" s="14" t="str">
        <x:v>Public action</x:v>
      </x:c>
      <x:c r="E1831" s="14" t="str">
        <x:v>NOT COMMISSIONED</x:v>
      </x:c>
      <x:c r="F1831" s="14" t="str">
        <x:v>OPEN</x:v>
      </x:c>
    </x:row>
    <x:row r="1832">
      <x:c r="A1832" s="15" t="str">
        <x:v>CH-1828</x:v>
      </x:c>
      <x:c r="B1832" s="15" t="str">
        <x:v>SYS-29</x:v>
      </x:c>
      <x:c r="C1832" s="15" t="n">
        <x:v>36</x:v>
      </x:c>
      <x:c r="D1832" s="15" t="str">
        <x:v>Public action</x:v>
      </x:c>
      <x:c r="E1832" s="15" t="str">
        <x:v>NOT COMMISSIONED</x:v>
      </x:c>
      <x:c r="F1832" s="15" t="str">
        <x:v>OPEN</x:v>
      </x:c>
    </x:row>
    <x:row r="1833">
      <x:c r="A1833" s="14" t="str">
        <x:v>CH-1829</x:v>
      </x:c>
      <x:c r="B1833" s="14" t="str">
        <x:v>SYS-29</x:v>
      </x:c>
      <x:c r="C1833" s="14" t="n">
        <x:v>37</x:v>
      </x:c>
      <x:c r="D1833" s="14" t="str">
        <x:v>Public action</x:v>
      </x:c>
      <x:c r="E1833" s="14" t="str">
        <x:v>NOT COMMISSIONED</x:v>
      </x:c>
      <x:c r="F1833" s="14" t="str">
        <x:v>OPEN</x:v>
      </x:c>
    </x:row>
    <x:row r="1834">
      <x:c r="A1834" s="15" t="str">
        <x:v>CH-1830</x:v>
      </x:c>
      <x:c r="B1834" s="15" t="str">
        <x:v>SYS-29</x:v>
      </x:c>
      <x:c r="C1834" s="15" t="n">
        <x:v>38</x:v>
      </x:c>
      <x:c r="D1834" s="15" t="str">
        <x:v>Public action</x:v>
      </x:c>
      <x:c r="E1834" s="15" t="str">
        <x:v>NOT COMMISSIONED</x:v>
      </x:c>
      <x:c r="F1834" s="15" t="str">
        <x:v>OPEN</x:v>
      </x:c>
    </x:row>
    <x:row r="1835">
      <x:c r="A1835" s="14" t="str">
        <x:v>CH-1831</x:v>
      </x:c>
      <x:c r="B1835" s="14" t="str">
        <x:v>SYS-29</x:v>
      </x:c>
      <x:c r="C1835" s="14" t="n">
        <x:v>39</x:v>
      </x:c>
      <x:c r="D1835" s="14" t="str">
        <x:v>Public action</x:v>
      </x:c>
      <x:c r="E1835" s="14" t="str">
        <x:v>NOT COMMISSIONED</x:v>
      </x:c>
      <x:c r="F1835" s="14" t="str">
        <x:v>OPEN</x:v>
      </x:c>
    </x:row>
    <x:row r="1836">
      <x:c r="A1836" s="15" t="str">
        <x:v>CH-1832</x:v>
      </x:c>
      <x:c r="B1836" s="15" t="str">
        <x:v>SYS-29</x:v>
      </x:c>
      <x:c r="C1836" s="15" t="n">
        <x:v>40</x:v>
      </x:c>
      <x:c r="D1836" s="15" t="str">
        <x:v>Public action</x:v>
      </x:c>
      <x:c r="E1836" s="15" t="str">
        <x:v>NOT COMMISSIONED</x:v>
      </x:c>
      <x:c r="F1836" s="15" t="str">
        <x:v>OPEN</x:v>
      </x:c>
    </x:row>
    <x:row r="1837">
      <x:c r="A1837" s="14" t="str">
        <x:v>CH-1833</x:v>
      </x:c>
      <x:c r="B1837" s="14" t="str">
        <x:v>SYS-29</x:v>
      </x:c>
      <x:c r="C1837" s="14" t="n">
        <x:v>41</x:v>
      </x:c>
      <x:c r="D1837" s="14" t="str">
        <x:v>Public action</x:v>
      </x:c>
      <x:c r="E1837" s="14" t="str">
        <x:v>NOT COMMISSIONED</x:v>
      </x:c>
      <x:c r="F1837" s="14" t="str">
        <x:v>OPEN</x:v>
      </x:c>
    </x:row>
    <x:row r="1838">
      <x:c r="A1838" s="15" t="str">
        <x:v>CH-1834</x:v>
      </x:c>
      <x:c r="B1838" s="15" t="str">
        <x:v>SYS-29</x:v>
      </x:c>
      <x:c r="C1838" s="15" t="n">
        <x:v>42</x:v>
      </x:c>
      <x:c r="D1838" s="15" t="str">
        <x:v>Public action</x:v>
      </x:c>
      <x:c r="E1838" s="15" t="str">
        <x:v>NOT COMMISSIONED</x:v>
      </x:c>
      <x:c r="F1838" s="15" t="str">
        <x:v>OPEN</x:v>
      </x:c>
    </x:row>
    <x:row r="1839">
      <x:c r="A1839" s="14" t="str">
        <x:v>CH-1835</x:v>
      </x:c>
      <x:c r="B1839" s="14" t="str">
        <x:v>SYS-29</x:v>
      </x:c>
      <x:c r="C1839" s="14" t="n">
        <x:v>43</x:v>
      </x:c>
      <x:c r="D1839" s="14" t="str">
        <x:v>Public action</x:v>
      </x:c>
      <x:c r="E1839" s="14" t="str">
        <x:v>NOT COMMISSIONED</x:v>
      </x:c>
      <x:c r="F1839" s="14" t="str">
        <x:v>OPEN</x:v>
      </x:c>
    </x:row>
    <x:row r="1840">
      <x:c r="A1840" s="15" t="str">
        <x:v>CH-1836</x:v>
      </x:c>
      <x:c r="B1840" s="15" t="str">
        <x:v>SYS-29</x:v>
      </x:c>
      <x:c r="C1840" s="15" t="n">
        <x:v>44</x:v>
      </x:c>
      <x:c r="D1840" s="15" t="str">
        <x:v>Public action</x:v>
      </x:c>
      <x:c r="E1840" s="15" t="str">
        <x:v>NOT COMMISSIONED</x:v>
      </x:c>
      <x:c r="F1840" s="15" t="str">
        <x:v>OPEN</x:v>
      </x:c>
    </x:row>
    <x:row r="1841">
      <x:c r="A1841" s="14" t="str">
        <x:v>CH-1837</x:v>
      </x:c>
      <x:c r="B1841" s="14" t="str">
        <x:v>SYS-29</x:v>
      </x:c>
      <x:c r="C1841" s="14" t="n">
        <x:v>45</x:v>
      </x:c>
      <x:c r="D1841" s="14" t="str">
        <x:v>Public action</x:v>
      </x:c>
      <x:c r="E1841" s="14" t="str">
        <x:v>NOT COMMISSIONED</x:v>
      </x:c>
      <x:c r="F1841" s="14" t="str">
        <x:v>OPEN</x:v>
      </x:c>
    </x:row>
    <x:row r="1842">
      <x:c r="A1842" s="15" t="str">
        <x:v>CH-1838</x:v>
      </x:c>
      <x:c r="B1842" s="15" t="str">
        <x:v>SYS-29</x:v>
      </x:c>
      <x:c r="C1842" s="15" t="n">
        <x:v>46</x:v>
      </x:c>
      <x:c r="D1842" s="15" t="str">
        <x:v>Public action</x:v>
      </x:c>
      <x:c r="E1842" s="15" t="str">
        <x:v>NOT COMMISSIONED</x:v>
      </x:c>
      <x:c r="F1842" s="15" t="str">
        <x:v>OPEN</x:v>
      </x:c>
    </x:row>
    <x:row r="1843">
      <x:c r="A1843" s="14" t="str">
        <x:v>CH-1839</x:v>
      </x:c>
      <x:c r="B1843" s="14" t="str">
        <x:v>SYS-29</x:v>
      </x:c>
      <x:c r="C1843" s="14" t="n">
        <x:v>47</x:v>
      </x:c>
      <x:c r="D1843" s="14" t="str">
        <x:v>Public action</x:v>
      </x:c>
      <x:c r="E1843" s="14" t="str">
        <x:v>NOT COMMISSIONED</x:v>
      </x:c>
      <x:c r="F1843" s="14" t="str">
        <x:v>OPEN</x:v>
      </x:c>
    </x:row>
    <x:row r="1844">
      <x:c r="A1844" s="15" t="str">
        <x:v>CH-1840</x:v>
      </x:c>
      <x:c r="B1844" s="15" t="str">
        <x:v>SYS-29</x:v>
      </x:c>
      <x:c r="C1844" s="15" t="n">
        <x:v>48</x:v>
      </x:c>
      <x:c r="D1844" s="15" t="str">
        <x:v>Public action</x:v>
      </x:c>
      <x:c r="E1844" s="15" t="str">
        <x:v>NOT COMMISSIONED</x:v>
      </x:c>
      <x:c r="F1844" s="15" t="str">
        <x:v>OPEN</x:v>
      </x:c>
    </x:row>
    <x:row r="1845">
      <x:c r="A1845" s="14" t="str">
        <x:v>CH-1841</x:v>
      </x:c>
      <x:c r="B1845" s="14" t="str">
        <x:v>SYS-29</x:v>
      </x:c>
      <x:c r="C1845" s="14" t="n">
        <x:v>49</x:v>
      </x:c>
      <x:c r="D1845" s="14" t="str">
        <x:v>Public action</x:v>
      </x:c>
      <x:c r="E1845" s="14" t="str">
        <x:v>NOT COMMISSIONED</x:v>
      </x:c>
      <x:c r="F1845" s="14" t="str">
        <x:v>OPEN</x:v>
      </x:c>
    </x:row>
    <x:row r="1846">
      <x:c r="A1846" s="15" t="str">
        <x:v>CH-1842</x:v>
      </x:c>
      <x:c r="B1846" s="15" t="str">
        <x:v>SYS-29</x:v>
      </x:c>
      <x:c r="C1846" s="15" t="n">
        <x:v>50</x:v>
      </x:c>
      <x:c r="D1846" s="15" t="str">
        <x:v>Public action</x:v>
      </x:c>
      <x:c r="E1846" s="15" t="str">
        <x:v>NOT COMMISSIONED</x:v>
      </x:c>
      <x:c r="F1846" s="15" t="str">
        <x:v>OPEN</x:v>
      </x:c>
    </x:row>
    <x:row r="1847">
      <x:c r="A1847" s="14" t="str">
        <x:v>CH-1843</x:v>
      </x:c>
      <x:c r="B1847" s="14" t="str">
        <x:v>SYS-29</x:v>
      </x:c>
      <x:c r="C1847" s="14" t="n">
        <x:v>51</x:v>
      </x:c>
      <x:c r="D1847" s="14" t="str">
        <x:v>Public action</x:v>
      </x:c>
      <x:c r="E1847" s="14" t="str">
        <x:v>NOT COMMISSIONED</x:v>
      </x:c>
      <x:c r="F1847" s="14" t="str">
        <x:v>OPEN</x:v>
      </x:c>
    </x:row>
    <x:row r="1848">
      <x:c r="A1848" s="15" t="str">
        <x:v>CH-1844</x:v>
      </x:c>
      <x:c r="B1848" s="15" t="str">
        <x:v>SYS-29</x:v>
      </x:c>
      <x:c r="C1848" s="15" t="n">
        <x:v>52</x:v>
      </x:c>
      <x:c r="D1848" s="15" t="str">
        <x:v>Public action</x:v>
      </x:c>
      <x:c r="E1848" s="15" t="str">
        <x:v>NOT COMMISSIONED</x:v>
      </x:c>
      <x:c r="F1848" s="15" t="str">
        <x:v>OPEN</x:v>
      </x:c>
    </x:row>
    <x:row r="1849">
      <x:c r="A1849" s="14" t="str">
        <x:v>CH-1845</x:v>
      </x:c>
      <x:c r="B1849" s="14" t="str">
        <x:v>SYS-29</x:v>
      </x:c>
      <x:c r="C1849" s="14" t="n">
        <x:v>53</x:v>
      </x:c>
      <x:c r="D1849" s="14" t="str">
        <x:v>Public action</x:v>
      </x:c>
      <x:c r="E1849" s="14" t="str">
        <x:v>NOT COMMISSIONED</x:v>
      </x:c>
      <x:c r="F1849" s="14" t="str">
        <x:v>OPEN</x:v>
      </x:c>
    </x:row>
    <x:row r="1850">
      <x:c r="A1850" s="15" t="str">
        <x:v>CH-1846</x:v>
      </x:c>
      <x:c r="B1850" s="15" t="str">
        <x:v>SYS-29</x:v>
      </x:c>
      <x:c r="C1850" s="15" t="n">
        <x:v>54</x:v>
      </x:c>
      <x:c r="D1850" s="15" t="str">
        <x:v>Public action</x:v>
      </x:c>
      <x:c r="E1850" s="15" t="str">
        <x:v>NOT COMMISSIONED</x:v>
      </x:c>
      <x:c r="F1850" s="15" t="str">
        <x:v>OPEN</x:v>
      </x:c>
    </x:row>
    <x:row r="1851">
      <x:c r="A1851" s="14" t="str">
        <x:v>CH-1847</x:v>
      </x:c>
      <x:c r="B1851" s="14" t="str">
        <x:v>SYS-29</x:v>
      </x:c>
      <x:c r="C1851" s="14" t="n">
        <x:v>55</x:v>
      </x:c>
      <x:c r="D1851" s="14" t="str">
        <x:v>Public action</x:v>
      </x:c>
      <x:c r="E1851" s="14" t="str">
        <x:v>NOT COMMISSIONED</x:v>
      </x:c>
      <x:c r="F1851" s="14" t="str">
        <x:v>OPEN</x:v>
      </x:c>
    </x:row>
    <x:row r="1852">
      <x:c r="A1852" s="15" t="str">
        <x:v>CH-1848</x:v>
      </x:c>
      <x:c r="B1852" s="15" t="str">
        <x:v>SYS-29</x:v>
      </x:c>
      <x:c r="C1852" s="15" t="n">
        <x:v>56</x:v>
      </x:c>
      <x:c r="D1852" s="15" t="str">
        <x:v>Public action</x:v>
      </x:c>
      <x:c r="E1852" s="15" t="str">
        <x:v>NOT COMMISSIONED</x:v>
      </x:c>
      <x:c r="F1852" s="15" t="str">
        <x:v>OPEN</x:v>
      </x:c>
    </x:row>
    <x:row r="1853">
      <x:c r="A1853" s="14" t="str">
        <x:v>CH-1849</x:v>
      </x:c>
      <x:c r="B1853" s="14" t="str">
        <x:v>SYS-29</x:v>
      </x:c>
      <x:c r="C1853" s="14" t="n">
        <x:v>57</x:v>
      </x:c>
      <x:c r="D1853" s="14" t="str">
        <x:v>Public action</x:v>
      </x:c>
      <x:c r="E1853" s="14" t="str">
        <x:v>NOT COMMISSIONED</x:v>
      </x:c>
      <x:c r="F1853" s="14" t="str">
        <x:v>OPEN</x:v>
      </x:c>
    </x:row>
    <x:row r="1854">
      <x:c r="A1854" s="15" t="str">
        <x:v>CH-1850</x:v>
      </x:c>
      <x:c r="B1854" s="15" t="str">
        <x:v>SYS-29</x:v>
      </x:c>
      <x:c r="C1854" s="15" t="n">
        <x:v>58</x:v>
      </x:c>
      <x:c r="D1854" s="15" t="str">
        <x:v>Public action</x:v>
      </x:c>
      <x:c r="E1854" s="15" t="str">
        <x:v>NOT COMMISSIONED</x:v>
      </x:c>
      <x:c r="F1854" s="15" t="str">
        <x:v>OPEN</x:v>
      </x:c>
    </x:row>
    <x:row r="1855">
      <x:c r="A1855" s="14" t="str">
        <x:v>CH-1851</x:v>
      </x:c>
      <x:c r="B1855" s="14" t="str">
        <x:v>SYS-29</x:v>
      </x:c>
      <x:c r="C1855" s="14" t="n">
        <x:v>59</x:v>
      </x:c>
      <x:c r="D1855" s="14" t="str">
        <x:v>Public action</x:v>
      </x:c>
      <x:c r="E1855" s="14" t="str">
        <x:v>NOT COMMISSIONED</x:v>
      </x:c>
      <x:c r="F1855" s="14" t="str">
        <x:v>OPEN</x:v>
      </x:c>
    </x:row>
    <x:row r="1856">
      <x:c r="A1856" s="15" t="str">
        <x:v>CH-1852</x:v>
      </x:c>
      <x:c r="B1856" s="15" t="str">
        <x:v>SYS-29</x:v>
      </x:c>
      <x:c r="C1856" s="15" t="n">
        <x:v>60</x:v>
      </x:c>
      <x:c r="D1856" s="15" t="str">
        <x:v>Public action</x:v>
      </x:c>
      <x:c r="E1856" s="15" t="str">
        <x:v>NOT COMMISSIONED</x:v>
      </x:c>
      <x:c r="F1856" s="15" t="str">
        <x:v>OPEN</x:v>
      </x:c>
    </x:row>
    <x:row r="1857">
      <x:c r="A1857" s="14" t="str">
        <x:v>CH-1853</x:v>
      </x:c>
      <x:c r="B1857" s="14" t="str">
        <x:v>SYS-29</x:v>
      </x:c>
      <x:c r="C1857" s="14" t="n">
        <x:v>61</x:v>
      </x:c>
      <x:c r="D1857" s="14" t="str">
        <x:v>Public action</x:v>
      </x:c>
      <x:c r="E1857" s="14" t="str">
        <x:v>NOT COMMISSIONED</x:v>
      </x:c>
      <x:c r="F1857" s="14" t="str">
        <x:v>OPEN</x:v>
      </x:c>
    </x:row>
    <x:row r="1858">
      <x:c r="A1858" s="15" t="str">
        <x:v>CH-1854</x:v>
      </x:c>
      <x:c r="B1858" s="15" t="str">
        <x:v>SYS-29</x:v>
      </x:c>
      <x:c r="C1858" s="15" t="n">
        <x:v>62</x:v>
      </x:c>
      <x:c r="D1858" s="15" t="str">
        <x:v>Public action</x:v>
      </x:c>
      <x:c r="E1858" s="15" t="str">
        <x:v>NOT COMMISSIONED</x:v>
      </x:c>
      <x:c r="F1858" s="15" t="str">
        <x:v>OPEN</x:v>
      </x:c>
    </x:row>
    <x:row r="1859">
      <x:c r="A1859" s="14" t="str">
        <x:v>CH-1855</x:v>
      </x:c>
      <x:c r="B1859" s="14" t="str">
        <x:v>SYS-29</x:v>
      </x:c>
      <x:c r="C1859" s="14" t="n">
        <x:v>63</x:v>
      </x:c>
      <x:c r="D1859" s="14" t="str">
        <x:v>Public action</x:v>
      </x:c>
      <x:c r="E1859" s="14" t="str">
        <x:v>NOT COMMISSIONED</x:v>
      </x:c>
      <x:c r="F1859" s="14" t="str">
        <x:v>OPEN</x:v>
      </x:c>
    </x:row>
    <x:row r="1860">
      <x:c r="A1860" s="15" t="str">
        <x:v>CH-1856</x:v>
      </x:c>
      <x:c r="B1860" s="15" t="str">
        <x:v>SYS-29</x:v>
      </x:c>
      <x:c r="C1860" s="15" t="n">
        <x:v>64</x:v>
      </x:c>
      <x:c r="D1860" s="15" t="str">
        <x:v>Public action</x:v>
      </x:c>
      <x:c r="E1860" s="15" t="str">
        <x:v>NOT COMMISSIONED</x:v>
      </x:c>
      <x:c r="F1860" s="15" t="str">
        <x:v>OPEN</x:v>
      </x:c>
    </x:row>
    <x:row r="1861">
      <x:c r="A1861" s="14" t="str">
        <x:v>CH-1857</x:v>
      </x:c>
      <x:c r="B1861" s="14" t="str">
        <x:v>SYS-30</x:v>
      </x:c>
      <x:c r="C1861" s="14" t="n">
        <x:v>1</x:v>
      </x:c>
      <x:c r="D1861" s="14" t="str">
        <x:v>Evidence</x:v>
      </x:c>
      <x:c r="E1861" s="14" t="str">
        <x:v>NOT COMMISSIONED</x:v>
      </x:c>
      <x:c r="F1861" s="14" t="str">
        <x:v>OPEN</x:v>
      </x:c>
    </x:row>
    <x:row r="1862">
      <x:c r="A1862" s="15" t="str">
        <x:v>CH-1858</x:v>
      </x:c>
      <x:c r="B1862" s="15" t="str">
        <x:v>SYS-30</x:v>
      </x:c>
      <x:c r="C1862" s="15" t="n">
        <x:v>2</x:v>
      </x:c>
      <x:c r="D1862" s="15" t="str">
        <x:v>Evidence</x:v>
      </x:c>
      <x:c r="E1862" s="15" t="str">
        <x:v>NOT COMMISSIONED</x:v>
      </x:c>
      <x:c r="F1862" s="15" t="str">
        <x:v>OPEN</x:v>
      </x:c>
    </x:row>
    <x:row r="1863">
      <x:c r="A1863" s="14" t="str">
        <x:v>CH-1859</x:v>
      </x:c>
      <x:c r="B1863" s="14" t="str">
        <x:v>SYS-30</x:v>
      </x:c>
      <x:c r="C1863" s="14" t="n">
        <x:v>3</x:v>
      </x:c>
      <x:c r="D1863" s="14" t="str">
        <x:v>Evidence</x:v>
      </x:c>
      <x:c r="E1863" s="14" t="str">
        <x:v>NOT COMMISSIONED</x:v>
      </x:c>
      <x:c r="F1863" s="14" t="str">
        <x:v>OPEN</x:v>
      </x:c>
    </x:row>
    <x:row r="1864">
      <x:c r="A1864" s="15" t="str">
        <x:v>CH-1860</x:v>
      </x:c>
      <x:c r="B1864" s="15" t="str">
        <x:v>SYS-30</x:v>
      </x:c>
      <x:c r="C1864" s="15" t="n">
        <x:v>4</x:v>
      </x:c>
      <x:c r="D1864" s="15" t="str">
        <x:v>Evidence</x:v>
      </x:c>
      <x:c r="E1864" s="15" t="str">
        <x:v>NOT COMMISSIONED</x:v>
      </x:c>
      <x:c r="F1864" s="15" t="str">
        <x:v>OPEN</x:v>
      </x:c>
    </x:row>
    <x:row r="1865">
      <x:c r="A1865" s="14" t="str">
        <x:v>CH-1861</x:v>
      </x:c>
      <x:c r="B1865" s="14" t="str">
        <x:v>SYS-30</x:v>
      </x:c>
      <x:c r="C1865" s="14" t="n">
        <x:v>5</x:v>
      </x:c>
      <x:c r="D1865" s="14" t="str">
        <x:v>Evidence</x:v>
      </x:c>
      <x:c r="E1865" s="14" t="str">
        <x:v>NOT COMMISSIONED</x:v>
      </x:c>
      <x:c r="F1865" s="14" t="str">
        <x:v>OPEN</x:v>
      </x:c>
    </x:row>
    <x:row r="1866">
      <x:c r="A1866" s="15" t="str">
        <x:v>CH-1862</x:v>
      </x:c>
      <x:c r="B1866" s="15" t="str">
        <x:v>SYS-30</x:v>
      </x:c>
      <x:c r="C1866" s="15" t="n">
        <x:v>6</x:v>
      </x:c>
      <x:c r="D1866" s="15" t="str">
        <x:v>Evidence</x:v>
      </x:c>
      <x:c r="E1866" s="15" t="str">
        <x:v>NOT COMMISSIONED</x:v>
      </x:c>
      <x:c r="F1866" s="15" t="str">
        <x:v>OPEN</x:v>
      </x:c>
    </x:row>
    <x:row r="1867">
      <x:c r="A1867" s="14" t="str">
        <x:v>CH-1863</x:v>
      </x:c>
      <x:c r="B1867" s="14" t="str">
        <x:v>SYS-30</x:v>
      </x:c>
      <x:c r="C1867" s="14" t="n">
        <x:v>7</x:v>
      </x:c>
      <x:c r="D1867" s="14" t="str">
        <x:v>Evidence</x:v>
      </x:c>
      <x:c r="E1867" s="14" t="str">
        <x:v>NOT COMMISSIONED</x:v>
      </x:c>
      <x:c r="F1867" s="14" t="str">
        <x:v>OPEN</x:v>
      </x:c>
    </x:row>
    <x:row r="1868">
      <x:c r="A1868" s="15" t="str">
        <x:v>CH-1864</x:v>
      </x:c>
      <x:c r="B1868" s="15" t="str">
        <x:v>SYS-30</x:v>
      </x:c>
      <x:c r="C1868" s="15" t="n">
        <x:v>8</x:v>
      </x:c>
      <x:c r="D1868" s="15" t="str">
        <x:v>Evidence</x:v>
      </x:c>
      <x:c r="E1868" s="15" t="str">
        <x:v>NOT COMMISSIONED</x:v>
      </x:c>
      <x:c r="F1868" s="15" t="str">
        <x:v>OPEN</x:v>
      </x:c>
    </x:row>
    <x:row r="1869">
      <x:c r="A1869" s="14" t="str">
        <x:v>CH-1865</x:v>
      </x:c>
      <x:c r="B1869" s="14" t="str">
        <x:v>SYS-30</x:v>
      </x:c>
      <x:c r="C1869" s="14" t="n">
        <x:v>9</x:v>
      </x:c>
      <x:c r="D1869" s="14" t="str">
        <x:v>Evidence</x:v>
      </x:c>
      <x:c r="E1869" s="14" t="str">
        <x:v>NOT COMMISSIONED</x:v>
      </x:c>
      <x:c r="F1869" s="14" t="str">
        <x:v>OPEN</x:v>
      </x:c>
    </x:row>
    <x:row r="1870">
      <x:c r="A1870" s="15" t="str">
        <x:v>CH-1866</x:v>
      </x:c>
      <x:c r="B1870" s="15" t="str">
        <x:v>SYS-30</x:v>
      </x:c>
      <x:c r="C1870" s="15" t="n">
        <x:v>10</x:v>
      </x:c>
      <x:c r="D1870" s="15" t="str">
        <x:v>Evidence</x:v>
      </x:c>
      <x:c r="E1870" s="15" t="str">
        <x:v>NOT COMMISSIONED</x:v>
      </x:c>
      <x:c r="F1870" s="15" t="str">
        <x:v>OPEN</x:v>
      </x:c>
    </x:row>
    <x:row r="1871">
      <x:c r="A1871" s="14" t="str">
        <x:v>CH-1867</x:v>
      </x:c>
      <x:c r="B1871" s="14" t="str">
        <x:v>SYS-30</x:v>
      </x:c>
      <x:c r="C1871" s="14" t="n">
        <x:v>11</x:v>
      </x:c>
      <x:c r="D1871" s="14" t="str">
        <x:v>Evidence</x:v>
      </x:c>
      <x:c r="E1871" s="14" t="str">
        <x:v>NOT COMMISSIONED</x:v>
      </x:c>
      <x:c r="F1871" s="14" t="str">
        <x:v>OPEN</x:v>
      </x:c>
    </x:row>
    <x:row r="1872">
      <x:c r="A1872" s="15" t="str">
        <x:v>CH-1868</x:v>
      </x:c>
      <x:c r="B1872" s="15" t="str">
        <x:v>SYS-30</x:v>
      </x:c>
      <x:c r="C1872" s="15" t="n">
        <x:v>12</x:v>
      </x:c>
      <x:c r="D1872" s="15" t="str">
        <x:v>Evidence</x:v>
      </x:c>
      <x:c r="E1872" s="15" t="str">
        <x:v>NOT COMMISSIONED</x:v>
      </x:c>
      <x:c r="F1872" s="15" t="str">
        <x:v>OPEN</x:v>
      </x:c>
    </x:row>
    <x:row r="1873">
      <x:c r="A1873" s="14" t="str">
        <x:v>CH-1869</x:v>
      </x:c>
      <x:c r="B1873" s="14" t="str">
        <x:v>SYS-30</x:v>
      </x:c>
      <x:c r="C1873" s="14" t="n">
        <x:v>13</x:v>
      </x:c>
      <x:c r="D1873" s="14" t="str">
        <x:v>Evidence</x:v>
      </x:c>
      <x:c r="E1873" s="14" t="str">
        <x:v>NOT COMMISSIONED</x:v>
      </x:c>
      <x:c r="F1873" s="14" t="str">
        <x:v>OPEN</x:v>
      </x:c>
    </x:row>
    <x:row r="1874">
      <x:c r="A1874" s="15" t="str">
        <x:v>CH-1870</x:v>
      </x:c>
      <x:c r="B1874" s="15" t="str">
        <x:v>SYS-30</x:v>
      </x:c>
      <x:c r="C1874" s="15" t="n">
        <x:v>14</x:v>
      </x:c>
      <x:c r="D1874" s="15" t="str">
        <x:v>Evidence</x:v>
      </x:c>
      <x:c r="E1874" s="15" t="str">
        <x:v>NOT COMMISSIONED</x:v>
      </x:c>
      <x:c r="F1874" s="15" t="str">
        <x:v>OPEN</x:v>
      </x:c>
    </x:row>
    <x:row r="1875">
      <x:c r="A1875" s="14" t="str">
        <x:v>CH-1871</x:v>
      </x:c>
      <x:c r="B1875" s="14" t="str">
        <x:v>SYS-30</x:v>
      </x:c>
      <x:c r="C1875" s="14" t="n">
        <x:v>15</x:v>
      </x:c>
      <x:c r="D1875" s="14" t="str">
        <x:v>Evidence</x:v>
      </x:c>
      <x:c r="E1875" s="14" t="str">
        <x:v>NOT COMMISSIONED</x:v>
      </x:c>
      <x:c r="F1875" s="14" t="str">
        <x:v>OPEN</x:v>
      </x:c>
    </x:row>
    <x:row r="1876">
      <x:c r="A1876" s="15" t="str">
        <x:v>CH-1872</x:v>
      </x:c>
      <x:c r="B1876" s="15" t="str">
        <x:v>SYS-30</x:v>
      </x:c>
      <x:c r="C1876" s="15" t="n">
        <x:v>16</x:v>
      </x:c>
      <x:c r="D1876" s="15" t="str">
        <x:v>Evidence</x:v>
      </x:c>
      <x:c r="E1876" s="15" t="str">
        <x:v>NOT COMMISSIONED</x:v>
      </x:c>
      <x:c r="F1876" s="15" t="str">
        <x:v>OPEN</x:v>
      </x:c>
    </x:row>
    <x:row r="1877">
      <x:c r="A1877" s="14" t="str">
        <x:v>CH-1873</x:v>
      </x:c>
      <x:c r="B1877" s="14" t="str">
        <x:v>SYS-30</x:v>
      </x:c>
      <x:c r="C1877" s="14" t="n">
        <x:v>17</x:v>
      </x:c>
      <x:c r="D1877" s="14" t="str">
        <x:v>Evidence</x:v>
      </x:c>
      <x:c r="E1877" s="14" t="str">
        <x:v>NOT COMMISSIONED</x:v>
      </x:c>
      <x:c r="F1877" s="14" t="str">
        <x:v>OPEN</x:v>
      </x:c>
    </x:row>
    <x:row r="1878">
      <x:c r="A1878" s="15" t="str">
        <x:v>CH-1874</x:v>
      </x:c>
      <x:c r="B1878" s="15" t="str">
        <x:v>SYS-30</x:v>
      </x:c>
      <x:c r="C1878" s="15" t="n">
        <x:v>18</x:v>
      </x:c>
      <x:c r="D1878" s="15" t="str">
        <x:v>Evidence</x:v>
      </x:c>
      <x:c r="E1878" s="15" t="str">
        <x:v>NOT COMMISSIONED</x:v>
      </x:c>
      <x:c r="F1878" s="15" t="str">
        <x:v>OPEN</x:v>
      </x:c>
    </x:row>
    <x:row r="1879">
      <x:c r="A1879" s="14" t="str">
        <x:v>CH-1875</x:v>
      </x:c>
      <x:c r="B1879" s="14" t="str">
        <x:v>SYS-30</x:v>
      </x:c>
      <x:c r="C1879" s="14" t="n">
        <x:v>19</x:v>
      </x:c>
      <x:c r="D1879" s="14" t="str">
        <x:v>Evidence</x:v>
      </x:c>
      <x:c r="E1879" s="14" t="str">
        <x:v>NOT COMMISSIONED</x:v>
      </x:c>
      <x:c r="F1879" s="14" t="str">
        <x:v>OPEN</x:v>
      </x:c>
    </x:row>
    <x:row r="1880">
      <x:c r="A1880" s="15" t="str">
        <x:v>CH-1876</x:v>
      </x:c>
      <x:c r="B1880" s="15" t="str">
        <x:v>SYS-30</x:v>
      </x:c>
      <x:c r="C1880" s="15" t="n">
        <x:v>20</x:v>
      </x:c>
      <x:c r="D1880" s="15" t="str">
        <x:v>Evidence</x:v>
      </x:c>
      <x:c r="E1880" s="15" t="str">
        <x:v>NOT COMMISSIONED</x:v>
      </x:c>
      <x:c r="F1880" s="15" t="str">
        <x:v>OPEN</x:v>
      </x:c>
    </x:row>
    <x:row r="1881">
      <x:c r="A1881" s="14" t="str">
        <x:v>CH-1877</x:v>
      </x:c>
      <x:c r="B1881" s="14" t="str">
        <x:v>SYS-30</x:v>
      </x:c>
      <x:c r="C1881" s="14" t="n">
        <x:v>21</x:v>
      </x:c>
      <x:c r="D1881" s="14" t="str">
        <x:v>Evidence</x:v>
      </x:c>
      <x:c r="E1881" s="14" t="str">
        <x:v>NOT COMMISSIONED</x:v>
      </x:c>
      <x:c r="F1881" s="14" t="str">
        <x:v>OPEN</x:v>
      </x:c>
    </x:row>
    <x:row r="1882">
      <x:c r="A1882" s="15" t="str">
        <x:v>CH-1878</x:v>
      </x:c>
      <x:c r="B1882" s="15" t="str">
        <x:v>SYS-30</x:v>
      </x:c>
      <x:c r="C1882" s="15" t="n">
        <x:v>22</x:v>
      </x:c>
      <x:c r="D1882" s="15" t="str">
        <x:v>Evidence</x:v>
      </x:c>
      <x:c r="E1882" s="15" t="str">
        <x:v>NOT COMMISSIONED</x:v>
      </x:c>
      <x:c r="F1882" s="15" t="str">
        <x:v>OPEN</x:v>
      </x:c>
    </x:row>
    <x:row r="1883">
      <x:c r="A1883" s="14" t="str">
        <x:v>CH-1879</x:v>
      </x:c>
      <x:c r="B1883" s="14" t="str">
        <x:v>SYS-30</x:v>
      </x:c>
      <x:c r="C1883" s="14" t="n">
        <x:v>23</x:v>
      </x:c>
      <x:c r="D1883" s="14" t="str">
        <x:v>Evidence</x:v>
      </x:c>
      <x:c r="E1883" s="14" t="str">
        <x:v>NOT COMMISSIONED</x:v>
      </x:c>
      <x:c r="F1883" s="14" t="str">
        <x:v>OPEN</x:v>
      </x:c>
    </x:row>
    <x:row r="1884">
      <x:c r="A1884" s="15" t="str">
        <x:v>CH-1880</x:v>
      </x:c>
      <x:c r="B1884" s="15" t="str">
        <x:v>SYS-30</x:v>
      </x:c>
      <x:c r="C1884" s="15" t="n">
        <x:v>24</x:v>
      </x:c>
      <x:c r="D1884" s="15" t="str">
        <x:v>Evidence</x:v>
      </x:c>
      <x:c r="E1884" s="15" t="str">
        <x:v>NOT COMMISSIONED</x:v>
      </x:c>
      <x:c r="F1884" s="15" t="str">
        <x:v>OPEN</x:v>
      </x:c>
    </x:row>
    <x:row r="1885">
      <x:c r="A1885" s="14" t="str">
        <x:v>CH-1881</x:v>
      </x:c>
      <x:c r="B1885" s="14" t="str">
        <x:v>SYS-30</x:v>
      </x:c>
      <x:c r="C1885" s="14" t="n">
        <x:v>25</x:v>
      </x:c>
      <x:c r="D1885" s="14" t="str">
        <x:v>Evidence</x:v>
      </x:c>
      <x:c r="E1885" s="14" t="str">
        <x:v>NOT COMMISSIONED</x:v>
      </x:c>
      <x:c r="F1885" s="14" t="str">
        <x:v>OPEN</x:v>
      </x:c>
    </x:row>
    <x:row r="1886">
      <x:c r="A1886" s="15" t="str">
        <x:v>CH-1882</x:v>
      </x:c>
      <x:c r="B1886" s="15" t="str">
        <x:v>SYS-30</x:v>
      </x:c>
      <x:c r="C1886" s="15" t="n">
        <x:v>26</x:v>
      </x:c>
      <x:c r="D1886" s="15" t="str">
        <x:v>Evidence</x:v>
      </x:c>
      <x:c r="E1886" s="15" t="str">
        <x:v>NOT COMMISSIONED</x:v>
      </x:c>
      <x:c r="F1886" s="15" t="str">
        <x:v>OPEN</x:v>
      </x:c>
    </x:row>
    <x:row r="1887">
      <x:c r="A1887" s="14" t="str">
        <x:v>CH-1883</x:v>
      </x:c>
      <x:c r="B1887" s="14" t="str">
        <x:v>SYS-30</x:v>
      </x:c>
      <x:c r="C1887" s="14" t="n">
        <x:v>27</x:v>
      </x:c>
      <x:c r="D1887" s="14" t="str">
        <x:v>Evidence</x:v>
      </x:c>
      <x:c r="E1887" s="14" t="str">
        <x:v>NOT COMMISSIONED</x:v>
      </x:c>
      <x:c r="F1887" s="14" t="str">
        <x:v>OPEN</x:v>
      </x:c>
    </x:row>
    <x:row r="1888">
      <x:c r="A1888" s="15" t="str">
        <x:v>CH-1884</x:v>
      </x:c>
      <x:c r="B1888" s="15" t="str">
        <x:v>SYS-30</x:v>
      </x:c>
      <x:c r="C1888" s="15" t="n">
        <x:v>28</x:v>
      </x:c>
      <x:c r="D1888" s="15" t="str">
        <x:v>Evidence</x:v>
      </x:c>
      <x:c r="E1888" s="15" t="str">
        <x:v>NOT COMMISSIONED</x:v>
      </x:c>
      <x:c r="F1888" s="15" t="str">
        <x:v>OPEN</x:v>
      </x:c>
    </x:row>
    <x:row r="1889">
      <x:c r="A1889" s="14" t="str">
        <x:v>CH-1885</x:v>
      </x:c>
      <x:c r="B1889" s="14" t="str">
        <x:v>SYS-30</x:v>
      </x:c>
      <x:c r="C1889" s="14" t="n">
        <x:v>29</x:v>
      </x:c>
      <x:c r="D1889" s="14" t="str">
        <x:v>Evidence</x:v>
      </x:c>
      <x:c r="E1889" s="14" t="str">
        <x:v>NOT COMMISSIONED</x:v>
      </x:c>
      <x:c r="F1889" s="14" t="str">
        <x:v>OPEN</x:v>
      </x:c>
    </x:row>
    <x:row r="1890">
      <x:c r="A1890" s="15" t="str">
        <x:v>CH-1886</x:v>
      </x:c>
      <x:c r="B1890" s="15" t="str">
        <x:v>SYS-30</x:v>
      </x:c>
      <x:c r="C1890" s="15" t="n">
        <x:v>30</x:v>
      </x:c>
      <x:c r="D1890" s="15" t="str">
        <x:v>Evidence</x:v>
      </x:c>
      <x:c r="E1890" s="15" t="str">
        <x:v>NOT COMMISSIONED</x:v>
      </x:c>
      <x:c r="F1890" s="15" t="str">
        <x:v>OPEN</x:v>
      </x:c>
    </x:row>
    <x:row r="1891">
      <x:c r="A1891" s="14" t="str">
        <x:v>CH-1887</x:v>
      </x:c>
      <x:c r="B1891" s="14" t="str">
        <x:v>SYS-30</x:v>
      </x:c>
      <x:c r="C1891" s="14" t="n">
        <x:v>31</x:v>
      </x:c>
      <x:c r="D1891" s="14" t="str">
        <x:v>Evidence</x:v>
      </x:c>
      <x:c r="E1891" s="14" t="str">
        <x:v>NOT COMMISSIONED</x:v>
      </x:c>
      <x:c r="F1891" s="14" t="str">
        <x:v>OPEN</x:v>
      </x:c>
    </x:row>
    <x:row r="1892">
      <x:c r="A1892" s="15" t="str">
        <x:v>CH-1888</x:v>
      </x:c>
      <x:c r="B1892" s="15" t="str">
        <x:v>SYS-30</x:v>
      </x:c>
      <x:c r="C1892" s="15" t="n">
        <x:v>32</x:v>
      </x:c>
      <x:c r="D1892" s="15" t="str">
        <x:v>Evidence</x:v>
      </x:c>
      <x:c r="E1892" s="15" t="str">
        <x:v>NOT COMMISSIONED</x:v>
      </x:c>
      <x:c r="F1892" s="15" t="str">
        <x:v>OPEN</x:v>
      </x:c>
    </x:row>
    <x:row r="1893">
      <x:c r="A1893" s="14" t="str">
        <x:v>CH-1889</x:v>
      </x:c>
      <x:c r="B1893" s="14" t="str">
        <x:v>SYS-30</x:v>
      </x:c>
      <x:c r="C1893" s="14" t="n">
        <x:v>33</x:v>
      </x:c>
      <x:c r="D1893" s="14" t="str">
        <x:v>Evidence</x:v>
      </x:c>
      <x:c r="E1893" s="14" t="str">
        <x:v>NOT COMMISSIONED</x:v>
      </x:c>
      <x:c r="F1893" s="14" t="str">
        <x:v>OPEN</x:v>
      </x:c>
    </x:row>
    <x:row r="1894">
      <x:c r="A1894" s="15" t="str">
        <x:v>CH-1890</x:v>
      </x:c>
      <x:c r="B1894" s="15" t="str">
        <x:v>SYS-30</x:v>
      </x:c>
      <x:c r="C1894" s="15" t="n">
        <x:v>34</x:v>
      </x:c>
      <x:c r="D1894" s="15" t="str">
        <x:v>Evidence</x:v>
      </x:c>
      <x:c r="E1894" s="15" t="str">
        <x:v>NOT COMMISSIONED</x:v>
      </x:c>
      <x:c r="F1894" s="15" t="str">
        <x:v>OPEN</x:v>
      </x:c>
    </x:row>
    <x:row r="1895">
      <x:c r="A1895" s="14" t="str">
        <x:v>CH-1891</x:v>
      </x:c>
      <x:c r="B1895" s="14" t="str">
        <x:v>SYS-30</x:v>
      </x:c>
      <x:c r="C1895" s="14" t="n">
        <x:v>35</x:v>
      </x:c>
      <x:c r="D1895" s="14" t="str">
        <x:v>Evidence</x:v>
      </x:c>
      <x:c r="E1895" s="14" t="str">
        <x:v>NOT COMMISSIONED</x:v>
      </x:c>
      <x:c r="F1895" s="14" t="str">
        <x:v>OPEN</x:v>
      </x:c>
    </x:row>
    <x:row r="1896">
      <x:c r="A1896" s="15" t="str">
        <x:v>CH-1892</x:v>
      </x:c>
      <x:c r="B1896" s="15" t="str">
        <x:v>SYS-30</x:v>
      </x:c>
      <x:c r="C1896" s="15" t="n">
        <x:v>36</x:v>
      </x:c>
      <x:c r="D1896" s="15" t="str">
        <x:v>Evidence</x:v>
      </x:c>
      <x:c r="E1896" s="15" t="str">
        <x:v>NOT COMMISSIONED</x:v>
      </x:c>
      <x:c r="F1896" s="15" t="str">
        <x:v>OPEN</x:v>
      </x:c>
    </x:row>
    <x:row r="1897">
      <x:c r="A1897" s="14" t="str">
        <x:v>CH-1893</x:v>
      </x:c>
      <x:c r="B1897" s="14" t="str">
        <x:v>SYS-30</x:v>
      </x:c>
      <x:c r="C1897" s="14" t="n">
        <x:v>37</x:v>
      </x:c>
      <x:c r="D1897" s="14" t="str">
        <x:v>Evidence</x:v>
      </x:c>
      <x:c r="E1897" s="14" t="str">
        <x:v>NOT COMMISSIONED</x:v>
      </x:c>
      <x:c r="F1897" s="14" t="str">
        <x:v>OPEN</x:v>
      </x:c>
    </x:row>
    <x:row r="1898">
      <x:c r="A1898" s="15" t="str">
        <x:v>CH-1894</x:v>
      </x:c>
      <x:c r="B1898" s="15" t="str">
        <x:v>SYS-30</x:v>
      </x:c>
      <x:c r="C1898" s="15" t="n">
        <x:v>38</x:v>
      </x:c>
      <x:c r="D1898" s="15" t="str">
        <x:v>Evidence</x:v>
      </x:c>
      <x:c r="E1898" s="15" t="str">
        <x:v>NOT COMMISSIONED</x:v>
      </x:c>
      <x:c r="F1898" s="15" t="str">
        <x:v>OPEN</x:v>
      </x:c>
    </x:row>
    <x:row r="1899">
      <x:c r="A1899" s="14" t="str">
        <x:v>CH-1895</x:v>
      </x:c>
      <x:c r="B1899" s="14" t="str">
        <x:v>SYS-30</x:v>
      </x:c>
      <x:c r="C1899" s="14" t="n">
        <x:v>39</x:v>
      </x:c>
      <x:c r="D1899" s="14" t="str">
        <x:v>Evidence</x:v>
      </x:c>
      <x:c r="E1899" s="14" t="str">
        <x:v>NOT COMMISSIONED</x:v>
      </x:c>
      <x:c r="F1899" s="14" t="str">
        <x:v>OPEN</x:v>
      </x:c>
    </x:row>
    <x:row r="1900">
      <x:c r="A1900" s="15" t="str">
        <x:v>CH-1896</x:v>
      </x:c>
      <x:c r="B1900" s="15" t="str">
        <x:v>SYS-30</x:v>
      </x:c>
      <x:c r="C1900" s="15" t="n">
        <x:v>40</x:v>
      </x:c>
      <x:c r="D1900" s="15" t="str">
        <x:v>Evidence</x:v>
      </x:c>
      <x:c r="E1900" s="15" t="str">
        <x:v>NOT COMMISSIONED</x:v>
      </x:c>
      <x:c r="F1900" s="15" t="str">
        <x:v>OPEN</x:v>
      </x:c>
    </x:row>
    <x:row r="1901">
      <x:c r="A1901" s="14" t="str">
        <x:v>CH-1897</x:v>
      </x:c>
      <x:c r="B1901" s="14" t="str">
        <x:v>SYS-30</x:v>
      </x:c>
      <x:c r="C1901" s="14" t="n">
        <x:v>41</x:v>
      </x:c>
      <x:c r="D1901" s="14" t="str">
        <x:v>Evidence</x:v>
      </x:c>
      <x:c r="E1901" s="14" t="str">
        <x:v>NOT COMMISSIONED</x:v>
      </x:c>
      <x:c r="F1901" s="14" t="str">
        <x:v>OPEN</x:v>
      </x:c>
    </x:row>
    <x:row r="1902">
      <x:c r="A1902" s="15" t="str">
        <x:v>CH-1898</x:v>
      </x:c>
      <x:c r="B1902" s="15" t="str">
        <x:v>SYS-30</x:v>
      </x:c>
      <x:c r="C1902" s="15" t="n">
        <x:v>42</x:v>
      </x:c>
      <x:c r="D1902" s="15" t="str">
        <x:v>Evidence</x:v>
      </x:c>
      <x:c r="E1902" s="15" t="str">
        <x:v>NOT COMMISSIONED</x:v>
      </x:c>
      <x:c r="F1902" s="15" t="str">
        <x:v>OPEN</x:v>
      </x:c>
    </x:row>
    <x:row r="1903">
      <x:c r="A1903" s="14" t="str">
        <x:v>CH-1899</x:v>
      </x:c>
      <x:c r="B1903" s="14" t="str">
        <x:v>SYS-30</x:v>
      </x:c>
      <x:c r="C1903" s="14" t="n">
        <x:v>43</x:v>
      </x:c>
      <x:c r="D1903" s="14" t="str">
        <x:v>Evidence</x:v>
      </x:c>
      <x:c r="E1903" s="14" t="str">
        <x:v>NOT COMMISSIONED</x:v>
      </x:c>
      <x:c r="F1903" s="14" t="str">
        <x:v>OPEN</x:v>
      </x:c>
    </x:row>
    <x:row r="1904">
      <x:c r="A1904" s="15" t="str">
        <x:v>CH-1900</x:v>
      </x:c>
      <x:c r="B1904" s="15" t="str">
        <x:v>SYS-30</x:v>
      </x:c>
      <x:c r="C1904" s="15" t="n">
        <x:v>44</x:v>
      </x:c>
      <x:c r="D1904" s="15" t="str">
        <x:v>Evidence</x:v>
      </x:c>
      <x:c r="E1904" s="15" t="str">
        <x:v>NOT COMMISSIONED</x:v>
      </x:c>
      <x:c r="F1904" s="15" t="str">
        <x:v>OPEN</x:v>
      </x:c>
    </x:row>
    <x:row r="1905">
      <x:c r="A1905" s="14" t="str">
        <x:v>CH-1901</x:v>
      </x:c>
      <x:c r="B1905" s="14" t="str">
        <x:v>SYS-30</x:v>
      </x:c>
      <x:c r="C1905" s="14" t="n">
        <x:v>45</x:v>
      </x:c>
      <x:c r="D1905" s="14" t="str">
        <x:v>Evidence</x:v>
      </x:c>
      <x:c r="E1905" s="14" t="str">
        <x:v>NOT COMMISSIONED</x:v>
      </x:c>
      <x:c r="F1905" s="14" t="str">
        <x:v>OPEN</x:v>
      </x:c>
    </x:row>
    <x:row r="1906">
      <x:c r="A1906" s="15" t="str">
        <x:v>CH-1902</x:v>
      </x:c>
      <x:c r="B1906" s="15" t="str">
        <x:v>SYS-30</x:v>
      </x:c>
      <x:c r="C1906" s="15" t="n">
        <x:v>46</x:v>
      </x:c>
      <x:c r="D1906" s="15" t="str">
        <x:v>Evidence</x:v>
      </x:c>
      <x:c r="E1906" s="15" t="str">
        <x:v>NOT COMMISSIONED</x:v>
      </x:c>
      <x:c r="F1906" s="15" t="str">
        <x:v>OPEN</x:v>
      </x:c>
    </x:row>
    <x:row r="1907">
      <x:c r="A1907" s="14" t="str">
        <x:v>CH-1903</x:v>
      </x:c>
      <x:c r="B1907" s="14" t="str">
        <x:v>SYS-30</x:v>
      </x:c>
      <x:c r="C1907" s="14" t="n">
        <x:v>47</x:v>
      </x:c>
      <x:c r="D1907" s="14" t="str">
        <x:v>Evidence</x:v>
      </x:c>
      <x:c r="E1907" s="14" t="str">
        <x:v>NOT COMMISSIONED</x:v>
      </x:c>
      <x:c r="F1907" s="14" t="str">
        <x:v>OPEN</x:v>
      </x:c>
    </x:row>
    <x:row r="1908">
      <x:c r="A1908" s="15" t="str">
        <x:v>CH-1904</x:v>
      </x:c>
      <x:c r="B1908" s="15" t="str">
        <x:v>SYS-30</x:v>
      </x:c>
      <x:c r="C1908" s="15" t="n">
        <x:v>48</x:v>
      </x:c>
      <x:c r="D1908" s="15" t="str">
        <x:v>Evidence</x:v>
      </x:c>
      <x:c r="E1908" s="15" t="str">
        <x:v>NOT COMMISSIONED</x:v>
      </x:c>
      <x:c r="F1908" s="15" t="str">
        <x:v>OPEN</x:v>
      </x:c>
    </x:row>
    <x:row r="1909">
      <x:c r="A1909" s="14" t="str">
        <x:v>CH-1905</x:v>
      </x:c>
      <x:c r="B1909" s="14" t="str">
        <x:v>SYS-30</x:v>
      </x:c>
      <x:c r="C1909" s="14" t="n">
        <x:v>49</x:v>
      </x:c>
      <x:c r="D1909" s="14" t="str">
        <x:v>Evidence</x:v>
      </x:c>
      <x:c r="E1909" s="14" t="str">
        <x:v>NOT COMMISSIONED</x:v>
      </x:c>
      <x:c r="F1909" s="14" t="str">
        <x:v>OPEN</x:v>
      </x:c>
    </x:row>
    <x:row r="1910">
      <x:c r="A1910" s="15" t="str">
        <x:v>CH-1906</x:v>
      </x:c>
      <x:c r="B1910" s="15" t="str">
        <x:v>SYS-30</x:v>
      </x:c>
      <x:c r="C1910" s="15" t="n">
        <x:v>50</x:v>
      </x:c>
      <x:c r="D1910" s="15" t="str">
        <x:v>Evidence</x:v>
      </x:c>
      <x:c r="E1910" s="15" t="str">
        <x:v>NOT COMMISSIONED</x:v>
      </x:c>
      <x:c r="F1910" s="15" t="str">
        <x:v>OPEN</x:v>
      </x:c>
    </x:row>
    <x:row r="1911">
      <x:c r="A1911" s="14" t="str">
        <x:v>CH-1907</x:v>
      </x:c>
      <x:c r="B1911" s="14" t="str">
        <x:v>SYS-30</x:v>
      </x:c>
      <x:c r="C1911" s="14" t="n">
        <x:v>51</x:v>
      </x:c>
      <x:c r="D1911" s="14" t="str">
        <x:v>Evidence</x:v>
      </x:c>
      <x:c r="E1911" s="14" t="str">
        <x:v>NOT COMMISSIONED</x:v>
      </x:c>
      <x:c r="F1911" s="14" t="str">
        <x:v>OPEN</x:v>
      </x:c>
    </x:row>
    <x:row r="1912">
      <x:c r="A1912" s="15" t="str">
        <x:v>CH-1908</x:v>
      </x:c>
      <x:c r="B1912" s="15" t="str">
        <x:v>SYS-30</x:v>
      </x:c>
      <x:c r="C1912" s="15" t="n">
        <x:v>52</x:v>
      </x:c>
      <x:c r="D1912" s="15" t="str">
        <x:v>Evidence</x:v>
      </x:c>
      <x:c r="E1912" s="15" t="str">
        <x:v>NOT COMMISSIONED</x:v>
      </x:c>
      <x:c r="F1912" s="15" t="str">
        <x:v>OPEN</x:v>
      </x:c>
    </x:row>
    <x:row r="1913">
      <x:c r="A1913" s="14" t="str">
        <x:v>CH-1909</x:v>
      </x:c>
      <x:c r="B1913" s="14" t="str">
        <x:v>SYS-30</x:v>
      </x:c>
      <x:c r="C1913" s="14" t="n">
        <x:v>53</x:v>
      </x:c>
      <x:c r="D1913" s="14" t="str">
        <x:v>Evidence</x:v>
      </x:c>
      <x:c r="E1913" s="14" t="str">
        <x:v>NOT COMMISSIONED</x:v>
      </x:c>
      <x:c r="F1913" s="14" t="str">
        <x:v>OPEN</x:v>
      </x:c>
    </x:row>
    <x:row r="1914">
      <x:c r="A1914" s="15" t="str">
        <x:v>CH-1910</x:v>
      </x:c>
      <x:c r="B1914" s="15" t="str">
        <x:v>SYS-30</x:v>
      </x:c>
      <x:c r="C1914" s="15" t="n">
        <x:v>54</x:v>
      </x:c>
      <x:c r="D1914" s="15" t="str">
        <x:v>Evidence</x:v>
      </x:c>
      <x:c r="E1914" s="15" t="str">
        <x:v>NOT COMMISSIONED</x:v>
      </x:c>
      <x:c r="F1914" s="15" t="str">
        <x:v>OPEN</x:v>
      </x:c>
    </x:row>
    <x:row r="1915">
      <x:c r="A1915" s="14" t="str">
        <x:v>CH-1911</x:v>
      </x:c>
      <x:c r="B1915" s="14" t="str">
        <x:v>SYS-30</x:v>
      </x:c>
      <x:c r="C1915" s="14" t="n">
        <x:v>55</x:v>
      </x:c>
      <x:c r="D1915" s="14" t="str">
        <x:v>Evidence</x:v>
      </x:c>
      <x:c r="E1915" s="14" t="str">
        <x:v>NOT COMMISSIONED</x:v>
      </x:c>
      <x:c r="F1915" s="14" t="str">
        <x:v>OPEN</x:v>
      </x:c>
    </x:row>
    <x:row r="1916">
      <x:c r="A1916" s="15" t="str">
        <x:v>CH-1912</x:v>
      </x:c>
      <x:c r="B1916" s="15" t="str">
        <x:v>SYS-30</x:v>
      </x:c>
      <x:c r="C1916" s="15" t="n">
        <x:v>56</x:v>
      </x:c>
      <x:c r="D1916" s="15" t="str">
        <x:v>Evidence</x:v>
      </x:c>
      <x:c r="E1916" s="15" t="str">
        <x:v>NOT COMMISSIONED</x:v>
      </x:c>
      <x:c r="F1916" s="15" t="str">
        <x:v>OPEN</x:v>
      </x:c>
    </x:row>
    <x:row r="1917">
      <x:c r="A1917" s="14" t="str">
        <x:v>CH-1913</x:v>
      </x:c>
      <x:c r="B1917" s="14" t="str">
        <x:v>SYS-30</x:v>
      </x:c>
      <x:c r="C1917" s="14" t="n">
        <x:v>57</x:v>
      </x:c>
      <x:c r="D1917" s="14" t="str">
        <x:v>Evidence</x:v>
      </x:c>
      <x:c r="E1917" s="14" t="str">
        <x:v>NOT COMMISSIONED</x:v>
      </x:c>
      <x:c r="F1917" s="14" t="str">
        <x:v>OPEN</x:v>
      </x:c>
    </x:row>
    <x:row r="1918">
      <x:c r="A1918" s="15" t="str">
        <x:v>CH-1914</x:v>
      </x:c>
      <x:c r="B1918" s="15" t="str">
        <x:v>SYS-30</x:v>
      </x:c>
      <x:c r="C1918" s="15" t="n">
        <x:v>58</x:v>
      </x:c>
      <x:c r="D1918" s="15" t="str">
        <x:v>Evidence</x:v>
      </x:c>
      <x:c r="E1918" s="15" t="str">
        <x:v>NOT COMMISSIONED</x:v>
      </x:c>
      <x:c r="F1918" s="15" t="str">
        <x:v>OPEN</x:v>
      </x:c>
    </x:row>
    <x:row r="1919">
      <x:c r="A1919" s="14" t="str">
        <x:v>CH-1915</x:v>
      </x:c>
      <x:c r="B1919" s="14" t="str">
        <x:v>SYS-30</x:v>
      </x:c>
      <x:c r="C1919" s="14" t="n">
        <x:v>59</x:v>
      </x:c>
      <x:c r="D1919" s="14" t="str">
        <x:v>Evidence</x:v>
      </x:c>
      <x:c r="E1919" s="14" t="str">
        <x:v>NOT COMMISSIONED</x:v>
      </x:c>
      <x:c r="F1919" s="14" t="str">
        <x:v>OPEN</x:v>
      </x:c>
    </x:row>
    <x:row r="1920">
      <x:c r="A1920" s="15" t="str">
        <x:v>CH-1916</x:v>
      </x:c>
      <x:c r="B1920" s="15" t="str">
        <x:v>SYS-30</x:v>
      </x:c>
      <x:c r="C1920" s="15" t="n">
        <x:v>60</x:v>
      </x:c>
      <x:c r="D1920" s="15" t="str">
        <x:v>Evidence</x:v>
      </x:c>
      <x:c r="E1920" s="15" t="str">
        <x:v>NOT COMMISSIONED</x:v>
      </x:c>
      <x:c r="F1920" s="15" t="str">
        <x:v>OPEN</x:v>
      </x:c>
    </x:row>
    <x:row r="1921">
      <x:c r="A1921" s="14" t="str">
        <x:v>CH-1917</x:v>
      </x:c>
      <x:c r="B1921" s="14" t="str">
        <x:v>SYS-30</x:v>
      </x:c>
      <x:c r="C1921" s="14" t="n">
        <x:v>61</x:v>
      </x:c>
      <x:c r="D1921" s="14" t="str">
        <x:v>Evidence</x:v>
      </x:c>
      <x:c r="E1921" s="14" t="str">
        <x:v>NOT COMMISSIONED</x:v>
      </x:c>
      <x:c r="F1921" s="14" t="str">
        <x:v>OPEN</x:v>
      </x:c>
    </x:row>
    <x:row r="1922">
      <x:c r="A1922" s="15" t="str">
        <x:v>CH-1918</x:v>
      </x:c>
      <x:c r="B1922" s="15" t="str">
        <x:v>SYS-30</x:v>
      </x:c>
      <x:c r="C1922" s="15" t="n">
        <x:v>62</x:v>
      </x:c>
      <x:c r="D1922" s="15" t="str">
        <x:v>Evidence</x:v>
      </x:c>
      <x:c r="E1922" s="15" t="str">
        <x:v>NOT COMMISSIONED</x:v>
      </x:c>
      <x:c r="F1922" s="15" t="str">
        <x:v>OPEN</x:v>
      </x:c>
    </x:row>
    <x:row r="1923">
      <x:c r="A1923" s="14" t="str">
        <x:v>CH-1919</x:v>
      </x:c>
      <x:c r="B1923" s="14" t="str">
        <x:v>SYS-30</x:v>
      </x:c>
      <x:c r="C1923" s="14" t="n">
        <x:v>63</x:v>
      </x:c>
      <x:c r="D1923" s="14" t="str">
        <x:v>Evidence</x:v>
      </x:c>
      <x:c r="E1923" s="14" t="str">
        <x:v>NOT COMMISSIONED</x:v>
      </x:c>
      <x:c r="F1923" s="14" t="str">
        <x:v>OPEN</x:v>
      </x:c>
    </x:row>
    <x:row r="1924">
      <x:c r="A1924" s="15" t="str">
        <x:v>CH-1920</x:v>
      </x:c>
      <x:c r="B1924" s="15" t="str">
        <x:v>SYS-30</x:v>
      </x:c>
      <x:c r="C1924" s="15" t="n">
        <x:v>64</x:v>
      </x:c>
      <x:c r="D1924" s="15" t="str">
        <x:v>Evidence</x:v>
      </x:c>
      <x:c r="E1924" s="15" t="str">
        <x:v>NOT COMMISSIONED</x:v>
      </x:c>
      <x:c r="F1924" s="15" t="str">
        <x:v>OPEN</x:v>
      </x:c>
    </x:row>
  </x:sheetData>
  <x:mergeCells>
    <x:mergeCell ref="A1:F1"/>
    <x:mergeCell ref="A2:F2"/>
  </x:mergeCells>
  <x:pageMargins left="0.7" right="0.7" top="0.75" bottom="0.75" header="0.3" footer="0.3"/>
</x:worksheet>
</file>

<file path=xl/worksheets/sheet3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16" hidden="0" customWidth="1"/>
    <x:col min="4" max="4" width="22" hidden="0" customWidth="1"/>
    <x:col min="5" max="5" width="14" hidden="0" customWidth="1"/>
  </x:cols>
  <x:sheetData>
    <x:row r="1" ht="26" customHeight="1">
      <x:c r="A1" s="43" t="str">
        <x:v>Forty-eight safeing and rescue paths</x:v>
      </x:c>
      <x:c r="B1" s="35"/>
      <x:c r="C1" s="35"/>
      <x:c r="D1" s="35"/>
      <x:c r="E1" s="35"/>
    </x:row>
    <x:row r="2" ht="32" customHeight="1">
      <x:c r="A2" s="7" t="str">
        <x:v>Twelve functions retain two active unlike paths, one passive state and one public path.</x:v>
      </x:c>
      <x:c r="B2" s="35"/>
      <x:c r="C2" s="35"/>
      <x:c r="D2" s="35"/>
      <x:c r="E2" s="35"/>
    </x:row>
    <x:row r="3">
      <x:c r="A3" s="35"/>
      <x:c r="B3" s="35"/>
      <x:c r="C3" s="35"/>
      <x:c r="D3" s="35"/>
      <x:c r="E3" s="35"/>
    </x:row>
    <x:row r="4" ht="28" customHeight="1">
      <x:c r="A4" s="11" t="str">
        <x:v>Path</x:v>
      </x:c>
      <x:c r="B4" s="11" t="str">
        <x:v>Function</x:v>
      </x:c>
      <x:c r="C4" s="11" t="str">
        <x:v>Type</x:v>
      </x:c>
      <x:c r="D4" s="11" t="str">
        <x:v>Physical witness</x:v>
      </x:c>
      <x:c r="E4" s="11" t="str">
        <x:v>State</x:v>
      </x:c>
    </x:row>
    <x:row r="5">
      <x:c r="A5" s="14" t="str">
        <x:v>SP-01</x:v>
      </x:c>
      <x:c r="B5" s="14" t="str">
        <x:v>Source isolation</x:v>
      </x:c>
      <x:c r="C5" s="14" t="str">
        <x:v>ACTIVE-A</x:v>
      </x:c>
      <x:c r="D5" s="14" t="str">
        <x:v>OPEN</x:v>
      </x:c>
      <x:c r="E5" s="14" t="str">
        <x:v>OPEN</x:v>
      </x:c>
    </x:row>
    <x:row r="6">
      <x:c r="A6" s="15" t="str">
        <x:v>SP-02</x:v>
      </x:c>
      <x:c r="B6" s="15" t="str">
        <x:v>Source isolation</x:v>
      </x:c>
      <x:c r="C6" s="15" t="str">
        <x:v>ACTIVE-B</x:v>
      </x:c>
      <x:c r="D6" s="15" t="str">
        <x:v>OPEN</x:v>
      </x:c>
      <x:c r="E6" s="15" t="str">
        <x:v>OPEN</x:v>
      </x:c>
    </x:row>
    <x:row r="7">
      <x:c r="A7" s="14" t="str">
        <x:v>SP-03</x:v>
      </x:c>
      <x:c r="B7" s="14" t="str">
        <x:v>Source isolation</x:v>
      </x:c>
      <x:c r="C7" s="14" t="str">
        <x:v>PASSIVE</x:v>
      </x:c>
      <x:c r="D7" s="14" t="str">
        <x:v>OPEN</x:v>
      </x:c>
      <x:c r="E7" s="14" t="str">
        <x:v>OPEN</x:v>
      </x:c>
    </x:row>
    <x:row r="8">
      <x:c r="A8" s="15" t="str">
        <x:v>SP-04</x:v>
      </x:c>
      <x:c r="B8" s="15" t="str">
        <x:v>Source isolation</x:v>
      </x:c>
      <x:c r="C8" s="15" t="str">
        <x:v>PUBLIC</x:v>
      </x:c>
      <x:c r="D8" s="15" t="str">
        <x:v>OPEN</x:v>
      </x:c>
      <x:c r="E8" s="15" t="str">
        <x:v>OPEN</x:v>
      </x:c>
    </x:row>
    <x:row r="9">
      <x:c r="A9" s="14" t="str">
        <x:v>SP-05</x:v>
      </x:c>
      <x:c r="B9" s="14" t="str">
        <x:v>Water stop</x:v>
      </x:c>
      <x:c r="C9" s="14" t="str">
        <x:v>ACTIVE-A</x:v>
      </x:c>
      <x:c r="D9" s="14" t="str">
        <x:v>OPEN</x:v>
      </x:c>
      <x:c r="E9" s="14" t="str">
        <x:v>OPEN</x:v>
      </x:c>
    </x:row>
    <x:row r="10">
      <x:c r="A10" s="15" t="str">
        <x:v>SP-06</x:v>
      </x:c>
      <x:c r="B10" s="15" t="str">
        <x:v>Water stop</x:v>
      </x:c>
      <x:c r="C10" s="15" t="str">
        <x:v>ACTIVE-B</x:v>
      </x:c>
      <x:c r="D10" s="15" t="str">
        <x:v>OPEN</x:v>
      </x:c>
      <x:c r="E10" s="15" t="str">
        <x:v>OPEN</x:v>
      </x:c>
    </x:row>
    <x:row r="11">
      <x:c r="A11" s="14" t="str">
        <x:v>SP-07</x:v>
      </x:c>
      <x:c r="B11" s="14" t="str">
        <x:v>Water stop</x:v>
      </x:c>
      <x:c r="C11" s="14" t="str">
        <x:v>PASSIVE</x:v>
      </x:c>
      <x:c r="D11" s="14" t="str">
        <x:v>OPEN</x:v>
      </x:c>
      <x:c r="E11" s="14" t="str">
        <x:v>OPEN</x:v>
      </x:c>
    </x:row>
    <x:row r="12">
      <x:c r="A12" s="15" t="str">
        <x:v>SP-08</x:v>
      </x:c>
      <x:c r="B12" s="15" t="str">
        <x:v>Water stop</x:v>
      </x:c>
      <x:c r="C12" s="15" t="str">
        <x:v>PUBLIC</x:v>
      </x:c>
      <x:c r="D12" s="15" t="str">
        <x:v>OPEN</x:v>
      </x:c>
      <x:c r="E12" s="15" t="str">
        <x:v>OPEN</x:v>
      </x:c>
    </x:row>
    <x:row r="13">
      <x:c r="A13" s="14" t="str">
        <x:v>SP-09</x:v>
      </x:c>
      <x:c r="B13" s="14" t="str">
        <x:v>Ignition removal</x:v>
      </x:c>
      <x:c r="C13" s="14" t="str">
        <x:v>ACTIVE-A</x:v>
      </x:c>
      <x:c r="D13" s="14" t="str">
        <x:v>OPEN</x:v>
      </x:c>
      <x:c r="E13" s="14" t="str">
        <x:v>OPEN</x:v>
      </x:c>
    </x:row>
    <x:row r="14">
      <x:c r="A14" s="15" t="str">
        <x:v>SP-10</x:v>
      </x:c>
      <x:c r="B14" s="15" t="str">
        <x:v>Ignition removal</x:v>
      </x:c>
      <x:c r="C14" s="15" t="str">
        <x:v>ACTIVE-B</x:v>
      </x:c>
      <x:c r="D14" s="15" t="str">
        <x:v>OPEN</x:v>
      </x:c>
      <x:c r="E14" s="15" t="str">
        <x:v>OPEN</x:v>
      </x:c>
    </x:row>
    <x:row r="15">
      <x:c r="A15" s="14" t="str">
        <x:v>SP-11</x:v>
      </x:c>
      <x:c r="B15" s="14" t="str">
        <x:v>Ignition removal</x:v>
      </x:c>
      <x:c r="C15" s="14" t="str">
        <x:v>PASSIVE</x:v>
      </x:c>
      <x:c r="D15" s="14" t="str">
        <x:v>OPEN</x:v>
      </x:c>
      <x:c r="E15" s="14" t="str">
        <x:v>OPEN</x:v>
      </x:c>
    </x:row>
    <x:row r="16">
      <x:c r="A16" s="15" t="str">
        <x:v>SP-12</x:v>
      </x:c>
      <x:c r="B16" s="15" t="str">
        <x:v>Ignition removal</x:v>
      </x:c>
      <x:c r="C16" s="15" t="str">
        <x:v>PUBLIC</x:v>
      </x:c>
      <x:c r="D16" s="15" t="str">
        <x:v>OPEN</x:v>
      </x:c>
      <x:c r="E16" s="15" t="str">
        <x:v>OPEN</x:v>
      </x:c>
    </x:row>
    <x:row r="17">
      <x:c r="A17" s="14" t="str">
        <x:v>SP-13</x:v>
      </x:c>
      <x:c r="B17" s="14" t="str">
        <x:v>Field isolation</x:v>
      </x:c>
      <x:c r="C17" s="14" t="str">
        <x:v>ACTIVE-A</x:v>
      </x:c>
      <x:c r="D17" s="14" t="str">
        <x:v>OPEN</x:v>
      </x:c>
      <x:c r="E17" s="14" t="str">
        <x:v>OPEN</x:v>
      </x:c>
    </x:row>
    <x:row r="18">
      <x:c r="A18" s="15" t="str">
        <x:v>SP-14</x:v>
      </x:c>
      <x:c r="B18" s="15" t="str">
        <x:v>Field isolation</x:v>
      </x:c>
      <x:c r="C18" s="15" t="str">
        <x:v>ACTIVE-B</x:v>
      </x:c>
      <x:c r="D18" s="15" t="str">
        <x:v>OPEN</x:v>
      </x:c>
      <x:c r="E18" s="15" t="str">
        <x:v>OPEN</x:v>
      </x:c>
    </x:row>
    <x:row r="19">
      <x:c r="A19" s="14" t="str">
        <x:v>SP-15</x:v>
      </x:c>
      <x:c r="B19" s="14" t="str">
        <x:v>Field isolation</x:v>
      </x:c>
      <x:c r="C19" s="14" t="str">
        <x:v>PASSIVE</x:v>
      </x:c>
      <x:c r="D19" s="14" t="str">
        <x:v>OPEN</x:v>
      </x:c>
      <x:c r="E19" s="14" t="str">
        <x:v>OPEN</x:v>
      </x:c>
    </x:row>
    <x:row r="20">
      <x:c r="A20" s="15" t="str">
        <x:v>SP-16</x:v>
      </x:c>
      <x:c r="B20" s="15" t="str">
        <x:v>Field isolation</x:v>
      </x:c>
      <x:c r="C20" s="15" t="str">
        <x:v>PUBLIC</x:v>
      </x:c>
      <x:c r="D20" s="15" t="str">
        <x:v>OPEN</x:v>
      </x:c>
      <x:c r="E20" s="15" t="str">
        <x:v>OPEN</x:v>
      </x:c>
    </x:row>
    <x:row r="21">
      <x:c r="A21" s="14" t="str">
        <x:v>SP-17</x:v>
      </x:c>
      <x:c r="B21" s="14" t="str">
        <x:v>Hydraulic energy removal</x:v>
      </x:c>
      <x:c r="C21" s="14" t="str">
        <x:v>ACTIVE-A</x:v>
      </x:c>
      <x:c r="D21" s="14" t="str">
        <x:v>OPEN</x:v>
      </x:c>
      <x:c r="E21" s="14" t="str">
        <x:v>OPEN</x:v>
      </x:c>
    </x:row>
    <x:row r="22">
      <x:c r="A22" s="15" t="str">
        <x:v>SP-18</x:v>
      </x:c>
      <x:c r="B22" s="15" t="str">
        <x:v>Hydraulic energy removal</x:v>
      </x:c>
      <x:c r="C22" s="15" t="str">
        <x:v>ACTIVE-B</x:v>
      </x:c>
      <x:c r="D22" s="15" t="str">
        <x:v>OPEN</x:v>
      </x:c>
      <x:c r="E22" s="15" t="str">
        <x:v>OPEN</x:v>
      </x:c>
    </x:row>
    <x:row r="23">
      <x:c r="A23" s="14" t="str">
        <x:v>SP-19</x:v>
      </x:c>
      <x:c r="B23" s="14" t="str">
        <x:v>Hydraulic energy removal</x:v>
      </x:c>
      <x:c r="C23" s="14" t="str">
        <x:v>PASSIVE</x:v>
      </x:c>
      <x:c r="D23" s="14" t="str">
        <x:v>OPEN</x:v>
      </x:c>
      <x:c r="E23" s="14" t="str">
        <x:v>OPEN</x:v>
      </x:c>
    </x:row>
    <x:row r="24">
      <x:c r="A24" s="15" t="str">
        <x:v>SP-20</x:v>
      </x:c>
      <x:c r="B24" s="15" t="str">
        <x:v>Hydraulic energy removal</x:v>
      </x:c>
      <x:c r="C24" s="15" t="str">
        <x:v>PUBLIC</x:v>
      </x:c>
      <x:c r="D24" s="15" t="str">
        <x:v>OPEN</x:v>
      </x:c>
      <x:c r="E24" s="15" t="str">
        <x:v>OPEN</x:v>
      </x:c>
    </x:row>
    <x:row r="25">
      <x:c r="A25" s="14" t="str">
        <x:v>SP-21</x:v>
      </x:c>
      <x:c r="B25" s="14" t="str">
        <x:v>Electric isolation</x:v>
      </x:c>
      <x:c r="C25" s="14" t="str">
        <x:v>ACTIVE-A</x:v>
      </x:c>
      <x:c r="D25" s="14" t="str">
        <x:v>OPEN</x:v>
      </x:c>
      <x:c r="E25" s="14" t="str">
        <x:v>OPEN</x:v>
      </x:c>
    </x:row>
    <x:row r="26">
      <x:c r="A26" s="15" t="str">
        <x:v>SP-22</x:v>
      </x:c>
      <x:c r="B26" s="15" t="str">
        <x:v>Electric isolation</x:v>
      </x:c>
      <x:c r="C26" s="15" t="str">
        <x:v>ACTIVE-B</x:v>
      </x:c>
      <x:c r="D26" s="15" t="str">
        <x:v>OPEN</x:v>
      </x:c>
      <x:c r="E26" s="15" t="str">
        <x:v>OPEN</x:v>
      </x:c>
    </x:row>
    <x:row r="27">
      <x:c r="A27" s="14" t="str">
        <x:v>SP-23</x:v>
      </x:c>
      <x:c r="B27" s="14" t="str">
        <x:v>Electric isolation</x:v>
      </x:c>
      <x:c r="C27" s="14" t="str">
        <x:v>PASSIVE</x:v>
      </x:c>
      <x:c r="D27" s="14" t="str">
        <x:v>OPEN</x:v>
      </x:c>
      <x:c r="E27" s="14" t="str">
        <x:v>OPEN</x:v>
      </x:c>
    </x:row>
    <x:row r="28">
      <x:c r="A28" s="15" t="str">
        <x:v>SP-24</x:v>
      </x:c>
      <x:c r="B28" s="15" t="str">
        <x:v>Electric isolation</x:v>
      </x:c>
      <x:c r="C28" s="15" t="str">
        <x:v>PUBLIC</x:v>
      </x:c>
      <x:c r="D28" s="15" t="str">
        <x:v>OPEN</x:v>
      </x:c>
      <x:c r="E28" s="15" t="str">
        <x:v>OPEN</x:v>
      </x:c>
    </x:row>
    <x:row r="29">
      <x:c r="A29" s="14" t="str">
        <x:v>SP-25</x:v>
      </x:c>
      <x:c r="B29" s="14" t="str">
        <x:v>Atmosphere isolation</x:v>
      </x:c>
      <x:c r="C29" s="14" t="str">
        <x:v>ACTIVE-A</x:v>
      </x:c>
      <x:c r="D29" s="14" t="str">
        <x:v>OPEN</x:v>
      </x:c>
      <x:c r="E29" s="14" t="str">
        <x:v>OPEN</x:v>
      </x:c>
    </x:row>
    <x:row r="30">
      <x:c r="A30" s="15" t="str">
        <x:v>SP-26</x:v>
      </x:c>
      <x:c r="B30" s="15" t="str">
        <x:v>Atmosphere isolation</x:v>
      </x:c>
      <x:c r="C30" s="15" t="str">
        <x:v>ACTIVE-B</x:v>
      </x:c>
      <x:c r="D30" s="15" t="str">
        <x:v>OPEN</x:v>
      </x:c>
      <x:c r="E30" s="15" t="str">
        <x:v>OPEN</x:v>
      </x:c>
    </x:row>
    <x:row r="31">
      <x:c r="A31" s="14" t="str">
        <x:v>SP-27</x:v>
      </x:c>
      <x:c r="B31" s="14" t="str">
        <x:v>Atmosphere isolation</x:v>
      </x:c>
      <x:c r="C31" s="14" t="str">
        <x:v>PASSIVE</x:v>
      </x:c>
      <x:c r="D31" s="14" t="str">
        <x:v>OPEN</x:v>
      </x:c>
      <x:c r="E31" s="14" t="str">
        <x:v>OPEN</x:v>
      </x:c>
    </x:row>
    <x:row r="32">
      <x:c r="A32" s="15" t="str">
        <x:v>SP-28</x:v>
      </x:c>
      <x:c r="B32" s="15" t="str">
        <x:v>Atmosphere isolation</x:v>
      </x:c>
      <x:c r="C32" s="15" t="str">
        <x:v>PUBLIC</x:v>
      </x:c>
      <x:c r="D32" s="15" t="str">
        <x:v>OPEN</x:v>
      </x:c>
      <x:c r="E32" s="15" t="str">
        <x:v>OPEN</x:v>
      </x:c>
    </x:row>
    <x:row r="33">
      <x:c r="A33" s="14" t="str">
        <x:v>SP-29</x:v>
      </x:c>
      <x:c r="B33" s="14" t="str">
        <x:v>Receiver diversion</x:v>
      </x:c>
      <x:c r="C33" s="14" t="str">
        <x:v>ACTIVE-A</x:v>
      </x:c>
      <x:c r="D33" s="14" t="str">
        <x:v>OPEN</x:v>
      </x:c>
      <x:c r="E33" s="14" t="str">
        <x:v>OPEN</x:v>
      </x:c>
    </x:row>
    <x:row r="34">
      <x:c r="A34" s="15" t="str">
        <x:v>SP-30</x:v>
      </x:c>
      <x:c r="B34" s="15" t="str">
        <x:v>Receiver diversion</x:v>
      </x:c>
      <x:c r="C34" s="15" t="str">
        <x:v>ACTIVE-B</x:v>
      </x:c>
      <x:c r="D34" s="15" t="str">
        <x:v>OPEN</x:v>
      </x:c>
      <x:c r="E34" s="15" t="str">
        <x:v>OPEN</x:v>
      </x:c>
    </x:row>
    <x:row r="35">
      <x:c r="A35" s="14" t="str">
        <x:v>SP-31</x:v>
      </x:c>
      <x:c r="B35" s="14" t="str">
        <x:v>Receiver diversion</x:v>
      </x:c>
      <x:c r="C35" s="14" t="str">
        <x:v>PASSIVE</x:v>
      </x:c>
      <x:c r="D35" s="14" t="str">
        <x:v>OPEN</x:v>
      </x:c>
      <x:c r="E35" s="14" t="str">
        <x:v>OPEN</x:v>
      </x:c>
    </x:row>
    <x:row r="36">
      <x:c r="A36" s="15" t="str">
        <x:v>SP-32</x:v>
      </x:c>
      <x:c r="B36" s="15" t="str">
        <x:v>Receiver diversion</x:v>
      </x:c>
      <x:c r="C36" s="15" t="str">
        <x:v>PUBLIC</x:v>
      </x:c>
      <x:c r="D36" s="15" t="str">
        <x:v>OPEN</x:v>
      </x:c>
      <x:c r="E36" s="15" t="str">
        <x:v>OPEN</x:v>
      </x:c>
    </x:row>
    <x:row r="37">
      <x:c r="A37" s="14" t="str">
        <x:v>SP-33</x:v>
      </x:c>
      <x:c r="B37" s="14" t="str">
        <x:v>Overflow containment</x:v>
      </x:c>
      <x:c r="C37" s="14" t="str">
        <x:v>ACTIVE-A</x:v>
      </x:c>
      <x:c r="D37" s="14" t="str">
        <x:v>OPEN</x:v>
      </x:c>
      <x:c r="E37" s="14" t="str">
        <x:v>OPEN</x:v>
      </x:c>
    </x:row>
    <x:row r="38">
      <x:c r="A38" s="15" t="str">
        <x:v>SP-34</x:v>
      </x:c>
      <x:c r="B38" s="15" t="str">
        <x:v>Overflow containment</x:v>
      </x:c>
      <x:c r="C38" s="15" t="str">
        <x:v>ACTIVE-B</x:v>
      </x:c>
      <x:c r="D38" s="15" t="str">
        <x:v>OPEN</x:v>
      </x:c>
      <x:c r="E38" s="15" t="str">
        <x:v>OPEN</x:v>
      </x:c>
    </x:row>
    <x:row r="39">
      <x:c r="A39" s="14" t="str">
        <x:v>SP-35</x:v>
      </x:c>
      <x:c r="B39" s="14" t="str">
        <x:v>Overflow containment</x:v>
      </x:c>
      <x:c r="C39" s="14" t="str">
        <x:v>PASSIVE</x:v>
      </x:c>
      <x:c r="D39" s="14" t="str">
        <x:v>OPEN</x:v>
      </x:c>
      <x:c r="E39" s="14" t="str">
        <x:v>OPEN</x:v>
      </x:c>
    </x:row>
    <x:row r="40">
      <x:c r="A40" s="15" t="str">
        <x:v>SP-36</x:v>
      </x:c>
      <x:c r="B40" s="15" t="str">
        <x:v>Overflow containment</x:v>
      </x:c>
      <x:c r="C40" s="15" t="str">
        <x:v>PUBLIC</x:v>
      </x:c>
      <x:c r="D40" s="15" t="str">
        <x:v>OPEN</x:v>
      </x:c>
      <x:c r="E40" s="15" t="str">
        <x:v>OPEN</x:v>
      </x:c>
    </x:row>
    <x:row r="41">
      <x:c r="A41" s="14" t="str">
        <x:v>SP-37</x:v>
      </x:c>
      <x:c r="B41" s="14" t="str">
        <x:v>Module extraction</x:v>
      </x:c>
      <x:c r="C41" s="14" t="str">
        <x:v>ACTIVE-A</x:v>
      </x:c>
      <x:c r="D41" s="14" t="str">
        <x:v>OPEN</x:v>
      </x:c>
      <x:c r="E41" s="14" t="str">
        <x:v>OPEN</x:v>
      </x:c>
    </x:row>
    <x:row r="42">
      <x:c r="A42" s="15" t="str">
        <x:v>SP-38</x:v>
      </x:c>
      <x:c r="B42" s="15" t="str">
        <x:v>Module extraction</x:v>
      </x:c>
      <x:c r="C42" s="15" t="str">
        <x:v>ACTIVE-B</x:v>
      </x:c>
      <x:c r="D42" s="15" t="str">
        <x:v>OPEN</x:v>
      </x:c>
      <x:c r="E42" s="15" t="str">
        <x:v>OPEN</x:v>
      </x:c>
    </x:row>
    <x:row r="43">
      <x:c r="A43" s="14" t="str">
        <x:v>SP-39</x:v>
      </x:c>
      <x:c r="B43" s="14" t="str">
        <x:v>Module extraction</x:v>
      </x:c>
      <x:c r="C43" s="14" t="str">
        <x:v>PASSIVE</x:v>
      </x:c>
      <x:c r="D43" s="14" t="str">
        <x:v>OPEN</x:v>
      </x:c>
      <x:c r="E43" s="14" t="str">
        <x:v>OPEN</x:v>
      </x:c>
    </x:row>
    <x:row r="44">
      <x:c r="A44" s="15" t="str">
        <x:v>SP-40</x:v>
      </x:c>
      <x:c r="B44" s="15" t="str">
        <x:v>Module extraction</x:v>
      </x:c>
      <x:c r="C44" s="15" t="str">
        <x:v>PUBLIC</x:v>
      </x:c>
      <x:c r="D44" s="15" t="str">
        <x:v>OPEN</x:v>
      </x:c>
      <x:c r="E44" s="15" t="str">
        <x:v>OPEN</x:v>
      </x:c>
    </x:row>
    <x:row r="45">
      <x:c r="A45" s="14" t="str">
        <x:v>SP-41</x:v>
      </x:c>
      <x:c r="B45" s="14" t="str">
        <x:v>Evidence preservation</x:v>
      </x:c>
      <x:c r="C45" s="14" t="str">
        <x:v>ACTIVE-A</x:v>
      </x:c>
      <x:c r="D45" s="14" t="str">
        <x:v>OPEN</x:v>
      </x:c>
      <x:c r="E45" s="14" t="str">
        <x:v>OPEN</x:v>
      </x:c>
    </x:row>
    <x:row r="46">
      <x:c r="A46" s="15" t="str">
        <x:v>SP-42</x:v>
      </x:c>
      <x:c r="B46" s="15" t="str">
        <x:v>Evidence preservation</x:v>
      </x:c>
      <x:c r="C46" s="15" t="str">
        <x:v>ACTIVE-B</x:v>
      </x:c>
      <x:c r="D46" s="15" t="str">
        <x:v>OPEN</x:v>
      </x:c>
      <x:c r="E46" s="15" t="str">
        <x:v>OPEN</x:v>
      </x:c>
    </x:row>
    <x:row r="47">
      <x:c r="A47" s="14" t="str">
        <x:v>SP-43</x:v>
      </x:c>
      <x:c r="B47" s="14" t="str">
        <x:v>Evidence preservation</x:v>
      </x:c>
      <x:c r="C47" s="14" t="str">
        <x:v>PASSIVE</x:v>
      </x:c>
      <x:c r="D47" s="14" t="str">
        <x:v>OPEN</x:v>
      </x:c>
      <x:c r="E47" s="14" t="str">
        <x:v>OPEN</x:v>
      </x:c>
    </x:row>
    <x:row r="48">
      <x:c r="A48" s="15" t="str">
        <x:v>SP-44</x:v>
      </x:c>
      <x:c r="B48" s="15" t="str">
        <x:v>Evidence preservation</x:v>
      </x:c>
      <x:c r="C48" s="15" t="str">
        <x:v>PUBLIC</x:v>
      </x:c>
      <x:c r="D48" s="15" t="str">
        <x:v>OPEN</x:v>
      </x:c>
      <x:c r="E48" s="15" t="str">
        <x:v>OPEN</x:v>
      </x:c>
    </x:row>
    <x:row r="49">
      <x:c r="A49" s="14" t="str">
        <x:v>SP-45</x:v>
      </x:c>
      <x:c r="B49" s="14" t="str">
        <x:v>Human access</x:v>
      </x:c>
      <x:c r="C49" s="14" t="str">
        <x:v>ACTIVE-A</x:v>
      </x:c>
      <x:c r="D49" s="14" t="str">
        <x:v>OPEN</x:v>
      </x:c>
      <x:c r="E49" s="14" t="str">
        <x:v>OPEN</x:v>
      </x:c>
    </x:row>
    <x:row r="50">
      <x:c r="A50" s="15" t="str">
        <x:v>SP-46</x:v>
      </x:c>
      <x:c r="B50" s="15" t="str">
        <x:v>Human access</x:v>
      </x:c>
      <x:c r="C50" s="15" t="str">
        <x:v>ACTIVE-B</x:v>
      </x:c>
      <x:c r="D50" s="15" t="str">
        <x:v>OPEN</x:v>
      </x:c>
      <x:c r="E50" s="15" t="str">
        <x:v>OPEN</x:v>
      </x:c>
    </x:row>
    <x:row r="51">
      <x:c r="A51" s="14" t="str">
        <x:v>SP-47</x:v>
      </x:c>
      <x:c r="B51" s="14" t="str">
        <x:v>Human access</x:v>
      </x:c>
      <x:c r="C51" s="14" t="str">
        <x:v>PASSIVE</x:v>
      </x:c>
      <x:c r="D51" s="14" t="str">
        <x:v>OPEN</x:v>
      </x:c>
      <x:c r="E51" s="14" t="str">
        <x:v>OPEN</x:v>
      </x:c>
    </x:row>
    <x:row r="52">
      <x:c r="A52" s="15" t="str">
        <x:v>SP-48</x:v>
      </x:c>
      <x:c r="B52" s="15" t="str">
        <x:v>Human access</x:v>
      </x:c>
      <x:c r="C52" s="15" t="str">
        <x:v>PUBLIC</x:v>
      </x:c>
      <x:c r="D52" s="15" t="str">
        <x:v>OPEN</x:v>
      </x:c>
      <x:c r="E52" s="15" t="str">
        <x:v>OPEN</x:v>
      </x:c>
    </x:row>
  </x:sheetData>
  <x:mergeCells>
    <x:mergeCell ref="A1:E1"/>
    <x:mergeCell ref="A2:E2"/>
  </x:mergeCells>
  <x:pageMargins left="0.7" right="0.7" top="0.75" bottom="0.75" header="0.3" footer="0.3"/>
</x:worksheet>
</file>

<file path=xl/worksheets/sheet3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8" hidden="0" customWidth="1"/>
    <x:col min="4" max="4" width="18" hidden="0" customWidth="1"/>
    <x:col min="5" max="5" width="16" hidden="0" customWidth="1"/>
    <x:col min="6" max="6" width="20" hidden="0" customWidth="1"/>
  </x:cols>
  <x:sheetData>
    <x:row r="1" ht="26" customHeight="1">
      <x:c r="A1" s="43" t="str">
        <x:v>Source account</x:v>
      </x:c>
      <x:c r="B1" s="35"/>
      <x:c r="C1" s="35"/>
      <x:c r="D1" s="35"/>
      <x:c r="E1" s="35"/>
      <x:c r="F1" s="35"/>
    </x:row>
    <x:row r="2" ht="32" customHeight="1">
      <x:c r="A2" s="7" t="str">
        <x:v>A blank is not a numerical zero. Every terminal destination retains identity.</x:v>
      </x:c>
      <x:c r="B2" s="35"/>
      <x:c r="C2" s="35"/>
      <x:c r="D2" s="35"/>
      <x:c r="E2" s="35"/>
      <x:c r="F2" s="35"/>
    </x:row>
    <x:row r="3">
      <x:c r="A3" s="35"/>
      <x:c r="B3" s="35"/>
      <x:c r="C3" s="35"/>
      <x:c r="D3" s="35"/>
      <x:c r="E3" s="35"/>
      <x:c r="F3" s="35"/>
    </x:row>
    <x:row r="4" ht="28" customHeight="1">
      <x:c r="A4" s="11" t="str">
        <x:v>Line</x:v>
      </x:c>
      <x:c r="B4" s="11" t="str">
        <x:v>Class</x:v>
      </x:c>
      <x:c r="C4" s="11" t="str">
        <x:v>Planning value</x:v>
      </x:c>
      <x:c r="D4" s="11" t="str">
        <x:v>Observed value</x:v>
      </x:c>
      <x:c r="E4" s="11" t="str">
        <x:v>Unit</x:v>
      </x:c>
      <x:c r="F4" s="11" t="str">
        <x:v>State</x:v>
      </x:c>
    </x:row>
    <x:row r="5">
      <x:c r="A5" s="14" t="str">
        <x:v>Opening custody</x:v>
      </x:c>
      <x:c r="B5" s="14" t="str">
        <x:v>Input</x:v>
      </x:c>
      <x:c r="C5" s="14" t="n">
        <x:v>0</x:v>
      </x:c>
      <x:c r="D5" s="14" t="str"/>
      <x:c r="E5" s="14" t="str">
        <x:v>REGISTERED</x:v>
      </x:c>
      <x:c r="F5" s="14" t="str">
        <x:v>OPEN</x:v>
      </x:c>
    </x:row>
    <x:row r="6">
      <x:c r="A6" s="15" t="str">
        <x:v>Registered creation</x:v>
      </x:c>
      <x:c r="B6" s="15" t="str">
        <x:v>Input</x:v>
      </x:c>
      <x:c r="C6" s="15" t="n">
        <x:v>0</x:v>
      </x:c>
      <x:c r="D6" s="15" t="str"/>
      <x:c r="E6" s="15" t="str">
        <x:v>REGISTERED</x:v>
      </x:c>
      <x:c r="F6" s="15" t="str">
        <x:v>OPEN</x:v>
      </x:c>
    </x:row>
    <x:row r="7">
      <x:c r="A7" s="14" t="str">
        <x:v>Authorized use</x:v>
      </x:c>
      <x:c r="B7" s="14" t="str">
        <x:v>Output</x:v>
      </x:c>
      <x:c r="C7" s="14" t="n">
        <x:v>0</x:v>
      </x:c>
      <x:c r="D7" s="14" t="str"/>
      <x:c r="E7" s="14" t="str">
        <x:v>REGISTERED</x:v>
      </x:c>
      <x:c r="F7" s="14" t="str">
        <x:v>OPEN</x:v>
      </x:c>
    </x:row>
    <x:row r="8">
      <x:c r="A8" s="15" t="str">
        <x:v>Transferred custody</x:v>
      </x:c>
      <x:c r="B8" s="15" t="str">
        <x:v>Output</x:v>
      </x:c>
      <x:c r="C8" s="15" t="n">
        <x:v>0</x:v>
      </x:c>
      <x:c r="D8" s="15" t="str"/>
      <x:c r="E8" s="15" t="str">
        <x:v>REGISTERED</x:v>
      </x:c>
      <x:c r="F8" s="15" t="str">
        <x:v>OPEN</x:v>
      </x:c>
    </x:row>
    <x:row r="9">
      <x:c r="A9" s="14" t="str">
        <x:v>Retained custody</x:v>
      </x:c>
      <x:c r="B9" s="14" t="str">
        <x:v>Output</x:v>
      </x:c>
      <x:c r="C9" s="14" t="n">
        <x:v>0</x:v>
      </x:c>
      <x:c r="D9" s="14" t="str"/>
      <x:c r="E9" s="14" t="str">
        <x:v>REGISTERED</x:v>
      </x:c>
      <x:c r="F9" s="14" t="str">
        <x:v>OPEN</x:v>
      </x:c>
    </x:row>
    <x:row r="10">
      <x:c r="A10" s="15" t="str">
        <x:v>Terminal waste</x:v>
      </x:c>
      <x:c r="B10" s="15" t="str">
        <x:v>Output</x:v>
      </x:c>
      <x:c r="C10" s="15" t="n">
        <x:v>0</x:v>
      </x:c>
      <x:c r="D10" s="15" t="str"/>
      <x:c r="E10" s="15" t="str">
        <x:v>REGISTERED</x:v>
      </x:c>
      <x:c r="F10" s="15" t="str">
        <x:v>OPEN</x:v>
      </x:c>
    </x:row>
    <x:row r="11">
      <x:c r="A11" s="14" t="str">
        <x:v>Environment</x:v>
      </x:c>
      <x:c r="B11" s="14" t="str">
        <x:v>Output</x:v>
      </x:c>
      <x:c r="C11" s="14" t="n">
        <x:v>0</x:v>
      </x:c>
      <x:c r="D11" s="14" t="str"/>
      <x:c r="E11" s="14" t="str">
        <x:v>REGISTERED</x:v>
      </x:c>
      <x:c r="F11" s="14" t="str">
        <x:v>OPEN</x:v>
      </x:c>
    </x:row>
    <x:row r="12">
      <x:c r="A12" s="15" t="str">
        <x:v>Unexplained balance</x:v>
      </x:c>
      <x:c r="B12" s="15" t="str">
        <x:v>Calculated</x:v>
      </x:c>
      <x:c r="C12" s="15" t="n">
        <x:v>0</x:v>
      </x:c>
      <x:c r="D12" s="15" t="str"/>
      <x:c r="E12" s="15" t="str">
        <x:v>REGISTERED</x:v>
      </x:c>
      <x:c r="F12" s="15" t="str">
        <x:v>MUST EQUAL ZERO</x:v>
      </x:c>
    </x:row>
  </x:sheetData>
  <x:mergeCells>
    <x:mergeCell ref="A1:F1"/>
    <x:mergeCell ref="A2:F2"/>
  </x:mergeCells>
  <x:pageMargins left="0.7" right="0.7" top="0.75" bottom="0.75" header="0.3" footer="0.3"/>
</x:worksheet>
</file>

<file path=xl/worksheets/sheet3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8" hidden="0" customWidth="1"/>
    <x:col min="4" max="4" width="18" hidden="0" customWidth="1"/>
    <x:col min="5" max="5" width="16" hidden="0" customWidth="1"/>
    <x:col min="6" max="6" width="20" hidden="0" customWidth="1"/>
  </x:cols>
  <x:sheetData>
    <x:row r="1" ht="26" customHeight="1">
      <x:c r="A1" s="43" t="str">
        <x:v>Candidate-water account</x:v>
      </x:c>
      <x:c r="B1" s="35"/>
      <x:c r="C1" s="35"/>
      <x:c r="D1" s="35"/>
      <x:c r="E1" s="35"/>
      <x:c r="F1" s="35"/>
    </x:row>
    <x:row r="2" ht="32" customHeight="1">
      <x:c r="A2" s="7" t="str">
        <x:v>A blank is not a numerical zero. Every terminal destination retains identity.</x:v>
      </x:c>
      <x:c r="B2" s="35"/>
      <x:c r="C2" s="35"/>
      <x:c r="D2" s="35"/>
      <x:c r="E2" s="35"/>
      <x:c r="F2" s="35"/>
    </x:row>
    <x:row r="3">
      <x:c r="A3" s="35"/>
      <x:c r="B3" s="35"/>
      <x:c r="C3" s="35"/>
      <x:c r="D3" s="35"/>
      <x:c r="E3" s="35"/>
      <x:c r="F3" s="35"/>
    </x:row>
    <x:row r="4" ht="28" customHeight="1">
      <x:c r="A4" s="11" t="str">
        <x:v>Line</x:v>
      </x:c>
      <x:c r="B4" s="11" t="str">
        <x:v>Class</x:v>
      </x:c>
      <x:c r="C4" s="11" t="str">
        <x:v>Planning value</x:v>
      </x:c>
      <x:c r="D4" s="11" t="str">
        <x:v>Observed value</x:v>
      </x:c>
      <x:c r="E4" s="11" t="str">
        <x:v>Unit</x:v>
      </x:c>
      <x:c r="F4" s="11" t="str">
        <x:v>State</x:v>
      </x:c>
    </x:row>
    <x:row r="5">
      <x:c r="A5" s="14" t="str">
        <x:v>Opening custody</x:v>
      </x:c>
      <x:c r="B5" s="14" t="str">
        <x:v>Input</x:v>
      </x:c>
      <x:c r="C5" s="14" t="n">
        <x:v>0</x:v>
      </x:c>
      <x:c r="D5" s="14" t="str"/>
      <x:c r="E5" s="14" t="str">
        <x:v>REGISTERED</x:v>
      </x:c>
      <x:c r="F5" s="14" t="str">
        <x:v>OPEN</x:v>
      </x:c>
    </x:row>
    <x:row r="6">
      <x:c r="A6" s="15" t="str">
        <x:v>Registered creation</x:v>
      </x:c>
      <x:c r="B6" s="15" t="str">
        <x:v>Input</x:v>
      </x:c>
      <x:c r="C6" s="15" t="n">
        <x:v>0</x:v>
      </x:c>
      <x:c r="D6" s="15" t="str"/>
      <x:c r="E6" s="15" t="str">
        <x:v>REGISTERED</x:v>
      </x:c>
      <x:c r="F6" s="15" t="str">
        <x:v>OPEN</x:v>
      </x:c>
    </x:row>
    <x:row r="7">
      <x:c r="A7" s="14" t="str">
        <x:v>Authorized use</x:v>
      </x:c>
      <x:c r="B7" s="14" t="str">
        <x:v>Output</x:v>
      </x:c>
      <x:c r="C7" s="14" t="n">
        <x:v>0</x:v>
      </x:c>
      <x:c r="D7" s="14" t="str"/>
      <x:c r="E7" s="14" t="str">
        <x:v>REGISTERED</x:v>
      </x:c>
      <x:c r="F7" s="14" t="str">
        <x:v>OPEN</x:v>
      </x:c>
    </x:row>
    <x:row r="8">
      <x:c r="A8" s="15" t="str">
        <x:v>Transferred custody</x:v>
      </x:c>
      <x:c r="B8" s="15" t="str">
        <x:v>Output</x:v>
      </x:c>
      <x:c r="C8" s="15" t="n">
        <x:v>0</x:v>
      </x:c>
      <x:c r="D8" s="15" t="str"/>
      <x:c r="E8" s="15" t="str">
        <x:v>REGISTERED</x:v>
      </x:c>
      <x:c r="F8" s="15" t="str">
        <x:v>OPEN</x:v>
      </x:c>
    </x:row>
    <x:row r="9">
      <x:c r="A9" s="14" t="str">
        <x:v>Retained custody</x:v>
      </x:c>
      <x:c r="B9" s="14" t="str">
        <x:v>Output</x:v>
      </x:c>
      <x:c r="C9" s="14" t="n">
        <x:v>0</x:v>
      </x:c>
      <x:c r="D9" s="14" t="str"/>
      <x:c r="E9" s="14" t="str">
        <x:v>REGISTERED</x:v>
      </x:c>
      <x:c r="F9" s="14" t="str">
        <x:v>OPEN</x:v>
      </x:c>
    </x:row>
    <x:row r="10">
      <x:c r="A10" s="15" t="str">
        <x:v>Terminal waste</x:v>
      </x:c>
      <x:c r="B10" s="15" t="str">
        <x:v>Output</x:v>
      </x:c>
      <x:c r="C10" s="15" t="n">
        <x:v>0</x:v>
      </x:c>
      <x:c r="D10" s="15" t="str"/>
      <x:c r="E10" s="15" t="str">
        <x:v>REGISTERED</x:v>
      </x:c>
      <x:c r="F10" s="15" t="str">
        <x:v>OPEN</x:v>
      </x:c>
    </x:row>
    <x:row r="11">
      <x:c r="A11" s="14" t="str">
        <x:v>Environment</x:v>
      </x:c>
      <x:c r="B11" s="14" t="str">
        <x:v>Output</x:v>
      </x:c>
      <x:c r="C11" s="14" t="n">
        <x:v>0</x:v>
      </x:c>
      <x:c r="D11" s="14" t="str"/>
      <x:c r="E11" s="14" t="str">
        <x:v>REGISTERED</x:v>
      </x:c>
      <x:c r="F11" s="14" t="str">
        <x:v>OPEN</x:v>
      </x:c>
    </x:row>
    <x:row r="12">
      <x:c r="A12" s="15" t="str">
        <x:v>Unexplained balance</x:v>
      </x:c>
      <x:c r="B12" s="15" t="str">
        <x:v>Calculated</x:v>
      </x:c>
      <x:c r="C12" s="15" t="n">
        <x:v>0</x:v>
      </x:c>
      <x:c r="D12" s="15" t="str"/>
      <x:c r="E12" s="15" t="str">
        <x:v>REGISTERED</x:v>
      </x:c>
      <x:c r="F12" s="15" t="str">
        <x:v>MUST EQUAL ZERO</x:v>
      </x:c>
    </x:row>
  </x:sheetData>
  <x:mergeCells>
    <x:mergeCell ref="A1:F1"/>
    <x:mergeCell ref="A2:F2"/>
  </x:mergeCells>
  <x:pageMargins left="0.7" right="0.7" top="0.75" bottom="0.75" header="0.3" footer="0.3"/>
</x:worksheet>
</file>

<file path=xl/worksheets/sheet3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8" hidden="0" customWidth="1"/>
    <x:col min="4" max="4" width="18" hidden="0" customWidth="1"/>
    <x:col min="5" max="5" width="16" hidden="0" customWidth="1"/>
    <x:col min="6" max="6" width="20" hidden="0" customWidth="1"/>
  </x:cols>
  <x:sheetData>
    <x:row r="1" ht="26" customHeight="1">
      <x:c r="A1" s="43" t="str">
        <x:v>Public water and agent account</x:v>
      </x:c>
      <x:c r="B1" s="35"/>
      <x:c r="C1" s="35"/>
      <x:c r="D1" s="35"/>
      <x:c r="E1" s="35"/>
      <x:c r="F1" s="35"/>
    </x:row>
    <x:row r="2" ht="32" customHeight="1">
      <x:c r="A2" s="7" t="str">
        <x:v>A blank is not a numerical zero. Every terminal destination retains identity.</x:v>
      </x:c>
      <x:c r="B2" s="35"/>
      <x:c r="C2" s="35"/>
      <x:c r="D2" s="35"/>
      <x:c r="E2" s="35"/>
      <x:c r="F2" s="35"/>
    </x:row>
    <x:row r="3">
      <x:c r="A3" s="35"/>
      <x:c r="B3" s="35"/>
      <x:c r="C3" s="35"/>
      <x:c r="D3" s="35"/>
      <x:c r="E3" s="35"/>
      <x:c r="F3" s="35"/>
    </x:row>
    <x:row r="4" ht="28" customHeight="1">
      <x:c r="A4" s="11" t="str">
        <x:v>Line</x:v>
      </x:c>
      <x:c r="B4" s="11" t="str">
        <x:v>Class</x:v>
      </x:c>
      <x:c r="C4" s="11" t="str">
        <x:v>Planning value</x:v>
      </x:c>
      <x:c r="D4" s="11" t="str">
        <x:v>Observed value</x:v>
      </x:c>
      <x:c r="E4" s="11" t="str">
        <x:v>Unit</x:v>
      </x:c>
      <x:c r="F4" s="11" t="str">
        <x:v>State</x:v>
      </x:c>
    </x:row>
    <x:row r="5">
      <x:c r="A5" s="14" t="str">
        <x:v>Opening custody</x:v>
      </x:c>
      <x:c r="B5" s="14" t="str">
        <x:v>Input</x:v>
      </x:c>
      <x:c r="C5" s="14" t="n">
        <x:v>0</x:v>
      </x:c>
      <x:c r="D5" s="14" t="str"/>
      <x:c r="E5" s="14" t="str">
        <x:v>REGISTERED</x:v>
      </x:c>
      <x:c r="F5" s="14" t="str">
        <x:v>OPEN</x:v>
      </x:c>
    </x:row>
    <x:row r="6">
      <x:c r="A6" s="15" t="str">
        <x:v>Registered creation</x:v>
      </x:c>
      <x:c r="B6" s="15" t="str">
        <x:v>Input</x:v>
      </x:c>
      <x:c r="C6" s="15" t="n">
        <x:v>0</x:v>
      </x:c>
      <x:c r="D6" s="15" t="str"/>
      <x:c r="E6" s="15" t="str">
        <x:v>REGISTERED</x:v>
      </x:c>
      <x:c r="F6" s="15" t="str">
        <x:v>OPEN</x:v>
      </x:c>
    </x:row>
    <x:row r="7">
      <x:c r="A7" s="14" t="str">
        <x:v>Authorized use</x:v>
      </x:c>
      <x:c r="B7" s="14" t="str">
        <x:v>Output</x:v>
      </x:c>
      <x:c r="C7" s="14" t="n">
        <x:v>0</x:v>
      </x:c>
      <x:c r="D7" s="14" t="str"/>
      <x:c r="E7" s="14" t="str">
        <x:v>REGISTERED</x:v>
      </x:c>
      <x:c r="F7" s="14" t="str">
        <x:v>OPEN</x:v>
      </x:c>
    </x:row>
    <x:row r="8">
      <x:c r="A8" s="15" t="str">
        <x:v>Transferred custody</x:v>
      </x:c>
      <x:c r="B8" s="15" t="str">
        <x:v>Output</x:v>
      </x:c>
      <x:c r="C8" s="15" t="n">
        <x:v>0</x:v>
      </x:c>
      <x:c r="D8" s="15" t="str"/>
      <x:c r="E8" s="15" t="str">
        <x:v>REGISTERED</x:v>
      </x:c>
      <x:c r="F8" s="15" t="str">
        <x:v>OPEN</x:v>
      </x:c>
    </x:row>
    <x:row r="9">
      <x:c r="A9" s="14" t="str">
        <x:v>Retained custody</x:v>
      </x:c>
      <x:c r="B9" s="14" t="str">
        <x:v>Output</x:v>
      </x:c>
      <x:c r="C9" s="14" t="n">
        <x:v>0</x:v>
      </x:c>
      <x:c r="D9" s="14" t="str"/>
      <x:c r="E9" s="14" t="str">
        <x:v>REGISTERED</x:v>
      </x:c>
      <x:c r="F9" s="14" t="str">
        <x:v>OPEN</x:v>
      </x:c>
    </x:row>
    <x:row r="10">
      <x:c r="A10" s="15" t="str">
        <x:v>Terminal waste</x:v>
      </x:c>
      <x:c r="B10" s="15" t="str">
        <x:v>Output</x:v>
      </x:c>
      <x:c r="C10" s="15" t="n">
        <x:v>0</x:v>
      </x:c>
      <x:c r="D10" s="15" t="str"/>
      <x:c r="E10" s="15" t="str">
        <x:v>REGISTERED</x:v>
      </x:c>
      <x:c r="F10" s="15" t="str">
        <x:v>OPEN</x:v>
      </x:c>
    </x:row>
    <x:row r="11">
      <x:c r="A11" s="14" t="str">
        <x:v>Environment</x:v>
      </x:c>
      <x:c r="B11" s="14" t="str">
        <x:v>Output</x:v>
      </x:c>
      <x:c r="C11" s="14" t="n">
        <x:v>0</x:v>
      </x:c>
      <x:c r="D11" s="14" t="str"/>
      <x:c r="E11" s="14" t="str">
        <x:v>REGISTERED</x:v>
      </x:c>
      <x:c r="F11" s="14" t="str">
        <x:v>OPEN</x:v>
      </x:c>
    </x:row>
    <x:row r="12">
      <x:c r="A12" s="15" t="str">
        <x:v>Unexplained balance</x:v>
      </x:c>
      <x:c r="B12" s="15" t="str">
        <x:v>Calculated</x:v>
      </x:c>
      <x:c r="C12" s="15" t="n">
        <x:v>0</x:v>
      </x:c>
      <x:c r="D12" s="15" t="str"/>
      <x:c r="E12" s="15" t="str">
        <x:v>REGISTERED</x:v>
      </x:c>
      <x:c r="F12" s="15" t="str">
        <x:v>MUST EQUAL ZERO</x:v>
      </x:c>
    </x:row>
  </x:sheetData>
  <x:mergeCells>
    <x:mergeCell ref="A1:F1"/>
    <x:mergeCell ref="A2:F2"/>
  </x:mergeCells>
  <x:pageMargins left="0.7" right="0.7" top="0.75" bottom="0.75" header="0.3" footer="0.3"/>
</x:worksheet>
</file>

<file path=xl/worksheets/sheet3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8" hidden="0" customWidth="1"/>
    <x:col min="4" max="4" width="18" hidden="0" customWidth="1"/>
    <x:col min="5" max="5" width="16" hidden="0" customWidth="1"/>
    <x:col min="6" max="6" width="20" hidden="0" customWidth="1"/>
  </x:cols>
  <x:sheetData>
    <x:row r="1" ht="26" customHeight="1">
      <x:c r="A1" s="43" t="str">
        <x:v>Product account</x:v>
      </x:c>
      <x:c r="B1" s="35"/>
      <x:c r="C1" s="35"/>
      <x:c r="D1" s="35"/>
      <x:c r="E1" s="35"/>
      <x:c r="F1" s="35"/>
    </x:row>
    <x:row r="2" ht="32" customHeight="1">
      <x:c r="A2" s="7" t="str">
        <x:v>A blank is not a numerical zero. Every terminal destination retains identity.</x:v>
      </x:c>
      <x:c r="B2" s="35"/>
      <x:c r="C2" s="35"/>
      <x:c r="D2" s="35"/>
      <x:c r="E2" s="35"/>
      <x:c r="F2" s="35"/>
    </x:row>
    <x:row r="3">
      <x:c r="A3" s="35"/>
      <x:c r="B3" s="35"/>
      <x:c r="C3" s="35"/>
      <x:c r="D3" s="35"/>
      <x:c r="E3" s="35"/>
      <x:c r="F3" s="35"/>
    </x:row>
    <x:row r="4" ht="28" customHeight="1">
      <x:c r="A4" s="11" t="str">
        <x:v>Line</x:v>
      </x:c>
      <x:c r="B4" s="11" t="str">
        <x:v>Class</x:v>
      </x:c>
      <x:c r="C4" s="11" t="str">
        <x:v>Planning value</x:v>
      </x:c>
      <x:c r="D4" s="11" t="str">
        <x:v>Observed value</x:v>
      </x:c>
      <x:c r="E4" s="11" t="str">
        <x:v>Unit</x:v>
      </x:c>
      <x:c r="F4" s="11" t="str">
        <x:v>State</x:v>
      </x:c>
    </x:row>
    <x:row r="5">
      <x:c r="A5" s="14" t="str">
        <x:v>Opening custody</x:v>
      </x:c>
      <x:c r="B5" s="14" t="str">
        <x:v>Input</x:v>
      </x:c>
      <x:c r="C5" s="14" t="n">
        <x:v>0</x:v>
      </x:c>
      <x:c r="D5" s="14" t="str"/>
      <x:c r="E5" s="14" t="str">
        <x:v>REGISTERED</x:v>
      </x:c>
      <x:c r="F5" s="14" t="str">
        <x:v>OPEN</x:v>
      </x:c>
    </x:row>
    <x:row r="6">
      <x:c r="A6" s="15" t="str">
        <x:v>Registered creation</x:v>
      </x:c>
      <x:c r="B6" s="15" t="str">
        <x:v>Input</x:v>
      </x:c>
      <x:c r="C6" s="15" t="n">
        <x:v>0</x:v>
      </x:c>
      <x:c r="D6" s="15" t="str"/>
      <x:c r="E6" s="15" t="str">
        <x:v>REGISTERED</x:v>
      </x:c>
      <x:c r="F6" s="15" t="str">
        <x:v>OPEN</x:v>
      </x:c>
    </x:row>
    <x:row r="7">
      <x:c r="A7" s="14" t="str">
        <x:v>Authorized use</x:v>
      </x:c>
      <x:c r="B7" s="14" t="str">
        <x:v>Output</x:v>
      </x:c>
      <x:c r="C7" s="14" t="n">
        <x:v>0</x:v>
      </x:c>
      <x:c r="D7" s="14" t="str"/>
      <x:c r="E7" s="14" t="str">
        <x:v>REGISTERED</x:v>
      </x:c>
      <x:c r="F7" s="14" t="str">
        <x:v>OPEN</x:v>
      </x:c>
    </x:row>
    <x:row r="8">
      <x:c r="A8" s="15" t="str">
        <x:v>Transferred custody</x:v>
      </x:c>
      <x:c r="B8" s="15" t="str">
        <x:v>Output</x:v>
      </x:c>
      <x:c r="C8" s="15" t="n">
        <x:v>0</x:v>
      </x:c>
      <x:c r="D8" s="15" t="str"/>
      <x:c r="E8" s="15" t="str">
        <x:v>REGISTERED</x:v>
      </x:c>
      <x:c r="F8" s="15" t="str">
        <x:v>OPEN</x:v>
      </x:c>
    </x:row>
    <x:row r="9">
      <x:c r="A9" s="14" t="str">
        <x:v>Retained custody</x:v>
      </x:c>
      <x:c r="B9" s="14" t="str">
        <x:v>Output</x:v>
      </x:c>
      <x:c r="C9" s="14" t="n">
        <x:v>0</x:v>
      </x:c>
      <x:c r="D9" s="14" t="str"/>
      <x:c r="E9" s="14" t="str">
        <x:v>REGISTERED</x:v>
      </x:c>
      <x:c r="F9" s="14" t="str">
        <x:v>OPEN</x:v>
      </x:c>
    </x:row>
    <x:row r="10">
      <x:c r="A10" s="15" t="str">
        <x:v>Terminal waste</x:v>
      </x:c>
      <x:c r="B10" s="15" t="str">
        <x:v>Output</x:v>
      </x:c>
      <x:c r="C10" s="15" t="n">
        <x:v>0</x:v>
      </x:c>
      <x:c r="D10" s="15" t="str"/>
      <x:c r="E10" s="15" t="str">
        <x:v>REGISTERED</x:v>
      </x:c>
      <x:c r="F10" s="15" t="str">
        <x:v>OPEN</x:v>
      </x:c>
    </x:row>
    <x:row r="11">
      <x:c r="A11" s="14" t="str">
        <x:v>Environment</x:v>
      </x:c>
      <x:c r="B11" s="14" t="str">
        <x:v>Output</x:v>
      </x:c>
      <x:c r="C11" s="14" t="n">
        <x:v>0</x:v>
      </x:c>
      <x:c r="D11" s="14" t="str"/>
      <x:c r="E11" s="14" t="str">
        <x:v>REGISTERED</x:v>
      </x:c>
      <x:c r="F11" s="14" t="str">
        <x:v>OPEN</x:v>
      </x:c>
    </x:row>
    <x:row r="12">
      <x:c r="A12" s="15" t="str">
        <x:v>Unexplained balance</x:v>
      </x:c>
      <x:c r="B12" s="15" t="str">
        <x:v>Calculated</x:v>
      </x:c>
      <x:c r="C12" s="15" t="n">
        <x:v>0</x:v>
      </x:c>
      <x:c r="D12" s="15" t="str"/>
      <x:c r="E12" s="15" t="str">
        <x:v>REGISTERED</x:v>
      </x:c>
      <x:c r="F12" s="15" t="str">
        <x:v>MUST EQUAL ZERO</x:v>
      </x:c>
    </x:row>
  </x:sheetData>
  <x:mergeCells>
    <x:mergeCell ref="A1:F1"/>
    <x:mergeCell ref="A2:F2"/>
  </x:mergeCells>
  <x:pageMargins left="0.7" right="0.7" top="0.75" bottom="0.75" header="0.3" footer="0.3"/>
</x:worksheet>
</file>

<file path=xl/worksheets/sheet3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8" hidden="0" customWidth="1"/>
    <x:col min="4" max="4" width="18" hidden="0" customWidth="1"/>
    <x:col min="5" max="5" width="16" hidden="0" customWidth="1"/>
    <x:col min="6" max="6" width="20" hidden="0" customWidth="1"/>
  </x:cols>
  <x:sheetData>
    <x:row r="1" ht="26" customHeight="1">
      <x:c r="A1" s="43" t="str">
        <x:v>Energy account</x:v>
      </x:c>
      <x:c r="B1" s="35"/>
      <x:c r="C1" s="35"/>
      <x:c r="D1" s="35"/>
      <x:c r="E1" s="35"/>
      <x:c r="F1" s="35"/>
    </x:row>
    <x:row r="2" ht="32" customHeight="1">
      <x:c r="A2" s="7" t="str">
        <x:v>A blank is not a numerical zero. Every terminal destination retains identity.</x:v>
      </x:c>
      <x:c r="B2" s="35"/>
      <x:c r="C2" s="35"/>
      <x:c r="D2" s="35"/>
      <x:c r="E2" s="35"/>
      <x:c r="F2" s="35"/>
    </x:row>
    <x:row r="3">
      <x:c r="A3" s="35"/>
      <x:c r="B3" s="35"/>
      <x:c r="C3" s="35"/>
      <x:c r="D3" s="35"/>
      <x:c r="E3" s="35"/>
      <x:c r="F3" s="35"/>
    </x:row>
    <x:row r="4" ht="28" customHeight="1">
      <x:c r="A4" s="11" t="str">
        <x:v>Line</x:v>
      </x:c>
      <x:c r="B4" s="11" t="str">
        <x:v>Class</x:v>
      </x:c>
      <x:c r="C4" s="11" t="str">
        <x:v>Planning value</x:v>
      </x:c>
      <x:c r="D4" s="11" t="str">
        <x:v>Observed value</x:v>
      </x:c>
      <x:c r="E4" s="11" t="str">
        <x:v>Unit</x:v>
      </x:c>
      <x:c r="F4" s="11" t="str">
        <x:v>State</x:v>
      </x:c>
    </x:row>
    <x:row r="5">
      <x:c r="A5" s="14" t="str">
        <x:v>Opening custody</x:v>
      </x:c>
      <x:c r="B5" s="14" t="str">
        <x:v>Input</x:v>
      </x:c>
      <x:c r="C5" s="14" t="n">
        <x:v>0</x:v>
      </x:c>
      <x:c r="D5" s="14" t="str"/>
      <x:c r="E5" s="14" t="str">
        <x:v>REGISTERED</x:v>
      </x:c>
      <x:c r="F5" s="14" t="str">
        <x:v>OPEN</x:v>
      </x:c>
    </x:row>
    <x:row r="6">
      <x:c r="A6" s="15" t="str">
        <x:v>Registered creation</x:v>
      </x:c>
      <x:c r="B6" s="15" t="str">
        <x:v>Input</x:v>
      </x:c>
      <x:c r="C6" s="15" t="n">
        <x:v>0</x:v>
      </x:c>
      <x:c r="D6" s="15" t="str"/>
      <x:c r="E6" s="15" t="str">
        <x:v>REGISTERED</x:v>
      </x:c>
      <x:c r="F6" s="15" t="str">
        <x:v>OPEN</x:v>
      </x:c>
    </x:row>
    <x:row r="7">
      <x:c r="A7" s="14" t="str">
        <x:v>Authorized use</x:v>
      </x:c>
      <x:c r="B7" s="14" t="str">
        <x:v>Output</x:v>
      </x:c>
      <x:c r="C7" s="14" t="n">
        <x:v>0</x:v>
      </x:c>
      <x:c r="D7" s="14" t="str"/>
      <x:c r="E7" s="14" t="str">
        <x:v>REGISTERED</x:v>
      </x:c>
      <x:c r="F7" s="14" t="str">
        <x:v>OPEN</x:v>
      </x:c>
    </x:row>
    <x:row r="8">
      <x:c r="A8" s="15" t="str">
        <x:v>Transferred custody</x:v>
      </x:c>
      <x:c r="B8" s="15" t="str">
        <x:v>Output</x:v>
      </x:c>
      <x:c r="C8" s="15" t="n">
        <x:v>0</x:v>
      </x:c>
      <x:c r="D8" s="15" t="str"/>
      <x:c r="E8" s="15" t="str">
        <x:v>REGISTERED</x:v>
      </x:c>
      <x:c r="F8" s="15" t="str">
        <x:v>OPEN</x:v>
      </x:c>
    </x:row>
    <x:row r="9">
      <x:c r="A9" s="14" t="str">
        <x:v>Retained custody</x:v>
      </x:c>
      <x:c r="B9" s="14" t="str">
        <x:v>Output</x:v>
      </x:c>
      <x:c r="C9" s="14" t="n">
        <x:v>0</x:v>
      </x:c>
      <x:c r="D9" s="14" t="str"/>
      <x:c r="E9" s="14" t="str">
        <x:v>REGISTERED</x:v>
      </x:c>
      <x:c r="F9" s="14" t="str">
        <x:v>OPEN</x:v>
      </x:c>
    </x:row>
    <x:row r="10">
      <x:c r="A10" s="15" t="str">
        <x:v>Terminal waste</x:v>
      </x:c>
      <x:c r="B10" s="15" t="str">
        <x:v>Output</x:v>
      </x:c>
      <x:c r="C10" s="15" t="n">
        <x:v>0</x:v>
      </x:c>
      <x:c r="D10" s="15" t="str"/>
      <x:c r="E10" s="15" t="str">
        <x:v>REGISTERED</x:v>
      </x:c>
      <x:c r="F10" s="15" t="str">
        <x:v>OPEN</x:v>
      </x:c>
    </x:row>
    <x:row r="11">
      <x:c r="A11" s="14" t="str">
        <x:v>Environment</x:v>
      </x:c>
      <x:c r="B11" s="14" t="str">
        <x:v>Output</x:v>
      </x:c>
      <x:c r="C11" s="14" t="n">
        <x:v>0</x:v>
      </x:c>
      <x:c r="D11" s="14" t="str"/>
      <x:c r="E11" s="14" t="str">
        <x:v>REGISTERED</x:v>
      </x:c>
      <x:c r="F11" s="14" t="str">
        <x:v>OPEN</x:v>
      </x:c>
    </x:row>
    <x:row r="12">
      <x:c r="A12" s="15" t="str">
        <x:v>Unexplained balance</x:v>
      </x:c>
      <x:c r="B12" s="15" t="str">
        <x:v>Calculated</x:v>
      </x:c>
      <x:c r="C12" s="15" t="n">
        <x:v>0</x:v>
      </x:c>
      <x:c r="D12" s="15" t="str"/>
      <x:c r="E12" s="15" t="str">
        <x:v>REGISTERED</x:v>
      </x:c>
      <x:c r="F12" s="15" t="str">
        <x:v>MUST EQUAL ZERO</x:v>
      </x:c>
    </x:row>
  </x:sheetData>
  <x:mergeCells>
    <x:mergeCell ref="A1:F1"/>
    <x:mergeCell ref="A2:F2"/>
  </x:mergeCells>
  <x:pageMargins left="0.7" right="0.7" top="0.75" bottom="0.75" header="0.3" footer="0.3"/>
</x:worksheet>
</file>

<file path=xl/worksheets/sheet3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8" hidden="0" customWidth="1"/>
    <x:col min="4" max="4" width="18" hidden="0" customWidth="1"/>
    <x:col min="5" max="5" width="16" hidden="0" customWidth="1"/>
    <x:col min="6" max="6" width="20" hidden="0" customWidth="1"/>
  </x:cols>
  <x:sheetData>
    <x:row r="1" ht="26" customHeight="1">
      <x:c r="A1" s="43" t="str">
        <x:v>Atmosphere account</x:v>
      </x:c>
      <x:c r="B1" s="35"/>
      <x:c r="C1" s="35"/>
      <x:c r="D1" s="35"/>
      <x:c r="E1" s="35"/>
      <x:c r="F1" s="35"/>
    </x:row>
    <x:row r="2" ht="32" customHeight="1">
      <x:c r="A2" s="7" t="str">
        <x:v>A blank is not a numerical zero. Every terminal destination retains identity.</x:v>
      </x:c>
      <x:c r="B2" s="35"/>
      <x:c r="C2" s="35"/>
      <x:c r="D2" s="35"/>
      <x:c r="E2" s="35"/>
      <x:c r="F2" s="35"/>
    </x:row>
    <x:row r="3">
      <x:c r="A3" s="35"/>
      <x:c r="B3" s="35"/>
      <x:c r="C3" s="35"/>
      <x:c r="D3" s="35"/>
      <x:c r="E3" s="35"/>
      <x:c r="F3" s="35"/>
    </x:row>
    <x:row r="4" ht="28" customHeight="1">
      <x:c r="A4" s="11" t="str">
        <x:v>Line</x:v>
      </x:c>
      <x:c r="B4" s="11" t="str">
        <x:v>Class</x:v>
      </x:c>
      <x:c r="C4" s="11" t="str">
        <x:v>Planning value</x:v>
      </x:c>
      <x:c r="D4" s="11" t="str">
        <x:v>Observed value</x:v>
      </x:c>
      <x:c r="E4" s="11" t="str">
        <x:v>Unit</x:v>
      </x:c>
      <x:c r="F4" s="11" t="str">
        <x:v>State</x:v>
      </x:c>
    </x:row>
    <x:row r="5">
      <x:c r="A5" s="14" t="str">
        <x:v>Opening custody</x:v>
      </x:c>
      <x:c r="B5" s="14" t="str">
        <x:v>Input</x:v>
      </x:c>
      <x:c r="C5" s="14" t="n">
        <x:v>0</x:v>
      </x:c>
      <x:c r="D5" s="14" t="str"/>
      <x:c r="E5" s="14" t="str">
        <x:v>REGISTERED</x:v>
      </x:c>
      <x:c r="F5" s="14" t="str">
        <x:v>OPEN</x:v>
      </x:c>
    </x:row>
    <x:row r="6">
      <x:c r="A6" s="15" t="str">
        <x:v>Registered creation</x:v>
      </x:c>
      <x:c r="B6" s="15" t="str">
        <x:v>Input</x:v>
      </x:c>
      <x:c r="C6" s="15" t="n">
        <x:v>0</x:v>
      </x:c>
      <x:c r="D6" s="15" t="str"/>
      <x:c r="E6" s="15" t="str">
        <x:v>REGISTERED</x:v>
      </x:c>
      <x:c r="F6" s="15" t="str">
        <x:v>OPEN</x:v>
      </x:c>
    </x:row>
    <x:row r="7">
      <x:c r="A7" s="14" t="str">
        <x:v>Authorized use</x:v>
      </x:c>
      <x:c r="B7" s="14" t="str">
        <x:v>Output</x:v>
      </x:c>
      <x:c r="C7" s="14" t="n">
        <x:v>0</x:v>
      </x:c>
      <x:c r="D7" s="14" t="str"/>
      <x:c r="E7" s="14" t="str">
        <x:v>REGISTERED</x:v>
      </x:c>
      <x:c r="F7" s="14" t="str">
        <x:v>OPEN</x:v>
      </x:c>
    </x:row>
    <x:row r="8">
      <x:c r="A8" s="15" t="str">
        <x:v>Transferred custody</x:v>
      </x:c>
      <x:c r="B8" s="15" t="str">
        <x:v>Output</x:v>
      </x:c>
      <x:c r="C8" s="15" t="n">
        <x:v>0</x:v>
      </x:c>
      <x:c r="D8" s="15" t="str"/>
      <x:c r="E8" s="15" t="str">
        <x:v>REGISTERED</x:v>
      </x:c>
      <x:c r="F8" s="15" t="str">
        <x:v>OPEN</x:v>
      </x:c>
    </x:row>
    <x:row r="9">
      <x:c r="A9" s="14" t="str">
        <x:v>Retained custody</x:v>
      </x:c>
      <x:c r="B9" s="14" t="str">
        <x:v>Output</x:v>
      </x:c>
      <x:c r="C9" s="14" t="n">
        <x:v>0</x:v>
      </x:c>
      <x:c r="D9" s="14" t="str"/>
      <x:c r="E9" s="14" t="str">
        <x:v>REGISTERED</x:v>
      </x:c>
      <x:c r="F9" s="14" t="str">
        <x:v>OPEN</x:v>
      </x:c>
    </x:row>
    <x:row r="10">
      <x:c r="A10" s="15" t="str">
        <x:v>Terminal waste</x:v>
      </x:c>
      <x:c r="B10" s="15" t="str">
        <x:v>Output</x:v>
      </x:c>
      <x:c r="C10" s="15" t="n">
        <x:v>0</x:v>
      </x:c>
      <x:c r="D10" s="15" t="str"/>
      <x:c r="E10" s="15" t="str">
        <x:v>REGISTERED</x:v>
      </x:c>
      <x:c r="F10" s="15" t="str">
        <x:v>OPEN</x:v>
      </x:c>
    </x:row>
    <x:row r="11">
      <x:c r="A11" s="14" t="str">
        <x:v>Environment</x:v>
      </x:c>
      <x:c r="B11" s="14" t="str">
        <x:v>Output</x:v>
      </x:c>
      <x:c r="C11" s="14" t="n">
        <x:v>0</x:v>
      </x:c>
      <x:c r="D11" s="14" t="str"/>
      <x:c r="E11" s="14" t="str">
        <x:v>REGISTERED</x:v>
      </x:c>
      <x:c r="F11" s="14" t="str">
        <x:v>OPEN</x:v>
      </x:c>
    </x:row>
    <x:row r="12">
      <x:c r="A12" s="15" t="str">
        <x:v>Unexplained balance</x:v>
      </x:c>
      <x:c r="B12" s="15" t="str">
        <x:v>Calculated</x:v>
      </x:c>
      <x:c r="C12" s="15" t="n">
        <x:v>0</x:v>
      </x:c>
      <x:c r="D12" s="15" t="str"/>
      <x:c r="E12" s="15" t="str">
        <x:v>REGISTERED</x:v>
      </x:c>
      <x:c r="F12" s="15" t="str">
        <x:v>MUST EQUAL ZERO</x:v>
      </x:c>
    </x:row>
  </x:sheetData>
  <x:mergeCells>
    <x:mergeCell ref="A1:F1"/>
    <x:mergeCell ref="A2:F2"/>
  </x:mergeCells>
  <x:pageMargins left="0.7" right="0.7" top="0.75" bottom="0.75" header="0.3" footer="0.3"/>
</x:worksheet>
</file>

<file path=xl/worksheets/sheet3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52" hidden="0" customWidth="1"/>
    <x:col min="3" max="3" width="32" hidden="0" customWidth="1"/>
    <x:col min="4" max="4" width="14" hidden="0" customWidth="1"/>
  </x:cols>
  <x:sheetData>
    <x:row r="1" ht="26" customHeight="1">
      <x:c r="A1" s="43" t="str">
        <x:v>Public intervention ledger</x:v>
      </x:c>
      <x:c r="B1" s="35"/>
      <x:c r="C1" s="35"/>
      <x:c r="D1" s="35"/>
    </x:row>
    <x:row r="2" ht="32" customHeight="1">
      <x:c r="A2" s="7" t="str">
        <x:v>Public action remains independent of candidate permission and credit.</x:v>
      </x:c>
      <x:c r="B2" s="35"/>
      <x:c r="C2" s="35"/>
      <x:c r="D2" s="35"/>
    </x:row>
    <x:row r="3">
      <x:c r="A3" s="35"/>
      <x:c r="B3" s="35"/>
      <x:c r="C3" s="35"/>
      <x:c r="D3" s="35"/>
    </x:row>
    <x:row r="4" ht="28" customHeight="1">
      <x:c r="A4" s="11" t="str">
        <x:v>Field</x:v>
      </x:c>
      <x:c r="B4" s="11" t="str">
        <x:v>Required content</x:v>
      </x:c>
      <x:c r="C4" s="11" t="str">
        <x:v>Observed object</x:v>
      </x:c>
      <x:c r="D4" s="11" t="str">
        <x:v>State</x:v>
      </x:c>
    </x:row>
    <x:row r="5">
      <x:c r="A5" s="14" t="str">
        <x:v>Authority</x:v>
      </x:c>
      <x:c r="B5" s="14" t="str">
        <x:v>Named public authority and trigger</x:v>
      </x:c>
      <x:c r="C5" s="14" t="str"/>
      <x:c r="D5" s="14" t="str">
        <x:v>OPEN</x:v>
      </x:c>
    </x:row>
    <x:row r="6">
      <x:c r="A6" s="15" t="str">
        <x:v>First command</x:v>
      </x:c>
      <x:c r="B6" s="15" t="str">
        <x:v>Local causal time</x:v>
      </x:c>
      <x:c r="C6" s="15" t="str"/>
      <x:c r="D6" s="15" t="str">
        <x:v>OPEN</x:v>
      </x:c>
    </x:row>
    <x:row r="7">
      <x:c r="A7" s="14" t="str">
        <x:v>First physical action</x:v>
      </x:c>
      <x:c r="B7" s="14" t="str">
        <x:v>Independent physical witness</x:v>
      </x:c>
      <x:c r="C7" s="14" t="str"/>
      <x:c r="D7" s="14" t="str">
        <x:v>OPEN</x:v>
      </x:c>
    </x:row>
    <x:row r="8">
      <x:c r="A8" s="15" t="str">
        <x:v>Material</x:v>
      </x:c>
      <x:c r="B8" s="15" t="str">
        <x:v>Lot, quantity and route</x:v>
      </x:c>
      <x:c r="C8" s="15" t="str"/>
      <x:c r="D8" s="15" t="str">
        <x:v>OPEN</x:v>
      </x:c>
    </x:row>
    <x:row r="9">
      <x:c r="A9" s="14" t="str">
        <x:v>Spatial contact</x:v>
      </x:c>
      <x:c r="B9" s="14" t="str">
        <x:v>Affected zones and roots</x:v>
      </x:c>
      <x:c r="C9" s="14" t="str"/>
      <x:c r="D9" s="14" t="str">
        <x:v>OPEN</x:v>
      </x:c>
    </x:row>
    <x:row r="10">
      <x:c r="A10" s="15" t="str">
        <x:v>Casualties reached</x:v>
      </x:c>
      <x:c r="B10" s="15" t="str">
        <x:v>Identity-preserving public record</x:v>
      </x:c>
      <x:c r="C10" s="15" t="str"/>
      <x:c r="D10" s="15" t="str">
        <x:v>OPEN</x:v>
      </x:c>
    </x:row>
    <x:row r="11">
      <x:c r="A11" s="14" t="str">
        <x:v>Terminal custody</x:v>
      </x:c>
      <x:c r="B11" s="14" t="str">
        <x:v>Material, samples and waste</x:v>
      </x:c>
      <x:c r="C11" s="14" t="str"/>
      <x:c r="D11" s="14" t="str">
        <x:v>OPEN</x:v>
      </x:c>
    </x:row>
    <x:row r="12">
      <x:c r="A12" s="15" t="str">
        <x:v>Independent effect</x:v>
      </x:c>
      <x:c r="B12" s="15" t="str">
        <x:v>Separate public and candidate effect</x:v>
      </x:c>
      <x:c r="C12" s="15" t="str"/>
      <x:c r="D12" s="15" t="str">
        <x:v>OPEN</x:v>
      </x:c>
    </x:row>
  </x:sheetData>
  <x:mergeCells>
    <x:mergeCell ref="A1:D1"/>
    <x:mergeCell ref="A2:D2"/>
  </x:mergeCells>
  <x:pageMargins left="0.7" right="0.7" top="0.75" bottom="0.75" header="0.3" footer="0.3"/>
</x:worksheet>
</file>

<file path=xl/worksheets/sheet4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58" hidden="0" customWidth="1"/>
    <x:col min="3" max="3" width="14" hidden="0" customWidth="1"/>
  </x:cols>
  <x:sheetData>
    <x:row r="1" ht="26" customHeight="1">
      <x:c r="A1" s="43" t="str">
        <x:v>Source-water contact ledger</x:v>
      </x:c>
      <x:c r="B1" s="35"/>
      <x:c r="C1" s="35"/>
    </x:row>
    <x:row r="2" ht="32" customHeight="1">
      <x:c r="A2" s="7" t="str">
        <x:v>Contact requires location, time, residence and terminal route.</x:v>
      </x:c>
      <x:c r="B2" s="35"/>
      <x:c r="C2" s="35"/>
    </x:row>
    <x:row r="3">
      <x:c r="A3" s="35"/>
      <x:c r="B3" s="35"/>
      <x:c r="C3" s="35"/>
    </x:row>
    <x:row r="4" ht="28" customHeight="1">
      <x:c r="A4" s="11" t="str">
        <x:v>Field</x:v>
      </x:c>
      <x:c r="B4" s="11" t="str">
        <x:v>Required content</x:v>
      </x:c>
      <x:c r="C4" s="11" t="str">
        <x:v>State</x:v>
      </x:c>
    </x:row>
    <x:row r="5">
      <x:c r="A5" s="14" t="str">
        <x:v>First contact</x:v>
      </x:c>
      <x:c r="B5" s="14" t="str">
        <x:v>Zone and local causal time</x:v>
      </x:c>
      <x:c r="C5" s="14" t="str">
        <x:v>OPEN</x:v>
      </x:c>
    </x:row>
    <x:row r="6">
      <x:c r="A6" s="15" t="str">
        <x:v>Wetted fraction</x:v>
      </x:c>
      <x:c r="B6" s="15" t="str">
        <x:v>Depth and zone</x:v>
      </x:c>
      <x:c r="C6" s="15" t="str">
        <x:v>OPEN</x:v>
      </x:c>
    </x:row>
    <x:row r="7">
      <x:c r="A7" s="14" t="str">
        <x:v>Residence</x:v>
      </x:c>
      <x:c r="B7" s="14" t="str">
        <x:v>Repeated contact and bypass</x:v>
      </x:c>
      <x:c r="C7" s="14" t="str">
        <x:v>OPEN</x:v>
      </x:c>
    </x:row>
    <x:row r="8">
      <x:c r="A8" s="15" t="str">
        <x:v>Penetration</x:v>
      </x:c>
      <x:c r="B8" s="15" t="str">
        <x:v>Depth and route</x:v>
      </x:c>
      <x:c r="C8" s="15" t="str">
        <x:v>OPEN</x:v>
      </x:c>
    </x:row>
    <x:row r="9">
      <x:c r="A9" s="14" t="str">
        <x:v>Displacement</x:v>
      </x:c>
      <x:c r="B9" s="14" t="str">
        <x:v>Source geometry change</x:v>
      </x:c>
      <x:c r="C9" s="14" t="str">
        <x:v>OPEN</x:v>
      </x:c>
    </x:row>
    <x:row r="10">
      <x:c r="A10" s="15" t="str">
        <x:v>Entrainment</x:v>
      </x:c>
      <x:c r="B10" s="15" t="str">
        <x:v>Source carried in water</x:v>
      </x:c>
      <x:c r="C10" s="15" t="str">
        <x:v>OPEN</x:v>
      </x:c>
    </x:row>
    <x:row r="11">
      <x:c r="A11" s="14" t="str">
        <x:v>Departure</x:v>
      </x:c>
      <x:c r="B11" s="14" t="str">
        <x:v>Mixed-phase route and time</x:v>
      </x:c>
      <x:c r="C11" s="14" t="str">
        <x:v>OPEN</x:v>
      </x:c>
    </x:row>
    <x:row r="12">
      <x:c r="A12" s="15" t="str">
        <x:v>Separation</x:v>
      </x:c>
      <x:c r="B12" s="15" t="str">
        <x:v>Terminal source and water states</x:v>
      </x:c>
      <x:c r="C12" s="15" t="str">
        <x:v>OPEN</x:v>
      </x:c>
    </x:row>
  </x:sheetData>
  <x:mergeCells>
    <x:mergeCell ref="A1:C1"/>
    <x:mergeCell ref="A2:C2"/>
  </x:mergeCells>
  <x:pageMargins left="0.7" right="0.7" top="0.75" bottom="0.75" header="0.3" footer="0.3"/>
</x:worksheet>
</file>

<file path=xl/worksheets/sheet4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66" hidden="0" customWidth="1"/>
    <x:col min="3" max="3" width="18" hidden="0" customWidth="1"/>
    <x:col min="4" max="4" width="24" hidden="0" customWidth="1"/>
    <x:col min="5" max="5" width="48" hidden="0" customWidth="1"/>
  </x:cols>
  <x:sheetData>
    <x:row r="1" ht="26" customHeight="1">
      <x:c r="A1" s="43" t="str">
        <x:v>Service-state ledger</x:v>
      </x:c>
      <x:c r="B1" s="35"/>
      <x:c r="C1" s="35"/>
      <x:c r="D1" s="35"/>
      <x:c r="E1" s="35"/>
    </x:row>
    <x:row r="2" ht="32" customHeight="1">
      <x:c r="A2" s="7" t="str">
        <x:v>UNKNOWN blocks issue. Replacements retain identity, capacity, time and authority.</x:v>
      </x:c>
      <x:c r="B2" s="35"/>
      <x:c r="C2" s="35"/>
      <x:c r="D2" s="35"/>
      <x:c r="E2" s="35"/>
    </x:row>
    <x:row r="3">
      <x:c r="A3" s="35"/>
      <x:c r="B3" s="35"/>
      <x:c r="C3" s="35"/>
      <x:c r="D3" s="35"/>
      <x:c r="E3" s="35"/>
    </x:row>
    <x:row r="4" ht="28" customHeight="1">
      <x:c r="A4" s="11" t="str">
        <x:v>Service</x:v>
      </x:c>
      <x:c r="B4" s="11" t="str">
        <x:v>Allowed states</x:v>
      </x:c>
      <x:c r="C4" s="11" t="str">
        <x:v>Start state</x:v>
      </x:c>
      <x:c r="D4" s="11" t="str">
        <x:v>Replacement</x:v>
      </x:c>
      <x:c r="E4" s="11" t="str">
        <x:v>Native evidence</x:v>
      </x:c>
    </x:row>
    <x:row r="5">
      <x:c r="A5" s="14" t="str">
        <x:v>Energy</x:v>
      </x:c>
      <x:c r="B5" s="14" t="str">
        <x:v>AVAILABLE / DENIED / ISOLATED / DEGRADED / REPLACED / FAILED SAFE / UNKNOWN</x:v>
      </x:c>
      <x:c r="C5" s="14" t="str">
        <x:v>UNKNOWN</x:v>
      </x:c>
      <x:c r="D5" s="14" t="str"/>
      <x:c r="E5" s="14" t="str">
        <x:v>Stored source; conversion; distribution; protection</x:v>
      </x:c>
    </x:row>
    <x:row r="6">
      <x:c r="A6" s="15" t="str">
        <x:v>Hydraulic</x:v>
      </x:c>
      <x:c r="B6" s="15" t="str">
        <x:v>AVAILABLE / DENIED / ISOLATED / DEGRADED / REPLACED / FAILED SAFE / UNKNOWN</x:v>
      </x:c>
      <x:c r="C6" s="15" t="str">
        <x:v>UNKNOWN</x:v>
      </x:c>
      <x:c r="D6" s="15" t="str"/>
      <x:c r="E6" s="15" t="str">
        <x:v>Stored water; issue energy; morphology; isolation</x:v>
      </x:c>
    </x:row>
    <x:row r="7">
      <x:c r="A7" s="14" t="str">
        <x:v>Thermal</x:v>
      </x:c>
      <x:c r="B7" s="14" t="str">
        <x:v>AVAILABLE / DENIED / ISOLATED / DEGRADED / REPLACED / FAILED SAFE / UNKNOWN</x:v>
      </x:c>
      <x:c r="C7" s="14" t="str">
        <x:v>UNKNOWN</x:v>
      </x:c>
      <x:c r="D7" s="14" t="str"/>
      <x:c r="E7" s="14" t="str">
        <x:v>Local cooling; exhaust; condensate; safe rejection</x:v>
      </x:c>
    </x:row>
    <x:row r="8">
      <x:c r="A8" s="15" t="str">
        <x:v>Command</x:v>
      </x:c>
      <x:c r="B8" s="15" t="str">
        <x:v>AVAILABLE / DENIED / ISOLATED / DEGRADED / REPLACED / FAILED SAFE / UNKNOWN</x:v>
      </x:c>
      <x:c r="C8" s="15" t="str">
        <x:v>UNKNOWN</x:v>
      </x:c>
      <x:c r="D8" s="15" t="str"/>
      <x:c r="E8" s="15" t="str">
        <x:v>Local state machine; human authority; hardwired safeing</x:v>
      </x:c>
    </x:row>
    <x:row r="9">
      <x:c r="A9" s="14" t="str">
        <x:v>Time and evidence</x:v>
      </x:c>
      <x:c r="B9" s="14" t="str">
        <x:v>AVAILABLE / DENIED / ISOLATED / DEGRADED / REPLACED / FAILED SAFE / UNKNOWN</x:v>
      </x:c>
      <x:c r="C9" s="14" t="str">
        <x:v>UNKNOWN</x:v>
      </x:c>
      <x:c r="D9" s="14" t="str"/>
      <x:c r="E9" s="14" t="str">
        <x:v>Local clocks; two stores; signing; custody</x:v>
      </x:c>
    </x:row>
    <x:row r="10">
      <x:c r="A10" s="15" t="str">
        <x:v>Receiver and environment</x:v>
      </x:c>
      <x:c r="B10" s="15" t="str">
        <x:v>AVAILABLE / DENIED / ISOLATED / DEGRADED / REPLACED / FAILED SAFE / UNKNOWN</x:v>
      </x:c>
      <x:c r="C10" s="15" t="str">
        <x:v>UNKNOWN</x:v>
      </x:c>
      <x:c r="D10" s="15" t="str"/>
      <x:c r="E10" s="15" t="str">
        <x:v>Zoned capture; overflow; samples; terminal custody</x:v>
      </x:c>
    </x:row>
  </x:sheetData>
  <x:mergeCells>
    <x:mergeCell ref="A1:E1"/>
    <x:mergeCell ref="A2:E2"/>
  </x:mergeCells>
  <x:pageMargins left="0.7" right="0.7" top="0.75" bottom="0.75" header="0.3" footer="0.3"/>
</x:worksheet>
</file>

<file path=xl/worksheets/sheet4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40" hidden="0" customWidth="1"/>
    <x:col min="2" max="2" width="22" hidden="0" customWidth="1"/>
    <x:col min="3" max="3" width="18" hidden="0" customWidth="1"/>
    <x:col min="4" max="4" width="54" hidden="0" customWidth="1"/>
  </x:cols>
  <x:sheetData>
    <x:row r="1" ht="26" customHeight="1">
      <x:c r="A1" s="43" t="str">
        <x:v>Evidence capacity model</x:v>
      </x:c>
      <x:c r="B1" s="35"/>
      <x:c r="C1" s="35"/>
      <x:c r="D1" s="35"/>
    </x:row>
    <x:row r="2" ht="32" customHeight="1">
      <x:c r="A2" s="7" t="str">
        <x:v>Two native originals and explicit custody reserve set the storage boundary.</x:v>
      </x:c>
      <x:c r="B2" s="35"/>
      <x:c r="C2" s="35"/>
      <x:c r="D2" s="35"/>
    </x:row>
    <x:row r="3">
      <x:c r="A3" s="35"/>
      <x:c r="B3" s="35"/>
      <x:c r="C3" s="35"/>
      <x:c r="D3" s="35"/>
    </x:row>
    <x:row r="4" ht="28" customHeight="1">
      <x:c r="A4" s="11" t="str">
        <x:v>Metric</x:v>
      </x:c>
      <x:c r="B4" s="11" t="str">
        <x:v>Formula result</x:v>
      </x:c>
      <x:c r="C4" s="11" t="str">
        <x:v>Unit</x:v>
      </x:c>
      <x:c r="D4" s="11" t="str">
        <x:v>Authority</x:v>
      </x:c>
    </x:row>
    <x:row r="5">
      <x:c r="A5" s="14" t="str">
        <x:v>High-rate raw</x:v>
      </x:c>
      <x:c r="B5" s="18" t="n">
        <x:f>Assumptions!B35*2*3600</x:f>
        <x:v>2764800</x:v>
      </x:c>
      <x:c r="C5" s="14" t="str">
        <x:v>MB</x:v>
      </x:c>
      <x:c r="D5" s="14" t="str">
        <x:v>384 MB/s for two hours</x:v>
      </x:c>
    </x:row>
    <x:row r="6">
      <x:c r="A6" s="15" t="str">
        <x:v>Mid-rate raw</x:v>
      </x:c>
      <x:c r="B6" s="19" t="n">
        <x:f>Assumptions!B36*(24-2)*3600</x:f>
        <x:v>665280</x:v>
      </x:c>
      <x:c r="C6" s="15" t="str">
        <x:v>MB</x:v>
      </x:c>
      <x:c r="D6" s="15" t="str">
        <x:v>8.4 MB/s from hour 2 to 24</x:v>
      </x:c>
    </x:row>
    <x:row r="7">
      <x:c r="A7" s="14" t="str">
        <x:v>Low-rate raw</x:v>
      </x:c>
      <x:c r="B7" s="18" t="n">
        <x:f>Assumptions!B37*(Assumptions!B26-24)*3600</x:f>
        <x:v>229478.4</x:v>
      </x:c>
      <x:c r="C7" s="14" t="str">
        <x:v>MB</x:v>
      </x:c>
      <x:c r="D7" s="14" t="str">
        <x:v>0.032 MB/s from hour 24 to 2016</x:v>
      </x:c>
    </x:row>
    <x:row r="8">
      <x:c r="A8" s="15" t="str">
        <x:v>Raw per energetic cycle</x:v>
      </x:c>
      <x:c r="B8" s="19" t="n">
        <x:f>SUM(B5:B7)</x:f>
        <x:v>3659558.4</x:v>
      </x:c>
      <x:c r="C8" s="15" t="str">
        <x:v>MB</x:v>
      </x:c>
      <x:c r="D8" s="15" t="str">
        <x:v>Raw sum</x:v>
      </x:c>
    </x:row>
    <x:row r="9">
      <x:c r="A9" s="14" t="str">
        <x:v>Governed per energetic cycle</x:v>
      </x:c>
      <x:c r="B9" s="18" t="n">
        <x:f>B8*Assumptions!B39*Assumptions!B38/1000</x:f>
        <x:v>9880.80768</x:v>
      </x:c>
      <x:c r="C9" s="14" t="str">
        <x:v>GB</x:v>
      </x:c>
      <x:c r="D9" s="14" t="str">
        <x:v>Two originals plus custody factor</x:v>
      </x:c>
    </x:row>
    <x:row r="10">
      <x:c r="A10" s="15" t="str">
        <x:v>Energetic cycles</x:v>
      </x:c>
      <x:c r="B10" s="19" t="n">
        <x:f>Assumptions!B18*Assumptions!B19+Assumptions!B20+Assumptions!B21</x:f>
        <x:v>196</x:v>
      </x:c>
      <x:c r="C10" s="15" t="str">
        <x:v>cycles</x:v>
      </x:c>
      <x:c r="D10" s="15" t="str">
        <x:v>180 qualification plus 16 possible exact attempts</x:v>
      </x:c>
    </x:row>
    <x:row r="11">
      <x:c r="A11" s="14" t="str">
        <x:v>Energetic governed total</x:v>
      </x:c>
      <x:c r="B11" s="18" t="n">
        <x:f>B9*B10</x:f>
        <x:v>1936638.30528</x:v>
      </x:c>
      <x:c r="C11" s="14" t="str">
        <x:v>GB</x:v>
      </x:c>
      <x:c r="D11" s="14" t="str">
        <x:v>Energetic cycles</x:v>
      </x:c>
    </x:row>
    <x:row r="12">
      <x:c r="A12" s="15" t="str">
        <x:v>Candidate records</x:v>
      </x:c>
      <x:c r="B12" s="19" t="n">
        <x:f>Assumptions!B22*Assumptions!B23*28</x:f>
        <x:v>10752</x:v>
      </x:c>
      <x:c r="C12" s="15" t="str">
        <x:v>GB</x:v>
      </x:c>
      <x:c r="D12" s="15" t="str">
        <x:v>384 trials at 28 GB</x:v>
      </x:c>
    </x:row>
    <x:row r="13">
      <x:c r="A13" s="14" t="str">
        <x:v>Comparison records</x:v>
      </x:c>
      <x:c r="B13" s="18" t="n">
        <x:f>Assumptions!B24*24</x:f>
        <x:v>4608</x:v>
      </x:c>
      <x:c r="C13" s="14" t="str">
        <x:v>GB</x:v>
      </x:c>
      <x:c r="D13" s="14" t="str">
        <x:v>192 comparisons at 24 GB</x:v>
      </x:c>
    </x:row>
    <x:row r="14">
      <x:c r="A14" s="15" t="str">
        <x:v>Reconstruction workspaces</x:v>
      </x:c>
      <x:c r="B14" s="19" t="n">
        <x:f>36*6</x:f>
        <x:v>216</x:v>
      </x:c>
      <x:c r="C14" s="15" t="str">
        <x:v>GB</x:v>
      </x:c>
      <x:c r="D14" s="15" t="str">
        <x:v>36 cases at 6 GB</x:v>
      </x:c>
    </x:row>
    <x:row r="15">
      <x:c r="A15" s="14" t="str">
        <x:v>Subtotal</x:v>
      </x:c>
      <x:c r="B15" s="18" t="n">
        <x:f>SUM(B11:B14)</x:f>
        <x:v>1952214.30528</x:v>
      </x:c>
      <x:c r="C15" s="14" t="str">
        <x:v>GB</x:v>
      </x:c>
      <x:c r="D15" s="14" t="str">
        <x:v>Before reserve</x:v>
      </x:c>
    </x:row>
    <x:row r="16">
      <x:c r="A16" s="15" t="str">
        <x:v>Total with forensic reserve</x:v>
      </x:c>
      <x:c r="B16" s="19" t="n">
        <x:f>B15*(1+Assumptions!B40)</x:f>
        <x:v>2440267.8816</x:v>
      </x:c>
      <x:c r="C16" s="15" t="str">
        <x:v>GB</x:v>
      </x:c>
      <x:c r="D16" s="15" t="str">
        <x:v>25% reserve</x:v>
      </x:c>
    </x:row>
  </x:sheetData>
  <x:mergeCells>
    <x:mergeCell ref="A1:D1"/>
    <x:mergeCell ref="A2:D2"/>
  </x:mergeCells>
  <x:pageMargins left="0.7" right="0.7" top="0.75" bottom="0.75" header="0.3" footer="0.3"/>
</x:worksheet>
</file>

<file path=xl/worksheets/sheet4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2" hidden="0" customWidth="1"/>
    <x:col min="4" max="4" width="34" hidden="0" customWidth="1"/>
    <x:col min="5" max="5" width="16" hidden="0" customWidth="1"/>
  </x:cols>
  <x:sheetData>
    <x:row r="1" ht="26" customHeight="1">
      <x:c r="A1" s="43" t="str">
        <x:v>Module return registry</x:v>
      </x:c>
      <x:c r="B1" s="35"/>
      <x:c r="C1" s="35"/>
      <x:c r="D1" s="35"/>
      <x:c r="E1" s="35"/>
    </x:row>
    <x:row r="2" ht="32" customHeight="1">
      <x:c r="A2" s="7" t="str">
        <x:v>Every serviceable module closes at 1,008 hours.</x:v>
      </x:c>
      <x:c r="B2" s="35"/>
      <x:c r="C2" s="35"/>
      <x:c r="D2" s="35"/>
      <x:c r="E2" s="35"/>
    </x:row>
    <x:row r="3">
      <x:c r="A3" s="35"/>
      <x:c r="B3" s="35"/>
      <x:c r="C3" s="35"/>
      <x:c r="D3" s="35"/>
      <x:c r="E3" s="35"/>
    </x:row>
    <x:row r="4" ht="28" customHeight="1">
      <x:c r="A4" s="11" t="str">
        <x:v>Record</x:v>
      </x:c>
      <x:c r="B4" s="11" t="str">
        <x:v>Module</x:v>
      </x:c>
      <x:c r="C4" s="11" t="str">
        <x:v>Hour</x:v>
      </x:c>
      <x:c r="D4" s="11" t="str">
        <x:v>Observation</x:v>
      </x:c>
      <x:c r="E4" s="11" t="str">
        <x:v>Disposition</x:v>
      </x:c>
    </x:row>
    <x:row r="5">
      <x:c r="A5" s="14" t="str">
        <x:v>MR-001</x:v>
      </x:c>
      <x:c r="B5" s="14" t="str">
        <x:v>CRC-01</x:v>
      </x:c>
      <x:c r="C5" s="14" t="n">
        <x:v>72</x:v>
      </x:c>
      <x:c r="D5" s="14" t="str">
        <x:v>OPEN</x:v>
      </x:c>
      <x:c r="E5" s="14" t="str">
        <x:v>OPEN</x:v>
      </x:c>
    </x:row>
    <x:row r="6">
      <x:c r="A6" s="15" t="str">
        <x:v>MR-002</x:v>
      </x:c>
      <x:c r="B6" s="15" t="str">
        <x:v>CRC-01</x:v>
      </x:c>
      <x:c r="C6" s="15" t="n">
        <x:v>336</x:v>
      </x:c>
      <x:c r="D6" s="15" t="str">
        <x:v>OPEN</x:v>
      </x:c>
      <x:c r="E6" s="15" t="str">
        <x:v>OPEN</x:v>
      </x:c>
    </x:row>
    <x:row r="7">
      <x:c r="A7" s="14" t="str">
        <x:v>MR-003</x:v>
      </x:c>
      <x:c r="B7" s="14" t="str">
        <x:v>CRC-01</x:v>
      </x:c>
      <x:c r="C7" s="14" t="n">
        <x:v>672</x:v>
      </x:c>
      <x:c r="D7" s="14" t="str">
        <x:v>OPEN</x:v>
      </x:c>
      <x:c r="E7" s="14" t="str">
        <x:v>OPEN</x:v>
      </x:c>
    </x:row>
    <x:row r="8">
      <x:c r="A8" s="15" t="str">
        <x:v>MR-004</x:v>
      </x:c>
      <x:c r="B8" s="15" t="str">
        <x:v>CRC-01</x:v>
      </x:c>
      <x:c r="C8" s="15" t="n">
        <x:v>1008</x:v>
      </x:c>
      <x:c r="D8" s="15" t="str">
        <x:v>OPEN</x:v>
      </x:c>
      <x:c r="E8" s="15" t="str">
        <x:v>OPEN</x:v>
      </x:c>
    </x:row>
    <x:row r="9">
      <x:c r="A9" s="14" t="str">
        <x:v>MR-005</x:v>
      </x:c>
      <x:c r="B9" s="14" t="str">
        <x:v>CRC-02</x:v>
      </x:c>
      <x:c r="C9" s="14" t="n">
        <x:v>72</x:v>
      </x:c>
      <x:c r="D9" s="14" t="str">
        <x:v>OPEN</x:v>
      </x:c>
      <x:c r="E9" s="14" t="str">
        <x:v>OPEN</x:v>
      </x:c>
    </x:row>
    <x:row r="10">
      <x:c r="A10" s="15" t="str">
        <x:v>MR-006</x:v>
      </x:c>
      <x:c r="B10" s="15" t="str">
        <x:v>CRC-02</x:v>
      </x:c>
      <x:c r="C10" s="15" t="n">
        <x:v>336</x:v>
      </x:c>
      <x:c r="D10" s="15" t="str">
        <x:v>OPEN</x:v>
      </x:c>
      <x:c r="E10" s="15" t="str">
        <x:v>OPEN</x:v>
      </x:c>
    </x:row>
    <x:row r="11">
      <x:c r="A11" s="14" t="str">
        <x:v>MR-007</x:v>
      </x:c>
      <x:c r="B11" s="14" t="str">
        <x:v>CRC-02</x:v>
      </x:c>
      <x:c r="C11" s="14" t="n">
        <x:v>672</x:v>
      </x:c>
      <x:c r="D11" s="14" t="str">
        <x:v>OPEN</x:v>
      </x:c>
      <x:c r="E11" s="14" t="str">
        <x:v>OPEN</x:v>
      </x:c>
    </x:row>
    <x:row r="12">
      <x:c r="A12" s="15" t="str">
        <x:v>MR-008</x:v>
      </x:c>
      <x:c r="B12" s="15" t="str">
        <x:v>CRC-02</x:v>
      </x:c>
      <x:c r="C12" s="15" t="n">
        <x:v>1008</x:v>
      </x:c>
      <x:c r="D12" s="15" t="str">
        <x:v>OPEN</x:v>
      </x:c>
      <x:c r="E12" s="15" t="str">
        <x:v>OPEN</x:v>
      </x:c>
    </x:row>
    <x:row r="13">
      <x:c r="A13" s="14" t="str">
        <x:v>MR-009</x:v>
      </x:c>
      <x:c r="B13" s="14" t="str">
        <x:v>CRC-03</x:v>
      </x:c>
      <x:c r="C13" s="14" t="n">
        <x:v>72</x:v>
      </x:c>
      <x:c r="D13" s="14" t="str">
        <x:v>OPEN</x:v>
      </x:c>
      <x:c r="E13" s="14" t="str">
        <x:v>OPEN</x:v>
      </x:c>
    </x:row>
    <x:row r="14">
      <x:c r="A14" s="15" t="str">
        <x:v>MR-010</x:v>
      </x:c>
      <x:c r="B14" s="15" t="str">
        <x:v>CRC-03</x:v>
      </x:c>
      <x:c r="C14" s="15" t="n">
        <x:v>336</x:v>
      </x:c>
      <x:c r="D14" s="15" t="str">
        <x:v>OPEN</x:v>
      </x:c>
      <x:c r="E14" s="15" t="str">
        <x:v>OPEN</x:v>
      </x:c>
    </x:row>
    <x:row r="15">
      <x:c r="A15" s="14" t="str">
        <x:v>MR-011</x:v>
      </x:c>
      <x:c r="B15" s="14" t="str">
        <x:v>CRC-03</x:v>
      </x:c>
      <x:c r="C15" s="14" t="n">
        <x:v>672</x:v>
      </x:c>
      <x:c r="D15" s="14" t="str">
        <x:v>OPEN</x:v>
      </x:c>
      <x:c r="E15" s="14" t="str">
        <x:v>OPEN</x:v>
      </x:c>
    </x:row>
    <x:row r="16">
      <x:c r="A16" s="15" t="str">
        <x:v>MR-012</x:v>
      </x:c>
      <x:c r="B16" s="15" t="str">
        <x:v>CRC-03</x:v>
      </x:c>
      <x:c r="C16" s="15" t="n">
        <x:v>1008</x:v>
      </x:c>
      <x:c r="D16" s="15" t="str">
        <x:v>OPEN</x:v>
      </x:c>
      <x:c r="E16" s="15" t="str">
        <x:v>OPEN</x:v>
      </x:c>
    </x:row>
    <x:row r="17">
      <x:c r="A17" s="14" t="str">
        <x:v>MR-013</x:v>
      </x:c>
      <x:c r="B17" s="14" t="str">
        <x:v>CRC-04</x:v>
      </x:c>
      <x:c r="C17" s="14" t="n">
        <x:v>72</x:v>
      </x:c>
      <x:c r="D17" s="14" t="str">
        <x:v>OPEN</x:v>
      </x:c>
      <x:c r="E17" s="14" t="str">
        <x:v>OPEN</x:v>
      </x:c>
    </x:row>
    <x:row r="18">
      <x:c r="A18" s="15" t="str">
        <x:v>MR-014</x:v>
      </x:c>
      <x:c r="B18" s="15" t="str">
        <x:v>CRC-04</x:v>
      </x:c>
      <x:c r="C18" s="15" t="n">
        <x:v>336</x:v>
      </x:c>
      <x:c r="D18" s="15" t="str">
        <x:v>OPEN</x:v>
      </x:c>
      <x:c r="E18" s="15" t="str">
        <x:v>OPEN</x:v>
      </x:c>
    </x:row>
    <x:row r="19">
      <x:c r="A19" s="14" t="str">
        <x:v>MR-015</x:v>
      </x:c>
      <x:c r="B19" s="14" t="str">
        <x:v>CRC-04</x:v>
      </x:c>
      <x:c r="C19" s="14" t="n">
        <x:v>672</x:v>
      </x:c>
      <x:c r="D19" s="14" t="str">
        <x:v>OPEN</x:v>
      </x:c>
      <x:c r="E19" s="14" t="str">
        <x:v>OPEN</x:v>
      </x:c>
    </x:row>
    <x:row r="20">
      <x:c r="A20" s="15" t="str">
        <x:v>MR-016</x:v>
      </x:c>
      <x:c r="B20" s="15" t="str">
        <x:v>CRC-04</x:v>
      </x:c>
      <x:c r="C20" s="15" t="n">
        <x:v>1008</x:v>
      </x:c>
      <x:c r="D20" s="15" t="str">
        <x:v>OPEN</x:v>
      </x:c>
      <x:c r="E20" s="15" t="str">
        <x:v>OPEN</x:v>
      </x:c>
    </x:row>
    <x:row r="21">
      <x:c r="A21" s="14" t="str">
        <x:v>MR-017</x:v>
      </x:c>
      <x:c r="B21" s="14" t="str">
        <x:v>CRC-05</x:v>
      </x:c>
      <x:c r="C21" s="14" t="n">
        <x:v>72</x:v>
      </x:c>
      <x:c r="D21" s="14" t="str">
        <x:v>OPEN</x:v>
      </x:c>
      <x:c r="E21" s="14" t="str">
        <x:v>OPEN</x:v>
      </x:c>
    </x:row>
    <x:row r="22">
      <x:c r="A22" s="15" t="str">
        <x:v>MR-018</x:v>
      </x:c>
      <x:c r="B22" s="15" t="str">
        <x:v>CRC-05</x:v>
      </x:c>
      <x:c r="C22" s="15" t="n">
        <x:v>336</x:v>
      </x:c>
      <x:c r="D22" s="15" t="str">
        <x:v>OPEN</x:v>
      </x:c>
      <x:c r="E22" s="15" t="str">
        <x:v>OPEN</x:v>
      </x:c>
    </x:row>
    <x:row r="23">
      <x:c r="A23" s="14" t="str">
        <x:v>MR-019</x:v>
      </x:c>
      <x:c r="B23" s="14" t="str">
        <x:v>CRC-05</x:v>
      </x:c>
      <x:c r="C23" s="14" t="n">
        <x:v>672</x:v>
      </x:c>
      <x:c r="D23" s="14" t="str">
        <x:v>OPEN</x:v>
      </x:c>
      <x:c r="E23" s="14" t="str">
        <x:v>OPEN</x:v>
      </x:c>
    </x:row>
    <x:row r="24">
      <x:c r="A24" s="15" t="str">
        <x:v>MR-020</x:v>
      </x:c>
      <x:c r="B24" s="15" t="str">
        <x:v>CRC-05</x:v>
      </x:c>
      <x:c r="C24" s="15" t="n">
        <x:v>1008</x:v>
      </x:c>
      <x:c r="D24" s="15" t="str">
        <x:v>OPEN</x:v>
      </x:c>
      <x:c r="E24" s="15" t="str">
        <x:v>OPEN</x:v>
      </x:c>
    </x:row>
    <x:row r="25">
      <x:c r="A25" s="14" t="str">
        <x:v>MR-021</x:v>
      </x:c>
      <x:c r="B25" s="14" t="str">
        <x:v>CRC-06</x:v>
      </x:c>
      <x:c r="C25" s="14" t="n">
        <x:v>72</x:v>
      </x:c>
      <x:c r="D25" s="14" t="str">
        <x:v>OPEN</x:v>
      </x:c>
      <x:c r="E25" s="14" t="str">
        <x:v>OPEN</x:v>
      </x:c>
    </x:row>
    <x:row r="26">
      <x:c r="A26" s="15" t="str">
        <x:v>MR-022</x:v>
      </x:c>
      <x:c r="B26" s="15" t="str">
        <x:v>CRC-06</x:v>
      </x:c>
      <x:c r="C26" s="15" t="n">
        <x:v>336</x:v>
      </x:c>
      <x:c r="D26" s="15" t="str">
        <x:v>OPEN</x:v>
      </x:c>
      <x:c r="E26" s="15" t="str">
        <x:v>OPEN</x:v>
      </x:c>
    </x:row>
    <x:row r="27">
      <x:c r="A27" s="14" t="str">
        <x:v>MR-023</x:v>
      </x:c>
      <x:c r="B27" s="14" t="str">
        <x:v>CRC-06</x:v>
      </x:c>
      <x:c r="C27" s="14" t="n">
        <x:v>672</x:v>
      </x:c>
      <x:c r="D27" s="14" t="str">
        <x:v>OPEN</x:v>
      </x:c>
      <x:c r="E27" s="14" t="str">
        <x:v>OPEN</x:v>
      </x:c>
    </x:row>
    <x:row r="28">
      <x:c r="A28" s="15" t="str">
        <x:v>MR-024</x:v>
      </x:c>
      <x:c r="B28" s="15" t="str">
        <x:v>CRC-06</x:v>
      </x:c>
      <x:c r="C28" s="15" t="n">
        <x:v>1008</x:v>
      </x:c>
      <x:c r="D28" s="15" t="str">
        <x:v>OPEN</x:v>
      </x:c>
      <x:c r="E28" s="15" t="str">
        <x:v>OPEN</x:v>
      </x:c>
    </x:row>
    <x:row r="29">
      <x:c r="A29" s="14" t="str">
        <x:v>MR-025</x:v>
      </x:c>
      <x:c r="B29" s="14" t="str">
        <x:v>CRC-07</x:v>
      </x:c>
      <x:c r="C29" s="14" t="n">
        <x:v>72</x:v>
      </x:c>
      <x:c r="D29" s="14" t="str">
        <x:v>OPEN</x:v>
      </x:c>
      <x:c r="E29" s="14" t="str">
        <x:v>OPEN</x:v>
      </x:c>
    </x:row>
    <x:row r="30">
      <x:c r="A30" s="15" t="str">
        <x:v>MR-026</x:v>
      </x:c>
      <x:c r="B30" s="15" t="str">
        <x:v>CRC-07</x:v>
      </x:c>
      <x:c r="C30" s="15" t="n">
        <x:v>336</x:v>
      </x:c>
      <x:c r="D30" s="15" t="str">
        <x:v>OPEN</x:v>
      </x:c>
      <x:c r="E30" s="15" t="str">
        <x:v>OPEN</x:v>
      </x:c>
    </x:row>
    <x:row r="31">
      <x:c r="A31" s="14" t="str">
        <x:v>MR-027</x:v>
      </x:c>
      <x:c r="B31" s="14" t="str">
        <x:v>CRC-07</x:v>
      </x:c>
      <x:c r="C31" s="14" t="n">
        <x:v>672</x:v>
      </x:c>
      <x:c r="D31" s="14" t="str">
        <x:v>OPEN</x:v>
      </x:c>
      <x:c r="E31" s="14" t="str">
        <x:v>OPEN</x:v>
      </x:c>
    </x:row>
    <x:row r="32">
      <x:c r="A32" s="15" t="str">
        <x:v>MR-028</x:v>
      </x:c>
      <x:c r="B32" s="15" t="str">
        <x:v>CRC-07</x:v>
      </x:c>
      <x:c r="C32" s="15" t="n">
        <x:v>1008</x:v>
      </x:c>
      <x:c r="D32" s="15" t="str">
        <x:v>OPEN</x:v>
      </x:c>
      <x:c r="E32" s="15" t="str">
        <x:v>OPEN</x:v>
      </x:c>
    </x:row>
    <x:row r="33">
      <x:c r="A33" s="14" t="str">
        <x:v>MR-029</x:v>
      </x:c>
      <x:c r="B33" s="14" t="str">
        <x:v>CRC-08</x:v>
      </x:c>
      <x:c r="C33" s="14" t="n">
        <x:v>72</x:v>
      </x:c>
      <x:c r="D33" s="14" t="str">
        <x:v>OPEN</x:v>
      </x:c>
      <x:c r="E33" s="14" t="str">
        <x:v>OPEN</x:v>
      </x:c>
    </x:row>
    <x:row r="34">
      <x:c r="A34" s="15" t="str">
        <x:v>MR-030</x:v>
      </x:c>
      <x:c r="B34" s="15" t="str">
        <x:v>CRC-08</x:v>
      </x:c>
      <x:c r="C34" s="15" t="n">
        <x:v>336</x:v>
      </x:c>
      <x:c r="D34" s="15" t="str">
        <x:v>OPEN</x:v>
      </x:c>
      <x:c r="E34" s="15" t="str">
        <x:v>OPEN</x:v>
      </x:c>
    </x:row>
    <x:row r="35">
      <x:c r="A35" s="14" t="str">
        <x:v>MR-031</x:v>
      </x:c>
      <x:c r="B35" s="14" t="str">
        <x:v>CRC-08</x:v>
      </x:c>
      <x:c r="C35" s="14" t="n">
        <x:v>672</x:v>
      </x:c>
      <x:c r="D35" s="14" t="str">
        <x:v>OPEN</x:v>
      </x:c>
      <x:c r="E35" s="14" t="str">
        <x:v>OPEN</x:v>
      </x:c>
    </x:row>
    <x:row r="36">
      <x:c r="A36" s="15" t="str">
        <x:v>MR-032</x:v>
      </x:c>
      <x:c r="B36" s="15" t="str">
        <x:v>CRC-08</x:v>
      </x:c>
      <x:c r="C36" s="15" t="n">
        <x:v>1008</x:v>
      </x:c>
      <x:c r="D36" s="15" t="str">
        <x:v>OPEN</x:v>
      </x:c>
      <x:c r="E36" s="15" t="str">
        <x:v>OPEN</x:v>
      </x:c>
    </x:row>
    <x:row r="37">
      <x:c r="A37" s="14" t="str">
        <x:v>MR-033</x:v>
      </x:c>
      <x:c r="B37" s="14" t="str">
        <x:v>CRC-09</x:v>
      </x:c>
      <x:c r="C37" s="14" t="n">
        <x:v>72</x:v>
      </x:c>
      <x:c r="D37" s="14" t="str">
        <x:v>OPEN</x:v>
      </x:c>
      <x:c r="E37" s="14" t="str">
        <x:v>OPEN</x:v>
      </x:c>
    </x:row>
    <x:row r="38">
      <x:c r="A38" s="15" t="str">
        <x:v>MR-034</x:v>
      </x:c>
      <x:c r="B38" s="15" t="str">
        <x:v>CRC-09</x:v>
      </x:c>
      <x:c r="C38" s="15" t="n">
        <x:v>336</x:v>
      </x:c>
      <x:c r="D38" s="15" t="str">
        <x:v>OPEN</x:v>
      </x:c>
      <x:c r="E38" s="15" t="str">
        <x:v>OPEN</x:v>
      </x:c>
    </x:row>
    <x:row r="39">
      <x:c r="A39" s="14" t="str">
        <x:v>MR-035</x:v>
      </x:c>
      <x:c r="B39" s="14" t="str">
        <x:v>CRC-09</x:v>
      </x:c>
      <x:c r="C39" s="14" t="n">
        <x:v>672</x:v>
      </x:c>
      <x:c r="D39" s="14" t="str">
        <x:v>OPEN</x:v>
      </x:c>
      <x:c r="E39" s="14" t="str">
        <x:v>OPEN</x:v>
      </x:c>
    </x:row>
    <x:row r="40">
      <x:c r="A40" s="15" t="str">
        <x:v>MR-036</x:v>
      </x:c>
      <x:c r="B40" s="15" t="str">
        <x:v>CRC-09</x:v>
      </x:c>
      <x:c r="C40" s="15" t="n">
        <x:v>1008</x:v>
      </x:c>
      <x:c r="D40" s="15" t="str">
        <x:v>OPEN</x:v>
      </x:c>
      <x:c r="E40" s="15" t="str">
        <x:v>OPEN</x:v>
      </x:c>
    </x:row>
    <x:row r="41">
      <x:c r="A41" s="14" t="str">
        <x:v>MR-037</x:v>
      </x:c>
      <x:c r="B41" s="14" t="str">
        <x:v>CRC-10</x:v>
      </x:c>
      <x:c r="C41" s="14" t="n">
        <x:v>72</x:v>
      </x:c>
      <x:c r="D41" s="14" t="str">
        <x:v>OPEN</x:v>
      </x:c>
      <x:c r="E41" s="14" t="str">
        <x:v>OPEN</x:v>
      </x:c>
    </x:row>
    <x:row r="42">
      <x:c r="A42" s="15" t="str">
        <x:v>MR-038</x:v>
      </x:c>
      <x:c r="B42" s="15" t="str">
        <x:v>CRC-10</x:v>
      </x:c>
      <x:c r="C42" s="15" t="n">
        <x:v>336</x:v>
      </x:c>
      <x:c r="D42" s="15" t="str">
        <x:v>OPEN</x:v>
      </x:c>
      <x:c r="E42" s="15" t="str">
        <x:v>OPEN</x:v>
      </x:c>
    </x:row>
    <x:row r="43">
      <x:c r="A43" s="14" t="str">
        <x:v>MR-039</x:v>
      </x:c>
      <x:c r="B43" s="14" t="str">
        <x:v>CRC-10</x:v>
      </x:c>
      <x:c r="C43" s="14" t="n">
        <x:v>672</x:v>
      </x:c>
      <x:c r="D43" s="14" t="str">
        <x:v>OPEN</x:v>
      </x:c>
      <x:c r="E43" s="14" t="str">
        <x:v>OPEN</x:v>
      </x:c>
    </x:row>
    <x:row r="44">
      <x:c r="A44" s="15" t="str">
        <x:v>MR-040</x:v>
      </x:c>
      <x:c r="B44" s="15" t="str">
        <x:v>CRC-10</x:v>
      </x:c>
      <x:c r="C44" s="15" t="n">
        <x:v>1008</x:v>
      </x:c>
      <x:c r="D44" s="15" t="str">
        <x:v>OPEN</x:v>
      </x:c>
      <x:c r="E44" s="15" t="str">
        <x:v>OPEN</x:v>
      </x:c>
    </x:row>
    <x:row r="45">
      <x:c r="A45" s="14" t="str">
        <x:v>MR-041</x:v>
      </x:c>
      <x:c r="B45" s="14" t="str">
        <x:v>CRC-11</x:v>
      </x:c>
      <x:c r="C45" s="14" t="n">
        <x:v>72</x:v>
      </x:c>
      <x:c r="D45" s="14" t="str">
        <x:v>OPEN</x:v>
      </x:c>
      <x:c r="E45" s="14" t="str">
        <x:v>OPEN</x:v>
      </x:c>
    </x:row>
    <x:row r="46">
      <x:c r="A46" s="15" t="str">
        <x:v>MR-042</x:v>
      </x:c>
      <x:c r="B46" s="15" t="str">
        <x:v>CRC-11</x:v>
      </x:c>
      <x:c r="C46" s="15" t="n">
        <x:v>336</x:v>
      </x:c>
      <x:c r="D46" s="15" t="str">
        <x:v>OPEN</x:v>
      </x:c>
      <x:c r="E46" s="15" t="str">
        <x:v>OPEN</x:v>
      </x:c>
    </x:row>
    <x:row r="47">
      <x:c r="A47" s="14" t="str">
        <x:v>MR-043</x:v>
      </x:c>
      <x:c r="B47" s="14" t="str">
        <x:v>CRC-11</x:v>
      </x:c>
      <x:c r="C47" s="14" t="n">
        <x:v>672</x:v>
      </x:c>
      <x:c r="D47" s="14" t="str">
        <x:v>OPEN</x:v>
      </x:c>
      <x:c r="E47" s="14" t="str">
        <x:v>OPEN</x:v>
      </x:c>
    </x:row>
    <x:row r="48">
      <x:c r="A48" s="15" t="str">
        <x:v>MR-044</x:v>
      </x:c>
      <x:c r="B48" s="15" t="str">
        <x:v>CRC-11</x:v>
      </x:c>
      <x:c r="C48" s="15" t="n">
        <x:v>1008</x:v>
      </x:c>
      <x:c r="D48" s="15" t="str">
        <x:v>OPEN</x:v>
      </x:c>
      <x:c r="E48" s="15" t="str">
        <x:v>OPEN</x:v>
      </x:c>
    </x:row>
    <x:row r="49">
      <x:c r="A49" s="14" t="str">
        <x:v>MR-045</x:v>
      </x:c>
      <x:c r="B49" s="14" t="str">
        <x:v>CRC-12</x:v>
      </x:c>
      <x:c r="C49" s="14" t="n">
        <x:v>72</x:v>
      </x:c>
      <x:c r="D49" s="14" t="str">
        <x:v>OPEN</x:v>
      </x:c>
      <x:c r="E49" s="14" t="str">
        <x:v>OPEN</x:v>
      </x:c>
    </x:row>
    <x:row r="50">
      <x:c r="A50" s="15" t="str">
        <x:v>MR-046</x:v>
      </x:c>
      <x:c r="B50" s="15" t="str">
        <x:v>CRC-12</x:v>
      </x:c>
      <x:c r="C50" s="15" t="n">
        <x:v>336</x:v>
      </x:c>
      <x:c r="D50" s="15" t="str">
        <x:v>OPEN</x:v>
      </x:c>
      <x:c r="E50" s="15" t="str">
        <x:v>OPEN</x:v>
      </x:c>
    </x:row>
    <x:row r="51">
      <x:c r="A51" s="14" t="str">
        <x:v>MR-047</x:v>
      </x:c>
      <x:c r="B51" s="14" t="str">
        <x:v>CRC-12</x:v>
      </x:c>
      <x:c r="C51" s="14" t="n">
        <x:v>672</x:v>
      </x:c>
      <x:c r="D51" s="14" t="str">
        <x:v>OPEN</x:v>
      </x:c>
      <x:c r="E51" s="14" t="str">
        <x:v>OPEN</x:v>
      </x:c>
    </x:row>
    <x:row r="52">
      <x:c r="A52" s="15" t="str">
        <x:v>MR-048</x:v>
      </x:c>
      <x:c r="B52" s="15" t="str">
        <x:v>CRC-12</x:v>
      </x:c>
      <x:c r="C52" s="15" t="n">
        <x:v>1008</x:v>
      </x:c>
      <x:c r="D52" s="15" t="str">
        <x:v>OPEN</x:v>
      </x:c>
      <x:c r="E52" s="15" t="str">
        <x:v>OPEN</x:v>
      </x:c>
    </x:row>
    <x:row r="53">
      <x:c r="A53" s="14" t="str">
        <x:v>MR-049</x:v>
      </x:c>
      <x:c r="B53" s="14" t="str">
        <x:v>CRC-13</x:v>
      </x:c>
      <x:c r="C53" s="14" t="n">
        <x:v>72</x:v>
      </x:c>
      <x:c r="D53" s="14" t="str">
        <x:v>OPEN</x:v>
      </x:c>
      <x:c r="E53" s="14" t="str">
        <x:v>OPEN</x:v>
      </x:c>
    </x:row>
    <x:row r="54">
      <x:c r="A54" s="15" t="str">
        <x:v>MR-050</x:v>
      </x:c>
      <x:c r="B54" s="15" t="str">
        <x:v>CRC-13</x:v>
      </x:c>
      <x:c r="C54" s="15" t="n">
        <x:v>336</x:v>
      </x:c>
      <x:c r="D54" s="15" t="str">
        <x:v>OPEN</x:v>
      </x:c>
      <x:c r="E54" s="15" t="str">
        <x:v>OPEN</x:v>
      </x:c>
    </x:row>
    <x:row r="55">
      <x:c r="A55" s="14" t="str">
        <x:v>MR-051</x:v>
      </x:c>
      <x:c r="B55" s="14" t="str">
        <x:v>CRC-13</x:v>
      </x:c>
      <x:c r="C55" s="14" t="n">
        <x:v>672</x:v>
      </x:c>
      <x:c r="D55" s="14" t="str">
        <x:v>OPEN</x:v>
      </x:c>
      <x:c r="E55" s="14" t="str">
        <x:v>OPEN</x:v>
      </x:c>
    </x:row>
    <x:row r="56">
      <x:c r="A56" s="15" t="str">
        <x:v>MR-052</x:v>
      </x:c>
      <x:c r="B56" s="15" t="str">
        <x:v>CRC-13</x:v>
      </x:c>
      <x:c r="C56" s="15" t="n">
        <x:v>1008</x:v>
      </x:c>
      <x:c r="D56" s="15" t="str">
        <x:v>OPEN</x:v>
      </x:c>
      <x:c r="E56" s="15" t="str">
        <x:v>OPEN</x:v>
      </x:c>
    </x:row>
    <x:row r="57">
      <x:c r="A57" s="14" t="str">
        <x:v>MR-053</x:v>
      </x:c>
      <x:c r="B57" s="14" t="str">
        <x:v>CRC-14</x:v>
      </x:c>
      <x:c r="C57" s="14" t="n">
        <x:v>72</x:v>
      </x:c>
      <x:c r="D57" s="14" t="str">
        <x:v>OPEN</x:v>
      </x:c>
      <x:c r="E57" s="14" t="str">
        <x:v>OPEN</x:v>
      </x:c>
    </x:row>
    <x:row r="58">
      <x:c r="A58" s="15" t="str">
        <x:v>MR-054</x:v>
      </x:c>
      <x:c r="B58" s="15" t="str">
        <x:v>CRC-14</x:v>
      </x:c>
      <x:c r="C58" s="15" t="n">
        <x:v>336</x:v>
      </x:c>
      <x:c r="D58" s="15" t="str">
        <x:v>OPEN</x:v>
      </x:c>
      <x:c r="E58" s="15" t="str">
        <x:v>OPEN</x:v>
      </x:c>
    </x:row>
    <x:row r="59">
      <x:c r="A59" s="14" t="str">
        <x:v>MR-055</x:v>
      </x:c>
      <x:c r="B59" s="14" t="str">
        <x:v>CRC-14</x:v>
      </x:c>
      <x:c r="C59" s="14" t="n">
        <x:v>672</x:v>
      </x:c>
      <x:c r="D59" s="14" t="str">
        <x:v>OPEN</x:v>
      </x:c>
      <x:c r="E59" s="14" t="str">
        <x:v>OPEN</x:v>
      </x:c>
    </x:row>
    <x:row r="60">
      <x:c r="A60" s="15" t="str">
        <x:v>MR-056</x:v>
      </x:c>
      <x:c r="B60" s="15" t="str">
        <x:v>CRC-14</x:v>
      </x:c>
      <x:c r="C60" s="15" t="n">
        <x:v>1008</x:v>
      </x:c>
      <x:c r="D60" s="15" t="str">
        <x:v>OPEN</x:v>
      </x:c>
      <x:c r="E60" s="15" t="str">
        <x:v>OPEN</x:v>
      </x:c>
    </x:row>
    <x:row r="61">
      <x:c r="A61" s="14" t="str">
        <x:v>MR-057</x:v>
      </x:c>
      <x:c r="B61" s="14" t="str">
        <x:v>CRC-15</x:v>
      </x:c>
      <x:c r="C61" s="14" t="n">
        <x:v>72</x:v>
      </x:c>
      <x:c r="D61" s="14" t="str">
        <x:v>OPEN</x:v>
      </x:c>
      <x:c r="E61" s="14" t="str">
        <x:v>OPEN</x:v>
      </x:c>
    </x:row>
    <x:row r="62">
      <x:c r="A62" s="15" t="str">
        <x:v>MR-058</x:v>
      </x:c>
      <x:c r="B62" s="15" t="str">
        <x:v>CRC-15</x:v>
      </x:c>
      <x:c r="C62" s="15" t="n">
        <x:v>336</x:v>
      </x:c>
      <x:c r="D62" s="15" t="str">
        <x:v>OPEN</x:v>
      </x:c>
      <x:c r="E62" s="15" t="str">
        <x:v>OPEN</x:v>
      </x:c>
    </x:row>
    <x:row r="63">
      <x:c r="A63" s="14" t="str">
        <x:v>MR-059</x:v>
      </x:c>
      <x:c r="B63" s="14" t="str">
        <x:v>CRC-15</x:v>
      </x:c>
      <x:c r="C63" s="14" t="n">
        <x:v>672</x:v>
      </x:c>
      <x:c r="D63" s="14" t="str">
        <x:v>OPEN</x:v>
      </x:c>
      <x:c r="E63" s="14" t="str">
        <x:v>OPEN</x:v>
      </x:c>
    </x:row>
    <x:row r="64">
      <x:c r="A64" s="15" t="str">
        <x:v>MR-060</x:v>
      </x:c>
      <x:c r="B64" s="15" t="str">
        <x:v>CRC-15</x:v>
      </x:c>
      <x:c r="C64" s="15" t="n">
        <x:v>1008</x:v>
      </x:c>
      <x:c r="D64" s="15" t="str">
        <x:v>OPEN</x:v>
      </x:c>
      <x:c r="E64" s="15" t="str">
        <x:v>OPEN</x:v>
      </x:c>
    </x:row>
    <x:row r="65">
      <x:c r="A65" s="14" t="str">
        <x:v>MR-061</x:v>
      </x:c>
      <x:c r="B65" s="14" t="str">
        <x:v>CRC-16</x:v>
      </x:c>
      <x:c r="C65" s="14" t="n">
        <x:v>72</x:v>
      </x:c>
      <x:c r="D65" s="14" t="str">
        <x:v>OPEN</x:v>
      </x:c>
      <x:c r="E65" s="14" t="str">
        <x:v>OPEN</x:v>
      </x:c>
    </x:row>
    <x:row r="66">
      <x:c r="A66" s="15" t="str">
        <x:v>MR-062</x:v>
      </x:c>
      <x:c r="B66" s="15" t="str">
        <x:v>CRC-16</x:v>
      </x:c>
      <x:c r="C66" s="15" t="n">
        <x:v>336</x:v>
      </x:c>
      <x:c r="D66" s="15" t="str">
        <x:v>OPEN</x:v>
      </x:c>
      <x:c r="E66" s="15" t="str">
        <x:v>OPEN</x:v>
      </x:c>
    </x:row>
    <x:row r="67">
      <x:c r="A67" s="14" t="str">
        <x:v>MR-063</x:v>
      </x:c>
      <x:c r="B67" s="14" t="str">
        <x:v>CRC-16</x:v>
      </x:c>
      <x:c r="C67" s="14" t="n">
        <x:v>672</x:v>
      </x:c>
      <x:c r="D67" s="14" t="str">
        <x:v>OPEN</x:v>
      </x:c>
      <x:c r="E67" s="14" t="str">
        <x:v>OPEN</x:v>
      </x:c>
    </x:row>
    <x:row r="68">
      <x:c r="A68" s="15" t="str">
        <x:v>MR-064</x:v>
      </x:c>
      <x:c r="B68" s="15" t="str">
        <x:v>CRC-16</x:v>
      </x:c>
      <x:c r="C68" s="15" t="n">
        <x:v>1008</x:v>
      </x:c>
      <x:c r="D68" s="15" t="str">
        <x:v>OPEN</x:v>
      </x:c>
      <x:c r="E68" s="15" t="str">
        <x:v>OPEN</x:v>
      </x:c>
    </x:row>
    <x:row r="69">
      <x:c r="A69" s="14" t="str">
        <x:v>MR-065</x:v>
      </x:c>
      <x:c r="B69" s="14" t="str">
        <x:v>CRC-17</x:v>
      </x:c>
      <x:c r="C69" s="14" t="n">
        <x:v>72</x:v>
      </x:c>
      <x:c r="D69" s="14" t="str">
        <x:v>OPEN</x:v>
      </x:c>
      <x:c r="E69" s="14" t="str">
        <x:v>OPEN</x:v>
      </x:c>
    </x:row>
    <x:row r="70">
      <x:c r="A70" s="15" t="str">
        <x:v>MR-066</x:v>
      </x:c>
      <x:c r="B70" s="15" t="str">
        <x:v>CRC-17</x:v>
      </x:c>
      <x:c r="C70" s="15" t="n">
        <x:v>336</x:v>
      </x:c>
      <x:c r="D70" s="15" t="str">
        <x:v>OPEN</x:v>
      </x:c>
      <x:c r="E70" s="15" t="str">
        <x:v>OPEN</x:v>
      </x:c>
    </x:row>
    <x:row r="71">
      <x:c r="A71" s="14" t="str">
        <x:v>MR-067</x:v>
      </x:c>
      <x:c r="B71" s="14" t="str">
        <x:v>CRC-17</x:v>
      </x:c>
      <x:c r="C71" s="14" t="n">
        <x:v>672</x:v>
      </x:c>
      <x:c r="D71" s="14" t="str">
        <x:v>OPEN</x:v>
      </x:c>
      <x:c r="E71" s="14" t="str">
        <x:v>OPEN</x:v>
      </x:c>
    </x:row>
    <x:row r="72">
      <x:c r="A72" s="15" t="str">
        <x:v>MR-068</x:v>
      </x:c>
      <x:c r="B72" s="15" t="str">
        <x:v>CRC-17</x:v>
      </x:c>
      <x:c r="C72" s="15" t="n">
        <x:v>1008</x:v>
      </x:c>
      <x:c r="D72" s="15" t="str">
        <x:v>OPEN</x:v>
      </x:c>
      <x:c r="E72" s="15" t="str">
        <x:v>OPEN</x:v>
      </x:c>
    </x:row>
    <x:row r="73">
      <x:c r="A73" s="14" t="str">
        <x:v>MR-069</x:v>
      </x:c>
      <x:c r="B73" s="14" t="str">
        <x:v>CRC-18</x:v>
      </x:c>
      <x:c r="C73" s="14" t="n">
        <x:v>72</x:v>
      </x:c>
      <x:c r="D73" s="14" t="str">
        <x:v>OPEN</x:v>
      </x:c>
      <x:c r="E73" s="14" t="str">
        <x:v>OPEN</x:v>
      </x:c>
    </x:row>
    <x:row r="74">
      <x:c r="A74" s="15" t="str">
        <x:v>MR-070</x:v>
      </x:c>
      <x:c r="B74" s="15" t="str">
        <x:v>CRC-18</x:v>
      </x:c>
      <x:c r="C74" s="15" t="n">
        <x:v>336</x:v>
      </x:c>
      <x:c r="D74" s="15" t="str">
        <x:v>OPEN</x:v>
      </x:c>
      <x:c r="E74" s="15" t="str">
        <x:v>OPEN</x:v>
      </x:c>
    </x:row>
    <x:row r="75">
      <x:c r="A75" s="14" t="str">
        <x:v>MR-071</x:v>
      </x:c>
      <x:c r="B75" s="14" t="str">
        <x:v>CRC-18</x:v>
      </x:c>
      <x:c r="C75" s="14" t="n">
        <x:v>672</x:v>
      </x:c>
      <x:c r="D75" s="14" t="str">
        <x:v>OPEN</x:v>
      </x:c>
      <x:c r="E75" s="14" t="str">
        <x:v>OPEN</x:v>
      </x:c>
    </x:row>
    <x:row r="76">
      <x:c r="A76" s="15" t="str">
        <x:v>MR-072</x:v>
      </x:c>
      <x:c r="B76" s="15" t="str">
        <x:v>CRC-18</x:v>
      </x:c>
      <x:c r="C76" s="15" t="n">
        <x:v>1008</x:v>
      </x:c>
      <x:c r="D76" s="15" t="str">
        <x:v>OPEN</x:v>
      </x:c>
      <x:c r="E76" s="15" t="str">
        <x:v>OPEN</x:v>
      </x:c>
    </x:row>
  </x:sheetData>
  <x:mergeCells>
    <x:mergeCell ref="A1:E1"/>
    <x:mergeCell ref="A2:E2"/>
  </x:mergeCells>
  <x:pageMargins left="0.7" right="0.7" top="0.75" bottom="0.75" header="0.3" footer="0.3"/>
</x:worksheet>
</file>

<file path=xl/worksheets/sheet4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4" hidden="0" customWidth="1"/>
    <x:col min="3" max="3" width="12" hidden="0" customWidth="1"/>
    <x:col min="4" max="4" width="38" hidden="0" customWidth="1"/>
    <x:col min="5" max="5" width="16" hidden="0" customWidth="1"/>
  </x:cols>
  <x:sheetData>
    <x:row r="1" ht="26" customHeight="1">
      <x:c r="A1" s="43" t="str">
        <x:v>Site recovery registry</x:v>
      </x:c>
      <x:c r="B1" s="35"/>
      <x:c r="C1" s="35"/>
      <x:c r="D1" s="35"/>
      <x:c r="E1" s="35"/>
    </x:row>
    <x:row r="2" ht="32" customHeight="1">
      <x:c r="A2" s="7" t="str">
        <x:v>Sites remain under observation through 2,016 hours.</x:v>
      </x:c>
      <x:c r="B2" s="35"/>
      <x:c r="C2" s="35"/>
      <x:c r="D2" s="35"/>
      <x:c r="E2" s="35"/>
    </x:row>
    <x:row r="3">
      <x:c r="A3" s="35"/>
      <x:c r="B3" s="35"/>
      <x:c r="C3" s="35"/>
      <x:c r="D3" s="35"/>
      <x:c r="E3" s="35"/>
    </x:row>
    <x:row r="4" ht="28" customHeight="1">
      <x:c r="A4" s="11" t="str">
        <x:v>Record</x:v>
      </x:c>
      <x:c r="B4" s="11" t="str">
        <x:v>Campus</x:v>
      </x:c>
      <x:c r="C4" s="11" t="str">
        <x:v>Hour</x:v>
      </x:c>
      <x:c r="D4" s="11" t="str">
        <x:v>Observation</x:v>
      </x:c>
      <x:c r="E4" s="11" t="str">
        <x:v>Disposition</x:v>
      </x:c>
    </x:row>
    <x:row r="5">
      <x:c r="A5" s="14" t="str">
        <x:v>SR-01</x:v>
      </x:c>
      <x:c r="B5" s="14" t="str">
        <x:v>NRC-A</x:v>
      </x:c>
      <x:c r="C5" s="14" t="n">
        <x:v>72</x:v>
      </x:c>
      <x:c r="D5" s="14" t="str">
        <x:v>OPEN</x:v>
      </x:c>
      <x:c r="E5" s="14" t="str">
        <x:v>OPEN</x:v>
      </x:c>
    </x:row>
    <x:row r="6">
      <x:c r="A6" s="15" t="str">
        <x:v>SR-02</x:v>
      </x:c>
      <x:c r="B6" s="15" t="str">
        <x:v>NRC-A</x:v>
      </x:c>
      <x:c r="C6" s="15" t="n">
        <x:v>336</x:v>
      </x:c>
      <x:c r="D6" s="15" t="str">
        <x:v>OPEN</x:v>
      </x:c>
      <x:c r="E6" s="15" t="str">
        <x:v>OPEN</x:v>
      </x:c>
    </x:row>
    <x:row r="7">
      <x:c r="A7" s="14" t="str">
        <x:v>SR-03</x:v>
      </x:c>
      <x:c r="B7" s="14" t="str">
        <x:v>NRC-A</x:v>
      </x:c>
      <x:c r="C7" s="14" t="n">
        <x:v>672</x:v>
      </x:c>
      <x:c r="D7" s="14" t="str">
        <x:v>OPEN</x:v>
      </x:c>
      <x:c r="E7" s="14" t="str">
        <x:v>OPEN</x:v>
      </x:c>
    </x:row>
    <x:row r="8">
      <x:c r="A8" s="15" t="str">
        <x:v>SR-04</x:v>
      </x:c>
      <x:c r="B8" s="15" t="str">
        <x:v>NRC-A</x:v>
      </x:c>
      <x:c r="C8" s="15" t="n">
        <x:v>1008</x:v>
      </x:c>
      <x:c r="D8" s="15" t="str">
        <x:v>OPEN</x:v>
      </x:c>
      <x:c r="E8" s="15" t="str">
        <x:v>OPEN</x:v>
      </x:c>
    </x:row>
    <x:row r="9">
      <x:c r="A9" s="14" t="str">
        <x:v>SR-05</x:v>
      </x:c>
      <x:c r="B9" s="14" t="str">
        <x:v>NRC-A</x:v>
      </x:c>
      <x:c r="C9" s="14" t="n">
        <x:v>1344</x:v>
      </x:c>
      <x:c r="D9" s="14" t="str">
        <x:v>OPEN</x:v>
      </x:c>
      <x:c r="E9" s="14" t="str">
        <x:v>OPEN</x:v>
      </x:c>
    </x:row>
    <x:row r="10">
      <x:c r="A10" s="15" t="str">
        <x:v>SR-06</x:v>
      </x:c>
      <x:c r="B10" s="15" t="str">
        <x:v>NRC-A</x:v>
      </x:c>
      <x:c r="C10" s="15" t="n">
        <x:v>2016</x:v>
      </x:c>
      <x:c r="D10" s="15" t="str">
        <x:v>OPEN</x:v>
      </x:c>
      <x:c r="E10" s="15" t="str">
        <x:v>OPEN</x:v>
      </x:c>
    </x:row>
    <x:row r="11">
      <x:c r="A11" s="14" t="str">
        <x:v>SR-07</x:v>
      </x:c>
      <x:c r="B11" s="14" t="str">
        <x:v>NRC-B</x:v>
      </x:c>
      <x:c r="C11" s="14" t="n">
        <x:v>72</x:v>
      </x:c>
      <x:c r="D11" s="14" t="str">
        <x:v>OPEN</x:v>
      </x:c>
      <x:c r="E11" s="14" t="str">
        <x:v>OPEN</x:v>
      </x:c>
    </x:row>
    <x:row r="12">
      <x:c r="A12" s="15" t="str">
        <x:v>SR-08</x:v>
      </x:c>
      <x:c r="B12" s="15" t="str">
        <x:v>NRC-B</x:v>
      </x:c>
      <x:c r="C12" s="15" t="n">
        <x:v>336</x:v>
      </x:c>
      <x:c r="D12" s="15" t="str">
        <x:v>OPEN</x:v>
      </x:c>
      <x:c r="E12" s="15" t="str">
        <x:v>OPEN</x:v>
      </x:c>
    </x:row>
    <x:row r="13">
      <x:c r="A13" s="14" t="str">
        <x:v>SR-09</x:v>
      </x:c>
      <x:c r="B13" s="14" t="str">
        <x:v>NRC-B</x:v>
      </x:c>
      <x:c r="C13" s="14" t="n">
        <x:v>672</x:v>
      </x:c>
      <x:c r="D13" s="14" t="str">
        <x:v>OPEN</x:v>
      </x:c>
      <x:c r="E13" s="14" t="str">
        <x:v>OPEN</x:v>
      </x:c>
    </x:row>
    <x:row r="14">
      <x:c r="A14" s="15" t="str">
        <x:v>SR-10</x:v>
      </x:c>
      <x:c r="B14" s="15" t="str">
        <x:v>NRC-B</x:v>
      </x:c>
      <x:c r="C14" s="15" t="n">
        <x:v>1008</x:v>
      </x:c>
      <x:c r="D14" s="15" t="str">
        <x:v>OPEN</x:v>
      </x:c>
      <x:c r="E14" s="15" t="str">
        <x:v>OPEN</x:v>
      </x:c>
    </x:row>
    <x:row r="15">
      <x:c r="A15" s="14" t="str">
        <x:v>SR-11</x:v>
      </x:c>
      <x:c r="B15" s="14" t="str">
        <x:v>NRC-B</x:v>
      </x:c>
      <x:c r="C15" s="14" t="n">
        <x:v>1344</x:v>
      </x:c>
      <x:c r="D15" s="14" t="str">
        <x:v>OPEN</x:v>
      </x:c>
      <x:c r="E15" s="14" t="str">
        <x:v>OPEN</x:v>
      </x:c>
    </x:row>
    <x:row r="16">
      <x:c r="A16" s="15" t="str">
        <x:v>SR-12</x:v>
      </x:c>
      <x:c r="B16" s="15" t="str">
        <x:v>NRC-B</x:v>
      </x:c>
      <x:c r="C16" s="15" t="n">
        <x:v>2016</x:v>
      </x:c>
      <x:c r="D16" s="15" t="str">
        <x:v>OPEN</x:v>
      </x:c>
      <x:c r="E16" s="15" t="str">
        <x:v>OPEN</x:v>
      </x:c>
    </x:row>
    <x:row r="17">
      <x:c r="A17" s="14" t="str">
        <x:v>SR-13</x:v>
      </x:c>
      <x:c r="B17" s="14" t="str">
        <x:v>NRC-C</x:v>
      </x:c>
      <x:c r="C17" s="14" t="n">
        <x:v>72</x:v>
      </x:c>
      <x:c r="D17" s="14" t="str">
        <x:v>OPEN</x:v>
      </x:c>
      <x:c r="E17" s="14" t="str">
        <x:v>OPEN</x:v>
      </x:c>
    </x:row>
    <x:row r="18">
      <x:c r="A18" s="15" t="str">
        <x:v>SR-14</x:v>
      </x:c>
      <x:c r="B18" s="15" t="str">
        <x:v>NRC-C</x:v>
      </x:c>
      <x:c r="C18" s="15" t="n">
        <x:v>336</x:v>
      </x:c>
      <x:c r="D18" s="15" t="str">
        <x:v>OPEN</x:v>
      </x:c>
      <x:c r="E18" s="15" t="str">
        <x:v>OPEN</x:v>
      </x:c>
    </x:row>
    <x:row r="19">
      <x:c r="A19" s="14" t="str">
        <x:v>SR-15</x:v>
      </x:c>
      <x:c r="B19" s="14" t="str">
        <x:v>NRC-C</x:v>
      </x:c>
      <x:c r="C19" s="14" t="n">
        <x:v>672</x:v>
      </x:c>
      <x:c r="D19" s="14" t="str">
        <x:v>OPEN</x:v>
      </x:c>
      <x:c r="E19" s="14" t="str">
        <x:v>OPEN</x:v>
      </x:c>
    </x:row>
    <x:row r="20">
      <x:c r="A20" s="15" t="str">
        <x:v>SR-16</x:v>
      </x:c>
      <x:c r="B20" s="15" t="str">
        <x:v>NRC-C</x:v>
      </x:c>
      <x:c r="C20" s="15" t="n">
        <x:v>1008</x:v>
      </x:c>
      <x:c r="D20" s="15" t="str">
        <x:v>OPEN</x:v>
      </x:c>
      <x:c r="E20" s="15" t="str">
        <x:v>OPEN</x:v>
      </x:c>
    </x:row>
    <x:row r="21">
      <x:c r="A21" s="14" t="str">
        <x:v>SR-17</x:v>
      </x:c>
      <x:c r="B21" s="14" t="str">
        <x:v>NRC-C</x:v>
      </x:c>
      <x:c r="C21" s="14" t="n">
        <x:v>1344</x:v>
      </x:c>
      <x:c r="D21" s="14" t="str">
        <x:v>OPEN</x:v>
      </x:c>
      <x:c r="E21" s="14" t="str">
        <x:v>OPEN</x:v>
      </x:c>
    </x:row>
    <x:row r="22">
      <x:c r="A22" s="15" t="str">
        <x:v>SR-18</x:v>
      </x:c>
      <x:c r="B22" s="15" t="str">
        <x:v>NRC-C</x:v>
      </x:c>
      <x:c r="C22" s="15" t="n">
        <x:v>2016</x:v>
      </x:c>
      <x:c r="D22" s="15" t="str">
        <x:v>OPEN</x:v>
      </x:c>
      <x:c r="E22" s="15" t="str">
        <x:v>OPEN</x:v>
      </x:c>
    </x:row>
  </x:sheetData>
  <x:mergeCells>
    <x:mergeCell ref="A1:E1"/>
    <x:mergeCell ref="A2:E2"/>
  </x:mergeCells>
  <x:pageMargins left="0.7" right="0.7" top="0.75" bottom="0.75" header="0.3" footer="0.3"/>
</x:worksheet>
</file>

<file path=xl/worksheets/sheet4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8" hidden="0" customWidth="1"/>
    <x:col min="2" max="2" width="24" hidden="0" customWidth="1"/>
    <x:col min="3" max="3" width="14" hidden="0" customWidth="1"/>
    <x:col min="4" max="4" width="54" hidden="0" customWidth="1"/>
    <x:col min="5" max="5" width="14" hidden="0" customWidth="1"/>
  </x:cols>
  <x:sheetData>
    <x:row r="1" ht="26" customHeight="1">
      <x:c r="A1" s="43" t="str">
        <x:v>Module and site exchange trials</x:v>
      </x:c>
      <x:c r="B1" s="35"/>
      <x:c r="C1" s="35"/>
      <x:c r="D1" s="35"/>
      <x:c r="E1" s="35"/>
    </x:row>
    <x:row r="2" ht="32" customHeight="1">
      <x:c r="A2" s="7" t="str">
        <x:v>Exchange cannot transfer hidden source, water, product, calibration or service state.</x:v>
      </x:c>
      <x:c r="B2" s="35"/>
      <x:c r="C2" s="35"/>
      <x:c r="D2" s="35"/>
      <x:c r="E2" s="35"/>
    </x:row>
    <x:row r="3">
      <x:c r="A3" s="35"/>
      <x:c r="B3" s="35"/>
      <x:c r="C3" s="35"/>
      <x:c r="D3" s="35"/>
      <x:c r="E3" s="35"/>
    </x:row>
    <x:row r="4" ht="28" customHeight="1">
      <x:c r="A4" s="11" t="str">
        <x:v>Challenge</x:v>
      </x:c>
      <x:c r="B4" s="11" t="str">
        <x:v>Direction</x:v>
      </x:c>
      <x:c r="C4" s="11" t="str">
        <x:v>Trials</x:v>
      </x:c>
      <x:c r="D4" s="11" t="str">
        <x:v>Required result</x:v>
      </x:c>
      <x:c r="E4" s="11" t="str">
        <x:v>State</x:v>
      </x:c>
    </x:row>
    <x:row r="5">
      <x:c r="A5" s="14" t="str">
        <x:v>Nominal exchange</x:v>
      </x:c>
      <x:c r="B5" s="14" t="str">
        <x:v>A to B and B to A</x:v>
      </x:c>
      <x:c r="C5" s="14" t="n">
        <x:v>12</x:v>
      </x:c>
      <x:c r="D5" s="14" t="str">
        <x:v>Known configuration and zero unexplained inventory</x:v>
      </x:c>
      <x:c r="E5" s="14" t="str">
        <x:v>OPEN</x:v>
      </x:c>
    </x:row>
    <x:row r="6">
      <x:c r="A6" s="15" t="str">
        <x:v>Wet residue</x:v>
      </x:c>
      <x:c r="B6" s="15" t="str">
        <x:v>All campus pairs</x:v>
      </x:c>
      <x:c r="C6" s="15" t="n">
        <x:v>12</x:v>
      </x:c>
      <x:c r="D6" s="15" t="str">
        <x:v>No hidden liquid or source</x:v>
      </x:c>
      <x:c r="E6" s="15" t="str">
        <x:v>OPEN</x:v>
      </x:c>
    </x:row>
    <x:row r="7">
      <x:c r="A7" s="14" t="str">
        <x:v>Thermal distortion</x:v>
      </x:c>
      <x:c r="B7" s="14" t="str">
        <x:v>All campus pairs</x:v>
      </x:c>
      <x:c r="C7" s="14" t="n">
        <x:v>12</x:v>
      </x:c>
      <x:c r="D7" s="14" t="str">
        <x:v>Geometry within registered bracket</x:v>
      </x:c>
      <x:c r="E7" s="14" t="str">
        <x:v>OPEN</x:v>
      </x:c>
    </x:row>
    <x:row r="8">
      <x:c r="A8" s="15" t="str">
        <x:v>Service denial</x:v>
      </x:c>
      <x:c r="B8" s="15" t="str">
        <x:v>All campus pairs</x:v>
      </x:c>
      <x:c r="C8" s="15" t="n">
        <x:v>12</x:v>
      </x:c>
      <x:c r="D8" s="15" t="str">
        <x:v>Local islands complete exchange</x:v>
      </x:c>
      <x:c r="E8" s="15" t="str">
        <x:v>OPEN</x:v>
      </x:c>
    </x:row>
    <x:row r="9">
      <x:c r="A9" s="14" t="str">
        <x:v>Network and time loss</x:v>
      </x:c>
      <x:c r="B9" s="14" t="str">
        <x:v>All campus pairs</x:v>
      </x:c>
      <x:c r="C9" s="14" t="n">
        <x:v>12</x:v>
      </x:c>
      <x:c r="D9" s="14" t="str">
        <x:v>Native sequence reconstructs</x:v>
      </x:c>
      <x:c r="E9" s="14" t="str">
        <x:v>OPEN</x:v>
      </x:c>
    </x:row>
    <x:row r="10">
      <x:c r="A10" s="15" t="str">
        <x:v>Interrupted rollback</x:v>
      </x:c>
      <x:c r="B10" s="15" t="str">
        <x:v>All campus pairs</x:v>
      </x:c>
      <x:c r="C10" s="15" t="n">
        <x:v>12</x:v>
      </x:c>
      <x:c r="D10" s="15" t="str">
        <x:v>Both hosts reach safe known state</x:v>
      </x:c>
      <x:c r="E10" s="15" t="str">
        <x:v>OPEN</x:v>
      </x:c>
    </x:row>
  </x:sheetData>
  <x:mergeCells>
    <x:mergeCell ref="A1:E1"/>
    <x:mergeCell ref="A2:E2"/>
  </x:mergeCells>
  <x:pageMargins left="0.7" right="0.7" top="0.75" bottom="0.75" header="0.3" footer="0.3"/>
</x:worksheet>
</file>

<file path=xl/worksheets/sheet4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4" hidden="0" customWidth="1"/>
    <x:col min="2" max="2" width="18" hidden="0" customWidth="1"/>
    <x:col min="3" max="3" width="18" hidden="0" customWidth="1"/>
    <x:col min="4" max="4" width="48" hidden="0" customWidth="1"/>
  </x:cols>
  <x:sheetData>
    <x:row r="1" ht="26" customHeight="1">
      <x:c r="A1" s="43" t="str">
        <x:v>Release-aware child schedule</x:v>
      </x:c>
      <x:c r="B1" s="35"/>
      <x:c r="C1" s="35"/>
      <x:c r="D1" s="35"/>
    </x:row>
    <x:row r="2" ht="32" customHeight="1">
      <x:c r="A2" s="7" t="str">
        <x:v>National gates remain sequential. Safe local preparation may overlap.</x:v>
      </x:c>
      <x:c r="B2" s="35"/>
      <x:c r="C2" s="35"/>
      <x:c r="D2" s="35"/>
    </x:row>
    <x:row r="3">
      <x:c r="A3" s="35"/>
      <x:c r="B3" s="35"/>
      <x:c r="C3" s="35"/>
      <x:c r="D3" s="35"/>
    </x:row>
    <x:row r="4" ht="28" customHeight="1">
      <x:c r="A4" s="11" t="str">
        <x:v>Work package</x:v>
      </x:c>
      <x:c r="B4" s="11" t="str">
        <x:v>Primary weeks</x:v>
      </x:c>
      <x:c r="C4" s="11" t="str">
        <x:v>Maximum weeks</x:v>
      </x:c>
      <x:c r="D4" s="11" t="str">
        <x:v>Terminal artifact</x:v>
      </x:c>
    </x:row>
    <x:row r="5">
      <x:c r="A5" s="14" t="str">
        <x:v>Architecture programs</x:v>
      </x:c>
      <x:c r="B5" s="23" t="n">
        <x:v>26</x:v>
      </x:c>
      <x:c r="C5" s="23" t="n">
        <x:v>26</x:v>
      </x:c>
      <x:c r="D5" s="14" t="str">
        <x:v>Twenty-four released articles</x:v>
      </x:c>
    </x:row>
    <x:row r="6">
      <x:c r="A6" s="15" t="str">
        <x:v>Candidate trials</x:v>
      </x:c>
      <x:c r="B6" s="24" t="n">
        <x:v>16</x:v>
      </x:c>
      <x:c r="C6" s="24" t="n">
        <x:v>16</x:v>
      </x:c>
      <x:c r="D6" s="15" t="str">
        <x:v>384 native records</x:v>
      </x:c>
    </x:row>
    <x:row r="7">
      <x:c r="A7" s="14" t="str">
        <x:v>Matched comparisons</x:v>
      </x:c>
      <x:c r="B7" s="23" t="n">
        <x:v>8</x:v>
      </x:c>
      <x:c r="C7" s="23" t="n">
        <x:v>8</x:v>
      </x:c>
      <x:c r="D7" s="14" t="str">
        <x:v>192 contrasts</x:v>
      </x:c>
    </x:row>
    <x:row r="8">
      <x:c r="A8" s="15" t="str">
        <x:v>Selection review</x:v>
      </x:c>
      <x:c r="B8" s="24" t="n">
        <x:v>6</x:v>
      </x:c>
      <x:c r="C8" s="24" t="n">
        <x:v>6</x:v>
      </x:c>
      <x:c r="D8" s="15" t="str">
        <x:v>Selected principle or no selection</x:v>
      </x:c>
    </x:row>
    <x:row r="9">
      <x:c r="A9" s="14" t="str">
        <x:v>Module bank</x:v>
      </x:c>
      <x:c r="B9" s="23" t="n">
        <x:v>32</x:v>
      </x:c>
      <x:c r="C9" s="23" t="n">
        <x:v>32</x:v>
      </x:c>
      <x:c r="D9" s="14" t="str">
        <x:v>Twenty-four modules</x:v>
      </x:c>
    </x:row>
    <x:row r="10">
      <x:c r="A10" s="15" t="str">
        <x:v>Qualification</x:v>
      </x:c>
      <x:c r="B10" s="24" t="n">
        <x:v>54</x:v>
      </x:c>
      <x:c r="C10" s="24" t="n">
        <x:v>54</x:v>
      </x:c>
      <x:c r="D10" s="15" t="str">
        <x:v>180 cycles</x:v>
      </x:c>
    </x:row>
    <x:row r="11">
      <x:c r="A11" s="14" t="str">
        <x:v>Qualification review</x:v>
      </x:c>
      <x:c r="B11" s="23" t="n">
        <x:v>5</x:v>
      </x:c>
      <x:c r="C11" s="23" t="n">
        <x:v>5</x:v>
      </x:c>
      <x:c r="D11" s="14" t="str">
        <x:v>Serviceable bank</x:v>
      </x:c>
    </x:row>
    <x:row r="12">
      <x:c r="A12" s="15" t="str">
        <x:v>Exact class issue</x:v>
      </x:c>
      <x:c r="B12" s="24" t="n">
        <x:v>10</x:v>
      </x:c>
      <x:c r="C12" s="24" t="n">
        <x:v>14</x:v>
      </x:c>
      <x:c r="D12" s="15" t="str">
        <x:v>Twelve cells plus reserves</x:v>
      </x:c>
    </x:row>
    <x:row r="13">
      <x:c r="A13" s="14" t="str">
        <x:v>Outside reconstruction</x:v>
      </x:c>
      <x:c r="B13" s="23" t="n">
        <x:v>8</x:v>
      </x:c>
      <x:c r="C13" s="23" t="n">
        <x:v>8</x:v>
      </x:c>
      <x:c r="D13" s="14" t="str">
        <x:v>Thirty-six decisions</x:v>
      </x:c>
    </x:row>
    <x:row r="14">
      <x:c r="A14" s="15" t="str">
        <x:v>Site recovery</x:v>
      </x:c>
      <x:c r="B14" s="24" t="n">
        <x:v>12</x:v>
      </x:c>
      <x:c r="C14" s="24" t="n">
        <x:v>12</x:v>
      </x:c>
      <x:c r="D14" s="15" t="str">
        <x:v>2,016-hour records</x:v>
      </x:c>
    </x:row>
    <x:row r="15">
      <x:c r="A15" s="14" t="str">
        <x:v>Class board</x:v>
      </x:c>
      <x:c r="B15" s="23" t="n">
        <x:v>3</x:v>
      </x:c>
      <x:c r="C15" s="23" t="n">
        <x:v>3</x:v>
      </x:c>
      <x:c r="D15" s="14" t="str">
        <x:v>Terminal class disposition</x:v>
      </x:c>
    </x:row>
    <x:row r="16">
      <x:c r="A16" s="22" t="str">
        <x:v>Total</x:v>
      </x:c>
      <x:c r="B16" s="25" t="n">
        <x:f>SUM(B5:B15)</x:f>
        <x:v>180</x:v>
      </x:c>
      <x:c r="C16" s="25" t="n">
        <x:f>SUM(C5:C15)</x:f>
        <x:v>184</x:v>
      </x:c>
      <x:c r="D16" s="22" t="str">
        <x:v>Release-aware child calendar</x:v>
      </x:c>
    </x:row>
  </x:sheetData>
  <x:mergeCells>
    <x:mergeCell ref="A1:D1"/>
    <x:mergeCell ref="A2:D2"/>
  </x:mergeCells>
  <x:pageMargins left="0.7" right="0.7" top="0.75" bottom="0.75" header="0.3" footer="0.3"/>
</x:worksheet>
</file>

<file path=xl/worksheets/sheet47.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54" hidden="0" customWidth="1"/>
    <x:col min="2" max="2" width="20" hidden="0" customWidth="1"/>
  </x:cols>
  <x:sheetData>
    <x:row r="1" ht="26" customHeight="1">
      <x:c r="A1" s="43" t="str">
        <x:v>RBQ-1 standing formation</x:v>
      </x:c>
      <x:c r="B1" s="35"/>
    </x:row>
    <x:row r="2" ht="32" customHeight="1">
      <x:c r="A2" s="7" t="str">
        <x:v>Execution and retained populations remain separately visible.</x:v>
      </x:c>
      <x:c r="B2" s="35"/>
    </x:row>
    <x:row r="3">
      <x:c r="A3" s="35"/>
      <x:c r="B3" s="35"/>
    </x:row>
    <x:row r="4" ht="28" customHeight="1">
      <x:c r="A4" s="11" t="str">
        <x:v>Function</x:v>
      </x:c>
      <x:c r="B4" s="11" t="str">
        <x:v>Positions</x:v>
      </x:c>
    </x:row>
    <x:row r="5">
      <x:c r="A5" s="14" t="str">
        <x:v>Casualty-field and event operations</x:v>
      </x:c>
      <x:c r="B5" s="23" t="n">
        <x:v>420</x:v>
      </x:c>
    </x:row>
    <x:row r="6">
      <x:c r="A6" s="15" t="str">
        <x:v>Hydraulics, diversion and receivers</x:v>
      </x:c>
      <x:c r="B6" s="24" t="n">
        <x:v>320</x:v>
      </x:c>
    </x:row>
    <x:row r="7">
      <x:c r="A7" s="14" t="str">
        <x:v>Thermal, atmosphere and exhaust</x:v>
      </x:c>
      <x:c r="B7" s="23" t="n">
        <x:v>290</x:v>
      </x:c>
    </x:row>
    <x:row r="8">
      <x:c r="A8" s="15" t="str">
        <x:v>Nine-root metrology and uncertainty</x:v>
      </x:c>
      <x:c r="B8" s="24" t="n">
        <x:v>260</x:v>
      </x:c>
    </x:row>
    <x:row r="9">
      <x:c r="A9" s="14" t="str">
        <x:v>Energy, controls and local time</x:v>
      </x:c>
      <x:c r="B9" s="23" t="n">
        <x:v>240</x:v>
      </x:c>
    </x:row>
    <x:row r="10">
      <x:c r="A10" s="15" t="str">
        <x:v>Recovery, separation and environment</x:v>
      </x:c>
      <x:c r="B10" s="24" t="n">
        <x:v>220</x:v>
      </x:c>
    </x:row>
    <x:row r="11">
      <x:c r="A11" s="14" t="str">
        <x:v>Outside reconstruction and evidence</x:v>
      </x:c>
      <x:c r="B11" s="23" t="n">
        <x:v>180</x:v>
      </x:c>
    </x:row>
    <x:row r="12">
      <x:c r="A12" s="15" t="str">
        <x:v>Robotics and remote handling</x:v>
      </x:c>
      <x:c r="B12" s="24" t="n">
        <x:v>170</x:v>
      </x:c>
    </x:row>
    <x:row r="13">
      <x:c r="A13" s="14" t="str">
        <x:v>Safety, rescue and medical interface</x:v>
      </x:c>
      <x:c r="B13" s="23" t="n">
        <x:v>140</x:v>
      </x:c>
    </x:row>
    <x:row r="14">
      <x:c r="A14" s="15" t="str">
        <x:v>Public-action custody and analysis</x:v>
      </x:c>
      <x:c r="B14" s="24" t="n">
        <x:v>120</x:v>
      </x:c>
    </x:row>
    <x:row r="15">
      <x:c r="A15" s="14" t="str">
        <x:v>Configuration, validity and admission</x:v>
      </x:c>
      <x:c r="B15" s="23" t="n">
        <x:v>120</x:v>
      </x:c>
    </x:row>
    <x:row r="16">
      <x:c r="A16" s="15" t="str">
        <x:v>Logistics, acquisition and program</x:v>
      </x:c>
      <x:c r="B16" s="24" t="n">
        <x:v>120</x:v>
      </x:c>
    </x:row>
    <x:row r="17">
      <x:c r="A17" s="22" t="str">
        <x:v>Execution total</x:v>
      </x:c>
      <x:c r="B17" s="25" t="n">
        <x:f>SUM(B5:B16)</x:f>
        <x:v>2600</x:v>
      </x:c>
    </x:row>
    <x:row r="18">
      <x:c r="A18" s="15" t="str">
        <x:v>Retained positions</x:v>
      </x:c>
      <x:c r="B18" s="24" t="n">
        <x:v>3900</x:v>
      </x:c>
    </x:row>
    <x:row r="19">
      <x:c r="A19" s="26" t="str">
        <x:v>Concurrent formation</x:v>
      </x:c>
      <x:c r="B19" s="27" t="n">
        <x:f>B17+B18</x:f>
        <x:v>6500</x:v>
      </x:c>
    </x:row>
  </x:sheetData>
  <x:mergeCells>
    <x:mergeCell ref="A1:B1"/>
    <x:mergeCell ref="A2:B2"/>
  </x:mergeCells>
  <x:pageMargins left="0.7" right="0.7" top="0.75" bottom="0.75" header="0.3" footer="0.3"/>
</x:worksheet>
</file>

<file path=xl/worksheets/sheet48.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58" hidden="0" customWidth="1"/>
    <x:col min="2" max="2" width="20" hidden="0" customWidth="1"/>
  </x:cols>
  <x:sheetData>
    <x:row r="1" ht="26" customHeight="1">
      <x:c r="A1" s="43" t="str">
        <x:v>RBQ-1 child capital</x:v>
      </x:c>
      <x:c r="B1" s="35"/>
    </x:row>
    <x:row r="2" ht="32" customHeight="1">
      <x:c r="A2" s="7" t="str">
        <x:v>Capital establishes rival articles, public test infrastructure and independent evidence estates.</x:v>
      </x:c>
      <x:c r="B2" s="35"/>
    </x:row>
    <x:row r="3">
      <x:c r="A3" s="35"/>
      <x:c r="B3" s="35"/>
    </x:row>
    <x:row r="4" ht="28" customHeight="1">
      <x:c r="A4" s="11" t="str">
        <x:v>Capital object</x:v>
      </x:c>
      <x:c r="B4" s="11" t="str">
        <x:v>USD M</x:v>
      </x:c>
    </x:row>
    <x:row r="5">
      <x:c r="A5" s="14" t="str">
        <x:v>Candidate articles and interfaces</x:v>
      </x:c>
      <x:c r="B5" s="28" t="n">
        <x:v>850</x:v>
      </x:c>
    </x:row>
    <x:row r="6">
      <x:c r="A6" s="15" t="str">
        <x:v>High-rate water and energy</x:v>
      </x:c>
      <x:c r="B6" s="29" t="n">
        <x:v>650</x:v>
      </x:c>
    </x:row>
    <x:row r="7">
      <x:c r="A7" s="14" t="str">
        <x:v>Casualty-field expansion</x:v>
      </x:c>
      <x:c r="B7" s="28" t="n">
        <x:v>850</x:v>
      </x:c>
    </x:row>
    <x:row r="8">
      <x:c r="A8" s="15" t="str">
        <x:v>Receivers, diversion and separation</x:v>
      </x:c>
      <x:c r="B8" s="29" t="n">
        <x:v>950</x:v>
      </x:c>
    </x:row>
    <x:row r="9">
      <x:c r="A9" s="14" t="str">
        <x:v>Thermal, atmosphere and exhaust</x:v>
      </x:c>
      <x:c r="B9" s="28" t="n">
        <x:v>800</x:v>
      </x:c>
    </x:row>
    <x:row r="10">
      <x:c r="A10" s="15" t="str">
        <x:v>Nine-root metrology</x:v>
      </x:c>
      <x:c r="B10" s="29" t="n">
        <x:v>650</x:v>
      </x:c>
    </x:row>
    <x:row r="11">
      <x:c r="A11" s="14" t="str">
        <x:v>Denial and reconstruction estate</x:v>
      </x:c>
      <x:c r="B11" s="28" t="n">
        <x:v>600</x:v>
      </x:c>
    </x:row>
    <x:row r="12">
      <x:c r="A12" s="15" t="str">
        <x:v>Safeing, rescue and public-action separation</x:v>
      </x:c>
      <x:c r="B12" s="29" t="n">
        <x:v>400</x:v>
      </x:c>
    </x:row>
    <x:row r="13">
      <x:c r="A13" s="14" t="str">
        <x:v>Robotics and remote recovery</x:v>
      </x:c>
      <x:c r="B13" s="28" t="n">
        <x:v>300</x:v>
      </x:c>
    </x:row>
    <x:row r="14">
      <x:c r="A14" s="15" t="str">
        <x:v>Native evidence and offline compute</x:v>
      </x:c>
      <x:c r="B14" s="29" t="n">
        <x:v>220</x:v>
      </x:c>
    </x:row>
    <x:row r="15">
      <x:c r="A15" s="14" t="str">
        <x:v>Campus civil and isolation works</x:v>
      </x:c>
      <x:c r="B15" s="28" t="n">
        <x:v>350</x:v>
      </x:c>
    </x:row>
    <x:row r="16">
      <x:c r="A16" s="15" t="str">
        <x:v>Spares and forensic articles</x:v>
      </x:c>
      <x:c r="B16" s="29" t="n">
        <x:v>80</x:v>
      </x:c>
    </x:row>
    <x:row r="17">
      <x:c r="A17" s="14" t="str">
        <x:v>Controlled capital uncertainty</x:v>
      </x:c>
      <x:c r="B17" s="28" t="n">
        <x:v>100</x:v>
      </x:c>
    </x:row>
    <x:row r="18">
      <x:c r="A18" s="22" t="str">
        <x:v>Total</x:v>
      </x:c>
      <x:c r="B18" s="30" t="n">
        <x:f>SUM(B5:B17)</x:f>
        <x:v>6800</x:v>
      </x:c>
    </x:row>
  </x:sheetData>
  <x:mergeCells>
    <x:mergeCell ref="A1:B1"/>
    <x:mergeCell ref="A2:B2"/>
  </x:mergeCells>
  <x:pageMargins left="0.7" right="0.7" top="0.75" bottom="0.75" header="0.3" footer="0.3"/>
</x:worksheet>
</file>

<file path=xl/worksheets/sheet49.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56" hidden="0" customWidth="1"/>
    <x:col min="2" max="2" width="22" hidden="0" customWidth="1"/>
  </x:cols>
  <x:sheetData>
    <x:row r="1" ht="26" customHeight="1">
      <x:c r="A1" s="43" t="str">
        <x:v>RBQ-1 annual support</x:v>
      </x:c>
      <x:c r="B1" s="35"/>
    </x:row>
    <x:row r="2" ht="32" customHeight="1">
      <x:c r="A2" s="7" t="str">
        <x:v>Execution and retained support remain separately visible.</x:v>
      </x:c>
      <x:c r="B2" s="35"/>
    </x:row>
    <x:row r="3">
      <x:c r="A3" s="35"/>
      <x:c r="B3" s="35"/>
    </x:row>
    <x:row r="4" ht="28" customHeight="1">
      <x:c r="A4" s="11" t="str">
        <x:v>Annual object</x:v>
      </x:c>
      <x:c r="B4" s="11" t="str">
        <x:v>USD M/year</x:v>
      </x:c>
    </x:row>
    <x:row r="5">
      <x:c r="A5" s="14" t="str">
        <x:v>Personnel and benefits</x:v>
      </x:c>
      <x:c r="B5" s="28" t="n">
        <x:v>300</x:v>
      </x:c>
    </x:row>
    <x:row r="6">
      <x:c r="A6" s="15" t="str">
        <x:v>Event operations</x:v>
      </x:c>
      <x:c r="B6" s="29" t="n">
        <x:v>65</x:v>
      </x:c>
    </x:row>
    <x:row r="7">
      <x:c r="A7" s="14" t="str">
        <x:v>Source, water, assay and consumables</x:v>
      </x:c>
      <x:c r="B7" s="28" t="n">
        <x:v>45</x:v>
      </x:c>
    </x:row>
    <x:row r="8">
      <x:c r="A8" s="15" t="str">
        <x:v>Module, receiver and island maintenance</x:v>
      </x:c>
      <x:c r="B8" s="29" t="n">
        <x:v>35</x:v>
      </x:c>
    </x:row>
    <x:row r="9">
      <x:c r="A9" s="14" t="str">
        <x:v>Evidence and reconstruction</x:v>
      </x:c>
      <x:c r="B9" s="28" t="n">
        <x:v>28</x:v>
      </x:c>
    </x:row>
    <x:row r="10">
      <x:c r="A10" s="15" t="str">
        <x:v>Safety, environment and rescue</x:v>
      </x:c>
      <x:c r="B10" s="29" t="n">
        <x:v>22</x:v>
      </x:c>
    </x:row>
    <x:row r="11">
      <x:c r="A11" s="14" t="str">
        <x:v>Outside-party qualification</x:v>
      </x:c>
      <x:c r="B11" s="28" t="n">
        <x:v>18</x:v>
      </x:c>
    </x:row>
    <x:row r="12">
      <x:c r="A12" s="15" t="str">
        <x:v>Independent review</x:v>
      </x:c>
      <x:c r="B12" s="29" t="n">
        <x:v>12</x:v>
      </x:c>
    </x:row>
    <x:row r="13">
      <x:c r="A13" s="14" t="str">
        <x:v>Technology sustainment</x:v>
      </x:c>
      <x:c r="B13" s="28" t="n">
        <x:v>25</x:v>
      </x:c>
    </x:row>
    <x:row r="14">
      <x:c r="A14" s="22" t="str">
        <x:v>Execution total</x:v>
      </x:c>
      <x:c r="B14" s="30" t="n">
        <x:f>SUM(B5:B13)</x:f>
        <x:v>550</x:v>
      </x:c>
    </x:row>
    <x:row r="15">
      <x:c r="A15" s="14" t="str">
        <x:v>Retained support</x:v>
      </x:c>
      <x:c r="B15" s="28" t="n">
        <x:v>700</x:v>
      </x:c>
    </x:row>
    <x:row r="16">
      <x:c r="A16" s="26" t="str">
        <x:v>Concurrent annual support</x:v>
      </x:c>
      <x:c r="B16" s="31" t="n">
        <x:f>B14+B15</x:f>
        <x:v>1250</x:v>
      </x:c>
    </x:row>
  </x:sheetData>
  <x:mergeCells>
    <x:mergeCell ref="A1:B1"/>
    <x:mergeCell ref="A2:B2"/>
  </x:mergeCells>
  <x:pageMargins left="0.7" right="0.7" top="0.75" bottom="0.75" header="0.3" footer="0.3"/>
</x:worksheet>
</file>

<file path=xl/worksheets/sheet50.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62" hidden="0" customWidth="1"/>
    <x:col min="2" max="2" width="20" hidden="0" customWidth="1"/>
  </x:cols>
  <x:sheetData>
    <x:row r="1" ht="26" customHeight="1">
      <x:c r="A1" s="43" t="str">
        <x:v>Mission-led technology portfolio</x:v>
      </x:c>
      <x:c r="B1" s="35"/>
    </x:row>
    <x:row r="2" ht="32" customHeight="1">
      <x:c r="A2" s="7" t="str">
        <x:v>Public demand develops capabilities absent at the required integrated scale.</x:v>
      </x:c>
      <x:c r="B2" s="35"/>
    </x:row>
    <x:row r="3">
      <x:c r="A3" s="35"/>
      <x:c r="B3" s="35"/>
    </x:row>
    <x:row r="4" ht="28" customHeight="1">
      <x:c r="A4" s="11" t="str">
        <x:v>Program</x:v>
      </x:c>
      <x:c r="B4" s="11" t="str">
        <x:v>USD M</x:v>
      </x:c>
    </x:row>
    <x:row r="5">
      <x:c r="A5" s="14" t="str">
        <x:v>Autonomous 0.4 m3/s water action</x:v>
      </x:c>
      <x:c r="B5" s="28" t="n">
        <x:v>340</x:v>
      </x:c>
    </x:row>
    <x:row r="6">
      <x:c r="A6" s="15" t="str">
        <x:v>Casualty-field topology sensing</x:v>
      </x:c>
      <x:c r="B6" s="29" t="n">
        <x:v>260</x:v>
      </x:c>
    </x:row>
    <x:row r="7">
      <x:c r="A7" s="14" t="str">
        <x:v>Passive zoned diversion</x:v>
      </x:c>
      <x:c r="B7" s="28" t="n">
        <x:v>280</x:v>
      </x:c>
    </x:row>
    <x:row r="8">
      <x:c r="A8" s="15" t="str">
        <x:v>Mixed-source liquid separation</x:v>
      </x:c>
      <x:c r="B8" s="29" t="n">
        <x:v>270</x:v>
      </x:c>
    </x:row>
    <x:row r="9">
      <x:c r="A9" s="14" t="str">
        <x:v>Steam, smoke and aerosol tomography</x:v>
      </x:c>
      <x:c r="B9" s="28" t="n">
        <x:v>240</x:v>
      </x:c>
    </x:row>
    <x:row r="10">
      <x:c r="A10" s="15" t="str">
        <x:v>Self-contained energy islands</x:v>
      </x:c>
      <x:c r="B10" s="29" t="n">
        <x:v>190</x:v>
      </x:c>
    </x:row>
    <x:row r="11">
      <x:c r="A11" s="14" t="str">
        <x:v>Local causal time and native evidence</x:v>
      </x:c>
      <x:c r="B11" s="28" t="n">
        <x:v>180</x:v>
      </x:c>
    </x:row>
    <x:row r="12">
      <x:c r="A12" s="15" t="str">
        <x:v>Service-denied thermal management</x:v>
      </x:c>
      <x:c r="B12" s="29" t="n">
        <x:v>190</x:v>
      </x:c>
    </x:row>
    <x:row r="13">
      <x:c r="A13" s="14" t="str">
        <x:v>Executable outside reconstruction</x:v>
      </x:c>
      <x:c r="B13" s="28" t="n">
        <x:v>180</x:v>
      </x:c>
    </x:row>
    <x:row r="14">
      <x:c r="A14" s="15" t="str">
        <x:v>Multi-path casualty safeing</x:v>
      </x:c>
      <x:c r="B14" s="29" t="n">
        <x:v>150</x:v>
      </x:c>
    </x:row>
    <x:row r="15">
      <x:c r="A15" s="14" t="str">
        <x:v>High-temperature recovery robotics</x:v>
      </x:c>
      <x:c r="B15" s="28" t="n">
        <x:v>150</x:v>
      </x:c>
    </x:row>
    <x:row r="16">
      <x:c r="A16" s="15" t="str">
        <x:v>Dynamic receiver-state sensing</x:v>
      </x:c>
      <x:c r="B16" s="29" t="n">
        <x:v>120</x:v>
      </x:c>
    </x:row>
    <x:row r="17">
      <x:c r="A17" s="14" t="str">
        <x:v>Public-action attribution</x:v>
      </x:c>
      <x:c r="B17" s="28" t="n">
        <x:v>100</x:v>
      </x:c>
    </x:row>
    <x:row r="18">
      <x:c r="A18" s="15" t="str">
        <x:v>Computational campaign design</x:v>
      </x:c>
      <x:c r="B18" s="29" t="n">
        <x:v>150</x:v>
      </x:c>
    </x:row>
    <x:row r="19">
      <x:c r="A19" s="22" t="str">
        <x:v>Total</x:v>
      </x:c>
      <x:c r="B19" s="30" t="n">
        <x:f>SUM(B5:B18)</x:f>
        <x:v>2800</x:v>
      </x:c>
    </x:row>
  </x:sheetData>
  <x:mergeCells>
    <x:mergeCell ref="A1:B1"/>
    <x:mergeCell ref="A2:B2"/>
  </x:mergeCells>
  <x:pageMargins left="0.7" right="0.7" top="0.75" bottom="0.75" header="0.3" footer="0.3"/>
</x:worksheet>
</file>

<file path=xl/worksheets/sheet5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s>
  <x:sheetData>
    <x:row r="1" ht="26" customHeight="1">
      <x:c r="A1" s="43" t="str">
        <x:v>RAS-3R8 parent amendment</x:v>
      </x:c>
      <x:c r="B1" s="35"/>
      <x:c r="C1" s="35"/>
      <x:c r="D1" s="35"/>
      <x:c r="E1" s="35"/>
    </x:row>
    <x:row r="2" ht="32" customHeight="1">
      <x:c r="A2" s="7" t="str">
        <x:v>The final rung exceeds RAS-3R7 in calendar and formation before any correction campaign.</x:v>
      </x:c>
      <x:c r="B2" s="35"/>
      <x:c r="C2" s="35"/>
      <x:c r="D2" s="35"/>
      <x:c r="E2" s="35"/>
    </x:row>
    <x:row r="3">
      <x:c r="A3" s="35"/>
      <x:c r="B3" s="35"/>
      <x:c r="C3" s="35"/>
      <x:c r="D3" s="35"/>
      <x:c r="E3" s="35"/>
    </x:row>
    <x:row r="4" ht="28" customHeight="1">
      <x:c r="A4" s="11" t="str">
        <x:v>Capacity</x:v>
      </x:c>
      <x:c r="B4" s="11" t="str">
        <x:v>RAS-3R7</x:v>
      </x:c>
      <x:c r="C4" s="11" t="str">
        <x:v>RAS-3R8</x:v>
      </x:c>
      <x:c r="D4" s="11" t="str">
        <x:v>Amendment</x:v>
      </x:c>
      <x:c r="E4" s="11" t="str">
        <x:v>Unit</x:v>
      </x:c>
    </x:row>
    <x:row r="5">
      <x:c r="A5" s="14" t="str">
        <x:v>Calendar weeks</x:v>
      </x:c>
      <x:c r="B5" s="23" t="n">
        <x:v>936</x:v>
      </x:c>
      <x:c r="C5" s="23" t="n">
        <x:v>1144</x:v>
      </x:c>
      <x:c r="D5" s="23" t="n">
        <x:f>C5-B5</x:f>
        <x:v>208</x:v>
      </x:c>
      <x:c r="E5" s="14" t="str">
        <x:v>weeks</x:v>
      </x:c>
    </x:row>
    <x:row r="6">
      <x:c r="A6" s="15" t="str">
        <x:v>Concurrent positions</x:v>
      </x:c>
      <x:c r="B6" s="24" t="n">
        <x:v>5400</x:v>
      </x:c>
      <x:c r="C6" s="24" t="n">
        <x:v>7600</x:v>
      </x:c>
      <x:c r="D6" s="24" t="n">
        <x:f>C6-B6</x:f>
        <x:v>2200</x:v>
      </x:c>
      <x:c r="E6" s="15" t="str">
        <x:v>positions</x:v>
      </x:c>
    </x:row>
    <x:row r="7">
      <x:c r="A7" s="14" t="str">
        <x:v>Capital</x:v>
      </x:c>
      <x:c r="B7" s="23" t="n">
        <x:v>18500</x:v>
      </x:c>
      <x:c r="C7" s="23" t="n">
        <x:v>30000</x:v>
      </x:c>
      <x:c r="D7" s="23" t="n">
        <x:f>C7-B7</x:f>
        <x:v>11500</x:v>
      </x:c>
      <x:c r="E7" s="14" t="str">
        <x:v>USD M</x:v>
      </x:c>
    </x:row>
    <x:row r="8">
      <x:c r="A8" s="15" t="str">
        <x:v>Annual support</x:v>
      </x:c>
      <x:c r="B8" s="24" t="n">
        <x:v>1150</x:v>
      </x:c>
      <x:c r="C8" s="24" t="n">
        <x:v>1750</x:v>
      </x:c>
      <x:c r="D8" s="24" t="n">
        <x:f>C8-B8</x:f>
        <x:v>600</x:v>
      </x:c>
      <x:c r="E8" s="15" t="str">
        <x:v>USD M/year</x:v>
      </x:c>
    </x:row>
    <x:row r="9">
      <x:c r="A9" s="14" t="str">
        <x:v>Technology</x:v>
      </x:c>
      <x:c r="B9" s="23" t="n">
        <x:v>8800</x:v>
      </x:c>
      <x:c r="C9" s="23" t="n">
        <x:v>14000</x:v>
      </x:c>
      <x:c r="D9" s="23" t="n">
        <x:f>C9-B9</x:f>
        <x:v>5200</x:v>
      </x:c>
      <x:c r="E9" s="14" t="str">
        <x:v>USD M</x:v>
      </x:c>
    </x:row>
  </x:sheetData>
  <x:mergeCells>
    <x:mergeCell ref="A1:E1"/>
    <x:mergeCell ref="A2:E2"/>
  </x:mergeCells>
  <x:pageMargins left="0.7" right="0.7" top="0.75" bottom="0.75" header="0.3" footer="0.3"/>
</x:worksheet>
</file>

<file path=xl/worksheets/sheet5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0" hidden="0" customWidth="1"/>
    <x:col min="2" max="2" width="16" hidden="0" customWidth="1"/>
    <x:col min="3" max="3" width="18" hidden="0" customWidth="1"/>
    <x:col min="4" max="4" width="20" hidden="0" customWidth="1"/>
    <x:col min="5" max="5" width="26" hidden="0" customWidth="1"/>
    <x:col min="6" max="6" width="20" hidden="0" customWidth="1"/>
  </x:cols>
  <x:sheetData>
    <x:row r="1" ht="26" customHeight="1">
      <x:c r="A1" s="43" t="str">
        <x:v>Issue-duration and water-volume sensitivity</x:v>
      </x:c>
      <x:c r="B1" s="35"/>
      <x:c r="C1" s="35"/>
      <x:c r="D1" s="35"/>
      <x:c r="E1" s="35"/>
      <x:c r="F1" s="35"/>
    </x:row>
    <x:row r="2" ht="32" customHeight="1">
      <x:c r="A2" s="7" t="str">
        <x:v>Formula cases expose rate and receiver conditions without altering registered assumptions.</x:v>
      </x:c>
      <x:c r="B2" s="35"/>
      <x:c r="C2" s="35"/>
      <x:c r="D2" s="35"/>
      <x:c r="E2" s="35"/>
      <x:c r="F2" s="35"/>
    </x:row>
    <x:row r="3">
      <x:c r="A3" s="35"/>
      <x:c r="B3" s="35"/>
      <x:c r="C3" s="35"/>
      <x:c r="D3" s="35"/>
      <x:c r="E3" s="35"/>
      <x:c r="F3" s="35"/>
    </x:row>
    <x:row r="4" ht="28" customHeight="1">
      <x:c r="A4" s="11" t="str">
        <x:v>Issue duration s</x:v>
      </x:c>
      <x:c r="B4" s="11" t="str">
        <x:v>Water m3</x:v>
      </x:c>
      <x:c r="C4" s="11" t="str">
        <x:v>Issue m3/s</x:v>
      </x:c>
      <x:c r="D4" s="11" t="str">
        <x:v>Issue m3/min</x:v>
      </x:c>
      <x:c r="E4" s="11" t="str">
        <x:v>Casualty volume after issue</x:v>
      </x:c>
      <x:c r="F4" s="11" t="str">
        <x:v>Minimum liquid m3</x:v>
      </x:c>
    </x:row>
    <x:row r="5">
      <x:c r="A5" s="18" t="n">
        <x:v>90</x:v>
      </x:c>
      <x:c r="B5" s="18" t="n">
        <x:v>36</x:v>
      </x:c>
      <x:c r="C5" s="18" t="n">
        <x:f>B5/A5</x:f>
        <x:v>0.4</x:v>
      </x:c>
      <x:c r="D5" s="18" t="n">
        <x:f>C5*60</x:f>
        <x:v>24</x:v>
      </x:c>
      <x:c r="E5" s="18" t="n">
        <x:f>Assumptions!B15-B5</x:f>
        <x:v>84</x:v>
      </x:c>
      <x:c r="F5" s="18" t="n">
        <x:f>MAX(0,B5-'Thermal Screen'!B10)</x:f>
        <x:v>27.76787762292491</x:v>
      </x:c>
    </x:row>
    <x:row r="6">
      <x:c r="A6" s="19" t="n">
        <x:v>90</x:v>
      </x:c>
      <x:c r="B6" s="19" t="n">
        <x:v>48</x:v>
      </x:c>
      <x:c r="C6" s="19" t="n">
        <x:f>B6/A6</x:f>
        <x:v>0.5333333333333333</x:v>
      </x:c>
      <x:c r="D6" s="19" t="n">
        <x:f>C6*60</x:f>
        <x:v>32</x:v>
      </x:c>
      <x:c r="E6" s="19" t="n">
        <x:f>Assumptions!B15-B6</x:f>
        <x:v>72</x:v>
      </x:c>
      <x:c r="F6" s="19" t="n">
        <x:f>MAX(0,B6-'Thermal Screen'!B10)</x:f>
        <x:v>39.767877622924914</x:v>
      </x:c>
    </x:row>
    <x:row r="7">
      <x:c r="A7" s="18" t="n">
        <x:v>90</x:v>
      </x:c>
      <x:c r="B7" s="18" t="n">
        <x:v>60</x:v>
      </x:c>
      <x:c r="C7" s="18" t="n">
        <x:f>B7/A7</x:f>
        <x:v>0.6666666666666666</x:v>
      </x:c>
      <x:c r="D7" s="18" t="n">
        <x:f>C7*60</x:f>
        <x:v>40</x:v>
      </x:c>
      <x:c r="E7" s="18" t="n">
        <x:f>Assumptions!B15-B7</x:f>
        <x:v>60</x:v>
      </x:c>
      <x:c r="F7" s="18" t="n">
        <x:f>MAX(0,B7-'Thermal Screen'!B10)</x:f>
        <x:v>51.767877622924914</x:v>
      </x:c>
    </x:row>
    <x:row r="8">
      <x:c r="A8" s="19" t="n">
        <x:v>120</x:v>
      </x:c>
      <x:c r="B8" s="19" t="n">
        <x:v>36</x:v>
      </x:c>
      <x:c r="C8" s="19" t="n">
        <x:f>B8/A8</x:f>
        <x:v>0.3</x:v>
      </x:c>
      <x:c r="D8" s="19" t="n">
        <x:f>C8*60</x:f>
        <x:v>18</x:v>
      </x:c>
      <x:c r="E8" s="19" t="n">
        <x:f>Assumptions!B15-B8</x:f>
        <x:v>84</x:v>
      </x:c>
      <x:c r="F8" s="19" t="n">
        <x:f>MAX(0,B8-'Thermal Screen'!B10)</x:f>
        <x:v>27.76787762292491</x:v>
      </x:c>
    </x:row>
    <x:row r="9">
      <x:c r="A9" s="18" t="n">
        <x:v>120</x:v>
      </x:c>
      <x:c r="B9" s="18" t="n">
        <x:v>48</x:v>
      </x:c>
      <x:c r="C9" s="18" t="n">
        <x:f>B9/A9</x:f>
        <x:v>0.4</x:v>
      </x:c>
      <x:c r="D9" s="18" t="n">
        <x:f>C9*60</x:f>
        <x:v>24</x:v>
      </x:c>
      <x:c r="E9" s="18" t="n">
        <x:f>Assumptions!B15-B9</x:f>
        <x:v>72</x:v>
      </x:c>
      <x:c r="F9" s="18" t="n">
        <x:f>MAX(0,B9-'Thermal Screen'!B10)</x:f>
        <x:v>39.767877622924914</x:v>
      </x:c>
    </x:row>
    <x:row r="10">
      <x:c r="A10" s="19" t="n">
        <x:v>120</x:v>
      </x:c>
      <x:c r="B10" s="19" t="n">
        <x:v>60</x:v>
      </x:c>
      <x:c r="C10" s="19" t="n">
        <x:f>B10/A10</x:f>
        <x:v>0.5</x:v>
      </x:c>
      <x:c r="D10" s="19" t="n">
        <x:f>C10*60</x:f>
        <x:v>30</x:v>
      </x:c>
      <x:c r="E10" s="19" t="n">
        <x:f>Assumptions!B15-B10</x:f>
        <x:v>60</x:v>
      </x:c>
      <x:c r="F10" s="19" t="n">
        <x:f>MAX(0,B10-'Thermal Screen'!B10)</x:f>
        <x:v>51.767877622924914</x:v>
      </x:c>
    </x:row>
    <x:row r="11">
      <x:c r="A11" s="18" t="n">
        <x:v>150</x:v>
      </x:c>
      <x:c r="B11" s="18" t="n">
        <x:v>36</x:v>
      </x:c>
      <x:c r="C11" s="18" t="n">
        <x:f>B11/A11</x:f>
        <x:v>0.24</x:v>
      </x:c>
      <x:c r="D11" s="18" t="n">
        <x:f>C11*60</x:f>
        <x:v>14.399999999999999</x:v>
      </x:c>
      <x:c r="E11" s="18" t="n">
        <x:f>Assumptions!B15-B11</x:f>
        <x:v>84</x:v>
      </x:c>
      <x:c r="F11" s="18" t="n">
        <x:f>MAX(0,B11-'Thermal Screen'!B10)</x:f>
        <x:v>27.76787762292491</x:v>
      </x:c>
    </x:row>
    <x:row r="12">
      <x:c r="A12" s="19" t="n">
        <x:v>150</x:v>
      </x:c>
      <x:c r="B12" s="19" t="n">
        <x:v>48</x:v>
      </x:c>
      <x:c r="C12" s="19" t="n">
        <x:f>B12/A12</x:f>
        <x:v>0.32</x:v>
      </x:c>
      <x:c r="D12" s="19" t="n">
        <x:f>C12*60</x:f>
        <x:v>19.2</x:v>
      </x:c>
      <x:c r="E12" s="19" t="n">
        <x:f>Assumptions!B15-B12</x:f>
        <x:v>72</x:v>
      </x:c>
      <x:c r="F12" s="19" t="n">
        <x:f>MAX(0,B12-'Thermal Screen'!B10)</x:f>
        <x:v>39.767877622924914</x:v>
      </x:c>
    </x:row>
    <x:row r="13">
      <x:c r="A13" s="18" t="n">
        <x:v>150</x:v>
      </x:c>
      <x:c r="B13" s="18" t="n">
        <x:v>60</x:v>
      </x:c>
      <x:c r="C13" s="18" t="n">
        <x:f>B13/A13</x:f>
        <x:v>0.4</x:v>
      </x:c>
      <x:c r="D13" s="18" t="n">
        <x:f>C13*60</x:f>
        <x:v>24</x:v>
      </x:c>
      <x:c r="E13" s="18" t="n">
        <x:f>Assumptions!B15-B13</x:f>
        <x:v>60</x:v>
      </x:c>
      <x:c r="F13" s="18" t="n">
        <x:f>MAX(0,B13-'Thermal Screen'!B10)</x:f>
        <x:v>51.767877622924914</x:v>
      </x:c>
    </x:row>
    <x:row r="14">
      <x:c r="A14" s="19" t="n">
        <x:v>180</x:v>
      </x:c>
      <x:c r="B14" s="19" t="n">
        <x:v>36</x:v>
      </x:c>
      <x:c r="C14" s="19" t="n">
        <x:f>B14/A14</x:f>
        <x:v>0.2</x:v>
      </x:c>
      <x:c r="D14" s="19" t="n">
        <x:f>C14*60</x:f>
        <x:v>12</x:v>
      </x:c>
      <x:c r="E14" s="19" t="n">
        <x:f>Assumptions!B15-B14</x:f>
        <x:v>84</x:v>
      </x:c>
      <x:c r="F14" s="19" t="n">
        <x:f>MAX(0,B14-'Thermal Screen'!B10)</x:f>
        <x:v>27.76787762292491</x:v>
      </x:c>
    </x:row>
    <x:row r="15">
      <x:c r="A15" s="18" t="n">
        <x:v>180</x:v>
      </x:c>
      <x:c r="B15" s="18" t="n">
        <x:v>48</x:v>
      </x:c>
      <x:c r="C15" s="18" t="n">
        <x:f>B15/A15</x:f>
        <x:v>0.26666666666666666</x:v>
      </x:c>
      <x:c r="D15" s="18" t="n">
        <x:f>C15*60</x:f>
        <x:v>16</x:v>
      </x:c>
      <x:c r="E15" s="18" t="n">
        <x:f>Assumptions!B15-B15</x:f>
        <x:v>72</x:v>
      </x:c>
      <x:c r="F15" s="18" t="n">
        <x:f>MAX(0,B15-'Thermal Screen'!B10)</x:f>
        <x:v>39.767877622924914</x:v>
      </x:c>
    </x:row>
    <x:row r="16">
      <x:c r="A16" s="19" t="n">
        <x:v>180</x:v>
      </x:c>
      <x:c r="B16" s="19" t="n">
        <x:v>60</x:v>
      </x:c>
      <x:c r="C16" s="19" t="n">
        <x:f>B16/A16</x:f>
        <x:v>0.3333333333333333</x:v>
      </x:c>
      <x:c r="D16" s="19" t="n">
        <x:f>C16*60</x:f>
        <x:v>20</x:v>
      </x:c>
      <x:c r="E16" s="19" t="n">
        <x:f>Assumptions!B15-B16</x:f>
        <x:v>60</x:v>
      </x:c>
      <x:c r="F16" s="19" t="n">
        <x:f>MAX(0,B16-'Thermal Screen'!B10)</x:f>
        <x:v>51.767877622924914</x:v>
      </x:c>
    </x:row>
  </x:sheetData>
  <x:mergeCells>
    <x:mergeCell ref="A1:F1"/>
    <x:mergeCell ref="A2:F2"/>
  </x:mergeCells>
  <x:pageMargins left="0.7" right="0.7" top="0.75" bottom="0.75" header="0.3" footer="0.3"/>
</x:worksheet>
</file>

<file path=xl/worksheets/sheet5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2" hidden="0" customWidth="1"/>
    <x:col min="2" max="2" width="48" hidden="0" customWidth="1"/>
    <x:col min="3" max="3" width="46" hidden="0" customWidth="1"/>
    <x:col min="4" max="4" width="16" hidden="0" customWidth="1"/>
  </x:cols>
  <x:sheetData>
    <x:row r="1" ht="26" customHeight="1">
      <x:c r="A1" s="43" t="str">
        <x:v>Sequential release gates</x:v>
      </x:c>
      <x:c r="B1" s="35"/>
      <x:c r="C1" s="35"/>
      <x:c r="D1" s="35"/>
    </x:row>
    <x:row r="2" ht="32" customHeight="1">
      <x:c r="A2" s="7" t="str">
        <x:v>No planning record self-authorizes a physical issue or operational candidate.</x:v>
      </x:c>
      <x:c r="B2" s="35"/>
      <x:c r="C2" s="35"/>
      <x:c r="D2" s="35"/>
    </x:row>
    <x:row r="3">
      <x:c r="A3" s="35"/>
      <x:c r="B3" s="35"/>
      <x:c r="C3" s="35"/>
      <x:c r="D3" s="35"/>
    </x:row>
    <x:row r="4" ht="28" customHeight="1">
      <x:c r="A4" s="11" t="str">
        <x:v>Gate</x:v>
      </x:c>
      <x:c r="B4" s="11" t="str">
        <x:v>Requirement</x:v>
      </x:c>
      <x:c r="C4" s="11" t="str">
        <x:v>Evidence object</x:v>
      </x:c>
      <x:c r="D4" s="11" t="str">
        <x:v>State</x:v>
      </x:c>
    </x:row>
    <x:row r="5">
      <x:c r="A5" s="14" t="str">
        <x:v>R1</x:v>
      </x:c>
      <x:c r="B5" s="14" t="str">
        <x:v>ER-08 accepted</x:v>
      </x:c>
      <x:c r="C5" s="14" t="str">
        <x:v>Physical parent class</x:v>
      </x:c>
      <x:c r="D5" s="14" t="str">
        <x:v>BLOCKED</x:v>
      </x:c>
    </x:row>
    <x:row r="6">
      <x:c r="A6" s="15" t="str">
        <x:v>R2</x:v>
      </x:c>
      <x:c r="B6" s="15" t="str">
        <x:v>ER-09 accepted</x:v>
      </x:c>
      <x:c r="C6" s="15" t="str">
        <x:v>Physical parent class</x:v>
      </x:c>
      <x:c r="D6" s="15" t="str">
        <x:v>BLOCKED</x:v>
      </x:c>
    </x:row>
    <x:row r="7">
      <x:c r="A7" s="14" t="str">
        <x:v>R3</x:v>
      </x:c>
      <x:c r="B7" s="14" t="str">
        <x:v>Four candidate programs released</x:v>
      </x:c>
      <x:c r="C7" s="14" t="str">
        <x:v>Articles and test methods</x:v>
      </x:c>
      <x:c r="D7" s="14" t="str">
        <x:v>BLOCKED</x:v>
      </x:c>
    </x:row>
    <x:row r="8">
      <x:c r="A8" s="15" t="str">
        <x:v>R4</x:v>
      </x:c>
      <x:c r="B8" s="15" t="str">
        <x:v>Candidate and comparisons complete</x:v>
      </x:c>
      <x:c r="C8" s="15" t="str">
        <x:v>576 native trial records</x:v>
      </x:c>
      <x:c r="D8" s="15" t="str">
        <x:v>BLOCKED</x:v>
      </x:c>
    </x:row>
    <x:row r="9">
      <x:c r="A9" s="14" t="str">
        <x:v>R5</x:v>
      </x:c>
      <x:c r="B9" s="14" t="str">
        <x:v>One architecture passes every selection gate</x:v>
      </x:c>
      <x:c r="C9" s="14" t="str">
        <x:v>Conjunctive selection packet</x:v>
      </x:c>
      <x:c r="D9" s="14" t="str">
        <x:v>BLOCKED</x:v>
      </x:c>
    </x:row>
    <x:row r="10">
      <x:c r="A10" s="15" t="str">
        <x:v>R6</x:v>
      </x:c>
      <x:c r="B10" s="15" t="str">
        <x:v>Twenty-four modules accepted</x:v>
      </x:c>
      <x:c r="C10" s="15" t="str">
        <x:v>Build and exchange records</x:v>
      </x:c>
      <x:c r="D10" s="15" t="str">
        <x:v>BLOCKED</x:v>
      </x:c>
    </x:row>
    <x:row r="11">
      <x:c r="A11" s="14" t="str">
        <x:v>R7</x:v>
      </x:c>
      <x:c r="B11" s="14" t="str">
        <x:v>180 qualification cycles accepted</x:v>
      </x:c>
      <x:c r="C11" s="14" t="str">
        <x:v>Ten-state module records</x:v>
      </x:c>
      <x:c r="D11" s="14" t="str">
        <x:v>BLOCKED</x:v>
      </x:c>
    </x:row>
    <x:row r="12">
      <x:c r="A12" s="15" t="str">
        <x:v>R8</x:v>
      </x:c>
      <x:c r="B12" s="15" t="str">
        <x:v>Twelve exact cells accepted</x:v>
      </x:c>
      <x:c r="C12" s="15" t="str">
        <x:v>Class matrix</x:v>
      </x:c>
      <x:c r="D12" s="15" t="str">
        <x:v>BLOCKED</x:v>
      </x:c>
    </x:row>
    <x:row r="13">
      <x:c r="A13" s="14" t="str">
        <x:v>R9</x:v>
      </x:c>
      <x:c r="B13" s="14" t="str">
        <x:v>Thirty-six reconstructions accepted</x:v>
      </x:c>
      <x:c r="C13" s="14" t="str">
        <x:v>Independent decisions</x:v>
      </x:c>
      <x:c r="D13" s="14" t="str">
        <x:v>BLOCKED</x:v>
      </x:c>
    </x:row>
    <x:row r="14">
      <x:c r="A14" s="15" t="str">
        <x:v>R10</x:v>
      </x:c>
      <x:c r="B14" s="15" t="str">
        <x:v>Returns and site recovery accepted</x:v>
      </x:c>
      <x:c r="C14" s="15" t="str">
        <x:v>1,008 and 2,016-hour records</x:v>
      </x:c>
      <x:c r="D14" s="15" t="str">
        <x:v>BLOCKED</x:v>
      </x:c>
    </x:row>
    <x:row r="15">
      <x:c r="A15" s="14" t="str">
        <x:v>R11</x:v>
      </x:c>
      <x:c r="B15" s="14" t="str">
        <x:v>ER-10 class board closes</x:v>
      </x:c>
      <x:c r="C15" s="14" t="str">
        <x:v>Terminal class disposition</x:v>
      </x:c>
      <x:c r="D15" s="14" t="str">
        <x:v>BLOCKED</x:v>
      </x:c>
    </x:row>
    <x:row r="16">
      <x:c r="A16" s="15" t="str">
        <x:v>R12</x:v>
      </x:c>
      <x:c r="B16" s="15" t="str">
        <x:v>RBR-1 authorized</x:v>
      </x:c>
      <x:c r="C16" s="15" t="str">
        <x:v>Whole-ladder closure only</x:v>
      </x:c>
      <x:c r="D16" s="15" t="str">
        <x:v>BLOCKED</x:v>
      </x:c>
    </x:row>
  </x:sheetData>
  <x:mergeCells>
    <x:mergeCell ref="A1:D1"/>
    <x:mergeCell ref="A2:D2"/>
  </x:mergeCells>
  <x:pageMargins left="0.7" right="0.7" top="0.75" bottom="0.75" header="0.3" footer="0.3"/>
</x:worksheet>
</file>

<file path=xl/worksheets/sheet54.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48" hidden="0" customWidth="1"/>
    <x:col min="2" max="2" width="22" hidden="0" customWidth="1"/>
    <x:col min="3" max="3" width="22" hidden="0" customWidth="1"/>
    <x:col min="4" max="4" width="16" hidden="0" customWidth="1"/>
  </x:cols>
  <x:sheetData>
    <x:row r="1" ht="26" customHeight="1">
      <x:c r="A1" s="43" t="str">
        <x:v>Workbook audit</x:v>
      </x:c>
      <x:c r="B1" s="35"/>
      <x:c r="C1" s="35"/>
      <x:c r="D1" s="35"/>
    </x:row>
    <x:row r="2" ht="32" customHeight="1">
      <x:c r="A2" s="7" t="str">
        <x:v>Checks read the model. They do not drive calculations.</x:v>
      </x:c>
      <x:c r="B2" s="35"/>
      <x:c r="C2" s="35"/>
      <x:c r="D2" s="35"/>
    </x:row>
    <x:row r="3">
      <x:c r="A3" s="35"/>
      <x:c r="B3" s="35"/>
      <x:c r="C3" s="35"/>
      <x:c r="D3" s="35"/>
    </x:row>
    <x:row r="4" ht="28" customHeight="1">
      <x:c r="A4" s="11" t="str">
        <x:v>Check</x:v>
      </x:c>
      <x:c r="B4" s="11" t="str">
        <x:v>Calculated</x:v>
      </x:c>
      <x:c r="C4" s="11" t="str">
        <x:v>Expected</x:v>
      </x:c>
      <x:c r="D4" s="11" t="str">
        <x:v>Status</x:v>
      </x:c>
    </x:row>
    <x:row r="5">
      <x:c r="A5" s="14" t="str">
        <x:v>Candidate trial count</x:v>
      </x:c>
      <x:c r="B5" s="18" t="n">
        <x:f>COUNTA('Candidate Trials'!A5:A500)</x:f>
        <x:v>384</x:v>
      </x:c>
      <x:c r="C5" s="18" t="n">
        <x:v>384</x:v>
      </x:c>
      <x:c r="D5" s="22" t="str">
        <x:f>IF(B5=C5,"PASS","CHECK")</x:f>
        <x:v>PASS</x:v>
      </x:c>
    </x:row>
    <x:row r="6">
      <x:c r="A6" s="15" t="str">
        <x:v>Matched comparison count</x:v>
      </x:c>
      <x:c r="B6" s="19" t="n">
        <x:f>COUNTA('Matched Comparisons'!A5:A250)</x:f>
        <x:v>192</x:v>
      </x:c>
      <x:c r="C6" s="19" t="n">
        <x:v>192</x:v>
      </x:c>
      <x:c r="D6" s="22" t="str">
        <x:f>IF(B6=C6,"PASS","CHECK")</x:f>
        <x:v>PASS</x:v>
      </x:c>
    </x:row>
    <x:row r="7">
      <x:c r="A7" s="14" t="str">
        <x:v>Module count</x:v>
      </x:c>
      <x:c r="B7" s="18" t="n">
        <x:f>COUNTA('Module Bank'!A5:A40)</x:f>
        <x:v>24</x:v>
      </x:c>
      <x:c r="C7" s="18" t="n">
        <x:v>24</x:v>
      </x:c>
      <x:c r="D7" s="22" t="str">
        <x:f>IF(B7=C7,"PASS","CHECK")</x:f>
        <x:v>PASS</x:v>
      </x:c>
    </x:row>
    <x:row r="8">
      <x:c r="A8" s="15" t="str">
        <x:v>Qualification cycle count</x:v>
      </x:c>
      <x:c r="B8" s="19" t="n">
        <x:f>COUNTA(Qualification!A5:A220)</x:f>
        <x:v>180</x:v>
      </x:c>
      <x:c r="C8" s="19" t="n">
        <x:v>180</x:v>
      </x:c>
      <x:c r="D8" s="22" t="str">
        <x:f>IF(B8=C8,"PASS","CHECK")</x:f>
        <x:v>PASS</x:v>
      </x:c>
    </x:row>
    <x:row r="9">
      <x:c r="A9" s="14" t="str">
        <x:v>Exact class cell count</x:v>
      </x:c>
      <x:c r="B9" s="18" t="n">
        <x:f>COUNTA('Class Matrix'!A5:A30)</x:f>
        <x:v>12</x:v>
      </x:c>
      <x:c r="C9" s="18" t="n">
        <x:v>12</x:v>
      </x:c>
      <x:c r="D9" s="22" t="str">
        <x:f>IF(B9=C9,"PASS","CHECK")</x:f>
        <x:v>PASS</x:v>
      </x:c>
    </x:row>
    <x:row r="10">
      <x:c r="A10" s="15" t="str">
        <x:v>Reserve count</x:v>
      </x:c>
      <x:c r="B10" s="19" t="n">
        <x:f>COUNTA('Reserve Register'!A5:A20)</x:f>
        <x:v>4</x:v>
      </x:c>
      <x:c r="C10" s="19" t="n">
        <x:v>4</x:v>
      </x:c>
      <x:c r="D10" s="22" t="str">
        <x:f>IF(B10=C10,"PASS","CHECK")</x:f>
        <x:v>PASS</x:v>
      </x:c>
    </x:row>
    <x:row r="11">
      <x:c r="A11" s="14" t="str">
        <x:v>Root count</x:v>
      </x:c>
      <x:c r="B11" s="18" t="n">
        <x:f>COUNTA('Root Constitution'!A5:A20)</x:f>
        <x:v>9</x:v>
      </x:c>
      <x:c r="C11" s="18" t="n">
        <x:v>9</x:v>
      </x:c>
      <x:c r="D11" s="22" t="str">
        <x:f>IF(B11=C11,"PASS","CHECK")</x:f>
        <x:v>PASS</x:v>
      </x:c>
    </x:row>
    <x:row r="12">
      <x:c r="A12" s="15" t="str">
        <x:v>Gate count</x:v>
      </x:c>
      <x:c r="B12" s="19" t="n">
        <x:f>COUNTA('Gate Registry'!A5:A250)</x:f>
        <x:v>200</x:v>
      </x:c>
      <x:c r="C12" s="19" t="n">
        <x:v>200</x:v>
      </x:c>
      <x:c r="D12" s="22" t="str">
        <x:f>IF(B12=C12,"PASS","CHECK")</x:f>
        <x:v>PASS</x:v>
      </x:c>
    </x:row>
    <x:row r="13">
      <x:c r="A13" s="14" t="str">
        <x:v>Evidence record count</x:v>
      </x:c>
      <x:c r="B13" s="18" t="n">
        <x:f>COUNTA('Evidence Records'!A5:A900)</x:f>
        <x:v>800</x:v>
      </x:c>
      <x:c r="C13" s="18" t="n">
        <x:v>800</x:v>
      </x:c>
      <x:c r="D13" s="22" t="str">
        <x:f>IF(B13=C13,"PASS","CHECK")</x:f>
        <x:v>PASS</x:v>
      </x:c>
    </x:row>
    <x:row r="14">
      <x:c r="A14" s="15" t="str">
        <x:v>Channel count</x:v>
      </x:c>
      <x:c r="B14" s="19" t="n">
        <x:f>COUNTA('Channel Registry'!A5:A2000)</x:f>
        <x:v>1920</x:v>
      </x:c>
      <x:c r="C14" s="19" t="n">
        <x:v>1920</x:v>
      </x:c>
      <x:c r="D14" s="22" t="str">
        <x:f>IF(B14=C14,"PASS","CHECK")</x:f>
        <x:v>PASS</x:v>
      </x:c>
    </x:row>
    <x:row r="15">
      <x:c r="A15" s="14" t="str">
        <x:v>Safeing path count</x:v>
      </x:c>
      <x:c r="B15" s="18" t="n">
        <x:f>COUNTA('Safeing Paths'!A5:A60)</x:f>
        <x:v>48</x:v>
      </x:c>
      <x:c r="C15" s="18" t="n">
        <x:v>48</x:v>
      </x:c>
      <x:c r="D15" s="22" t="str">
        <x:f>IF(B15=C15,"PASS","CHECK")</x:f>
        <x:v>PASS</x:v>
      </x:c>
    </x:row>
    <x:row r="16">
      <x:c r="A16" s="15" t="str">
        <x:v>Reconstruction case count</x:v>
      </x:c>
      <x:c r="B16" s="19" t="n">
        <x:f>COUNTA('Reconstruction Cases'!A5:A50)</x:f>
        <x:v>36</x:v>
      </x:c>
      <x:c r="C16" s="19" t="n">
        <x:v>36</x:v>
      </x:c>
      <x:c r="D16" s="22" t="str">
        <x:f>IF(B16=C16,"PASS","CHECK")</x:f>
        <x:v>PASS</x:v>
      </x:c>
    </x:row>
    <x:row r="17">
      <x:c r="A17" s="14" t="str">
        <x:v>Primary weeks</x:v>
      </x:c>
      <x:c r="B17" s="18" t="n">
        <x:f>Schedule!B16</x:f>
        <x:v>180</x:v>
      </x:c>
      <x:c r="C17" s="18" t="n">
        <x:v>180</x:v>
      </x:c>
      <x:c r="D17" s="22" t="str">
        <x:f>IF(B17=C17,"PASS","CHECK")</x:f>
        <x:v>PASS</x:v>
      </x:c>
    </x:row>
    <x:row r="18">
      <x:c r="A18" s="15" t="str">
        <x:v>Maximum weeks</x:v>
      </x:c>
      <x:c r="B18" s="19" t="n">
        <x:f>Schedule!C16</x:f>
        <x:v>184</x:v>
      </x:c>
      <x:c r="C18" s="19" t="n">
        <x:v>184</x:v>
      </x:c>
      <x:c r="D18" s="22" t="str">
        <x:f>IF(B18=C18,"PASS","CHECK")</x:f>
        <x:v>PASS</x:v>
      </x:c>
    </x:row>
    <x:row r="19">
      <x:c r="A19" s="14" t="str">
        <x:v>Execution positions</x:v>
      </x:c>
      <x:c r="B19" s="18" t="n">
        <x:f>Workforce!B17</x:f>
        <x:v>2600</x:v>
      </x:c>
      <x:c r="C19" s="18" t="n">
        <x:v>2600</x:v>
      </x:c>
      <x:c r="D19" s="22" t="str">
        <x:f>IF(B19=C19,"PASS","CHECK")</x:f>
        <x:v>PASS</x:v>
      </x:c>
    </x:row>
    <x:row r="20">
      <x:c r="A20" s="15" t="str">
        <x:v>Capital USD M</x:v>
      </x:c>
      <x:c r="B20" s="19" t="n">
        <x:f>Capital!B18</x:f>
        <x:v>6800</x:v>
      </x:c>
      <x:c r="C20" s="19" t="n">
        <x:v>6800</x:v>
      </x:c>
      <x:c r="D20" s="22" t="str">
        <x:f>IF(B20=C20,"PASS","CHECK")</x:f>
        <x:v>PASS</x:v>
      </x:c>
    </x:row>
    <x:row r="21">
      <x:c r="A21" s="14" t="str">
        <x:v>Annual support USD M</x:v>
      </x:c>
      <x:c r="B21" s="18" t="n">
        <x:f>'Annual Support'!B14</x:f>
        <x:v>550</x:v>
      </x:c>
      <x:c r="C21" s="18" t="n">
        <x:v>550</x:v>
      </x:c>
      <x:c r="D21" s="22" t="str">
        <x:f>IF(B21=C21,"PASS","CHECK")</x:f>
        <x:v>PASS</x:v>
      </x:c>
    </x:row>
    <x:row r="22">
      <x:c r="A22" s="15" t="str">
        <x:v>Technology USD M</x:v>
      </x:c>
      <x:c r="B22" s="19" t="n">
        <x:f>Technology!B19</x:f>
        <x:v>2800</x:v>
      </x:c>
      <x:c r="C22" s="19" t="n">
        <x:v>2800</x:v>
      </x:c>
      <x:c r="D22" s="22" t="str">
        <x:f>IF(B22=C22,"PASS","CHECK")</x:f>
        <x:v>PASS</x:v>
      </x:c>
    </x:row>
  </x:sheetData>
  <x:mergeCells>
    <x:mergeCell ref="A1:D1"/>
    <x:mergeCell ref="A2:D2"/>
  </x:mergeCells>
  <x:pageMargins left="0.7" right="0.7" top="0.75" bottom="0.75" header="0.3" footer="0.3"/>
</x:worksheet>
</file>

<file path=xl/worksheets/sheet55.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9" hidden="0" customWidth="1"/>
    <x:col min="2" max="2" width="38" hidden="0" customWidth="1"/>
    <x:col min="3" max="3" width="64" hidden="0" customWidth="1"/>
    <x:col min="4" max="4" width="22" hidden="0" customWidth="1"/>
  </x:cols>
  <x:sheetData>
    <x:row r="1" ht="26" customHeight="1">
      <x:c r="A1" s="43" t="str">
        <x:v>Internal source register</x:v>
      </x:c>
      <x:c r="B1" s="35"/>
      <x:c r="C1" s="35"/>
      <x:c r="D1" s="35"/>
    </x:row>
    <x:row r="2" ht="32" customHeight="1">
      <x:c r="A2" s="7" t="str">
        <x:v>No external site is used in this pass.</x:v>
      </x:c>
      <x:c r="B2" s="35"/>
      <x:c r="C2" s="35"/>
      <x:c r="D2" s="35"/>
    </x:row>
    <x:row r="3">
      <x:c r="A3" s="35"/>
      <x:c r="B3" s="35"/>
      <x:c r="C3" s="35"/>
      <x:c r="D3" s="35"/>
    </x:row>
    <x:row r="4" ht="28" customHeight="1">
      <x:c r="A4" s="11" t="str">
        <x:v>No.</x:v>
      </x:c>
      <x:c r="B4" s="11" t="str">
        <x:v>Source</x:v>
      </x:c>
      <x:c r="C4" s="11" t="str">
        <x:v>Use</x:v>
      </x:c>
      <x:c r="D4" s="11" t="str">
        <x:v>Class</x:v>
      </x:c>
    </x:row>
    <x:row r="5">
      <x:c r="A5" s="14" t="n">
        <x:v>1</x:v>
      </x:c>
      <x:c r="B5" s="14" t="str">
        <x:v>RBG-1</x:v>
      </x:c>
      <x:c r="C5" s="14" t="str">
        <x:v>AM-06 ladder state, source, water, area and release logic</x:v>
      </x:c>
      <x:c r="D5" s="14" t="str">
        <x:v>Internal Markdown</x:v>
      </x:c>
    </x:row>
    <x:row r="6">
      <x:c r="A6" s="15" t="n">
        <x:v>2</x:v>
      </x:c>
      <x:c r="B6" s="15" t="str">
        <x:v>RAS-1</x:v>
      </x:c>
      <x:c r="C6" s="15" t="str">
        <x:v>Quarter-source safety case and outside replay requirements</x:v>
      </x:c>
      <x:c r="D6" s="15" t="str">
        <x:v>Internal Markdown</x:v>
      </x:c>
    </x:row>
    <x:row r="7">
      <x:c r="A7" s="14" t="n">
        <x:v>3</x:v>
      </x:c>
      <x:c r="B7" s="14" t="str">
        <x:v>RFP-1</x:v>
      </x:c>
      <x:c r="C7" s="14" t="str">
        <x:v>Rig area, thermal allocation, supply and receiver interfaces</x:v>
      </x:c>
      <x:c r="D7" s="14" t="str">
        <x:v>Internal Markdown</x:v>
      </x:c>
    </x:row>
    <x:row r="8">
      <x:c r="A8" s="15" t="n">
        <x:v>4</x:v>
      </x:c>
      <x:c r="B8" s="15" t="str">
        <x:v>RAZ-1</x:v>
      </x:c>
      <x:c r="C8" s="15" t="str">
        <x:v>Executable dossier and denial grammar</x:v>
      </x:c>
      <x:c r="D8" s="15" t="str">
        <x:v>Internal Markdown</x:v>
      </x:c>
    </x:row>
    <x:row r="9">
      <x:c r="A9" s="14" t="n">
        <x:v>5</x:v>
      </x:c>
      <x:c r="B9" s="14" t="str">
        <x:v>RBO-1</x:v>
      </x:c>
      <x:c r="C9" s="14" t="str">
        <x:v>ER-08 dry 500 kg field and class</x:v>
      </x:c>
      <x:c r="D9" s="14" t="str">
        <x:v>Internal Markdown</x:v>
      </x:c>
    </x:row>
    <x:row r="10">
      <x:c r="A10" s="15" t="n">
        <x:v>6</x:v>
      </x:c>
      <x:c r="B10" s="15" t="str">
        <x:v>RBP-1</x:v>
      </x:c>
      <x:c r="C10" s="15" t="str">
        <x:v>ER-09 500 kg / 24 m3 coupling and parent RAS-3R7</x:v>
      </x:c>
      <x:c r="D10" s="15" t="str">
        <x:v>Internal Markdown</x:v>
      </x:c>
    </x:row>
    <x:row r="11">
      <x:c r="A11" s="14" t="n">
        <x:v>7</x:v>
      </x:c>
      <x:c r="B11" s="14" t="str">
        <x:v>Cold reconstruction constitution</x:v>
      </x:c>
      <x:c r="C11" s="14" t="str">
        <x:v>Outside reconstruction and service-loss authority</x:v>
      </x:c>
      <x:c r="D11" s="14" t="str">
        <x:v>Internal Markdown</x:v>
      </x:c>
    </x:row>
    <x:row r="12">
      <x:c r="A12" s="15" t="n">
        <x:v>8</x:v>
      </x:c>
      <x:c r="B12" s="15" t="str">
        <x:v>RBQ-1 workbook</x:v>
      </x:c>
      <x:c r="C12" s="15" t="str">
        <x:v>Derived calculations and registries</x:v>
      </x:c>
      <x:c r="D12" s="15" t="str">
        <x:v>This workbook</x:v>
      </x:c>
    </x:row>
  </x:sheetData>
  <x:mergeCells>
    <x:mergeCell ref="A1:D1"/>
    <x:mergeCell ref="A2:D2"/>
  </x:mergeCells>
  <x:pageMargins left="0.7" right="0.7" top="0.75" bottom="0.75" header="0.3" footer="0.3"/>
</x:worksheet>
</file>

<file path=xl/worksheets/sheet5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2" hidden="0" customWidth="1"/>
    <x:col min="2" max="2" width="64" hidden="0" customWidth="1"/>
    <x:col min="3" max="3" width="70" hidden="0" customWidth="1"/>
  </x:cols>
  <x:sheetData>
    <x:row r="1" ht="26" customHeight="1">
      <x:c r="A1" s="43" t="str">
        <x:v>Workbook guide</x:v>
      </x:c>
      <x:c r="B1" s="35"/>
      <x:c r="C1" s="35"/>
    </x:row>
    <x:row r="2" ht="32" customHeight="1">
      <x:c r="A2" s="7" t="str">
        <x:v>Use the tabs as a linked analytical record. Gold cells are inputs. Green rows are calculated totals.</x:v>
      </x:c>
      <x:c r="B2" s="35"/>
      <x:c r="C2" s="35"/>
    </x:row>
    <x:row r="3">
      <x:c r="A3" s="35"/>
      <x:c r="B3" s="35"/>
      <x:c r="C3" s="35"/>
    </x:row>
    <x:row r="4" ht="28" customHeight="1">
      <x:c r="A4" s="11" t="str">
        <x:v>Section</x:v>
      </x:c>
      <x:c r="B4" s="11" t="str">
        <x:v>Purpose</x:v>
      </x:c>
      <x:c r="C4" s="11" t="str">
        <x:v>Primary sheets</x:v>
      </x:c>
    </x:row>
    <x:row r="5">
      <x:c r="A5" s="14" t="str">
        <x:v>Decision</x:v>
      </x:c>
      <x:c r="B5" s="14" t="str">
        <x:v>Understand the casualty transition and authority</x:v>
      </x:c>
      <x:c r="C5" s="14" t="str">
        <x:v>Summary; Decision Map; Release Gates</x:v>
      </x:c>
    </x:row>
    <x:row r="6">
      <x:c r="A6" s="15" t="str">
        <x:v>Physics</x:v>
      </x:c>
      <x:c r="B6" s="15" t="str">
        <x:v>Trace scale, thermal, hydraulic and receiver screens</x:v>
      </x:c>
      <x:c r="C6" s="15" t="str">
        <x:v>Assumptions; Scale Transition; Thermal Screen; Hydraulic Screen; Receiver Screen</x:v>
      </x:c>
    </x:row>
    <x:row r="7">
      <x:c r="A7" s="14" t="str">
        <x:v>Architecture</x:v>
      </x:c>
      <x:c r="B7" s="14" t="str">
        <x:v>Review rival principles and selection</x:v>
      </x:c>
      <x:c r="C7" s="14" t="str">
        <x:v>Architecture Candidates; Candidate Trials; Matched Comparisons; Selection Gates</x:v>
      </x:c>
    </x:row>
    <x:row r="8">
      <x:c r="A8" s="15" t="str">
        <x:v>Qualification</x:v>
      </x:c>
      <x:c r="B8" s="15" t="str">
        <x:v>Inspect modules, states, denial worlds and class cells</x:v>
      </x:c>
      <x:c r="C8" s="15" t="str">
        <x:v>Module Bank; Qualification; Denial Worlds; Class Matrix</x:v>
      </x:c>
    </x:row>
    <x:row r="9">
      <x:c r="A9" s="14" t="str">
        <x:v>Truth</x:v>
      </x:c>
      <x:c r="B9" s="14" t="str">
        <x:v>Inspect roots, gates, records, channels and accounts</x:v>
      </x:c>
      <x:c r="C9" s="14" t="str">
        <x:v>Root Constitution through Service Ledger</x:v>
      </x:c>
    </x:row>
    <x:row r="10">
      <x:c r="A10" s="15" t="str">
        <x:v>Reconstruction</x:v>
      </x:c>
      <x:c r="B10" s="15" t="str">
        <x:v>Inspect external decision design</x:v>
      </x:c>
      <x:c r="C10" s="15" t="str">
        <x:v>Outside Reconstruction; Reconstruction Cases</x:v>
      </x:c>
    </x:row>
    <x:row r="11">
      <x:c r="A11" s="14" t="str">
        <x:v>Resources</x:v>
      </x:c>
      <x:c r="B11" s="14" t="str">
        <x:v>Trace schedule, formation and finance</x:v>
      </x:c>
      <x:c r="C11" s="14" t="str">
        <x:v>Schedule; Workforce; Capital; Annual Support; Technology; Parent Amendment</x:v>
      </x:c>
    </x:row>
    <x:row r="12">
      <x:c r="A12" s="15" t="str">
        <x:v>Verification</x:v>
      </x:c>
      <x:c r="B12" s="15" t="str">
        <x:v>Review calculations and source limits</x:v>
      </x:c>
      <x:c r="C12" s="15" t="str">
        <x:v>Sensitivity; Audit; Sources</x:v>
      </x:c>
    </x:row>
  </x:sheetData>
  <x:mergeCells>
    <x:mergeCell ref="A1:C1"/>
    <x:mergeCell ref="A2:C2"/>
  </x:mergeCells>
  <x:pageMargins left="0.7" right="0.7" top="0.75" bottom="0.75" header="0.3" footer="0.3"/>
</x:worksheet>
</file>